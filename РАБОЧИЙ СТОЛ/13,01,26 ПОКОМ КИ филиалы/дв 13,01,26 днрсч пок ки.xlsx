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01,26 ПОКОМ КИ филиалы\"/>
    </mc:Choice>
  </mc:AlternateContent>
  <xr:revisionPtr revIDLastSave="0" documentId="13_ncr:1_{4FF11EC7-3A82-492B-8A7F-B3B06A99BDC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Sheet!$A$3:$AI$96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" i="1" l="1"/>
  <c r="M7" i="1" l="1"/>
  <c r="S7" i="1" s="1"/>
  <c r="T7" i="1" s="1"/>
  <c r="AI7" i="1" s="1"/>
  <c r="M8" i="1"/>
  <c r="S8" i="1" s="1"/>
  <c r="T8" i="1" s="1"/>
  <c r="AI8" i="1" s="1"/>
  <c r="M9" i="1"/>
  <c r="S9" i="1" s="1"/>
  <c r="M10" i="1"/>
  <c r="S10" i="1" s="1"/>
  <c r="T10" i="1" s="1"/>
  <c r="M11" i="1"/>
  <c r="S11" i="1" s="1"/>
  <c r="T11" i="1" s="1"/>
  <c r="AI11" i="1" s="1"/>
  <c r="M12" i="1"/>
  <c r="S12" i="1" s="1"/>
  <c r="M13" i="1"/>
  <c r="S13" i="1" s="1"/>
  <c r="M14" i="1"/>
  <c r="S14" i="1" s="1"/>
  <c r="T14" i="1" s="1"/>
  <c r="AI14" i="1" s="1"/>
  <c r="M15" i="1"/>
  <c r="S15" i="1" s="1"/>
  <c r="M16" i="1"/>
  <c r="S16" i="1" s="1"/>
  <c r="M17" i="1"/>
  <c r="S17" i="1" s="1"/>
  <c r="T17" i="1" s="1"/>
  <c r="AI17" i="1" s="1"/>
  <c r="M18" i="1"/>
  <c r="S18" i="1" s="1"/>
  <c r="M19" i="1"/>
  <c r="S19" i="1" s="1"/>
  <c r="M20" i="1"/>
  <c r="S20" i="1" s="1"/>
  <c r="AI20" i="1" s="1"/>
  <c r="M21" i="1"/>
  <c r="S21" i="1" s="1"/>
  <c r="T21" i="1" s="1"/>
  <c r="AI21" i="1" s="1"/>
  <c r="M22" i="1"/>
  <c r="S22" i="1" s="1"/>
  <c r="T22" i="1" s="1"/>
  <c r="AI22" i="1" s="1"/>
  <c r="M23" i="1"/>
  <c r="S23" i="1" s="1"/>
  <c r="M24" i="1"/>
  <c r="S24" i="1" s="1"/>
  <c r="AI24" i="1" s="1"/>
  <c r="M25" i="1"/>
  <c r="S25" i="1" s="1"/>
  <c r="M26" i="1"/>
  <c r="S26" i="1" s="1"/>
  <c r="M27" i="1"/>
  <c r="S27" i="1" s="1"/>
  <c r="M28" i="1"/>
  <c r="S28" i="1" s="1"/>
  <c r="T28" i="1" s="1"/>
  <c r="AI28" i="1" s="1"/>
  <c r="M29" i="1"/>
  <c r="S29" i="1" s="1"/>
  <c r="M30" i="1"/>
  <c r="S30" i="1" s="1"/>
  <c r="M31" i="1"/>
  <c r="S31" i="1" s="1"/>
  <c r="M32" i="1"/>
  <c r="S32" i="1" s="1"/>
  <c r="M33" i="1"/>
  <c r="S33" i="1" s="1"/>
  <c r="M34" i="1"/>
  <c r="S34" i="1" s="1"/>
  <c r="T34" i="1" s="1"/>
  <c r="AI34" i="1" s="1"/>
  <c r="M35" i="1"/>
  <c r="S35" i="1" s="1"/>
  <c r="M36" i="1"/>
  <c r="S36" i="1" s="1"/>
  <c r="T36" i="1" s="1"/>
  <c r="AI36" i="1" s="1"/>
  <c r="M37" i="1"/>
  <c r="S37" i="1" s="1"/>
  <c r="M38" i="1"/>
  <c r="S38" i="1" s="1"/>
  <c r="T38" i="1" s="1"/>
  <c r="AI38" i="1" s="1"/>
  <c r="M39" i="1"/>
  <c r="S39" i="1" s="1"/>
  <c r="T39" i="1" s="1"/>
  <c r="AI39" i="1" s="1"/>
  <c r="M40" i="1"/>
  <c r="S40" i="1" s="1"/>
  <c r="AI40" i="1" s="1"/>
  <c r="M41" i="1"/>
  <c r="S41" i="1" s="1"/>
  <c r="M42" i="1"/>
  <c r="S42" i="1" s="1"/>
  <c r="AI42" i="1" s="1"/>
  <c r="M43" i="1"/>
  <c r="S43" i="1" s="1"/>
  <c r="T43" i="1" s="1"/>
  <c r="AI43" i="1" s="1"/>
  <c r="M44" i="1"/>
  <c r="S44" i="1" s="1"/>
  <c r="T44" i="1" s="1"/>
  <c r="AI44" i="1" s="1"/>
  <c r="M45" i="1"/>
  <c r="S45" i="1" s="1"/>
  <c r="M46" i="1"/>
  <c r="S46" i="1" s="1"/>
  <c r="T46" i="1" s="1"/>
  <c r="AI46" i="1" s="1"/>
  <c r="M47" i="1"/>
  <c r="S47" i="1" s="1"/>
  <c r="T47" i="1" s="1"/>
  <c r="AI47" i="1" s="1"/>
  <c r="M48" i="1"/>
  <c r="S48" i="1" s="1"/>
  <c r="T48" i="1" s="1"/>
  <c r="AI48" i="1" s="1"/>
  <c r="M49" i="1"/>
  <c r="S49" i="1" s="1"/>
  <c r="M50" i="1"/>
  <c r="S50" i="1" s="1"/>
  <c r="M51" i="1"/>
  <c r="S51" i="1" s="1"/>
  <c r="M52" i="1"/>
  <c r="S52" i="1" s="1"/>
  <c r="M53" i="1"/>
  <c r="S53" i="1" s="1"/>
  <c r="T53" i="1" s="1"/>
  <c r="AI53" i="1" s="1"/>
  <c r="M54" i="1"/>
  <c r="S54" i="1" s="1"/>
  <c r="T54" i="1" s="1"/>
  <c r="AI54" i="1" s="1"/>
  <c r="M55" i="1"/>
  <c r="S55" i="1" s="1"/>
  <c r="M56" i="1"/>
  <c r="S56" i="1" s="1"/>
  <c r="M57" i="1"/>
  <c r="S57" i="1" s="1"/>
  <c r="M58" i="1"/>
  <c r="S58" i="1" s="1"/>
  <c r="T58" i="1" s="1"/>
  <c r="AI58" i="1" s="1"/>
  <c r="M59" i="1"/>
  <c r="S59" i="1" s="1"/>
  <c r="M60" i="1"/>
  <c r="S60" i="1" s="1"/>
  <c r="M61" i="1"/>
  <c r="S61" i="1" s="1"/>
  <c r="M62" i="1"/>
  <c r="S62" i="1" s="1"/>
  <c r="M63" i="1"/>
  <c r="S63" i="1" s="1"/>
  <c r="T63" i="1" s="1"/>
  <c r="AI63" i="1" s="1"/>
  <c r="M64" i="1"/>
  <c r="S64" i="1" s="1"/>
  <c r="T64" i="1" s="1"/>
  <c r="AI64" i="1" s="1"/>
  <c r="M65" i="1"/>
  <c r="S65" i="1" s="1"/>
  <c r="M66" i="1"/>
  <c r="S66" i="1" s="1"/>
  <c r="M67" i="1"/>
  <c r="S67" i="1" s="1"/>
  <c r="M68" i="1"/>
  <c r="S68" i="1" s="1"/>
  <c r="T68" i="1" s="1"/>
  <c r="AI68" i="1" s="1"/>
  <c r="M69" i="1"/>
  <c r="S69" i="1" s="1"/>
  <c r="M70" i="1"/>
  <c r="S70" i="1" s="1"/>
  <c r="M71" i="1"/>
  <c r="S71" i="1" s="1"/>
  <c r="M72" i="1"/>
  <c r="S72" i="1" s="1"/>
  <c r="M73" i="1"/>
  <c r="S73" i="1" s="1"/>
  <c r="M74" i="1"/>
  <c r="S74" i="1" s="1"/>
  <c r="M75" i="1"/>
  <c r="S75" i="1" s="1"/>
  <c r="M76" i="1"/>
  <c r="S76" i="1" s="1"/>
  <c r="M77" i="1"/>
  <c r="S77" i="1" s="1"/>
  <c r="M78" i="1"/>
  <c r="S78" i="1" s="1"/>
  <c r="M79" i="1"/>
  <c r="S79" i="1" s="1"/>
  <c r="T79" i="1" s="1"/>
  <c r="AI79" i="1" s="1"/>
  <c r="M80" i="1"/>
  <c r="S80" i="1" s="1"/>
  <c r="M81" i="1"/>
  <c r="S81" i="1" s="1"/>
  <c r="T81" i="1" s="1"/>
  <c r="AI81" i="1" s="1"/>
  <c r="M82" i="1"/>
  <c r="S82" i="1" s="1"/>
  <c r="M83" i="1"/>
  <c r="S83" i="1" s="1"/>
  <c r="T83" i="1" s="1"/>
  <c r="AI83" i="1" s="1"/>
  <c r="M84" i="1"/>
  <c r="S84" i="1" s="1"/>
  <c r="M85" i="1"/>
  <c r="S85" i="1" s="1"/>
  <c r="T85" i="1" s="1"/>
  <c r="AI85" i="1" s="1"/>
  <c r="M86" i="1"/>
  <c r="S86" i="1" s="1"/>
  <c r="T86" i="1" s="1"/>
  <c r="AI86" i="1" s="1"/>
  <c r="M87" i="1"/>
  <c r="S87" i="1" s="1"/>
  <c r="T87" i="1" s="1"/>
  <c r="AI87" i="1" s="1"/>
  <c r="M88" i="1"/>
  <c r="S88" i="1" s="1"/>
  <c r="M89" i="1"/>
  <c r="S89" i="1" s="1"/>
  <c r="M90" i="1"/>
  <c r="S90" i="1" s="1"/>
  <c r="T90" i="1" s="1"/>
  <c r="AI90" i="1" s="1"/>
  <c r="M91" i="1"/>
  <c r="S91" i="1" s="1"/>
  <c r="M92" i="1"/>
  <c r="S92" i="1" s="1"/>
  <c r="M93" i="1"/>
  <c r="S93" i="1" s="1"/>
  <c r="T93" i="1" s="1"/>
  <c r="AI93" i="1" s="1"/>
  <c r="M94" i="1"/>
  <c r="S94" i="1" s="1"/>
  <c r="M95" i="1"/>
  <c r="S95" i="1" s="1"/>
  <c r="M96" i="1"/>
  <c r="S96" i="1" s="1"/>
  <c r="M6" i="1"/>
  <c r="AI96" i="1"/>
  <c r="L96" i="1"/>
  <c r="AI95" i="1"/>
  <c r="L95" i="1"/>
  <c r="AI94" i="1"/>
  <c r="L94" i="1"/>
  <c r="L93" i="1"/>
  <c r="AI92" i="1"/>
  <c r="L92" i="1"/>
  <c r="AI91" i="1"/>
  <c r="L91" i="1"/>
  <c r="L90" i="1"/>
  <c r="AI89" i="1"/>
  <c r="L89" i="1"/>
  <c r="AI88" i="1"/>
  <c r="L88" i="1"/>
  <c r="L87" i="1"/>
  <c r="L86" i="1"/>
  <c r="L85" i="1"/>
  <c r="AI84" i="1"/>
  <c r="L84" i="1"/>
  <c r="L83" i="1"/>
  <c r="AI82" i="1"/>
  <c r="L82" i="1"/>
  <c r="L81" i="1"/>
  <c r="AI80" i="1"/>
  <c r="L80" i="1"/>
  <c r="L79" i="1"/>
  <c r="AI78" i="1"/>
  <c r="L78" i="1"/>
  <c r="AI77" i="1"/>
  <c r="L77" i="1"/>
  <c r="L76" i="1"/>
  <c r="AI75" i="1"/>
  <c r="L75" i="1"/>
  <c r="L74" i="1"/>
  <c r="AI73" i="1"/>
  <c r="L73" i="1"/>
  <c r="L72" i="1"/>
  <c r="L71" i="1"/>
  <c r="AI70" i="1"/>
  <c r="L70" i="1"/>
  <c r="AI69" i="1"/>
  <c r="L69" i="1"/>
  <c r="L68" i="1"/>
  <c r="AI67" i="1"/>
  <c r="L67" i="1"/>
  <c r="AI66" i="1"/>
  <c r="L66" i="1"/>
  <c r="AI65" i="1"/>
  <c r="L65" i="1"/>
  <c r="L64" i="1"/>
  <c r="L63" i="1"/>
  <c r="AI62" i="1"/>
  <c r="L62" i="1"/>
  <c r="AI61" i="1"/>
  <c r="L61" i="1"/>
  <c r="AI60" i="1"/>
  <c r="L60" i="1"/>
  <c r="AI59" i="1"/>
  <c r="L59" i="1"/>
  <c r="L58" i="1"/>
  <c r="AI57" i="1"/>
  <c r="L57" i="1"/>
  <c r="AI56" i="1"/>
  <c r="L56" i="1"/>
  <c r="AI55" i="1"/>
  <c r="L55" i="1"/>
  <c r="L54" i="1"/>
  <c r="L53" i="1"/>
  <c r="L52" i="1"/>
  <c r="AI51" i="1"/>
  <c r="L51" i="1"/>
  <c r="L50" i="1"/>
  <c r="L49" i="1"/>
  <c r="L48" i="1"/>
  <c r="L47" i="1"/>
  <c r="L46" i="1"/>
  <c r="AI45" i="1"/>
  <c r="L45" i="1"/>
  <c r="L44" i="1"/>
  <c r="L43" i="1"/>
  <c r="L42" i="1"/>
  <c r="AI41" i="1"/>
  <c r="L41" i="1"/>
  <c r="L40" i="1"/>
  <c r="L39" i="1"/>
  <c r="L38" i="1"/>
  <c r="AI37" i="1"/>
  <c r="L37" i="1"/>
  <c r="L36" i="1"/>
  <c r="AI35" i="1"/>
  <c r="L35" i="1"/>
  <c r="L34" i="1"/>
  <c r="AI33" i="1"/>
  <c r="L33" i="1"/>
  <c r="L32" i="1"/>
  <c r="L31" i="1"/>
  <c r="L30" i="1"/>
  <c r="L29" i="1"/>
  <c r="L28" i="1"/>
  <c r="L27" i="1"/>
  <c r="L26" i="1"/>
  <c r="AI25" i="1"/>
  <c r="L25" i="1"/>
  <c r="L24" i="1"/>
  <c r="AI23" i="1"/>
  <c r="L23" i="1"/>
  <c r="L22" i="1"/>
  <c r="L21" i="1"/>
  <c r="L20" i="1"/>
  <c r="L19" i="1"/>
  <c r="AI18" i="1"/>
  <c r="L18" i="1"/>
  <c r="L17" i="1"/>
  <c r="AI16" i="1"/>
  <c r="L16" i="1"/>
  <c r="AI15" i="1"/>
  <c r="L15" i="1"/>
  <c r="L14" i="1"/>
  <c r="AI13" i="1"/>
  <c r="L13" i="1"/>
  <c r="AI12" i="1"/>
  <c r="L12" i="1"/>
  <c r="L11" i="1"/>
  <c r="AI10" i="1"/>
  <c r="L10" i="1"/>
  <c r="L9" i="1"/>
  <c r="L8" i="1"/>
  <c r="L7" i="1"/>
  <c r="L6" i="1"/>
  <c r="AG5" i="1"/>
  <c r="AF5" i="1"/>
  <c r="AE5" i="1"/>
  <c r="AD5" i="1"/>
  <c r="AC5" i="1"/>
  <c r="AB5" i="1"/>
  <c r="AA5" i="1"/>
  <c r="Z5" i="1"/>
  <c r="U5" i="1"/>
  <c r="R5" i="1"/>
  <c r="Q5" i="1"/>
  <c r="P5" i="1"/>
  <c r="O5" i="1"/>
  <c r="N5" i="1"/>
  <c r="K5" i="1"/>
  <c r="F5" i="1"/>
  <c r="E5" i="1"/>
  <c r="L5" i="1" l="1"/>
  <c r="X95" i="1"/>
  <c r="Y95" i="1"/>
  <c r="X93" i="1"/>
  <c r="Y93" i="1"/>
  <c r="X91" i="1"/>
  <c r="Y91" i="1"/>
  <c r="X88" i="1"/>
  <c r="Y88" i="1"/>
  <c r="X86" i="1"/>
  <c r="Y86" i="1"/>
  <c r="X84" i="1"/>
  <c r="Y84" i="1"/>
  <c r="X82" i="1"/>
  <c r="Y82" i="1"/>
  <c r="X80" i="1"/>
  <c r="Y80" i="1"/>
  <c r="X78" i="1"/>
  <c r="Y78" i="1"/>
  <c r="X76" i="1"/>
  <c r="Y76" i="1"/>
  <c r="X74" i="1"/>
  <c r="Y74" i="1"/>
  <c r="X72" i="1"/>
  <c r="Y72" i="1"/>
  <c r="X70" i="1"/>
  <c r="Y70" i="1"/>
  <c r="X68" i="1"/>
  <c r="Y68" i="1"/>
  <c r="X66" i="1"/>
  <c r="Y66" i="1"/>
  <c r="X64" i="1"/>
  <c r="Y64" i="1"/>
  <c r="X62" i="1"/>
  <c r="Y62" i="1"/>
  <c r="X60" i="1"/>
  <c r="Y60" i="1"/>
  <c r="X58" i="1"/>
  <c r="Y58" i="1"/>
  <c r="X56" i="1"/>
  <c r="Y56" i="1"/>
  <c r="X54" i="1"/>
  <c r="Y54" i="1"/>
  <c r="X52" i="1"/>
  <c r="Y52" i="1"/>
  <c r="X50" i="1"/>
  <c r="Y50" i="1"/>
  <c r="X48" i="1"/>
  <c r="Y48" i="1"/>
  <c r="X46" i="1"/>
  <c r="Y46" i="1"/>
  <c r="X44" i="1"/>
  <c r="Y44" i="1"/>
  <c r="X42" i="1"/>
  <c r="Y42" i="1"/>
  <c r="X40" i="1"/>
  <c r="Y40" i="1"/>
  <c r="X38" i="1"/>
  <c r="Y38" i="1"/>
  <c r="X36" i="1"/>
  <c r="Y36" i="1"/>
  <c r="X34" i="1"/>
  <c r="Y34" i="1"/>
  <c r="X32" i="1"/>
  <c r="Y32" i="1"/>
  <c r="X30" i="1"/>
  <c r="Y30" i="1"/>
  <c r="X28" i="1"/>
  <c r="Y28" i="1"/>
  <c r="X26" i="1"/>
  <c r="Y26" i="1"/>
  <c r="X24" i="1"/>
  <c r="Y24" i="1"/>
  <c r="X22" i="1"/>
  <c r="Y22" i="1"/>
  <c r="X20" i="1"/>
  <c r="Y20" i="1"/>
  <c r="X18" i="1"/>
  <c r="Y18" i="1"/>
  <c r="X16" i="1"/>
  <c r="Y16" i="1"/>
  <c r="X14" i="1"/>
  <c r="Y14" i="1"/>
  <c r="X12" i="1"/>
  <c r="Y12" i="1"/>
  <c r="X10" i="1"/>
  <c r="Y10" i="1"/>
  <c r="X8" i="1"/>
  <c r="Y8" i="1"/>
  <c r="X96" i="1"/>
  <c r="Y96" i="1"/>
  <c r="X94" i="1"/>
  <c r="Y94" i="1"/>
  <c r="X92" i="1"/>
  <c r="Y92" i="1"/>
  <c r="X90" i="1"/>
  <c r="Y90" i="1"/>
  <c r="X89" i="1"/>
  <c r="Y89" i="1"/>
  <c r="X87" i="1"/>
  <c r="Y87" i="1"/>
  <c r="X85" i="1"/>
  <c r="Y85" i="1"/>
  <c r="X83" i="1"/>
  <c r="Y83" i="1"/>
  <c r="X81" i="1"/>
  <c r="Y81" i="1"/>
  <c r="X79" i="1"/>
  <c r="Y79" i="1"/>
  <c r="X77" i="1"/>
  <c r="Y77" i="1"/>
  <c r="X75" i="1"/>
  <c r="Y75" i="1"/>
  <c r="X73" i="1"/>
  <c r="Y73" i="1"/>
  <c r="X71" i="1"/>
  <c r="Y71" i="1"/>
  <c r="X69" i="1"/>
  <c r="Y69" i="1"/>
  <c r="X67" i="1"/>
  <c r="Y67" i="1"/>
  <c r="X65" i="1"/>
  <c r="Y65" i="1"/>
  <c r="X63" i="1"/>
  <c r="Y63" i="1"/>
  <c r="X61" i="1"/>
  <c r="Y61" i="1"/>
  <c r="X59" i="1"/>
  <c r="Y59" i="1"/>
  <c r="X57" i="1"/>
  <c r="Y57" i="1"/>
  <c r="X55" i="1"/>
  <c r="Y55" i="1"/>
  <c r="X53" i="1"/>
  <c r="Y53" i="1"/>
  <c r="X51" i="1"/>
  <c r="Y51" i="1"/>
  <c r="X49" i="1"/>
  <c r="Y49" i="1"/>
  <c r="X47" i="1"/>
  <c r="Y47" i="1"/>
  <c r="X45" i="1"/>
  <c r="Y45" i="1"/>
  <c r="X43" i="1"/>
  <c r="Y43" i="1"/>
  <c r="X41" i="1"/>
  <c r="Y41" i="1"/>
  <c r="X39" i="1"/>
  <c r="Y39" i="1"/>
  <c r="X37" i="1"/>
  <c r="Y37" i="1"/>
  <c r="X35" i="1"/>
  <c r="Y35" i="1"/>
  <c r="X33" i="1"/>
  <c r="Y33" i="1"/>
  <c r="X31" i="1"/>
  <c r="Y31" i="1"/>
  <c r="X29" i="1"/>
  <c r="Y29" i="1"/>
  <c r="X27" i="1"/>
  <c r="Y27" i="1"/>
  <c r="X25" i="1"/>
  <c r="Y25" i="1"/>
  <c r="X23" i="1"/>
  <c r="Y23" i="1"/>
  <c r="X21" i="1"/>
  <c r="Y21" i="1"/>
  <c r="X19" i="1"/>
  <c r="Y19" i="1"/>
  <c r="X17" i="1"/>
  <c r="Y17" i="1"/>
  <c r="X15" i="1"/>
  <c r="Y15" i="1"/>
  <c r="X13" i="1"/>
  <c r="Y13" i="1"/>
  <c r="X11" i="1"/>
  <c r="Y11" i="1"/>
  <c r="X9" i="1"/>
  <c r="Y9" i="1"/>
  <c r="X7" i="1"/>
  <c r="Y7" i="1"/>
  <c r="M5" i="1"/>
  <c r="S6" i="1"/>
  <c r="AI6" i="1" l="1"/>
  <c r="AI5" i="1" s="1"/>
  <c r="T5" i="1"/>
  <c r="S5" i="1"/>
  <c r="Y6" i="1"/>
  <c r="X6" i="1"/>
</calcChain>
</file>

<file path=xl/sharedStrings.xml><?xml version="1.0" encoding="utf-8"?>
<sst xmlns="http://schemas.openxmlformats.org/spreadsheetml/2006/main" count="369" uniqueCount="151">
  <si>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</si>
  <si>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</si>
  <si>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</si>
  <si>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</si>
  <si>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</si>
  <si>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</si>
  <si>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</si>
  <si>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</si>
  <si>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</si>
  <si>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</si>
  <si>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</si>
  <si>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</si>
  <si>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</si>
  <si>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</si>
  <si>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</si>
  <si>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</si>
  <si>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</si>
  <si>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</si>
  <si>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</si>
  <si>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</si>
  <si>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</si>
  <si>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</si>
  <si>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</si>
  <si>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</si>
  <si>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10,01,(1)</t>
  </si>
  <si>
    <t>10,01,(2)</t>
  </si>
  <si>
    <t>12,01,</t>
  </si>
  <si>
    <t>14,01,</t>
  </si>
  <si>
    <t>13,01,</t>
  </si>
  <si>
    <t>08,01,</t>
  </si>
  <si>
    <t>06,01,</t>
  </si>
  <si>
    <t>25,12,</t>
  </si>
  <si>
    <t>18,12,</t>
  </si>
  <si>
    <t>16,12,</t>
  </si>
  <si>
    <t>11,12,</t>
  </si>
  <si>
    <t>09,12,</t>
  </si>
  <si>
    <t>04,12,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</si>
  <si>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</si>
  <si>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</si>
  <si>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</si>
  <si>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</si>
  <si>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</si>
  <si>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</si>
  <si>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</si>
  <si>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 в матрице</t>
  </si>
  <si>
    <t>перемещение (Новороссийск)</t>
  </si>
  <si>
    <t xml:space="preserve"> 030  Сосиски Вязанка Молочные, Вязанка вискофан МГС, 0.45кг, ПОКОМ</t>
  </si>
  <si>
    <t>ТС Обжора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</si>
  <si>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</si>
  <si>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</si>
  <si>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</si>
  <si>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</si>
  <si>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</si>
  <si>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декабрь_январь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</si>
  <si>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</si>
  <si>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</si>
  <si>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</si>
  <si>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</si>
  <si>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</si>
  <si>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</si>
  <si>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</si>
  <si>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</si>
  <si>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</si>
  <si>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</si>
  <si>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</si>
  <si>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</si>
  <si>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</si>
  <si>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</si>
  <si>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</si>
  <si>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</si>
  <si>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</si>
  <si>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</si>
  <si>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</si>
  <si>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</si>
  <si>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декабрь_январь / ТС Обжора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</si>
  <si>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</si>
  <si>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</si>
  <si>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</si>
  <si>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</si>
  <si>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</si>
  <si>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</si>
  <si>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</si>
  <si>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</si>
  <si>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</si>
  <si>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</si>
  <si>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</si>
  <si>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>ВНИМАНИЕ / матрица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</si>
  <si>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</si>
  <si>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</si>
  <si>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</si>
  <si>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</si>
  <si>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</si>
  <si>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</si>
  <si>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</si>
  <si>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</si>
  <si>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</si>
  <si>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ТМА декабрь_январь / 20,01,25 в уценку 86шт.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</si>
  <si>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</si>
  <si>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</si>
  <si>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</si>
  <si>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</si>
  <si>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>29,04,25 в уценку 30кг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</si>
  <si>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</si>
  <si>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</si>
  <si>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</si>
  <si>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</si>
  <si>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</si>
  <si>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</si>
  <si>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</si>
  <si>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</si>
  <si>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</si>
  <si>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</si>
  <si>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</si>
  <si>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</si>
  <si>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</si>
  <si>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</si>
  <si>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</si>
  <si>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</si>
  <si>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</si>
  <si>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</si>
  <si>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</si>
  <si>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>нет потребности / 02,06,25 в уценку 8шт.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</si>
  <si>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</si>
  <si>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</si>
  <si>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</si>
  <si>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</si>
  <si>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>ТМА декабрь_январь / 22,01,25 в уценку 1989кг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</si>
  <si>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</si>
  <si>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</si>
  <si>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</si>
  <si>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</si>
  <si>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</si>
  <si>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</si>
  <si>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</si>
  <si>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</si>
  <si>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</si>
  <si>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</si>
  <si>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</si>
  <si>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05,12,25 списание 29кг (сроки) / 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</si>
  <si>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</si>
  <si>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</si>
  <si>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31,01,25 в уценку 96шт.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</si>
  <si>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</si>
  <si>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</si>
  <si>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</si>
  <si>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25,05,25 в уценку 56шт.</t>
  </si>
  <si>
    <t>Химич</t>
  </si>
  <si>
    <t>нужно увеличить продажи!!!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</si>
  <si>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23,06,25 в уценку 6кг / 22,04,25 в уценку 34 кг / 25,01,25 в уценку 108кг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</si>
  <si>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новинка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</si>
  <si>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19,12,25 списание 146кг (сроки)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</si>
</sst>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1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5" borderId="2" xfId="1" applyNumberFormat="1" applyFill="1" applyBorder="1"/>
    <xf numFmtId="164" fontId="5" fillId="8" borderId="1" xfId="1" applyNumberFormat="1" applyFont="1" applyFill="1"/>
    <xf numFmtId="164" fontId="6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5" sqref="V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42578125" customWidth="1"/>
    <col min="10" max="10" width="1" customWidth="1"/>
    <col min="11" max="21" width="7" customWidth="1"/>
    <col min="22" max="22" width="13.28515625" customWidth="1"/>
    <col min="23" max="23" width="7" customWidth="1"/>
    <col min="24" max="25" width="5" customWidth="1"/>
    <col min="26" max="33" width="6" customWidth="1"/>
    <col min="34" max="34" width="36.7109375" customWidth="1"/>
    <col min="35" max="35" width="7" customWidth="1"/>
    <col min="36" max="48" width="8" customWidth="1"/>
  </cols>
  <sheetData>
    <row r="1" spans="1:48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7" t="s">
        <v>17</v>
      </c>
      <c r="V3" s="7" t="s">
        <v>18</v>
      </c>
      <c r="W3" s="10" t="s">
        <v>146</v>
      </c>
      <c r="X3" s="2" t="s">
        <v>19</v>
      </c>
      <c r="Y3" s="2" t="s">
        <v>20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22</v>
      </c>
      <c r="AI3" s="2" t="s">
        <v>23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 t="s">
        <v>27</v>
      </c>
      <c r="S4" s="1" t="s">
        <v>28</v>
      </c>
      <c r="T4" s="1"/>
      <c r="U4" s="1"/>
      <c r="V4" s="1"/>
      <c r="W4" s="1"/>
      <c r="X4" s="1"/>
      <c r="Y4" s="1"/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  <c r="AG4" s="1" t="s">
        <v>36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SUM(E6:E499)</f>
        <v>40618.780999999995</v>
      </c>
      <c r="F5" s="4">
        <f>SUM(F6:F499)</f>
        <v>34647.896000000001</v>
      </c>
      <c r="G5" s="8"/>
      <c r="H5" s="1"/>
      <c r="I5" s="1"/>
      <c r="J5" s="1"/>
      <c r="K5" s="4">
        <f t="shared" ref="K5:U5" si="0">SUM(K6:K499)</f>
        <v>47931.998999999996</v>
      </c>
      <c r="L5" s="4">
        <f t="shared" si="0"/>
        <v>-7313.2180000000017</v>
      </c>
      <c r="M5" s="4">
        <f t="shared" si="0"/>
        <v>34088.388999999996</v>
      </c>
      <c r="N5" s="4">
        <f t="shared" si="0"/>
        <v>6530.3920000000007</v>
      </c>
      <c r="O5" s="4">
        <f t="shared" si="0"/>
        <v>14529.494535781663</v>
      </c>
      <c r="P5" s="4">
        <f t="shared" si="0"/>
        <v>6490</v>
      </c>
      <c r="Q5" s="4">
        <f t="shared" si="0"/>
        <v>17546.205385933339</v>
      </c>
      <c r="R5" s="4">
        <f t="shared" si="0"/>
        <v>5644.8683999999994</v>
      </c>
      <c r="S5" s="4">
        <f t="shared" si="0"/>
        <v>6817.6777999999995</v>
      </c>
      <c r="T5" s="4">
        <f t="shared" si="0"/>
        <v>11325.340090723337</v>
      </c>
      <c r="U5" s="4">
        <f t="shared" si="0"/>
        <v>0</v>
      </c>
      <c r="V5" s="1"/>
      <c r="W5" s="4">
        <f>SUM(W6:W499)</f>
        <v>0</v>
      </c>
      <c r="X5" s="1"/>
      <c r="Y5" s="1"/>
      <c r="Z5" s="4">
        <f t="shared" ref="Z5:AG5" si="1">SUM(Z6:Z499)</f>
        <v>7264.9101666666629</v>
      </c>
      <c r="AA5" s="4">
        <f t="shared" si="1"/>
        <v>8228.2569999999996</v>
      </c>
      <c r="AB5" s="4">
        <f t="shared" si="1"/>
        <v>7432.0654000000004</v>
      </c>
      <c r="AC5" s="4">
        <f t="shared" si="1"/>
        <v>7216.2931999999973</v>
      </c>
      <c r="AD5" s="4">
        <f t="shared" si="1"/>
        <v>6953.5805999999984</v>
      </c>
      <c r="AE5" s="4">
        <f t="shared" si="1"/>
        <v>6680.6210000000001</v>
      </c>
      <c r="AF5" s="4">
        <f t="shared" si="1"/>
        <v>6846.3256000000001</v>
      </c>
      <c r="AG5" s="4">
        <f t="shared" si="1"/>
        <v>6312.9053999999996</v>
      </c>
      <c r="AH5" s="1"/>
      <c r="AI5" s="4">
        <f>SUM(AI6:AI499)</f>
        <v>8379.6429857233379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37</v>
      </c>
      <c r="B6" s="1" t="s">
        <v>38</v>
      </c>
      <c r="C6" s="1">
        <v>67.808999999999997</v>
      </c>
      <c r="D6" s="1">
        <v>121.554</v>
      </c>
      <c r="E6" s="1">
        <v>154.58000000000001</v>
      </c>
      <c r="F6" s="1">
        <v>-140.05699999999999</v>
      </c>
      <c r="G6" s="8">
        <v>1</v>
      </c>
      <c r="H6" s="1">
        <v>50</v>
      </c>
      <c r="I6" s="1" t="s">
        <v>39</v>
      </c>
      <c r="J6" s="1"/>
      <c r="K6" s="1">
        <v>184.75</v>
      </c>
      <c r="L6" s="1">
        <f t="shared" ref="L6:L37" si="2">E6-K6</f>
        <v>-30.169999999999987</v>
      </c>
      <c r="M6" s="1">
        <f>E6-N6</f>
        <v>122.43</v>
      </c>
      <c r="N6" s="1">
        <v>32.15</v>
      </c>
      <c r="O6" s="1">
        <v>543.66699999999992</v>
      </c>
      <c r="P6" s="1"/>
      <c r="Q6" s="1">
        <v>523.24532499999998</v>
      </c>
      <c r="R6" s="1"/>
      <c r="S6" s="1">
        <f>M6/5</f>
        <v>24.486000000000001</v>
      </c>
      <c r="T6" s="5"/>
      <c r="U6" s="5"/>
      <c r="V6" s="1"/>
      <c r="W6" s="1"/>
      <c r="X6" s="1">
        <f>(F6+O6+P6+Q6+R6+T6)/S6</f>
        <v>37.852459568733146</v>
      </c>
      <c r="Y6" s="1">
        <f>(F6+O6+P6+Q6+R6)/S6</f>
        <v>37.852459568733146</v>
      </c>
      <c r="Z6" s="1">
        <v>91.292833333333348</v>
      </c>
      <c r="AA6" s="1">
        <v>93.21833333333332</v>
      </c>
      <c r="AB6" s="1">
        <v>6.0432000000000006</v>
      </c>
      <c r="AC6" s="1">
        <v>71.900600000000011</v>
      </c>
      <c r="AD6" s="1">
        <v>107.9282</v>
      </c>
      <c r="AE6" s="1">
        <v>34.925199999999997</v>
      </c>
      <c r="AF6" s="1">
        <v>21.172999999999998</v>
      </c>
      <c r="AG6" s="1">
        <v>57.832000000000008</v>
      </c>
      <c r="AH6" s="1"/>
      <c r="AI6" s="1">
        <f>G6*T6</f>
        <v>0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40</v>
      </c>
      <c r="B7" s="1" t="s">
        <v>38</v>
      </c>
      <c r="C7" s="1">
        <v>132.85400000000001</v>
      </c>
      <c r="D7" s="1">
        <v>272.71600000000001</v>
      </c>
      <c r="E7" s="1">
        <v>319.27600000000001</v>
      </c>
      <c r="F7" s="1">
        <v>26.23</v>
      </c>
      <c r="G7" s="8">
        <v>1</v>
      </c>
      <c r="H7" s="1">
        <v>45</v>
      </c>
      <c r="I7" s="1" t="s">
        <v>39</v>
      </c>
      <c r="J7" s="1"/>
      <c r="K7" s="1">
        <v>321</v>
      </c>
      <c r="L7" s="1">
        <f t="shared" si="2"/>
        <v>-1.7239999999999895</v>
      </c>
      <c r="M7" s="1">
        <f t="shared" ref="M7:M70" si="3">E7-N7</f>
        <v>319.27600000000001</v>
      </c>
      <c r="N7" s="1"/>
      <c r="O7" s="1">
        <v>118.26234778</v>
      </c>
      <c r="P7" s="1"/>
      <c r="Q7" s="1">
        <v>64.148499999999956</v>
      </c>
      <c r="R7" s="1"/>
      <c r="S7" s="1">
        <f t="shared" ref="S7:S70" si="4">M7/5</f>
        <v>63.855200000000004</v>
      </c>
      <c r="T7" s="5">
        <f>9*S7-R7-Q7-P7-O7-F7</f>
        <v>366.05595222000011</v>
      </c>
      <c r="U7" s="5"/>
      <c r="V7" s="1"/>
      <c r="W7" s="1"/>
      <c r="X7" s="1">
        <f t="shared" ref="X7:X70" si="5">(F7+O7+P7+Q7+R7+T7)/S7</f>
        <v>9</v>
      </c>
      <c r="Y7" s="1">
        <f t="shared" ref="Y7:Y70" si="6">(F7+O7+P7+Q7+R7)/S7</f>
        <v>3.2674057520765722</v>
      </c>
      <c r="Z7" s="1">
        <v>33.899500000000003</v>
      </c>
      <c r="AA7" s="1">
        <v>41.783499999999997</v>
      </c>
      <c r="AB7" s="1">
        <v>45.427399999999992</v>
      </c>
      <c r="AC7" s="1">
        <v>32.1462</v>
      </c>
      <c r="AD7" s="1">
        <v>34.432600000000001</v>
      </c>
      <c r="AE7" s="1">
        <v>36.957800000000013</v>
      </c>
      <c r="AF7" s="1">
        <v>35.177799999999998</v>
      </c>
      <c r="AG7" s="1">
        <v>28.428999999999998</v>
      </c>
      <c r="AH7" s="1"/>
      <c r="AI7" s="1">
        <f>G7*T7</f>
        <v>366.05595222000011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41</v>
      </c>
      <c r="B8" s="1" t="s">
        <v>38</v>
      </c>
      <c r="C8" s="1">
        <v>699.86300000000006</v>
      </c>
      <c r="D8" s="1">
        <v>605.54100000000005</v>
      </c>
      <c r="E8" s="1">
        <v>717.25900000000001</v>
      </c>
      <c r="F8" s="1">
        <v>165.768</v>
      </c>
      <c r="G8" s="8">
        <v>1</v>
      </c>
      <c r="H8" s="1">
        <v>45</v>
      </c>
      <c r="I8" s="1" t="s">
        <v>39</v>
      </c>
      <c r="J8" s="1"/>
      <c r="K8" s="1">
        <v>846.77200000000005</v>
      </c>
      <c r="L8" s="1">
        <f t="shared" si="2"/>
        <v>-129.51300000000003</v>
      </c>
      <c r="M8" s="1">
        <f t="shared" si="3"/>
        <v>610.57500000000005</v>
      </c>
      <c r="N8" s="1">
        <v>106.684</v>
      </c>
      <c r="O8" s="1">
        <v>507.31556040833311</v>
      </c>
      <c r="P8" s="1"/>
      <c r="Q8" s="1">
        <v>172.69366666666659</v>
      </c>
      <c r="R8" s="1"/>
      <c r="S8" s="1">
        <f t="shared" si="4"/>
        <v>122.11500000000001</v>
      </c>
      <c r="T8" s="5">
        <f t="shared" ref="T8" si="7">11*S8-R8-Q8-P8-O8-F8</f>
        <v>497.4877729250004</v>
      </c>
      <c r="U8" s="5"/>
      <c r="V8" s="1"/>
      <c r="W8" s="1"/>
      <c r="X8" s="1">
        <f t="shared" si="5"/>
        <v>11</v>
      </c>
      <c r="Y8" s="1">
        <f t="shared" si="6"/>
        <v>6.9260715479261323</v>
      </c>
      <c r="Z8" s="1">
        <v>109.2651666666667</v>
      </c>
      <c r="AA8" s="1">
        <v>126.5826666666667</v>
      </c>
      <c r="AB8" s="1">
        <v>105.9686</v>
      </c>
      <c r="AC8" s="1">
        <v>133.38380000000001</v>
      </c>
      <c r="AD8" s="1">
        <v>84.897999999999996</v>
      </c>
      <c r="AE8" s="1">
        <v>144.35059999999999</v>
      </c>
      <c r="AF8" s="1">
        <v>122.66119999999999</v>
      </c>
      <c r="AG8" s="1">
        <v>92.555399999999992</v>
      </c>
      <c r="AH8" s="1"/>
      <c r="AI8" s="1">
        <f>G8*T8</f>
        <v>497.4877729250004</v>
      </c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2" t="s">
        <v>42</v>
      </c>
      <c r="B9" s="12" t="s">
        <v>43</v>
      </c>
      <c r="C9" s="12">
        <v>25</v>
      </c>
      <c r="D9" s="12">
        <v>12</v>
      </c>
      <c r="E9" s="12">
        <v>9</v>
      </c>
      <c r="F9" s="12">
        <v>1</v>
      </c>
      <c r="G9" s="13">
        <v>0</v>
      </c>
      <c r="H9" s="12" t="e">
        <v>#N/A</v>
      </c>
      <c r="I9" s="12" t="s">
        <v>44</v>
      </c>
      <c r="J9" s="12"/>
      <c r="K9" s="12">
        <v>18</v>
      </c>
      <c r="L9" s="12">
        <f t="shared" si="2"/>
        <v>-9</v>
      </c>
      <c r="M9" s="12">
        <f t="shared" si="3"/>
        <v>9</v>
      </c>
      <c r="N9" s="12"/>
      <c r="O9" s="12">
        <v>0</v>
      </c>
      <c r="P9" s="12"/>
      <c r="Q9" s="12">
        <v>0</v>
      </c>
      <c r="R9" s="12"/>
      <c r="S9" s="12">
        <f t="shared" si="4"/>
        <v>1.8</v>
      </c>
      <c r="T9" s="14"/>
      <c r="U9" s="14"/>
      <c r="V9" s="12"/>
      <c r="W9" s="12"/>
      <c r="X9" s="12">
        <f t="shared" si="5"/>
        <v>0.55555555555555558</v>
      </c>
      <c r="Y9" s="12">
        <f t="shared" si="6"/>
        <v>0.55555555555555558</v>
      </c>
      <c r="Z9" s="12">
        <v>6.333333333333333</v>
      </c>
      <c r="AA9" s="12">
        <v>6.333333333333333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 t="s">
        <v>45</v>
      </c>
      <c r="AI9" s="12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46</v>
      </c>
      <c r="B10" s="1" t="s">
        <v>43</v>
      </c>
      <c r="C10" s="1">
        <v>1549</v>
      </c>
      <c r="D10" s="1">
        <v>591</v>
      </c>
      <c r="E10" s="1">
        <v>1178.0899999999999</v>
      </c>
      <c r="F10" s="1">
        <v>791.91</v>
      </c>
      <c r="G10" s="8">
        <v>0.45</v>
      </c>
      <c r="H10" s="1">
        <v>45</v>
      </c>
      <c r="I10" s="1" t="s">
        <v>39</v>
      </c>
      <c r="J10" s="1"/>
      <c r="K10" s="1">
        <v>1250</v>
      </c>
      <c r="L10" s="1">
        <f t="shared" si="2"/>
        <v>-71.910000000000082</v>
      </c>
      <c r="M10" s="1">
        <f t="shared" si="3"/>
        <v>1118.0899999999999</v>
      </c>
      <c r="N10" s="1">
        <v>60</v>
      </c>
      <c r="O10" s="1">
        <v>458.44562666666678</v>
      </c>
      <c r="P10" s="1"/>
      <c r="Q10" s="1">
        <v>860.10333333333313</v>
      </c>
      <c r="R10" s="1"/>
      <c r="S10" s="1">
        <f t="shared" si="4"/>
        <v>223.61799999999999</v>
      </c>
      <c r="T10" s="5">
        <f t="shared" ref="T10:T17" si="8">11*S10-R10-Q10-P10-O10-F10</f>
        <v>349.33903999999995</v>
      </c>
      <c r="U10" s="5"/>
      <c r="V10" s="1"/>
      <c r="W10" s="1"/>
      <c r="X10" s="1">
        <f t="shared" si="5"/>
        <v>11</v>
      </c>
      <c r="Y10" s="1">
        <f t="shared" si="6"/>
        <v>9.4377865824754714</v>
      </c>
      <c r="Z10" s="1">
        <v>216.68166666666659</v>
      </c>
      <c r="AA10" s="1">
        <v>217.83333333333329</v>
      </c>
      <c r="AB10" s="1">
        <v>173.8</v>
      </c>
      <c r="AC10" s="1">
        <v>199.2</v>
      </c>
      <c r="AD10" s="1">
        <v>203.2</v>
      </c>
      <c r="AE10" s="1">
        <v>188.4</v>
      </c>
      <c r="AF10" s="1">
        <v>156.6</v>
      </c>
      <c r="AG10" s="1">
        <v>144.6</v>
      </c>
      <c r="AH10" s="1" t="s">
        <v>47</v>
      </c>
      <c r="AI10" s="1">
        <f t="shared" ref="AI10:AI18" si="9">G10*T10</f>
        <v>157.20256799999999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48</v>
      </c>
      <c r="B11" s="1" t="s">
        <v>43</v>
      </c>
      <c r="C11" s="1">
        <v>2258</v>
      </c>
      <c r="D11" s="1">
        <v>794.11500000000001</v>
      </c>
      <c r="E11" s="1">
        <v>1716</v>
      </c>
      <c r="F11" s="1">
        <v>908</v>
      </c>
      <c r="G11" s="8">
        <v>0.45</v>
      </c>
      <c r="H11" s="1">
        <v>45</v>
      </c>
      <c r="I11" s="1" t="s">
        <v>39</v>
      </c>
      <c r="J11" s="1"/>
      <c r="K11" s="1">
        <v>1946</v>
      </c>
      <c r="L11" s="1">
        <f t="shared" si="2"/>
        <v>-230</v>
      </c>
      <c r="M11" s="1">
        <f t="shared" si="3"/>
        <v>1458</v>
      </c>
      <c r="N11" s="1">
        <v>258</v>
      </c>
      <c r="O11" s="1">
        <v>334.61251333333303</v>
      </c>
      <c r="P11" s="1"/>
      <c r="Q11" s="1">
        <v>1309.166666666667</v>
      </c>
      <c r="R11" s="1"/>
      <c r="S11" s="1">
        <f t="shared" si="4"/>
        <v>291.60000000000002</v>
      </c>
      <c r="T11" s="5">
        <f t="shared" si="8"/>
        <v>655.82082000000037</v>
      </c>
      <c r="U11" s="5"/>
      <c r="V11" s="1"/>
      <c r="W11" s="1"/>
      <c r="X11" s="1">
        <f t="shared" si="5"/>
        <v>11</v>
      </c>
      <c r="Y11" s="1">
        <f t="shared" si="6"/>
        <v>8.750957407407407</v>
      </c>
      <c r="Z11" s="1">
        <v>281.5</v>
      </c>
      <c r="AA11" s="1">
        <v>266.16666666666669</v>
      </c>
      <c r="AB11" s="1">
        <v>233.2</v>
      </c>
      <c r="AC11" s="1">
        <v>300</v>
      </c>
      <c r="AD11" s="1">
        <v>260.60000000000002</v>
      </c>
      <c r="AE11" s="1">
        <v>270.2</v>
      </c>
      <c r="AF11" s="1">
        <v>249.2</v>
      </c>
      <c r="AG11" s="1">
        <v>219.4</v>
      </c>
      <c r="AH11" s="1" t="s">
        <v>47</v>
      </c>
      <c r="AI11" s="1">
        <f t="shared" si="9"/>
        <v>295.11936900000018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49</v>
      </c>
      <c r="B12" s="1" t="s">
        <v>43</v>
      </c>
      <c r="C12" s="1">
        <v>93</v>
      </c>
      <c r="D12" s="1">
        <v>35</v>
      </c>
      <c r="E12" s="1">
        <v>68</v>
      </c>
      <c r="F12" s="1">
        <v>38</v>
      </c>
      <c r="G12" s="8">
        <v>0.17</v>
      </c>
      <c r="H12" s="1">
        <v>180</v>
      </c>
      <c r="I12" s="1" t="s">
        <v>39</v>
      </c>
      <c r="J12" s="1"/>
      <c r="K12" s="1">
        <v>83</v>
      </c>
      <c r="L12" s="1">
        <f t="shared" si="2"/>
        <v>-15</v>
      </c>
      <c r="M12" s="1">
        <f t="shared" si="3"/>
        <v>53</v>
      </c>
      <c r="N12" s="1">
        <v>15</v>
      </c>
      <c r="O12" s="1">
        <v>130.66666666666671</v>
      </c>
      <c r="P12" s="1"/>
      <c r="Q12" s="1">
        <v>11.33333333333329</v>
      </c>
      <c r="R12" s="1"/>
      <c r="S12" s="1">
        <f t="shared" si="4"/>
        <v>10.6</v>
      </c>
      <c r="T12" s="5"/>
      <c r="U12" s="5"/>
      <c r="V12" s="1"/>
      <c r="W12" s="1"/>
      <c r="X12" s="1">
        <f t="shared" si="5"/>
        <v>16.981132075471699</v>
      </c>
      <c r="Y12" s="1">
        <f t="shared" si="6"/>
        <v>16.981132075471699</v>
      </c>
      <c r="Z12" s="1">
        <v>17.833333333333329</v>
      </c>
      <c r="AA12" s="1">
        <v>22.166666666666671</v>
      </c>
      <c r="AB12" s="1">
        <v>12.6</v>
      </c>
      <c r="AC12" s="1">
        <v>15.8</v>
      </c>
      <c r="AD12" s="1">
        <v>14.6</v>
      </c>
      <c r="AE12" s="1">
        <v>8.4</v>
      </c>
      <c r="AF12" s="1">
        <v>13.8</v>
      </c>
      <c r="AG12" s="1">
        <v>14.8</v>
      </c>
      <c r="AH12" s="1" t="s">
        <v>47</v>
      </c>
      <c r="AI12" s="1">
        <f t="shared" si="9"/>
        <v>0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50</v>
      </c>
      <c r="B13" s="1" t="s">
        <v>43</v>
      </c>
      <c r="C13" s="1">
        <v>50</v>
      </c>
      <c r="D13" s="1"/>
      <c r="E13" s="1">
        <v>9</v>
      </c>
      <c r="F13" s="1">
        <v>31</v>
      </c>
      <c r="G13" s="8">
        <v>0.3</v>
      </c>
      <c r="H13" s="1">
        <v>40</v>
      </c>
      <c r="I13" s="1" t="s">
        <v>39</v>
      </c>
      <c r="J13" s="1"/>
      <c r="K13" s="1">
        <v>9</v>
      </c>
      <c r="L13" s="1">
        <f t="shared" si="2"/>
        <v>0</v>
      </c>
      <c r="M13" s="1">
        <f t="shared" si="3"/>
        <v>9</v>
      </c>
      <c r="N13" s="1"/>
      <c r="O13" s="1">
        <v>11.333333333333339</v>
      </c>
      <c r="P13" s="1"/>
      <c r="Q13" s="1">
        <v>0</v>
      </c>
      <c r="R13" s="1"/>
      <c r="S13" s="1">
        <f t="shared" si="4"/>
        <v>1.8</v>
      </c>
      <c r="T13" s="5"/>
      <c r="U13" s="5"/>
      <c r="V13" s="1"/>
      <c r="W13" s="1"/>
      <c r="X13" s="1">
        <f t="shared" si="5"/>
        <v>23.518518518518523</v>
      </c>
      <c r="Y13" s="1">
        <f t="shared" si="6"/>
        <v>23.518518518518523</v>
      </c>
      <c r="Z13" s="1">
        <v>3.833333333333333</v>
      </c>
      <c r="AA13" s="1">
        <v>4.666666666666667</v>
      </c>
      <c r="AB13" s="1">
        <v>3.8</v>
      </c>
      <c r="AC13" s="1">
        <v>4.4000000000000004</v>
      </c>
      <c r="AD13" s="1">
        <v>4</v>
      </c>
      <c r="AE13" s="1">
        <v>3</v>
      </c>
      <c r="AF13" s="1">
        <v>7.2</v>
      </c>
      <c r="AG13" s="1">
        <v>5.6</v>
      </c>
      <c r="AH13" s="20" t="s">
        <v>147</v>
      </c>
      <c r="AI13" s="1">
        <f t="shared" si="9"/>
        <v>0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51</v>
      </c>
      <c r="B14" s="1" t="s">
        <v>43</v>
      </c>
      <c r="C14" s="1">
        <v>249</v>
      </c>
      <c r="D14" s="1">
        <v>364</v>
      </c>
      <c r="E14" s="1">
        <v>249</v>
      </c>
      <c r="F14" s="1">
        <v>234</v>
      </c>
      <c r="G14" s="8">
        <v>0.17</v>
      </c>
      <c r="H14" s="1">
        <v>180</v>
      </c>
      <c r="I14" s="1" t="s">
        <v>39</v>
      </c>
      <c r="J14" s="1"/>
      <c r="K14" s="1">
        <v>387</v>
      </c>
      <c r="L14" s="1">
        <f t="shared" si="2"/>
        <v>-138</v>
      </c>
      <c r="M14" s="1">
        <f t="shared" si="3"/>
        <v>144</v>
      </c>
      <c r="N14" s="1">
        <v>105</v>
      </c>
      <c r="O14" s="1">
        <v>0</v>
      </c>
      <c r="P14" s="1"/>
      <c r="Q14" s="1">
        <v>0</v>
      </c>
      <c r="R14" s="1"/>
      <c r="S14" s="1">
        <f t="shared" si="4"/>
        <v>28.8</v>
      </c>
      <c r="T14" s="5">
        <f t="shared" si="8"/>
        <v>82.800000000000011</v>
      </c>
      <c r="U14" s="5"/>
      <c r="V14" s="1"/>
      <c r="W14" s="1"/>
      <c r="X14" s="1">
        <f t="shared" si="5"/>
        <v>11</v>
      </c>
      <c r="Y14" s="1">
        <f t="shared" si="6"/>
        <v>8.125</v>
      </c>
      <c r="Z14" s="1">
        <v>27.166666666666671</v>
      </c>
      <c r="AA14" s="1">
        <v>38.5</v>
      </c>
      <c r="AB14" s="1">
        <v>46.4</v>
      </c>
      <c r="AC14" s="1">
        <v>29.2</v>
      </c>
      <c r="AD14" s="1">
        <v>41.4</v>
      </c>
      <c r="AE14" s="1">
        <v>37</v>
      </c>
      <c r="AF14" s="1">
        <v>39.6</v>
      </c>
      <c r="AG14" s="1">
        <v>23</v>
      </c>
      <c r="AH14" s="1"/>
      <c r="AI14" s="1">
        <f t="shared" si="9"/>
        <v>14.076000000000002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52</v>
      </c>
      <c r="B15" s="1" t="s">
        <v>38</v>
      </c>
      <c r="C15" s="1">
        <v>1754.6969999999999</v>
      </c>
      <c r="D15" s="1">
        <v>3042.2190000000001</v>
      </c>
      <c r="E15" s="1">
        <v>1679.1089999999999</v>
      </c>
      <c r="F15" s="1">
        <v>2776.491</v>
      </c>
      <c r="G15" s="8">
        <v>1</v>
      </c>
      <c r="H15" s="1">
        <v>55</v>
      </c>
      <c r="I15" s="1" t="s">
        <v>39</v>
      </c>
      <c r="J15" s="1"/>
      <c r="K15" s="1">
        <v>1828.732</v>
      </c>
      <c r="L15" s="1">
        <f t="shared" si="2"/>
        <v>-149.62300000000005</v>
      </c>
      <c r="M15" s="1">
        <f t="shared" si="3"/>
        <v>1435.827</v>
      </c>
      <c r="N15" s="1">
        <v>243.28200000000001</v>
      </c>
      <c r="O15" s="1">
        <v>651.97791384166624</v>
      </c>
      <c r="P15" s="1"/>
      <c r="Q15" s="1">
        <v>853.20115833333375</v>
      </c>
      <c r="R15" s="1">
        <v>635.93019000000004</v>
      </c>
      <c r="S15" s="1">
        <f t="shared" si="4"/>
        <v>287.16539999999998</v>
      </c>
      <c r="T15" s="5"/>
      <c r="U15" s="5"/>
      <c r="V15" s="1"/>
      <c r="W15" s="1"/>
      <c r="X15" s="1">
        <f t="shared" si="5"/>
        <v>17.124626651313147</v>
      </c>
      <c r="Y15" s="1">
        <f t="shared" si="6"/>
        <v>17.124626651313147</v>
      </c>
      <c r="Z15" s="1">
        <v>392.54950000000002</v>
      </c>
      <c r="AA15" s="1">
        <v>441.82666666666671</v>
      </c>
      <c r="AB15" s="1">
        <v>402.2398</v>
      </c>
      <c r="AC15" s="1">
        <v>358.09359999999998</v>
      </c>
      <c r="AD15" s="1">
        <v>345.32100000000003</v>
      </c>
      <c r="AE15" s="1">
        <v>333.00639999999999</v>
      </c>
      <c r="AF15" s="1">
        <v>394.661</v>
      </c>
      <c r="AG15" s="1">
        <v>323.76679999999999</v>
      </c>
      <c r="AH15" s="1" t="s">
        <v>53</v>
      </c>
      <c r="AI15" s="1">
        <f t="shared" si="9"/>
        <v>0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54</v>
      </c>
      <c r="B16" s="1" t="s">
        <v>38</v>
      </c>
      <c r="C16" s="1">
        <v>972.59400000000005</v>
      </c>
      <c r="D16" s="1">
        <v>4018.4319999999998</v>
      </c>
      <c r="E16" s="1">
        <v>2471.123</v>
      </c>
      <c r="F16" s="1">
        <v>2109.279</v>
      </c>
      <c r="G16" s="8">
        <v>1</v>
      </c>
      <c r="H16" s="1">
        <v>50</v>
      </c>
      <c r="I16" s="1" t="s">
        <v>39</v>
      </c>
      <c r="J16" s="1"/>
      <c r="K16" s="1">
        <v>3122.614</v>
      </c>
      <c r="L16" s="1">
        <f t="shared" si="2"/>
        <v>-651.49099999999999</v>
      </c>
      <c r="M16" s="1">
        <f t="shared" si="3"/>
        <v>1510.5610000000001</v>
      </c>
      <c r="N16" s="1">
        <v>960.56200000000001</v>
      </c>
      <c r="O16" s="1">
        <v>497.60854513000032</v>
      </c>
      <c r="P16" s="1">
        <v>1000</v>
      </c>
      <c r="Q16" s="1">
        <v>596.07927499999914</v>
      </c>
      <c r="R16" s="1">
        <v>688.04073000000005</v>
      </c>
      <c r="S16" s="1">
        <f t="shared" si="4"/>
        <v>302.11220000000003</v>
      </c>
      <c r="T16" s="5"/>
      <c r="U16" s="5"/>
      <c r="V16" s="1"/>
      <c r="W16" s="1"/>
      <c r="X16" s="1">
        <f t="shared" si="5"/>
        <v>16.18937451095983</v>
      </c>
      <c r="Y16" s="1">
        <f t="shared" si="6"/>
        <v>16.18937451095983</v>
      </c>
      <c r="Z16" s="1">
        <v>424.7165</v>
      </c>
      <c r="AA16" s="1">
        <v>496.30500000000001</v>
      </c>
      <c r="AB16" s="1">
        <v>453.74119999999999</v>
      </c>
      <c r="AC16" s="1">
        <v>386.56920000000002</v>
      </c>
      <c r="AD16" s="1">
        <v>388.9726</v>
      </c>
      <c r="AE16" s="1">
        <v>395.18700000000001</v>
      </c>
      <c r="AF16" s="1">
        <v>398.24360000000001</v>
      </c>
      <c r="AG16" s="1">
        <v>378.39319999999998</v>
      </c>
      <c r="AH16" s="1" t="s">
        <v>53</v>
      </c>
      <c r="AI16" s="1">
        <f t="shared" si="9"/>
        <v>0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55</v>
      </c>
      <c r="B17" s="1" t="s">
        <v>38</v>
      </c>
      <c r="C17" s="1">
        <v>360.34300000000002</v>
      </c>
      <c r="D17" s="1">
        <v>285.27699999999999</v>
      </c>
      <c r="E17" s="1">
        <v>201.46700000000001</v>
      </c>
      <c r="F17" s="1">
        <v>378.79300000000001</v>
      </c>
      <c r="G17" s="8">
        <v>1</v>
      </c>
      <c r="H17" s="1">
        <v>60</v>
      </c>
      <c r="I17" s="1" t="s">
        <v>39</v>
      </c>
      <c r="J17" s="1"/>
      <c r="K17" s="1">
        <v>219.99600000000001</v>
      </c>
      <c r="L17" s="1">
        <f t="shared" si="2"/>
        <v>-18.528999999999996</v>
      </c>
      <c r="M17" s="1">
        <f t="shared" si="3"/>
        <v>180.27100000000002</v>
      </c>
      <c r="N17" s="1">
        <v>21.196000000000002</v>
      </c>
      <c r="O17" s="1">
        <v>10.532766666666671</v>
      </c>
      <c r="P17" s="1"/>
      <c r="Q17" s="1">
        <v>0</v>
      </c>
      <c r="R17" s="1"/>
      <c r="S17" s="1">
        <f t="shared" si="4"/>
        <v>36.054200000000002</v>
      </c>
      <c r="T17" s="5">
        <f t="shared" si="8"/>
        <v>7.270433333333358</v>
      </c>
      <c r="U17" s="5"/>
      <c r="V17" s="1"/>
      <c r="W17" s="1"/>
      <c r="X17" s="1">
        <f t="shared" si="5"/>
        <v>11</v>
      </c>
      <c r="Y17" s="1">
        <f t="shared" si="6"/>
        <v>10.798347118135103</v>
      </c>
      <c r="Z17" s="1">
        <v>36.965166666666661</v>
      </c>
      <c r="AA17" s="1">
        <v>52.663833333333322</v>
      </c>
      <c r="AB17" s="1">
        <v>48.583599999999997</v>
      </c>
      <c r="AC17" s="1">
        <v>39.573</v>
      </c>
      <c r="AD17" s="1">
        <v>39.678199999999997</v>
      </c>
      <c r="AE17" s="1">
        <v>30.9574</v>
      </c>
      <c r="AF17" s="1">
        <v>35.621400000000001</v>
      </c>
      <c r="AG17" s="1">
        <v>30.276199999999999</v>
      </c>
      <c r="AH17" s="1"/>
      <c r="AI17" s="1">
        <f t="shared" si="9"/>
        <v>7.270433333333358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56</v>
      </c>
      <c r="B18" s="1" t="s">
        <v>38</v>
      </c>
      <c r="C18" s="1">
        <v>1192.3920000000001</v>
      </c>
      <c r="D18" s="1">
        <v>2179.808</v>
      </c>
      <c r="E18" s="1">
        <v>1246.675</v>
      </c>
      <c r="F18" s="1">
        <v>1300.72</v>
      </c>
      <c r="G18" s="8">
        <v>1</v>
      </c>
      <c r="H18" s="1">
        <v>60</v>
      </c>
      <c r="I18" s="1" t="s">
        <v>39</v>
      </c>
      <c r="J18" s="1"/>
      <c r="K18" s="1">
        <v>1984.346</v>
      </c>
      <c r="L18" s="1">
        <f t="shared" si="2"/>
        <v>-737.67100000000005</v>
      </c>
      <c r="M18" s="1">
        <f t="shared" si="3"/>
        <v>405.577</v>
      </c>
      <c r="N18" s="1">
        <v>841.09799999999996</v>
      </c>
      <c r="O18" s="1">
        <v>703.94798416666629</v>
      </c>
      <c r="P18" s="1"/>
      <c r="Q18" s="1">
        <v>0</v>
      </c>
      <c r="R18" s="1"/>
      <c r="S18" s="1">
        <f t="shared" si="4"/>
        <v>81.115399999999994</v>
      </c>
      <c r="T18" s="5"/>
      <c r="U18" s="5"/>
      <c r="V18" s="1"/>
      <c r="W18" s="1"/>
      <c r="X18" s="1">
        <f t="shared" si="5"/>
        <v>24.713777952973992</v>
      </c>
      <c r="Y18" s="1">
        <f t="shared" si="6"/>
        <v>24.713777952973992</v>
      </c>
      <c r="Z18" s="1">
        <v>208.27016666666671</v>
      </c>
      <c r="AA18" s="1">
        <v>281.90366666666671</v>
      </c>
      <c r="AB18" s="1">
        <v>221.13499999999999</v>
      </c>
      <c r="AC18" s="1">
        <v>136.88759999999999</v>
      </c>
      <c r="AD18" s="1">
        <v>149.70660000000001</v>
      </c>
      <c r="AE18" s="1">
        <v>254.6002</v>
      </c>
      <c r="AF18" s="1">
        <v>220.2482</v>
      </c>
      <c r="AG18" s="1">
        <v>120.8116</v>
      </c>
      <c r="AH18" s="1"/>
      <c r="AI18" s="1">
        <f t="shared" si="9"/>
        <v>0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5" t="s">
        <v>57</v>
      </c>
      <c r="B19" s="15" t="s">
        <v>38</v>
      </c>
      <c r="C19" s="15"/>
      <c r="D19" s="15"/>
      <c r="E19" s="15"/>
      <c r="F19" s="15"/>
      <c r="G19" s="16">
        <v>0</v>
      </c>
      <c r="H19" s="15">
        <v>60</v>
      </c>
      <c r="I19" s="15" t="s">
        <v>39</v>
      </c>
      <c r="J19" s="15"/>
      <c r="K19" s="15"/>
      <c r="L19" s="15">
        <f t="shared" si="2"/>
        <v>0</v>
      </c>
      <c r="M19" s="15">
        <f t="shared" si="3"/>
        <v>0</v>
      </c>
      <c r="N19" s="15"/>
      <c r="O19" s="15">
        <v>0</v>
      </c>
      <c r="P19" s="15"/>
      <c r="Q19" s="15">
        <v>0</v>
      </c>
      <c r="R19" s="15"/>
      <c r="S19" s="15">
        <f t="shared" si="4"/>
        <v>0</v>
      </c>
      <c r="T19" s="17"/>
      <c r="U19" s="17"/>
      <c r="V19" s="15"/>
      <c r="W19" s="15"/>
      <c r="X19" s="15" t="e">
        <f t="shared" si="5"/>
        <v>#DIV/0!</v>
      </c>
      <c r="Y19" s="15" t="e">
        <f t="shared" si="6"/>
        <v>#DIV/0!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 t="s">
        <v>58</v>
      </c>
      <c r="AI19" s="15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59</v>
      </c>
      <c r="B20" s="1" t="s">
        <v>38</v>
      </c>
      <c r="C20" s="1">
        <v>0.79700000000000004</v>
      </c>
      <c r="D20" s="1"/>
      <c r="E20" s="1">
        <v>0.79700000000000004</v>
      </c>
      <c r="F20" s="1"/>
      <c r="G20" s="8">
        <v>1</v>
      </c>
      <c r="H20" s="1">
        <v>180</v>
      </c>
      <c r="I20" s="1" t="s">
        <v>39</v>
      </c>
      <c r="J20" s="1"/>
      <c r="K20" s="1">
        <v>0.73</v>
      </c>
      <c r="L20" s="1">
        <f t="shared" si="2"/>
        <v>6.700000000000006E-2</v>
      </c>
      <c r="M20" s="1">
        <f t="shared" si="3"/>
        <v>0.79700000000000004</v>
      </c>
      <c r="N20" s="1"/>
      <c r="O20" s="1">
        <v>6.9881666666666673</v>
      </c>
      <c r="P20" s="1"/>
      <c r="Q20" s="1">
        <v>4</v>
      </c>
      <c r="R20" s="1"/>
      <c r="S20" s="1">
        <f t="shared" si="4"/>
        <v>0.15940000000000001</v>
      </c>
      <c r="T20" s="5"/>
      <c r="U20" s="5"/>
      <c r="V20" s="1"/>
      <c r="W20" s="1"/>
      <c r="X20" s="1">
        <f t="shared" si="5"/>
        <v>68.934546214972812</v>
      </c>
      <c r="Y20" s="1">
        <f t="shared" si="6"/>
        <v>68.934546214972812</v>
      </c>
      <c r="Z20" s="1">
        <v>0.79133333333333333</v>
      </c>
      <c r="AA20" s="1">
        <v>1.112166666666667</v>
      </c>
      <c r="AB20" s="1">
        <v>1.2574000000000001</v>
      </c>
      <c r="AC20" s="1">
        <v>0.877</v>
      </c>
      <c r="AD20" s="1">
        <v>0.71840000000000004</v>
      </c>
      <c r="AE20" s="1">
        <v>0.39600000000000002</v>
      </c>
      <c r="AF20" s="1">
        <v>0.7994</v>
      </c>
      <c r="AG20" s="1">
        <v>0.95459999999999989</v>
      </c>
      <c r="AH20" s="1"/>
      <c r="AI20" s="1">
        <f t="shared" ref="AI20:AI25" si="10">G20*T20</f>
        <v>0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60</v>
      </c>
      <c r="B21" s="1" t="s">
        <v>38</v>
      </c>
      <c r="C21" s="1">
        <v>1451.4469999999999</v>
      </c>
      <c r="D21" s="1">
        <v>5727.6189999999997</v>
      </c>
      <c r="E21" s="1">
        <v>3344.2829999999999</v>
      </c>
      <c r="F21" s="1">
        <v>3176.7809999999999</v>
      </c>
      <c r="G21" s="8">
        <v>1</v>
      </c>
      <c r="H21" s="1">
        <v>60</v>
      </c>
      <c r="I21" s="1" t="s">
        <v>39</v>
      </c>
      <c r="J21" s="1"/>
      <c r="K21" s="1">
        <v>4013.7020000000002</v>
      </c>
      <c r="L21" s="1">
        <f t="shared" si="2"/>
        <v>-669.41900000000032</v>
      </c>
      <c r="M21" s="1">
        <f t="shared" si="3"/>
        <v>3212.1259999999997</v>
      </c>
      <c r="N21" s="1">
        <v>132.15700000000001</v>
      </c>
      <c r="O21" s="1">
        <v>537.61163341000019</v>
      </c>
      <c r="P21" s="1">
        <v>1000</v>
      </c>
      <c r="Q21" s="1">
        <v>1355.022224999999</v>
      </c>
      <c r="R21" s="1">
        <v>964.66059000000007</v>
      </c>
      <c r="S21" s="1">
        <f t="shared" si="4"/>
        <v>642.4251999999999</v>
      </c>
      <c r="T21" s="5">
        <f t="shared" ref="T21:T22" si="11">11*S21-R21-Q21-P21-O21-F21</f>
        <v>32.601751589999822</v>
      </c>
      <c r="U21" s="5"/>
      <c r="V21" s="1"/>
      <c r="W21" s="1"/>
      <c r="X21" s="1">
        <f t="shared" si="5"/>
        <v>10.999999999999998</v>
      </c>
      <c r="Y21" s="1">
        <f t="shared" si="6"/>
        <v>10.949252066092676</v>
      </c>
      <c r="Z21" s="1">
        <v>595.46950000000004</v>
      </c>
      <c r="AA21" s="1">
        <v>671.97050000000002</v>
      </c>
      <c r="AB21" s="1">
        <v>619.25720000000001</v>
      </c>
      <c r="AC21" s="1">
        <v>510.13720000000001</v>
      </c>
      <c r="AD21" s="1">
        <v>478.51620000000003</v>
      </c>
      <c r="AE21" s="1">
        <v>470.24</v>
      </c>
      <c r="AF21" s="1">
        <v>507.13479999999998</v>
      </c>
      <c r="AG21" s="1">
        <v>444.26359999999988</v>
      </c>
      <c r="AH21" s="1" t="s">
        <v>53</v>
      </c>
      <c r="AI21" s="1">
        <f t="shared" si="10"/>
        <v>32.601751589999822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61</v>
      </c>
      <c r="B22" s="1" t="s">
        <v>38</v>
      </c>
      <c r="C22" s="1">
        <v>379.2</v>
      </c>
      <c r="D22" s="1">
        <v>554.85</v>
      </c>
      <c r="E22" s="1">
        <v>426.00200000000001</v>
      </c>
      <c r="F22" s="1">
        <v>451.66199999999998</v>
      </c>
      <c r="G22" s="8">
        <v>1</v>
      </c>
      <c r="H22" s="1">
        <v>60</v>
      </c>
      <c r="I22" s="1" t="s">
        <v>39</v>
      </c>
      <c r="J22" s="1"/>
      <c r="K22" s="1">
        <v>552.22</v>
      </c>
      <c r="L22" s="1">
        <f t="shared" si="2"/>
        <v>-126.21800000000002</v>
      </c>
      <c r="M22" s="1">
        <f t="shared" si="3"/>
        <v>383.392</v>
      </c>
      <c r="N22" s="1">
        <v>42.61</v>
      </c>
      <c r="O22" s="1">
        <v>232.89777483333339</v>
      </c>
      <c r="P22" s="1"/>
      <c r="Q22" s="1">
        <v>97.295400000000015</v>
      </c>
      <c r="R22" s="1"/>
      <c r="S22" s="1">
        <f t="shared" si="4"/>
        <v>76.678399999999996</v>
      </c>
      <c r="T22" s="5">
        <f t="shared" si="11"/>
        <v>61.607225166666638</v>
      </c>
      <c r="U22" s="5"/>
      <c r="V22" s="1"/>
      <c r="W22" s="1"/>
      <c r="X22" s="1">
        <f t="shared" si="5"/>
        <v>10.999999999999998</v>
      </c>
      <c r="Y22" s="1">
        <f t="shared" si="6"/>
        <v>10.196550460538214</v>
      </c>
      <c r="Z22" s="1">
        <v>72.070666666666668</v>
      </c>
      <c r="AA22" s="1">
        <v>90.065333333333328</v>
      </c>
      <c r="AB22" s="1">
        <v>81.176199999999994</v>
      </c>
      <c r="AC22" s="1">
        <v>74.248999999999995</v>
      </c>
      <c r="AD22" s="1">
        <v>67.222000000000008</v>
      </c>
      <c r="AE22" s="1">
        <v>71.748000000000005</v>
      </c>
      <c r="AF22" s="1">
        <v>81.498799999999989</v>
      </c>
      <c r="AG22" s="1">
        <v>75.505799999999994</v>
      </c>
      <c r="AH22" s="1"/>
      <c r="AI22" s="1">
        <f t="shared" si="10"/>
        <v>61.607225166666638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62</v>
      </c>
      <c r="B23" s="1" t="s">
        <v>38</v>
      </c>
      <c r="C23" s="1">
        <v>479.64</v>
      </c>
      <c r="D23" s="1">
        <v>1106.123</v>
      </c>
      <c r="E23" s="1">
        <v>644.64599999999996</v>
      </c>
      <c r="F23" s="1">
        <v>781.74199999999996</v>
      </c>
      <c r="G23" s="8">
        <v>1</v>
      </c>
      <c r="H23" s="1">
        <v>60</v>
      </c>
      <c r="I23" s="1" t="s">
        <v>39</v>
      </c>
      <c r="J23" s="1"/>
      <c r="K23" s="1">
        <v>767.96900000000005</v>
      </c>
      <c r="L23" s="1">
        <f t="shared" si="2"/>
        <v>-123.32300000000009</v>
      </c>
      <c r="M23" s="1">
        <f t="shared" si="3"/>
        <v>470.22399999999993</v>
      </c>
      <c r="N23" s="1">
        <v>174.422</v>
      </c>
      <c r="O23" s="1">
        <v>60.122182135000017</v>
      </c>
      <c r="P23" s="1"/>
      <c r="Q23" s="1">
        <v>364.6037500000001</v>
      </c>
      <c r="R23" s="1">
        <v>186.14178000000001</v>
      </c>
      <c r="S23" s="1">
        <f t="shared" si="4"/>
        <v>94.044799999999981</v>
      </c>
      <c r="T23" s="5"/>
      <c r="U23" s="5"/>
      <c r="V23" s="1"/>
      <c r="W23" s="1"/>
      <c r="X23" s="1">
        <f t="shared" si="5"/>
        <v>14.807939536635732</v>
      </c>
      <c r="Y23" s="1">
        <f t="shared" si="6"/>
        <v>14.807939536635732</v>
      </c>
      <c r="Z23" s="1">
        <v>114.9023333333333</v>
      </c>
      <c r="AA23" s="1">
        <v>125.092</v>
      </c>
      <c r="AB23" s="1">
        <v>124.4898</v>
      </c>
      <c r="AC23" s="1">
        <v>104.41800000000001</v>
      </c>
      <c r="AD23" s="1">
        <v>112.0742</v>
      </c>
      <c r="AE23" s="1">
        <v>117.4408</v>
      </c>
      <c r="AF23" s="1">
        <v>123.801</v>
      </c>
      <c r="AG23" s="1">
        <v>113.193</v>
      </c>
      <c r="AH23" s="1"/>
      <c r="AI23" s="1">
        <f t="shared" si="10"/>
        <v>0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63</v>
      </c>
      <c r="B24" s="1" t="s">
        <v>38</v>
      </c>
      <c r="C24" s="1">
        <v>21.122</v>
      </c>
      <c r="D24" s="1"/>
      <c r="E24" s="1">
        <v>1.3819999999999999</v>
      </c>
      <c r="F24" s="1">
        <v>19.739999999999998</v>
      </c>
      <c r="G24" s="8">
        <v>1</v>
      </c>
      <c r="H24" s="1">
        <v>180</v>
      </c>
      <c r="I24" s="1" t="s">
        <v>39</v>
      </c>
      <c r="J24" s="1"/>
      <c r="K24" s="1">
        <v>1.43</v>
      </c>
      <c r="L24" s="1">
        <f t="shared" si="2"/>
        <v>-4.8000000000000043E-2</v>
      </c>
      <c r="M24" s="1">
        <f t="shared" si="3"/>
        <v>1.3819999999999999</v>
      </c>
      <c r="N24" s="1"/>
      <c r="O24" s="1">
        <v>0</v>
      </c>
      <c r="P24" s="1"/>
      <c r="Q24" s="1">
        <v>0</v>
      </c>
      <c r="R24" s="1"/>
      <c r="S24" s="1">
        <f t="shared" si="4"/>
        <v>0.27639999999999998</v>
      </c>
      <c r="T24" s="5"/>
      <c r="U24" s="5"/>
      <c r="V24" s="1"/>
      <c r="W24" s="1"/>
      <c r="X24" s="1">
        <f t="shared" si="5"/>
        <v>71.418234442836464</v>
      </c>
      <c r="Y24" s="1">
        <f t="shared" si="6"/>
        <v>71.418234442836464</v>
      </c>
      <c r="Z24" s="1">
        <v>0.86949999999999994</v>
      </c>
      <c r="AA24" s="1">
        <v>1.3806666666666669</v>
      </c>
      <c r="AB24" s="1">
        <v>1.7272000000000001</v>
      </c>
      <c r="AC24" s="1">
        <v>1.8042</v>
      </c>
      <c r="AD24" s="1">
        <v>1.3904000000000001</v>
      </c>
      <c r="AE24" s="1">
        <v>0.35139999999999999</v>
      </c>
      <c r="AF24" s="1">
        <v>0.98520000000000008</v>
      </c>
      <c r="AG24" s="1">
        <v>1.1292</v>
      </c>
      <c r="AH24" s="20" t="s">
        <v>147</v>
      </c>
      <c r="AI24" s="1">
        <f t="shared" si="10"/>
        <v>0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64</v>
      </c>
      <c r="B25" s="1" t="s">
        <v>38</v>
      </c>
      <c r="C25" s="1">
        <v>1331.425</v>
      </c>
      <c r="D25" s="1">
        <v>2312.9810000000002</v>
      </c>
      <c r="E25" s="1">
        <v>1296.837</v>
      </c>
      <c r="F25" s="1">
        <v>2139.3760000000002</v>
      </c>
      <c r="G25" s="8">
        <v>1</v>
      </c>
      <c r="H25" s="1">
        <v>60</v>
      </c>
      <c r="I25" s="1" t="s">
        <v>39</v>
      </c>
      <c r="J25" s="1"/>
      <c r="K25" s="1">
        <v>1444.8240000000001</v>
      </c>
      <c r="L25" s="1">
        <f t="shared" si="2"/>
        <v>-147.98700000000008</v>
      </c>
      <c r="M25" s="1">
        <f t="shared" si="3"/>
        <v>1022.6320000000001</v>
      </c>
      <c r="N25" s="1">
        <v>274.20499999999998</v>
      </c>
      <c r="O25" s="1">
        <v>58.952033333333333</v>
      </c>
      <c r="P25" s="1"/>
      <c r="Q25" s="1">
        <v>606.94861426666739</v>
      </c>
      <c r="R25" s="1">
        <v>431.56341000000009</v>
      </c>
      <c r="S25" s="1">
        <f t="shared" si="4"/>
        <v>204.52640000000002</v>
      </c>
      <c r="T25" s="5"/>
      <c r="U25" s="5"/>
      <c r="V25" s="1"/>
      <c r="W25" s="1"/>
      <c r="X25" s="1">
        <f t="shared" si="5"/>
        <v>15.8260256749251</v>
      </c>
      <c r="Y25" s="1">
        <f t="shared" si="6"/>
        <v>15.8260256749251</v>
      </c>
      <c r="Z25" s="1">
        <v>266.39716666666669</v>
      </c>
      <c r="AA25" s="1">
        <v>294.76016666666658</v>
      </c>
      <c r="AB25" s="1">
        <v>297.45620000000002</v>
      </c>
      <c r="AC25" s="1">
        <v>250.17160000000001</v>
      </c>
      <c r="AD25" s="1">
        <v>267.72300000000001</v>
      </c>
      <c r="AE25" s="1">
        <v>266.43220000000002</v>
      </c>
      <c r="AF25" s="1">
        <v>315.00720000000001</v>
      </c>
      <c r="AG25" s="1">
        <v>251.37479999999999</v>
      </c>
      <c r="AH25" s="1" t="s">
        <v>53</v>
      </c>
      <c r="AI25" s="1">
        <f t="shared" si="10"/>
        <v>0</v>
      </c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5" t="s">
        <v>65</v>
      </c>
      <c r="B26" s="15" t="s">
        <v>38</v>
      </c>
      <c r="C26" s="15"/>
      <c r="D26" s="15"/>
      <c r="E26" s="15"/>
      <c r="F26" s="15"/>
      <c r="G26" s="16">
        <v>0</v>
      </c>
      <c r="H26" s="15">
        <v>30</v>
      </c>
      <c r="I26" s="15" t="s">
        <v>39</v>
      </c>
      <c r="J26" s="15"/>
      <c r="K26" s="15"/>
      <c r="L26" s="15">
        <f t="shared" si="2"/>
        <v>0</v>
      </c>
      <c r="M26" s="15">
        <f t="shared" si="3"/>
        <v>0</v>
      </c>
      <c r="N26" s="15"/>
      <c r="O26" s="15">
        <v>0</v>
      </c>
      <c r="P26" s="15"/>
      <c r="Q26" s="15">
        <v>0</v>
      </c>
      <c r="R26" s="15"/>
      <c r="S26" s="15">
        <f t="shared" si="4"/>
        <v>0</v>
      </c>
      <c r="T26" s="17"/>
      <c r="U26" s="17"/>
      <c r="V26" s="15"/>
      <c r="W26" s="15"/>
      <c r="X26" s="15" t="e">
        <f t="shared" si="5"/>
        <v>#DIV/0!</v>
      </c>
      <c r="Y26" s="15" t="e">
        <f t="shared" si="6"/>
        <v>#DIV/0!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 t="s">
        <v>58</v>
      </c>
      <c r="AI26" s="15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5" t="s">
        <v>66</v>
      </c>
      <c r="B27" s="15" t="s">
        <v>38</v>
      </c>
      <c r="C27" s="15"/>
      <c r="D27" s="15"/>
      <c r="E27" s="15"/>
      <c r="F27" s="15"/>
      <c r="G27" s="16">
        <v>0</v>
      </c>
      <c r="H27" s="15">
        <v>30</v>
      </c>
      <c r="I27" s="15" t="s">
        <v>39</v>
      </c>
      <c r="J27" s="15"/>
      <c r="K27" s="15"/>
      <c r="L27" s="15">
        <f t="shared" si="2"/>
        <v>0</v>
      </c>
      <c r="M27" s="15">
        <f t="shared" si="3"/>
        <v>0</v>
      </c>
      <c r="N27" s="15"/>
      <c r="O27" s="15">
        <v>0</v>
      </c>
      <c r="P27" s="15"/>
      <c r="Q27" s="15">
        <v>0</v>
      </c>
      <c r="R27" s="15"/>
      <c r="S27" s="15">
        <f t="shared" si="4"/>
        <v>0</v>
      </c>
      <c r="T27" s="17"/>
      <c r="U27" s="17"/>
      <c r="V27" s="15"/>
      <c r="W27" s="15"/>
      <c r="X27" s="15" t="e">
        <f t="shared" si="5"/>
        <v>#DIV/0!</v>
      </c>
      <c r="Y27" s="15" t="e">
        <f t="shared" si="6"/>
        <v>#DIV/0!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 t="s">
        <v>58</v>
      </c>
      <c r="AI27" s="15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67</v>
      </c>
      <c r="B28" s="1" t="s">
        <v>38</v>
      </c>
      <c r="C28" s="1">
        <v>987.24199999999996</v>
      </c>
      <c r="D28" s="1">
        <v>1137.03</v>
      </c>
      <c r="E28" s="1">
        <v>1254.1289999999999</v>
      </c>
      <c r="F28" s="1">
        <v>337.68599999999998</v>
      </c>
      <c r="G28" s="8">
        <v>1</v>
      </c>
      <c r="H28" s="1">
        <v>30</v>
      </c>
      <c r="I28" s="1" t="s">
        <v>39</v>
      </c>
      <c r="J28" s="1"/>
      <c r="K28" s="1">
        <v>1627.2819999999999</v>
      </c>
      <c r="L28" s="1">
        <f t="shared" si="2"/>
        <v>-373.15300000000002</v>
      </c>
      <c r="M28" s="1">
        <f t="shared" si="3"/>
        <v>901.84699999999998</v>
      </c>
      <c r="N28" s="1">
        <v>352.28199999999998</v>
      </c>
      <c r="O28" s="1">
        <v>343.6149823333335</v>
      </c>
      <c r="P28" s="1"/>
      <c r="Q28" s="1">
        <v>185.94766666666669</v>
      </c>
      <c r="R28" s="1"/>
      <c r="S28" s="1">
        <f t="shared" si="4"/>
        <v>180.36939999999998</v>
      </c>
      <c r="T28" s="5">
        <f>11*S28-R28-Q28-P28-O28-F28</f>
        <v>1116.8147509999997</v>
      </c>
      <c r="U28" s="5"/>
      <c r="V28" s="1"/>
      <c r="W28" s="1"/>
      <c r="X28" s="1">
        <f t="shared" si="5"/>
        <v>11</v>
      </c>
      <c r="Y28" s="1">
        <f t="shared" si="6"/>
        <v>4.8081805949346181</v>
      </c>
      <c r="Z28" s="1">
        <v>157.65600000000001</v>
      </c>
      <c r="AA28" s="1">
        <v>169.0156666666667</v>
      </c>
      <c r="AB28" s="1">
        <v>183.89060000000001</v>
      </c>
      <c r="AC28" s="1">
        <v>229.03219999999999</v>
      </c>
      <c r="AD28" s="1">
        <v>235.68979999999999</v>
      </c>
      <c r="AE28" s="1">
        <v>181.5676</v>
      </c>
      <c r="AF28" s="1">
        <v>204.2704</v>
      </c>
      <c r="AG28" s="1">
        <v>155.9264</v>
      </c>
      <c r="AH28" s="1" t="s">
        <v>53</v>
      </c>
      <c r="AI28" s="1">
        <f>G28*T28</f>
        <v>1116.8147509999997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5" t="s">
        <v>68</v>
      </c>
      <c r="B29" s="15" t="s">
        <v>38</v>
      </c>
      <c r="C29" s="15"/>
      <c r="D29" s="15"/>
      <c r="E29" s="15"/>
      <c r="F29" s="15"/>
      <c r="G29" s="16">
        <v>0</v>
      </c>
      <c r="H29" s="15">
        <v>45</v>
      </c>
      <c r="I29" s="15" t="s">
        <v>39</v>
      </c>
      <c r="J29" s="15"/>
      <c r="K29" s="15"/>
      <c r="L29" s="15">
        <f t="shared" si="2"/>
        <v>0</v>
      </c>
      <c r="M29" s="15">
        <f t="shared" si="3"/>
        <v>0</v>
      </c>
      <c r="N29" s="15"/>
      <c r="O29" s="15">
        <v>0</v>
      </c>
      <c r="P29" s="15"/>
      <c r="Q29" s="15">
        <v>0</v>
      </c>
      <c r="R29" s="15"/>
      <c r="S29" s="15">
        <f t="shared" si="4"/>
        <v>0</v>
      </c>
      <c r="T29" s="17"/>
      <c r="U29" s="17"/>
      <c r="V29" s="15"/>
      <c r="W29" s="15"/>
      <c r="X29" s="15" t="e">
        <f t="shared" si="5"/>
        <v>#DIV/0!</v>
      </c>
      <c r="Y29" s="15" t="e">
        <f t="shared" si="6"/>
        <v>#DIV/0!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 t="s">
        <v>58</v>
      </c>
      <c r="AI29" s="15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5" t="s">
        <v>69</v>
      </c>
      <c r="B30" s="15" t="s">
        <v>38</v>
      </c>
      <c r="C30" s="15"/>
      <c r="D30" s="15"/>
      <c r="E30" s="15"/>
      <c r="F30" s="15"/>
      <c r="G30" s="16">
        <v>0</v>
      </c>
      <c r="H30" s="15">
        <v>40</v>
      </c>
      <c r="I30" s="15" t="s">
        <v>39</v>
      </c>
      <c r="J30" s="15"/>
      <c r="K30" s="15"/>
      <c r="L30" s="15">
        <f t="shared" si="2"/>
        <v>0</v>
      </c>
      <c r="M30" s="15">
        <f t="shared" si="3"/>
        <v>0</v>
      </c>
      <c r="N30" s="15"/>
      <c r="O30" s="15">
        <v>0</v>
      </c>
      <c r="P30" s="15"/>
      <c r="Q30" s="15">
        <v>0</v>
      </c>
      <c r="R30" s="15"/>
      <c r="S30" s="15">
        <f t="shared" si="4"/>
        <v>0</v>
      </c>
      <c r="T30" s="17"/>
      <c r="U30" s="17"/>
      <c r="V30" s="15"/>
      <c r="W30" s="15"/>
      <c r="X30" s="15" t="e">
        <f t="shared" si="5"/>
        <v>#DIV/0!</v>
      </c>
      <c r="Y30" s="15" t="e">
        <f t="shared" si="6"/>
        <v>#DIV/0!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 t="s">
        <v>58</v>
      </c>
      <c r="AI30" s="15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5" t="s">
        <v>70</v>
      </c>
      <c r="B31" s="15" t="s">
        <v>38</v>
      </c>
      <c r="C31" s="15"/>
      <c r="D31" s="15"/>
      <c r="E31" s="15"/>
      <c r="F31" s="15"/>
      <c r="G31" s="16">
        <v>0</v>
      </c>
      <c r="H31" s="15">
        <v>30</v>
      </c>
      <c r="I31" s="15" t="s">
        <v>39</v>
      </c>
      <c r="J31" s="15"/>
      <c r="K31" s="15"/>
      <c r="L31" s="15">
        <f t="shared" si="2"/>
        <v>0</v>
      </c>
      <c r="M31" s="15">
        <f t="shared" si="3"/>
        <v>0</v>
      </c>
      <c r="N31" s="15"/>
      <c r="O31" s="15">
        <v>0</v>
      </c>
      <c r="P31" s="15"/>
      <c r="Q31" s="15">
        <v>0</v>
      </c>
      <c r="R31" s="15"/>
      <c r="S31" s="15">
        <f t="shared" si="4"/>
        <v>0</v>
      </c>
      <c r="T31" s="17"/>
      <c r="U31" s="17"/>
      <c r="V31" s="15"/>
      <c r="W31" s="15"/>
      <c r="X31" s="15" t="e">
        <f t="shared" si="5"/>
        <v>#DIV/0!</v>
      </c>
      <c r="Y31" s="15" t="e">
        <f t="shared" si="6"/>
        <v>#DIV/0!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 t="s">
        <v>58</v>
      </c>
      <c r="AI31" s="15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5" t="s">
        <v>71</v>
      </c>
      <c r="B32" s="15" t="s">
        <v>38</v>
      </c>
      <c r="C32" s="15"/>
      <c r="D32" s="15"/>
      <c r="E32" s="15"/>
      <c r="F32" s="15"/>
      <c r="G32" s="16">
        <v>0</v>
      </c>
      <c r="H32" s="15">
        <v>50</v>
      </c>
      <c r="I32" s="15" t="s">
        <v>39</v>
      </c>
      <c r="J32" s="15"/>
      <c r="K32" s="15"/>
      <c r="L32" s="15">
        <f t="shared" si="2"/>
        <v>0</v>
      </c>
      <c r="M32" s="15">
        <f t="shared" si="3"/>
        <v>0</v>
      </c>
      <c r="N32" s="15"/>
      <c r="O32" s="15">
        <v>0</v>
      </c>
      <c r="P32" s="15"/>
      <c r="Q32" s="15">
        <v>0</v>
      </c>
      <c r="R32" s="15"/>
      <c r="S32" s="15">
        <f t="shared" si="4"/>
        <v>0</v>
      </c>
      <c r="T32" s="17"/>
      <c r="U32" s="17"/>
      <c r="V32" s="15"/>
      <c r="W32" s="15"/>
      <c r="X32" s="15" t="e">
        <f t="shared" si="5"/>
        <v>#DIV/0!</v>
      </c>
      <c r="Y32" s="15" t="e">
        <f t="shared" si="6"/>
        <v>#DIV/0!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 t="s">
        <v>58</v>
      </c>
      <c r="AI32" s="15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72</v>
      </c>
      <c r="B33" s="1" t="s">
        <v>38</v>
      </c>
      <c r="C33" s="1">
        <v>30.652999999999999</v>
      </c>
      <c r="D33" s="1"/>
      <c r="E33" s="1">
        <v>2.6850000000000001</v>
      </c>
      <c r="F33" s="1">
        <v>27.968</v>
      </c>
      <c r="G33" s="8">
        <v>1</v>
      </c>
      <c r="H33" s="1">
        <v>50</v>
      </c>
      <c r="I33" s="1" t="s">
        <v>39</v>
      </c>
      <c r="J33" s="1"/>
      <c r="K33" s="1">
        <v>2.2999999999999998</v>
      </c>
      <c r="L33" s="1">
        <f t="shared" si="2"/>
        <v>0.38500000000000023</v>
      </c>
      <c r="M33" s="1">
        <f t="shared" si="3"/>
        <v>2.6850000000000001</v>
      </c>
      <c r="N33" s="1"/>
      <c r="O33" s="1">
        <v>0</v>
      </c>
      <c r="P33" s="1"/>
      <c r="Q33" s="1">
        <v>0</v>
      </c>
      <c r="R33" s="1"/>
      <c r="S33" s="1">
        <f t="shared" si="4"/>
        <v>0.53700000000000003</v>
      </c>
      <c r="T33" s="5"/>
      <c r="U33" s="5"/>
      <c r="V33" s="1"/>
      <c r="W33" s="1"/>
      <c r="X33" s="1">
        <f t="shared" si="5"/>
        <v>52.081936685288639</v>
      </c>
      <c r="Y33" s="1">
        <f t="shared" si="6"/>
        <v>52.081936685288639</v>
      </c>
      <c r="Z33" s="1">
        <v>1.4944999999999999</v>
      </c>
      <c r="AA33" s="1">
        <v>2.2494999999999998</v>
      </c>
      <c r="AB33" s="1">
        <v>2.3441999999999998</v>
      </c>
      <c r="AC33" s="1">
        <v>0.35959999999999998</v>
      </c>
      <c r="AD33" s="1">
        <v>1.2498</v>
      </c>
      <c r="AE33" s="1">
        <v>2.3142</v>
      </c>
      <c r="AF33" s="1">
        <v>1.6046</v>
      </c>
      <c r="AG33" s="1">
        <v>0.71699999999999997</v>
      </c>
      <c r="AH33" s="19" t="s">
        <v>148</v>
      </c>
      <c r="AI33" s="1">
        <f t="shared" ref="AI33:AI48" si="12">G33*T33</f>
        <v>0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73</v>
      </c>
      <c r="B34" s="1" t="s">
        <v>43</v>
      </c>
      <c r="C34" s="1">
        <v>1421</v>
      </c>
      <c r="D34" s="1">
        <v>2034</v>
      </c>
      <c r="E34" s="1">
        <v>1824</v>
      </c>
      <c r="F34" s="1">
        <v>1372</v>
      </c>
      <c r="G34" s="8">
        <v>0.4</v>
      </c>
      <c r="H34" s="1">
        <v>45</v>
      </c>
      <c r="I34" s="1" t="s">
        <v>39</v>
      </c>
      <c r="J34" s="1"/>
      <c r="K34" s="1">
        <v>2218</v>
      </c>
      <c r="L34" s="1">
        <f t="shared" si="2"/>
        <v>-394</v>
      </c>
      <c r="M34" s="1">
        <f t="shared" si="3"/>
        <v>1404</v>
      </c>
      <c r="N34" s="1">
        <v>420</v>
      </c>
      <c r="O34" s="1">
        <v>0</v>
      </c>
      <c r="P34" s="1"/>
      <c r="Q34" s="1">
        <v>423.0597800000005</v>
      </c>
      <c r="R34" s="1"/>
      <c r="S34" s="1">
        <f t="shared" si="4"/>
        <v>280.8</v>
      </c>
      <c r="T34" s="5">
        <f t="shared" ref="T34:T48" si="13">11*S34-R34-Q34-P34-O34-F34</f>
        <v>1293.7402199999997</v>
      </c>
      <c r="U34" s="5"/>
      <c r="V34" s="1"/>
      <c r="W34" s="1"/>
      <c r="X34" s="1">
        <f t="shared" si="5"/>
        <v>11</v>
      </c>
      <c r="Y34" s="1">
        <f t="shared" si="6"/>
        <v>6.3926630341880353</v>
      </c>
      <c r="Z34" s="1">
        <v>228.83333333333329</v>
      </c>
      <c r="AA34" s="1">
        <v>252.66666666666671</v>
      </c>
      <c r="AB34" s="1">
        <v>275</v>
      </c>
      <c r="AC34" s="1">
        <v>268.60000000000002</v>
      </c>
      <c r="AD34" s="1">
        <v>252.6</v>
      </c>
      <c r="AE34" s="1">
        <v>229.2</v>
      </c>
      <c r="AF34" s="1">
        <v>238.6</v>
      </c>
      <c r="AG34" s="1">
        <v>223.8</v>
      </c>
      <c r="AH34" s="1" t="s">
        <v>74</v>
      </c>
      <c r="AI34" s="1">
        <f t="shared" si="12"/>
        <v>517.49608799999987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75</v>
      </c>
      <c r="B35" s="1" t="s">
        <v>43</v>
      </c>
      <c r="C35" s="1">
        <v>293.827</v>
      </c>
      <c r="D35" s="1">
        <v>244.065</v>
      </c>
      <c r="E35" s="1">
        <v>310</v>
      </c>
      <c r="F35" s="1">
        <v>65.826999999999998</v>
      </c>
      <c r="G35" s="8">
        <v>0.45</v>
      </c>
      <c r="H35" s="1">
        <v>50</v>
      </c>
      <c r="I35" s="1" t="s">
        <v>39</v>
      </c>
      <c r="J35" s="1"/>
      <c r="K35" s="1">
        <v>357</v>
      </c>
      <c r="L35" s="1">
        <f t="shared" si="2"/>
        <v>-47</v>
      </c>
      <c r="M35" s="1">
        <f t="shared" si="3"/>
        <v>270</v>
      </c>
      <c r="N35" s="1">
        <v>40</v>
      </c>
      <c r="O35" s="1">
        <v>474.08128399999993</v>
      </c>
      <c r="P35" s="1"/>
      <c r="Q35" s="1">
        <v>183.74532500000009</v>
      </c>
      <c r="R35" s="1">
        <v>107.50671</v>
      </c>
      <c r="S35" s="1">
        <f t="shared" si="4"/>
        <v>54</v>
      </c>
      <c r="T35" s="5"/>
      <c r="U35" s="5"/>
      <c r="V35" s="1"/>
      <c r="W35" s="1"/>
      <c r="X35" s="1">
        <f t="shared" si="5"/>
        <v>15.391857759259258</v>
      </c>
      <c r="Y35" s="1">
        <f t="shared" si="6"/>
        <v>15.391857759259258</v>
      </c>
      <c r="Z35" s="1">
        <v>66.362166666666667</v>
      </c>
      <c r="AA35" s="1">
        <v>75.195499999999996</v>
      </c>
      <c r="AB35" s="1">
        <v>45.08</v>
      </c>
      <c r="AC35" s="1">
        <v>53.1158</v>
      </c>
      <c r="AD35" s="1">
        <v>56.4</v>
      </c>
      <c r="AE35" s="1">
        <v>42.8</v>
      </c>
      <c r="AF35" s="1">
        <v>50.6</v>
      </c>
      <c r="AG35" s="1">
        <v>53.8</v>
      </c>
      <c r="AH35" s="1" t="s">
        <v>47</v>
      </c>
      <c r="AI35" s="1">
        <f t="shared" si="12"/>
        <v>0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76</v>
      </c>
      <c r="B36" s="1" t="s">
        <v>43</v>
      </c>
      <c r="C36" s="1">
        <v>1536</v>
      </c>
      <c r="D36" s="1">
        <v>2329</v>
      </c>
      <c r="E36" s="1">
        <v>1385</v>
      </c>
      <c r="F36" s="1">
        <v>2268</v>
      </c>
      <c r="G36" s="8">
        <v>0.4</v>
      </c>
      <c r="H36" s="1">
        <v>45</v>
      </c>
      <c r="I36" s="1" t="s">
        <v>39</v>
      </c>
      <c r="J36" s="1"/>
      <c r="K36" s="1">
        <v>1819</v>
      </c>
      <c r="L36" s="1">
        <f t="shared" si="2"/>
        <v>-434</v>
      </c>
      <c r="M36" s="1">
        <f t="shared" si="3"/>
        <v>1361</v>
      </c>
      <c r="N36" s="1">
        <v>24</v>
      </c>
      <c r="O36" s="1">
        <v>0</v>
      </c>
      <c r="P36" s="1"/>
      <c r="Q36" s="1">
        <v>0</v>
      </c>
      <c r="R36" s="1"/>
      <c r="S36" s="1">
        <f t="shared" si="4"/>
        <v>272.2</v>
      </c>
      <c r="T36" s="5">
        <f t="shared" si="13"/>
        <v>726.19999999999982</v>
      </c>
      <c r="U36" s="5"/>
      <c r="V36" s="1"/>
      <c r="W36" s="1"/>
      <c r="X36" s="1">
        <f t="shared" si="5"/>
        <v>11</v>
      </c>
      <c r="Y36" s="1">
        <f t="shared" si="6"/>
        <v>8.3321087435709043</v>
      </c>
      <c r="Z36" s="1">
        <v>188.66666666666671</v>
      </c>
      <c r="AA36" s="1">
        <v>212.66666666666671</v>
      </c>
      <c r="AB36" s="1">
        <v>291.2</v>
      </c>
      <c r="AC36" s="1">
        <v>238.6</v>
      </c>
      <c r="AD36" s="1">
        <v>258.2</v>
      </c>
      <c r="AE36" s="1">
        <v>190.8</v>
      </c>
      <c r="AF36" s="1">
        <v>257.39999999999998</v>
      </c>
      <c r="AG36" s="1">
        <v>270</v>
      </c>
      <c r="AH36" s="1"/>
      <c r="AI36" s="1">
        <f t="shared" si="12"/>
        <v>290.47999999999996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77</v>
      </c>
      <c r="B37" s="1" t="s">
        <v>43</v>
      </c>
      <c r="C37" s="1">
        <v>397</v>
      </c>
      <c r="D37" s="1">
        <v>79</v>
      </c>
      <c r="E37" s="1">
        <v>107</v>
      </c>
      <c r="F37" s="1">
        <v>365</v>
      </c>
      <c r="G37" s="8">
        <v>0.4</v>
      </c>
      <c r="H37" s="1">
        <v>40</v>
      </c>
      <c r="I37" s="1" t="s">
        <v>39</v>
      </c>
      <c r="J37" s="1"/>
      <c r="K37" s="1">
        <v>111</v>
      </c>
      <c r="L37" s="1">
        <f t="shared" si="2"/>
        <v>-4</v>
      </c>
      <c r="M37" s="1">
        <f t="shared" si="3"/>
        <v>107</v>
      </c>
      <c r="N37" s="1"/>
      <c r="O37" s="1">
        <v>0</v>
      </c>
      <c r="P37" s="1"/>
      <c r="Q37" s="1">
        <v>0</v>
      </c>
      <c r="R37" s="1"/>
      <c r="S37" s="1">
        <f t="shared" si="4"/>
        <v>21.4</v>
      </c>
      <c r="T37" s="5"/>
      <c r="U37" s="5"/>
      <c r="V37" s="1"/>
      <c r="W37" s="1"/>
      <c r="X37" s="1">
        <f t="shared" si="5"/>
        <v>17.056074766355142</v>
      </c>
      <c r="Y37" s="1">
        <f t="shared" si="6"/>
        <v>17.056074766355142</v>
      </c>
      <c r="Z37" s="1">
        <v>20.5</v>
      </c>
      <c r="AA37" s="1">
        <v>26.833333333333329</v>
      </c>
      <c r="AB37" s="1">
        <v>25.4</v>
      </c>
      <c r="AC37" s="1">
        <v>20.8</v>
      </c>
      <c r="AD37" s="1">
        <v>30</v>
      </c>
      <c r="AE37" s="1">
        <v>21.8</v>
      </c>
      <c r="AF37" s="1">
        <v>12.6</v>
      </c>
      <c r="AG37" s="1">
        <v>10.4</v>
      </c>
      <c r="AH37" s="1"/>
      <c r="AI37" s="1">
        <f t="shared" si="12"/>
        <v>0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78</v>
      </c>
      <c r="B38" s="1" t="s">
        <v>38</v>
      </c>
      <c r="C38" s="1">
        <v>591.66499999999996</v>
      </c>
      <c r="D38" s="1">
        <v>644.976</v>
      </c>
      <c r="E38" s="1">
        <v>425.28500000000003</v>
      </c>
      <c r="F38" s="1">
        <v>401.161</v>
      </c>
      <c r="G38" s="8">
        <v>1</v>
      </c>
      <c r="H38" s="1">
        <v>45</v>
      </c>
      <c r="I38" s="1" t="s">
        <v>39</v>
      </c>
      <c r="J38" s="1"/>
      <c r="K38" s="1">
        <v>603.38400000000001</v>
      </c>
      <c r="L38" s="1">
        <f t="shared" ref="L38:L69" si="14">E38-K38</f>
        <v>-178.09899999999999</v>
      </c>
      <c r="M38" s="1">
        <f t="shared" si="3"/>
        <v>425.28500000000003</v>
      </c>
      <c r="N38" s="1"/>
      <c r="O38" s="1">
        <v>145.87354441333321</v>
      </c>
      <c r="P38" s="1"/>
      <c r="Q38" s="1">
        <v>0</v>
      </c>
      <c r="R38" s="1"/>
      <c r="S38" s="1">
        <f t="shared" si="4"/>
        <v>85.057000000000002</v>
      </c>
      <c r="T38" s="5">
        <f t="shared" si="13"/>
        <v>388.59245558666686</v>
      </c>
      <c r="U38" s="5"/>
      <c r="V38" s="1"/>
      <c r="W38" s="1"/>
      <c r="X38" s="1">
        <f t="shared" si="5"/>
        <v>11</v>
      </c>
      <c r="Y38" s="1">
        <f t="shared" si="6"/>
        <v>6.4313877095751453</v>
      </c>
      <c r="Z38" s="1">
        <v>75.769833333333338</v>
      </c>
      <c r="AA38" s="1">
        <v>87.567166666666665</v>
      </c>
      <c r="AB38" s="1">
        <v>81.440799999999996</v>
      </c>
      <c r="AC38" s="1">
        <v>76.940799999999996</v>
      </c>
      <c r="AD38" s="1">
        <v>67.9786</v>
      </c>
      <c r="AE38" s="1">
        <v>64.661199999999994</v>
      </c>
      <c r="AF38" s="1">
        <v>58.102600000000002</v>
      </c>
      <c r="AG38" s="1">
        <v>74.066200000000009</v>
      </c>
      <c r="AH38" s="1"/>
      <c r="AI38" s="1">
        <f t="shared" si="12"/>
        <v>388.59245558666686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79</v>
      </c>
      <c r="B39" s="1" t="s">
        <v>43</v>
      </c>
      <c r="C39" s="1">
        <v>248</v>
      </c>
      <c r="D39" s="1">
        <v>82</v>
      </c>
      <c r="E39" s="1">
        <v>145</v>
      </c>
      <c r="F39" s="1">
        <v>183</v>
      </c>
      <c r="G39" s="8">
        <v>0.1</v>
      </c>
      <c r="H39" s="1">
        <v>730</v>
      </c>
      <c r="I39" s="1" t="s">
        <v>39</v>
      </c>
      <c r="J39" s="1"/>
      <c r="K39" s="1">
        <v>145</v>
      </c>
      <c r="L39" s="1">
        <f t="shared" si="14"/>
        <v>0</v>
      </c>
      <c r="M39" s="1">
        <f t="shared" si="3"/>
        <v>145</v>
      </c>
      <c r="N39" s="1"/>
      <c r="O39" s="1">
        <v>0</v>
      </c>
      <c r="P39" s="1"/>
      <c r="Q39" s="1">
        <v>0</v>
      </c>
      <c r="R39" s="1"/>
      <c r="S39" s="1">
        <f t="shared" si="4"/>
        <v>29</v>
      </c>
      <c r="T39" s="5">
        <f t="shared" si="13"/>
        <v>136</v>
      </c>
      <c r="U39" s="5"/>
      <c r="V39" s="1"/>
      <c r="W39" s="1"/>
      <c r="X39" s="1">
        <f t="shared" si="5"/>
        <v>11</v>
      </c>
      <c r="Y39" s="1">
        <f t="shared" si="6"/>
        <v>6.3103448275862073</v>
      </c>
      <c r="Z39" s="1">
        <v>19.333333333333329</v>
      </c>
      <c r="AA39" s="1">
        <v>16.5</v>
      </c>
      <c r="AB39" s="1">
        <v>27.4</v>
      </c>
      <c r="AC39" s="1">
        <v>27.4</v>
      </c>
      <c r="AD39" s="1">
        <v>26</v>
      </c>
      <c r="AE39" s="1">
        <v>24.4</v>
      </c>
      <c r="AF39" s="1">
        <v>32.200000000000003</v>
      </c>
      <c r="AG39" s="1">
        <v>34.6</v>
      </c>
      <c r="AH39" s="1"/>
      <c r="AI39" s="1">
        <f t="shared" si="12"/>
        <v>13.600000000000001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80</v>
      </c>
      <c r="B40" s="1" t="s">
        <v>43</v>
      </c>
      <c r="C40" s="1">
        <v>486</v>
      </c>
      <c r="D40" s="1">
        <v>187</v>
      </c>
      <c r="E40" s="1">
        <v>194</v>
      </c>
      <c r="F40" s="1">
        <v>452</v>
      </c>
      <c r="G40" s="8">
        <v>0.35</v>
      </c>
      <c r="H40" s="1">
        <v>40</v>
      </c>
      <c r="I40" s="1" t="s">
        <v>39</v>
      </c>
      <c r="J40" s="1"/>
      <c r="K40" s="1">
        <v>233</v>
      </c>
      <c r="L40" s="1">
        <f t="shared" si="14"/>
        <v>-39</v>
      </c>
      <c r="M40" s="1">
        <f t="shared" si="3"/>
        <v>194</v>
      </c>
      <c r="N40" s="1"/>
      <c r="O40" s="1">
        <v>0</v>
      </c>
      <c r="P40" s="1"/>
      <c r="Q40" s="1">
        <v>43.385499999999979</v>
      </c>
      <c r="R40" s="1"/>
      <c r="S40" s="1">
        <f t="shared" si="4"/>
        <v>38.799999999999997</v>
      </c>
      <c r="T40" s="5"/>
      <c r="U40" s="5"/>
      <c r="V40" s="1"/>
      <c r="W40" s="1"/>
      <c r="X40" s="1">
        <f t="shared" si="5"/>
        <v>12.767667525773197</v>
      </c>
      <c r="Y40" s="1">
        <f t="shared" si="6"/>
        <v>12.767667525773197</v>
      </c>
      <c r="Z40" s="1">
        <v>47.833333333333343</v>
      </c>
      <c r="AA40" s="1">
        <v>48.5</v>
      </c>
      <c r="AB40" s="1">
        <v>56.4</v>
      </c>
      <c r="AC40" s="1">
        <v>50</v>
      </c>
      <c r="AD40" s="1">
        <v>71.599999999999994</v>
      </c>
      <c r="AE40" s="1">
        <v>46.4</v>
      </c>
      <c r="AF40" s="1">
        <v>34.4</v>
      </c>
      <c r="AG40" s="1">
        <v>51</v>
      </c>
      <c r="AH40" s="1"/>
      <c r="AI40" s="1">
        <f t="shared" si="12"/>
        <v>0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81</v>
      </c>
      <c r="B41" s="1" t="s">
        <v>38</v>
      </c>
      <c r="C41" s="1">
        <v>55.094000000000001</v>
      </c>
      <c r="D41" s="1">
        <v>52.015000000000001</v>
      </c>
      <c r="E41" s="1">
        <v>23.841999999999999</v>
      </c>
      <c r="F41" s="1">
        <v>83.266999999999996</v>
      </c>
      <c r="G41" s="8">
        <v>1</v>
      </c>
      <c r="H41" s="1">
        <v>40</v>
      </c>
      <c r="I41" s="1" t="s">
        <v>39</v>
      </c>
      <c r="J41" s="1"/>
      <c r="K41" s="1">
        <v>25</v>
      </c>
      <c r="L41" s="1">
        <f t="shared" si="14"/>
        <v>-1.1580000000000013</v>
      </c>
      <c r="M41" s="1">
        <f t="shared" si="3"/>
        <v>23.841999999999999</v>
      </c>
      <c r="N41" s="1"/>
      <c r="O41" s="1">
        <v>28.750536666666651</v>
      </c>
      <c r="P41" s="1"/>
      <c r="Q41" s="1">
        <v>0</v>
      </c>
      <c r="R41" s="1"/>
      <c r="S41" s="1">
        <f t="shared" si="4"/>
        <v>4.7683999999999997</v>
      </c>
      <c r="T41" s="5"/>
      <c r="U41" s="5"/>
      <c r="V41" s="1"/>
      <c r="W41" s="1"/>
      <c r="X41" s="1">
        <f t="shared" si="5"/>
        <v>23.491640102899641</v>
      </c>
      <c r="Y41" s="1">
        <f t="shared" si="6"/>
        <v>23.491640102899641</v>
      </c>
      <c r="Z41" s="1">
        <v>6.6183333333333332</v>
      </c>
      <c r="AA41" s="1">
        <v>11.930833333333331</v>
      </c>
      <c r="AB41" s="1">
        <v>11.86</v>
      </c>
      <c r="AC41" s="1">
        <v>6.3483999999999998</v>
      </c>
      <c r="AD41" s="1">
        <v>6.6596000000000002</v>
      </c>
      <c r="AE41" s="1">
        <v>11.127599999999999</v>
      </c>
      <c r="AF41" s="1">
        <v>10.8368</v>
      </c>
      <c r="AG41" s="1">
        <v>6.8138000000000014</v>
      </c>
      <c r="AH41" s="20" t="s">
        <v>147</v>
      </c>
      <c r="AI41" s="1">
        <f t="shared" si="12"/>
        <v>0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82</v>
      </c>
      <c r="B42" s="1" t="s">
        <v>43</v>
      </c>
      <c r="C42" s="1">
        <v>129</v>
      </c>
      <c r="D42" s="1">
        <v>119</v>
      </c>
      <c r="E42" s="1">
        <v>139</v>
      </c>
      <c r="F42" s="1">
        <v>86</v>
      </c>
      <c r="G42" s="8">
        <v>0.4</v>
      </c>
      <c r="H42" s="1">
        <v>40</v>
      </c>
      <c r="I42" s="1" t="s">
        <v>39</v>
      </c>
      <c r="J42" s="1"/>
      <c r="K42" s="1">
        <v>188</v>
      </c>
      <c r="L42" s="1">
        <f t="shared" si="14"/>
        <v>-49</v>
      </c>
      <c r="M42" s="1">
        <f t="shared" si="3"/>
        <v>139</v>
      </c>
      <c r="N42" s="1"/>
      <c r="O42" s="1">
        <v>263.0163133333333</v>
      </c>
      <c r="P42" s="1"/>
      <c r="Q42" s="1">
        <v>0</v>
      </c>
      <c r="R42" s="1"/>
      <c r="S42" s="1">
        <f t="shared" si="4"/>
        <v>27.8</v>
      </c>
      <c r="T42" s="5"/>
      <c r="U42" s="5"/>
      <c r="V42" s="1"/>
      <c r="W42" s="1"/>
      <c r="X42" s="1">
        <f t="shared" si="5"/>
        <v>12.554543645083932</v>
      </c>
      <c r="Y42" s="1">
        <f t="shared" si="6"/>
        <v>12.554543645083932</v>
      </c>
      <c r="Z42" s="1">
        <v>34.833333333333343</v>
      </c>
      <c r="AA42" s="1">
        <v>43.166666666666657</v>
      </c>
      <c r="AB42" s="1">
        <v>35.4</v>
      </c>
      <c r="AC42" s="1">
        <v>42</v>
      </c>
      <c r="AD42" s="1">
        <v>31.6</v>
      </c>
      <c r="AE42" s="1">
        <v>25.8</v>
      </c>
      <c r="AF42" s="1">
        <v>42.2</v>
      </c>
      <c r="AG42" s="1">
        <v>42.4</v>
      </c>
      <c r="AH42" s="1"/>
      <c r="AI42" s="1">
        <f t="shared" si="12"/>
        <v>0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83</v>
      </c>
      <c r="B43" s="1" t="s">
        <v>43</v>
      </c>
      <c r="C43" s="1">
        <v>398</v>
      </c>
      <c r="D43" s="1">
        <v>290</v>
      </c>
      <c r="E43" s="1">
        <v>380</v>
      </c>
      <c r="F43" s="1">
        <v>284</v>
      </c>
      <c r="G43" s="8">
        <v>0.4</v>
      </c>
      <c r="H43" s="1">
        <v>45</v>
      </c>
      <c r="I43" s="1" t="s">
        <v>39</v>
      </c>
      <c r="J43" s="1"/>
      <c r="K43" s="1">
        <v>491</v>
      </c>
      <c r="L43" s="1">
        <f t="shared" si="14"/>
        <v>-111</v>
      </c>
      <c r="M43" s="1">
        <f t="shared" si="3"/>
        <v>380</v>
      </c>
      <c r="N43" s="1"/>
      <c r="O43" s="1">
        <v>128.07347999999999</v>
      </c>
      <c r="P43" s="1"/>
      <c r="Q43" s="1">
        <v>186.5</v>
      </c>
      <c r="R43" s="1"/>
      <c r="S43" s="1">
        <f t="shared" si="4"/>
        <v>76</v>
      </c>
      <c r="T43" s="5">
        <f t="shared" si="13"/>
        <v>237.42651999999998</v>
      </c>
      <c r="U43" s="5"/>
      <c r="V43" s="1"/>
      <c r="W43" s="1"/>
      <c r="X43" s="1">
        <f t="shared" si="5"/>
        <v>11</v>
      </c>
      <c r="Y43" s="1">
        <f t="shared" si="6"/>
        <v>7.8759668421052638</v>
      </c>
      <c r="Z43" s="1">
        <v>61.666666666666657</v>
      </c>
      <c r="AA43" s="1">
        <v>62.5</v>
      </c>
      <c r="AB43" s="1">
        <v>64.400000000000006</v>
      </c>
      <c r="AC43" s="1">
        <v>71.400000000000006</v>
      </c>
      <c r="AD43" s="1">
        <v>76.599999999999994</v>
      </c>
      <c r="AE43" s="1">
        <v>67.2</v>
      </c>
      <c r="AF43" s="1">
        <v>72</v>
      </c>
      <c r="AG43" s="1">
        <v>66</v>
      </c>
      <c r="AH43" s="1" t="s">
        <v>47</v>
      </c>
      <c r="AI43" s="1">
        <f t="shared" si="12"/>
        <v>94.970607999999999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84</v>
      </c>
      <c r="B44" s="1" t="s">
        <v>38</v>
      </c>
      <c r="C44" s="1">
        <v>103.142</v>
      </c>
      <c r="D44" s="1">
        <v>78.194000000000003</v>
      </c>
      <c r="E44" s="1">
        <v>83.031999999999996</v>
      </c>
      <c r="F44" s="1">
        <v>84.506</v>
      </c>
      <c r="G44" s="8">
        <v>1</v>
      </c>
      <c r="H44" s="1">
        <v>40</v>
      </c>
      <c r="I44" s="1" t="s">
        <v>39</v>
      </c>
      <c r="J44" s="1"/>
      <c r="K44" s="1">
        <v>116.754</v>
      </c>
      <c r="L44" s="1">
        <f t="shared" si="14"/>
        <v>-33.722000000000008</v>
      </c>
      <c r="M44" s="1">
        <f t="shared" si="3"/>
        <v>52.477999999999994</v>
      </c>
      <c r="N44" s="1">
        <v>30.553999999999998</v>
      </c>
      <c r="O44" s="1">
        <v>24.669101346665499</v>
      </c>
      <c r="P44" s="1"/>
      <c r="Q44" s="1">
        <v>0</v>
      </c>
      <c r="R44" s="1"/>
      <c r="S44" s="1">
        <f t="shared" si="4"/>
        <v>10.4956</v>
      </c>
      <c r="T44" s="5">
        <f t="shared" si="13"/>
        <v>6.2764986533344995</v>
      </c>
      <c r="U44" s="5"/>
      <c r="V44" s="1"/>
      <c r="W44" s="1"/>
      <c r="X44" s="1">
        <f t="shared" si="5"/>
        <v>11</v>
      </c>
      <c r="Y44" s="1">
        <f t="shared" si="6"/>
        <v>10.401987627831234</v>
      </c>
      <c r="Z44" s="1">
        <v>9.793666666666665</v>
      </c>
      <c r="AA44" s="1">
        <v>15.25633333333333</v>
      </c>
      <c r="AB44" s="1">
        <v>14.3988</v>
      </c>
      <c r="AC44" s="1">
        <v>18.870199999999819</v>
      </c>
      <c r="AD44" s="1">
        <v>17.675599999999999</v>
      </c>
      <c r="AE44" s="1">
        <v>5.4978000000000007</v>
      </c>
      <c r="AF44" s="1">
        <v>18.39</v>
      </c>
      <c r="AG44" s="1">
        <v>23.522400000000001</v>
      </c>
      <c r="AH44" s="1"/>
      <c r="AI44" s="1">
        <f t="shared" si="12"/>
        <v>6.2764986533344995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85</v>
      </c>
      <c r="B45" s="1" t="s">
        <v>43</v>
      </c>
      <c r="C45" s="1">
        <v>379</v>
      </c>
      <c r="D45" s="1">
        <v>625</v>
      </c>
      <c r="E45" s="1">
        <v>690</v>
      </c>
      <c r="F45" s="1">
        <v>274</v>
      </c>
      <c r="G45" s="8">
        <v>0.35</v>
      </c>
      <c r="H45" s="1">
        <v>40</v>
      </c>
      <c r="I45" s="11" t="s">
        <v>86</v>
      </c>
      <c r="J45" s="1"/>
      <c r="K45" s="1">
        <v>752</v>
      </c>
      <c r="L45" s="1">
        <f t="shared" si="14"/>
        <v>-62</v>
      </c>
      <c r="M45" s="1">
        <f t="shared" si="3"/>
        <v>636</v>
      </c>
      <c r="N45" s="1">
        <v>54</v>
      </c>
      <c r="O45" s="1">
        <v>608.9304266666669</v>
      </c>
      <c r="P45" s="1"/>
      <c r="Q45" s="1">
        <v>1500</v>
      </c>
      <c r="R45" s="1"/>
      <c r="S45" s="1">
        <f t="shared" si="4"/>
        <v>127.2</v>
      </c>
      <c r="T45" s="5"/>
      <c r="U45" s="5"/>
      <c r="V45" s="1"/>
      <c r="W45" s="1"/>
      <c r="X45" s="1">
        <f t="shared" si="5"/>
        <v>18.733729769392035</v>
      </c>
      <c r="Y45" s="1">
        <f t="shared" si="6"/>
        <v>18.733729769392035</v>
      </c>
      <c r="Z45" s="1">
        <v>116.1666666666667</v>
      </c>
      <c r="AA45" s="1">
        <v>140.33333333333329</v>
      </c>
      <c r="AB45" s="1">
        <v>130.19999999999999</v>
      </c>
      <c r="AC45" s="1">
        <v>104.8</v>
      </c>
      <c r="AD45" s="1">
        <v>104.2</v>
      </c>
      <c r="AE45" s="1">
        <v>119.2</v>
      </c>
      <c r="AF45" s="1">
        <v>117.2</v>
      </c>
      <c r="AG45" s="1">
        <v>97.4</v>
      </c>
      <c r="AH45" s="1" t="s">
        <v>53</v>
      </c>
      <c r="AI45" s="1">
        <f t="shared" si="12"/>
        <v>0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87</v>
      </c>
      <c r="B46" s="1" t="s">
        <v>43</v>
      </c>
      <c r="C46" s="1">
        <v>514</v>
      </c>
      <c r="D46" s="1">
        <v>131</v>
      </c>
      <c r="E46" s="1">
        <v>406</v>
      </c>
      <c r="F46" s="1">
        <v>183</v>
      </c>
      <c r="G46" s="8">
        <v>0.4</v>
      </c>
      <c r="H46" s="1">
        <v>40</v>
      </c>
      <c r="I46" s="1" t="s">
        <v>39</v>
      </c>
      <c r="J46" s="1"/>
      <c r="K46" s="1">
        <v>442</v>
      </c>
      <c r="L46" s="1">
        <f t="shared" si="14"/>
        <v>-36</v>
      </c>
      <c r="M46" s="1">
        <f t="shared" si="3"/>
        <v>406</v>
      </c>
      <c r="N46" s="1"/>
      <c r="O46" s="1">
        <v>5.5428666666666686</v>
      </c>
      <c r="P46" s="1"/>
      <c r="Q46" s="1">
        <v>412.83333333333331</v>
      </c>
      <c r="R46" s="1"/>
      <c r="S46" s="1">
        <f t="shared" si="4"/>
        <v>81.2</v>
      </c>
      <c r="T46" s="5">
        <f t="shared" si="13"/>
        <v>291.82380000000006</v>
      </c>
      <c r="U46" s="5"/>
      <c r="V46" s="1"/>
      <c r="W46" s="1"/>
      <c r="X46" s="1">
        <f t="shared" si="5"/>
        <v>11</v>
      </c>
      <c r="Y46" s="1">
        <f t="shared" si="6"/>
        <v>7.4061108374384226</v>
      </c>
      <c r="Z46" s="1">
        <v>66.333333333333329</v>
      </c>
      <c r="AA46" s="1">
        <v>53.833333333333343</v>
      </c>
      <c r="AB46" s="1">
        <v>54.2</v>
      </c>
      <c r="AC46" s="1">
        <v>73.8</v>
      </c>
      <c r="AD46" s="1">
        <v>59</v>
      </c>
      <c r="AE46" s="1">
        <v>65</v>
      </c>
      <c r="AF46" s="1">
        <v>86.2</v>
      </c>
      <c r="AG46" s="1">
        <v>82.2</v>
      </c>
      <c r="AH46" s="1" t="s">
        <v>47</v>
      </c>
      <c r="AI46" s="1">
        <f t="shared" si="12"/>
        <v>116.72952000000004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88</v>
      </c>
      <c r="B47" s="1" t="s">
        <v>38</v>
      </c>
      <c r="C47" s="1">
        <v>245.11799999999999</v>
      </c>
      <c r="D47" s="1">
        <v>80.817999999999998</v>
      </c>
      <c r="E47" s="1">
        <v>148.04</v>
      </c>
      <c r="F47" s="1">
        <v>73.596000000000004</v>
      </c>
      <c r="G47" s="8">
        <v>1</v>
      </c>
      <c r="H47" s="1">
        <v>50</v>
      </c>
      <c r="I47" s="1" t="s">
        <v>39</v>
      </c>
      <c r="J47" s="1"/>
      <c r="K47" s="1">
        <v>186.52799999999999</v>
      </c>
      <c r="L47" s="1">
        <f t="shared" si="14"/>
        <v>-38.488</v>
      </c>
      <c r="M47" s="1">
        <f t="shared" si="3"/>
        <v>104.77199999999999</v>
      </c>
      <c r="N47" s="1">
        <v>43.268000000000001</v>
      </c>
      <c r="O47" s="1">
        <v>67.884833333333376</v>
      </c>
      <c r="P47" s="1"/>
      <c r="Q47" s="1">
        <v>27.23816666666659</v>
      </c>
      <c r="R47" s="1"/>
      <c r="S47" s="1">
        <f t="shared" si="4"/>
        <v>20.9544</v>
      </c>
      <c r="T47" s="5">
        <f t="shared" si="13"/>
        <v>61.779400000000038</v>
      </c>
      <c r="U47" s="5"/>
      <c r="V47" s="1"/>
      <c r="W47" s="1"/>
      <c r="X47" s="1">
        <f t="shared" si="5"/>
        <v>11</v>
      </c>
      <c r="Y47" s="1">
        <f t="shared" si="6"/>
        <v>8.0517218340778047</v>
      </c>
      <c r="Z47" s="1">
        <v>22.292999999999999</v>
      </c>
      <c r="AA47" s="1">
        <v>25.291166666666669</v>
      </c>
      <c r="AB47" s="1">
        <v>11.3508</v>
      </c>
      <c r="AC47" s="1">
        <v>29.2</v>
      </c>
      <c r="AD47" s="1">
        <v>20.061399999999999</v>
      </c>
      <c r="AE47" s="1">
        <v>16.882400000000001</v>
      </c>
      <c r="AF47" s="1">
        <v>21.015599999999999</v>
      </c>
      <c r="AG47" s="1">
        <v>17.166</v>
      </c>
      <c r="AH47" s="1"/>
      <c r="AI47" s="1">
        <f t="shared" si="12"/>
        <v>61.779400000000038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89</v>
      </c>
      <c r="B48" s="1" t="s">
        <v>38</v>
      </c>
      <c r="C48" s="1">
        <v>91.991</v>
      </c>
      <c r="D48" s="1">
        <v>1125.7470000000001</v>
      </c>
      <c r="E48" s="1">
        <v>714.75699999999995</v>
      </c>
      <c r="F48" s="1">
        <v>115.535</v>
      </c>
      <c r="G48" s="8">
        <v>1</v>
      </c>
      <c r="H48" s="1">
        <v>50</v>
      </c>
      <c r="I48" s="1" t="s">
        <v>39</v>
      </c>
      <c r="J48" s="1"/>
      <c r="K48" s="1">
        <v>917.95299999999997</v>
      </c>
      <c r="L48" s="1">
        <f t="shared" si="14"/>
        <v>-203.19600000000003</v>
      </c>
      <c r="M48" s="1">
        <f t="shared" si="3"/>
        <v>449.71699999999993</v>
      </c>
      <c r="N48" s="1">
        <v>265.04000000000002</v>
      </c>
      <c r="O48" s="1">
        <v>506.83383724166669</v>
      </c>
      <c r="P48" s="1"/>
      <c r="Q48" s="1">
        <v>125.46877499999999</v>
      </c>
      <c r="R48" s="1"/>
      <c r="S48" s="1">
        <f t="shared" si="4"/>
        <v>89.943399999999983</v>
      </c>
      <c r="T48" s="5">
        <f t="shared" si="13"/>
        <v>241.53978775833312</v>
      </c>
      <c r="U48" s="5"/>
      <c r="V48" s="1"/>
      <c r="W48" s="1"/>
      <c r="X48" s="1">
        <f t="shared" si="5"/>
        <v>11</v>
      </c>
      <c r="Y48" s="1">
        <f t="shared" si="6"/>
        <v>8.3145357218169078</v>
      </c>
      <c r="Z48" s="1">
        <v>92.93983333333334</v>
      </c>
      <c r="AA48" s="1">
        <v>118.5981666666667</v>
      </c>
      <c r="AB48" s="1">
        <v>107.2774</v>
      </c>
      <c r="AC48" s="1">
        <v>87.752600000000001</v>
      </c>
      <c r="AD48" s="1">
        <v>58.676399999999987</v>
      </c>
      <c r="AE48" s="1">
        <v>110.0492</v>
      </c>
      <c r="AF48" s="1">
        <v>99.636199999999988</v>
      </c>
      <c r="AG48" s="1">
        <v>44.864999999999988</v>
      </c>
      <c r="AH48" s="1"/>
      <c r="AI48" s="1">
        <f t="shared" si="12"/>
        <v>241.53978775833312</v>
      </c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5" t="s">
        <v>90</v>
      </c>
      <c r="B49" s="15" t="s">
        <v>38</v>
      </c>
      <c r="C49" s="15"/>
      <c r="D49" s="15"/>
      <c r="E49" s="15"/>
      <c r="F49" s="15"/>
      <c r="G49" s="16">
        <v>0</v>
      </c>
      <c r="H49" s="15">
        <v>40</v>
      </c>
      <c r="I49" s="15" t="s">
        <v>39</v>
      </c>
      <c r="J49" s="15"/>
      <c r="K49" s="15"/>
      <c r="L49" s="15">
        <f t="shared" si="14"/>
        <v>0</v>
      </c>
      <c r="M49" s="15">
        <f t="shared" si="3"/>
        <v>0</v>
      </c>
      <c r="N49" s="15"/>
      <c r="O49" s="15">
        <v>0</v>
      </c>
      <c r="P49" s="15"/>
      <c r="Q49" s="15">
        <v>0</v>
      </c>
      <c r="R49" s="15"/>
      <c r="S49" s="15">
        <f t="shared" si="4"/>
        <v>0</v>
      </c>
      <c r="T49" s="17"/>
      <c r="U49" s="17"/>
      <c r="V49" s="15"/>
      <c r="W49" s="15"/>
      <c r="X49" s="15" t="e">
        <f t="shared" si="5"/>
        <v>#DIV/0!</v>
      </c>
      <c r="Y49" s="15" t="e">
        <f t="shared" si="6"/>
        <v>#DIV/0!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 t="s">
        <v>58</v>
      </c>
      <c r="AI49" s="15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2" t="s">
        <v>91</v>
      </c>
      <c r="B50" s="12" t="s">
        <v>43</v>
      </c>
      <c r="C50" s="12">
        <v>109</v>
      </c>
      <c r="D50" s="12">
        <v>2</v>
      </c>
      <c r="E50" s="12">
        <v>44</v>
      </c>
      <c r="F50" s="12">
        <v>65</v>
      </c>
      <c r="G50" s="13">
        <v>0</v>
      </c>
      <c r="H50" s="12" t="e">
        <v>#N/A</v>
      </c>
      <c r="I50" s="12" t="s">
        <v>44</v>
      </c>
      <c r="J50" s="12"/>
      <c r="K50" s="12">
        <v>45</v>
      </c>
      <c r="L50" s="12">
        <f t="shared" si="14"/>
        <v>-1</v>
      </c>
      <c r="M50" s="12">
        <f t="shared" si="3"/>
        <v>44</v>
      </c>
      <c r="N50" s="12"/>
      <c r="O50" s="12">
        <v>0</v>
      </c>
      <c r="P50" s="12"/>
      <c r="Q50" s="12">
        <v>0</v>
      </c>
      <c r="R50" s="12"/>
      <c r="S50" s="12">
        <f t="shared" si="4"/>
        <v>8.8000000000000007</v>
      </c>
      <c r="T50" s="14"/>
      <c r="U50" s="14"/>
      <c r="V50" s="12"/>
      <c r="W50" s="12"/>
      <c r="X50" s="12">
        <f t="shared" si="5"/>
        <v>7.3863636363636358</v>
      </c>
      <c r="Y50" s="12">
        <f t="shared" si="6"/>
        <v>7.3863636363636358</v>
      </c>
      <c r="Z50" s="12">
        <v>5.333333333333333</v>
      </c>
      <c r="AA50" s="12">
        <v>1.833333333333333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 t="s">
        <v>45</v>
      </c>
      <c r="AI50" s="12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92</v>
      </c>
      <c r="B51" s="1" t="s">
        <v>43</v>
      </c>
      <c r="C51" s="1">
        <v>536</v>
      </c>
      <c r="D51" s="1">
        <v>421</v>
      </c>
      <c r="E51" s="1">
        <v>287</v>
      </c>
      <c r="F51" s="1">
        <v>511</v>
      </c>
      <c r="G51" s="8">
        <v>0.45</v>
      </c>
      <c r="H51" s="1">
        <v>50</v>
      </c>
      <c r="I51" s="1" t="s">
        <v>39</v>
      </c>
      <c r="J51" s="1"/>
      <c r="K51" s="1">
        <v>375</v>
      </c>
      <c r="L51" s="1">
        <f t="shared" si="14"/>
        <v>-88</v>
      </c>
      <c r="M51" s="1">
        <f t="shared" si="3"/>
        <v>201</v>
      </c>
      <c r="N51" s="1">
        <v>86</v>
      </c>
      <c r="O51" s="1">
        <v>0</v>
      </c>
      <c r="P51" s="1"/>
      <c r="Q51" s="1">
        <v>0</v>
      </c>
      <c r="R51" s="1"/>
      <c r="S51" s="1">
        <f t="shared" si="4"/>
        <v>40.200000000000003</v>
      </c>
      <c r="T51" s="5"/>
      <c r="U51" s="5"/>
      <c r="V51" s="1"/>
      <c r="W51" s="1"/>
      <c r="X51" s="1">
        <f t="shared" si="5"/>
        <v>12.71144278606965</v>
      </c>
      <c r="Y51" s="1">
        <f t="shared" si="6"/>
        <v>12.71144278606965</v>
      </c>
      <c r="Z51" s="1">
        <v>41.5</v>
      </c>
      <c r="AA51" s="1">
        <v>56.666666666666657</v>
      </c>
      <c r="AB51" s="1">
        <v>60.4</v>
      </c>
      <c r="AC51" s="1">
        <v>44.512199999999993</v>
      </c>
      <c r="AD51" s="1">
        <v>58.2</v>
      </c>
      <c r="AE51" s="1">
        <v>38.799999999999997</v>
      </c>
      <c r="AF51" s="1">
        <v>35.4</v>
      </c>
      <c r="AG51" s="1">
        <v>32.799999999999997</v>
      </c>
      <c r="AH51" s="1" t="s">
        <v>47</v>
      </c>
      <c r="AI51" s="1">
        <f>G51*T51</f>
        <v>0</v>
      </c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2" t="s">
        <v>93</v>
      </c>
      <c r="B52" s="12" t="s">
        <v>43</v>
      </c>
      <c r="C52" s="12">
        <v>44</v>
      </c>
      <c r="D52" s="12">
        <v>2</v>
      </c>
      <c r="E52" s="12">
        <v>20</v>
      </c>
      <c r="F52" s="12">
        <v>9</v>
      </c>
      <c r="G52" s="13">
        <v>0</v>
      </c>
      <c r="H52" s="12" t="e">
        <v>#N/A</v>
      </c>
      <c r="I52" s="12" t="s">
        <v>44</v>
      </c>
      <c r="J52" s="12"/>
      <c r="K52" s="12">
        <v>23</v>
      </c>
      <c r="L52" s="12">
        <f t="shared" si="14"/>
        <v>-3</v>
      </c>
      <c r="M52" s="12">
        <f t="shared" si="3"/>
        <v>20</v>
      </c>
      <c r="N52" s="12"/>
      <c r="O52" s="12">
        <v>0</v>
      </c>
      <c r="P52" s="12"/>
      <c r="Q52" s="12">
        <v>0</v>
      </c>
      <c r="R52" s="12"/>
      <c r="S52" s="12">
        <f t="shared" si="4"/>
        <v>4</v>
      </c>
      <c r="T52" s="14"/>
      <c r="U52" s="14"/>
      <c r="V52" s="12"/>
      <c r="W52" s="12"/>
      <c r="X52" s="12">
        <f t="shared" si="5"/>
        <v>2.25</v>
      </c>
      <c r="Y52" s="12">
        <f t="shared" si="6"/>
        <v>2.25</v>
      </c>
      <c r="Z52" s="12">
        <v>3.5</v>
      </c>
      <c r="AA52" s="12">
        <v>3.5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 t="s">
        <v>45</v>
      </c>
      <c r="AI52" s="12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94</v>
      </c>
      <c r="B53" s="1" t="s">
        <v>43</v>
      </c>
      <c r="C53" s="1">
        <v>106</v>
      </c>
      <c r="D53" s="1">
        <v>25</v>
      </c>
      <c r="E53" s="1">
        <v>71</v>
      </c>
      <c r="F53" s="1">
        <v>49</v>
      </c>
      <c r="G53" s="8">
        <v>0.4</v>
      </c>
      <c r="H53" s="1">
        <v>40</v>
      </c>
      <c r="I53" s="1" t="s">
        <v>39</v>
      </c>
      <c r="J53" s="1"/>
      <c r="K53" s="1">
        <v>75</v>
      </c>
      <c r="L53" s="1">
        <f t="shared" si="14"/>
        <v>-4</v>
      </c>
      <c r="M53" s="1">
        <f t="shared" si="3"/>
        <v>71</v>
      </c>
      <c r="N53" s="1"/>
      <c r="O53" s="1">
        <v>0</v>
      </c>
      <c r="P53" s="1"/>
      <c r="Q53" s="1">
        <v>16.73187999999999</v>
      </c>
      <c r="R53" s="1"/>
      <c r="S53" s="1">
        <f t="shared" si="4"/>
        <v>14.2</v>
      </c>
      <c r="T53" s="5">
        <f t="shared" ref="T53:T68" si="15">11*S53-R53-Q53-P53-O53-F53</f>
        <v>90.468119999999999</v>
      </c>
      <c r="U53" s="5"/>
      <c r="V53" s="1"/>
      <c r="W53" s="1"/>
      <c r="X53" s="1">
        <f t="shared" si="5"/>
        <v>11</v>
      </c>
      <c r="Y53" s="1">
        <f t="shared" si="6"/>
        <v>4.6290056338028167</v>
      </c>
      <c r="Z53" s="1">
        <v>8.8333333333333339</v>
      </c>
      <c r="AA53" s="1">
        <v>7.833333333333333</v>
      </c>
      <c r="AB53" s="1">
        <v>10.6</v>
      </c>
      <c r="AC53" s="1">
        <v>12.6</v>
      </c>
      <c r="AD53" s="1">
        <v>9.6</v>
      </c>
      <c r="AE53" s="1">
        <v>10</v>
      </c>
      <c r="AF53" s="1">
        <v>12.6</v>
      </c>
      <c r="AG53" s="1">
        <v>12.4</v>
      </c>
      <c r="AH53" s="1"/>
      <c r="AI53" s="1">
        <f t="shared" ref="AI53:AI70" si="16">G53*T53</f>
        <v>36.187248000000004</v>
      </c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95</v>
      </c>
      <c r="B54" s="1" t="s">
        <v>43</v>
      </c>
      <c r="C54" s="1">
        <v>130</v>
      </c>
      <c r="D54" s="1"/>
      <c r="E54" s="1">
        <v>80</v>
      </c>
      <c r="F54" s="1">
        <v>41</v>
      </c>
      <c r="G54" s="8">
        <v>0.4</v>
      </c>
      <c r="H54" s="1">
        <v>40</v>
      </c>
      <c r="I54" s="1" t="s">
        <v>39</v>
      </c>
      <c r="J54" s="1"/>
      <c r="K54" s="1">
        <v>83</v>
      </c>
      <c r="L54" s="1">
        <f t="shared" si="14"/>
        <v>-3</v>
      </c>
      <c r="M54" s="1">
        <f t="shared" si="3"/>
        <v>80</v>
      </c>
      <c r="N54" s="1"/>
      <c r="O54" s="1">
        <v>11.666666666666689</v>
      </c>
      <c r="P54" s="1"/>
      <c r="Q54" s="1">
        <v>98.333333333333314</v>
      </c>
      <c r="R54" s="1"/>
      <c r="S54" s="1">
        <f t="shared" si="4"/>
        <v>16</v>
      </c>
      <c r="T54" s="5">
        <f t="shared" si="15"/>
        <v>25</v>
      </c>
      <c r="U54" s="5"/>
      <c r="V54" s="1"/>
      <c r="W54" s="1"/>
      <c r="X54" s="1">
        <f t="shared" si="5"/>
        <v>11</v>
      </c>
      <c r="Y54" s="1">
        <f t="shared" si="6"/>
        <v>9.4375</v>
      </c>
      <c r="Z54" s="1">
        <v>16</v>
      </c>
      <c r="AA54" s="1">
        <v>12.33333333333333</v>
      </c>
      <c r="AB54" s="1">
        <v>9.8000000000000007</v>
      </c>
      <c r="AC54" s="1">
        <v>15.4</v>
      </c>
      <c r="AD54" s="1">
        <v>14</v>
      </c>
      <c r="AE54" s="1">
        <v>14.6</v>
      </c>
      <c r="AF54" s="1">
        <v>17</v>
      </c>
      <c r="AG54" s="1">
        <v>16.399999999999999</v>
      </c>
      <c r="AH54" s="1" t="s">
        <v>96</v>
      </c>
      <c r="AI54" s="1">
        <f t="shared" si="16"/>
        <v>10</v>
      </c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97</v>
      </c>
      <c r="B55" s="1" t="s">
        <v>38</v>
      </c>
      <c r="C55" s="1">
        <v>74.450999999999993</v>
      </c>
      <c r="D55" s="1">
        <v>36.058999999999997</v>
      </c>
      <c r="E55" s="1">
        <v>96.781000000000006</v>
      </c>
      <c r="F55" s="1">
        <v>2.8540000000000001</v>
      </c>
      <c r="G55" s="8">
        <v>1</v>
      </c>
      <c r="H55" s="1">
        <v>50</v>
      </c>
      <c r="I55" s="1" t="s">
        <v>39</v>
      </c>
      <c r="J55" s="1"/>
      <c r="K55" s="1">
        <v>186.7</v>
      </c>
      <c r="L55" s="1">
        <f t="shared" si="14"/>
        <v>-89.918999999999983</v>
      </c>
      <c r="M55" s="1">
        <f t="shared" si="3"/>
        <v>96.781000000000006</v>
      </c>
      <c r="N55" s="1"/>
      <c r="O55" s="1">
        <v>323.74270583333339</v>
      </c>
      <c r="P55" s="1"/>
      <c r="Q55" s="1">
        <v>109.8756666666666</v>
      </c>
      <c r="R55" s="1"/>
      <c r="S55" s="1">
        <f t="shared" si="4"/>
        <v>19.356200000000001</v>
      </c>
      <c r="T55" s="5"/>
      <c r="U55" s="5"/>
      <c r="V55" s="1"/>
      <c r="W55" s="1"/>
      <c r="X55" s="1">
        <f t="shared" si="5"/>
        <v>22.549486598609231</v>
      </c>
      <c r="Y55" s="1">
        <f t="shared" si="6"/>
        <v>22.549486598609231</v>
      </c>
      <c r="Z55" s="1">
        <v>39.077166666666663</v>
      </c>
      <c r="AA55" s="1">
        <v>52.681666666666672</v>
      </c>
      <c r="AB55" s="1">
        <v>34.299999999999997</v>
      </c>
      <c r="AC55" s="1">
        <v>24.556799999999999</v>
      </c>
      <c r="AD55" s="1">
        <v>46.5458</v>
      </c>
      <c r="AE55" s="1">
        <v>33.462800000000001</v>
      </c>
      <c r="AF55" s="1">
        <v>19.481000000000002</v>
      </c>
      <c r="AG55" s="1">
        <v>17.349799999999998</v>
      </c>
      <c r="AH55" s="1"/>
      <c r="AI55" s="1">
        <f t="shared" si="16"/>
        <v>0</v>
      </c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98</v>
      </c>
      <c r="B56" s="1" t="s">
        <v>43</v>
      </c>
      <c r="C56" s="1">
        <v>312</v>
      </c>
      <c r="D56" s="1"/>
      <c r="E56" s="1">
        <v>85</v>
      </c>
      <c r="F56" s="1">
        <v>227</v>
      </c>
      <c r="G56" s="8">
        <v>0.1</v>
      </c>
      <c r="H56" s="1">
        <v>730</v>
      </c>
      <c r="I56" s="1" t="s">
        <v>39</v>
      </c>
      <c r="J56" s="1"/>
      <c r="K56" s="1">
        <v>85</v>
      </c>
      <c r="L56" s="1">
        <f t="shared" si="14"/>
        <v>0</v>
      </c>
      <c r="M56" s="1">
        <f t="shared" si="3"/>
        <v>85</v>
      </c>
      <c r="N56" s="1"/>
      <c r="O56" s="1">
        <v>0</v>
      </c>
      <c r="P56" s="1"/>
      <c r="Q56" s="1">
        <v>0</v>
      </c>
      <c r="R56" s="1"/>
      <c r="S56" s="1">
        <f t="shared" si="4"/>
        <v>17</v>
      </c>
      <c r="T56" s="5"/>
      <c r="U56" s="5"/>
      <c r="V56" s="1"/>
      <c r="W56" s="1"/>
      <c r="X56" s="1">
        <f t="shared" si="5"/>
        <v>13.352941176470589</v>
      </c>
      <c r="Y56" s="1">
        <f t="shared" si="6"/>
        <v>13.352941176470589</v>
      </c>
      <c r="Z56" s="1">
        <v>12.33333333333333</v>
      </c>
      <c r="AA56" s="1">
        <v>10</v>
      </c>
      <c r="AB56" s="1">
        <v>15.2</v>
      </c>
      <c r="AC56" s="1">
        <v>27</v>
      </c>
      <c r="AD56" s="1">
        <v>26</v>
      </c>
      <c r="AE56" s="1">
        <v>21</v>
      </c>
      <c r="AF56" s="1">
        <v>23.8</v>
      </c>
      <c r="AG56" s="1">
        <v>25</v>
      </c>
      <c r="AH56" s="1"/>
      <c r="AI56" s="1">
        <f t="shared" si="16"/>
        <v>0</v>
      </c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99</v>
      </c>
      <c r="B57" s="1" t="s">
        <v>38</v>
      </c>
      <c r="C57" s="1">
        <v>687.02300000000002</v>
      </c>
      <c r="D57" s="1">
        <v>1182.1949999999999</v>
      </c>
      <c r="E57" s="1">
        <v>720.51599999999996</v>
      </c>
      <c r="F57" s="1">
        <v>188.25200000000001</v>
      </c>
      <c r="G57" s="8">
        <v>1</v>
      </c>
      <c r="H57" s="1">
        <v>50</v>
      </c>
      <c r="I57" s="1" t="s">
        <v>39</v>
      </c>
      <c r="J57" s="1"/>
      <c r="K57" s="1">
        <v>748.95299999999997</v>
      </c>
      <c r="L57" s="1">
        <f t="shared" si="14"/>
        <v>-28.437000000000012</v>
      </c>
      <c r="M57" s="1">
        <f t="shared" si="3"/>
        <v>634.79300000000001</v>
      </c>
      <c r="N57" s="1">
        <v>85.722999999999999</v>
      </c>
      <c r="O57" s="1">
        <v>918.76118666499997</v>
      </c>
      <c r="P57" s="1">
        <v>1000</v>
      </c>
      <c r="Q57" s="1">
        <v>585.37520000000018</v>
      </c>
      <c r="R57" s="1">
        <v>387.97703999999999</v>
      </c>
      <c r="S57" s="1">
        <f t="shared" si="4"/>
        <v>126.9586</v>
      </c>
      <c r="T57" s="5"/>
      <c r="U57" s="5"/>
      <c r="V57" s="1"/>
      <c r="W57" s="1"/>
      <c r="X57" s="1">
        <f t="shared" si="5"/>
        <v>24.262755155341978</v>
      </c>
      <c r="Y57" s="1">
        <f t="shared" si="6"/>
        <v>24.262755155341978</v>
      </c>
      <c r="Z57" s="1">
        <v>239.49199999999999</v>
      </c>
      <c r="AA57" s="1">
        <v>312.97966666666667</v>
      </c>
      <c r="AB57" s="1">
        <v>156.31059999999999</v>
      </c>
      <c r="AC57" s="1">
        <v>140.68879999999999</v>
      </c>
      <c r="AD57" s="1">
        <v>132.6848</v>
      </c>
      <c r="AE57" s="1">
        <v>108.95659999999999</v>
      </c>
      <c r="AF57" s="1">
        <v>114.7846</v>
      </c>
      <c r="AG57" s="1">
        <v>101.64019999999999</v>
      </c>
      <c r="AH57" s="1"/>
      <c r="AI57" s="1">
        <f t="shared" si="16"/>
        <v>0</v>
      </c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100</v>
      </c>
      <c r="B58" s="1" t="s">
        <v>38</v>
      </c>
      <c r="C58" s="1">
        <v>75.677999999999997</v>
      </c>
      <c r="D58" s="1">
        <v>57.924999999999997</v>
      </c>
      <c r="E58" s="1">
        <v>87.248999999999995</v>
      </c>
      <c r="F58" s="1">
        <v>39.139000000000003</v>
      </c>
      <c r="G58" s="8">
        <v>1</v>
      </c>
      <c r="H58" s="1">
        <v>50</v>
      </c>
      <c r="I58" s="1" t="s">
        <v>39</v>
      </c>
      <c r="J58" s="1"/>
      <c r="K58" s="1">
        <v>107.27200000000001</v>
      </c>
      <c r="L58" s="1">
        <f t="shared" si="14"/>
        <v>-20.02300000000001</v>
      </c>
      <c r="M58" s="1">
        <f t="shared" si="3"/>
        <v>54.817999999999998</v>
      </c>
      <c r="N58" s="1">
        <v>32.430999999999997</v>
      </c>
      <c r="O58" s="1">
        <v>0</v>
      </c>
      <c r="P58" s="1"/>
      <c r="Q58" s="1">
        <v>0</v>
      </c>
      <c r="R58" s="1"/>
      <c r="S58" s="1">
        <f t="shared" si="4"/>
        <v>10.9636</v>
      </c>
      <c r="T58" s="5">
        <f>10*S58-R58-Q58-P58-O58-F58</f>
        <v>70.496999999999986</v>
      </c>
      <c r="U58" s="5"/>
      <c r="V58" s="1"/>
      <c r="W58" s="1"/>
      <c r="X58" s="1">
        <f t="shared" si="5"/>
        <v>10</v>
      </c>
      <c r="Y58" s="1">
        <f t="shared" si="6"/>
        <v>3.5699040461162395</v>
      </c>
      <c r="Z58" s="1">
        <v>5.243666666666666</v>
      </c>
      <c r="AA58" s="1">
        <v>8.0398333333333341</v>
      </c>
      <c r="AB58" s="1">
        <v>9.7560000000000002</v>
      </c>
      <c r="AC58" s="1">
        <v>9.4539999999999988</v>
      </c>
      <c r="AD58" s="1">
        <v>8.9174000000000007</v>
      </c>
      <c r="AE58" s="1">
        <v>7.0279999999999996</v>
      </c>
      <c r="AF58" s="1">
        <v>7.0244</v>
      </c>
      <c r="AG58" s="1">
        <v>6.4551999999999996</v>
      </c>
      <c r="AH58" s="1" t="s">
        <v>101</v>
      </c>
      <c r="AI58" s="1">
        <f t="shared" si="16"/>
        <v>70.496999999999986</v>
      </c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102</v>
      </c>
      <c r="B59" s="1" t="s">
        <v>43</v>
      </c>
      <c r="C59" s="1">
        <v>345</v>
      </c>
      <c r="D59" s="1"/>
      <c r="E59" s="1">
        <v>99</v>
      </c>
      <c r="F59" s="1">
        <v>246</v>
      </c>
      <c r="G59" s="8">
        <v>0.1</v>
      </c>
      <c r="H59" s="1">
        <v>730</v>
      </c>
      <c r="I59" s="1" t="s">
        <v>39</v>
      </c>
      <c r="J59" s="1"/>
      <c r="K59" s="1">
        <v>99</v>
      </c>
      <c r="L59" s="1">
        <f t="shared" si="14"/>
        <v>0</v>
      </c>
      <c r="M59" s="1">
        <f t="shared" si="3"/>
        <v>99</v>
      </c>
      <c r="N59" s="1"/>
      <c r="O59" s="1">
        <v>0</v>
      </c>
      <c r="P59" s="1"/>
      <c r="Q59" s="1">
        <v>0</v>
      </c>
      <c r="R59" s="1"/>
      <c r="S59" s="1">
        <f t="shared" si="4"/>
        <v>19.8</v>
      </c>
      <c r="T59" s="5"/>
      <c r="U59" s="5"/>
      <c r="V59" s="1"/>
      <c r="W59" s="1"/>
      <c r="X59" s="1">
        <f t="shared" si="5"/>
        <v>12.424242424242424</v>
      </c>
      <c r="Y59" s="1">
        <f t="shared" si="6"/>
        <v>12.424242424242424</v>
      </c>
      <c r="Z59" s="1">
        <v>12.33333333333333</v>
      </c>
      <c r="AA59" s="1">
        <v>10.83333333333333</v>
      </c>
      <c r="AB59" s="1">
        <v>16.600000000000001</v>
      </c>
      <c r="AC59" s="1">
        <v>26</v>
      </c>
      <c r="AD59" s="1">
        <v>25.4</v>
      </c>
      <c r="AE59" s="1">
        <v>22</v>
      </c>
      <c r="AF59" s="1">
        <v>23.6</v>
      </c>
      <c r="AG59" s="1">
        <v>26.2</v>
      </c>
      <c r="AH59" s="1"/>
      <c r="AI59" s="1">
        <f t="shared" si="16"/>
        <v>0</v>
      </c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 t="s">
        <v>103</v>
      </c>
      <c r="B60" s="1" t="s">
        <v>43</v>
      </c>
      <c r="C60" s="1">
        <v>205</v>
      </c>
      <c r="D60" s="1">
        <v>216</v>
      </c>
      <c r="E60" s="1">
        <v>131</v>
      </c>
      <c r="F60" s="1">
        <v>254</v>
      </c>
      <c r="G60" s="8">
        <v>0.4</v>
      </c>
      <c r="H60" s="1">
        <v>50</v>
      </c>
      <c r="I60" s="1" t="s">
        <v>39</v>
      </c>
      <c r="J60" s="1"/>
      <c r="K60" s="1">
        <v>167</v>
      </c>
      <c r="L60" s="1">
        <f t="shared" si="14"/>
        <v>-36</v>
      </c>
      <c r="M60" s="1">
        <f t="shared" si="3"/>
        <v>81</v>
      </c>
      <c r="N60" s="1">
        <v>50</v>
      </c>
      <c r="O60" s="1">
        <v>16.871392666666679</v>
      </c>
      <c r="P60" s="1"/>
      <c r="Q60" s="1">
        <v>0</v>
      </c>
      <c r="R60" s="1"/>
      <c r="S60" s="1">
        <f t="shared" si="4"/>
        <v>16.2</v>
      </c>
      <c r="T60" s="5"/>
      <c r="U60" s="5"/>
      <c r="V60" s="1"/>
      <c r="W60" s="1"/>
      <c r="X60" s="1">
        <f t="shared" si="5"/>
        <v>16.72045633744856</v>
      </c>
      <c r="Y60" s="1">
        <f t="shared" si="6"/>
        <v>16.72045633744856</v>
      </c>
      <c r="Z60" s="1">
        <v>17.166666666666671</v>
      </c>
      <c r="AA60" s="1">
        <v>35.833333333333343</v>
      </c>
      <c r="AB60" s="1">
        <v>41.8</v>
      </c>
      <c r="AC60" s="1">
        <v>21.761199999999999</v>
      </c>
      <c r="AD60" s="1">
        <v>21.6</v>
      </c>
      <c r="AE60" s="1">
        <v>23.8</v>
      </c>
      <c r="AF60" s="1">
        <v>22</v>
      </c>
      <c r="AG60" s="1">
        <v>25.4</v>
      </c>
      <c r="AH60" s="1"/>
      <c r="AI60" s="1">
        <f t="shared" si="16"/>
        <v>0</v>
      </c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104</v>
      </c>
      <c r="B61" s="1" t="s">
        <v>38</v>
      </c>
      <c r="C61" s="1">
        <v>114.23</v>
      </c>
      <c r="D61" s="1">
        <v>41.720999999999997</v>
      </c>
      <c r="E61" s="1">
        <v>61.131999999999998</v>
      </c>
      <c r="F61" s="1">
        <v>69.210999999999999</v>
      </c>
      <c r="G61" s="8">
        <v>1</v>
      </c>
      <c r="H61" s="1">
        <v>40</v>
      </c>
      <c r="I61" s="1" t="s">
        <v>39</v>
      </c>
      <c r="J61" s="1"/>
      <c r="K61" s="1">
        <v>63</v>
      </c>
      <c r="L61" s="1">
        <f t="shared" si="14"/>
        <v>-1.8680000000000021</v>
      </c>
      <c r="M61" s="1">
        <f t="shared" si="3"/>
        <v>61.131999999999998</v>
      </c>
      <c r="N61" s="1"/>
      <c r="O61" s="1">
        <v>64.316333333333347</v>
      </c>
      <c r="P61" s="1"/>
      <c r="Q61" s="1">
        <v>0</v>
      </c>
      <c r="R61" s="1"/>
      <c r="S61" s="1">
        <f t="shared" si="4"/>
        <v>12.2264</v>
      </c>
      <c r="T61" s="5"/>
      <c r="U61" s="5"/>
      <c r="V61" s="1"/>
      <c r="W61" s="1"/>
      <c r="X61" s="1">
        <f t="shared" si="5"/>
        <v>10.921230561189994</v>
      </c>
      <c r="Y61" s="1">
        <f t="shared" si="6"/>
        <v>10.921230561189994</v>
      </c>
      <c r="Z61" s="1">
        <v>6.7670000000000003</v>
      </c>
      <c r="AA61" s="1">
        <v>16.099666666666671</v>
      </c>
      <c r="AB61" s="1">
        <v>10.4344</v>
      </c>
      <c r="AC61" s="1">
        <v>10.0336</v>
      </c>
      <c r="AD61" s="1">
        <v>14.316800000000001</v>
      </c>
      <c r="AE61" s="1">
        <v>7.9794</v>
      </c>
      <c r="AF61" s="1">
        <v>6.9054000000000002</v>
      </c>
      <c r="AG61" s="1">
        <v>6.2113999999999994</v>
      </c>
      <c r="AH61" s="1"/>
      <c r="AI61" s="1">
        <f t="shared" si="16"/>
        <v>0</v>
      </c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 t="s">
        <v>105</v>
      </c>
      <c r="B62" s="1" t="s">
        <v>38</v>
      </c>
      <c r="C62" s="1">
        <v>36.890999999999998</v>
      </c>
      <c r="D62" s="1">
        <v>48.904000000000003</v>
      </c>
      <c r="E62" s="1">
        <v>8.7789999999999999</v>
      </c>
      <c r="F62" s="1">
        <v>76.221000000000004</v>
      </c>
      <c r="G62" s="8">
        <v>1</v>
      </c>
      <c r="H62" s="1">
        <v>40</v>
      </c>
      <c r="I62" s="1" t="s">
        <v>39</v>
      </c>
      <c r="J62" s="1"/>
      <c r="K62" s="1">
        <v>30.4</v>
      </c>
      <c r="L62" s="1">
        <f t="shared" si="14"/>
        <v>-21.620999999999999</v>
      </c>
      <c r="M62" s="1">
        <f t="shared" si="3"/>
        <v>8.7789999999999999</v>
      </c>
      <c r="N62" s="1"/>
      <c r="O62" s="1">
        <v>15.482555166666661</v>
      </c>
      <c r="P62" s="1"/>
      <c r="Q62" s="1">
        <v>0</v>
      </c>
      <c r="R62" s="1"/>
      <c r="S62" s="1">
        <f t="shared" si="4"/>
        <v>1.7558</v>
      </c>
      <c r="T62" s="5"/>
      <c r="U62" s="5"/>
      <c r="V62" s="1"/>
      <c r="W62" s="1"/>
      <c r="X62" s="1">
        <f t="shared" si="5"/>
        <v>52.228929927478447</v>
      </c>
      <c r="Y62" s="1">
        <f t="shared" si="6"/>
        <v>52.228929927478447</v>
      </c>
      <c r="Z62" s="1">
        <v>1.2138333333333331</v>
      </c>
      <c r="AA62" s="1">
        <v>7.4118333333333331</v>
      </c>
      <c r="AB62" s="1">
        <v>7.2992000000000008</v>
      </c>
      <c r="AC62" s="1">
        <v>2.4436</v>
      </c>
      <c r="AD62" s="1">
        <v>1.631</v>
      </c>
      <c r="AE62" s="1">
        <v>1.9201999999999999</v>
      </c>
      <c r="AF62" s="1">
        <v>4.9551999999999996</v>
      </c>
      <c r="AG62" s="1">
        <v>5.2279999999999998</v>
      </c>
      <c r="AH62" s="20" t="s">
        <v>147</v>
      </c>
      <c r="AI62" s="1">
        <f t="shared" si="16"/>
        <v>0</v>
      </c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106</v>
      </c>
      <c r="B63" s="1" t="s">
        <v>43</v>
      </c>
      <c r="C63" s="1">
        <v>1390</v>
      </c>
      <c r="D63" s="1">
        <v>712</v>
      </c>
      <c r="E63" s="1">
        <v>866</v>
      </c>
      <c r="F63" s="1">
        <v>837</v>
      </c>
      <c r="G63" s="8">
        <v>0.4</v>
      </c>
      <c r="H63" s="1">
        <v>40</v>
      </c>
      <c r="I63" s="1" t="s">
        <v>39</v>
      </c>
      <c r="J63" s="1"/>
      <c r="K63" s="1">
        <v>1102</v>
      </c>
      <c r="L63" s="1">
        <f t="shared" si="14"/>
        <v>-236</v>
      </c>
      <c r="M63" s="1">
        <f t="shared" si="3"/>
        <v>632</v>
      </c>
      <c r="N63" s="1">
        <v>234</v>
      </c>
      <c r="O63" s="1">
        <v>0</v>
      </c>
      <c r="P63" s="1"/>
      <c r="Q63" s="1">
        <v>15.22622000000001</v>
      </c>
      <c r="R63" s="1"/>
      <c r="S63" s="1">
        <f t="shared" si="4"/>
        <v>126.4</v>
      </c>
      <c r="T63" s="5">
        <f t="shared" si="15"/>
        <v>538.17378000000008</v>
      </c>
      <c r="U63" s="5"/>
      <c r="V63" s="1"/>
      <c r="W63" s="1"/>
      <c r="X63" s="1">
        <f t="shared" si="5"/>
        <v>11</v>
      </c>
      <c r="Y63" s="1">
        <f t="shared" si="6"/>
        <v>6.7422960443037976</v>
      </c>
      <c r="Z63" s="1">
        <v>117.8333333333333</v>
      </c>
      <c r="AA63" s="1">
        <v>129.16666666666671</v>
      </c>
      <c r="AB63" s="1">
        <v>150.6</v>
      </c>
      <c r="AC63" s="1">
        <v>182.4</v>
      </c>
      <c r="AD63" s="1">
        <v>162.4</v>
      </c>
      <c r="AE63" s="1">
        <v>141</v>
      </c>
      <c r="AF63" s="1">
        <v>149.19999999999999</v>
      </c>
      <c r="AG63" s="1">
        <v>132.6</v>
      </c>
      <c r="AH63" s="1"/>
      <c r="AI63" s="1">
        <f t="shared" si="16"/>
        <v>215.26951200000005</v>
      </c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107</v>
      </c>
      <c r="B64" s="1" t="s">
        <v>43</v>
      </c>
      <c r="C64" s="1">
        <v>717</v>
      </c>
      <c r="D64" s="1">
        <v>496</v>
      </c>
      <c r="E64" s="1">
        <v>619</v>
      </c>
      <c r="F64" s="1">
        <v>438</v>
      </c>
      <c r="G64" s="8">
        <v>0.4</v>
      </c>
      <c r="H64" s="1">
        <v>40</v>
      </c>
      <c r="I64" s="1" t="s">
        <v>39</v>
      </c>
      <c r="J64" s="1"/>
      <c r="K64" s="1">
        <v>729</v>
      </c>
      <c r="L64" s="1">
        <f t="shared" si="14"/>
        <v>-110</v>
      </c>
      <c r="M64" s="1">
        <f t="shared" si="3"/>
        <v>493</v>
      </c>
      <c r="N64" s="1">
        <v>126</v>
      </c>
      <c r="O64" s="1">
        <v>101.3552199999999</v>
      </c>
      <c r="P64" s="1"/>
      <c r="Q64" s="1">
        <v>367.5</v>
      </c>
      <c r="R64" s="1"/>
      <c r="S64" s="1">
        <f t="shared" si="4"/>
        <v>98.6</v>
      </c>
      <c r="T64" s="5">
        <f t="shared" si="15"/>
        <v>177.74477999999999</v>
      </c>
      <c r="U64" s="5"/>
      <c r="V64" s="1"/>
      <c r="W64" s="1"/>
      <c r="X64" s="1">
        <f t="shared" si="5"/>
        <v>11</v>
      </c>
      <c r="Y64" s="1">
        <f t="shared" si="6"/>
        <v>9.1973146044624752</v>
      </c>
      <c r="Z64" s="1">
        <v>104.5</v>
      </c>
      <c r="AA64" s="1">
        <v>102.5</v>
      </c>
      <c r="AB64" s="1">
        <v>102.8</v>
      </c>
      <c r="AC64" s="1">
        <v>114.4</v>
      </c>
      <c r="AD64" s="1">
        <v>112.4</v>
      </c>
      <c r="AE64" s="1">
        <v>104.4</v>
      </c>
      <c r="AF64" s="1">
        <v>112</v>
      </c>
      <c r="AG64" s="1">
        <v>91.2</v>
      </c>
      <c r="AH64" s="1"/>
      <c r="AI64" s="1">
        <f t="shared" si="16"/>
        <v>71.097911999999994</v>
      </c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108</v>
      </c>
      <c r="B65" s="1" t="s">
        <v>38</v>
      </c>
      <c r="C65" s="1">
        <v>150.66499999999999</v>
      </c>
      <c r="D65" s="1">
        <v>2199.009</v>
      </c>
      <c r="E65" s="1">
        <v>633.63199999999995</v>
      </c>
      <c r="F65" s="1">
        <v>887.94200000000001</v>
      </c>
      <c r="G65" s="8">
        <v>1</v>
      </c>
      <c r="H65" s="1">
        <v>40</v>
      </c>
      <c r="I65" s="1" t="s">
        <v>39</v>
      </c>
      <c r="J65" s="1"/>
      <c r="K65" s="1">
        <v>968.95600000000002</v>
      </c>
      <c r="L65" s="1">
        <f t="shared" si="14"/>
        <v>-335.32400000000007</v>
      </c>
      <c r="M65" s="1">
        <f t="shared" si="3"/>
        <v>272.01399999999995</v>
      </c>
      <c r="N65" s="1">
        <v>361.61799999999999</v>
      </c>
      <c r="O65" s="1">
        <v>990.60788166666703</v>
      </c>
      <c r="P65" s="1"/>
      <c r="Q65" s="1">
        <v>0</v>
      </c>
      <c r="R65" s="1"/>
      <c r="S65" s="1">
        <f t="shared" si="4"/>
        <v>54.402799999999992</v>
      </c>
      <c r="T65" s="5"/>
      <c r="U65" s="5"/>
      <c r="V65" s="1"/>
      <c r="W65" s="1"/>
      <c r="X65" s="1">
        <f t="shared" si="5"/>
        <v>34.530389642935056</v>
      </c>
      <c r="Y65" s="1">
        <f t="shared" si="6"/>
        <v>34.530389642935056</v>
      </c>
      <c r="Z65" s="1">
        <v>109.66549999999999</v>
      </c>
      <c r="AA65" s="1">
        <v>227.04983333333331</v>
      </c>
      <c r="AB65" s="1">
        <v>231.61019999999999</v>
      </c>
      <c r="AC65" s="1">
        <v>130.88919999999999</v>
      </c>
      <c r="AD65" s="1">
        <v>145.9238</v>
      </c>
      <c r="AE65" s="1">
        <v>154.0566</v>
      </c>
      <c r="AF65" s="1">
        <v>143.7722</v>
      </c>
      <c r="AG65" s="1">
        <v>147.16999999999999</v>
      </c>
      <c r="AH65" s="1"/>
      <c r="AI65" s="1">
        <f t="shared" si="16"/>
        <v>0</v>
      </c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109</v>
      </c>
      <c r="B66" s="1" t="s">
        <v>38</v>
      </c>
      <c r="C66" s="1">
        <v>44.85</v>
      </c>
      <c r="D66" s="1">
        <v>8.9290000000000003</v>
      </c>
      <c r="E66" s="1">
        <v>1.907</v>
      </c>
      <c r="F66" s="1">
        <v>8.1790000000000003</v>
      </c>
      <c r="G66" s="8">
        <v>1</v>
      </c>
      <c r="H66" s="1">
        <v>40</v>
      </c>
      <c r="I66" s="1" t="s">
        <v>39</v>
      </c>
      <c r="J66" s="1"/>
      <c r="K66" s="1">
        <v>63.7</v>
      </c>
      <c r="L66" s="1">
        <f t="shared" si="14"/>
        <v>-61.793000000000006</v>
      </c>
      <c r="M66" s="1">
        <f t="shared" si="3"/>
        <v>1.907</v>
      </c>
      <c r="N66" s="1"/>
      <c r="O66" s="1">
        <v>146.22733333333329</v>
      </c>
      <c r="P66" s="1"/>
      <c r="Q66" s="1">
        <v>50.35566666666665</v>
      </c>
      <c r="R66" s="1"/>
      <c r="S66" s="1">
        <f t="shared" si="4"/>
        <v>0.38140000000000002</v>
      </c>
      <c r="T66" s="5"/>
      <c r="U66" s="5"/>
      <c r="V66" s="1"/>
      <c r="W66" s="1"/>
      <c r="X66" s="1">
        <f t="shared" si="5"/>
        <v>536.86942842160443</v>
      </c>
      <c r="Y66" s="1">
        <f t="shared" si="6"/>
        <v>536.86942842160443</v>
      </c>
      <c r="Z66" s="1">
        <v>17.063499999999991</v>
      </c>
      <c r="AA66" s="1">
        <v>22.588333333333331</v>
      </c>
      <c r="AB66" s="1">
        <v>19.980599999999999</v>
      </c>
      <c r="AC66" s="1">
        <v>38.773400000000002</v>
      </c>
      <c r="AD66" s="1">
        <v>30.109600000000011</v>
      </c>
      <c r="AE66" s="1">
        <v>11.0832</v>
      </c>
      <c r="AF66" s="1">
        <v>20.750800000000002</v>
      </c>
      <c r="AG66" s="1">
        <v>39.793799999999997</v>
      </c>
      <c r="AH66" s="1"/>
      <c r="AI66" s="1">
        <f t="shared" si="16"/>
        <v>0</v>
      </c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 t="s">
        <v>110</v>
      </c>
      <c r="B67" s="1" t="s">
        <v>38</v>
      </c>
      <c r="C67" s="1">
        <v>87.385999999999996</v>
      </c>
      <c r="D67" s="1">
        <v>63.027999999999999</v>
      </c>
      <c r="E67" s="1">
        <v>77.626999999999995</v>
      </c>
      <c r="F67" s="1">
        <v>35.786999999999999</v>
      </c>
      <c r="G67" s="8">
        <v>1</v>
      </c>
      <c r="H67" s="1">
        <v>40</v>
      </c>
      <c r="I67" s="1" t="s">
        <v>39</v>
      </c>
      <c r="J67" s="1"/>
      <c r="K67" s="1">
        <v>101.23399999999999</v>
      </c>
      <c r="L67" s="1">
        <f t="shared" si="14"/>
        <v>-23.606999999999999</v>
      </c>
      <c r="M67" s="1">
        <f t="shared" si="3"/>
        <v>72.192999999999998</v>
      </c>
      <c r="N67" s="1">
        <v>5.4340000000000002</v>
      </c>
      <c r="O67" s="1">
        <v>132.6222470000001</v>
      </c>
      <c r="P67" s="1"/>
      <c r="Q67" s="1">
        <v>68.267999999999958</v>
      </c>
      <c r="R67" s="1"/>
      <c r="S67" s="1">
        <f t="shared" si="4"/>
        <v>14.438599999999999</v>
      </c>
      <c r="T67" s="5"/>
      <c r="U67" s="5"/>
      <c r="V67" s="1"/>
      <c r="W67" s="1"/>
      <c r="X67" s="1">
        <f t="shared" si="5"/>
        <v>16.391980316651207</v>
      </c>
      <c r="Y67" s="1">
        <f t="shared" si="6"/>
        <v>16.391980316651207</v>
      </c>
      <c r="Z67" s="1">
        <v>23.942</v>
      </c>
      <c r="AA67" s="1">
        <v>21.972999999999999</v>
      </c>
      <c r="AB67" s="1">
        <v>19.435600000000001</v>
      </c>
      <c r="AC67" s="1">
        <v>27.9544</v>
      </c>
      <c r="AD67" s="1">
        <v>15.6214</v>
      </c>
      <c r="AE67" s="1">
        <v>30.359200000000001</v>
      </c>
      <c r="AF67" s="1">
        <v>25.82180000000001</v>
      </c>
      <c r="AG67" s="1">
        <v>32.968800000000002</v>
      </c>
      <c r="AH67" s="1"/>
      <c r="AI67" s="1">
        <f t="shared" si="16"/>
        <v>0</v>
      </c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 t="s">
        <v>111</v>
      </c>
      <c r="B68" s="1" t="s">
        <v>38</v>
      </c>
      <c r="C68" s="1">
        <v>81.730999999999995</v>
      </c>
      <c r="D68" s="1">
        <v>22.335999999999999</v>
      </c>
      <c r="E68" s="1">
        <v>64.242999999999995</v>
      </c>
      <c r="F68" s="1">
        <v>10.222</v>
      </c>
      <c r="G68" s="8">
        <v>1</v>
      </c>
      <c r="H68" s="1">
        <v>30</v>
      </c>
      <c r="I68" s="1" t="s">
        <v>39</v>
      </c>
      <c r="J68" s="1"/>
      <c r="K68" s="1">
        <v>85</v>
      </c>
      <c r="L68" s="1">
        <f t="shared" si="14"/>
        <v>-20.757000000000005</v>
      </c>
      <c r="M68" s="1">
        <f t="shared" si="3"/>
        <v>64.242999999999995</v>
      </c>
      <c r="N68" s="1"/>
      <c r="O68" s="1">
        <v>80.004500000000007</v>
      </c>
      <c r="P68" s="1"/>
      <c r="Q68" s="1">
        <v>20.945499999999971</v>
      </c>
      <c r="R68" s="1"/>
      <c r="S68" s="1">
        <f t="shared" si="4"/>
        <v>12.848599999999999</v>
      </c>
      <c r="T68" s="5">
        <f t="shared" si="15"/>
        <v>30.162600000000019</v>
      </c>
      <c r="U68" s="5"/>
      <c r="V68" s="1"/>
      <c r="W68" s="1"/>
      <c r="X68" s="1">
        <f t="shared" si="5"/>
        <v>11</v>
      </c>
      <c r="Y68" s="1">
        <f t="shared" si="6"/>
        <v>8.6524601902152742</v>
      </c>
      <c r="Z68" s="1">
        <v>14.042999999999999</v>
      </c>
      <c r="AA68" s="1">
        <v>16.8095</v>
      </c>
      <c r="AB68" s="1">
        <v>9.7992000000000008</v>
      </c>
      <c r="AC68" s="1">
        <v>16.130199999999999</v>
      </c>
      <c r="AD68" s="1">
        <v>12.4094</v>
      </c>
      <c r="AE68" s="1">
        <v>14.855</v>
      </c>
      <c r="AF68" s="1">
        <v>16.055199999999999</v>
      </c>
      <c r="AG68" s="1">
        <v>11.606999999999999</v>
      </c>
      <c r="AH68" s="1"/>
      <c r="AI68" s="1">
        <f t="shared" si="16"/>
        <v>30.162600000000019</v>
      </c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 t="s">
        <v>112</v>
      </c>
      <c r="B69" s="1" t="s">
        <v>43</v>
      </c>
      <c r="C69" s="1">
        <v>353</v>
      </c>
      <c r="D69" s="1">
        <v>6</v>
      </c>
      <c r="E69" s="1">
        <v>125</v>
      </c>
      <c r="F69" s="1">
        <v>224</v>
      </c>
      <c r="G69" s="8">
        <v>0.6</v>
      </c>
      <c r="H69" s="1">
        <v>60</v>
      </c>
      <c r="I69" s="11" t="s">
        <v>86</v>
      </c>
      <c r="J69" s="1"/>
      <c r="K69" s="1">
        <v>125</v>
      </c>
      <c r="L69" s="1">
        <f t="shared" si="14"/>
        <v>0</v>
      </c>
      <c r="M69" s="1">
        <f t="shared" si="3"/>
        <v>125</v>
      </c>
      <c r="N69" s="1"/>
      <c r="O69" s="1">
        <v>258.33333333333331</v>
      </c>
      <c r="P69" s="1"/>
      <c r="Q69" s="1">
        <v>0</v>
      </c>
      <c r="R69" s="1"/>
      <c r="S69" s="1">
        <f t="shared" si="4"/>
        <v>25</v>
      </c>
      <c r="T69" s="5"/>
      <c r="U69" s="5"/>
      <c r="V69" s="1"/>
      <c r="W69" s="1"/>
      <c r="X69" s="1">
        <f t="shared" si="5"/>
        <v>19.293333333333333</v>
      </c>
      <c r="Y69" s="1">
        <f t="shared" si="6"/>
        <v>19.293333333333333</v>
      </c>
      <c r="Z69" s="1">
        <v>35.166666666666657</v>
      </c>
      <c r="AA69" s="1">
        <v>54.666666666666657</v>
      </c>
      <c r="AB69" s="1">
        <v>42.4</v>
      </c>
      <c r="AC69" s="1">
        <v>57</v>
      </c>
      <c r="AD69" s="1">
        <v>42</v>
      </c>
      <c r="AE69" s="1">
        <v>33.799999999999997</v>
      </c>
      <c r="AF69" s="1">
        <v>18.2</v>
      </c>
      <c r="AG69" s="1">
        <v>16.2</v>
      </c>
      <c r="AH69" s="1" t="s">
        <v>47</v>
      </c>
      <c r="AI69" s="1">
        <f t="shared" si="16"/>
        <v>0</v>
      </c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 t="s">
        <v>113</v>
      </c>
      <c r="B70" s="1" t="s">
        <v>43</v>
      </c>
      <c r="C70" s="1">
        <v>321</v>
      </c>
      <c r="D70" s="1">
        <v>153</v>
      </c>
      <c r="E70" s="1">
        <v>21</v>
      </c>
      <c r="F70" s="1">
        <v>449</v>
      </c>
      <c r="G70" s="8">
        <v>0.6</v>
      </c>
      <c r="H70" s="1">
        <v>60</v>
      </c>
      <c r="I70" s="1" t="s">
        <v>39</v>
      </c>
      <c r="J70" s="1"/>
      <c r="K70" s="1">
        <v>21</v>
      </c>
      <c r="L70" s="1">
        <f t="shared" ref="L70:L96" si="17">E70-K70</f>
        <v>0</v>
      </c>
      <c r="M70" s="1">
        <f t="shared" si="3"/>
        <v>21</v>
      </c>
      <c r="N70" s="1"/>
      <c r="O70" s="1">
        <v>0</v>
      </c>
      <c r="P70" s="1"/>
      <c r="Q70" s="1">
        <v>0</v>
      </c>
      <c r="R70" s="1"/>
      <c r="S70" s="1">
        <f t="shared" si="4"/>
        <v>4.2</v>
      </c>
      <c r="T70" s="5"/>
      <c r="U70" s="5"/>
      <c r="V70" s="1"/>
      <c r="W70" s="1"/>
      <c r="X70" s="1">
        <f t="shared" si="5"/>
        <v>106.9047619047619</v>
      </c>
      <c r="Y70" s="1">
        <f t="shared" si="6"/>
        <v>106.9047619047619</v>
      </c>
      <c r="Z70" s="1">
        <v>6.5</v>
      </c>
      <c r="AA70" s="1">
        <v>31.166666666666671</v>
      </c>
      <c r="AB70" s="1">
        <v>33.4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9" t="s">
        <v>149</v>
      </c>
      <c r="AI70" s="1">
        <f t="shared" si="16"/>
        <v>0</v>
      </c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5" t="s">
        <v>114</v>
      </c>
      <c r="B71" s="15" t="s">
        <v>43</v>
      </c>
      <c r="C71" s="15"/>
      <c r="D71" s="15"/>
      <c r="E71" s="15"/>
      <c r="F71" s="15"/>
      <c r="G71" s="16">
        <v>0</v>
      </c>
      <c r="H71" s="15">
        <v>50</v>
      </c>
      <c r="I71" s="15" t="s">
        <v>39</v>
      </c>
      <c r="J71" s="15"/>
      <c r="K71" s="15"/>
      <c r="L71" s="15">
        <f t="shared" si="17"/>
        <v>0</v>
      </c>
      <c r="M71" s="15">
        <f t="shared" ref="M71:M96" si="18">E71-N71</f>
        <v>0</v>
      </c>
      <c r="N71" s="15"/>
      <c r="O71" s="15">
        <v>0</v>
      </c>
      <c r="P71" s="15"/>
      <c r="Q71" s="15">
        <v>0</v>
      </c>
      <c r="R71" s="15"/>
      <c r="S71" s="15">
        <f t="shared" ref="S71:S96" si="19">M71/5</f>
        <v>0</v>
      </c>
      <c r="T71" s="17"/>
      <c r="U71" s="17"/>
      <c r="V71" s="15"/>
      <c r="W71" s="15"/>
      <c r="X71" s="15" t="e">
        <f t="shared" ref="X71:X96" si="20">(F71+O71+P71+Q71+R71+T71)/S71</f>
        <v>#DIV/0!</v>
      </c>
      <c r="Y71" s="15" t="e">
        <f t="shared" ref="Y71:Y96" si="21">(F71+O71+P71+Q71+R71)/S71</f>
        <v>#DIV/0!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  <c r="AH71" s="15" t="s">
        <v>58</v>
      </c>
      <c r="AI71" s="15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5" t="s">
        <v>115</v>
      </c>
      <c r="B72" s="15" t="s">
        <v>43</v>
      </c>
      <c r="C72" s="15"/>
      <c r="D72" s="15"/>
      <c r="E72" s="15"/>
      <c r="F72" s="15"/>
      <c r="G72" s="16">
        <v>0</v>
      </c>
      <c r="H72" s="15">
        <v>30</v>
      </c>
      <c r="I72" s="15" t="s">
        <v>39</v>
      </c>
      <c r="J72" s="15"/>
      <c r="K72" s="15"/>
      <c r="L72" s="15">
        <f t="shared" si="17"/>
        <v>0</v>
      </c>
      <c r="M72" s="15">
        <f t="shared" si="18"/>
        <v>0</v>
      </c>
      <c r="N72" s="15"/>
      <c r="O72" s="15">
        <v>0</v>
      </c>
      <c r="P72" s="15"/>
      <c r="Q72" s="15">
        <v>0</v>
      </c>
      <c r="R72" s="15"/>
      <c r="S72" s="15">
        <f t="shared" si="19"/>
        <v>0</v>
      </c>
      <c r="T72" s="17"/>
      <c r="U72" s="17"/>
      <c r="V72" s="15"/>
      <c r="W72" s="15"/>
      <c r="X72" s="15" t="e">
        <f t="shared" si="20"/>
        <v>#DIV/0!</v>
      </c>
      <c r="Y72" s="15" t="e">
        <f t="shared" si="21"/>
        <v>#DIV/0!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  <c r="AH72" s="15" t="s">
        <v>58</v>
      </c>
      <c r="AI72" s="15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 t="s">
        <v>116</v>
      </c>
      <c r="B73" s="1" t="s">
        <v>43</v>
      </c>
      <c r="C73" s="1">
        <v>418</v>
      </c>
      <c r="D73" s="1">
        <v>1</v>
      </c>
      <c r="E73" s="1">
        <v>67</v>
      </c>
      <c r="F73" s="1">
        <v>338</v>
      </c>
      <c r="G73" s="8">
        <v>0.6</v>
      </c>
      <c r="H73" s="1">
        <v>55</v>
      </c>
      <c r="I73" s="11" t="s">
        <v>86</v>
      </c>
      <c r="J73" s="1"/>
      <c r="K73" s="1">
        <v>67</v>
      </c>
      <c r="L73" s="1">
        <f t="shared" si="17"/>
        <v>0</v>
      </c>
      <c r="M73" s="1">
        <f t="shared" si="18"/>
        <v>67</v>
      </c>
      <c r="N73" s="1"/>
      <c r="O73" s="1">
        <v>0</v>
      </c>
      <c r="P73" s="1"/>
      <c r="Q73" s="1">
        <v>0</v>
      </c>
      <c r="R73" s="1"/>
      <c r="S73" s="1">
        <f t="shared" si="19"/>
        <v>13.4</v>
      </c>
      <c r="T73" s="5"/>
      <c r="U73" s="5"/>
      <c r="V73" s="1"/>
      <c r="W73" s="1"/>
      <c r="X73" s="1">
        <f t="shared" si="20"/>
        <v>25.223880597014926</v>
      </c>
      <c r="Y73" s="1">
        <f t="shared" si="21"/>
        <v>25.223880597014926</v>
      </c>
      <c r="Z73" s="1">
        <v>19.5</v>
      </c>
      <c r="AA73" s="1">
        <v>28.5</v>
      </c>
      <c r="AB73" s="1">
        <v>27.6</v>
      </c>
      <c r="AC73" s="1">
        <v>30.6</v>
      </c>
      <c r="AD73" s="1">
        <v>37.4</v>
      </c>
      <c r="AE73" s="1">
        <v>31</v>
      </c>
      <c r="AF73" s="1">
        <v>16</v>
      </c>
      <c r="AG73" s="1">
        <v>12.4</v>
      </c>
      <c r="AH73" s="20" t="s">
        <v>147</v>
      </c>
      <c r="AI73" s="1">
        <f>G73*T73</f>
        <v>0</v>
      </c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5" t="s">
        <v>117</v>
      </c>
      <c r="B74" s="15" t="s">
        <v>43</v>
      </c>
      <c r="C74" s="15"/>
      <c r="D74" s="15"/>
      <c r="E74" s="15"/>
      <c r="F74" s="15"/>
      <c r="G74" s="16">
        <v>0</v>
      </c>
      <c r="H74" s="15">
        <v>40</v>
      </c>
      <c r="I74" s="15" t="s">
        <v>39</v>
      </c>
      <c r="J74" s="15"/>
      <c r="K74" s="15"/>
      <c r="L74" s="15">
        <f t="shared" si="17"/>
        <v>0</v>
      </c>
      <c r="M74" s="15">
        <f t="shared" si="18"/>
        <v>0</v>
      </c>
      <c r="N74" s="15"/>
      <c r="O74" s="15">
        <v>0</v>
      </c>
      <c r="P74" s="15"/>
      <c r="Q74" s="15">
        <v>0</v>
      </c>
      <c r="R74" s="15"/>
      <c r="S74" s="15">
        <f t="shared" si="19"/>
        <v>0</v>
      </c>
      <c r="T74" s="17"/>
      <c r="U74" s="17"/>
      <c r="V74" s="15"/>
      <c r="W74" s="15"/>
      <c r="X74" s="15" t="e">
        <f t="shared" si="20"/>
        <v>#DIV/0!</v>
      </c>
      <c r="Y74" s="15" t="e">
        <f t="shared" si="21"/>
        <v>#DIV/0!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  <c r="AH74" s="15" t="s">
        <v>118</v>
      </c>
      <c r="AI74" s="15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 t="s">
        <v>119</v>
      </c>
      <c r="B75" s="1" t="s">
        <v>43</v>
      </c>
      <c r="C75" s="1">
        <v>56</v>
      </c>
      <c r="D75" s="1">
        <v>61</v>
      </c>
      <c r="E75" s="1">
        <v>44</v>
      </c>
      <c r="F75" s="1">
        <v>45</v>
      </c>
      <c r="G75" s="8">
        <v>0.4</v>
      </c>
      <c r="H75" s="1">
        <v>50</v>
      </c>
      <c r="I75" s="1" t="s">
        <v>39</v>
      </c>
      <c r="J75" s="1"/>
      <c r="K75" s="1">
        <v>59</v>
      </c>
      <c r="L75" s="1">
        <f t="shared" si="17"/>
        <v>-15</v>
      </c>
      <c r="M75" s="1">
        <f t="shared" si="18"/>
        <v>44</v>
      </c>
      <c r="N75" s="1"/>
      <c r="O75" s="1">
        <v>87.904166666666697</v>
      </c>
      <c r="P75" s="1"/>
      <c r="Q75" s="1">
        <v>0</v>
      </c>
      <c r="R75" s="1"/>
      <c r="S75" s="1">
        <f t="shared" si="19"/>
        <v>8.8000000000000007</v>
      </c>
      <c r="T75" s="5"/>
      <c r="U75" s="5"/>
      <c r="V75" s="1"/>
      <c r="W75" s="1"/>
      <c r="X75" s="1">
        <f t="shared" si="20"/>
        <v>15.102746212121215</v>
      </c>
      <c r="Y75" s="1">
        <f t="shared" si="21"/>
        <v>15.102746212121215</v>
      </c>
      <c r="Z75" s="1">
        <v>8.8333333333333339</v>
      </c>
      <c r="AA75" s="1">
        <v>15.83333333333333</v>
      </c>
      <c r="AB75" s="1">
        <v>11.2</v>
      </c>
      <c r="AC75" s="1">
        <v>9.1999999999999993</v>
      </c>
      <c r="AD75" s="1">
        <v>8.6</v>
      </c>
      <c r="AE75" s="1">
        <v>9.8000000000000007</v>
      </c>
      <c r="AF75" s="1">
        <v>8.4</v>
      </c>
      <c r="AG75" s="1">
        <v>7.4</v>
      </c>
      <c r="AH75" s="1" t="s">
        <v>47</v>
      </c>
      <c r="AI75" s="1">
        <f>G75*T75</f>
        <v>0</v>
      </c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5" t="s">
        <v>120</v>
      </c>
      <c r="B76" s="15" t="s">
        <v>43</v>
      </c>
      <c r="C76" s="15"/>
      <c r="D76" s="15"/>
      <c r="E76" s="15"/>
      <c r="F76" s="15"/>
      <c r="G76" s="16">
        <v>0</v>
      </c>
      <c r="H76" s="15">
        <v>55</v>
      </c>
      <c r="I76" s="15" t="s">
        <v>39</v>
      </c>
      <c r="J76" s="15"/>
      <c r="K76" s="15"/>
      <c r="L76" s="15">
        <f t="shared" si="17"/>
        <v>0</v>
      </c>
      <c r="M76" s="15">
        <f t="shared" si="18"/>
        <v>0</v>
      </c>
      <c r="N76" s="15"/>
      <c r="O76" s="15">
        <v>0</v>
      </c>
      <c r="P76" s="15"/>
      <c r="Q76" s="15">
        <v>0</v>
      </c>
      <c r="R76" s="15"/>
      <c r="S76" s="15">
        <f t="shared" si="19"/>
        <v>0</v>
      </c>
      <c r="T76" s="17"/>
      <c r="U76" s="17"/>
      <c r="V76" s="15"/>
      <c r="W76" s="15"/>
      <c r="X76" s="15" t="e">
        <f t="shared" si="20"/>
        <v>#DIV/0!</v>
      </c>
      <c r="Y76" s="15" t="e">
        <f t="shared" si="21"/>
        <v>#DIV/0!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15">
        <v>0</v>
      </c>
      <c r="AH76" s="15" t="s">
        <v>121</v>
      </c>
      <c r="AI76" s="15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 t="s">
        <v>122</v>
      </c>
      <c r="B77" s="1" t="s">
        <v>38</v>
      </c>
      <c r="C77" s="1">
        <v>20.204999999999998</v>
      </c>
      <c r="D77" s="1"/>
      <c r="E77" s="1">
        <v>5.7350000000000003</v>
      </c>
      <c r="F77" s="1">
        <v>14.47</v>
      </c>
      <c r="G77" s="8">
        <v>1</v>
      </c>
      <c r="H77" s="1">
        <v>55</v>
      </c>
      <c r="I77" s="1" t="s">
        <v>39</v>
      </c>
      <c r="J77" s="1"/>
      <c r="K77" s="1">
        <v>5.2</v>
      </c>
      <c r="L77" s="1">
        <f t="shared" si="17"/>
        <v>0.53500000000000014</v>
      </c>
      <c r="M77" s="1">
        <f t="shared" si="18"/>
        <v>5.7350000000000003</v>
      </c>
      <c r="N77" s="1"/>
      <c r="O77" s="1">
        <v>0</v>
      </c>
      <c r="P77" s="1"/>
      <c r="Q77" s="1">
        <v>0</v>
      </c>
      <c r="R77" s="1"/>
      <c r="S77" s="1">
        <f t="shared" si="19"/>
        <v>1.147</v>
      </c>
      <c r="T77" s="5"/>
      <c r="U77" s="5"/>
      <c r="V77" s="1"/>
      <c r="W77" s="1"/>
      <c r="X77" s="1">
        <f t="shared" si="20"/>
        <v>12.615518744551004</v>
      </c>
      <c r="Y77" s="1">
        <f t="shared" si="21"/>
        <v>12.615518744551004</v>
      </c>
      <c r="Z77" s="1">
        <v>1.1916666666666671</v>
      </c>
      <c r="AA77" s="1">
        <v>1.1919999999999999</v>
      </c>
      <c r="AB77" s="1">
        <v>0.57440000000000002</v>
      </c>
      <c r="AC77" s="1">
        <v>1.1484000000000001</v>
      </c>
      <c r="AD77" s="1">
        <v>1.4388000000000001</v>
      </c>
      <c r="AE77" s="1">
        <v>1.7248000000000001</v>
      </c>
      <c r="AF77" s="1">
        <v>1.1499999999999999</v>
      </c>
      <c r="AG77" s="1">
        <v>0.28799999999999998</v>
      </c>
      <c r="AH77" s="1"/>
      <c r="AI77" s="1">
        <f t="shared" ref="AI77:AI96" si="22">G77*T77</f>
        <v>0</v>
      </c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 t="s">
        <v>123</v>
      </c>
      <c r="B78" s="1" t="s">
        <v>38</v>
      </c>
      <c r="C78" s="1">
        <v>1308.865</v>
      </c>
      <c r="D78" s="1">
        <v>3219.6970000000001</v>
      </c>
      <c r="E78" s="1">
        <v>2040.7860000000001</v>
      </c>
      <c r="F78" s="1">
        <v>1991.421</v>
      </c>
      <c r="G78" s="8">
        <v>1</v>
      </c>
      <c r="H78" s="1">
        <v>60</v>
      </c>
      <c r="I78" s="1" t="s">
        <v>39</v>
      </c>
      <c r="J78" s="1"/>
      <c r="K78" s="1">
        <v>2275.11</v>
      </c>
      <c r="L78" s="1">
        <f t="shared" si="17"/>
        <v>-234.32400000000007</v>
      </c>
      <c r="M78" s="1">
        <f t="shared" si="18"/>
        <v>1943.7160000000001</v>
      </c>
      <c r="N78" s="1">
        <v>97.07</v>
      </c>
      <c r="O78" s="1">
        <v>793.8708489733342</v>
      </c>
      <c r="P78" s="1">
        <v>1000</v>
      </c>
      <c r="Q78" s="1">
        <v>1338.689041666667</v>
      </c>
      <c r="R78" s="1">
        <v>773.03133000000014</v>
      </c>
      <c r="S78" s="1">
        <f t="shared" si="19"/>
        <v>388.7432</v>
      </c>
      <c r="T78" s="5"/>
      <c r="U78" s="5"/>
      <c r="V78" s="1"/>
      <c r="W78" s="1"/>
      <c r="X78" s="1">
        <f t="shared" si="20"/>
        <v>15.169428611587293</v>
      </c>
      <c r="Y78" s="1">
        <f t="shared" si="21"/>
        <v>15.169428611587293</v>
      </c>
      <c r="Z78" s="1">
        <v>477.17983333333342</v>
      </c>
      <c r="AA78" s="1">
        <v>512.40033333333338</v>
      </c>
      <c r="AB78" s="1">
        <v>422.93639999999988</v>
      </c>
      <c r="AC78" s="1">
        <v>386.452</v>
      </c>
      <c r="AD78" s="1">
        <v>363.56479999999999</v>
      </c>
      <c r="AE78" s="1">
        <v>351.21839999999997</v>
      </c>
      <c r="AF78" s="1">
        <v>339.5752</v>
      </c>
      <c r="AG78" s="1">
        <v>281.68239999999997</v>
      </c>
      <c r="AH78" s="1" t="s">
        <v>53</v>
      </c>
      <c r="AI78" s="1">
        <f t="shared" si="22"/>
        <v>0</v>
      </c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 t="s">
        <v>124</v>
      </c>
      <c r="B79" s="1" t="s">
        <v>38</v>
      </c>
      <c r="C79" s="1">
        <v>394.85599999999999</v>
      </c>
      <c r="D79" s="1">
        <v>534.41700000000003</v>
      </c>
      <c r="E79" s="1">
        <v>587.30999999999995</v>
      </c>
      <c r="F79" s="1">
        <v>118.28400000000001</v>
      </c>
      <c r="G79" s="8">
        <v>1</v>
      </c>
      <c r="H79" s="1">
        <v>60</v>
      </c>
      <c r="I79" s="1" t="s">
        <v>39</v>
      </c>
      <c r="J79" s="1"/>
      <c r="K79" s="1">
        <v>658.70699999999999</v>
      </c>
      <c r="L79" s="1">
        <f t="shared" si="17"/>
        <v>-71.397000000000048</v>
      </c>
      <c r="M79" s="1">
        <f t="shared" si="18"/>
        <v>587.30999999999995</v>
      </c>
      <c r="N79" s="1"/>
      <c r="O79" s="1">
        <v>583.52110210666649</v>
      </c>
      <c r="P79" s="1"/>
      <c r="Q79" s="1">
        <v>340.58120833333351</v>
      </c>
      <c r="R79" s="1">
        <v>172.62800999999999</v>
      </c>
      <c r="S79" s="1">
        <f t="shared" si="19"/>
        <v>117.46199999999999</v>
      </c>
      <c r="T79" s="5">
        <f t="shared" ref="T79:T93" si="23">11*S79-R79-Q79-P79-O79-F79</f>
        <v>77.067679559999974</v>
      </c>
      <c r="U79" s="5"/>
      <c r="V79" s="1"/>
      <c r="W79" s="1"/>
      <c r="X79" s="1">
        <f t="shared" si="20"/>
        <v>11</v>
      </c>
      <c r="Y79" s="1">
        <f t="shared" si="21"/>
        <v>10.343892666905042</v>
      </c>
      <c r="Z79" s="1">
        <v>106.5605</v>
      </c>
      <c r="AA79" s="1">
        <v>112.21566666666671</v>
      </c>
      <c r="AB79" s="1">
        <v>93.206400000000002</v>
      </c>
      <c r="AC79" s="1">
        <v>104.95820000000001</v>
      </c>
      <c r="AD79" s="1">
        <v>100.2758</v>
      </c>
      <c r="AE79" s="1">
        <v>97.202000000000012</v>
      </c>
      <c r="AF79" s="1">
        <v>100.2632</v>
      </c>
      <c r="AG79" s="1">
        <v>114.20740000000001</v>
      </c>
      <c r="AH79" s="1"/>
      <c r="AI79" s="1">
        <f t="shared" si="22"/>
        <v>77.067679559999974</v>
      </c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 t="s">
        <v>125</v>
      </c>
      <c r="B80" s="1" t="s">
        <v>38</v>
      </c>
      <c r="C80" s="1">
        <v>1621.9480000000001</v>
      </c>
      <c r="D80" s="1">
        <v>1145.25</v>
      </c>
      <c r="E80" s="1">
        <v>2114.0749999999998</v>
      </c>
      <c r="F80" s="1">
        <v>193.58500000000001</v>
      </c>
      <c r="G80" s="8">
        <v>1</v>
      </c>
      <c r="H80" s="1">
        <v>60</v>
      </c>
      <c r="I80" s="1" t="s">
        <v>39</v>
      </c>
      <c r="J80" s="1"/>
      <c r="K80" s="1">
        <v>2567.8330000000001</v>
      </c>
      <c r="L80" s="1">
        <f t="shared" si="17"/>
        <v>-453.75800000000027</v>
      </c>
      <c r="M80" s="1">
        <f t="shared" si="18"/>
        <v>1659.0419999999999</v>
      </c>
      <c r="N80" s="1">
        <v>455.03300000000002</v>
      </c>
      <c r="O80" s="1">
        <v>956.74206773333435</v>
      </c>
      <c r="P80" s="1">
        <v>1290</v>
      </c>
      <c r="Q80" s="1">
        <v>1514.523291666666</v>
      </c>
      <c r="R80" s="1">
        <v>591.74738999999988</v>
      </c>
      <c r="S80" s="1">
        <f t="shared" si="19"/>
        <v>331.80840000000001</v>
      </c>
      <c r="T80" s="5"/>
      <c r="U80" s="5"/>
      <c r="V80" s="1"/>
      <c r="W80" s="1"/>
      <c r="X80" s="1">
        <f t="shared" si="20"/>
        <v>13.702479350733736</v>
      </c>
      <c r="Y80" s="1">
        <f t="shared" si="21"/>
        <v>13.702479350733736</v>
      </c>
      <c r="Z80" s="1">
        <v>365.2761666666666</v>
      </c>
      <c r="AA80" s="1">
        <v>363.50683333333342</v>
      </c>
      <c r="AB80" s="1">
        <v>260.88420000000002</v>
      </c>
      <c r="AC80" s="1">
        <v>328.93779999999998</v>
      </c>
      <c r="AD80" s="1">
        <v>245.31800000000001</v>
      </c>
      <c r="AE80" s="1">
        <v>205.1558</v>
      </c>
      <c r="AF80" s="1">
        <v>218.61439999999999</v>
      </c>
      <c r="AG80" s="1">
        <v>337.26299999999998</v>
      </c>
      <c r="AH80" s="1" t="s">
        <v>126</v>
      </c>
      <c r="AI80" s="1">
        <f t="shared" si="22"/>
        <v>0</v>
      </c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 t="s">
        <v>127</v>
      </c>
      <c r="B81" s="1" t="s">
        <v>38</v>
      </c>
      <c r="C81" s="1">
        <v>649.54600000000005</v>
      </c>
      <c r="D81" s="1">
        <v>3020.366</v>
      </c>
      <c r="E81" s="1">
        <v>2839.7460000000001</v>
      </c>
      <c r="F81" s="1">
        <v>341.17899999999997</v>
      </c>
      <c r="G81" s="8">
        <v>1</v>
      </c>
      <c r="H81" s="1">
        <v>60</v>
      </c>
      <c r="I81" s="1" t="s">
        <v>39</v>
      </c>
      <c r="J81" s="1"/>
      <c r="K81" s="1">
        <v>3116.5450000000001</v>
      </c>
      <c r="L81" s="1">
        <f t="shared" si="17"/>
        <v>-276.79899999999998</v>
      </c>
      <c r="M81" s="1">
        <f t="shared" si="18"/>
        <v>2338.1730000000002</v>
      </c>
      <c r="N81" s="1">
        <v>501.57299999999998</v>
      </c>
      <c r="O81" s="1">
        <v>942.22715459333176</v>
      </c>
      <c r="P81" s="1">
        <v>1200</v>
      </c>
      <c r="Q81" s="1">
        <v>1207.510416666667</v>
      </c>
      <c r="R81" s="1">
        <v>705.64121999999998</v>
      </c>
      <c r="S81" s="1">
        <f t="shared" si="19"/>
        <v>467.63460000000003</v>
      </c>
      <c r="T81" s="5">
        <f t="shared" si="23"/>
        <v>747.42280874000255</v>
      </c>
      <c r="U81" s="5"/>
      <c r="V81" s="1"/>
      <c r="W81" s="1"/>
      <c r="X81" s="1">
        <f t="shared" si="20"/>
        <v>11</v>
      </c>
      <c r="Y81" s="1">
        <f t="shared" si="21"/>
        <v>9.4016948088528913</v>
      </c>
      <c r="Z81" s="1">
        <v>435.58100000000002</v>
      </c>
      <c r="AA81" s="1">
        <v>470.60383333333328</v>
      </c>
      <c r="AB81" s="1">
        <v>379.06599999999997</v>
      </c>
      <c r="AC81" s="1">
        <v>346.77960000000002</v>
      </c>
      <c r="AD81" s="1">
        <v>348.16919999999999</v>
      </c>
      <c r="AE81" s="1">
        <v>315.13279999999997</v>
      </c>
      <c r="AF81" s="1">
        <v>298.86800000000011</v>
      </c>
      <c r="AG81" s="1">
        <v>282.35520000000002</v>
      </c>
      <c r="AH81" s="1" t="s">
        <v>53</v>
      </c>
      <c r="AI81" s="1">
        <f t="shared" si="22"/>
        <v>747.42280874000255</v>
      </c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 t="s">
        <v>128</v>
      </c>
      <c r="B82" s="1" t="s">
        <v>38</v>
      </c>
      <c r="C82" s="1">
        <v>24.303000000000001</v>
      </c>
      <c r="D82" s="1"/>
      <c r="E82" s="1"/>
      <c r="F82" s="1">
        <v>24.303000000000001</v>
      </c>
      <c r="G82" s="8">
        <v>1</v>
      </c>
      <c r="H82" s="1">
        <v>60</v>
      </c>
      <c r="I82" s="1" t="s">
        <v>39</v>
      </c>
      <c r="J82" s="1"/>
      <c r="K82" s="1"/>
      <c r="L82" s="1">
        <f t="shared" si="17"/>
        <v>0</v>
      </c>
      <c r="M82" s="1">
        <f t="shared" si="18"/>
        <v>0</v>
      </c>
      <c r="N82" s="1"/>
      <c r="O82" s="1">
        <v>0</v>
      </c>
      <c r="P82" s="1"/>
      <c r="Q82" s="1">
        <v>0</v>
      </c>
      <c r="R82" s="1"/>
      <c r="S82" s="1">
        <f t="shared" si="19"/>
        <v>0</v>
      </c>
      <c r="T82" s="5"/>
      <c r="U82" s="5"/>
      <c r="V82" s="1"/>
      <c r="W82" s="1"/>
      <c r="X82" s="1" t="e">
        <f t="shared" si="20"/>
        <v>#DIV/0!</v>
      </c>
      <c r="Y82" s="1" t="e">
        <f t="shared" si="21"/>
        <v>#DIV/0!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9" t="s">
        <v>150</v>
      </c>
      <c r="AI82" s="1">
        <f t="shared" si="22"/>
        <v>0</v>
      </c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 t="s">
        <v>129</v>
      </c>
      <c r="B83" s="1" t="s">
        <v>43</v>
      </c>
      <c r="C83" s="1">
        <v>130</v>
      </c>
      <c r="D83" s="1">
        <v>62</v>
      </c>
      <c r="E83" s="1">
        <v>166</v>
      </c>
      <c r="F83" s="1">
        <v>1</v>
      </c>
      <c r="G83" s="8">
        <v>0.3</v>
      </c>
      <c r="H83" s="1">
        <v>40</v>
      </c>
      <c r="I83" s="1" t="s">
        <v>39</v>
      </c>
      <c r="J83" s="1"/>
      <c r="K83" s="1">
        <v>181</v>
      </c>
      <c r="L83" s="1">
        <f t="shared" si="17"/>
        <v>-15</v>
      </c>
      <c r="M83" s="1">
        <f t="shared" si="18"/>
        <v>166</v>
      </c>
      <c r="N83" s="1"/>
      <c r="O83" s="1">
        <v>163.75870666666671</v>
      </c>
      <c r="P83" s="1"/>
      <c r="Q83" s="1">
        <v>113.3333333333333</v>
      </c>
      <c r="R83" s="1"/>
      <c r="S83" s="1">
        <f t="shared" si="19"/>
        <v>33.200000000000003</v>
      </c>
      <c r="T83" s="5">
        <f t="shared" si="23"/>
        <v>87.10796000000002</v>
      </c>
      <c r="U83" s="5"/>
      <c r="V83" s="1"/>
      <c r="W83" s="1"/>
      <c r="X83" s="1">
        <f t="shared" si="20"/>
        <v>11</v>
      </c>
      <c r="Y83" s="1">
        <f t="shared" si="21"/>
        <v>8.3762662650602397</v>
      </c>
      <c r="Z83" s="1">
        <v>31.333333333333329</v>
      </c>
      <c r="AA83" s="1">
        <v>30.333333333333329</v>
      </c>
      <c r="AB83" s="1">
        <v>20.8</v>
      </c>
      <c r="AC83" s="1">
        <v>26.2</v>
      </c>
      <c r="AD83" s="1">
        <v>21.8</v>
      </c>
      <c r="AE83" s="1">
        <v>19.399999999999999</v>
      </c>
      <c r="AF83" s="1">
        <v>22.6</v>
      </c>
      <c r="AG83" s="1">
        <v>20.6</v>
      </c>
      <c r="AH83" s="1"/>
      <c r="AI83" s="1">
        <f t="shared" si="22"/>
        <v>26.132388000000006</v>
      </c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 t="s">
        <v>130</v>
      </c>
      <c r="B84" s="1" t="s">
        <v>43</v>
      </c>
      <c r="C84" s="1">
        <v>100</v>
      </c>
      <c r="D84" s="1">
        <v>75</v>
      </c>
      <c r="E84" s="1">
        <v>88</v>
      </c>
      <c r="F84" s="1">
        <v>81</v>
      </c>
      <c r="G84" s="8">
        <v>7.0000000000000007E-2</v>
      </c>
      <c r="H84" s="1">
        <v>90</v>
      </c>
      <c r="I84" s="1" t="s">
        <v>39</v>
      </c>
      <c r="J84" s="1"/>
      <c r="K84" s="1">
        <v>91</v>
      </c>
      <c r="L84" s="1">
        <f t="shared" si="17"/>
        <v>-3</v>
      </c>
      <c r="M84" s="1">
        <f t="shared" si="18"/>
        <v>88</v>
      </c>
      <c r="N84" s="1"/>
      <c r="O84" s="1">
        <v>63.641499999999979</v>
      </c>
      <c r="P84" s="1"/>
      <c r="Q84" s="1">
        <v>51.5</v>
      </c>
      <c r="R84" s="1"/>
      <c r="S84" s="1">
        <f t="shared" si="19"/>
        <v>17.600000000000001</v>
      </c>
      <c r="T84" s="5"/>
      <c r="U84" s="5"/>
      <c r="V84" s="1"/>
      <c r="W84" s="1"/>
      <c r="X84" s="1">
        <f t="shared" si="20"/>
        <v>11.144403409090907</v>
      </c>
      <c r="Y84" s="1">
        <f t="shared" si="21"/>
        <v>11.144403409090907</v>
      </c>
      <c r="Z84" s="1">
        <v>19.333333333333329</v>
      </c>
      <c r="AA84" s="1">
        <v>20.5</v>
      </c>
      <c r="AB84" s="1">
        <v>15</v>
      </c>
      <c r="AC84" s="1">
        <v>10.4</v>
      </c>
      <c r="AD84" s="1">
        <v>7.8</v>
      </c>
      <c r="AE84" s="1">
        <v>11.8</v>
      </c>
      <c r="AF84" s="1">
        <v>11.2</v>
      </c>
      <c r="AG84" s="1">
        <v>8</v>
      </c>
      <c r="AH84" s="1"/>
      <c r="AI84" s="1">
        <f t="shared" si="22"/>
        <v>0</v>
      </c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 t="s">
        <v>131</v>
      </c>
      <c r="B85" s="1" t="s">
        <v>43</v>
      </c>
      <c r="C85" s="1">
        <v>118</v>
      </c>
      <c r="D85" s="1">
        <v>75</v>
      </c>
      <c r="E85" s="1">
        <v>107</v>
      </c>
      <c r="F85" s="1">
        <v>80</v>
      </c>
      <c r="G85" s="8">
        <v>7.0000000000000007E-2</v>
      </c>
      <c r="H85" s="1">
        <v>90</v>
      </c>
      <c r="I85" s="1" t="s">
        <v>39</v>
      </c>
      <c r="J85" s="1"/>
      <c r="K85" s="1">
        <v>108</v>
      </c>
      <c r="L85" s="1">
        <f t="shared" si="17"/>
        <v>-1</v>
      </c>
      <c r="M85" s="1">
        <f t="shared" si="18"/>
        <v>107</v>
      </c>
      <c r="N85" s="1"/>
      <c r="O85" s="1">
        <v>18.255666666666659</v>
      </c>
      <c r="P85" s="1"/>
      <c r="Q85" s="1">
        <v>92.833333333333343</v>
      </c>
      <c r="R85" s="1"/>
      <c r="S85" s="1">
        <f t="shared" si="19"/>
        <v>21.4</v>
      </c>
      <c r="T85" s="5">
        <f t="shared" si="23"/>
        <v>44.310999999999979</v>
      </c>
      <c r="U85" s="5"/>
      <c r="V85" s="1"/>
      <c r="W85" s="1"/>
      <c r="X85" s="1">
        <f t="shared" si="20"/>
        <v>11</v>
      </c>
      <c r="Y85" s="1">
        <f t="shared" si="21"/>
        <v>8.929392523364486</v>
      </c>
      <c r="Z85" s="1">
        <v>20.666666666666671</v>
      </c>
      <c r="AA85" s="1">
        <v>18.833333333333329</v>
      </c>
      <c r="AB85" s="1">
        <v>16.8</v>
      </c>
      <c r="AC85" s="1">
        <v>11.6</v>
      </c>
      <c r="AD85" s="1">
        <v>8.8000000000000007</v>
      </c>
      <c r="AE85" s="1">
        <v>11</v>
      </c>
      <c r="AF85" s="1">
        <v>10.4</v>
      </c>
      <c r="AG85" s="1">
        <v>8.4</v>
      </c>
      <c r="AH85" s="1"/>
      <c r="AI85" s="1">
        <f t="shared" si="22"/>
        <v>3.1017699999999988</v>
      </c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 t="s">
        <v>132</v>
      </c>
      <c r="B86" s="1" t="s">
        <v>43</v>
      </c>
      <c r="C86" s="1">
        <v>152</v>
      </c>
      <c r="D86" s="1">
        <v>3</v>
      </c>
      <c r="E86" s="1">
        <v>92</v>
      </c>
      <c r="F86" s="1">
        <v>57</v>
      </c>
      <c r="G86" s="8">
        <v>7.0000000000000007E-2</v>
      </c>
      <c r="H86" s="1">
        <v>90</v>
      </c>
      <c r="I86" s="1" t="s">
        <v>39</v>
      </c>
      <c r="J86" s="1"/>
      <c r="K86" s="1">
        <v>92</v>
      </c>
      <c r="L86" s="1">
        <f t="shared" si="17"/>
        <v>0</v>
      </c>
      <c r="M86" s="1">
        <f t="shared" si="18"/>
        <v>92</v>
      </c>
      <c r="N86" s="1"/>
      <c r="O86" s="1">
        <v>5</v>
      </c>
      <c r="P86" s="1"/>
      <c r="Q86" s="1">
        <v>119</v>
      </c>
      <c r="R86" s="1"/>
      <c r="S86" s="1">
        <f t="shared" si="19"/>
        <v>18.399999999999999</v>
      </c>
      <c r="T86" s="5">
        <f t="shared" si="23"/>
        <v>21.399999999999977</v>
      </c>
      <c r="U86" s="5"/>
      <c r="V86" s="1"/>
      <c r="W86" s="1"/>
      <c r="X86" s="1">
        <f t="shared" si="20"/>
        <v>11</v>
      </c>
      <c r="Y86" s="1">
        <f t="shared" si="21"/>
        <v>9.8369565217391308</v>
      </c>
      <c r="Z86" s="1">
        <v>18.833333333333329</v>
      </c>
      <c r="AA86" s="1">
        <v>14</v>
      </c>
      <c r="AB86" s="1">
        <v>11.2</v>
      </c>
      <c r="AC86" s="1">
        <v>13</v>
      </c>
      <c r="AD86" s="1">
        <v>9.4</v>
      </c>
      <c r="AE86" s="1">
        <v>9.8000000000000007</v>
      </c>
      <c r="AF86" s="1">
        <v>10.8</v>
      </c>
      <c r="AG86" s="1">
        <v>10.199999999999999</v>
      </c>
      <c r="AH86" s="1"/>
      <c r="AI86" s="1">
        <f t="shared" si="22"/>
        <v>1.4979999999999984</v>
      </c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 t="s">
        <v>133</v>
      </c>
      <c r="B87" s="1" t="s">
        <v>43</v>
      </c>
      <c r="C87" s="1">
        <v>111</v>
      </c>
      <c r="D87" s="1">
        <v>75</v>
      </c>
      <c r="E87" s="1">
        <v>96</v>
      </c>
      <c r="F87" s="1">
        <v>84</v>
      </c>
      <c r="G87" s="8">
        <v>0.05</v>
      </c>
      <c r="H87" s="1">
        <v>90</v>
      </c>
      <c r="I87" s="1" t="s">
        <v>39</v>
      </c>
      <c r="J87" s="1"/>
      <c r="K87" s="1">
        <v>96</v>
      </c>
      <c r="L87" s="1">
        <f t="shared" si="17"/>
        <v>0</v>
      </c>
      <c r="M87" s="1">
        <f t="shared" si="18"/>
        <v>96</v>
      </c>
      <c r="N87" s="1"/>
      <c r="O87" s="1">
        <v>0</v>
      </c>
      <c r="P87" s="1"/>
      <c r="Q87" s="1">
        <v>91.822000000000003</v>
      </c>
      <c r="R87" s="1"/>
      <c r="S87" s="1">
        <f t="shared" si="19"/>
        <v>19.2</v>
      </c>
      <c r="T87" s="5">
        <f t="shared" si="23"/>
        <v>35.377999999999986</v>
      </c>
      <c r="U87" s="5"/>
      <c r="V87" s="1"/>
      <c r="W87" s="1"/>
      <c r="X87" s="1">
        <f t="shared" si="20"/>
        <v>11</v>
      </c>
      <c r="Y87" s="1">
        <f t="shared" si="21"/>
        <v>9.1573958333333341</v>
      </c>
      <c r="Z87" s="1">
        <v>17.333333333333329</v>
      </c>
      <c r="AA87" s="1">
        <v>12.5</v>
      </c>
      <c r="AB87" s="1">
        <v>15.4</v>
      </c>
      <c r="AC87" s="1">
        <v>9.1999999999999993</v>
      </c>
      <c r="AD87" s="1">
        <v>6.8</v>
      </c>
      <c r="AE87" s="1">
        <v>6.6</v>
      </c>
      <c r="AF87" s="1">
        <v>7.8</v>
      </c>
      <c r="AG87" s="1">
        <v>7.8</v>
      </c>
      <c r="AH87" s="1"/>
      <c r="AI87" s="1">
        <f t="shared" si="22"/>
        <v>1.7688999999999995</v>
      </c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 t="s">
        <v>134</v>
      </c>
      <c r="B88" s="1" t="s">
        <v>43</v>
      </c>
      <c r="C88" s="1">
        <v>103</v>
      </c>
      <c r="D88" s="1">
        <v>97</v>
      </c>
      <c r="E88" s="1">
        <v>72</v>
      </c>
      <c r="F88" s="1">
        <v>118</v>
      </c>
      <c r="G88" s="8">
        <v>0.05</v>
      </c>
      <c r="H88" s="1">
        <v>90</v>
      </c>
      <c r="I88" s="1" t="s">
        <v>39</v>
      </c>
      <c r="J88" s="1"/>
      <c r="K88" s="1">
        <v>78</v>
      </c>
      <c r="L88" s="1">
        <f t="shared" si="17"/>
        <v>-6</v>
      </c>
      <c r="M88" s="1">
        <f t="shared" si="18"/>
        <v>72</v>
      </c>
      <c r="N88" s="1"/>
      <c r="O88" s="1">
        <v>36.047500000000007</v>
      </c>
      <c r="P88" s="1"/>
      <c r="Q88" s="1">
        <v>44</v>
      </c>
      <c r="R88" s="1"/>
      <c r="S88" s="1">
        <f t="shared" si="19"/>
        <v>14.4</v>
      </c>
      <c r="T88" s="5"/>
      <c r="U88" s="5"/>
      <c r="V88" s="1"/>
      <c r="W88" s="1"/>
      <c r="X88" s="1">
        <f t="shared" si="20"/>
        <v>13.753298611111111</v>
      </c>
      <c r="Y88" s="1">
        <f t="shared" si="21"/>
        <v>13.753298611111111</v>
      </c>
      <c r="Z88" s="1">
        <v>18</v>
      </c>
      <c r="AA88" s="1">
        <v>19</v>
      </c>
      <c r="AB88" s="1">
        <v>16.399999999999999</v>
      </c>
      <c r="AC88" s="1">
        <v>8.8000000000000007</v>
      </c>
      <c r="AD88" s="1">
        <v>7.4</v>
      </c>
      <c r="AE88" s="1">
        <v>9.1999999999999993</v>
      </c>
      <c r="AF88" s="1">
        <v>8.1999999999999993</v>
      </c>
      <c r="AG88" s="1">
        <v>6.6</v>
      </c>
      <c r="AH88" s="1"/>
      <c r="AI88" s="1">
        <f t="shared" si="22"/>
        <v>0</v>
      </c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 t="s">
        <v>135</v>
      </c>
      <c r="B89" s="1" t="s">
        <v>43</v>
      </c>
      <c r="C89" s="1">
        <v>70</v>
      </c>
      <c r="D89" s="1">
        <v>7</v>
      </c>
      <c r="E89" s="1">
        <v>53</v>
      </c>
      <c r="F89" s="1">
        <v>13</v>
      </c>
      <c r="G89" s="8">
        <v>5.5E-2</v>
      </c>
      <c r="H89" s="1">
        <v>90</v>
      </c>
      <c r="I89" s="1" t="s">
        <v>39</v>
      </c>
      <c r="J89" s="1"/>
      <c r="K89" s="1">
        <v>54</v>
      </c>
      <c r="L89" s="1">
        <f t="shared" si="17"/>
        <v>-1</v>
      </c>
      <c r="M89" s="1">
        <f t="shared" si="18"/>
        <v>53</v>
      </c>
      <c r="N89" s="1"/>
      <c r="O89" s="1">
        <v>8.1666666666666572</v>
      </c>
      <c r="P89" s="1"/>
      <c r="Q89" s="1">
        <v>102.8333333333333</v>
      </c>
      <c r="R89" s="1"/>
      <c r="S89" s="1">
        <f t="shared" si="19"/>
        <v>10.6</v>
      </c>
      <c r="T89" s="5"/>
      <c r="U89" s="5"/>
      <c r="V89" s="1"/>
      <c r="W89" s="1"/>
      <c r="X89" s="1">
        <f t="shared" si="20"/>
        <v>11.698113207547166</v>
      </c>
      <c r="Y89" s="1">
        <f t="shared" si="21"/>
        <v>11.698113207547166</v>
      </c>
      <c r="Z89" s="1">
        <v>12.16666666666667</v>
      </c>
      <c r="AA89" s="1">
        <v>6.833333333333333</v>
      </c>
      <c r="AB89" s="1">
        <v>5.4</v>
      </c>
      <c r="AC89" s="1">
        <v>6.2</v>
      </c>
      <c r="AD89" s="1">
        <v>3.4</v>
      </c>
      <c r="AE89" s="1">
        <v>4.5999999999999996</v>
      </c>
      <c r="AF89" s="1">
        <v>7</v>
      </c>
      <c r="AG89" s="1">
        <v>6.8</v>
      </c>
      <c r="AH89" s="1"/>
      <c r="AI89" s="1">
        <f t="shared" si="22"/>
        <v>0</v>
      </c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 t="s">
        <v>136</v>
      </c>
      <c r="B90" s="1" t="s">
        <v>38</v>
      </c>
      <c r="C90" s="1">
        <v>4082.0569999999998</v>
      </c>
      <c r="D90" s="1">
        <v>4400.5439999999999</v>
      </c>
      <c r="E90" s="1">
        <v>3724.8159999999998</v>
      </c>
      <c r="F90" s="1">
        <v>4205.0010000000002</v>
      </c>
      <c r="G90" s="8">
        <v>1</v>
      </c>
      <c r="H90" s="1">
        <v>40</v>
      </c>
      <c r="I90" s="1" t="s">
        <v>39</v>
      </c>
      <c r="J90" s="1"/>
      <c r="K90" s="1">
        <v>3596.1030000000001</v>
      </c>
      <c r="L90" s="1">
        <f t="shared" si="17"/>
        <v>128.71299999999974</v>
      </c>
      <c r="M90" s="1">
        <f t="shared" si="18"/>
        <v>3724.8159999999998</v>
      </c>
      <c r="N90" s="1"/>
      <c r="O90" s="1">
        <v>11.825072476664451</v>
      </c>
      <c r="P90" s="1"/>
      <c r="Q90" s="1">
        <v>1179.614833333334</v>
      </c>
      <c r="R90" s="1"/>
      <c r="S90" s="1">
        <f t="shared" si="19"/>
        <v>744.96319999999992</v>
      </c>
      <c r="T90" s="5">
        <f t="shared" si="23"/>
        <v>2798.1542941900007</v>
      </c>
      <c r="U90" s="5"/>
      <c r="V90" s="1"/>
      <c r="W90" s="1"/>
      <c r="X90" s="1">
        <f t="shared" si="20"/>
        <v>11.000000000000002</v>
      </c>
      <c r="Y90" s="1">
        <f t="shared" si="21"/>
        <v>7.2439026596347302</v>
      </c>
      <c r="Z90" s="1">
        <v>668.07883333333336</v>
      </c>
      <c r="AA90" s="1">
        <v>718.29883333333328</v>
      </c>
      <c r="AB90" s="1">
        <v>771.76340000000005</v>
      </c>
      <c r="AC90" s="1">
        <v>885.34859999999992</v>
      </c>
      <c r="AD90" s="1">
        <v>846.00020000000006</v>
      </c>
      <c r="AE90" s="1">
        <v>851.7657999999999</v>
      </c>
      <c r="AF90" s="1">
        <v>846.95600000000013</v>
      </c>
      <c r="AG90" s="1">
        <v>799.82920000000013</v>
      </c>
      <c r="AH90" s="1" t="s">
        <v>53</v>
      </c>
      <c r="AI90" s="1">
        <f t="shared" si="22"/>
        <v>2798.1542941900007</v>
      </c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1" t="s">
        <v>137</v>
      </c>
      <c r="B91" s="1" t="s">
        <v>38</v>
      </c>
      <c r="C91" s="1"/>
      <c r="D91" s="1"/>
      <c r="E91" s="1"/>
      <c r="F91" s="1"/>
      <c r="G91" s="8">
        <v>1</v>
      </c>
      <c r="H91" s="1">
        <v>60</v>
      </c>
      <c r="I91" s="1" t="s">
        <v>39</v>
      </c>
      <c r="J91" s="1"/>
      <c r="K91" s="1"/>
      <c r="L91" s="1">
        <f t="shared" si="17"/>
        <v>0</v>
      </c>
      <c r="M91" s="1">
        <f t="shared" si="18"/>
        <v>0</v>
      </c>
      <c r="N91" s="1"/>
      <c r="O91" s="1"/>
      <c r="P91" s="1"/>
      <c r="Q91" s="11"/>
      <c r="R91" s="1"/>
      <c r="S91" s="1">
        <f t="shared" si="19"/>
        <v>0</v>
      </c>
      <c r="T91" s="18">
        <v>4</v>
      </c>
      <c r="U91" s="5"/>
      <c r="V91" s="1"/>
      <c r="W91" s="1"/>
      <c r="X91" s="1" t="e">
        <f t="shared" si="20"/>
        <v>#DIV/0!</v>
      </c>
      <c r="Y91" s="1" t="e">
        <f t="shared" si="21"/>
        <v>#DIV/0!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0.72300000000000009</v>
      </c>
      <c r="AH91" s="11" t="s">
        <v>138</v>
      </c>
      <c r="AI91" s="1">
        <f t="shared" si="22"/>
        <v>4</v>
      </c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 t="s">
        <v>139</v>
      </c>
      <c r="B92" s="1" t="s">
        <v>43</v>
      </c>
      <c r="C92" s="1">
        <v>294</v>
      </c>
      <c r="D92" s="1">
        <v>184</v>
      </c>
      <c r="E92" s="1">
        <v>195</v>
      </c>
      <c r="F92" s="1">
        <v>260</v>
      </c>
      <c r="G92" s="8">
        <v>0.3</v>
      </c>
      <c r="H92" s="1">
        <v>40</v>
      </c>
      <c r="I92" s="1" t="s">
        <v>39</v>
      </c>
      <c r="J92" s="1"/>
      <c r="K92" s="1">
        <v>201</v>
      </c>
      <c r="L92" s="1">
        <f t="shared" si="17"/>
        <v>-6</v>
      </c>
      <c r="M92" s="1">
        <f t="shared" si="18"/>
        <v>195</v>
      </c>
      <c r="N92" s="1"/>
      <c r="O92" s="1">
        <v>133.80663333333311</v>
      </c>
      <c r="P92" s="1"/>
      <c r="Q92" s="1">
        <v>40.666666666666771</v>
      </c>
      <c r="R92" s="1"/>
      <c r="S92" s="1">
        <f t="shared" si="19"/>
        <v>39</v>
      </c>
      <c r="T92" s="5"/>
      <c r="U92" s="5"/>
      <c r="V92" s="1"/>
      <c r="W92" s="1"/>
      <c r="X92" s="1">
        <f t="shared" si="20"/>
        <v>11.140341025641023</v>
      </c>
      <c r="Y92" s="1">
        <f t="shared" si="21"/>
        <v>11.140341025641023</v>
      </c>
      <c r="Z92" s="1">
        <v>45.333333333333343</v>
      </c>
      <c r="AA92" s="1">
        <v>53.666666666666657</v>
      </c>
      <c r="AB92" s="1">
        <v>44.2</v>
      </c>
      <c r="AC92" s="1">
        <v>44.8</v>
      </c>
      <c r="AD92" s="1">
        <v>41</v>
      </c>
      <c r="AE92" s="1">
        <v>39.200000000000003</v>
      </c>
      <c r="AF92" s="1">
        <v>37</v>
      </c>
      <c r="AG92" s="1">
        <v>36.799999999999997</v>
      </c>
      <c r="AH92" s="1"/>
      <c r="AI92" s="1">
        <f t="shared" si="22"/>
        <v>0</v>
      </c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 t="s">
        <v>140</v>
      </c>
      <c r="B93" s="1" t="s">
        <v>43</v>
      </c>
      <c r="C93" s="1">
        <v>79</v>
      </c>
      <c r="D93" s="1">
        <v>98</v>
      </c>
      <c r="E93" s="1">
        <v>101</v>
      </c>
      <c r="F93" s="1">
        <v>64</v>
      </c>
      <c r="G93" s="8">
        <v>0.3</v>
      </c>
      <c r="H93" s="1">
        <v>40</v>
      </c>
      <c r="I93" s="1" t="s">
        <v>39</v>
      </c>
      <c r="J93" s="1"/>
      <c r="K93" s="1">
        <v>108</v>
      </c>
      <c r="L93" s="1">
        <f t="shared" si="17"/>
        <v>-7</v>
      </c>
      <c r="M93" s="1">
        <f t="shared" si="18"/>
        <v>101</v>
      </c>
      <c r="N93" s="1"/>
      <c r="O93" s="1">
        <v>114.25769333333341</v>
      </c>
      <c r="P93" s="1"/>
      <c r="Q93" s="1">
        <v>18.666666666666639</v>
      </c>
      <c r="R93" s="1"/>
      <c r="S93" s="1">
        <f t="shared" si="19"/>
        <v>20.2</v>
      </c>
      <c r="T93" s="5">
        <f t="shared" si="23"/>
        <v>25.275639999999953</v>
      </c>
      <c r="U93" s="5"/>
      <c r="V93" s="1"/>
      <c r="W93" s="1"/>
      <c r="X93" s="1">
        <f t="shared" si="20"/>
        <v>11</v>
      </c>
      <c r="Y93" s="1">
        <f t="shared" si="21"/>
        <v>9.7487306930693087</v>
      </c>
      <c r="Z93" s="1">
        <v>21.833333333333329</v>
      </c>
      <c r="AA93" s="1">
        <v>25.666666666666671</v>
      </c>
      <c r="AB93" s="1">
        <v>21.4</v>
      </c>
      <c r="AC93" s="1">
        <v>21.6</v>
      </c>
      <c r="AD93" s="1">
        <v>21.2</v>
      </c>
      <c r="AE93" s="1">
        <v>18.2</v>
      </c>
      <c r="AF93" s="1">
        <v>22.2</v>
      </c>
      <c r="AG93" s="1">
        <v>22.8</v>
      </c>
      <c r="AH93" s="1" t="s">
        <v>141</v>
      </c>
      <c r="AI93" s="1">
        <f t="shared" si="22"/>
        <v>7.5826919999999856</v>
      </c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 t="s">
        <v>142</v>
      </c>
      <c r="B94" s="1" t="s">
        <v>38</v>
      </c>
      <c r="C94" s="1">
        <v>73.001000000000005</v>
      </c>
      <c r="D94" s="1">
        <v>47.76</v>
      </c>
      <c r="E94" s="1">
        <v>39.151000000000003</v>
      </c>
      <c r="F94" s="1">
        <v>74.864999999999995</v>
      </c>
      <c r="G94" s="8">
        <v>1</v>
      </c>
      <c r="H94" s="1">
        <v>50</v>
      </c>
      <c r="I94" s="1" t="s">
        <v>39</v>
      </c>
      <c r="J94" s="1"/>
      <c r="K94" s="1">
        <v>38</v>
      </c>
      <c r="L94" s="1">
        <f t="shared" si="17"/>
        <v>1.1510000000000034</v>
      </c>
      <c r="M94" s="1">
        <f t="shared" si="18"/>
        <v>39.151000000000003</v>
      </c>
      <c r="N94" s="1"/>
      <c r="O94" s="1">
        <v>28.131479859999981</v>
      </c>
      <c r="P94" s="1"/>
      <c r="Q94" s="1">
        <v>4</v>
      </c>
      <c r="R94" s="1"/>
      <c r="S94" s="1">
        <f t="shared" si="19"/>
        <v>7.8302000000000005</v>
      </c>
      <c r="T94" s="5"/>
      <c r="U94" s="5"/>
      <c r="V94" s="1"/>
      <c r="W94" s="1"/>
      <c r="X94" s="1">
        <f t="shared" si="20"/>
        <v>13.664590924880587</v>
      </c>
      <c r="Y94" s="1">
        <f t="shared" si="21"/>
        <v>13.664590924880587</v>
      </c>
      <c r="Z94" s="1">
        <v>10.2995</v>
      </c>
      <c r="AA94" s="1">
        <v>12.304</v>
      </c>
      <c r="AB94" s="1">
        <v>13.163399999999999</v>
      </c>
      <c r="AC94" s="1">
        <v>13.0406</v>
      </c>
      <c r="AD94" s="1">
        <v>11.8812</v>
      </c>
      <c r="AE94" s="1">
        <v>12.0274</v>
      </c>
      <c r="AF94" s="1">
        <v>14.679399999999999</v>
      </c>
      <c r="AG94" s="1">
        <v>10.170999999999999</v>
      </c>
      <c r="AH94" s="1"/>
      <c r="AI94" s="1">
        <f t="shared" si="22"/>
        <v>0</v>
      </c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 t="s">
        <v>143</v>
      </c>
      <c r="B95" s="1" t="s">
        <v>43</v>
      </c>
      <c r="C95" s="1">
        <v>25</v>
      </c>
      <c r="D95" s="1">
        <v>30</v>
      </c>
      <c r="E95" s="1">
        <v>22</v>
      </c>
      <c r="F95" s="1">
        <v>29</v>
      </c>
      <c r="G95" s="8">
        <v>0.3</v>
      </c>
      <c r="H95" s="1">
        <v>40</v>
      </c>
      <c r="I95" s="1" t="s">
        <v>39</v>
      </c>
      <c r="J95" s="1"/>
      <c r="K95" s="1">
        <v>28</v>
      </c>
      <c r="L95" s="1">
        <f t="shared" si="17"/>
        <v>-6</v>
      </c>
      <c r="M95" s="1">
        <f t="shared" si="18"/>
        <v>22</v>
      </c>
      <c r="N95" s="1"/>
      <c r="O95" s="1">
        <v>20.133666666666659</v>
      </c>
      <c r="P95" s="1"/>
      <c r="Q95" s="1">
        <v>0</v>
      </c>
      <c r="R95" s="1"/>
      <c r="S95" s="1">
        <f t="shared" si="19"/>
        <v>4.4000000000000004</v>
      </c>
      <c r="T95" s="5"/>
      <c r="U95" s="5"/>
      <c r="V95" s="1"/>
      <c r="W95" s="1"/>
      <c r="X95" s="1">
        <f t="shared" si="20"/>
        <v>11.16674242424242</v>
      </c>
      <c r="Y95" s="1">
        <f t="shared" si="21"/>
        <v>11.16674242424242</v>
      </c>
      <c r="Z95" s="1">
        <v>4.833333333333333</v>
      </c>
      <c r="AA95" s="1">
        <v>6.833333333333333</v>
      </c>
      <c r="AB95" s="1">
        <v>7</v>
      </c>
      <c r="AC95" s="1">
        <v>4.8</v>
      </c>
      <c r="AD95" s="1">
        <v>4.2</v>
      </c>
      <c r="AE95" s="1">
        <v>4.5999999999999996</v>
      </c>
      <c r="AF95" s="1">
        <v>5.6</v>
      </c>
      <c r="AG95" s="1">
        <v>7.6</v>
      </c>
      <c r="AH95" s="1"/>
      <c r="AI95" s="1">
        <f t="shared" si="22"/>
        <v>0</v>
      </c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 t="s">
        <v>144</v>
      </c>
      <c r="B96" s="1" t="s">
        <v>43</v>
      </c>
      <c r="C96" s="1">
        <v>4</v>
      </c>
      <c r="D96" s="1"/>
      <c r="E96" s="1"/>
      <c r="F96" s="1"/>
      <c r="G96" s="8">
        <v>0.12</v>
      </c>
      <c r="H96" s="1">
        <v>45</v>
      </c>
      <c r="I96" s="1" t="s">
        <v>39</v>
      </c>
      <c r="J96" s="1"/>
      <c r="K96" s="1">
        <v>10</v>
      </c>
      <c r="L96" s="1">
        <f t="shared" si="17"/>
        <v>-10</v>
      </c>
      <c r="M96" s="1">
        <f t="shared" si="18"/>
        <v>0</v>
      </c>
      <c r="N96" s="1"/>
      <c r="O96" s="1">
        <v>40</v>
      </c>
      <c r="P96" s="1"/>
      <c r="Q96" s="1">
        <v>48</v>
      </c>
      <c r="R96" s="1"/>
      <c r="S96" s="1">
        <f t="shared" si="19"/>
        <v>0</v>
      </c>
      <c r="T96" s="5"/>
      <c r="U96" s="5"/>
      <c r="V96" s="1"/>
      <c r="W96" s="1"/>
      <c r="X96" s="1" t="e">
        <f t="shared" si="20"/>
        <v>#DIV/0!</v>
      </c>
      <c r="Y96" s="1" t="e">
        <f t="shared" si="21"/>
        <v>#DIV/0!</v>
      </c>
      <c r="Z96" s="1">
        <v>7.333333333333333</v>
      </c>
      <c r="AA96" s="1">
        <v>6.833333333333333</v>
      </c>
      <c r="AB96" s="1">
        <v>0</v>
      </c>
      <c r="AC96" s="1">
        <v>3.4</v>
      </c>
      <c r="AD96" s="1">
        <v>2.8</v>
      </c>
      <c r="AE96" s="1">
        <v>3.8</v>
      </c>
      <c r="AF96" s="1">
        <v>5</v>
      </c>
      <c r="AG96" s="1">
        <v>3.8</v>
      </c>
      <c r="AH96" s="1" t="s">
        <v>145</v>
      </c>
      <c r="AI96" s="1">
        <f t="shared" si="22"/>
        <v>0</v>
      </c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</sheetData>
  <autoFilter ref="A3:AI96" xr:uid="{57C91E1F-284F-4FEB-8847-D5A81C0703BB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2026-01-13T07:10:59Z</dcterms:created>
  <dcterms:modified xsi:type="dcterms:W3CDTF">2026-01-13T08:40:45Z</dcterms:modified>
</cp:coreProperties>
</file>