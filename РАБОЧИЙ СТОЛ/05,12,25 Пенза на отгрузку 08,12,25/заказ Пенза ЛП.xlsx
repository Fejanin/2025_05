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КИ\pokom_ki\WholesaleCustomers\"/>
    </mc:Choice>
  </mc:AlternateContent>
  <xr:revisionPtr revIDLastSave="0" documentId="13_ncr:1_{03ECA896-27EC-44E9-8807-064373B2C87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Z501" i="1" l="1"/>
  <c r="Y490" i="1"/>
  <c r="X490" i="1"/>
  <c r="Y489" i="1"/>
  <c r="X489" i="1"/>
  <c r="BP488" i="1"/>
  <c r="BO488" i="1"/>
  <c r="BN488" i="1"/>
  <c r="BM488" i="1"/>
  <c r="Z488" i="1"/>
  <c r="Z489" i="1" s="1"/>
  <c r="Y488" i="1"/>
  <c r="P488" i="1"/>
  <c r="Y485" i="1"/>
  <c r="X485" i="1"/>
  <c r="Y484" i="1"/>
  <c r="X484" i="1"/>
  <c r="BP483" i="1"/>
  <c r="BO483" i="1"/>
  <c r="BN483" i="1"/>
  <c r="BM483" i="1"/>
  <c r="Z483" i="1"/>
  <c r="Y483" i="1"/>
  <c r="P483" i="1"/>
  <c r="BP482" i="1"/>
  <c r="BO482" i="1"/>
  <c r="BN482" i="1"/>
  <c r="BM482" i="1"/>
  <c r="Z482" i="1"/>
  <c r="Z484" i="1" s="1"/>
  <c r="Y482" i="1"/>
  <c r="P482" i="1"/>
  <c r="Y480" i="1"/>
  <c r="X480" i="1"/>
  <c r="X479" i="1"/>
  <c r="BO478" i="1"/>
  <c r="BM478" i="1"/>
  <c r="Y478" i="1"/>
  <c r="Y479" i="1" s="1"/>
  <c r="P478" i="1"/>
  <c r="Y476" i="1"/>
  <c r="X476" i="1"/>
  <c r="Y475" i="1"/>
  <c r="X475" i="1"/>
  <c r="BP474" i="1"/>
  <c r="BO474" i="1"/>
  <c r="BN474" i="1"/>
  <c r="BM474" i="1"/>
  <c r="Z474" i="1"/>
  <c r="Y474" i="1"/>
  <c r="P474" i="1"/>
  <c r="BP473" i="1"/>
  <c r="BO473" i="1"/>
  <c r="BM473" i="1"/>
  <c r="Z473" i="1"/>
  <c r="Z475" i="1" s="1"/>
  <c r="Y473" i="1"/>
  <c r="BN473" i="1" s="1"/>
  <c r="P473" i="1"/>
  <c r="Y471" i="1"/>
  <c r="X471" i="1"/>
  <c r="X470" i="1"/>
  <c r="BO469" i="1"/>
  <c r="BM469" i="1"/>
  <c r="Z469" i="1"/>
  <c r="Y469" i="1"/>
  <c r="BP469" i="1" s="1"/>
  <c r="P469" i="1"/>
  <c r="BP468" i="1"/>
  <c r="BO468" i="1"/>
  <c r="BM468" i="1"/>
  <c r="Y468" i="1"/>
  <c r="Y470" i="1" s="1"/>
  <c r="P468" i="1"/>
  <c r="BP467" i="1"/>
  <c r="BO467" i="1"/>
  <c r="BN467" i="1"/>
  <c r="BM467" i="1"/>
  <c r="Z467" i="1"/>
  <c r="Y467" i="1"/>
  <c r="P467" i="1"/>
  <c r="X465" i="1"/>
  <c r="X464" i="1"/>
  <c r="BP463" i="1"/>
  <c r="BO463" i="1"/>
  <c r="BN463" i="1"/>
  <c r="BM463" i="1"/>
  <c r="Y463" i="1"/>
  <c r="Z463" i="1" s="1"/>
  <c r="P463" i="1"/>
  <c r="BP462" i="1"/>
  <c r="BO462" i="1"/>
  <c r="BN462" i="1"/>
  <c r="BM462" i="1"/>
  <c r="Y462" i="1"/>
  <c r="Z462" i="1" s="1"/>
  <c r="P462" i="1"/>
  <c r="BP461" i="1"/>
  <c r="BO461" i="1"/>
  <c r="BM461" i="1"/>
  <c r="Z461" i="1"/>
  <c r="Y461" i="1"/>
  <c r="BN461" i="1" s="1"/>
  <c r="P461" i="1"/>
  <c r="BO460" i="1"/>
  <c r="BM460" i="1"/>
  <c r="Y460" i="1"/>
  <c r="Y501" i="1" s="1"/>
  <c r="P460" i="1"/>
  <c r="Y456" i="1"/>
  <c r="X456" i="1"/>
  <c r="X455" i="1"/>
  <c r="BO454" i="1"/>
  <c r="BM454" i="1"/>
  <c r="Y454" i="1"/>
  <c r="BP454" i="1" s="1"/>
  <c r="P454" i="1"/>
  <c r="BP453" i="1"/>
  <c r="BO453" i="1"/>
  <c r="BN453" i="1"/>
  <c r="BM453" i="1"/>
  <c r="Y453" i="1"/>
  <c r="Z453" i="1" s="1"/>
  <c r="P453" i="1"/>
  <c r="BP452" i="1"/>
  <c r="BO452" i="1"/>
  <c r="BN452" i="1"/>
  <c r="BM452" i="1"/>
  <c r="Y452" i="1"/>
  <c r="Y455" i="1" s="1"/>
  <c r="P452" i="1"/>
  <c r="X450" i="1"/>
  <c r="X449" i="1"/>
  <c r="BP448" i="1"/>
  <c r="BO448" i="1"/>
  <c r="BN448" i="1"/>
  <c r="BM448" i="1"/>
  <c r="Z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BP446" i="1" s="1"/>
  <c r="P446" i="1"/>
  <c r="BP445" i="1"/>
  <c r="BO445" i="1"/>
  <c r="BM445" i="1"/>
  <c r="Y445" i="1"/>
  <c r="BN445" i="1" s="1"/>
  <c r="P445" i="1"/>
  <c r="BP444" i="1"/>
  <c r="BO444" i="1"/>
  <c r="BN444" i="1"/>
  <c r="BM444" i="1"/>
  <c r="Y444" i="1"/>
  <c r="Y450" i="1" s="1"/>
  <c r="P444" i="1"/>
  <c r="BP443" i="1"/>
  <c r="BO443" i="1"/>
  <c r="BM443" i="1"/>
  <c r="Z443" i="1"/>
  <c r="Y443" i="1"/>
  <c r="BN443" i="1" s="1"/>
  <c r="P443" i="1"/>
  <c r="X441" i="1"/>
  <c r="X440" i="1"/>
  <c r="BP439" i="1"/>
  <c r="BO439" i="1"/>
  <c r="BN439" i="1"/>
  <c r="BM439" i="1"/>
  <c r="Z439" i="1"/>
  <c r="Y439" i="1"/>
  <c r="P439" i="1"/>
  <c r="BO438" i="1"/>
  <c r="BM438" i="1"/>
  <c r="Y438" i="1"/>
  <c r="BP438" i="1" s="1"/>
  <c r="P438" i="1"/>
  <c r="BP437" i="1"/>
  <c r="BO437" i="1"/>
  <c r="BM437" i="1"/>
  <c r="Y437" i="1"/>
  <c r="BN437" i="1" s="1"/>
  <c r="P437" i="1"/>
  <c r="X435" i="1"/>
  <c r="X434" i="1"/>
  <c r="BP433" i="1"/>
  <c r="BO433" i="1"/>
  <c r="BN433" i="1"/>
  <c r="BM433" i="1"/>
  <c r="Y433" i="1"/>
  <c r="Z433" i="1" s="1"/>
  <c r="P433" i="1"/>
  <c r="BP432" i="1"/>
  <c r="BO432" i="1"/>
  <c r="BN432" i="1"/>
  <c r="BM432" i="1"/>
  <c r="Z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BP430" i="1" s="1"/>
  <c r="P430" i="1"/>
  <c r="BP429" i="1"/>
  <c r="BO429" i="1"/>
  <c r="BM429" i="1"/>
  <c r="Y429" i="1"/>
  <c r="BN429" i="1" s="1"/>
  <c r="P429" i="1"/>
  <c r="BP428" i="1"/>
  <c r="BO428" i="1"/>
  <c r="BN428" i="1"/>
  <c r="BM428" i="1"/>
  <c r="Y428" i="1"/>
  <c r="Z428" i="1" s="1"/>
  <c r="P428" i="1"/>
  <c r="BP427" i="1"/>
  <c r="BO427" i="1"/>
  <c r="BM427" i="1"/>
  <c r="Z427" i="1"/>
  <c r="Y427" i="1"/>
  <c r="BN427" i="1" s="1"/>
  <c r="P427" i="1"/>
  <c r="BO426" i="1"/>
  <c r="BM426" i="1"/>
  <c r="Y426" i="1"/>
  <c r="BP426" i="1" s="1"/>
  <c r="P426" i="1"/>
  <c r="BP425" i="1"/>
  <c r="BO425" i="1"/>
  <c r="BM425" i="1"/>
  <c r="Y425" i="1"/>
  <c r="Z425" i="1" s="1"/>
  <c r="P425" i="1"/>
  <c r="BO424" i="1"/>
  <c r="BM424" i="1"/>
  <c r="Y424" i="1"/>
  <c r="BP424" i="1" s="1"/>
  <c r="P424" i="1"/>
  <c r="BO423" i="1"/>
  <c r="BM423" i="1"/>
  <c r="Z423" i="1"/>
  <c r="Y423" i="1"/>
  <c r="BP423" i="1" s="1"/>
  <c r="BP422" i="1"/>
  <c r="BO422" i="1"/>
  <c r="BM422" i="1"/>
  <c r="Y422" i="1"/>
  <c r="Z422" i="1" s="1"/>
  <c r="P422" i="1"/>
  <c r="X418" i="1"/>
  <c r="Y417" i="1"/>
  <c r="X417" i="1"/>
  <c r="BP416" i="1"/>
  <c r="BO416" i="1"/>
  <c r="BM416" i="1"/>
  <c r="Y416" i="1"/>
  <c r="W501" i="1" s="1"/>
  <c r="P416" i="1"/>
  <c r="X413" i="1"/>
  <c r="X412" i="1"/>
  <c r="BP411" i="1"/>
  <c r="BO411" i="1"/>
  <c r="BN411" i="1"/>
  <c r="BM411" i="1"/>
  <c r="Y411" i="1"/>
  <c r="Z411" i="1" s="1"/>
  <c r="P411" i="1"/>
  <c r="BP410" i="1"/>
  <c r="BO410" i="1"/>
  <c r="BN410" i="1"/>
  <c r="BM410" i="1"/>
  <c r="Z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BP408" i="1" s="1"/>
  <c r="P408" i="1"/>
  <c r="Y406" i="1"/>
  <c r="X406" i="1"/>
  <c r="X405" i="1"/>
  <c r="BP404" i="1"/>
  <c r="BO404" i="1"/>
  <c r="BN404" i="1"/>
  <c r="BM404" i="1"/>
  <c r="Z404" i="1"/>
  <c r="Z405" i="1" s="1"/>
  <c r="Y404" i="1"/>
  <c r="V501" i="1" s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Y401" i="1" s="1"/>
  <c r="P398" i="1"/>
  <c r="X396" i="1"/>
  <c r="X395" i="1"/>
  <c r="BO394" i="1"/>
  <c r="BN394" i="1"/>
  <c r="BM394" i="1"/>
  <c r="Z394" i="1"/>
  <c r="Y394" i="1"/>
  <c r="BP394" i="1" s="1"/>
  <c r="P394" i="1"/>
  <c r="BO393" i="1"/>
  <c r="BM393" i="1"/>
  <c r="Z393" i="1"/>
  <c r="Y393" i="1"/>
  <c r="BP393" i="1" s="1"/>
  <c r="P393" i="1"/>
  <c r="BP392" i="1"/>
  <c r="BO392" i="1"/>
  <c r="BN392" i="1"/>
  <c r="BM392" i="1"/>
  <c r="Z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BP390" i="1" s="1"/>
  <c r="P390" i="1"/>
  <c r="BO389" i="1"/>
  <c r="BN389" i="1"/>
  <c r="BM389" i="1"/>
  <c r="Y389" i="1"/>
  <c r="Z389" i="1" s="1"/>
  <c r="P389" i="1"/>
  <c r="BP388" i="1"/>
  <c r="BO388" i="1"/>
  <c r="BN388" i="1"/>
  <c r="BM388" i="1"/>
  <c r="Y388" i="1"/>
  <c r="Z388" i="1" s="1"/>
  <c r="P388" i="1"/>
  <c r="BO387" i="1"/>
  <c r="BM387" i="1"/>
  <c r="Y387" i="1"/>
  <c r="Y395" i="1" s="1"/>
  <c r="P387" i="1"/>
  <c r="BP386" i="1"/>
  <c r="BO386" i="1"/>
  <c r="BN386" i="1"/>
  <c r="BM386" i="1"/>
  <c r="Y386" i="1"/>
  <c r="Z386" i="1" s="1"/>
  <c r="P386" i="1"/>
  <c r="X382" i="1"/>
  <c r="X381" i="1"/>
  <c r="BO380" i="1"/>
  <c r="BM380" i="1"/>
  <c r="Y380" i="1"/>
  <c r="Y382" i="1" s="1"/>
  <c r="P380" i="1"/>
  <c r="BO379" i="1"/>
  <c r="BN379" i="1"/>
  <c r="BM379" i="1"/>
  <c r="Y379" i="1"/>
  <c r="Z379" i="1" s="1"/>
  <c r="P379" i="1"/>
  <c r="BP378" i="1"/>
  <c r="BO378" i="1"/>
  <c r="BN378" i="1"/>
  <c r="BM378" i="1"/>
  <c r="Y378" i="1"/>
  <c r="Y381" i="1" s="1"/>
  <c r="P378" i="1"/>
  <c r="Y376" i="1"/>
  <c r="X376" i="1"/>
  <c r="Z375" i="1"/>
  <c r="Y375" i="1"/>
  <c r="X375" i="1"/>
  <c r="BP374" i="1"/>
  <c r="BO374" i="1"/>
  <c r="BN374" i="1"/>
  <c r="BM374" i="1"/>
  <c r="Z374" i="1"/>
  <c r="Y374" i="1"/>
  <c r="P374" i="1"/>
  <c r="BP373" i="1"/>
  <c r="BO373" i="1"/>
  <c r="BN373" i="1"/>
  <c r="BM373" i="1"/>
  <c r="Z373" i="1"/>
  <c r="Y373" i="1"/>
  <c r="P373" i="1"/>
  <c r="X371" i="1"/>
  <c r="Y370" i="1"/>
  <c r="X370" i="1"/>
  <c r="BP369" i="1"/>
  <c r="BO369" i="1"/>
  <c r="BM369" i="1"/>
  <c r="Z369" i="1"/>
  <c r="Y369" i="1"/>
  <c r="BN369" i="1" s="1"/>
  <c r="P369" i="1"/>
  <c r="BO368" i="1"/>
  <c r="BN368" i="1"/>
  <c r="BM368" i="1"/>
  <c r="Z368" i="1"/>
  <c r="Z370" i="1" s="1"/>
  <c r="Y368" i="1"/>
  <c r="BP368" i="1" s="1"/>
  <c r="P368" i="1"/>
  <c r="X365" i="1"/>
  <c r="X364" i="1"/>
  <c r="BO363" i="1"/>
  <c r="BN363" i="1"/>
  <c r="BM363" i="1"/>
  <c r="Y363" i="1"/>
  <c r="Z363" i="1" s="1"/>
  <c r="Z364" i="1" s="1"/>
  <c r="P363" i="1"/>
  <c r="X361" i="1"/>
  <c r="Y360" i="1"/>
  <c r="X360" i="1"/>
  <c r="BP359" i="1"/>
  <c r="BO359" i="1"/>
  <c r="BM359" i="1"/>
  <c r="Y359" i="1"/>
  <c r="BN359" i="1" s="1"/>
  <c r="P359" i="1"/>
  <c r="BP358" i="1"/>
  <c r="BO358" i="1"/>
  <c r="BN358" i="1"/>
  <c r="BM358" i="1"/>
  <c r="Y358" i="1"/>
  <c r="Y361" i="1" s="1"/>
  <c r="P358" i="1"/>
  <c r="Y356" i="1"/>
  <c r="X356" i="1"/>
  <c r="Y355" i="1"/>
  <c r="X355" i="1"/>
  <c r="BP354" i="1"/>
  <c r="BO354" i="1"/>
  <c r="BN354" i="1"/>
  <c r="BM354" i="1"/>
  <c r="Z354" i="1"/>
  <c r="Y354" i="1"/>
  <c r="P354" i="1"/>
  <c r="BP353" i="1"/>
  <c r="BO353" i="1"/>
  <c r="BN353" i="1"/>
  <c r="BM353" i="1"/>
  <c r="Z353" i="1"/>
  <c r="Z355" i="1" s="1"/>
  <c r="Y353" i="1"/>
  <c r="P353" i="1"/>
  <c r="X351" i="1"/>
  <c r="X350" i="1"/>
  <c r="BP349" i="1"/>
  <c r="BO349" i="1"/>
  <c r="BN349" i="1"/>
  <c r="BM349" i="1"/>
  <c r="Y349" i="1"/>
  <c r="Z349" i="1" s="1"/>
  <c r="P349" i="1"/>
  <c r="BO348" i="1"/>
  <c r="BN348" i="1"/>
  <c r="BM348" i="1"/>
  <c r="Y348" i="1"/>
  <c r="Y351" i="1" s="1"/>
  <c r="P348" i="1"/>
  <c r="BP347" i="1"/>
  <c r="BO347" i="1"/>
  <c r="BM347" i="1"/>
  <c r="Y347" i="1"/>
  <c r="BN347" i="1" s="1"/>
  <c r="P347" i="1"/>
  <c r="BP346" i="1"/>
  <c r="BO346" i="1"/>
  <c r="BN346" i="1"/>
  <c r="BM346" i="1"/>
  <c r="Z346" i="1"/>
  <c r="Y346" i="1"/>
  <c r="P346" i="1"/>
  <c r="BP345" i="1"/>
  <c r="BO345" i="1"/>
  <c r="BN345" i="1"/>
  <c r="BM345" i="1"/>
  <c r="Z345" i="1"/>
  <c r="Y345" i="1"/>
  <c r="P345" i="1"/>
  <c r="BP344" i="1"/>
  <c r="BO344" i="1"/>
  <c r="BM344" i="1"/>
  <c r="Y344" i="1"/>
  <c r="BN344" i="1" s="1"/>
  <c r="P344" i="1"/>
  <c r="BP343" i="1"/>
  <c r="BO343" i="1"/>
  <c r="BM343" i="1"/>
  <c r="Y343" i="1"/>
  <c r="Y350" i="1" s="1"/>
  <c r="P343" i="1"/>
  <c r="Y339" i="1"/>
  <c r="X339" i="1"/>
  <c r="Y338" i="1"/>
  <c r="X338" i="1"/>
  <c r="BP337" i="1"/>
  <c r="BO337" i="1"/>
  <c r="BM337" i="1"/>
  <c r="Y337" i="1"/>
  <c r="BN337" i="1" s="1"/>
  <c r="P337" i="1"/>
  <c r="BP336" i="1"/>
  <c r="BO336" i="1"/>
  <c r="BN336" i="1"/>
  <c r="BM336" i="1"/>
  <c r="Z336" i="1"/>
  <c r="Y336" i="1"/>
  <c r="P336" i="1"/>
  <c r="BP335" i="1"/>
  <c r="BO335" i="1"/>
  <c r="BN335" i="1"/>
  <c r="BM335" i="1"/>
  <c r="Z335" i="1"/>
  <c r="Y335" i="1"/>
  <c r="R501" i="1" s="1"/>
  <c r="P335" i="1"/>
  <c r="X332" i="1"/>
  <c r="X331" i="1"/>
  <c r="BP330" i="1"/>
  <c r="BO330" i="1"/>
  <c r="BN330" i="1"/>
  <c r="BM330" i="1"/>
  <c r="Y330" i="1"/>
  <c r="Z330" i="1" s="1"/>
  <c r="P330" i="1"/>
  <c r="BO329" i="1"/>
  <c r="BN329" i="1"/>
  <c r="BM329" i="1"/>
  <c r="Y329" i="1"/>
  <c r="Y332" i="1" s="1"/>
  <c r="P329" i="1"/>
  <c r="BP328" i="1"/>
  <c r="BO328" i="1"/>
  <c r="BM328" i="1"/>
  <c r="Y328" i="1"/>
  <c r="BN328" i="1" s="1"/>
  <c r="P328" i="1"/>
  <c r="Y326" i="1"/>
  <c r="X326" i="1"/>
  <c r="X325" i="1"/>
  <c r="BO324" i="1"/>
  <c r="BM324" i="1"/>
  <c r="Y324" i="1"/>
  <c r="BP324" i="1" s="1"/>
  <c r="P324" i="1"/>
  <c r="BO323" i="1"/>
  <c r="BN323" i="1"/>
  <c r="BM323" i="1"/>
  <c r="Y323" i="1"/>
  <c r="Z323" i="1" s="1"/>
  <c r="P323" i="1"/>
  <c r="BP322" i="1"/>
  <c r="BO322" i="1"/>
  <c r="BN322" i="1"/>
  <c r="BM322" i="1"/>
  <c r="Y322" i="1"/>
  <c r="Z322" i="1" s="1"/>
  <c r="P322" i="1"/>
  <c r="BO321" i="1"/>
  <c r="BN321" i="1"/>
  <c r="BM321" i="1"/>
  <c r="Y321" i="1"/>
  <c r="Y325" i="1" s="1"/>
  <c r="P321" i="1"/>
  <c r="Y319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BP316" i="1" s="1"/>
  <c r="P316" i="1"/>
  <c r="BO315" i="1"/>
  <c r="BN315" i="1"/>
  <c r="BM315" i="1"/>
  <c r="Y315" i="1"/>
  <c r="Y318" i="1" s="1"/>
  <c r="P315" i="1"/>
  <c r="Y313" i="1"/>
  <c r="X313" i="1"/>
  <c r="Y312" i="1"/>
  <c r="X312" i="1"/>
  <c r="BO311" i="1"/>
  <c r="BM311" i="1"/>
  <c r="Z311" i="1"/>
  <c r="Y311" i="1"/>
  <c r="BP311" i="1" s="1"/>
  <c r="P311" i="1"/>
  <c r="BP310" i="1"/>
  <c r="BO310" i="1"/>
  <c r="BN310" i="1"/>
  <c r="BM310" i="1"/>
  <c r="Z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BP308" i="1" s="1"/>
  <c r="P308" i="1"/>
  <c r="X306" i="1"/>
  <c r="X305" i="1"/>
  <c r="BO304" i="1"/>
  <c r="BM304" i="1"/>
  <c r="Y304" i="1"/>
  <c r="BP304" i="1" s="1"/>
  <c r="P304" i="1"/>
  <c r="BO303" i="1"/>
  <c r="BM303" i="1"/>
  <c r="Z303" i="1"/>
  <c r="Y303" i="1"/>
  <c r="BP303" i="1" s="1"/>
  <c r="P303" i="1"/>
  <c r="BP302" i="1"/>
  <c r="BO302" i="1"/>
  <c r="BN302" i="1"/>
  <c r="BM302" i="1"/>
  <c r="Z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Y305" i="1" s="1"/>
  <c r="P300" i="1"/>
  <c r="BO299" i="1"/>
  <c r="BN299" i="1"/>
  <c r="BM299" i="1"/>
  <c r="Y299" i="1"/>
  <c r="Z299" i="1" s="1"/>
  <c r="P299" i="1"/>
  <c r="X297" i="1"/>
  <c r="Y296" i="1"/>
  <c r="X296" i="1"/>
  <c r="BO295" i="1"/>
  <c r="BM295" i="1"/>
  <c r="Z295" i="1"/>
  <c r="Y295" i="1"/>
  <c r="BP295" i="1" s="1"/>
  <c r="P295" i="1"/>
  <c r="BP294" i="1"/>
  <c r="BO294" i="1"/>
  <c r="BN294" i="1"/>
  <c r="BM294" i="1"/>
  <c r="Z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Y297" i="1" s="1"/>
  <c r="P292" i="1"/>
  <c r="BO291" i="1"/>
  <c r="BN291" i="1"/>
  <c r="BM291" i="1"/>
  <c r="Y291" i="1"/>
  <c r="Z291" i="1" s="1"/>
  <c r="P291" i="1"/>
  <c r="BP290" i="1"/>
  <c r="BO290" i="1"/>
  <c r="BN290" i="1"/>
  <c r="BM290" i="1"/>
  <c r="Y290" i="1"/>
  <c r="Q501" i="1" s="1"/>
  <c r="P290" i="1"/>
  <c r="Y287" i="1"/>
  <c r="X287" i="1"/>
  <c r="Z286" i="1"/>
  <c r="Y286" i="1"/>
  <c r="X286" i="1"/>
  <c r="BP285" i="1"/>
  <c r="BO285" i="1"/>
  <c r="BN285" i="1"/>
  <c r="BM285" i="1"/>
  <c r="Z285" i="1"/>
  <c r="Y285" i="1"/>
  <c r="P285" i="1"/>
  <c r="BP284" i="1"/>
  <c r="BO284" i="1"/>
  <c r="BN284" i="1"/>
  <c r="BM284" i="1"/>
  <c r="Z284" i="1"/>
  <c r="Y284" i="1"/>
  <c r="P284" i="1"/>
  <c r="X282" i="1"/>
  <c r="X281" i="1"/>
  <c r="BP280" i="1"/>
  <c r="BO280" i="1"/>
  <c r="BM280" i="1"/>
  <c r="Z280" i="1"/>
  <c r="Y280" i="1"/>
  <c r="BN280" i="1" s="1"/>
  <c r="P280" i="1"/>
  <c r="BO279" i="1"/>
  <c r="BM279" i="1"/>
  <c r="Y279" i="1"/>
  <c r="BP279" i="1" s="1"/>
  <c r="P279" i="1"/>
  <c r="X276" i="1"/>
  <c r="X275" i="1"/>
  <c r="BO274" i="1"/>
  <c r="BN274" i="1"/>
  <c r="BM274" i="1"/>
  <c r="Z274" i="1"/>
  <c r="Y274" i="1"/>
  <c r="BP274" i="1" s="1"/>
  <c r="P274" i="1"/>
  <c r="BO273" i="1"/>
  <c r="BM273" i="1"/>
  <c r="Z273" i="1"/>
  <c r="Y273" i="1"/>
  <c r="BP273" i="1" s="1"/>
  <c r="P273" i="1"/>
  <c r="BO272" i="1"/>
  <c r="BM272" i="1"/>
  <c r="Y272" i="1"/>
  <c r="BP272" i="1" s="1"/>
  <c r="P272" i="1"/>
  <c r="X269" i="1"/>
  <c r="X268" i="1"/>
  <c r="BO267" i="1"/>
  <c r="BM267" i="1"/>
  <c r="Y267" i="1"/>
  <c r="BP267" i="1" s="1"/>
  <c r="P267" i="1"/>
  <c r="BP266" i="1"/>
  <c r="BO266" i="1"/>
  <c r="BN266" i="1"/>
  <c r="BM266" i="1"/>
  <c r="Y266" i="1"/>
  <c r="Z266" i="1" s="1"/>
  <c r="P266" i="1"/>
  <c r="BO265" i="1"/>
  <c r="BN265" i="1"/>
  <c r="BM265" i="1"/>
  <c r="Y265" i="1"/>
  <c r="BP265" i="1" s="1"/>
  <c r="P265" i="1"/>
  <c r="BO264" i="1"/>
  <c r="BM264" i="1"/>
  <c r="Z264" i="1"/>
  <c r="Y264" i="1"/>
  <c r="BP264" i="1" s="1"/>
  <c r="P264" i="1"/>
  <c r="X261" i="1"/>
  <c r="X260" i="1"/>
  <c r="BP259" i="1"/>
  <c r="BO259" i="1"/>
  <c r="BM259" i="1"/>
  <c r="Y259" i="1"/>
  <c r="BN259" i="1" s="1"/>
  <c r="P259" i="1"/>
  <c r="BO258" i="1"/>
  <c r="BM258" i="1"/>
  <c r="Y258" i="1"/>
  <c r="BP258" i="1" s="1"/>
  <c r="P258" i="1"/>
  <c r="BP257" i="1"/>
  <c r="BO257" i="1"/>
  <c r="BM257" i="1"/>
  <c r="Y257" i="1"/>
  <c r="BN257" i="1" s="1"/>
  <c r="P257" i="1"/>
  <c r="BO256" i="1"/>
  <c r="BN256" i="1"/>
  <c r="BM256" i="1"/>
  <c r="Y256" i="1"/>
  <c r="BP256" i="1" s="1"/>
  <c r="P256" i="1"/>
  <c r="BO255" i="1"/>
  <c r="BM255" i="1"/>
  <c r="Z255" i="1"/>
  <c r="Y255" i="1"/>
  <c r="BP255" i="1" s="1"/>
  <c r="P255" i="1"/>
  <c r="X252" i="1"/>
  <c r="X251" i="1"/>
  <c r="BP250" i="1"/>
  <c r="BO250" i="1"/>
  <c r="BM250" i="1"/>
  <c r="Y250" i="1"/>
  <c r="BN250" i="1" s="1"/>
  <c r="P250" i="1"/>
  <c r="BO249" i="1"/>
  <c r="BM249" i="1"/>
  <c r="Y249" i="1"/>
  <c r="BP249" i="1" s="1"/>
  <c r="P249" i="1"/>
  <c r="BP248" i="1"/>
  <c r="BO248" i="1"/>
  <c r="BM248" i="1"/>
  <c r="Y248" i="1"/>
  <c r="BN248" i="1" s="1"/>
  <c r="P248" i="1"/>
  <c r="BO247" i="1"/>
  <c r="BN247" i="1"/>
  <c r="BM247" i="1"/>
  <c r="Y247" i="1"/>
  <c r="Z247" i="1" s="1"/>
  <c r="P247" i="1"/>
  <c r="BO246" i="1"/>
  <c r="BM246" i="1"/>
  <c r="Z246" i="1"/>
  <c r="Y246" i="1"/>
  <c r="BP246" i="1" s="1"/>
  <c r="P246" i="1"/>
  <c r="X244" i="1"/>
  <c r="X243" i="1"/>
  <c r="BP242" i="1"/>
  <c r="BO242" i="1"/>
  <c r="BM242" i="1"/>
  <c r="Y242" i="1"/>
  <c r="Y244" i="1" s="1"/>
  <c r="P242" i="1"/>
  <c r="Y240" i="1"/>
  <c r="X240" i="1"/>
  <c r="Y239" i="1"/>
  <c r="X239" i="1"/>
  <c r="BP238" i="1"/>
  <c r="BO238" i="1"/>
  <c r="BN238" i="1"/>
  <c r="BM238" i="1"/>
  <c r="Z238" i="1"/>
  <c r="Z239" i="1" s="1"/>
  <c r="Y238" i="1"/>
  <c r="P238" i="1"/>
  <c r="X236" i="1"/>
  <c r="X235" i="1"/>
  <c r="BP234" i="1"/>
  <c r="BO234" i="1"/>
  <c r="BN234" i="1"/>
  <c r="BM234" i="1"/>
  <c r="Y234" i="1"/>
  <c r="Z234" i="1" s="1"/>
  <c r="P234" i="1"/>
  <c r="BP233" i="1"/>
  <c r="BO233" i="1"/>
  <c r="BN233" i="1"/>
  <c r="BM233" i="1"/>
  <c r="Y233" i="1"/>
  <c r="Z233" i="1" s="1"/>
  <c r="P233" i="1"/>
  <c r="BO232" i="1"/>
  <c r="BM232" i="1"/>
  <c r="Y232" i="1"/>
  <c r="BP232" i="1" s="1"/>
  <c r="P232" i="1"/>
  <c r="BP231" i="1"/>
  <c r="BO231" i="1"/>
  <c r="BN231" i="1"/>
  <c r="BM231" i="1"/>
  <c r="Y231" i="1"/>
  <c r="Z231" i="1" s="1"/>
  <c r="P231" i="1"/>
  <c r="BP230" i="1"/>
  <c r="BO230" i="1"/>
  <c r="BN230" i="1"/>
  <c r="BM230" i="1"/>
  <c r="Z230" i="1"/>
  <c r="Y230" i="1"/>
  <c r="P230" i="1"/>
  <c r="BP229" i="1"/>
  <c r="BO229" i="1"/>
  <c r="BN229" i="1"/>
  <c r="BM229" i="1"/>
  <c r="Z229" i="1"/>
  <c r="Y229" i="1"/>
  <c r="P229" i="1"/>
  <c r="BP228" i="1"/>
  <c r="BO228" i="1"/>
  <c r="BM228" i="1"/>
  <c r="Y228" i="1"/>
  <c r="BN228" i="1" s="1"/>
  <c r="P228" i="1"/>
  <c r="BP227" i="1"/>
  <c r="BO227" i="1"/>
  <c r="BM227" i="1"/>
  <c r="Y227" i="1"/>
  <c r="BN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Y222" i="1"/>
  <c r="X222" i="1"/>
  <c r="X221" i="1"/>
  <c r="BP220" i="1"/>
  <c r="BO220" i="1"/>
  <c r="BN220" i="1"/>
  <c r="BM220" i="1"/>
  <c r="Z220" i="1"/>
  <c r="Y220" i="1"/>
  <c r="P220" i="1"/>
  <c r="BP219" i="1"/>
  <c r="BO219" i="1"/>
  <c r="BM219" i="1"/>
  <c r="Y219" i="1"/>
  <c r="BN219" i="1" s="1"/>
  <c r="P219" i="1"/>
  <c r="X217" i="1"/>
  <c r="X216" i="1"/>
  <c r="BO215" i="1"/>
  <c r="BM215" i="1"/>
  <c r="Y215" i="1"/>
  <c r="BN215" i="1" s="1"/>
  <c r="P215" i="1"/>
  <c r="BP214" i="1"/>
  <c r="BO214" i="1"/>
  <c r="BN214" i="1"/>
  <c r="BM214" i="1"/>
  <c r="Y214" i="1"/>
  <c r="Z214" i="1" s="1"/>
  <c r="P214" i="1"/>
  <c r="BP213" i="1"/>
  <c r="BO213" i="1"/>
  <c r="BN213" i="1"/>
  <c r="BM213" i="1"/>
  <c r="Z213" i="1"/>
  <c r="Y213" i="1"/>
  <c r="P213" i="1"/>
  <c r="BP212" i="1"/>
  <c r="BO212" i="1"/>
  <c r="BN212" i="1"/>
  <c r="BM212" i="1"/>
  <c r="Z212" i="1"/>
  <c r="Y212" i="1"/>
  <c r="P212" i="1"/>
  <c r="BP211" i="1"/>
  <c r="BO211" i="1"/>
  <c r="BM211" i="1"/>
  <c r="Y211" i="1"/>
  <c r="BN211" i="1" s="1"/>
  <c r="P211" i="1"/>
  <c r="BP210" i="1"/>
  <c r="BO210" i="1"/>
  <c r="BM210" i="1"/>
  <c r="Y210" i="1"/>
  <c r="BN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P207" i="1"/>
  <c r="BO207" i="1"/>
  <c r="BM207" i="1"/>
  <c r="Y207" i="1"/>
  <c r="Y216" i="1" s="1"/>
  <c r="P207" i="1"/>
  <c r="X205" i="1"/>
  <c r="X204" i="1"/>
  <c r="BP203" i="1"/>
  <c r="BO203" i="1"/>
  <c r="BM203" i="1"/>
  <c r="Y203" i="1"/>
  <c r="BN203" i="1" s="1"/>
  <c r="P203" i="1"/>
  <c r="BP202" i="1"/>
  <c r="BO202" i="1"/>
  <c r="BM202" i="1"/>
  <c r="Y202" i="1"/>
  <c r="BN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P199" i="1"/>
  <c r="BO199" i="1"/>
  <c r="BN199" i="1"/>
  <c r="BM199" i="1"/>
  <c r="Y199" i="1"/>
  <c r="Z199" i="1" s="1"/>
  <c r="P199" i="1"/>
  <c r="BO198" i="1"/>
  <c r="BN198" i="1"/>
  <c r="BM198" i="1"/>
  <c r="Y198" i="1"/>
  <c r="BP198" i="1" s="1"/>
  <c r="P198" i="1"/>
  <c r="BO197" i="1"/>
  <c r="BM197" i="1"/>
  <c r="Z197" i="1"/>
  <c r="Y197" i="1"/>
  <c r="BP197" i="1" s="1"/>
  <c r="P197" i="1"/>
  <c r="BO196" i="1"/>
  <c r="BM196" i="1"/>
  <c r="Y196" i="1"/>
  <c r="BP196" i="1" s="1"/>
  <c r="P196" i="1"/>
  <c r="X194" i="1"/>
  <c r="X193" i="1"/>
  <c r="BO192" i="1"/>
  <c r="BM192" i="1"/>
  <c r="Y192" i="1"/>
  <c r="BP192" i="1" s="1"/>
  <c r="P192" i="1"/>
  <c r="BP191" i="1"/>
  <c r="BO191" i="1"/>
  <c r="BM191" i="1"/>
  <c r="Y191" i="1"/>
  <c r="BN191" i="1" s="1"/>
  <c r="P191" i="1"/>
  <c r="X189" i="1"/>
  <c r="X188" i="1"/>
  <c r="BP187" i="1"/>
  <c r="BO187" i="1"/>
  <c r="BM187" i="1"/>
  <c r="Y187" i="1"/>
  <c r="BN187" i="1" s="1"/>
  <c r="P187" i="1"/>
  <c r="BP186" i="1"/>
  <c r="BO186" i="1"/>
  <c r="BM186" i="1"/>
  <c r="Y186" i="1"/>
  <c r="BN186" i="1" s="1"/>
  <c r="P186" i="1"/>
  <c r="Y183" i="1"/>
  <c r="X183" i="1"/>
  <c r="Y182" i="1"/>
  <c r="X182" i="1"/>
  <c r="BP181" i="1"/>
  <c r="BO181" i="1"/>
  <c r="BN181" i="1"/>
  <c r="BM181" i="1"/>
  <c r="Y181" i="1"/>
  <c r="Z181" i="1" s="1"/>
  <c r="Z182" i="1" s="1"/>
  <c r="P181" i="1"/>
  <c r="Y179" i="1"/>
  <c r="X179" i="1"/>
  <c r="X178" i="1"/>
  <c r="BO177" i="1"/>
  <c r="BM177" i="1"/>
  <c r="Y177" i="1"/>
  <c r="BP177" i="1" s="1"/>
  <c r="P177" i="1"/>
  <c r="BP176" i="1"/>
  <c r="BO176" i="1"/>
  <c r="BN176" i="1"/>
  <c r="BM176" i="1"/>
  <c r="Y176" i="1"/>
  <c r="Z176" i="1" s="1"/>
  <c r="P176" i="1"/>
  <c r="BP175" i="1"/>
  <c r="BO175" i="1"/>
  <c r="BN175" i="1"/>
  <c r="BM175" i="1"/>
  <c r="Y175" i="1"/>
  <c r="Y178" i="1" s="1"/>
  <c r="P175" i="1"/>
  <c r="X173" i="1"/>
  <c r="X172" i="1"/>
  <c r="BP171" i="1"/>
  <c r="BO171" i="1"/>
  <c r="BN171" i="1"/>
  <c r="BM171" i="1"/>
  <c r="Z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Y168" i="1"/>
  <c r="Z168" i="1" s="1"/>
  <c r="P168" i="1"/>
  <c r="BP167" i="1"/>
  <c r="BO167" i="1"/>
  <c r="BN167" i="1"/>
  <c r="BM167" i="1"/>
  <c r="Y167" i="1"/>
  <c r="Z167" i="1" s="1"/>
  <c r="P167" i="1"/>
  <c r="BO166" i="1"/>
  <c r="BM166" i="1"/>
  <c r="Y166" i="1"/>
  <c r="BN166" i="1" s="1"/>
  <c r="P166" i="1"/>
  <c r="BP165" i="1"/>
  <c r="BO165" i="1"/>
  <c r="BN165" i="1"/>
  <c r="BM165" i="1"/>
  <c r="Y165" i="1"/>
  <c r="Z165" i="1" s="1"/>
  <c r="P165" i="1"/>
  <c r="BP164" i="1"/>
  <c r="BO164" i="1"/>
  <c r="BN164" i="1"/>
  <c r="BM164" i="1"/>
  <c r="Z164" i="1"/>
  <c r="Y164" i="1"/>
  <c r="P164" i="1"/>
  <c r="BP163" i="1"/>
  <c r="BO163" i="1"/>
  <c r="BN163" i="1"/>
  <c r="BM163" i="1"/>
  <c r="Z163" i="1"/>
  <c r="Y163" i="1"/>
  <c r="P163" i="1"/>
  <c r="BP162" i="1"/>
  <c r="BO162" i="1"/>
  <c r="BM162" i="1"/>
  <c r="Y162" i="1"/>
  <c r="BN162" i="1" s="1"/>
  <c r="P162" i="1"/>
  <c r="X160" i="1"/>
  <c r="X159" i="1"/>
  <c r="BO158" i="1"/>
  <c r="BM158" i="1"/>
  <c r="Y158" i="1"/>
  <c r="Y160" i="1" s="1"/>
  <c r="P158" i="1"/>
  <c r="Y154" i="1"/>
  <c r="X154" i="1"/>
  <c r="X153" i="1"/>
  <c r="BP152" i="1"/>
  <c r="BO152" i="1"/>
  <c r="BN152" i="1"/>
  <c r="BM152" i="1"/>
  <c r="Z152" i="1"/>
  <c r="Z153" i="1" s="1"/>
  <c r="Y152" i="1"/>
  <c r="Y153" i="1" s="1"/>
  <c r="P152" i="1"/>
  <c r="X150" i="1"/>
  <c r="X149" i="1"/>
  <c r="BO148" i="1"/>
  <c r="BM148" i="1"/>
  <c r="Z148" i="1"/>
  <c r="Y148" i="1"/>
  <c r="BP148" i="1" s="1"/>
  <c r="P148" i="1"/>
  <c r="BO147" i="1"/>
  <c r="BM147" i="1"/>
  <c r="Y147" i="1"/>
  <c r="BP147" i="1" s="1"/>
  <c r="P147" i="1"/>
  <c r="BP146" i="1"/>
  <c r="BO146" i="1"/>
  <c r="BM146" i="1"/>
  <c r="Z146" i="1"/>
  <c r="Y146" i="1"/>
  <c r="Y150" i="1" s="1"/>
  <c r="P146" i="1"/>
  <c r="Y144" i="1"/>
  <c r="X144" i="1"/>
  <c r="Y143" i="1"/>
  <c r="X143" i="1"/>
  <c r="BO142" i="1"/>
  <c r="BM142" i="1"/>
  <c r="Z142" i="1"/>
  <c r="Y142" i="1"/>
  <c r="BP142" i="1" s="1"/>
  <c r="P142" i="1"/>
  <c r="BO141" i="1"/>
  <c r="BM141" i="1"/>
  <c r="Y141" i="1"/>
  <c r="BP141" i="1" s="1"/>
  <c r="P141" i="1"/>
  <c r="X138" i="1"/>
  <c r="X137" i="1"/>
  <c r="BO136" i="1"/>
  <c r="BM136" i="1"/>
  <c r="Y136" i="1"/>
  <c r="Y137" i="1" s="1"/>
  <c r="P136" i="1"/>
  <c r="BP135" i="1"/>
  <c r="BO135" i="1"/>
  <c r="BN135" i="1"/>
  <c r="BM135" i="1"/>
  <c r="Y135" i="1"/>
  <c r="Z135" i="1" s="1"/>
  <c r="P135" i="1"/>
  <c r="X133" i="1"/>
  <c r="X132" i="1"/>
  <c r="BP131" i="1"/>
  <c r="BO131" i="1"/>
  <c r="BM131" i="1"/>
  <c r="Y131" i="1"/>
  <c r="BN131" i="1" s="1"/>
  <c r="P131" i="1"/>
  <c r="BP130" i="1"/>
  <c r="BO130" i="1"/>
  <c r="BM130" i="1"/>
  <c r="Y130" i="1"/>
  <c r="BN130" i="1" s="1"/>
  <c r="P130" i="1"/>
  <c r="Y128" i="1"/>
  <c r="X128" i="1"/>
  <c r="Y127" i="1"/>
  <c r="X127" i="1"/>
  <c r="BP126" i="1"/>
  <c r="BO126" i="1"/>
  <c r="BN126" i="1"/>
  <c r="BM126" i="1"/>
  <c r="Y126" i="1"/>
  <c r="Z126" i="1" s="1"/>
  <c r="P126" i="1"/>
  <c r="BP125" i="1"/>
  <c r="BO125" i="1"/>
  <c r="BN125" i="1"/>
  <c r="BM125" i="1"/>
  <c r="Z125" i="1"/>
  <c r="Z127" i="1" s="1"/>
  <c r="Y125" i="1"/>
  <c r="G501" i="1" s="1"/>
  <c r="P125" i="1"/>
  <c r="Y122" i="1"/>
  <c r="X122" i="1"/>
  <c r="Y121" i="1"/>
  <c r="X121" i="1"/>
  <c r="BP120" i="1"/>
  <c r="BO120" i="1"/>
  <c r="BN120" i="1"/>
  <c r="BM120" i="1"/>
  <c r="Y120" i="1"/>
  <c r="Z120" i="1" s="1"/>
  <c r="Z121" i="1" s="1"/>
  <c r="P120" i="1"/>
  <c r="Y118" i="1"/>
  <c r="X118" i="1"/>
  <c r="Y117" i="1"/>
  <c r="X117" i="1"/>
  <c r="BP116" i="1"/>
  <c r="BO116" i="1"/>
  <c r="BM116" i="1"/>
  <c r="Z116" i="1"/>
  <c r="Y116" i="1"/>
  <c r="BN116" i="1" s="1"/>
  <c r="P116" i="1"/>
  <c r="BP115" i="1"/>
  <c r="BO115" i="1"/>
  <c r="BN115" i="1"/>
  <c r="BM115" i="1"/>
  <c r="Z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X111" i="1"/>
  <c r="X110" i="1"/>
  <c r="BO109" i="1"/>
  <c r="BM109" i="1"/>
  <c r="Y109" i="1"/>
  <c r="Y110" i="1" s="1"/>
  <c r="P109" i="1"/>
  <c r="BP108" i="1"/>
  <c r="BO108" i="1"/>
  <c r="BM108" i="1"/>
  <c r="Z108" i="1"/>
  <c r="Y108" i="1"/>
  <c r="BN108" i="1" s="1"/>
  <c r="P108" i="1"/>
  <c r="BP107" i="1"/>
  <c r="BO107" i="1"/>
  <c r="BN107" i="1"/>
  <c r="BM107" i="1"/>
  <c r="Z107" i="1"/>
  <c r="Y107" i="1"/>
  <c r="P107" i="1"/>
  <c r="X105" i="1"/>
  <c r="X104" i="1"/>
  <c r="BO103" i="1"/>
  <c r="BM103" i="1"/>
  <c r="Y103" i="1"/>
  <c r="BP103" i="1" s="1"/>
  <c r="P103" i="1"/>
  <c r="BO102" i="1"/>
  <c r="BM102" i="1"/>
  <c r="Z102" i="1"/>
  <c r="Y102" i="1"/>
  <c r="BP102" i="1" s="1"/>
  <c r="P102" i="1"/>
  <c r="BO101" i="1"/>
  <c r="BM101" i="1"/>
  <c r="Y101" i="1"/>
  <c r="BP101" i="1" s="1"/>
  <c r="P101" i="1"/>
  <c r="BP100" i="1"/>
  <c r="BO100" i="1"/>
  <c r="BM100" i="1"/>
  <c r="Z100" i="1"/>
  <c r="Y100" i="1"/>
  <c r="Y105" i="1" s="1"/>
  <c r="P100" i="1"/>
  <c r="X97" i="1"/>
  <c r="X96" i="1"/>
  <c r="BO95" i="1"/>
  <c r="BM95" i="1"/>
  <c r="Z95" i="1"/>
  <c r="Y95" i="1"/>
  <c r="BP95" i="1" s="1"/>
  <c r="P95" i="1"/>
  <c r="BO94" i="1"/>
  <c r="BM94" i="1"/>
  <c r="Y94" i="1"/>
  <c r="BP94" i="1" s="1"/>
  <c r="P94" i="1"/>
  <c r="BO93" i="1"/>
  <c r="BM93" i="1"/>
  <c r="Z93" i="1"/>
  <c r="Y93" i="1"/>
  <c r="BP93" i="1" s="1"/>
  <c r="P93" i="1"/>
  <c r="BO92" i="1"/>
  <c r="BM92" i="1"/>
  <c r="Y92" i="1"/>
  <c r="BP92" i="1" s="1"/>
  <c r="P92" i="1"/>
  <c r="X90" i="1"/>
  <c r="X89" i="1"/>
  <c r="BO88" i="1"/>
  <c r="BM88" i="1"/>
  <c r="Y88" i="1"/>
  <c r="Z88" i="1" s="1"/>
  <c r="P88" i="1"/>
  <c r="BO87" i="1"/>
  <c r="BM87" i="1"/>
  <c r="Z87" i="1"/>
  <c r="Y87" i="1"/>
  <c r="BP87" i="1" s="1"/>
  <c r="P87" i="1"/>
  <c r="BO86" i="1"/>
  <c r="BM86" i="1"/>
  <c r="Y86" i="1"/>
  <c r="E501" i="1" s="1"/>
  <c r="P86" i="1"/>
  <c r="X83" i="1"/>
  <c r="X82" i="1"/>
  <c r="BO81" i="1"/>
  <c r="BM81" i="1"/>
  <c r="Y81" i="1"/>
  <c r="Y82" i="1" s="1"/>
  <c r="P81" i="1"/>
  <c r="BP80" i="1"/>
  <c r="BO80" i="1"/>
  <c r="BN80" i="1"/>
  <c r="BM80" i="1"/>
  <c r="Y80" i="1"/>
  <c r="Z80" i="1" s="1"/>
  <c r="P80" i="1"/>
  <c r="X78" i="1"/>
  <c r="X77" i="1"/>
  <c r="BP76" i="1"/>
  <c r="BO76" i="1"/>
  <c r="BM76" i="1"/>
  <c r="Y76" i="1"/>
  <c r="BN76" i="1" s="1"/>
  <c r="P76" i="1"/>
  <c r="BP75" i="1"/>
  <c r="BO75" i="1"/>
  <c r="BM75" i="1"/>
  <c r="Y75" i="1"/>
  <c r="BN75" i="1" s="1"/>
  <c r="P75" i="1"/>
  <c r="BO74" i="1"/>
  <c r="BM74" i="1"/>
  <c r="Y74" i="1"/>
  <c r="BP74" i="1" s="1"/>
  <c r="P74" i="1"/>
  <c r="BO73" i="1"/>
  <c r="BM73" i="1"/>
  <c r="Y73" i="1"/>
  <c r="BP73" i="1" s="1"/>
  <c r="P73" i="1"/>
  <c r="Y71" i="1"/>
  <c r="X71" i="1"/>
  <c r="X70" i="1"/>
  <c r="BP69" i="1"/>
  <c r="BO69" i="1"/>
  <c r="BN69" i="1"/>
  <c r="BM69" i="1"/>
  <c r="Z69" i="1"/>
  <c r="Y69" i="1"/>
  <c r="P69" i="1"/>
  <c r="BP68" i="1"/>
  <c r="BO68" i="1"/>
  <c r="BM68" i="1"/>
  <c r="Y68" i="1"/>
  <c r="BN68" i="1" s="1"/>
  <c r="P68" i="1"/>
  <c r="BP67" i="1"/>
  <c r="BO67" i="1"/>
  <c r="BM67" i="1"/>
  <c r="Y67" i="1"/>
  <c r="BN67" i="1" s="1"/>
  <c r="P67" i="1"/>
  <c r="Y65" i="1"/>
  <c r="X65" i="1"/>
  <c r="Y64" i="1"/>
  <c r="X64" i="1"/>
  <c r="BP63" i="1"/>
  <c r="BO63" i="1"/>
  <c r="BN63" i="1"/>
  <c r="BM63" i="1"/>
  <c r="Y63" i="1"/>
  <c r="Z63" i="1" s="1"/>
  <c r="P63" i="1"/>
  <c r="BP62" i="1"/>
  <c r="BO62" i="1"/>
  <c r="BN62" i="1"/>
  <c r="BM62" i="1"/>
  <c r="Z62" i="1"/>
  <c r="Y62" i="1"/>
  <c r="P62" i="1"/>
  <c r="BP61" i="1"/>
  <c r="BO61" i="1"/>
  <c r="BN61" i="1"/>
  <c r="BM61" i="1"/>
  <c r="Z61" i="1"/>
  <c r="Y61" i="1"/>
  <c r="P61" i="1"/>
  <c r="Y59" i="1"/>
  <c r="X59" i="1"/>
  <c r="X58" i="1"/>
  <c r="BO57" i="1"/>
  <c r="BN57" i="1"/>
  <c r="BM57" i="1"/>
  <c r="Y57" i="1"/>
  <c r="BP57" i="1" s="1"/>
  <c r="P57" i="1"/>
  <c r="BO56" i="1"/>
  <c r="BM56" i="1"/>
  <c r="Y56" i="1"/>
  <c r="BN56" i="1" s="1"/>
  <c r="P56" i="1"/>
  <c r="BP55" i="1"/>
  <c r="BO55" i="1"/>
  <c r="BN55" i="1"/>
  <c r="BM55" i="1"/>
  <c r="Y55" i="1"/>
  <c r="Z55" i="1" s="1"/>
  <c r="P55" i="1"/>
  <c r="BP54" i="1"/>
  <c r="BO54" i="1"/>
  <c r="BN54" i="1"/>
  <c r="BM54" i="1"/>
  <c r="Z54" i="1"/>
  <c r="Y54" i="1"/>
  <c r="P54" i="1"/>
  <c r="BP53" i="1"/>
  <c r="BO53" i="1"/>
  <c r="BN53" i="1"/>
  <c r="BM53" i="1"/>
  <c r="Z53" i="1"/>
  <c r="Y53" i="1"/>
  <c r="P53" i="1"/>
  <c r="BP52" i="1"/>
  <c r="BO52" i="1"/>
  <c r="BM52" i="1"/>
  <c r="Y52" i="1"/>
  <c r="D501" i="1" s="1"/>
  <c r="P52" i="1"/>
  <c r="Y49" i="1"/>
  <c r="X49" i="1"/>
  <c r="X48" i="1"/>
  <c r="BO47" i="1"/>
  <c r="BM47" i="1"/>
  <c r="Y47" i="1"/>
  <c r="Y48" i="1" s="1"/>
  <c r="P47" i="1"/>
  <c r="Y45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Y41" i="1"/>
  <c r="C501" i="1" s="1"/>
  <c r="P41" i="1"/>
  <c r="Y37" i="1"/>
  <c r="X37" i="1"/>
  <c r="Z36" i="1"/>
  <c r="Y36" i="1"/>
  <c r="X36" i="1"/>
  <c r="BP35" i="1"/>
  <c r="BO35" i="1"/>
  <c r="BM35" i="1"/>
  <c r="Z35" i="1"/>
  <c r="Y35" i="1"/>
  <c r="BN35" i="1" s="1"/>
  <c r="P35" i="1"/>
  <c r="X33" i="1"/>
  <c r="X32" i="1"/>
  <c r="BO31" i="1"/>
  <c r="BM31" i="1"/>
  <c r="Z31" i="1"/>
  <c r="Y31" i="1"/>
  <c r="BP31" i="1" s="1"/>
  <c r="P31" i="1"/>
  <c r="BO30" i="1"/>
  <c r="BM30" i="1"/>
  <c r="Y30" i="1"/>
  <c r="BP30" i="1" s="1"/>
  <c r="P30" i="1"/>
  <c r="BO29" i="1"/>
  <c r="BM29" i="1"/>
  <c r="Y29" i="1"/>
  <c r="Z29" i="1" s="1"/>
  <c r="P29" i="1"/>
  <c r="BO28" i="1"/>
  <c r="BM28" i="1"/>
  <c r="Y28" i="1"/>
  <c r="BP28" i="1" s="1"/>
  <c r="P28" i="1"/>
  <c r="BP27" i="1"/>
  <c r="BO27" i="1"/>
  <c r="BM27" i="1"/>
  <c r="Z27" i="1"/>
  <c r="Y27" i="1"/>
  <c r="BN27" i="1" s="1"/>
  <c r="P27" i="1"/>
  <c r="X25" i="1"/>
  <c r="X491" i="1" s="1"/>
  <c r="X24" i="1"/>
  <c r="X495" i="1" s="1"/>
  <c r="BO23" i="1"/>
  <c r="BM23" i="1"/>
  <c r="Z23" i="1"/>
  <c r="Y23" i="1"/>
  <c r="BP23" i="1" s="1"/>
  <c r="P23" i="1"/>
  <c r="BO22" i="1"/>
  <c r="X493" i="1" s="1"/>
  <c r="BM22" i="1"/>
  <c r="X492" i="1" s="1"/>
  <c r="Y22" i="1"/>
  <c r="B501" i="1" s="1"/>
  <c r="H10" i="1"/>
  <c r="A9" i="1"/>
  <c r="A10" i="1" s="1"/>
  <c r="D7" i="1"/>
  <c r="Q6" i="1"/>
  <c r="P2" i="1"/>
  <c r="X494" i="1" l="1"/>
  <c r="Z64" i="1"/>
  <c r="F9" i="1"/>
  <c r="Y96" i="1"/>
  <c r="H9" i="1"/>
  <c r="Y193" i="1"/>
  <c r="Z198" i="1"/>
  <c r="Z256" i="1"/>
  <c r="Z260" i="1" s="1"/>
  <c r="Z265" i="1"/>
  <c r="Y268" i="1"/>
  <c r="J9" i="1"/>
  <c r="BN29" i="1"/>
  <c r="Z74" i="1"/>
  <c r="Y77" i="1"/>
  <c r="BN93" i="1"/>
  <c r="BN102" i="1"/>
  <c r="Y111" i="1"/>
  <c r="Y132" i="1"/>
  <c r="BN148" i="1"/>
  <c r="Y188" i="1"/>
  <c r="Z201" i="1"/>
  <c r="Y204" i="1"/>
  <c r="Z209" i="1"/>
  <c r="Z226" i="1"/>
  <c r="Z242" i="1"/>
  <c r="Z243" i="1" s="1"/>
  <c r="Z250" i="1"/>
  <c r="Z259" i="1"/>
  <c r="BP291" i="1"/>
  <c r="BP299" i="1"/>
  <c r="Y306" i="1"/>
  <c r="BP315" i="1"/>
  <c r="BP323" i="1"/>
  <c r="Z358" i="1"/>
  <c r="BP379" i="1"/>
  <c r="BP389" i="1"/>
  <c r="Y396" i="1"/>
  <c r="Z444" i="1"/>
  <c r="Z449" i="1" s="1"/>
  <c r="Z452" i="1"/>
  <c r="F501" i="1"/>
  <c r="Y412" i="1"/>
  <c r="BN422" i="1"/>
  <c r="BN425" i="1"/>
  <c r="Y434" i="1"/>
  <c r="BN88" i="1"/>
  <c r="F10" i="1"/>
  <c r="BP29" i="1"/>
  <c r="Z47" i="1"/>
  <c r="Z48" i="1" s="1"/>
  <c r="Z56" i="1"/>
  <c r="BN74" i="1"/>
  <c r="Y83" i="1"/>
  <c r="Y138" i="1"/>
  <c r="Z158" i="1"/>
  <c r="Z159" i="1" s="1"/>
  <c r="Z166" i="1"/>
  <c r="Y194" i="1"/>
  <c r="BN201" i="1"/>
  <c r="BN209" i="1"/>
  <c r="Z215" i="1"/>
  <c r="BN226" i="1"/>
  <c r="Z232" i="1"/>
  <c r="Y235" i="1"/>
  <c r="BN242" i="1"/>
  <c r="Y269" i="1"/>
  <c r="Z321" i="1"/>
  <c r="Z329" i="1"/>
  <c r="Z348" i="1"/>
  <c r="Z387" i="1"/>
  <c r="Z395" i="1" s="1"/>
  <c r="H501" i="1"/>
  <c r="Z42" i="1"/>
  <c r="Y78" i="1"/>
  <c r="BP88" i="1"/>
  <c r="Z113" i="1"/>
  <c r="Z117" i="1" s="1"/>
  <c r="Y133" i="1"/>
  <c r="Z169" i="1"/>
  <c r="Y172" i="1"/>
  <c r="Z177" i="1"/>
  <c r="Y189" i="1"/>
  <c r="Y205" i="1"/>
  <c r="BP247" i="1"/>
  <c r="Z292" i="1"/>
  <c r="Z300" i="1"/>
  <c r="Z305" i="1" s="1"/>
  <c r="Z308" i="1"/>
  <c r="Z312" i="1" s="1"/>
  <c r="Z316" i="1"/>
  <c r="Z324" i="1"/>
  <c r="BP363" i="1"/>
  <c r="Z380" i="1"/>
  <c r="Z390" i="1"/>
  <c r="Z398" i="1"/>
  <c r="Z400" i="1" s="1"/>
  <c r="I501" i="1"/>
  <c r="BN387" i="1"/>
  <c r="Y413" i="1"/>
  <c r="Y435" i="1"/>
  <c r="Z478" i="1"/>
  <c r="Z479" i="1" s="1"/>
  <c r="J501" i="1"/>
  <c r="Y33" i="1"/>
  <c r="BN232" i="1"/>
  <c r="Z22" i="1"/>
  <c r="Z24" i="1" s="1"/>
  <c r="Z30" i="1"/>
  <c r="Y89" i="1"/>
  <c r="Y236" i="1"/>
  <c r="Z272" i="1"/>
  <c r="Z275" i="1" s="1"/>
  <c r="Y275" i="1"/>
  <c r="BN292" i="1"/>
  <c r="BN300" i="1"/>
  <c r="BN308" i="1"/>
  <c r="BN316" i="1"/>
  <c r="BN324" i="1"/>
  <c r="Y364" i="1"/>
  <c r="BN380" i="1"/>
  <c r="BN390" i="1"/>
  <c r="BN398" i="1"/>
  <c r="K501" i="1"/>
  <c r="Y97" i="1"/>
  <c r="BN47" i="1"/>
  <c r="Y149" i="1"/>
  <c r="BN158" i="1"/>
  <c r="Z196" i="1"/>
  <c r="BP47" i="1"/>
  <c r="BN100" i="1"/>
  <c r="BP166" i="1"/>
  <c r="Z207" i="1"/>
  <c r="BP215" i="1"/>
  <c r="Y251" i="1"/>
  <c r="Y260" i="1"/>
  <c r="BN295" i="1"/>
  <c r="BN311" i="1"/>
  <c r="BP321" i="1"/>
  <c r="BP329" i="1"/>
  <c r="BP348" i="1"/>
  <c r="BP387" i="1"/>
  <c r="BN393" i="1"/>
  <c r="Z426" i="1"/>
  <c r="Z460" i="1"/>
  <c r="Z464" i="1" s="1"/>
  <c r="Z468" i="1"/>
  <c r="Z470" i="1" s="1"/>
  <c r="BN478" i="1"/>
  <c r="L501" i="1"/>
  <c r="Y24" i="1"/>
  <c r="Y32" i="1"/>
  <c r="Y281" i="1"/>
  <c r="BN42" i="1"/>
  <c r="Z86" i="1"/>
  <c r="Z89" i="1" s="1"/>
  <c r="Z94" i="1"/>
  <c r="Z103" i="1"/>
  <c r="BN113" i="1"/>
  <c r="Z141" i="1"/>
  <c r="Z143" i="1" s="1"/>
  <c r="BN169" i="1"/>
  <c r="BN177" i="1"/>
  <c r="BP56" i="1"/>
  <c r="BN146" i="1"/>
  <c r="BP158" i="1"/>
  <c r="Y173" i="1"/>
  <c r="Z191" i="1"/>
  <c r="Y243" i="1"/>
  <c r="Z248" i="1"/>
  <c r="Z251" i="1" s="1"/>
  <c r="Z257" i="1"/>
  <c r="BN303" i="1"/>
  <c r="BN22" i="1"/>
  <c r="BN30" i="1"/>
  <c r="Z67" i="1"/>
  <c r="Y70" i="1"/>
  <c r="Z75" i="1"/>
  <c r="BN86" i="1"/>
  <c r="BN94" i="1"/>
  <c r="BN103" i="1"/>
  <c r="Z130" i="1"/>
  <c r="Z132" i="1" s="1"/>
  <c r="BN141" i="1"/>
  <c r="Z186" i="1"/>
  <c r="Z188" i="1" s="1"/>
  <c r="BN196" i="1"/>
  <c r="Z202" i="1"/>
  <c r="Z210" i="1"/>
  <c r="Y221" i="1"/>
  <c r="Z227" i="1"/>
  <c r="BN272" i="1"/>
  <c r="Y282" i="1"/>
  <c r="BP292" i="1"/>
  <c r="BP300" i="1"/>
  <c r="Z343" i="1"/>
  <c r="Z359" i="1"/>
  <c r="Y371" i="1"/>
  <c r="BP380" i="1"/>
  <c r="BP398" i="1"/>
  <c r="Z416" i="1"/>
  <c r="Z417" i="1" s="1"/>
  <c r="BN423" i="1"/>
  <c r="Z429" i="1"/>
  <c r="Z437" i="1"/>
  <c r="Z440" i="1" s="1"/>
  <c r="Y440" i="1"/>
  <c r="Z445" i="1"/>
  <c r="M501" i="1"/>
  <c r="Y25" i="1"/>
  <c r="Y491" i="1" s="1"/>
  <c r="Y90" i="1"/>
  <c r="Y159" i="1"/>
  <c r="BN207" i="1"/>
  <c r="Y365" i="1"/>
  <c r="Y405" i="1"/>
  <c r="BN426" i="1"/>
  <c r="BN460" i="1"/>
  <c r="BN468" i="1"/>
  <c r="BP478" i="1"/>
  <c r="O501" i="1"/>
  <c r="Y276" i="1"/>
  <c r="BP22" i="1"/>
  <c r="Z57" i="1"/>
  <c r="BP86" i="1"/>
  <c r="Z175" i="1"/>
  <c r="Z178" i="1" s="1"/>
  <c r="Y252" i="1"/>
  <c r="Y261" i="1"/>
  <c r="Z290" i="1"/>
  <c r="Z296" i="1" s="1"/>
  <c r="BN343" i="1"/>
  <c r="Z378" i="1"/>
  <c r="Z381" i="1" s="1"/>
  <c r="BN416" i="1"/>
  <c r="P501" i="1"/>
  <c r="Y441" i="1"/>
  <c r="BP460" i="1"/>
  <c r="Z28" i="1"/>
  <c r="Z32" i="1" s="1"/>
  <c r="Z92" i="1"/>
  <c r="Z101" i="1"/>
  <c r="Y104" i="1"/>
  <c r="Z109" i="1"/>
  <c r="Z110" i="1" s="1"/>
  <c r="Z147" i="1"/>
  <c r="Z149" i="1" s="1"/>
  <c r="Y217" i="1"/>
  <c r="Z279" i="1"/>
  <c r="Z281" i="1" s="1"/>
  <c r="Z304" i="1"/>
  <c r="Z424" i="1"/>
  <c r="Z434" i="1" s="1"/>
  <c r="S501" i="1"/>
  <c r="BN28" i="1"/>
  <c r="Z81" i="1"/>
  <c r="Z82" i="1" s="1"/>
  <c r="BN101" i="1"/>
  <c r="BN147" i="1"/>
  <c r="Z192" i="1"/>
  <c r="Z200" i="1"/>
  <c r="Z208" i="1"/>
  <c r="Z225" i="1"/>
  <c r="Z249" i="1"/>
  <c r="Z258" i="1"/>
  <c r="Z267" i="1"/>
  <c r="Z268" i="1" s="1"/>
  <c r="BN279" i="1"/>
  <c r="BN304" i="1"/>
  <c r="Y464" i="1"/>
  <c r="T501" i="1"/>
  <c r="Z52" i="1"/>
  <c r="BN87" i="1"/>
  <c r="Z162" i="1"/>
  <c r="Z172" i="1" s="1"/>
  <c r="Z187" i="1"/>
  <c r="BN197" i="1"/>
  <c r="Z203" i="1"/>
  <c r="Z211" i="1"/>
  <c r="Z219" i="1"/>
  <c r="Z221" i="1" s="1"/>
  <c r="Z228" i="1"/>
  <c r="BN246" i="1"/>
  <c r="BN255" i="1"/>
  <c r="BN264" i="1"/>
  <c r="BN273" i="1"/>
  <c r="Z344" i="1"/>
  <c r="Z408" i="1"/>
  <c r="Z412" i="1" s="1"/>
  <c r="BN424" i="1"/>
  <c r="Z430" i="1"/>
  <c r="Z438" i="1"/>
  <c r="Z446" i="1"/>
  <c r="Y449" i="1"/>
  <c r="Z454" i="1"/>
  <c r="U501" i="1"/>
  <c r="Z73" i="1"/>
  <c r="BN92" i="1"/>
  <c r="BN109" i="1"/>
  <c r="Z136" i="1"/>
  <c r="Z137" i="1" s="1"/>
  <c r="BN23" i="1"/>
  <c r="BN31" i="1"/>
  <c r="Z68" i="1"/>
  <c r="Z76" i="1"/>
  <c r="BN95" i="1"/>
  <c r="Z131" i="1"/>
  <c r="BN142" i="1"/>
  <c r="Y58" i="1"/>
  <c r="BN73" i="1"/>
  <c r="BN81" i="1"/>
  <c r="BP109" i="1"/>
  <c r="BN136" i="1"/>
  <c r="BN192" i="1"/>
  <c r="BN200" i="1"/>
  <c r="BN208" i="1"/>
  <c r="BN225" i="1"/>
  <c r="BN249" i="1"/>
  <c r="BN258" i="1"/>
  <c r="BN267" i="1"/>
  <c r="Z328" i="1"/>
  <c r="Z331" i="1" s="1"/>
  <c r="Y331" i="1"/>
  <c r="Z337" i="1"/>
  <c r="Z338" i="1" s="1"/>
  <c r="Z347" i="1"/>
  <c r="BN469" i="1"/>
  <c r="Z41" i="1"/>
  <c r="Y44" i="1"/>
  <c r="BN52" i="1"/>
  <c r="Z315" i="1"/>
  <c r="Z318" i="1" s="1"/>
  <c r="Y400" i="1"/>
  <c r="BN408" i="1"/>
  <c r="Y418" i="1"/>
  <c r="BN430" i="1"/>
  <c r="BN438" i="1"/>
  <c r="BN446" i="1"/>
  <c r="BN454" i="1"/>
  <c r="Y465" i="1"/>
  <c r="BP81" i="1"/>
  <c r="BP136" i="1"/>
  <c r="X501" i="1"/>
  <c r="Z325" i="1" l="1"/>
  <c r="Z216" i="1"/>
  <c r="Y493" i="1"/>
  <c r="Z70" i="1"/>
  <c r="Z455" i="1"/>
  <c r="Z58" i="1"/>
  <c r="Z350" i="1"/>
  <c r="Y492" i="1"/>
  <c r="Y495" i="1"/>
  <c r="Z204" i="1"/>
  <c r="Z104" i="1"/>
  <c r="Z96" i="1"/>
  <c r="Z77" i="1"/>
  <c r="Z360" i="1"/>
  <c r="Z193" i="1"/>
  <c r="Z235" i="1"/>
  <c r="Z44" i="1"/>
  <c r="Z496" i="1" s="1"/>
  <c r="Y494" i="1" l="1"/>
</calcChain>
</file>

<file path=xl/sharedStrings.xml><?xml version="1.0" encoding="utf-8"?>
<sst xmlns="http://schemas.openxmlformats.org/spreadsheetml/2006/main" count="2352" uniqueCount="768">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</sst>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1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2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28" t="s">
        <v>0</v>
      </c>
      <c r="E1" s="582"/>
      <c r="F1" s="582"/>
      <c r="G1" s="14" t="s">
        <v>1</v>
      </c>
      <c r="H1" s="628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9"/>
      <c r="Q3" s="559"/>
      <c r="R3" s="559"/>
      <c r="S3" s="559"/>
      <c r="T3" s="559"/>
      <c r="U3" s="559"/>
      <c r="V3" s="559"/>
      <c r="W3" s="55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1" t="s">
        <v>8</v>
      </c>
      <c r="B5" s="672"/>
      <c r="C5" s="673"/>
      <c r="D5" s="632"/>
      <c r="E5" s="633"/>
      <c r="F5" s="838" t="s">
        <v>9</v>
      </c>
      <c r="G5" s="673"/>
      <c r="H5" s="632"/>
      <c r="I5" s="777"/>
      <c r="J5" s="777"/>
      <c r="K5" s="777"/>
      <c r="L5" s="777"/>
      <c r="M5" s="633"/>
      <c r="N5" s="69"/>
      <c r="P5" s="26" t="s">
        <v>10</v>
      </c>
      <c r="Q5" s="850">
        <v>46002</v>
      </c>
      <c r="R5" s="670"/>
      <c r="T5" s="716" t="s">
        <v>11</v>
      </c>
      <c r="U5" s="717"/>
      <c r="V5" s="719" t="s">
        <v>12</v>
      </c>
      <c r="W5" s="670"/>
      <c r="AB5" s="57"/>
      <c r="AC5" s="57"/>
      <c r="AD5" s="57"/>
      <c r="AE5" s="57"/>
    </row>
    <row r="6" spans="1:32" s="17" customFormat="1" ht="24" customHeight="1" x14ac:dyDescent="0.2">
      <c r="A6" s="671" t="s">
        <v>13</v>
      </c>
      <c r="B6" s="672"/>
      <c r="C6" s="67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0"/>
      <c r="N6" s="70"/>
      <c r="P6" s="26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50"/>
      <c r="T6" s="727" t="s">
        <v>16</v>
      </c>
      <c r="U6" s="717"/>
      <c r="V6" s="764" t="s">
        <v>17</v>
      </c>
      <c r="W6" s="60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71"/>
      <c r="P7" s="26"/>
      <c r="Q7" s="46"/>
      <c r="R7" s="46"/>
      <c r="T7" s="559"/>
      <c r="U7" s="717"/>
      <c r="V7" s="765"/>
      <c r="W7" s="766"/>
      <c r="AB7" s="57"/>
      <c r="AC7" s="57"/>
      <c r="AD7" s="57"/>
      <c r="AE7" s="57"/>
    </row>
    <row r="8" spans="1:32" s="17" customFormat="1" ht="25.5" customHeight="1" x14ac:dyDescent="0.2">
      <c r="A8" s="869" t="s">
        <v>18</v>
      </c>
      <c r="B8" s="564"/>
      <c r="C8" s="565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72"/>
      <c r="P8" s="26" t="s">
        <v>20</v>
      </c>
      <c r="Q8" s="681">
        <v>0.41666666666666669</v>
      </c>
      <c r="R8" s="612"/>
      <c r="T8" s="559"/>
      <c r="U8" s="717"/>
      <c r="V8" s="765"/>
      <c r="W8" s="766"/>
      <c r="AB8" s="57"/>
      <c r="AC8" s="57"/>
      <c r="AD8" s="57"/>
      <c r="AE8" s="57"/>
    </row>
    <row r="9" spans="1:32" s="17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1"/>
      <c r="E9" s="562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67"/>
      <c r="P9" s="29" t="s">
        <v>21</v>
      </c>
      <c r="Q9" s="667"/>
      <c r="R9" s="668"/>
      <c r="T9" s="559"/>
      <c r="U9" s="717"/>
      <c r="V9" s="767"/>
      <c r="W9" s="76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1"/>
      <c r="E10" s="562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68"/>
      <c r="P10" s="29" t="s">
        <v>22</v>
      </c>
      <c r="Q10" s="728"/>
      <c r="R10" s="729"/>
      <c r="U10" s="26" t="s">
        <v>23</v>
      </c>
      <c r="V10" s="599" t="s">
        <v>24</v>
      </c>
      <c r="W10" s="60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26</v>
      </c>
      <c r="Q11" s="669"/>
      <c r="R11" s="670"/>
      <c r="U11" s="26" t="s">
        <v>27</v>
      </c>
      <c r="V11" s="806" t="s">
        <v>28</v>
      </c>
      <c r="W11" s="66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11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73"/>
      <c r="P12" s="26" t="s">
        <v>30</v>
      </c>
      <c r="Q12" s="681"/>
      <c r="R12" s="612"/>
      <c r="S12" s="27"/>
      <c r="U12" s="26"/>
      <c r="V12" s="582"/>
      <c r="W12" s="559"/>
      <c r="AB12" s="57"/>
      <c r="AC12" s="57"/>
      <c r="AD12" s="57"/>
      <c r="AE12" s="57"/>
    </row>
    <row r="13" spans="1:32" s="17" customFormat="1" ht="23.25" customHeight="1" x14ac:dyDescent="0.2">
      <c r="A13" s="711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73"/>
      <c r="O13" s="29"/>
      <c r="P13" s="29" t="s">
        <v>32</v>
      </c>
      <c r="Q13" s="806"/>
      <c r="R13" s="668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11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39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74"/>
      <c r="P15" s="701" t="s">
        <v>35</v>
      </c>
      <c r="Q15" s="582"/>
      <c r="R15" s="582"/>
      <c r="S15" s="582"/>
      <c r="T15" s="582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2"/>
      <c r="Q16" s="702"/>
      <c r="R16" s="702"/>
      <c r="S16" s="702"/>
      <c r="T16" s="70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4" t="s">
        <v>36</v>
      </c>
      <c r="B17" s="594" t="s">
        <v>37</v>
      </c>
      <c r="C17" s="688" t="s">
        <v>38</v>
      </c>
      <c r="D17" s="594" t="s">
        <v>39</v>
      </c>
      <c r="E17" s="655"/>
      <c r="F17" s="594" t="s">
        <v>40</v>
      </c>
      <c r="G17" s="594" t="s">
        <v>41</v>
      </c>
      <c r="H17" s="594" t="s">
        <v>42</v>
      </c>
      <c r="I17" s="594" t="s">
        <v>43</v>
      </c>
      <c r="J17" s="594" t="s">
        <v>44</v>
      </c>
      <c r="K17" s="594" t="s">
        <v>45</v>
      </c>
      <c r="L17" s="594" t="s">
        <v>46</v>
      </c>
      <c r="M17" s="594" t="s">
        <v>47</v>
      </c>
      <c r="N17" s="594" t="s">
        <v>48</v>
      </c>
      <c r="O17" s="594" t="s">
        <v>49</v>
      </c>
      <c r="P17" s="594" t="s">
        <v>50</v>
      </c>
      <c r="Q17" s="654"/>
      <c r="R17" s="654"/>
      <c r="S17" s="654"/>
      <c r="T17" s="655"/>
      <c r="U17" s="868" t="s">
        <v>51</v>
      </c>
      <c r="V17" s="673"/>
      <c r="W17" s="594" t="s">
        <v>52</v>
      </c>
      <c r="X17" s="594" t="s">
        <v>53</v>
      </c>
      <c r="Y17" s="866" t="s">
        <v>54</v>
      </c>
      <c r="Z17" s="775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77"/>
      <c r="BD17" s="76" t="s">
        <v>60</v>
      </c>
    </row>
    <row r="18" spans="1:68" ht="14.25" customHeight="1" x14ac:dyDescent="0.2">
      <c r="A18" s="595"/>
      <c r="B18" s="595"/>
      <c r="C18" s="595"/>
      <c r="D18" s="656"/>
      <c r="E18" s="658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56"/>
      <c r="Q18" s="657"/>
      <c r="R18" s="657"/>
      <c r="S18" s="657"/>
      <c r="T18" s="658"/>
      <c r="U18" s="78" t="s">
        <v>61</v>
      </c>
      <c r="V18" s="78" t="s">
        <v>62</v>
      </c>
      <c r="W18" s="595"/>
      <c r="X18" s="595"/>
      <c r="Y18" s="867"/>
      <c r="Z18" s="776"/>
      <c r="AA18" s="758"/>
      <c r="AB18" s="758"/>
      <c r="AC18" s="758"/>
      <c r="AD18" s="835"/>
      <c r="AE18" s="836"/>
      <c r="AF18" s="837"/>
      <c r="AG18" s="77"/>
      <c r="BD18" s="76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52"/>
      <c r="AB19" s="52"/>
      <c r="AC19" s="52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62"/>
      <c r="AB20" s="62"/>
      <c r="AC20" s="62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63"/>
      <c r="AB21" s="63"/>
      <c r="AC21" s="63"/>
    </row>
    <row r="22" spans="1:68" ht="27" customHeight="1" x14ac:dyDescent="0.25">
      <c r="A22" s="60" t="s">
        <v>65</v>
      </c>
      <c r="B22" s="60" t="s">
        <v>66</v>
      </c>
      <c r="C22" s="34">
        <v>4301031446</v>
      </c>
      <c r="D22" s="549">
        <v>4680115887510</v>
      </c>
      <c r="E22" s="550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67</v>
      </c>
      <c r="L22" s="35"/>
      <c r="M22" s="36" t="s">
        <v>68</v>
      </c>
      <c r="N22" s="36"/>
      <c r="O22" s="35">
        <v>40</v>
      </c>
      <c r="P22" s="772" t="s">
        <v>69</v>
      </c>
      <c r="Q22" s="552"/>
      <c r="R22" s="552"/>
      <c r="S22" s="552"/>
      <c r="T22" s="553"/>
      <c r="U22" s="37"/>
      <c r="V22" s="37"/>
      <c r="W22" s="38" t="s">
        <v>70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/>
      <c r="AB22" s="66"/>
      <c r="AC22" s="81" t="s">
        <v>71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72</v>
      </c>
      <c r="B23" s="60" t="s">
        <v>73</v>
      </c>
      <c r="C23" s="34">
        <v>4301031278</v>
      </c>
      <c r="D23" s="549">
        <v>4680115886643</v>
      </c>
      <c r="E23" s="550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74</v>
      </c>
      <c r="L23" s="35"/>
      <c r="M23" s="36" t="s">
        <v>68</v>
      </c>
      <c r="N23" s="36"/>
      <c r="O23" s="35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7"/>
      <c r="V23" s="37"/>
      <c r="W23" s="38" t="s">
        <v>70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75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3" t="s">
        <v>76</v>
      </c>
      <c r="Q24" s="564"/>
      <c r="R24" s="564"/>
      <c r="S24" s="564"/>
      <c r="T24" s="564"/>
      <c r="U24" s="564"/>
      <c r="V24" s="565"/>
      <c r="W24" s="40" t="s">
        <v>77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3" t="s">
        <v>76</v>
      </c>
      <c r="Q25" s="564"/>
      <c r="R25" s="564"/>
      <c r="S25" s="564"/>
      <c r="T25" s="564"/>
      <c r="U25" s="564"/>
      <c r="V25" s="565"/>
      <c r="W25" s="40" t="s">
        <v>70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63"/>
      <c r="AB26" s="63"/>
      <c r="AC26" s="63"/>
    </row>
    <row r="27" spans="1:68" ht="27" customHeight="1" x14ac:dyDescent="0.25">
      <c r="A27" s="60" t="s">
        <v>79</v>
      </c>
      <c r="B27" s="60" t="s">
        <v>80</v>
      </c>
      <c r="C27" s="34">
        <v>4301051866</v>
      </c>
      <c r="D27" s="549">
        <v>4680115885912</v>
      </c>
      <c r="E27" s="55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67</v>
      </c>
      <c r="L27" s="35"/>
      <c r="M27" s="36" t="s">
        <v>81</v>
      </c>
      <c r="N27" s="36"/>
      <c r="O27" s="35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7"/>
      <c r="V27" s="37"/>
      <c r="W27" s="38" t="s">
        <v>70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82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83</v>
      </c>
      <c r="B28" s="60" t="s">
        <v>84</v>
      </c>
      <c r="C28" s="34">
        <v>4301051776</v>
      </c>
      <c r="D28" s="549">
        <v>4607091388237</v>
      </c>
      <c r="E28" s="55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67</v>
      </c>
      <c r="L28" s="35"/>
      <c r="M28" s="36" t="s">
        <v>81</v>
      </c>
      <c r="N28" s="36"/>
      <c r="O28" s="35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7"/>
      <c r="V28" s="37"/>
      <c r="W28" s="38" t="s">
        <v>70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85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86</v>
      </c>
      <c r="B29" s="60" t="s">
        <v>87</v>
      </c>
      <c r="C29" s="34">
        <v>4301052063</v>
      </c>
      <c r="D29" s="549">
        <v>4680115887350</v>
      </c>
      <c r="E29" s="55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67</v>
      </c>
      <c r="L29" s="35"/>
      <c r="M29" s="36" t="s">
        <v>88</v>
      </c>
      <c r="N29" s="36"/>
      <c r="O29" s="35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7"/>
      <c r="V29" s="37"/>
      <c r="W29" s="38" t="s">
        <v>70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89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90</v>
      </c>
      <c r="B30" s="60" t="s">
        <v>91</v>
      </c>
      <c r="C30" s="34">
        <v>4301051863</v>
      </c>
      <c r="D30" s="549">
        <v>4680115885905</v>
      </c>
      <c r="E30" s="55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67</v>
      </c>
      <c r="L30" s="35" t="s">
        <v>92</v>
      </c>
      <c r="M30" s="36" t="s">
        <v>88</v>
      </c>
      <c r="N30" s="36"/>
      <c r="O30" s="35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7"/>
      <c r="V30" s="37"/>
      <c r="W30" s="38" t="s">
        <v>70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93</v>
      </c>
      <c r="AG30" s="75"/>
      <c r="AJ30" s="79" t="s">
        <v>94</v>
      </c>
      <c r="AK30" s="79">
        <v>25.2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95</v>
      </c>
      <c r="B31" s="60" t="s">
        <v>96</v>
      </c>
      <c r="C31" s="34">
        <v>4301051851</v>
      </c>
      <c r="D31" s="549">
        <v>4607091388244</v>
      </c>
      <c r="E31" s="550"/>
      <c r="F31" s="59">
        <v>0.42</v>
      </c>
      <c r="G31" s="35">
        <v>6</v>
      </c>
      <c r="H31" s="59">
        <v>2.52</v>
      </c>
      <c r="I31" s="59">
        <v>2.766</v>
      </c>
      <c r="J31" s="35">
        <v>182</v>
      </c>
      <c r="K31" s="35" t="s">
        <v>67</v>
      </c>
      <c r="L31" s="35" t="s">
        <v>92</v>
      </c>
      <c r="M31" s="36" t="s">
        <v>88</v>
      </c>
      <c r="N31" s="36"/>
      <c r="O31" s="35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7"/>
      <c r="V31" s="37"/>
      <c r="W31" s="38" t="s">
        <v>70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93</v>
      </c>
      <c r="AG31" s="75"/>
      <c r="AJ31" s="79" t="s">
        <v>94</v>
      </c>
      <c r="AK31" s="79">
        <v>35.28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3" t="s">
        <v>76</v>
      </c>
      <c r="Q32" s="564"/>
      <c r="R32" s="564"/>
      <c r="S32" s="564"/>
      <c r="T32" s="564"/>
      <c r="U32" s="564"/>
      <c r="V32" s="565"/>
      <c r="W32" s="40" t="s">
        <v>77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3" t="s">
        <v>76</v>
      </c>
      <c r="Q33" s="564"/>
      <c r="R33" s="564"/>
      <c r="S33" s="564"/>
      <c r="T33" s="564"/>
      <c r="U33" s="564"/>
      <c r="V33" s="565"/>
      <c r="W33" s="40" t="s">
        <v>70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63"/>
      <c r="AB34" s="63"/>
      <c r="AC34" s="63"/>
    </row>
    <row r="35" spans="1:68" ht="27" customHeight="1" x14ac:dyDescent="0.25">
      <c r="A35" s="60" t="s">
        <v>98</v>
      </c>
      <c r="B35" s="60" t="s">
        <v>99</v>
      </c>
      <c r="C35" s="34">
        <v>4301032013</v>
      </c>
      <c r="D35" s="549">
        <v>4607091388503</v>
      </c>
      <c r="E35" s="550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67</v>
      </c>
      <c r="L35" s="35"/>
      <c r="M35" s="36" t="s">
        <v>100</v>
      </c>
      <c r="N35" s="36"/>
      <c r="O35" s="35">
        <v>120</v>
      </c>
      <c r="P35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7"/>
      <c r="V35" s="37"/>
      <c r="W35" s="38" t="s">
        <v>70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/>
      <c r="AB35" s="66"/>
      <c r="AC35" s="95" t="s">
        <v>101</v>
      </c>
      <c r="AG35" s="75"/>
      <c r="AJ35" s="79"/>
      <c r="AK35" s="79">
        <v>0</v>
      </c>
      <c r="BB35" s="96" t="s">
        <v>102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3" t="s">
        <v>76</v>
      </c>
      <c r="Q36" s="564"/>
      <c r="R36" s="564"/>
      <c r="S36" s="564"/>
      <c r="T36" s="564"/>
      <c r="U36" s="564"/>
      <c r="V36" s="565"/>
      <c r="W36" s="40" t="s">
        <v>77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3" t="s">
        <v>76</v>
      </c>
      <c r="Q37" s="564"/>
      <c r="R37" s="564"/>
      <c r="S37" s="564"/>
      <c r="T37" s="564"/>
      <c r="U37" s="564"/>
      <c r="V37" s="565"/>
      <c r="W37" s="40" t="s">
        <v>70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customHeight="1" x14ac:dyDescent="0.2">
      <c r="A38" s="567" t="s">
        <v>103</v>
      </c>
      <c r="B38" s="568"/>
      <c r="C38" s="568"/>
      <c r="D38" s="568"/>
      <c r="E38" s="568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/>
      <c r="Q38" s="568"/>
      <c r="R38" s="568"/>
      <c r="S38" s="568"/>
      <c r="T38" s="568"/>
      <c r="U38" s="568"/>
      <c r="V38" s="568"/>
      <c r="W38" s="568"/>
      <c r="X38" s="568"/>
      <c r="Y38" s="568"/>
      <c r="Z38" s="568"/>
      <c r="AA38" s="52"/>
      <c r="AB38" s="52"/>
      <c r="AC38" s="52"/>
    </row>
    <row r="39" spans="1:68" ht="16.5" customHeight="1" x14ac:dyDescent="0.25">
      <c r="A39" s="560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62"/>
      <c r="AB39" s="62"/>
      <c r="AC39" s="62"/>
    </row>
    <row r="40" spans="1:68" ht="14.25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63"/>
      <c r="AB40" s="63"/>
      <c r="AC40" s="63"/>
    </row>
    <row r="41" spans="1:68" ht="16.5" customHeight="1" x14ac:dyDescent="0.25">
      <c r="A41" s="60" t="s">
        <v>106</v>
      </c>
      <c r="B41" s="60" t="s">
        <v>107</v>
      </c>
      <c r="C41" s="34">
        <v>4301011380</v>
      </c>
      <c r="D41" s="549">
        <v>4607091385670</v>
      </c>
      <c r="E41" s="550"/>
      <c r="F41" s="59">
        <v>1.35</v>
      </c>
      <c r="G41" s="35">
        <v>8</v>
      </c>
      <c r="H41" s="59">
        <v>10.8</v>
      </c>
      <c r="I41" s="59">
        <v>11.21</v>
      </c>
      <c r="J41" s="35">
        <v>64</v>
      </c>
      <c r="K41" s="35" t="s">
        <v>108</v>
      </c>
      <c r="L41" s="35" t="s">
        <v>109</v>
      </c>
      <c r="M41" s="36" t="s">
        <v>110</v>
      </c>
      <c r="N41" s="36"/>
      <c r="O41" s="35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7"/>
      <c r="V41" s="37"/>
      <c r="W41" s="38" t="s">
        <v>70</v>
      </c>
      <c r="X41" s="56">
        <v>2630</v>
      </c>
      <c r="Y41" s="53">
        <f>IFERROR(IF(X41="",0,CEILING((X41/$H41),1)*$H41),"")</f>
        <v>2635.2000000000003</v>
      </c>
      <c r="Z41" s="39">
        <f>IFERROR(IF(Y41=0,"",ROUNDUP(Y41/H41,0)*0.01898),"")</f>
        <v>4.6311200000000001</v>
      </c>
      <c r="AA41" s="65"/>
      <c r="AB41" s="66"/>
      <c r="AC41" s="97" t="s">
        <v>111</v>
      </c>
      <c r="AG41" s="75"/>
      <c r="AJ41" s="79" t="s">
        <v>94</v>
      </c>
      <c r="AK41" s="79">
        <v>86.4</v>
      </c>
      <c r="BB41" s="98" t="s">
        <v>1</v>
      </c>
      <c r="BM41" s="75">
        <f>IFERROR(X41*I41/H41,"0")</f>
        <v>2729.8425925925926</v>
      </c>
      <c r="BN41" s="75">
        <f>IFERROR(Y41*I41/H41,"0")</f>
        <v>2735.2400000000002</v>
      </c>
      <c r="BO41" s="75">
        <f>IFERROR(1/J41*(X41/H41),"0")</f>
        <v>3.8049768518518516</v>
      </c>
      <c r="BP41" s="75">
        <f>IFERROR(1/J41*(Y41/H41),"0")</f>
        <v>3.8125</v>
      </c>
    </row>
    <row r="42" spans="1:68" ht="27" customHeight="1" x14ac:dyDescent="0.25">
      <c r="A42" s="60" t="s">
        <v>112</v>
      </c>
      <c r="B42" s="60" t="s">
        <v>113</v>
      </c>
      <c r="C42" s="34">
        <v>4301011382</v>
      </c>
      <c r="D42" s="549">
        <v>4607091385687</v>
      </c>
      <c r="E42" s="550"/>
      <c r="F42" s="59">
        <v>0.4</v>
      </c>
      <c r="G42" s="35">
        <v>10</v>
      </c>
      <c r="H42" s="59">
        <v>4</v>
      </c>
      <c r="I42" s="59">
        <v>4.1900000000000004</v>
      </c>
      <c r="J42" s="35">
        <v>132</v>
      </c>
      <c r="K42" s="35" t="s">
        <v>114</v>
      </c>
      <c r="L42" s="35" t="s">
        <v>115</v>
      </c>
      <c r="M42" s="36" t="s">
        <v>81</v>
      </c>
      <c r="N42" s="36"/>
      <c r="O42" s="35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7"/>
      <c r="V42" s="37"/>
      <c r="W42" s="38" t="s">
        <v>70</v>
      </c>
      <c r="X42" s="56">
        <v>0</v>
      </c>
      <c r="Y42" s="53">
        <f>IFERROR(IF(X42="",0,CEILING((X42/$H42),1)*$H42),"")</f>
        <v>0</v>
      </c>
      <c r="Z42" s="39" t="str">
        <f>IFERROR(IF(Y42=0,"",ROUNDUP(Y42/H42,0)*0.00902),"")</f>
        <v/>
      </c>
      <c r="AA42" s="65"/>
      <c r="AB42" s="66"/>
      <c r="AC42" s="99" t="s">
        <v>111</v>
      </c>
      <c r="AG42" s="75"/>
      <c r="AJ42" s="79" t="s">
        <v>94</v>
      </c>
      <c r="AK42" s="79">
        <v>48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116</v>
      </c>
      <c r="B43" s="60" t="s">
        <v>117</v>
      </c>
      <c r="C43" s="34">
        <v>4301011565</v>
      </c>
      <c r="D43" s="549">
        <v>4680115882539</v>
      </c>
      <c r="E43" s="550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114</v>
      </c>
      <c r="L43" s="35"/>
      <c r="M43" s="36" t="s">
        <v>81</v>
      </c>
      <c r="N43" s="36"/>
      <c r="O43" s="35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7"/>
      <c r="V43" s="37"/>
      <c r="W43" s="38" t="s">
        <v>70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/>
      <c r="AB43" s="66"/>
      <c r="AC43" s="101" t="s">
        <v>111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3" t="s">
        <v>76</v>
      </c>
      <c r="Q44" s="564"/>
      <c r="R44" s="564"/>
      <c r="S44" s="564"/>
      <c r="T44" s="564"/>
      <c r="U44" s="564"/>
      <c r="V44" s="565"/>
      <c r="W44" s="40" t="s">
        <v>77</v>
      </c>
      <c r="X44" s="41">
        <f>IFERROR(X41/H41,"0")+IFERROR(X42/H42,"0")+IFERROR(X43/H43,"0")</f>
        <v>243.5185185185185</v>
      </c>
      <c r="Y44" s="41">
        <f>IFERROR(Y41/H41,"0")+IFERROR(Y42/H42,"0")+IFERROR(Y43/H43,"0")</f>
        <v>244</v>
      </c>
      <c r="Z44" s="41">
        <f>IFERROR(IF(Z41="",0,Z41),"0")+IFERROR(IF(Z42="",0,Z42),"0")+IFERROR(IF(Z43="",0,Z43),"0")</f>
        <v>4.6311200000000001</v>
      </c>
      <c r="AA44" s="64"/>
      <c r="AB44" s="64"/>
      <c r="AC44" s="64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3" t="s">
        <v>76</v>
      </c>
      <c r="Q45" s="564"/>
      <c r="R45" s="564"/>
      <c r="S45" s="564"/>
      <c r="T45" s="564"/>
      <c r="U45" s="564"/>
      <c r="V45" s="565"/>
      <c r="W45" s="40" t="s">
        <v>70</v>
      </c>
      <c r="X45" s="41">
        <f>IFERROR(SUM(X41:X43),"0")</f>
        <v>2630</v>
      </c>
      <c r="Y45" s="41">
        <f>IFERROR(SUM(Y41:Y43),"0")</f>
        <v>2635.2000000000003</v>
      </c>
      <c r="Z45" s="40"/>
      <c r="AA45" s="64"/>
      <c r="AB45" s="64"/>
      <c r="AC45" s="64"/>
    </row>
    <row r="46" spans="1:68" ht="14.25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63"/>
      <c r="AB46" s="63"/>
      <c r="AC46" s="63"/>
    </row>
    <row r="47" spans="1:68" ht="16.5" customHeight="1" x14ac:dyDescent="0.25">
      <c r="A47" s="60" t="s">
        <v>118</v>
      </c>
      <c r="B47" s="60" t="s">
        <v>119</v>
      </c>
      <c r="C47" s="34">
        <v>4301051820</v>
      </c>
      <c r="D47" s="549">
        <v>4680115884915</v>
      </c>
      <c r="E47" s="550"/>
      <c r="F47" s="59">
        <v>0.3</v>
      </c>
      <c r="G47" s="35">
        <v>6</v>
      </c>
      <c r="H47" s="59">
        <v>1.8</v>
      </c>
      <c r="I47" s="59">
        <v>1.98</v>
      </c>
      <c r="J47" s="35">
        <v>182</v>
      </c>
      <c r="K47" s="35" t="s">
        <v>67</v>
      </c>
      <c r="L47" s="35" t="s">
        <v>92</v>
      </c>
      <c r="M47" s="36" t="s">
        <v>81</v>
      </c>
      <c r="N47" s="36"/>
      <c r="O47" s="35">
        <v>40</v>
      </c>
      <c r="P47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7"/>
      <c r="V47" s="37"/>
      <c r="W47" s="38" t="s">
        <v>70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/>
      <c r="AB47" s="66"/>
      <c r="AC47" s="103" t="s">
        <v>120</v>
      </c>
      <c r="AG47" s="75"/>
      <c r="AJ47" s="79" t="s">
        <v>94</v>
      </c>
      <c r="AK47" s="79">
        <v>25.2</v>
      </c>
      <c r="BB47" s="104" t="s">
        <v>1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3" t="s">
        <v>76</v>
      </c>
      <c r="Q48" s="564"/>
      <c r="R48" s="564"/>
      <c r="S48" s="564"/>
      <c r="T48" s="564"/>
      <c r="U48" s="564"/>
      <c r="V48" s="565"/>
      <c r="W48" s="40" t="s">
        <v>77</v>
      </c>
      <c r="X48" s="41">
        <f>IFERROR(X47/H47,"0")</f>
        <v>0</v>
      </c>
      <c r="Y48" s="41">
        <f>IFERROR(Y47/H47,"0")</f>
        <v>0</v>
      </c>
      <c r="Z48" s="41">
        <f>IFERROR(IF(Z47="",0,Z47),"0")</f>
        <v>0</v>
      </c>
      <c r="AA48" s="64"/>
      <c r="AB48" s="64"/>
      <c r="AC48" s="64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3" t="s">
        <v>76</v>
      </c>
      <c r="Q49" s="564"/>
      <c r="R49" s="564"/>
      <c r="S49" s="564"/>
      <c r="T49" s="564"/>
      <c r="U49" s="564"/>
      <c r="V49" s="565"/>
      <c r="W49" s="40" t="s">
        <v>70</v>
      </c>
      <c r="X49" s="41">
        <f>IFERROR(SUM(X47:X47),"0")</f>
        <v>0</v>
      </c>
      <c r="Y49" s="41">
        <f>IFERROR(SUM(Y47:Y47),"0")</f>
        <v>0</v>
      </c>
      <c r="Z49" s="40"/>
      <c r="AA49" s="64"/>
      <c r="AB49" s="64"/>
      <c r="AC49" s="64"/>
    </row>
    <row r="50" spans="1:68" ht="16.5" customHeight="1" x14ac:dyDescent="0.25">
      <c r="A50" s="560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62"/>
      <c r="AB50" s="62"/>
      <c r="AC50" s="62"/>
    </row>
    <row r="51" spans="1:68" ht="14.25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63"/>
      <c r="AB51" s="63"/>
      <c r="AC51" s="63"/>
    </row>
    <row r="52" spans="1:68" ht="27" customHeight="1" x14ac:dyDescent="0.25">
      <c r="A52" s="60" t="s">
        <v>122</v>
      </c>
      <c r="B52" s="60" t="s">
        <v>123</v>
      </c>
      <c r="C52" s="34">
        <v>4301012030</v>
      </c>
      <c r="D52" s="549">
        <v>4680115885882</v>
      </c>
      <c r="E52" s="550"/>
      <c r="F52" s="59">
        <v>1.4</v>
      </c>
      <c r="G52" s="35">
        <v>8</v>
      </c>
      <c r="H52" s="59">
        <v>11.2</v>
      </c>
      <c r="I52" s="59">
        <v>11.61</v>
      </c>
      <c r="J52" s="35">
        <v>64</v>
      </c>
      <c r="K52" s="35" t="s">
        <v>108</v>
      </c>
      <c r="L52" s="35" t="s">
        <v>109</v>
      </c>
      <c r="M52" s="36" t="s">
        <v>81</v>
      </c>
      <c r="N52" s="36"/>
      <c r="O52" s="35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7"/>
      <c r="V52" s="37"/>
      <c r="W52" s="38" t="s">
        <v>70</v>
      </c>
      <c r="X52" s="56">
        <v>50</v>
      </c>
      <c r="Y52" s="53">
        <f t="shared" ref="Y52:Y57" si="0">IFERROR(IF(X52="",0,CEILING((X52/$H52),1)*$H52),"")</f>
        <v>56</v>
      </c>
      <c r="Z52" s="39">
        <f>IFERROR(IF(Y52=0,"",ROUNDUP(Y52/H52,0)*0.01898),"")</f>
        <v>9.4899999999999998E-2</v>
      </c>
      <c r="AA52" s="65"/>
      <c r="AB52" s="66"/>
      <c r="AC52" s="105" t="s">
        <v>124</v>
      </c>
      <c r="AG52" s="75"/>
      <c r="AJ52" s="79" t="s">
        <v>94</v>
      </c>
      <c r="AK52" s="79">
        <v>89.6</v>
      </c>
      <c r="BB52" s="106" t="s">
        <v>1</v>
      </c>
      <c r="BM52" s="75">
        <f t="shared" ref="BM52:BM57" si="1">IFERROR(X52*I52/H52,"0")</f>
        <v>51.830357142857146</v>
      </c>
      <c r="BN52" s="75">
        <f t="shared" ref="BN52:BN57" si="2">IFERROR(Y52*I52/H52,"0")</f>
        <v>58.050000000000004</v>
      </c>
      <c r="BO52" s="75">
        <f t="shared" ref="BO52:BO57" si="3">IFERROR(1/J52*(X52/H52),"0")</f>
        <v>6.9754464285714288E-2</v>
      </c>
      <c r="BP52" s="75">
        <f t="shared" ref="BP52:BP57" si="4">IFERROR(1/J52*(Y52/H52),"0")</f>
        <v>7.8125E-2</v>
      </c>
    </row>
    <row r="53" spans="1:68" ht="27" customHeight="1" x14ac:dyDescent="0.25">
      <c r="A53" s="60" t="s">
        <v>125</v>
      </c>
      <c r="B53" s="60" t="s">
        <v>126</v>
      </c>
      <c r="C53" s="34">
        <v>4301011816</v>
      </c>
      <c r="D53" s="549">
        <v>4680115881426</v>
      </c>
      <c r="E53" s="550"/>
      <c r="F53" s="59">
        <v>1.35</v>
      </c>
      <c r="G53" s="35">
        <v>8</v>
      </c>
      <c r="H53" s="59">
        <v>10.8</v>
      </c>
      <c r="I53" s="59">
        <v>11.21</v>
      </c>
      <c r="J53" s="35">
        <v>64</v>
      </c>
      <c r="K53" s="35" t="s">
        <v>108</v>
      </c>
      <c r="L53" s="35"/>
      <c r="M53" s="36" t="s">
        <v>110</v>
      </c>
      <c r="N53" s="36"/>
      <c r="O53" s="35">
        <v>50</v>
      </c>
      <c r="P53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7"/>
      <c r="V53" s="37"/>
      <c r="W53" s="38" t="s">
        <v>70</v>
      </c>
      <c r="X53" s="56">
        <v>400</v>
      </c>
      <c r="Y53" s="53">
        <f t="shared" si="0"/>
        <v>410.40000000000003</v>
      </c>
      <c r="Z53" s="39">
        <f>IFERROR(IF(Y53=0,"",ROUNDUP(Y53/H53,0)*0.01898),"")</f>
        <v>0.72123999999999999</v>
      </c>
      <c r="AA53" s="65"/>
      <c r="AB53" s="66"/>
      <c r="AC53" s="107" t="s">
        <v>127</v>
      </c>
      <c r="AG53" s="75"/>
      <c r="AJ53" s="79"/>
      <c r="AK53" s="79">
        <v>0</v>
      </c>
      <c r="BB53" s="108" t="s">
        <v>1</v>
      </c>
      <c r="BM53" s="75">
        <f t="shared" si="1"/>
        <v>415.18518518518516</v>
      </c>
      <c r="BN53" s="75">
        <f t="shared" si="2"/>
        <v>425.98</v>
      </c>
      <c r="BO53" s="75">
        <f t="shared" si="3"/>
        <v>0.57870370370370372</v>
      </c>
      <c r="BP53" s="75">
        <f t="shared" si="4"/>
        <v>0.59375</v>
      </c>
    </row>
    <row r="54" spans="1:68" ht="27" customHeight="1" x14ac:dyDescent="0.25">
      <c r="A54" s="60" t="s">
        <v>128</v>
      </c>
      <c r="B54" s="60" t="s">
        <v>129</v>
      </c>
      <c r="C54" s="34">
        <v>4301011386</v>
      </c>
      <c r="D54" s="549">
        <v>4680115880283</v>
      </c>
      <c r="E54" s="550"/>
      <c r="F54" s="59">
        <v>0.6</v>
      </c>
      <c r="G54" s="35">
        <v>8</v>
      </c>
      <c r="H54" s="59">
        <v>4.8</v>
      </c>
      <c r="I54" s="59">
        <v>4.99</v>
      </c>
      <c r="J54" s="35">
        <v>132</v>
      </c>
      <c r="K54" s="35" t="s">
        <v>114</v>
      </c>
      <c r="L54" s="35"/>
      <c r="M54" s="36" t="s">
        <v>110</v>
      </c>
      <c r="N54" s="36"/>
      <c r="O54" s="35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7"/>
      <c r="V54" s="37"/>
      <c r="W54" s="38" t="s">
        <v>70</v>
      </c>
      <c r="X54" s="56">
        <v>0</v>
      </c>
      <c r="Y54" s="53">
        <f t="shared" si="0"/>
        <v>0</v>
      </c>
      <c r="Z54" s="39" t="str">
        <f>IFERROR(IF(Y54=0,"",ROUNDUP(Y54/H54,0)*0.00902),"")</f>
        <v/>
      </c>
      <c r="AA54" s="65"/>
      <c r="AB54" s="66"/>
      <c r="AC54" s="109" t="s">
        <v>130</v>
      </c>
      <c r="AG54" s="75"/>
      <c r="AJ54" s="79"/>
      <c r="AK54" s="79">
        <v>0</v>
      </c>
      <c r="BB54" s="110" t="s">
        <v>1</v>
      </c>
      <c r="BM54" s="75">
        <f t="shared" si="1"/>
        <v>0</v>
      </c>
      <c r="BN54" s="75">
        <f t="shared" si="2"/>
        <v>0</v>
      </c>
      <c r="BO54" s="75">
        <f t="shared" si="3"/>
        <v>0</v>
      </c>
      <c r="BP54" s="75">
        <f t="shared" si="4"/>
        <v>0</v>
      </c>
    </row>
    <row r="55" spans="1:68" ht="16.5" customHeight="1" x14ac:dyDescent="0.25">
      <c r="A55" s="60" t="s">
        <v>131</v>
      </c>
      <c r="B55" s="60" t="s">
        <v>132</v>
      </c>
      <c r="C55" s="34">
        <v>4301011806</v>
      </c>
      <c r="D55" s="549">
        <v>4680115881525</v>
      </c>
      <c r="E55" s="550"/>
      <c r="F55" s="59">
        <v>0.4</v>
      </c>
      <c r="G55" s="35">
        <v>10</v>
      </c>
      <c r="H55" s="59">
        <v>4</v>
      </c>
      <c r="I55" s="59">
        <v>4.1900000000000004</v>
      </c>
      <c r="J55" s="35">
        <v>132</v>
      </c>
      <c r="K55" s="35" t="s">
        <v>114</v>
      </c>
      <c r="L55" s="35"/>
      <c r="M55" s="36" t="s">
        <v>110</v>
      </c>
      <c r="N55" s="36"/>
      <c r="O55" s="35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7"/>
      <c r="V55" s="37"/>
      <c r="W55" s="38" t="s">
        <v>70</v>
      </c>
      <c r="X55" s="56">
        <v>0</v>
      </c>
      <c r="Y55" s="53">
        <f t="shared" si="0"/>
        <v>0</v>
      </c>
      <c r="Z55" s="39" t="str">
        <f>IFERROR(IF(Y55=0,"",ROUNDUP(Y55/H55,0)*0.00902),"")</f>
        <v/>
      </c>
      <c r="AA55" s="65"/>
      <c r="AB55" s="66"/>
      <c r="AC55" s="111" t="s">
        <v>133</v>
      </c>
      <c r="AG55" s="75"/>
      <c r="AJ55" s="79"/>
      <c r="AK55" s="79">
        <v>0</v>
      </c>
      <c r="BB55" s="112" t="s">
        <v>1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customHeight="1" x14ac:dyDescent="0.25">
      <c r="A56" s="60" t="s">
        <v>134</v>
      </c>
      <c r="B56" s="60" t="s">
        <v>135</v>
      </c>
      <c r="C56" s="34">
        <v>4301011589</v>
      </c>
      <c r="D56" s="549">
        <v>4680115885899</v>
      </c>
      <c r="E56" s="550"/>
      <c r="F56" s="59">
        <v>0.35</v>
      </c>
      <c r="G56" s="35">
        <v>6</v>
      </c>
      <c r="H56" s="59">
        <v>2.1</v>
      </c>
      <c r="I56" s="59">
        <v>2.2799999999999998</v>
      </c>
      <c r="J56" s="35">
        <v>182</v>
      </c>
      <c r="K56" s="35" t="s">
        <v>67</v>
      </c>
      <c r="L56" s="35" t="s">
        <v>92</v>
      </c>
      <c r="M56" s="36" t="s">
        <v>88</v>
      </c>
      <c r="N56" s="36"/>
      <c r="O56" s="35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7"/>
      <c r="V56" s="37"/>
      <c r="W56" s="38" t="s">
        <v>70</v>
      </c>
      <c r="X56" s="56">
        <v>0</v>
      </c>
      <c r="Y56" s="53">
        <f t="shared" si="0"/>
        <v>0</v>
      </c>
      <c r="Z56" s="39" t="str">
        <f>IFERROR(IF(Y56=0,"",ROUNDUP(Y56/H56,0)*0.00651),"")</f>
        <v/>
      </c>
      <c r="AA56" s="65"/>
      <c r="AB56" s="66"/>
      <c r="AC56" s="113" t="s">
        <v>136</v>
      </c>
      <c r="AG56" s="75"/>
      <c r="AJ56" s="79" t="s">
        <v>94</v>
      </c>
      <c r="AK56" s="79">
        <v>29.4</v>
      </c>
      <c r="BB56" s="114" t="s">
        <v>1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customHeight="1" x14ac:dyDescent="0.25">
      <c r="A57" s="60" t="s">
        <v>137</v>
      </c>
      <c r="B57" s="60" t="s">
        <v>138</v>
      </c>
      <c r="C57" s="34">
        <v>4301011801</v>
      </c>
      <c r="D57" s="549">
        <v>4680115881419</v>
      </c>
      <c r="E57" s="550"/>
      <c r="F57" s="59">
        <v>0.45</v>
      </c>
      <c r="G57" s="35">
        <v>10</v>
      </c>
      <c r="H57" s="59">
        <v>4.5</v>
      </c>
      <c r="I57" s="59">
        <v>4.6900000000000004</v>
      </c>
      <c r="J57" s="35">
        <v>132</v>
      </c>
      <c r="K57" s="35" t="s">
        <v>114</v>
      </c>
      <c r="L57" s="35"/>
      <c r="M57" s="36" t="s">
        <v>110</v>
      </c>
      <c r="N57" s="36"/>
      <c r="O57" s="35">
        <v>50</v>
      </c>
      <c r="P57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7"/>
      <c r="V57" s="37"/>
      <c r="W57" s="38" t="s">
        <v>70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/>
      <c r="AB57" s="66"/>
      <c r="AC57" s="115" t="s">
        <v>139</v>
      </c>
      <c r="AG57" s="75"/>
      <c r="AJ57" s="79"/>
      <c r="AK57" s="79">
        <v>0</v>
      </c>
      <c r="BB57" s="116" t="s">
        <v>1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3" t="s">
        <v>76</v>
      </c>
      <c r="Q58" s="564"/>
      <c r="R58" s="564"/>
      <c r="S58" s="564"/>
      <c r="T58" s="564"/>
      <c r="U58" s="564"/>
      <c r="V58" s="565"/>
      <c r="W58" s="40" t="s">
        <v>77</v>
      </c>
      <c r="X58" s="41">
        <f>IFERROR(X52/H52,"0")+IFERROR(X53/H53,"0")+IFERROR(X54/H54,"0")+IFERROR(X55/H55,"0")+IFERROR(X56/H56,"0")+IFERROR(X57/H57,"0")</f>
        <v>41.501322751322753</v>
      </c>
      <c r="Y58" s="41">
        <f>IFERROR(Y52/H52,"0")+IFERROR(Y53/H53,"0")+IFERROR(Y54/H54,"0")+IFERROR(Y55/H55,"0")+IFERROR(Y56/H56,"0")+IFERROR(Y57/H57,"0")</f>
        <v>43</v>
      </c>
      <c r="Z58" s="41">
        <f>IFERROR(IF(Z52="",0,Z52),"0")+IFERROR(IF(Z53="",0,Z53),"0")+IFERROR(IF(Z54="",0,Z54),"0")+IFERROR(IF(Z55="",0,Z55),"0")+IFERROR(IF(Z56="",0,Z56),"0")+IFERROR(IF(Z57="",0,Z57),"0")</f>
        <v>0.81613999999999998</v>
      </c>
      <c r="AA58" s="64"/>
      <c r="AB58" s="64"/>
      <c r="AC58" s="64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3" t="s">
        <v>76</v>
      </c>
      <c r="Q59" s="564"/>
      <c r="R59" s="564"/>
      <c r="S59" s="564"/>
      <c r="T59" s="564"/>
      <c r="U59" s="564"/>
      <c r="V59" s="565"/>
      <c r="W59" s="40" t="s">
        <v>70</v>
      </c>
      <c r="X59" s="41">
        <f>IFERROR(SUM(X52:X57),"0")</f>
        <v>450</v>
      </c>
      <c r="Y59" s="41">
        <f>IFERROR(SUM(Y52:Y57),"0")</f>
        <v>466.40000000000003</v>
      </c>
      <c r="Z59" s="40"/>
      <c r="AA59" s="64"/>
      <c r="AB59" s="64"/>
      <c r="AC59" s="64"/>
    </row>
    <row r="60" spans="1:68" ht="14.25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63"/>
      <c r="AB60" s="63"/>
      <c r="AC60" s="63"/>
    </row>
    <row r="61" spans="1:68" ht="16.5" customHeight="1" x14ac:dyDescent="0.25">
      <c r="A61" s="60" t="s">
        <v>141</v>
      </c>
      <c r="B61" s="60" t="s">
        <v>142</v>
      </c>
      <c r="C61" s="34">
        <v>4301020298</v>
      </c>
      <c r="D61" s="549">
        <v>4680115881440</v>
      </c>
      <c r="E61" s="550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108</v>
      </c>
      <c r="L61" s="35" t="s">
        <v>109</v>
      </c>
      <c r="M61" s="36" t="s">
        <v>110</v>
      </c>
      <c r="N61" s="36"/>
      <c r="O61" s="35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7"/>
      <c r="V61" s="37"/>
      <c r="W61" s="38" t="s">
        <v>70</v>
      </c>
      <c r="X61" s="56">
        <v>300</v>
      </c>
      <c r="Y61" s="53">
        <f>IFERROR(IF(X61="",0,CEILING((X61/$H61),1)*$H61),"")</f>
        <v>302.40000000000003</v>
      </c>
      <c r="Z61" s="39">
        <f>IFERROR(IF(Y61=0,"",ROUNDUP(Y61/H61,0)*0.01898),"")</f>
        <v>0.53144000000000002</v>
      </c>
      <c r="AA61" s="65"/>
      <c r="AB61" s="66"/>
      <c r="AC61" s="117" t="s">
        <v>143</v>
      </c>
      <c r="AG61" s="75"/>
      <c r="AJ61" s="79" t="s">
        <v>94</v>
      </c>
      <c r="AK61" s="79">
        <v>86.4</v>
      </c>
      <c r="BB61" s="118" t="s">
        <v>1</v>
      </c>
      <c r="BM61" s="75">
        <f>IFERROR(X61*I61/H61,"0")</f>
        <v>311.38888888888891</v>
      </c>
      <c r="BN61" s="75">
        <f>IFERROR(Y61*I61/H61,"0")</f>
        <v>313.88</v>
      </c>
      <c r="BO61" s="75">
        <f>IFERROR(1/J61*(X61/H61),"0")</f>
        <v>0.43402777777777773</v>
      </c>
      <c r="BP61" s="75">
        <f>IFERROR(1/J61*(Y61/H61),"0")</f>
        <v>0.4375</v>
      </c>
    </row>
    <row r="62" spans="1:68" ht="16.5" customHeight="1" x14ac:dyDescent="0.25">
      <c r="A62" s="60" t="s">
        <v>144</v>
      </c>
      <c r="B62" s="60" t="s">
        <v>145</v>
      </c>
      <c r="C62" s="34">
        <v>4301020358</v>
      </c>
      <c r="D62" s="549">
        <v>4680115885950</v>
      </c>
      <c r="E62" s="550"/>
      <c r="F62" s="59">
        <v>0.37</v>
      </c>
      <c r="G62" s="35">
        <v>6</v>
      </c>
      <c r="H62" s="59">
        <v>2.2200000000000002</v>
      </c>
      <c r="I62" s="59">
        <v>2.4</v>
      </c>
      <c r="J62" s="35">
        <v>182</v>
      </c>
      <c r="K62" s="35" t="s">
        <v>67</v>
      </c>
      <c r="L62" s="35"/>
      <c r="M62" s="36" t="s">
        <v>81</v>
      </c>
      <c r="N62" s="36"/>
      <c r="O62" s="35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7"/>
      <c r="V62" s="37"/>
      <c r="W62" s="38" t="s">
        <v>70</v>
      </c>
      <c r="X62" s="56">
        <v>0</v>
      </c>
      <c r="Y62" s="53">
        <f>IFERROR(IF(X62="",0,CEILING((X62/$H62),1)*$H62),"")</f>
        <v>0</v>
      </c>
      <c r="Z62" s="39" t="str">
        <f>IFERROR(IF(Y62=0,"",ROUNDUP(Y62/H62,0)*0.00651),"")</f>
        <v/>
      </c>
      <c r="AA62" s="65"/>
      <c r="AB62" s="66"/>
      <c r="AC62" s="119" t="s">
        <v>143</v>
      </c>
      <c r="AG62" s="75"/>
      <c r="AJ62" s="79"/>
      <c r="AK62" s="79">
        <v>0</v>
      </c>
      <c r="BB62" s="120" t="s">
        <v>1</v>
      </c>
      <c r="BM62" s="75">
        <f>IFERROR(X62*I62/H62,"0")</f>
        <v>0</v>
      </c>
      <c r="BN62" s="75">
        <f>IFERROR(Y62*I62/H62,"0")</f>
        <v>0</v>
      </c>
      <c r="BO62" s="75">
        <f>IFERROR(1/J62*(X62/H62),"0")</f>
        <v>0</v>
      </c>
      <c r="BP62" s="75">
        <f>IFERROR(1/J62*(Y62/H62),"0")</f>
        <v>0</v>
      </c>
    </row>
    <row r="63" spans="1:68" ht="27" customHeight="1" x14ac:dyDescent="0.25">
      <c r="A63" s="60" t="s">
        <v>146</v>
      </c>
      <c r="B63" s="60" t="s">
        <v>147</v>
      </c>
      <c r="C63" s="34">
        <v>4301020296</v>
      </c>
      <c r="D63" s="549">
        <v>4680115881433</v>
      </c>
      <c r="E63" s="550"/>
      <c r="F63" s="59">
        <v>0.45</v>
      </c>
      <c r="G63" s="35">
        <v>6</v>
      </c>
      <c r="H63" s="59">
        <v>2.7</v>
      </c>
      <c r="I63" s="59">
        <v>2.88</v>
      </c>
      <c r="J63" s="35">
        <v>182</v>
      </c>
      <c r="K63" s="35" t="s">
        <v>67</v>
      </c>
      <c r="L63" s="35"/>
      <c r="M63" s="36" t="s">
        <v>110</v>
      </c>
      <c r="N63" s="36"/>
      <c r="O63" s="35">
        <v>50</v>
      </c>
      <c r="P63" s="6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7"/>
      <c r="V63" s="37"/>
      <c r="W63" s="38" t="s">
        <v>70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/>
      <c r="AB63" s="66"/>
      <c r="AC63" s="121" t="s">
        <v>143</v>
      </c>
      <c r="AG63" s="75"/>
      <c r="AJ63" s="79"/>
      <c r="AK63" s="79">
        <v>0</v>
      </c>
      <c r="BB63" s="122" t="s">
        <v>1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3" t="s">
        <v>76</v>
      </c>
      <c r="Q64" s="564"/>
      <c r="R64" s="564"/>
      <c r="S64" s="564"/>
      <c r="T64" s="564"/>
      <c r="U64" s="564"/>
      <c r="V64" s="565"/>
      <c r="W64" s="40" t="s">
        <v>77</v>
      </c>
      <c r="X64" s="41">
        <f>IFERROR(X61/H61,"0")+IFERROR(X62/H62,"0")+IFERROR(X63/H63,"0")</f>
        <v>27.777777777777775</v>
      </c>
      <c r="Y64" s="41">
        <f>IFERROR(Y61/H61,"0")+IFERROR(Y62/H62,"0")+IFERROR(Y63/H63,"0")</f>
        <v>28</v>
      </c>
      <c r="Z64" s="41">
        <f>IFERROR(IF(Z61="",0,Z61),"0")+IFERROR(IF(Z62="",0,Z62),"0")+IFERROR(IF(Z63="",0,Z63),"0")</f>
        <v>0.53144000000000002</v>
      </c>
      <c r="AA64" s="64"/>
      <c r="AB64" s="64"/>
      <c r="AC64" s="64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3" t="s">
        <v>76</v>
      </c>
      <c r="Q65" s="564"/>
      <c r="R65" s="564"/>
      <c r="S65" s="564"/>
      <c r="T65" s="564"/>
      <c r="U65" s="564"/>
      <c r="V65" s="565"/>
      <c r="W65" s="40" t="s">
        <v>70</v>
      </c>
      <c r="X65" s="41">
        <f>IFERROR(SUM(X61:X63),"0")</f>
        <v>300</v>
      </c>
      <c r="Y65" s="41">
        <f>IFERROR(SUM(Y61:Y63),"0")</f>
        <v>302.40000000000003</v>
      </c>
      <c r="Z65" s="40"/>
      <c r="AA65" s="64"/>
      <c r="AB65" s="64"/>
      <c r="AC65" s="64"/>
    </row>
    <row r="66" spans="1:68" ht="14.25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63"/>
      <c r="AB66" s="63"/>
      <c r="AC66" s="63"/>
    </row>
    <row r="67" spans="1:68" ht="27" customHeight="1" x14ac:dyDescent="0.25">
      <c r="A67" s="60" t="s">
        <v>148</v>
      </c>
      <c r="B67" s="60" t="s">
        <v>149</v>
      </c>
      <c r="C67" s="34">
        <v>4301031243</v>
      </c>
      <c r="D67" s="549">
        <v>4680115885073</v>
      </c>
      <c r="E67" s="550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74</v>
      </c>
      <c r="L67" s="35"/>
      <c r="M67" s="36" t="s">
        <v>68</v>
      </c>
      <c r="N67" s="36"/>
      <c r="O67" s="35">
        <v>40</v>
      </c>
      <c r="P67" s="83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7"/>
      <c r="V67" s="37"/>
      <c r="W67" s="38" t="s">
        <v>70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/>
      <c r="AB67" s="66"/>
      <c r="AC67" s="123" t="s">
        <v>150</v>
      </c>
      <c r="AG67" s="75"/>
      <c r="AJ67" s="79"/>
      <c r="AK67" s="79">
        <v>0</v>
      </c>
      <c r="BB67" s="124" t="s">
        <v>1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customHeight="1" x14ac:dyDescent="0.25">
      <c r="A68" s="60" t="s">
        <v>151</v>
      </c>
      <c r="B68" s="60" t="s">
        <v>152</v>
      </c>
      <c r="C68" s="34">
        <v>4301031241</v>
      </c>
      <c r="D68" s="549">
        <v>4680115885059</v>
      </c>
      <c r="E68" s="550"/>
      <c r="F68" s="59">
        <v>0.3</v>
      </c>
      <c r="G68" s="35">
        <v>6</v>
      </c>
      <c r="H68" s="59">
        <v>1.8</v>
      </c>
      <c r="I68" s="59">
        <v>1.9</v>
      </c>
      <c r="J68" s="35">
        <v>234</v>
      </c>
      <c r="K68" s="35" t="s">
        <v>74</v>
      </c>
      <c r="L68" s="35"/>
      <c r="M68" s="36" t="s">
        <v>68</v>
      </c>
      <c r="N68" s="36"/>
      <c r="O68" s="35">
        <v>40</v>
      </c>
      <c r="P68" s="69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7"/>
      <c r="V68" s="37"/>
      <c r="W68" s="38" t="s">
        <v>70</v>
      </c>
      <c r="X68" s="56">
        <v>0</v>
      </c>
      <c r="Y68" s="53">
        <f>IFERROR(IF(X68="",0,CEILING((X68/$H68),1)*$H68),"")</f>
        <v>0</v>
      </c>
      <c r="Z68" s="39" t="str">
        <f>IFERROR(IF(Y68=0,"",ROUNDUP(Y68/H68,0)*0.00502),"")</f>
        <v/>
      </c>
      <c r="AA68" s="65"/>
      <c r="AB68" s="66"/>
      <c r="AC68" s="125" t="s">
        <v>153</v>
      </c>
      <c r="AG68" s="75"/>
      <c r="AJ68" s="79"/>
      <c r="AK68" s="79">
        <v>0</v>
      </c>
      <c r="BB68" s="126" t="s">
        <v>1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customHeight="1" x14ac:dyDescent="0.25">
      <c r="A69" s="60" t="s">
        <v>154</v>
      </c>
      <c r="B69" s="60" t="s">
        <v>155</v>
      </c>
      <c r="C69" s="34">
        <v>4301031316</v>
      </c>
      <c r="D69" s="549">
        <v>4680115885097</v>
      </c>
      <c r="E69" s="550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74</v>
      </c>
      <c r="L69" s="35"/>
      <c r="M69" s="36" t="s">
        <v>68</v>
      </c>
      <c r="N69" s="36"/>
      <c r="O69" s="35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7"/>
      <c r="V69" s="37"/>
      <c r="W69" s="38" t="s">
        <v>70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/>
      <c r="AB69" s="66"/>
      <c r="AC69" s="127" t="s">
        <v>156</v>
      </c>
      <c r="AG69" s="75"/>
      <c r="AJ69" s="79"/>
      <c r="AK69" s="79">
        <v>0</v>
      </c>
      <c r="BB69" s="128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3" t="s">
        <v>76</v>
      </c>
      <c r="Q70" s="564"/>
      <c r="R70" s="564"/>
      <c r="S70" s="564"/>
      <c r="T70" s="564"/>
      <c r="U70" s="564"/>
      <c r="V70" s="565"/>
      <c r="W70" s="40" t="s">
        <v>77</v>
      </c>
      <c r="X70" s="41">
        <f>IFERROR(X67/H67,"0")+IFERROR(X68/H68,"0")+IFERROR(X69/H69,"0")</f>
        <v>0</v>
      </c>
      <c r="Y70" s="41">
        <f>IFERROR(Y67/H67,"0")+IFERROR(Y68/H68,"0")+IFERROR(Y69/H69,"0")</f>
        <v>0</v>
      </c>
      <c r="Z70" s="41">
        <f>IFERROR(IF(Z67="",0,Z67),"0")+IFERROR(IF(Z68="",0,Z68),"0")+IFERROR(IF(Z69="",0,Z69),"0")</f>
        <v>0</v>
      </c>
      <c r="AA70" s="64"/>
      <c r="AB70" s="64"/>
      <c r="AC70" s="64"/>
    </row>
    <row r="71" spans="1:68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3" t="s">
        <v>76</v>
      </c>
      <c r="Q71" s="564"/>
      <c r="R71" s="564"/>
      <c r="S71" s="564"/>
      <c r="T71" s="564"/>
      <c r="U71" s="564"/>
      <c r="V71" s="565"/>
      <c r="W71" s="40" t="s">
        <v>70</v>
      </c>
      <c r="X71" s="41">
        <f>IFERROR(SUM(X67:X69),"0")</f>
        <v>0</v>
      </c>
      <c r="Y71" s="41">
        <f>IFERROR(SUM(Y67:Y69),"0")</f>
        <v>0</v>
      </c>
      <c r="Z71" s="40"/>
      <c r="AA71" s="64"/>
      <c r="AB71" s="64"/>
      <c r="AC71" s="64"/>
    </row>
    <row r="72" spans="1:68" ht="14.25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63"/>
      <c r="AB72" s="63"/>
      <c r="AC72" s="63"/>
    </row>
    <row r="73" spans="1:68" ht="27" customHeight="1" x14ac:dyDescent="0.25">
      <c r="A73" s="60" t="s">
        <v>157</v>
      </c>
      <c r="B73" s="60" t="s">
        <v>158</v>
      </c>
      <c r="C73" s="34">
        <v>4301051846</v>
      </c>
      <c r="D73" s="549">
        <v>4680115885769</v>
      </c>
      <c r="E73" s="550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108</v>
      </c>
      <c r="L73" s="35"/>
      <c r="M73" s="36" t="s">
        <v>81</v>
      </c>
      <c r="N73" s="36"/>
      <c r="O73" s="35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7"/>
      <c r="V73" s="37"/>
      <c r="W73" s="38" t="s">
        <v>70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/>
      <c r="AB73" s="66"/>
      <c r="AC73" s="129" t="s">
        <v>159</v>
      </c>
      <c r="AG73" s="75"/>
      <c r="AJ73" s="79"/>
      <c r="AK73" s="79">
        <v>0</v>
      </c>
      <c r="BB73" s="130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160</v>
      </c>
      <c r="B74" s="60" t="s">
        <v>161</v>
      </c>
      <c r="C74" s="34">
        <v>4301051837</v>
      </c>
      <c r="D74" s="549">
        <v>4680115884311</v>
      </c>
      <c r="E74" s="55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67</v>
      </c>
      <c r="L74" s="35" t="s">
        <v>92</v>
      </c>
      <c r="M74" s="36" t="s">
        <v>81</v>
      </c>
      <c r="N74" s="36"/>
      <c r="O74" s="35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7"/>
      <c r="V74" s="37"/>
      <c r="W74" s="38" t="s">
        <v>70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/>
      <c r="AB74" s="66"/>
      <c r="AC74" s="131" t="s">
        <v>162</v>
      </c>
      <c r="AG74" s="75"/>
      <c r="AJ74" s="79" t="s">
        <v>94</v>
      </c>
      <c r="AK74" s="79">
        <v>25.2</v>
      </c>
      <c r="BB74" s="132" t="s">
        <v>1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163</v>
      </c>
      <c r="B75" s="60" t="s">
        <v>164</v>
      </c>
      <c r="C75" s="34">
        <v>4301051844</v>
      </c>
      <c r="D75" s="549">
        <v>4680115885929</v>
      </c>
      <c r="E75" s="55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67</v>
      </c>
      <c r="L75" s="35"/>
      <c r="M75" s="36" t="s">
        <v>81</v>
      </c>
      <c r="N75" s="36"/>
      <c r="O75" s="35">
        <v>45</v>
      </c>
      <c r="P75" s="8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7"/>
      <c r="V75" s="37"/>
      <c r="W75" s="38" t="s">
        <v>70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/>
      <c r="AB75" s="66"/>
      <c r="AC75" s="133" t="s">
        <v>159</v>
      </c>
      <c r="AG75" s="75"/>
      <c r="AJ75" s="79"/>
      <c r="AK75" s="79">
        <v>0</v>
      </c>
      <c r="BB75" s="134" t="s">
        <v>1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165</v>
      </c>
      <c r="B76" s="60" t="s">
        <v>166</v>
      </c>
      <c r="C76" s="34">
        <v>4301051929</v>
      </c>
      <c r="D76" s="549">
        <v>4680115884403</v>
      </c>
      <c r="E76" s="55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67</v>
      </c>
      <c r="L76" s="35" t="s">
        <v>92</v>
      </c>
      <c r="M76" s="36" t="s">
        <v>81</v>
      </c>
      <c r="N76" s="36"/>
      <c r="O76" s="35">
        <v>40</v>
      </c>
      <c r="P76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7"/>
      <c r="V76" s="37"/>
      <c r="W76" s="38" t="s">
        <v>70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/>
      <c r="AB76" s="66"/>
      <c r="AC76" s="135" t="s">
        <v>167</v>
      </c>
      <c r="AG76" s="75"/>
      <c r="AJ76" s="79" t="s">
        <v>94</v>
      </c>
      <c r="AK76" s="79">
        <v>25.2</v>
      </c>
      <c r="BB76" s="136" t="s">
        <v>1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3" t="s">
        <v>76</v>
      </c>
      <c r="Q77" s="564"/>
      <c r="R77" s="564"/>
      <c r="S77" s="564"/>
      <c r="T77" s="564"/>
      <c r="U77" s="564"/>
      <c r="V77" s="565"/>
      <c r="W77" s="40" t="s">
        <v>77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3" t="s">
        <v>76</v>
      </c>
      <c r="Q78" s="564"/>
      <c r="R78" s="564"/>
      <c r="S78" s="564"/>
      <c r="T78" s="564"/>
      <c r="U78" s="564"/>
      <c r="V78" s="565"/>
      <c r="W78" s="40" t="s">
        <v>70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63"/>
      <c r="AB79" s="63"/>
      <c r="AC79" s="63"/>
    </row>
    <row r="80" spans="1:68" ht="27" customHeight="1" x14ac:dyDescent="0.25">
      <c r="A80" s="60" t="s">
        <v>169</v>
      </c>
      <c r="B80" s="60" t="s">
        <v>170</v>
      </c>
      <c r="C80" s="34">
        <v>4301060455</v>
      </c>
      <c r="D80" s="549">
        <v>4680115881532</v>
      </c>
      <c r="E80" s="550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108</v>
      </c>
      <c r="L80" s="35" t="s">
        <v>109</v>
      </c>
      <c r="M80" s="36" t="s">
        <v>88</v>
      </c>
      <c r="N80" s="36"/>
      <c r="O80" s="35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7"/>
      <c r="V80" s="37"/>
      <c r="W80" s="38" t="s">
        <v>70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/>
      <c r="AB80" s="66"/>
      <c r="AC80" s="137" t="s">
        <v>171</v>
      </c>
      <c r="AG80" s="75"/>
      <c r="AJ80" s="79" t="s">
        <v>94</v>
      </c>
      <c r="AK80" s="79">
        <v>62.4</v>
      </c>
      <c r="BB80" s="138" t="s">
        <v>1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172</v>
      </c>
      <c r="B81" s="60" t="s">
        <v>173</v>
      </c>
      <c r="C81" s="34">
        <v>4301060351</v>
      </c>
      <c r="D81" s="549">
        <v>4680115881464</v>
      </c>
      <c r="E81" s="550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114</v>
      </c>
      <c r="L81" s="35" t="s">
        <v>115</v>
      </c>
      <c r="M81" s="36" t="s">
        <v>81</v>
      </c>
      <c r="N81" s="36"/>
      <c r="O81" s="35">
        <v>30</v>
      </c>
      <c r="P81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7"/>
      <c r="V81" s="37"/>
      <c r="W81" s="38" t="s">
        <v>70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/>
      <c r="AB81" s="66"/>
      <c r="AC81" s="139" t="s">
        <v>174</v>
      </c>
      <c r="AG81" s="75"/>
      <c r="AJ81" s="79" t="s">
        <v>94</v>
      </c>
      <c r="AK81" s="79">
        <v>28.8</v>
      </c>
      <c r="BB81" s="140" t="s">
        <v>1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3" t="s">
        <v>76</v>
      </c>
      <c r="Q82" s="564"/>
      <c r="R82" s="564"/>
      <c r="S82" s="564"/>
      <c r="T82" s="564"/>
      <c r="U82" s="564"/>
      <c r="V82" s="565"/>
      <c r="W82" s="40" t="s">
        <v>77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3" t="s">
        <v>76</v>
      </c>
      <c r="Q83" s="564"/>
      <c r="R83" s="564"/>
      <c r="S83" s="564"/>
      <c r="T83" s="564"/>
      <c r="U83" s="564"/>
      <c r="V83" s="565"/>
      <c r="W83" s="40" t="s">
        <v>70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customHeight="1" x14ac:dyDescent="0.25">
      <c r="A84" s="560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62"/>
      <c r="AB84" s="62"/>
      <c r="AC84" s="62"/>
    </row>
    <row r="85" spans="1:68" ht="14.25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63"/>
      <c r="AB85" s="63"/>
      <c r="AC85" s="63"/>
    </row>
    <row r="86" spans="1:68" ht="27" customHeight="1" x14ac:dyDescent="0.25">
      <c r="A86" s="60" t="s">
        <v>176</v>
      </c>
      <c r="B86" s="60" t="s">
        <v>177</v>
      </c>
      <c r="C86" s="34">
        <v>4301011468</v>
      </c>
      <c r="D86" s="549">
        <v>4680115881327</v>
      </c>
      <c r="E86" s="550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108</v>
      </c>
      <c r="L86" s="35" t="s">
        <v>109</v>
      </c>
      <c r="M86" s="36" t="s">
        <v>88</v>
      </c>
      <c r="N86" s="36"/>
      <c r="O86" s="35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7"/>
      <c r="V86" s="37"/>
      <c r="W86" s="38" t="s">
        <v>70</v>
      </c>
      <c r="X86" s="56">
        <v>580</v>
      </c>
      <c r="Y86" s="53">
        <f>IFERROR(IF(X86="",0,CEILING((X86/$H86),1)*$H86),"")</f>
        <v>583.20000000000005</v>
      </c>
      <c r="Z86" s="39">
        <f>IFERROR(IF(Y86=0,"",ROUNDUP(Y86/H86,0)*0.01898),"")</f>
        <v>1.0249200000000001</v>
      </c>
      <c r="AA86" s="65"/>
      <c r="AB86" s="66"/>
      <c r="AC86" s="141" t="s">
        <v>178</v>
      </c>
      <c r="AG86" s="75"/>
      <c r="AJ86" s="79" t="s">
        <v>94</v>
      </c>
      <c r="AK86" s="79">
        <v>86.4</v>
      </c>
      <c r="BB86" s="142" t="s">
        <v>1</v>
      </c>
      <c r="BM86" s="75">
        <f>IFERROR(X86*I86/H86,"0")</f>
        <v>602.01851851851848</v>
      </c>
      <c r="BN86" s="75">
        <f>IFERROR(Y86*I86/H86,"0")</f>
        <v>605.34000000000015</v>
      </c>
      <c r="BO86" s="75">
        <f>IFERROR(1/J86*(X86/H86),"0")</f>
        <v>0.83912037037037035</v>
      </c>
      <c r="BP86" s="75">
        <f>IFERROR(1/J86*(Y86/H86),"0")</f>
        <v>0.84375</v>
      </c>
    </row>
    <row r="87" spans="1:68" ht="27" customHeight="1" x14ac:dyDescent="0.25">
      <c r="A87" s="60" t="s">
        <v>179</v>
      </c>
      <c r="B87" s="60" t="s">
        <v>180</v>
      </c>
      <c r="C87" s="34">
        <v>4301011476</v>
      </c>
      <c r="D87" s="549">
        <v>4680115881518</v>
      </c>
      <c r="E87" s="550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114</v>
      </c>
      <c r="L87" s="35"/>
      <c r="M87" s="36" t="s">
        <v>81</v>
      </c>
      <c r="N87" s="36"/>
      <c r="O87" s="35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7"/>
      <c r="V87" s="37"/>
      <c r="W87" s="38" t="s">
        <v>70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/>
      <c r="AB87" s="66"/>
      <c r="AC87" s="143" t="s">
        <v>178</v>
      </c>
      <c r="AG87" s="75"/>
      <c r="AJ87" s="79"/>
      <c r="AK87" s="79">
        <v>0</v>
      </c>
      <c r="BB87" s="144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181</v>
      </c>
      <c r="B88" s="60" t="s">
        <v>182</v>
      </c>
      <c r="C88" s="34">
        <v>4301011443</v>
      </c>
      <c r="D88" s="549">
        <v>4680115881303</v>
      </c>
      <c r="E88" s="550"/>
      <c r="F88" s="59">
        <v>0.45</v>
      </c>
      <c r="G88" s="35">
        <v>10</v>
      </c>
      <c r="H88" s="59">
        <v>4.5</v>
      </c>
      <c r="I88" s="59">
        <v>4.6900000000000004</v>
      </c>
      <c r="J88" s="35">
        <v>132</v>
      </c>
      <c r="K88" s="35" t="s">
        <v>114</v>
      </c>
      <c r="L88" s="35" t="s">
        <v>115</v>
      </c>
      <c r="M88" s="36" t="s">
        <v>88</v>
      </c>
      <c r="N88" s="36"/>
      <c r="O88" s="35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7"/>
      <c r="V88" s="37"/>
      <c r="W88" s="38" t="s">
        <v>70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/>
      <c r="AB88" s="66"/>
      <c r="AC88" s="145" t="s">
        <v>178</v>
      </c>
      <c r="AG88" s="75"/>
      <c r="AJ88" s="79" t="s">
        <v>94</v>
      </c>
      <c r="AK88" s="79">
        <v>54</v>
      </c>
      <c r="BB88" s="146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3" t="s">
        <v>76</v>
      </c>
      <c r="Q89" s="564"/>
      <c r="R89" s="564"/>
      <c r="S89" s="564"/>
      <c r="T89" s="564"/>
      <c r="U89" s="564"/>
      <c r="V89" s="565"/>
      <c r="W89" s="40" t="s">
        <v>77</v>
      </c>
      <c r="X89" s="41">
        <f>IFERROR(X86/H86,"0")+IFERROR(X87/H87,"0")+IFERROR(X88/H88,"0")</f>
        <v>53.703703703703702</v>
      </c>
      <c r="Y89" s="41">
        <f>IFERROR(Y86/H86,"0")+IFERROR(Y87/H87,"0")+IFERROR(Y88/H88,"0")</f>
        <v>54</v>
      </c>
      <c r="Z89" s="41">
        <f>IFERROR(IF(Z86="",0,Z86),"0")+IFERROR(IF(Z87="",0,Z87),"0")+IFERROR(IF(Z88="",0,Z88),"0")</f>
        <v>1.0249200000000001</v>
      </c>
      <c r="AA89" s="64"/>
      <c r="AB89" s="64"/>
      <c r="AC89" s="64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3" t="s">
        <v>76</v>
      </c>
      <c r="Q90" s="564"/>
      <c r="R90" s="564"/>
      <c r="S90" s="564"/>
      <c r="T90" s="564"/>
      <c r="U90" s="564"/>
      <c r="V90" s="565"/>
      <c r="W90" s="40" t="s">
        <v>70</v>
      </c>
      <c r="X90" s="41">
        <f>IFERROR(SUM(X86:X88),"0")</f>
        <v>580</v>
      </c>
      <c r="Y90" s="41">
        <f>IFERROR(SUM(Y86:Y88),"0")</f>
        <v>583.20000000000005</v>
      </c>
      <c r="Z90" s="40"/>
      <c r="AA90" s="64"/>
      <c r="AB90" s="64"/>
      <c r="AC90" s="64"/>
    </row>
    <row r="91" spans="1:68" ht="14.25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63"/>
      <c r="AB91" s="63"/>
      <c r="AC91" s="63"/>
    </row>
    <row r="92" spans="1:68" ht="27" customHeight="1" x14ac:dyDescent="0.25">
      <c r="A92" s="60" t="s">
        <v>183</v>
      </c>
      <c r="B92" s="60" t="s">
        <v>184</v>
      </c>
      <c r="C92" s="34">
        <v>4301051712</v>
      </c>
      <c r="D92" s="549">
        <v>4607091386967</v>
      </c>
      <c r="E92" s="550"/>
      <c r="F92" s="59">
        <v>1.35</v>
      </c>
      <c r="G92" s="35">
        <v>6</v>
      </c>
      <c r="H92" s="59">
        <v>8.1</v>
      </c>
      <c r="I92" s="59">
        <v>8.5939999999999994</v>
      </c>
      <c r="J92" s="35">
        <v>64</v>
      </c>
      <c r="K92" s="35" t="s">
        <v>108</v>
      </c>
      <c r="L92" s="35" t="s">
        <v>109</v>
      </c>
      <c r="M92" s="36" t="s">
        <v>88</v>
      </c>
      <c r="N92" s="36"/>
      <c r="O92" s="35">
        <v>45</v>
      </c>
      <c r="P92" s="61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7"/>
      <c r="V92" s="37"/>
      <c r="W92" s="38" t="s">
        <v>70</v>
      </c>
      <c r="X92" s="56">
        <v>262</v>
      </c>
      <c r="Y92" s="53">
        <f>IFERROR(IF(X92="",0,CEILING((X92/$H92),1)*$H92),"")</f>
        <v>267.3</v>
      </c>
      <c r="Z92" s="39">
        <f>IFERROR(IF(Y92=0,"",ROUNDUP(Y92/H92,0)*0.01898),"")</f>
        <v>0.62634000000000001</v>
      </c>
      <c r="AA92" s="65"/>
      <c r="AB92" s="66"/>
      <c r="AC92" s="147" t="s">
        <v>185</v>
      </c>
      <c r="AG92" s="75"/>
      <c r="AJ92" s="79" t="s">
        <v>94</v>
      </c>
      <c r="AK92" s="79">
        <v>64.8</v>
      </c>
      <c r="BB92" s="148" t="s">
        <v>1</v>
      </c>
      <c r="BM92" s="75">
        <f>IFERROR(X92*I92/H92,"0")</f>
        <v>277.97876543209873</v>
      </c>
      <c r="BN92" s="75">
        <f>IFERROR(Y92*I92/H92,"0")</f>
        <v>283.60199999999998</v>
      </c>
      <c r="BO92" s="75">
        <f>IFERROR(1/J92*(X92/H92),"0")</f>
        <v>0.5054012345679012</v>
      </c>
      <c r="BP92" s="75">
        <f>IFERROR(1/J92*(Y92/H92),"0")</f>
        <v>0.515625</v>
      </c>
    </row>
    <row r="93" spans="1:68" ht="27" customHeight="1" x14ac:dyDescent="0.25">
      <c r="A93" s="60" t="s">
        <v>186</v>
      </c>
      <c r="B93" s="60" t="s">
        <v>187</v>
      </c>
      <c r="C93" s="34">
        <v>4301051788</v>
      </c>
      <c r="D93" s="549">
        <v>4680115884953</v>
      </c>
      <c r="E93" s="550"/>
      <c r="F93" s="59">
        <v>0.37</v>
      </c>
      <c r="G93" s="35">
        <v>6</v>
      </c>
      <c r="H93" s="59">
        <v>2.2200000000000002</v>
      </c>
      <c r="I93" s="59">
        <v>2.472</v>
      </c>
      <c r="J93" s="35">
        <v>182</v>
      </c>
      <c r="K93" s="35" t="s">
        <v>67</v>
      </c>
      <c r="L93" s="35"/>
      <c r="M93" s="36" t="s">
        <v>81</v>
      </c>
      <c r="N93" s="36"/>
      <c r="O93" s="35">
        <v>45</v>
      </c>
      <c r="P93" s="7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7"/>
      <c r="V93" s="37"/>
      <c r="W93" s="38" t="s">
        <v>70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49" t="s">
        <v>188</v>
      </c>
      <c r="AG93" s="75"/>
      <c r="AJ93" s="79"/>
      <c r="AK93" s="79">
        <v>0</v>
      </c>
      <c r="BB93" s="150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189</v>
      </c>
      <c r="B94" s="60" t="s">
        <v>190</v>
      </c>
      <c r="C94" s="34">
        <v>4301051718</v>
      </c>
      <c r="D94" s="549">
        <v>4607091385731</v>
      </c>
      <c r="E94" s="550"/>
      <c r="F94" s="59">
        <v>0.45</v>
      </c>
      <c r="G94" s="35">
        <v>6</v>
      </c>
      <c r="H94" s="59">
        <v>2.7</v>
      </c>
      <c r="I94" s="59">
        <v>2.952</v>
      </c>
      <c r="J94" s="35">
        <v>182</v>
      </c>
      <c r="K94" s="35" t="s">
        <v>67</v>
      </c>
      <c r="L94" s="35"/>
      <c r="M94" s="36" t="s">
        <v>88</v>
      </c>
      <c r="N94" s="36"/>
      <c r="O94" s="35">
        <v>45</v>
      </c>
      <c r="P94" s="6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7"/>
      <c r="V94" s="37"/>
      <c r="W94" s="38" t="s">
        <v>70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1" t="s">
        <v>185</v>
      </c>
      <c r="AG94" s="75"/>
      <c r="AJ94" s="79"/>
      <c r="AK94" s="79">
        <v>0</v>
      </c>
      <c r="BB94" s="152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16.5" customHeight="1" x14ac:dyDescent="0.25">
      <c r="A95" s="60" t="s">
        <v>191</v>
      </c>
      <c r="B95" s="60" t="s">
        <v>192</v>
      </c>
      <c r="C95" s="34">
        <v>4301051438</v>
      </c>
      <c r="D95" s="549">
        <v>4680115880894</v>
      </c>
      <c r="E95" s="550"/>
      <c r="F95" s="59">
        <v>0.33</v>
      </c>
      <c r="G95" s="35">
        <v>6</v>
      </c>
      <c r="H95" s="59">
        <v>1.98</v>
      </c>
      <c r="I95" s="59">
        <v>2.238</v>
      </c>
      <c r="J95" s="35">
        <v>182</v>
      </c>
      <c r="K95" s="35" t="s">
        <v>67</v>
      </c>
      <c r="L95" s="35" t="s">
        <v>92</v>
      </c>
      <c r="M95" s="36" t="s">
        <v>81</v>
      </c>
      <c r="N95" s="36"/>
      <c r="O95" s="35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7"/>
      <c r="V95" s="37"/>
      <c r="W95" s="38" t="s">
        <v>70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3" t="s">
        <v>193</v>
      </c>
      <c r="AG95" s="75"/>
      <c r="AJ95" s="79" t="s">
        <v>94</v>
      </c>
      <c r="AK95" s="79">
        <v>27.72</v>
      </c>
      <c r="BB95" s="154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3" t="s">
        <v>76</v>
      </c>
      <c r="Q96" s="564"/>
      <c r="R96" s="564"/>
      <c r="S96" s="564"/>
      <c r="T96" s="564"/>
      <c r="U96" s="564"/>
      <c r="V96" s="565"/>
      <c r="W96" s="40" t="s">
        <v>77</v>
      </c>
      <c r="X96" s="41">
        <f>IFERROR(X92/H92,"0")+IFERROR(X93/H93,"0")+IFERROR(X94/H94,"0")+IFERROR(X95/H95,"0")</f>
        <v>32.345679012345677</v>
      </c>
      <c r="Y96" s="41">
        <f>IFERROR(Y92/H92,"0")+IFERROR(Y93/H93,"0")+IFERROR(Y94/H94,"0")+IFERROR(Y95/H95,"0")</f>
        <v>33</v>
      </c>
      <c r="Z96" s="41">
        <f>IFERROR(IF(Z92="",0,Z92),"0")+IFERROR(IF(Z93="",0,Z93),"0")+IFERROR(IF(Z94="",0,Z94),"0")+IFERROR(IF(Z95="",0,Z95),"0")</f>
        <v>0.62634000000000001</v>
      </c>
      <c r="AA96" s="64"/>
      <c r="AB96" s="64"/>
      <c r="AC96" s="64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3" t="s">
        <v>76</v>
      </c>
      <c r="Q97" s="564"/>
      <c r="R97" s="564"/>
      <c r="S97" s="564"/>
      <c r="T97" s="564"/>
      <c r="U97" s="564"/>
      <c r="V97" s="565"/>
      <c r="W97" s="40" t="s">
        <v>70</v>
      </c>
      <c r="X97" s="41">
        <f>IFERROR(SUM(X92:X95),"0")</f>
        <v>262</v>
      </c>
      <c r="Y97" s="41">
        <f>IFERROR(SUM(Y92:Y95),"0")</f>
        <v>267.3</v>
      </c>
      <c r="Z97" s="40"/>
      <c r="AA97" s="64"/>
      <c r="AB97" s="64"/>
      <c r="AC97" s="64"/>
    </row>
    <row r="98" spans="1:68" ht="16.5" customHeight="1" x14ac:dyDescent="0.25">
      <c r="A98" s="560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62"/>
      <c r="AB98" s="62"/>
      <c r="AC98" s="62"/>
    </row>
    <row r="99" spans="1:68" ht="14.25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63"/>
      <c r="AB99" s="63"/>
      <c r="AC99" s="63"/>
    </row>
    <row r="100" spans="1:68" ht="37.5" customHeight="1" x14ac:dyDescent="0.25">
      <c r="A100" s="60" t="s">
        <v>195</v>
      </c>
      <c r="B100" s="60" t="s">
        <v>196</v>
      </c>
      <c r="C100" s="34">
        <v>4301011514</v>
      </c>
      <c r="D100" s="549">
        <v>4680115882133</v>
      </c>
      <c r="E100" s="550"/>
      <c r="F100" s="59">
        <v>1.35</v>
      </c>
      <c r="G100" s="35">
        <v>8</v>
      </c>
      <c r="H100" s="59">
        <v>10.8</v>
      </c>
      <c r="I100" s="59">
        <v>11.21</v>
      </c>
      <c r="J100" s="35">
        <v>64</v>
      </c>
      <c r="K100" s="35" t="s">
        <v>108</v>
      </c>
      <c r="L100" s="35" t="s">
        <v>109</v>
      </c>
      <c r="M100" s="36" t="s">
        <v>110</v>
      </c>
      <c r="N100" s="36"/>
      <c r="O100" s="35">
        <v>50</v>
      </c>
      <c r="P100" s="6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7"/>
      <c r="V100" s="37"/>
      <c r="W100" s="38" t="s">
        <v>70</v>
      </c>
      <c r="X100" s="56">
        <v>450</v>
      </c>
      <c r="Y100" s="53">
        <f>IFERROR(IF(X100="",0,CEILING((X100/$H100),1)*$H100),"")</f>
        <v>453.6</v>
      </c>
      <c r="Z100" s="39">
        <f>IFERROR(IF(Y100=0,"",ROUNDUP(Y100/H100,0)*0.01898),"")</f>
        <v>0.79715999999999998</v>
      </c>
      <c r="AA100" s="65"/>
      <c r="AB100" s="66"/>
      <c r="AC100" s="155" t="s">
        <v>197</v>
      </c>
      <c r="AG100" s="75"/>
      <c r="AJ100" s="79" t="s">
        <v>94</v>
      </c>
      <c r="AK100" s="79">
        <v>86.4</v>
      </c>
      <c r="BB100" s="156" t="s">
        <v>1</v>
      </c>
      <c r="BM100" s="75">
        <f>IFERROR(X100*I100/H100,"0")</f>
        <v>467.08333333333331</v>
      </c>
      <c r="BN100" s="75">
        <f>IFERROR(Y100*I100/H100,"0")</f>
        <v>470.82000000000005</v>
      </c>
      <c r="BO100" s="75">
        <f>IFERROR(1/J100*(X100/H100),"0")</f>
        <v>0.65104166666666663</v>
      </c>
      <c r="BP100" s="75">
        <f>IFERROR(1/J100*(Y100/H100),"0")</f>
        <v>0.65625</v>
      </c>
    </row>
    <row r="101" spans="1:68" ht="37.5" customHeight="1" x14ac:dyDescent="0.25">
      <c r="A101" s="60" t="s">
        <v>198</v>
      </c>
      <c r="B101" s="60" t="s">
        <v>199</v>
      </c>
      <c r="C101" s="34">
        <v>4301011417</v>
      </c>
      <c r="D101" s="549">
        <v>4680115880269</v>
      </c>
      <c r="E101" s="550"/>
      <c r="F101" s="59">
        <v>0.375</v>
      </c>
      <c r="G101" s="35">
        <v>10</v>
      </c>
      <c r="H101" s="59">
        <v>3.75</v>
      </c>
      <c r="I101" s="59">
        <v>3.94</v>
      </c>
      <c r="J101" s="35">
        <v>132</v>
      </c>
      <c r="K101" s="35" t="s">
        <v>114</v>
      </c>
      <c r="L101" s="35" t="s">
        <v>115</v>
      </c>
      <c r="M101" s="36" t="s">
        <v>81</v>
      </c>
      <c r="N101" s="36"/>
      <c r="O101" s="35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7"/>
      <c r="V101" s="37"/>
      <c r="W101" s="38" t="s">
        <v>70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IFERROR(IF(Y101=0,"",ROUNDUP(Y101/H101,0)*0.00902),"")</f>
        <v/>
      </c>
      <c r="AA101" s="65"/>
      <c r="AB101" s="66"/>
      <c r="AC101" s="157" t="s">
        <v>197</v>
      </c>
      <c r="AG101" s="75"/>
      <c r="AJ101" s="79" t="s">
        <v>94</v>
      </c>
      <c r="AK101" s="79">
        <v>45</v>
      </c>
      <c r="BB101" s="158" t="s">
        <v>1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ht="37.5" customHeight="1" x14ac:dyDescent="0.25">
      <c r="A102" s="60" t="s">
        <v>200</v>
      </c>
      <c r="B102" s="60" t="s">
        <v>201</v>
      </c>
      <c r="C102" s="34">
        <v>4301011415</v>
      </c>
      <c r="D102" s="549">
        <v>4680115880429</v>
      </c>
      <c r="E102" s="550"/>
      <c r="F102" s="59">
        <v>0.45</v>
      </c>
      <c r="G102" s="35">
        <v>10</v>
      </c>
      <c r="H102" s="59">
        <v>4.5</v>
      </c>
      <c r="I102" s="59">
        <v>4.6900000000000004</v>
      </c>
      <c r="J102" s="35">
        <v>132</v>
      </c>
      <c r="K102" s="35" t="s">
        <v>114</v>
      </c>
      <c r="L102" s="35" t="s">
        <v>115</v>
      </c>
      <c r="M102" s="36" t="s">
        <v>81</v>
      </c>
      <c r="N102" s="36"/>
      <c r="O102" s="35">
        <v>50</v>
      </c>
      <c r="P102" s="8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7"/>
      <c r="V102" s="37"/>
      <c r="W102" s="38" t="s">
        <v>70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IFERROR(IF(Y102=0,"",ROUNDUP(Y102/H102,0)*0.00902),"")</f>
        <v/>
      </c>
      <c r="AA102" s="65"/>
      <c r="AB102" s="66"/>
      <c r="AC102" s="159" t="s">
        <v>197</v>
      </c>
      <c r="AG102" s="75"/>
      <c r="AJ102" s="79" t="s">
        <v>94</v>
      </c>
      <c r="AK102" s="79">
        <v>54</v>
      </c>
      <c r="BB102" s="160" t="s">
        <v>1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202</v>
      </c>
      <c r="B103" s="60" t="s">
        <v>203</v>
      </c>
      <c r="C103" s="34">
        <v>4301011462</v>
      </c>
      <c r="D103" s="549">
        <v>4680115881457</v>
      </c>
      <c r="E103" s="550"/>
      <c r="F103" s="59">
        <v>0.75</v>
      </c>
      <c r="G103" s="35">
        <v>6</v>
      </c>
      <c r="H103" s="59">
        <v>4.5</v>
      </c>
      <c r="I103" s="59">
        <v>4.6900000000000004</v>
      </c>
      <c r="J103" s="35">
        <v>132</v>
      </c>
      <c r="K103" s="35" t="s">
        <v>114</v>
      </c>
      <c r="L103" s="35"/>
      <c r="M103" s="36" t="s">
        <v>81</v>
      </c>
      <c r="N103" s="36"/>
      <c r="O103" s="35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7"/>
      <c r="V103" s="37"/>
      <c r="W103" s="38" t="s">
        <v>70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/>
      <c r="AB103" s="66"/>
      <c r="AC103" s="161" t="s">
        <v>197</v>
      </c>
      <c r="AG103" s="75"/>
      <c r="AJ103" s="79"/>
      <c r="AK103" s="79">
        <v>0</v>
      </c>
      <c r="BB103" s="162" t="s">
        <v>1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3" t="s">
        <v>76</v>
      </c>
      <c r="Q104" s="564"/>
      <c r="R104" s="564"/>
      <c r="S104" s="564"/>
      <c r="T104" s="564"/>
      <c r="U104" s="564"/>
      <c r="V104" s="565"/>
      <c r="W104" s="40" t="s">
        <v>77</v>
      </c>
      <c r="X104" s="41">
        <f>IFERROR(X100/H100,"0")+IFERROR(X101/H101,"0")+IFERROR(X102/H102,"0")+IFERROR(X103/H103,"0")</f>
        <v>41.666666666666664</v>
      </c>
      <c r="Y104" s="41">
        <f>IFERROR(Y100/H100,"0")+IFERROR(Y101/H101,"0")+IFERROR(Y102/H102,"0")+IFERROR(Y103/H103,"0")</f>
        <v>42</v>
      </c>
      <c r="Z104" s="41">
        <f>IFERROR(IF(Z100="",0,Z100),"0")+IFERROR(IF(Z101="",0,Z101),"0")+IFERROR(IF(Z102="",0,Z102),"0")+IFERROR(IF(Z103="",0,Z103),"0")</f>
        <v>0.79715999999999998</v>
      </c>
      <c r="AA104" s="64"/>
      <c r="AB104" s="64"/>
      <c r="AC104" s="64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3" t="s">
        <v>76</v>
      </c>
      <c r="Q105" s="564"/>
      <c r="R105" s="564"/>
      <c r="S105" s="564"/>
      <c r="T105" s="564"/>
      <c r="U105" s="564"/>
      <c r="V105" s="565"/>
      <c r="W105" s="40" t="s">
        <v>70</v>
      </c>
      <c r="X105" s="41">
        <f>IFERROR(SUM(X100:X103),"0")</f>
        <v>450</v>
      </c>
      <c r="Y105" s="41">
        <f>IFERROR(SUM(Y100:Y103),"0")</f>
        <v>453.6</v>
      </c>
      <c r="Z105" s="40"/>
      <c r="AA105" s="64"/>
      <c r="AB105" s="64"/>
      <c r="AC105" s="64"/>
    </row>
    <row r="106" spans="1:68" ht="14.25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63"/>
      <c r="AB106" s="63"/>
      <c r="AC106" s="63"/>
    </row>
    <row r="107" spans="1:68" ht="16.5" customHeight="1" x14ac:dyDescent="0.25">
      <c r="A107" s="60" t="s">
        <v>204</v>
      </c>
      <c r="B107" s="60" t="s">
        <v>205</v>
      </c>
      <c r="C107" s="34">
        <v>4301020345</v>
      </c>
      <c r="D107" s="549">
        <v>4680115881488</v>
      </c>
      <c r="E107" s="550"/>
      <c r="F107" s="59">
        <v>1.35</v>
      </c>
      <c r="G107" s="35">
        <v>8</v>
      </c>
      <c r="H107" s="59">
        <v>10.8</v>
      </c>
      <c r="I107" s="59">
        <v>11.21</v>
      </c>
      <c r="J107" s="35">
        <v>64</v>
      </c>
      <c r="K107" s="35" t="s">
        <v>108</v>
      </c>
      <c r="L107" s="35"/>
      <c r="M107" s="36" t="s">
        <v>110</v>
      </c>
      <c r="N107" s="36"/>
      <c r="O107" s="35">
        <v>55</v>
      </c>
      <c r="P107" s="8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7"/>
      <c r="V107" s="37"/>
      <c r="W107" s="38" t="s">
        <v>70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IFERROR(IF(Y107=0,"",ROUNDUP(Y107/H107,0)*0.01898),"")</f>
        <v/>
      </c>
      <c r="AA107" s="65"/>
      <c r="AB107" s="66"/>
      <c r="AC107" s="163" t="s">
        <v>206</v>
      </c>
      <c r="AG107" s="75"/>
      <c r="AJ107" s="79"/>
      <c r="AK107" s="79">
        <v>0</v>
      </c>
      <c r="BB107" s="164" t="s">
        <v>1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207</v>
      </c>
      <c r="B108" s="60" t="s">
        <v>208</v>
      </c>
      <c r="C108" s="34">
        <v>4301020346</v>
      </c>
      <c r="D108" s="549">
        <v>4680115882775</v>
      </c>
      <c r="E108" s="550"/>
      <c r="F108" s="59">
        <v>0.3</v>
      </c>
      <c r="G108" s="35">
        <v>8</v>
      </c>
      <c r="H108" s="59">
        <v>2.4</v>
      </c>
      <c r="I108" s="59">
        <v>2.5</v>
      </c>
      <c r="J108" s="35">
        <v>234</v>
      </c>
      <c r="K108" s="35" t="s">
        <v>74</v>
      </c>
      <c r="L108" s="35"/>
      <c r="M108" s="36" t="s">
        <v>110</v>
      </c>
      <c r="N108" s="36"/>
      <c r="O108" s="35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7"/>
      <c r="V108" s="37"/>
      <c r="W108" s="38" t="s">
        <v>70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IFERROR(IF(Y108=0,"",ROUNDUP(Y108/H108,0)*0.00502),"")</f>
        <v/>
      </c>
      <c r="AA108" s="65"/>
      <c r="AB108" s="66"/>
      <c r="AC108" s="165" t="s">
        <v>206</v>
      </c>
      <c r="AG108" s="75"/>
      <c r="AJ108" s="79"/>
      <c r="AK108" s="79">
        <v>0</v>
      </c>
      <c r="BB108" s="166" t="s">
        <v>1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209</v>
      </c>
      <c r="B109" s="60" t="s">
        <v>210</v>
      </c>
      <c r="C109" s="34">
        <v>4301020344</v>
      </c>
      <c r="D109" s="549">
        <v>4680115880658</v>
      </c>
      <c r="E109" s="550"/>
      <c r="F109" s="59">
        <v>0.4</v>
      </c>
      <c r="G109" s="35">
        <v>6</v>
      </c>
      <c r="H109" s="59">
        <v>2.4</v>
      </c>
      <c r="I109" s="59">
        <v>2.58</v>
      </c>
      <c r="J109" s="35">
        <v>182</v>
      </c>
      <c r="K109" s="35" t="s">
        <v>67</v>
      </c>
      <c r="L109" s="35"/>
      <c r="M109" s="36" t="s">
        <v>110</v>
      </c>
      <c r="N109" s="36"/>
      <c r="O109" s="35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7"/>
      <c r="V109" s="37"/>
      <c r="W109" s="38" t="s">
        <v>70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IFERROR(IF(Y109=0,"",ROUNDUP(Y109/H109,0)*0.00651),"")</f>
        <v/>
      </c>
      <c r="AA109" s="65"/>
      <c r="AB109" s="66"/>
      <c r="AC109" s="167" t="s">
        <v>206</v>
      </c>
      <c r="AG109" s="75"/>
      <c r="AJ109" s="79"/>
      <c r="AK109" s="79">
        <v>0</v>
      </c>
      <c r="BB109" s="168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3" t="s">
        <v>76</v>
      </c>
      <c r="Q110" s="564"/>
      <c r="R110" s="564"/>
      <c r="S110" s="564"/>
      <c r="T110" s="564"/>
      <c r="U110" s="564"/>
      <c r="V110" s="565"/>
      <c r="W110" s="40" t="s">
        <v>77</v>
      </c>
      <c r="X110" s="41">
        <f>IFERROR(X107/H107,"0")+IFERROR(X108/H108,"0")+IFERROR(X109/H109,"0")</f>
        <v>0</v>
      </c>
      <c r="Y110" s="41">
        <f>IFERROR(Y107/H107,"0")+IFERROR(Y108/H108,"0")+IFERROR(Y109/H109,"0")</f>
        <v>0</v>
      </c>
      <c r="Z110" s="41">
        <f>IFERROR(IF(Z107="",0,Z107),"0")+IFERROR(IF(Z108="",0,Z108),"0")+IFERROR(IF(Z109="",0,Z109),"0")</f>
        <v>0</v>
      </c>
      <c r="AA110" s="64"/>
      <c r="AB110" s="64"/>
      <c r="AC110" s="64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3" t="s">
        <v>76</v>
      </c>
      <c r="Q111" s="564"/>
      <c r="R111" s="564"/>
      <c r="S111" s="564"/>
      <c r="T111" s="564"/>
      <c r="U111" s="564"/>
      <c r="V111" s="565"/>
      <c r="W111" s="40" t="s">
        <v>70</v>
      </c>
      <c r="X111" s="41">
        <f>IFERROR(SUM(X107:X109),"0")</f>
        <v>0</v>
      </c>
      <c r="Y111" s="41">
        <f>IFERROR(SUM(Y107:Y109),"0")</f>
        <v>0</v>
      </c>
      <c r="Z111" s="40"/>
      <c r="AA111" s="64"/>
      <c r="AB111" s="64"/>
      <c r="AC111" s="64"/>
    </row>
    <row r="112" spans="1:68" ht="14.25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63"/>
      <c r="AB112" s="63"/>
      <c r="AC112" s="63"/>
    </row>
    <row r="113" spans="1:68" ht="27" customHeight="1" x14ac:dyDescent="0.25">
      <c r="A113" s="60" t="s">
        <v>211</v>
      </c>
      <c r="B113" s="60" t="s">
        <v>212</v>
      </c>
      <c r="C113" s="34">
        <v>4301051724</v>
      </c>
      <c r="D113" s="549">
        <v>4607091385168</v>
      </c>
      <c r="E113" s="550"/>
      <c r="F113" s="59">
        <v>1.35</v>
      </c>
      <c r="G113" s="35">
        <v>6</v>
      </c>
      <c r="H113" s="59">
        <v>8.1</v>
      </c>
      <c r="I113" s="59">
        <v>8.5879999999999992</v>
      </c>
      <c r="J113" s="35">
        <v>64</v>
      </c>
      <c r="K113" s="35" t="s">
        <v>108</v>
      </c>
      <c r="L113" s="35" t="s">
        <v>109</v>
      </c>
      <c r="M113" s="36" t="s">
        <v>88</v>
      </c>
      <c r="N113" s="36"/>
      <c r="O113" s="35">
        <v>45</v>
      </c>
      <c r="P113" s="65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7"/>
      <c r="V113" s="37"/>
      <c r="W113" s="38" t="s">
        <v>70</v>
      </c>
      <c r="X113" s="56">
        <v>1170</v>
      </c>
      <c r="Y113" s="53">
        <f>IFERROR(IF(X113="",0,CEILING((X113/$H113),1)*$H113),"")</f>
        <v>1174.5</v>
      </c>
      <c r="Z113" s="39">
        <f>IFERROR(IF(Y113=0,"",ROUNDUP(Y113/H113,0)*0.01898),"")</f>
        <v>2.7521</v>
      </c>
      <c r="AA113" s="65"/>
      <c r="AB113" s="66"/>
      <c r="AC113" s="169" t="s">
        <v>213</v>
      </c>
      <c r="AG113" s="75"/>
      <c r="AJ113" s="79" t="s">
        <v>94</v>
      </c>
      <c r="AK113" s="79">
        <v>64.8</v>
      </c>
      <c r="BB113" s="170" t="s">
        <v>1</v>
      </c>
      <c r="BM113" s="75">
        <f>IFERROR(X113*I113/H113,"0")</f>
        <v>1240.4888888888888</v>
      </c>
      <c r="BN113" s="75">
        <f>IFERROR(Y113*I113/H113,"0")</f>
        <v>1245.26</v>
      </c>
      <c r="BO113" s="75">
        <f>IFERROR(1/J113*(X113/H113),"0")</f>
        <v>2.2569444444444446</v>
      </c>
      <c r="BP113" s="75">
        <f>IFERROR(1/J113*(Y113/H113),"0")</f>
        <v>2.265625</v>
      </c>
    </row>
    <row r="114" spans="1:68" ht="27" customHeight="1" x14ac:dyDescent="0.25">
      <c r="A114" s="60" t="s">
        <v>214</v>
      </c>
      <c r="B114" s="60" t="s">
        <v>215</v>
      </c>
      <c r="C114" s="34">
        <v>4301051730</v>
      </c>
      <c r="D114" s="549">
        <v>4607091383256</v>
      </c>
      <c r="E114" s="550"/>
      <c r="F114" s="59">
        <v>0.33</v>
      </c>
      <c r="G114" s="35">
        <v>6</v>
      </c>
      <c r="H114" s="59">
        <v>1.98</v>
      </c>
      <c r="I114" s="59">
        <v>2.226</v>
      </c>
      <c r="J114" s="35">
        <v>182</v>
      </c>
      <c r="K114" s="35" t="s">
        <v>67</v>
      </c>
      <c r="L114" s="35" t="s">
        <v>92</v>
      </c>
      <c r="M114" s="36" t="s">
        <v>88</v>
      </c>
      <c r="N114" s="36"/>
      <c r="O114" s="35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7"/>
      <c r="V114" s="37"/>
      <c r="W114" s="38" t="s">
        <v>70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IFERROR(IF(Y114=0,"",ROUNDUP(Y114/H114,0)*0.00651),"")</f>
        <v/>
      </c>
      <c r="AA114" s="65"/>
      <c r="AB114" s="66"/>
      <c r="AC114" s="171" t="s">
        <v>213</v>
      </c>
      <c r="AG114" s="75"/>
      <c r="AJ114" s="79" t="s">
        <v>94</v>
      </c>
      <c r="AK114" s="79">
        <v>27.72</v>
      </c>
      <c r="BB114" s="172" t="s">
        <v>1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216</v>
      </c>
      <c r="B115" s="60" t="s">
        <v>217</v>
      </c>
      <c r="C115" s="34">
        <v>4301051721</v>
      </c>
      <c r="D115" s="549">
        <v>4607091385748</v>
      </c>
      <c r="E115" s="550"/>
      <c r="F115" s="59">
        <v>0.45</v>
      </c>
      <c r="G115" s="35">
        <v>6</v>
      </c>
      <c r="H115" s="59">
        <v>2.7</v>
      </c>
      <c r="I115" s="59">
        <v>2.952</v>
      </c>
      <c r="J115" s="35">
        <v>182</v>
      </c>
      <c r="K115" s="35" t="s">
        <v>67</v>
      </c>
      <c r="L115" s="35" t="s">
        <v>92</v>
      </c>
      <c r="M115" s="36" t="s">
        <v>88</v>
      </c>
      <c r="N115" s="36"/>
      <c r="O115" s="35">
        <v>45</v>
      </c>
      <c r="P115" s="7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7"/>
      <c r="V115" s="37"/>
      <c r="W115" s="38" t="s">
        <v>70</v>
      </c>
      <c r="X115" s="56">
        <v>90</v>
      </c>
      <c r="Y115" s="53">
        <f>IFERROR(IF(X115="",0,CEILING((X115/$H115),1)*$H115),"")</f>
        <v>91.800000000000011</v>
      </c>
      <c r="Z115" s="39">
        <f>IFERROR(IF(Y115=0,"",ROUNDUP(Y115/H115,0)*0.00651),"")</f>
        <v>0.22134000000000001</v>
      </c>
      <c r="AA115" s="65"/>
      <c r="AB115" s="66"/>
      <c r="AC115" s="173" t="s">
        <v>213</v>
      </c>
      <c r="AG115" s="75"/>
      <c r="AJ115" s="79" t="s">
        <v>94</v>
      </c>
      <c r="AK115" s="79">
        <v>37.799999999999997</v>
      </c>
      <c r="BB115" s="174" t="s">
        <v>1</v>
      </c>
      <c r="BM115" s="75">
        <f>IFERROR(X115*I115/H115,"0")</f>
        <v>98.399999999999991</v>
      </c>
      <c r="BN115" s="75">
        <f>IFERROR(Y115*I115/H115,"0")</f>
        <v>100.36799999999999</v>
      </c>
      <c r="BO115" s="75">
        <f>IFERROR(1/J115*(X115/H115),"0")</f>
        <v>0.18315018315018314</v>
      </c>
      <c r="BP115" s="75">
        <f>IFERROR(1/J115*(Y115/H115),"0")</f>
        <v>0.18681318681318682</v>
      </c>
    </row>
    <row r="116" spans="1:68" ht="16.5" customHeight="1" x14ac:dyDescent="0.25">
      <c r="A116" s="60" t="s">
        <v>218</v>
      </c>
      <c r="B116" s="60" t="s">
        <v>219</v>
      </c>
      <c r="C116" s="34">
        <v>4301051740</v>
      </c>
      <c r="D116" s="549">
        <v>4680115884533</v>
      </c>
      <c r="E116" s="550"/>
      <c r="F116" s="59">
        <v>0.3</v>
      </c>
      <c r="G116" s="35">
        <v>6</v>
      </c>
      <c r="H116" s="59">
        <v>1.8</v>
      </c>
      <c r="I116" s="59">
        <v>1.98</v>
      </c>
      <c r="J116" s="35">
        <v>182</v>
      </c>
      <c r="K116" s="35" t="s">
        <v>67</v>
      </c>
      <c r="L116" s="35" t="s">
        <v>92</v>
      </c>
      <c r="M116" s="36" t="s">
        <v>81</v>
      </c>
      <c r="N116" s="36"/>
      <c r="O116" s="35">
        <v>45</v>
      </c>
      <c r="P116" s="6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7"/>
      <c r="V116" s="37"/>
      <c r="W116" s="38" t="s">
        <v>70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/>
      <c r="AB116" s="66"/>
      <c r="AC116" s="175" t="s">
        <v>220</v>
      </c>
      <c r="AG116" s="75"/>
      <c r="AJ116" s="79" t="s">
        <v>94</v>
      </c>
      <c r="AK116" s="79">
        <v>25.2</v>
      </c>
      <c r="BB116" s="176" t="s">
        <v>1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3" t="s">
        <v>76</v>
      </c>
      <c r="Q117" s="564"/>
      <c r="R117" s="564"/>
      <c r="S117" s="564"/>
      <c r="T117" s="564"/>
      <c r="U117" s="564"/>
      <c r="V117" s="565"/>
      <c r="W117" s="40" t="s">
        <v>77</v>
      </c>
      <c r="X117" s="41">
        <f>IFERROR(X113/H113,"0")+IFERROR(X114/H114,"0")+IFERROR(X115/H115,"0")+IFERROR(X116/H116,"0")</f>
        <v>177.77777777777777</v>
      </c>
      <c r="Y117" s="41">
        <f>IFERROR(Y113/H113,"0")+IFERROR(Y114/H114,"0")+IFERROR(Y115/H115,"0")+IFERROR(Y116/H116,"0")</f>
        <v>179</v>
      </c>
      <c r="Z117" s="41">
        <f>IFERROR(IF(Z113="",0,Z113),"0")+IFERROR(IF(Z114="",0,Z114),"0")+IFERROR(IF(Z115="",0,Z115),"0")+IFERROR(IF(Z116="",0,Z116),"0")</f>
        <v>2.9734400000000001</v>
      </c>
      <c r="AA117" s="64"/>
      <c r="AB117" s="64"/>
      <c r="AC117" s="64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3" t="s">
        <v>76</v>
      </c>
      <c r="Q118" s="564"/>
      <c r="R118" s="564"/>
      <c r="S118" s="564"/>
      <c r="T118" s="564"/>
      <c r="U118" s="564"/>
      <c r="V118" s="565"/>
      <c r="W118" s="40" t="s">
        <v>70</v>
      </c>
      <c r="X118" s="41">
        <f>IFERROR(SUM(X113:X116),"0")</f>
        <v>1260</v>
      </c>
      <c r="Y118" s="41">
        <f>IFERROR(SUM(Y113:Y116),"0")</f>
        <v>1266.3</v>
      </c>
      <c r="Z118" s="40"/>
      <c r="AA118" s="64"/>
      <c r="AB118" s="64"/>
      <c r="AC118" s="64"/>
    </row>
    <row r="119" spans="1:68" ht="14.25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63"/>
      <c r="AB119" s="63"/>
      <c r="AC119" s="63"/>
    </row>
    <row r="120" spans="1:68" ht="16.5" customHeight="1" x14ac:dyDescent="0.25">
      <c r="A120" s="60" t="s">
        <v>221</v>
      </c>
      <c r="B120" s="60" t="s">
        <v>222</v>
      </c>
      <c r="C120" s="34">
        <v>4301060317</v>
      </c>
      <c r="D120" s="549">
        <v>4680115880238</v>
      </c>
      <c r="E120" s="550"/>
      <c r="F120" s="59">
        <v>0.33</v>
      </c>
      <c r="G120" s="35">
        <v>6</v>
      </c>
      <c r="H120" s="59">
        <v>1.98</v>
      </c>
      <c r="I120" s="59">
        <v>2.238</v>
      </c>
      <c r="J120" s="35">
        <v>182</v>
      </c>
      <c r="K120" s="35" t="s">
        <v>67</v>
      </c>
      <c r="L120" s="35" t="s">
        <v>92</v>
      </c>
      <c r="M120" s="36" t="s">
        <v>81</v>
      </c>
      <c r="N120" s="36"/>
      <c r="O120" s="35">
        <v>40</v>
      </c>
      <c r="P120" s="6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7"/>
      <c r="V120" s="37"/>
      <c r="W120" s="38" t="s">
        <v>70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/>
      <c r="AB120" s="66"/>
      <c r="AC120" s="177" t="s">
        <v>223</v>
      </c>
      <c r="AG120" s="75"/>
      <c r="AJ120" s="79" t="s">
        <v>94</v>
      </c>
      <c r="AK120" s="79">
        <v>27.72</v>
      </c>
      <c r="BB120" s="178" t="s">
        <v>1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3" t="s">
        <v>76</v>
      </c>
      <c r="Q121" s="564"/>
      <c r="R121" s="564"/>
      <c r="S121" s="564"/>
      <c r="T121" s="564"/>
      <c r="U121" s="564"/>
      <c r="V121" s="565"/>
      <c r="W121" s="40" t="s">
        <v>77</v>
      </c>
      <c r="X121" s="41">
        <f>IFERROR(X120/H120,"0")</f>
        <v>0</v>
      </c>
      <c r="Y121" s="41">
        <f>IFERROR(Y120/H120,"0")</f>
        <v>0</v>
      </c>
      <c r="Z121" s="41">
        <f>IFERROR(IF(Z120="",0,Z120),"0")</f>
        <v>0</v>
      </c>
      <c r="AA121" s="64"/>
      <c r="AB121" s="64"/>
      <c r="AC121" s="64"/>
    </row>
    <row r="122" spans="1:68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3" t="s">
        <v>76</v>
      </c>
      <c r="Q122" s="564"/>
      <c r="R122" s="564"/>
      <c r="S122" s="564"/>
      <c r="T122" s="564"/>
      <c r="U122" s="564"/>
      <c r="V122" s="565"/>
      <c r="W122" s="40" t="s">
        <v>70</v>
      </c>
      <c r="X122" s="41">
        <f>IFERROR(SUM(X120:X120),"0")</f>
        <v>0</v>
      </c>
      <c r="Y122" s="41">
        <f>IFERROR(SUM(Y120:Y120),"0")</f>
        <v>0</v>
      </c>
      <c r="Z122" s="40"/>
      <c r="AA122" s="64"/>
      <c r="AB122" s="64"/>
      <c r="AC122" s="64"/>
    </row>
    <row r="123" spans="1:68" ht="16.5" customHeight="1" x14ac:dyDescent="0.25">
      <c r="A123" s="560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62"/>
      <c r="AB123" s="62"/>
      <c r="AC123" s="62"/>
    </row>
    <row r="124" spans="1:68" ht="14.25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63"/>
      <c r="AB124" s="63"/>
      <c r="AC124" s="63"/>
    </row>
    <row r="125" spans="1:68" ht="27" customHeight="1" x14ac:dyDescent="0.25">
      <c r="A125" s="60" t="s">
        <v>225</v>
      </c>
      <c r="B125" s="60" t="s">
        <v>226</v>
      </c>
      <c r="C125" s="34">
        <v>4301011562</v>
      </c>
      <c r="D125" s="549">
        <v>4680115882577</v>
      </c>
      <c r="E125" s="550"/>
      <c r="F125" s="59">
        <v>0.4</v>
      </c>
      <c r="G125" s="35">
        <v>8</v>
      </c>
      <c r="H125" s="59">
        <v>3.2</v>
      </c>
      <c r="I125" s="59">
        <v>3.38</v>
      </c>
      <c r="J125" s="35">
        <v>182</v>
      </c>
      <c r="K125" s="35" t="s">
        <v>67</v>
      </c>
      <c r="L125" s="35" t="s">
        <v>92</v>
      </c>
      <c r="M125" s="36" t="s">
        <v>100</v>
      </c>
      <c r="N125" s="36"/>
      <c r="O125" s="35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7"/>
      <c r="V125" s="37"/>
      <c r="W125" s="38" t="s">
        <v>70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/>
      <c r="AB125" s="66"/>
      <c r="AC125" s="179" t="s">
        <v>227</v>
      </c>
      <c r="AG125" s="75"/>
      <c r="AJ125" s="79" t="s">
        <v>94</v>
      </c>
      <c r="AK125" s="79">
        <v>44.8</v>
      </c>
      <c r="BB125" s="180" t="s">
        <v>1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225</v>
      </c>
      <c r="B126" s="60" t="s">
        <v>228</v>
      </c>
      <c r="C126" s="34">
        <v>4301011564</v>
      </c>
      <c r="D126" s="549">
        <v>4680115882577</v>
      </c>
      <c r="E126" s="550"/>
      <c r="F126" s="59">
        <v>0.4</v>
      </c>
      <c r="G126" s="35">
        <v>8</v>
      </c>
      <c r="H126" s="59">
        <v>3.2</v>
      </c>
      <c r="I126" s="59">
        <v>3.38</v>
      </c>
      <c r="J126" s="35">
        <v>182</v>
      </c>
      <c r="K126" s="35" t="s">
        <v>67</v>
      </c>
      <c r="L126" s="35" t="s">
        <v>92</v>
      </c>
      <c r="M126" s="36" t="s">
        <v>100</v>
      </c>
      <c r="N126" s="36"/>
      <c r="O126" s="35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7"/>
      <c r="V126" s="37"/>
      <c r="W126" s="38" t="s">
        <v>70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/>
      <c r="AB126" s="66"/>
      <c r="AC126" s="181" t="s">
        <v>227</v>
      </c>
      <c r="AG126" s="75"/>
      <c r="AJ126" s="79" t="s">
        <v>94</v>
      </c>
      <c r="AK126" s="79">
        <v>44.8</v>
      </c>
      <c r="BB126" s="182" t="s">
        <v>1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3" t="s">
        <v>76</v>
      </c>
      <c r="Q127" s="564"/>
      <c r="R127" s="564"/>
      <c r="S127" s="564"/>
      <c r="T127" s="564"/>
      <c r="U127" s="564"/>
      <c r="V127" s="565"/>
      <c r="W127" s="40" t="s">
        <v>77</v>
      </c>
      <c r="X127" s="41">
        <f>IFERROR(X125/H125,"0")+IFERROR(X126/H126,"0")</f>
        <v>0</v>
      </c>
      <c r="Y127" s="41">
        <f>IFERROR(Y125/H125,"0")+IFERROR(Y126/H126,"0")</f>
        <v>0</v>
      </c>
      <c r="Z127" s="41">
        <f>IFERROR(IF(Z125="",0,Z125),"0")+IFERROR(IF(Z126="",0,Z126),"0")</f>
        <v>0</v>
      </c>
      <c r="AA127" s="64"/>
      <c r="AB127" s="64"/>
      <c r="AC127" s="64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3" t="s">
        <v>76</v>
      </c>
      <c r="Q128" s="564"/>
      <c r="R128" s="564"/>
      <c r="S128" s="564"/>
      <c r="T128" s="564"/>
      <c r="U128" s="564"/>
      <c r="V128" s="565"/>
      <c r="W128" s="40" t="s">
        <v>70</v>
      </c>
      <c r="X128" s="41">
        <f>IFERROR(SUM(X125:X126),"0")</f>
        <v>0</v>
      </c>
      <c r="Y128" s="41">
        <f>IFERROR(SUM(Y125:Y126),"0")</f>
        <v>0</v>
      </c>
      <c r="Z128" s="40"/>
      <c r="AA128" s="64"/>
      <c r="AB128" s="64"/>
      <c r="AC128" s="64"/>
    </row>
    <row r="129" spans="1:68" ht="14.25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63"/>
      <c r="AB129" s="63"/>
      <c r="AC129" s="63"/>
    </row>
    <row r="130" spans="1:68" ht="27" customHeight="1" x14ac:dyDescent="0.25">
      <c r="A130" s="60" t="s">
        <v>229</v>
      </c>
      <c r="B130" s="60" t="s">
        <v>230</v>
      </c>
      <c r="C130" s="34">
        <v>4301031235</v>
      </c>
      <c r="D130" s="549">
        <v>4680115883444</v>
      </c>
      <c r="E130" s="550"/>
      <c r="F130" s="59">
        <v>0.35</v>
      </c>
      <c r="G130" s="35">
        <v>8</v>
      </c>
      <c r="H130" s="59">
        <v>2.8</v>
      </c>
      <c r="I130" s="59">
        <v>3.0680000000000001</v>
      </c>
      <c r="J130" s="35">
        <v>182</v>
      </c>
      <c r="K130" s="35" t="s">
        <v>67</v>
      </c>
      <c r="L130" s="35" t="s">
        <v>92</v>
      </c>
      <c r="M130" s="36" t="s">
        <v>100</v>
      </c>
      <c r="N130" s="36"/>
      <c r="O130" s="35">
        <v>90</v>
      </c>
      <c r="P130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7"/>
      <c r="V130" s="37"/>
      <c r="W130" s="38" t="s">
        <v>70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/>
      <c r="AB130" s="66"/>
      <c r="AC130" s="183" t="s">
        <v>231</v>
      </c>
      <c r="AG130" s="75"/>
      <c r="AJ130" s="79" t="s">
        <v>94</v>
      </c>
      <c r="AK130" s="79">
        <v>39.200000000000003</v>
      </c>
      <c r="BB130" s="184" t="s">
        <v>1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customHeight="1" x14ac:dyDescent="0.25">
      <c r="A131" s="60" t="s">
        <v>229</v>
      </c>
      <c r="B131" s="60" t="s">
        <v>232</v>
      </c>
      <c r="C131" s="34">
        <v>4301031234</v>
      </c>
      <c r="D131" s="549">
        <v>4680115883444</v>
      </c>
      <c r="E131" s="550"/>
      <c r="F131" s="59">
        <v>0.35</v>
      </c>
      <c r="G131" s="35">
        <v>8</v>
      </c>
      <c r="H131" s="59">
        <v>2.8</v>
      </c>
      <c r="I131" s="59">
        <v>3.0680000000000001</v>
      </c>
      <c r="J131" s="35">
        <v>182</v>
      </c>
      <c r="K131" s="35" t="s">
        <v>67</v>
      </c>
      <c r="L131" s="35" t="s">
        <v>92</v>
      </c>
      <c r="M131" s="36" t="s">
        <v>100</v>
      </c>
      <c r="N131" s="36"/>
      <c r="O131" s="35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7"/>
      <c r="V131" s="37"/>
      <c r="W131" s="38" t="s">
        <v>70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/>
      <c r="AB131" s="66"/>
      <c r="AC131" s="185" t="s">
        <v>231</v>
      </c>
      <c r="AG131" s="75"/>
      <c r="AJ131" s="79" t="s">
        <v>94</v>
      </c>
      <c r="AK131" s="79">
        <v>39.200000000000003</v>
      </c>
      <c r="BB131" s="186" t="s">
        <v>1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3" t="s">
        <v>76</v>
      </c>
      <c r="Q132" s="564"/>
      <c r="R132" s="564"/>
      <c r="S132" s="564"/>
      <c r="T132" s="564"/>
      <c r="U132" s="564"/>
      <c r="V132" s="565"/>
      <c r="W132" s="40" t="s">
        <v>77</v>
      </c>
      <c r="X132" s="41">
        <f>IFERROR(X130/H130,"0")+IFERROR(X131/H131,"0")</f>
        <v>0</v>
      </c>
      <c r="Y132" s="41">
        <f>IFERROR(Y130/H130,"0")+IFERROR(Y131/H131,"0")</f>
        <v>0</v>
      </c>
      <c r="Z132" s="41">
        <f>IFERROR(IF(Z130="",0,Z130),"0")+IFERROR(IF(Z131="",0,Z131),"0")</f>
        <v>0</v>
      </c>
      <c r="AA132" s="64"/>
      <c r="AB132" s="64"/>
      <c r="AC132" s="64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3" t="s">
        <v>76</v>
      </c>
      <c r="Q133" s="564"/>
      <c r="R133" s="564"/>
      <c r="S133" s="564"/>
      <c r="T133" s="564"/>
      <c r="U133" s="564"/>
      <c r="V133" s="565"/>
      <c r="W133" s="40" t="s">
        <v>70</v>
      </c>
      <c r="X133" s="41">
        <f>IFERROR(SUM(X130:X131),"0")</f>
        <v>0</v>
      </c>
      <c r="Y133" s="41">
        <f>IFERROR(SUM(Y130:Y131),"0")</f>
        <v>0</v>
      </c>
      <c r="Z133" s="40"/>
      <c r="AA133" s="64"/>
      <c r="AB133" s="64"/>
      <c r="AC133" s="64"/>
    </row>
    <row r="134" spans="1:68" ht="14.25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63"/>
      <c r="AB134" s="63"/>
      <c r="AC134" s="63"/>
    </row>
    <row r="135" spans="1:68" ht="16.5" customHeight="1" x14ac:dyDescent="0.25">
      <c r="A135" s="60" t="s">
        <v>233</v>
      </c>
      <c r="B135" s="60" t="s">
        <v>234</v>
      </c>
      <c r="C135" s="34">
        <v>4301051477</v>
      </c>
      <c r="D135" s="549">
        <v>4680115882584</v>
      </c>
      <c r="E135" s="550"/>
      <c r="F135" s="59">
        <v>0.33</v>
      </c>
      <c r="G135" s="35">
        <v>8</v>
      </c>
      <c r="H135" s="59">
        <v>2.64</v>
      </c>
      <c r="I135" s="59">
        <v>2.9079999999999999</v>
      </c>
      <c r="J135" s="35">
        <v>182</v>
      </c>
      <c r="K135" s="35" t="s">
        <v>67</v>
      </c>
      <c r="L135" s="35"/>
      <c r="M135" s="36" t="s">
        <v>100</v>
      </c>
      <c r="N135" s="36"/>
      <c r="O135" s="35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7"/>
      <c r="V135" s="37"/>
      <c r="W135" s="38" t="s">
        <v>70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/>
      <c r="AB135" s="66"/>
      <c r="AC135" s="187" t="s">
        <v>227</v>
      </c>
      <c r="AG135" s="75"/>
      <c r="AJ135" s="79"/>
      <c r="AK135" s="79">
        <v>0</v>
      </c>
      <c r="BB135" s="188" t="s">
        <v>1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16.5" customHeight="1" x14ac:dyDescent="0.25">
      <c r="A136" s="60" t="s">
        <v>233</v>
      </c>
      <c r="B136" s="60" t="s">
        <v>235</v>
      </c>
      <c r="C136" s="34">
        <v>4301051476</v>
      </c>
      <c r="D136" s="549">
        <v>4680115882584</v>
      </c>
      <c r="E136" s="550"/>
      <c r="F136" s="59">
        <v>0.33</v>
      </c>
      <c r="G136" s="35">
        <v>8</v>
      </c>
      <c r="H136" s="59">
        <v>2.64</v>
      </c>
      <c r="I136" s="59">
        <v>2.9079999999999999</v>
      </c>
      <c r="J136" s="35">
        <v>182</v>
      </c>
      <c r="K136" s="35" t="s">
        <v>67</v>
      </c>
      <c r="L136" s="35" t="s">
        <v>92</v>
      </c>
      <c r="M136" s="36" t="s">
        <v>100</v>
      </c>
      <c r="N136" s="36"/>
      <c r="O136" s="35">
        <v>60</v>
      </c>
      <c r="P136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7"/>
      <c r="V136" s="37"/>
      <c r="W136" s="38" t="s">
        <v>70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/>
      <c r="AB136" s="66"/>
      <c r="AC136" s="189" t="s">
        <v>227</v>
      </c>
      <c r="AG136" s="75"/>
      <c r="AJ136" s="79" t="s">
        <v>94</v>
      </c>
      <c r="AK136" s="79">
        <v>36.96</v>
      </c>
      <c r="BB136" s="190" t="s">
        <v>1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3" t="s">
        <v>76</v>
      </c>
      <c r="Q137" s="564"/>
      <c r="R137" s="564"/>
      <c r="S137" s="564"/>
      <c r="T137" s="564"/>
      <c r="U137" s="564"/>
      <c r="V137" s="565"/>
      <c r="W137" s="40" t="s">
        <v>77</v>
      </c>
      <c r="X137" s="41">
        <f>IFERROR(X135/H135,"0")+IFERROR(X136/H136,"0")</f>
        <v>0</v>
      </c>
      <c r="Y137" s="41">
        <f>IFERROR(Y135/H135,"0")+IFERROR(Y136/H136,"0")</f>
        <v>0</v>
      </c>
      <c r="Z137" s="41">
        <f>IFERROR(IF(Z135="",0,Z135),"0")+IFERROR(IF(Z136="",0,Z136),"0")</f>
        <v>0</v>
      </c>
      <c r="AA137" s="64"/>
      <c r="AB137" s="64"/>
      <c r="AC137" s="64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3" t="s">
        <v>76</v>
      </c>
      <c r="Q138" s="564"/>
      <c r="R138" s="564"/>
      <c r="S138" s="564"/>
      <c r="T138" s="564"/>
      <c r="U138" s="564"/>
      <c r="V138" s="565"/>
      <c r="W138" s="40" t="s">
        <v>70</v>
      </c>
      <c r="X138" s="41">
        <f>IFERROR(SUM(X135:X136),"0")</f>
        <v>0</v>
      </c>
      <c r="Y138" s="41">
        <f>IFERROR(SUM(Y135:Y136),"0")</f>
        <v>0</v>
      </c>
      <c r="Z138" s="40"/>
      <c r="AA138" s="64"/>
      <c r="AB138" s="64"/>
      <c r="AC138" s="64"/>
    </row>
    <row r="139" spans="1:68" ht="16.5" customHeight="1" x14ac:dyDescent="0.25">
      <c r="A139" s="560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62"/>
      <c r="AB139" s="62"/>
      <c r="AC139" s="62"/>
    </row>
    <row r="140" spans="1:68" ht="14.25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63"/>
      <c r="AB140" s="63"/>
      <c r="AC140" s="63"/>
    </row>
    <row r="141" spans="1:68" ht="27" customHeight="1" x14ac:dyDescent="0.25">
      <c r="A141" s="60" t="s">
        <v>236</v>
      </c>
      <c r="B141" s="60" t="s">
        <v>237</v>
      </c>
      <c r="C141" s="34">
        <v>4301012244</v>
      </c>
      <c r="D141" s="549">
        <v>4680115887374</v>
      </c>
      <c r="E141" s="550"/>
      <c r="F141" s="59">
        <v>1.6</v>
      </c>
      <c r="G141" s="35">
        <v>8</v>
      </c>
      <c r="H141" s="59">
        <v>12.8</v>
      </c>
      <c r="I141" s="59">
        <v>13.21</v>
      </c>
      <c r="J141" s="35">
        <v>64</v>
      </c>
      <c r="K141" s="35" t="s">
        <v>108</v>
      </c>
      <c r="L141" s="35"/>
      <c r="M141" s="36" t="s">
        <v>110</v>
      </c>
      <c r="N141" s="36"/>
      <c r="O141" s="35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7"/>
      <c r="V141" s="37"/>
      <c r="W141" s="38" t="s">
        <v>70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IFERROR(IF(Y141=0,"",ROUNDUP(Y141/H141,0)*0.01898),"")</f>
        <v/>
      </c>
      <c r="AA141" s="65"/>
      <c r="AB141" s="66"/>
      <c r="AC141" s="191" t="s">
        <v>238</v>
      </c>
      <c r="AG141" s="75"/>
      <c r="AJ141" s="79"/>
      <c r="AK141" s="79">
        <v>0</v>
      </c>
      <c r="BB141" s="192" t="s">
        <v>1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239</v>
      </c>
      <c r="B142" s="60" t="s">
        <v>240</v>
      </c>
      <c r="C142" s="34">
        <v>4301011705</v>
      </c>
      <c r="D142" s="549">
        <v>4607091384604</v>
      </c>
      <c r="E142" s="550"/>
      <c r="F142" s="59">
        <v>0.4</v>
      </c>
      <c r="G142" s="35">
        <v>10</v>
      </c>
      <c r="H142" s="59">
        <v>4</v>
      </c>
      <c r="I142" s="59">
        <v>4.1900000000000004</v>
      </c>
      <c r="J142" s="35">
        <v>132</v>
      </c>
      <c r="K142" s="35" t="s">
        <v>114</v>
      </c>
      <c r="L142" s="35" t="s">
        <v>115</v>
      </c>
      <c r="M142" s="36" t="s">
        <v>110</v>
      </c>
      <c r="N142" s="36"/>
      <c r="O142" s="35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7"/>
      <c r="V142" s="37"/>
      <c r="W142" s="38" t="s">
        <v>70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IFERROR(IF(Y142=0,"",ROUNDUP(Y142/H142,0)*0.00902),"")</f>
        <v/>
      </c>
      <c r="AA142" s="65"/>
      <c r="AB142" s="66"/>
      <c r="AC142" s="193" t="s">
        <v>241</v>
      </c>
      <c r="AG142" s="75"/>
      <c r="AJ142" s="79" t="s">
        <v>94</v>
      </c>
      <c r="AK142" s="79">
        <v>48</v>
      </c>
      <c r="BB142" s="194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3" t="s">
        <v>76</v>
      </c>
      <c r="Q143" s="564"/>
      <c r="R143" s="564"/>
      <c r="S143" s="564"/>
      <c r="T143" s="564"/>
      <c r="U143" s="564"/>
      <c r="V143" s="565"/>
      <c r="W143" s="40" t="s">
        <v>77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3" t="s">
        <v>76</v>
      </c>
      <c r="Q144" s="564"/>
      <c r="R144" s="564"/>
      <c r="S144" s="564"/>
      <c r="T144" s="564"/>
      <c r="U144" s="564"/>
      <c r="V144" s="565"/>
      <c r="W144" s="40" t="s">
        <v>70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63"/>
      <c r="AB145" s="63"/>
      <c r="AC145" s="63"/>
    </row>
    <row r="146" spans="1:68" ht="16.5" customHeight="1" x14ac:dyDescent="0.25">
      <c r="A146" s="60" t="s">
        <v>242</v>
      </c>
      <c r="B146" s="60" t="s">
        <v>243</v>
      </c>
      <c r="C146" s="34">
        <v>4301030895</v>
      </c>
      <c r="D146" s="549">
        <v>4607091387667</v>
      </c>
      <c r="E146" s="550"/>
      <c r="F146" s="59">
        <v>0.9</v>
      </c>
      <c r="G146" s="35">
        <v>10</v>
      </c>
      <c r="H146" s="59">
        <v>9</v>
      </c>
      <c r="I146" s="59">
        <v>9.56</v>
      </c>
      <c r="J146" s="35">
        <v>64</v>
      </c>
      <c r="K146" s="35" t="s">
        <v>108</v>
      </c>
      <c r="L146" s="35" t="s">
        <v>109</v>
      </c>
      <c r="M146" s="36" t="s">
        <v>110</v>
      </c>
      <c r="N146" s="36"/>
      <c r="O146" s="35">
        <v>40</v>
      </c>
      <c r="P146" s="84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7"/>
      <c r="V146" s="37"/>
      <c r="W146" s="38" t="s">
        <v>70</v>
      </c>
      <c r="X146" s="56">
        <v>70</v>
      </c>
      <c r="Y146" s="53">
        <f>IFERROR(IF(X146="",0,CEILING((X146/$H146),1)*$H146),"")</f>
        <v>72</v>
      </c>
      <c r="Z146" s="39">
        <f>IFERROR(IF(Y146=0,"",ROUNDUP(Y146/H146,0)*0.01898),"")</f>
        <v>0.15184</v>
      </c>
      <c r="AA146" s="65"/>
      <c r="AB146" s="66"/>
      <c r="AC146" s="195" t="s">
        <v>244</v>
      </c>
      <c r="AG146" s="75"/>
      <c r="AJ146" s="79" t="s">
        <v>94</v>
      </c>
      <c r="AK146" s="79">
        <v>72</v>
      </c>
      <c r="BB146" s="196" t="s">
        <v>1</v>
      </c>
      <c r="BM146" s="75">
        <f>IFERROR(X146*I146/H146,"0")</f>
        <v>74.355555555555554</v>
      </c>
      <c r="BN146" s="75">
        <f>IFERROR(Y146*I146/H146,"0")</f>
        <v>76.48</v>
      </c>
      <c r="BO146" s="75">
        <f>IFERROR(1/J146*(X146/H146),"0")</f>
        <v>0.12152777777777778</v>
      </c>
      <c r="BP146" s="75">
        <f>IFERROR(1/J146*(Y146/H146),"0")</f>
        <v>0.125</v>
      </c>
    </row>
    <row r="147" spans="1:68" ht="16.5" customHeight="1" x14ac:dyDescent="0.25">
      <c r="A147" s="60" t="s">
        <v>245</v>
      </c>
      <c r="B147" s="60" t="s">
        <v>246</v>
      </c>
      <c r="C147" s="34">
        <v>4301030961</v>
      </c>
      <c r="D147" s="549">
        <v>4607091387636</v>
      </c>
      <c r="E147" s="550"/>
      <c r="F147" s="59">
        <v>0.7</v>
      </c>
      <c r="G147" s="35">
        <v>6</v>
      </c>
      <c r="H147" s="59">
        <v>4.2</v>
      </c>
      <c r="I147" s="59">
        <v>4.47</v>
      </c>
      <c r="J147" s="35">
        <v>182</v>
      </c>
      <c r="K147" s="35" t="s">
        <v>67</v>
      </c>
      <c r="L147" s="35"/>
      <c r="M147" s="36" t="s">
        <v>68</v>
      </c>
      <c r="N147" s="36"/>
      <c r="O147" s="35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7"/>
      <c r="V147" s="37"/>
      <c r="W147" s="38" t="s">
        <v>70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/>
      <c r="AB147" s="66"/>
      <c r="AC147" s="197" t="s">
        <v>247</v>
      </c>
      <c r="AG147" s="75"/>
      <c r="AJ147" s="79"/>
      <c r="AK147" s="79">
        <v>0</v>
      </c>
      <c r="BB147" s="198" t="s">
        <v>1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27" customHeight="1" x14ac:dyDescent="0.25">
      <c r="A148" s="60" t="s">
        <v>248</v>
      </c>
      <c r="B148" s="60" t="s">
        <v>249</v>
      </c>
      <c r="C148" s="34">
        <v>4301030963</v>
      </c>
      <c r="D148" s="549">
        <v>4607091382426</v>
      </c>
      <c r="E148" s="550"/>
      <c r="F148" s="59">
        <v>0.9</v>
      </c>
      <c r="G148" s="35">
        <v>10</v>
      </c>
      <c r="H148" s="59">
        <v>9</v>
      </c>
      <c r="I148" s="59">
        <v>9.56</v>
      </c>
      <c r="J148" s="35">
        <v>64</v>
      </c>
      <c r="K148" s="35" t="s">
        <v>108</v>
      </c>
      <c r="L148" s="35" t="s">
        <v>109</v>
      </c>
      <c r="M148" s="36" t="s">
        <v>68</v>
      </c>
      <c r="N148" s="36"/>
      <c r="O148" s="35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7"/>
      <c r="V148" s="37"/>
      <c r="W148" s="38" t="s">
        <v>70</v>
      </c>
      <c r="X148" s="56">
        <v>70</v>
      </c>
      <c r="Y148" s="53">
        <f>IFERROR(IF(X148="",0,CEILING((X148/$H148),1)*$H148),"")</f>
        <v>72</v>
      </c>
      <c r="Z148" s="39">
        <f>IFERROR(IF(Y148=0,"",ROUNDUP(Y148/H148,0)*0.01898),"")</f>
        <v>0.15184</v>
      </c>
      <c r="AA148" s="65"/>
      <c r="AB148" s="66"/>
      <c r="AC148" s="199" t="s">
        <v>250</v>
      </c>
      <c r="AG148" s="75"/>
      <c r="AJ148" s="79" t="s">
        <v>94</v>
      </c>
      <c r="AK148" s="79">
        <v>72</v>
      </c>
      <c r="BB148" s="200" t="s">
        <v>1</v>
      </c>
      <c r="BM148" s="75">
        <f>IFERROR(X148*I148/H148,"0")</f>
        <v>74.355555555555554</v>
      </c>
      <c r="BN148" s="75">
        <f>IFERROR(Y148*I148/H148,"0")</f>
        <v>76.48</v>
      </c>
      <c r="BO148" s="75">
        <f>IFERROR(1/J148*(X148/H148),"0")</f>
        <v>0.12152777777777778</v>
      </c>
      <c r="BP148" s="75">
        <f>IFERROR(1/J148*(Y148/H148),"0")</f>
        <v>0.125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3" t="s">
        <v>76</v>
      </c>
      <c r="Q149" s="564"/>
      <c r="R149" s="564"/>
      <c r="S149" s="564"/>
      <c r="T149" s="564"/>
      <c r="U149" s="564"/>
      <c r="V149" s="565"/>
      <c r="W149" s="40" t="s">
        <v>77</v>
      </c>
      <c r="X149" s="41">
        <f>IFERROR(X146/H146,"0")+IFERROR(X147/H147,"0")+IFERROR(X148/H148,"0")</f>
        <v>15.555555555555555</v>
      </c>
      <c r="Y149" s="41">
        <f>IFERROR(Y146/H146,"0")+IFERROR(Y147/H147,"0")+IFERROR(Y148/H148,"0")</f>
        <v>16</v>
      </c>
      <c r="Z149" s="41">
        <f>IFERROR(IF(Z146="",0,Z146),"0")+IFERROR(IF(Z147="",0,Z147),"0")+IFERROR(IF(Z148="",0,Z148),"0")</f>
        <v>0.30368000000000001</v>
      </c>
      <c r="AA149" s="64"/>
      <c r="AB149" s="64"/>
      <c r="AC149" s="64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3" t="s">
        <v>76</v>
      </c>
      <c r="Q150" s="564"/>
      <c r="R150" s="564"/>
      <c r="S150" s="564"/>
      <c r="T150" s="564"/>
      <c r="U150" s="564"/>
      <c r="V150" s="565"/>
      <c r="W150" s="40" t="s">
        <v>70</v>
      </c>
      <c r="X150" s="41">
        <f>IFERROR(SUM(X146:X148),"0")</f>
        <v>140</v>
      </c>
      <c r="Y150" s="41">
        <f>IFERROR(SUM(Y146:Y148),"0")</f>
        <v>144</v>
      </c>
      <c r="Z150" s="40"/>
      <c r="AA150" s="64"/>
      <c r="AB150" s="64"/>
      <c r="AC150" s="64"/>
    </row>
    <row r="151" spans="1:68" ht="14.25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63"/>
      <c r="AB151" s="63"/>
      <c r="AC151" s="63"/>
    </row>
    <row r="152" spans="1:68" ht="27" customHeight="1" x14ac:dyDescent="0.25">
      <c r="A152" s="60" t="s">
        <v>251</v>
      </c>
      <c r="B152" s="60" t="s">
        <v>252</v>
      </c>
      <c r="C152" s="34">
        <v>4301052064</v>
      </c>
      <c r="D152" s="549">
        <v>4680115887459</v>
      </c>
      <c r="E152" s="550"/>
      <c r="F152" s="59">
        <v>0.3</v>
      </c>
      <c r="G152" s="35">
        <v>6</v>
      </c>
      <c r="H152" s="59">
        <v>1.8</v>
      </c>
      <c r="I152" s="59">
        <v>2.0579999999999998</v>
      </c>
      <c r="J152" s="35">
        <v>182</v>
      </c>
      <c r="K152" s="35" t="s">
        <v>67</v>
      </c>
      <c r="L152" s="35"/>
      <c r="M152" s="36" t="s">
        <v>81</v>
      </c>
      <c r="N152" s="36"/>
      <c r="O152" s="35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7"/>
      <c r="V152" s="37"/>
      <c r="W152" s="38" t="s">
        <v>70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/>
      <c r="AB152" s="66"/>
      <c r="AC152" s="201" t="s">
        <v>253</v>
      </c>
      <c r="AG152" s="75"/>
      <c r="AJ152" s="79"/>
      <c r="AK152" s="79">
        <v>0</v>
      </c>
      <c r="BB152" s="202" t="s">
        <v>1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3" t="s">
        <v>76</v>
      </c>
      <c r="Q153" s="564"/>
      <c r="R153" s="564"/>
      <c r="S153" s="564"/>
      <c r="T153" s="564"/>
      <c r="U153" s="564"/>
      <c r="V153" s="565"/>
      <c r="W153" s="40" t="s">
        <v>77</v>
      </c>
      <c r="X153" s="41">
        <f>IFERROR(X152/H152,"0")</f>
        <v>0</v>
      </c>
      <c r="Y153" s="41">
        <f>IFERROR(Y152/H152,"0")</f>
        <v>0</v>
      </c>
      <c r="Z153" s="41">
        <f>IFERROR(IF(Z152="",0,Z152),"0")</f>
        <v>0</v>
      </c>
      <c r="AA153" s="64"/>
      <c r="AB153" s="64"/>
      <c r="AC153" s="64"/>
    </row>
    <row r="154" spans="1:68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3" t="s">
        <v>76</v>
      </c>
      <c r="Q154" s="564"/>
      <c r="R154" s="564"/>
      <c r="S154" s="564"/>
      <c r="T154" s="564"/>
      <c r="U154" s="564"/>
      <c r="V154" s="565"/>
      <c r="W154" s="40" t="s">
        <v>70</v>
      </c>
      <c r="X154" s="41">
        <f>IFERROR(SUM(X152:X152),"0")</f>
        <v>0</v>
      </c>
      <c r="Y154" s="41">
        <f>IFERROR(SUM(Y152:Y152),"0")</f>
        <v>0</v>
      </c>
      <c r="Z154" s="40"/>
      <c r="AA154" s="64"/>
      <c r="AB154" s="64"/>
      <c r="AC154" s="64"/>
    </row>
    <row r="155" spans="1:68" ht="27.75" customHeight="1" x14ac:dyDescent="0.2">
      <c r="A155" s="567" t="s">
        <v>254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52"/>
      <c r="AB155" s="52"/>
      <c r="AC155" s="52"/>
    </row>
    <row r="156" spans="1:68" ht="16.5" customHeight="1" x14ac:dyDescent="0.25">
      <c r="A156" s="560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62"/>
      <c r="AB156" s="62"/>
      <c r="AC156" s="62"/>
    </row>
    <row r="157" spans="1:68" ht="14.25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63"/>
      <c r="AB157" s="63"/>
      <c r="AC157" s="63"/>
    </row>
    <row r="158" spans="1:68" ht="27" customHeight="1" x14ac:dyDescent="0.25">
      <c r="A158" s="60" t="s">
        <v>256</v>
      </c>
      <c r="B158" s="60" t="s">
        <v>257</v>
      </c>
      <c r="C158" s="34">
        <v>4301020323</v>
      </c>
      <c r="D158" s="549">
        <v>4680115886223</v>
      </c>
      <c r="E158" s="550"/>
      <c r="F158" s="59">
        <v>0.33</v>
      </c>
      <c r="G158" s="35">
        <v>6</v>
      </c>
      <c r="H158" s="59">
        <v>1.98</v>
      </c>
      <c r="I158" s="59">
        <v>2.08</v>
      </c>
      <c r="J158" s="35">
        <v>234</v>
      </c>
      <c r="K158" s="35" t="s">
        <v>74</v>
      </c>
      <c r="L158" s="35"/>
      <c r="M158" s="36" t="s">
        <v>68</v>
      </c>
      <c r="N158" s="36"/>
      <c r="O158" s="35">
        <v>40</v>
      </c>
      <c r="P158" s="6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7"/>
      <c r="V158" s="37"/>
      <c r="W158" s="38" t="s">
        <v>70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IFERROR(IF(Y158=0,"",ROUNDUP(Y158/H158,0)*0.00502),"")</f>
        <v/>
      </c>
      <c r="AA158" s="65"/>
      <c r="AB158" s="66"/>
      <c r="AC158" s="203" t="s">
        <v>258</v>
      </c>
      <c r="AG158" s="75"/>
      <c r="AJ158" s="79"/>
      <c r="AK158" s="79">
        <v>0</v>
      </c>
      <c r="BB158" s="204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3" t="s">
        <v>76</v>
      </c>
      <c r="Q159" s="564"/>
      <c r="R159" s="564"/>
      <c r="S159" s="564"/>
      <c r="T159" s="564"/>
      <c r="U159" s="564"/>
      <c r="V159" s="565"/>
      <c r="W159" s="40" t="s">
        <v>77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3" t="s">
        <v>76</v>
      </c>
      <c r="Q160" s="564"/>
      <c r="R160" s="564"/>
      <c r="S160" s="564"/>
      <c r="T160" s="564"/>
      <c r="U160" s="564"/>
      <c r="V160" s="565"/>
      <c r="W160" s="40" t="s">
        <v>70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4.25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63"/>
      <c r="AB161" s="63"/>
      <c r="AC161" s="63"/>
    </row>
    <row r="162" spans="1:68" ht="27" customHeight="1" x14ac:dyDescent="0.25">
      <c r="A162" s="60" t="s">
        <v>259</v>
      </c>
      <c r="B162" s="60" t="s">
        <v>260</v>
      </c>
      <c r="C162" s="34">
        <v>4301031191</v>
      </c>
      <c r="D162" s="549">
        <v>4680115880993</v>
      </c>
      <c r="E162" s="550"/>
      <c r="F162" s="59">
        <v>0.7</v>
      </c>
      <c r="G162" s="35">
        <v>6</v>
      </c>
      <c r="H162" s="59">
        <v>4.2</v>
      </c>
      <c r="I162" s="59">
        <v>4.45</v>
      </c>
      <c r="J162" s="35">
        <v>132</v>
      </c>
      <c r="K162" s="35" t="s">
        <v>114</v>
      </c>
      <c r="L162" s="35" t="s">
        <v>115</v>
      </c>
      <c r="M162" s="36" t="s">
        <v>68</v>
      </c>
      <c r="N162" s="36"/>
      <c r="O162" s="35">
        <v>40</v>
      </c>
      <c r="P162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7"/>
      <c r="V162" s="37"/>
      <c r="W162" s="38" t="s">
        <v>70</v>
      </c>
      <c r="X162" s="56">
        <v>300</v>
      </c>
      <c r="Y162" s="53">
        <f t="shared" ref="Y162:Y171" si="5">IFERROR(IF(X162="",0,CEILING((X162/$H162),1)*$H162),"")</f>
        <v>302.40000000000003</v>
      </c>
      <c r="Z162" s="39">
        <f>IFERROR(IF(Y162=0,"",ROUNDUP(Y162/H162,0)*0.00902),"")</f>
        <v>0.64944000000000002</v>
      </c>
      <c r="AA162" s="65"/>
      <c r="AB162" s="66"/>
      <c r="AC162" s="205" t="s">
        <v>261</v>
      </c>
      <c r="AG162" s="75"/>
      <c r="AJ162" s="79" t="s">
        <v>94</v>
      </c>
      <c r="AK162" s="79">
        <v>50.4</v>
      </c>
      <c r="BB162" s="206" t="s">
        <v>1</v>
      </c>
      <c r="BM162" s="75">
        <f t="shared" ref="BM162:BM171" si="6">IFERROR(X162*I162/H162,"0")</f>
        <v>317.85714285714283</v>
      </c>
      <c r="BN162" s="75">
        <f t="shared" ref="BN162:BN171" si="7">IFERROR(Y162*I162/H162,"0")</f>
        <v>320.40000000000003</v>
      </c>
      <c r="BO162" s="75">
        <f t="shared" ref="BO162:BO171" si="8">IFERROR(1/J162*(X162/H162),"0")</f>
        <v>0.54112554112554112</v>
      </c>
      <c r="BP162" s="75">
        <f t="shared" ref="BP162:BP171" si="9">IFERROR(1/J162*(Y162/H162),"0")</f>
        <v>0.54545454545454541</v>
      </c>
    </row>
    <row r="163" spans="1:68" ht="27" customHeight="1" x14ac:dyDescent="0.25">
      <c r="A163" s="60" t="s">
        <v>262</v>
      </c>
      <c r="B163" s="60" t="s">
        <v>263</v>
      </c>
      <c r="C163" s="34">
        <v>4301031204</v>
      </c>
      <c r="D163" s="549">
        <v>4680115881761</v>
      </c>
      <c r="E163" s="550"/>
      <c r="F163" s="59">
        <v>0.7</v>
      </c>
      <c r="G163" s="35">
        <v>6</v>
      </c>
      <c r="H163" s="59">
        <v>4.2</v>
      </c>
      <c r="I163" s="59">
        <v>4.45</v>
      </c>
      <c r="J163" s="35">
        <v>132</v>
      </c>
      <c r="K163" s="35" t="s">
        <v>114</v>
      </c>
      <c r="L163" s="35"/>
      <c r="M163" s="36" t="s">
        <v>68</v>
      </c>
      <c r="N163" s="36"/>
      <c r="O163" s="35">
        <v>40</v>
      </c>
      <c r="P163" s="7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7"/>
      <c r="V163" s="37"/>
      <c r="W163" s="38" t="s">
        <v>70</v>
      </c>
      <c r="X163" s="56">
        <v>0</v>
      </c>
      <c r="Y163" s="53">
        <f t="shared" si="5"/>
        <v>0</v>
      </c>
      <c r="Z163" s="39" t="str">
        <f>IFERROR(IF(Y163=0,"",ROUNDUP(Y163/H163,0)*0.00902),"")</f>
        <v/>
      </c>
      <c r="AA163" s="65"/>
      <c r="AB163" s="66"/>
      <c r="AC163" s="207" t="s">
        <v>264</v>
      </c>
      <c r="AG163" s="75"/>
      <c r="AJ163" s="79"/>
      <c r="AK163" s="79">
        <v>0</v>
      </c>
      <c r="BB163" s="208" t="s">
        <v>1</v>
      </c>
      <c r="BM163" s="75">
        <f t="shared" si="6"/>
        <v>0</v>
      </c>
      <c r="BN163" s="75">
        <f t="shared" si="7"/>
        <v>0</v>
      </c>
      <c r="BO163" s="75">
        <f t="shared" si="8"/>
        <v>0</v>
      </c>
      <c r="BP163" s="75">
        <f t="shared" si="9"/>
        <v>0</v>
      </c>
    </row>
    <row r="164" spans="1:68" ht="27" customHeight="1" x14ac:dyDescent="0.25">
      <c r="A164" s="60" t="s">
        <v>265</v>
      </c>
      <c r="B164" s="60" t="s">
        <v>266</v>
      </c>
      <c r="C164" s="34">
        <v>4301031201</v>
      </c>
      <c r="D164" s="549">
        <v>4680115881563</v>
      </c>
      <c r="E164" s="550"/>
      <c r="F164" s="59">
        <v>0.7</v>
      </c>
      <c r="G164" s="35">
        <v>6</v>
      </c>
      <c r="H164" s="59">
        <v>4.2</v>
      </c>
      <c r="I164" s="59">
        <v>4.3899999999999997</v>
      </c>
      <c r="J164" s="35">
        <v>132</v>
      </c>
      <c r="K164" s="35" t="s">
        <v>114</v>
      </c>
      <c r="L164" s="35" t="s">
        <v>115</v>
      </c>
      <c r="M164" s="36" t="s">
        <v>68</v>
      </c>
      <c r="N164" s="36"/>
      <c r="O164" s="35">
        <v>40</v>
      </c>
      <c r="P164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7"/>
      <c r="V164" s="37"/>
      <c r="W164" s="38" t="s">
        <v>70</v>
      </c>
      <c r="X164" s="56">
        <v>0</v>
      </c>
      <c r="Y164" s="53">
        <f t="shared" si="5"/>
        <v>0</v>
      </c>
      <c r="Z164" s="39" t="str">
        <f>IFERROR(IF(Y164=0,"",ROUNDUP(Y164/H164,0)*0.00902),"")</f>
        <v/>
      </c>
      <c r="AA164" s="65"/>
      <c r="AB164" s="66"/>
      <c r="AC164" s="209" t="s">
        <v>267</v>
      </c>
      <c r="AG164" s="75"/>
      <c r="AJ164" s="79" t="s">
        <v>94</v>
      </c>
      <c r="AK164" s="79">
        <v>50.4</v>
      </c>
      <c r="BB164" s="210" t="s">
        <v>1</v>
      </c>
      <c r="BM164" s="75">
        <f t="shared" si="6"/>
        <v>0</v>
      </c>
      <c r="BN164" s="75">
        <f t="shared" si="7"/>
        <v>0</v>
      </c>
      <c r="BO164" s="75">
        <f t="shared" si="8"/>
        <v>0</v>
      </c>
      <c r="BP164" s="75">
        <f t="shared" si="9"/>
        <v>0</v>
      </c>
    </row>
    <row r="165" spans="1:68" ht="27" customHeight="1" x14ac:dyDescent="0.25">
      <c r="A165" s="60" t="s">
        <v>268</v>
      </c>
      <c r="B165" s="60" t="s">
        <v>269</v>
      </c>
      <c r="C165" s="34">
        <v>4301031199</v>
      </c>
      <c r="D165" s="549">
        <v>4680115880986</v>
      </c>
      <c r="E165" s="550"/>
      <c r="F165" s="59">
        <v>0.35</v>
      </c>
      <c r="G165" s="35">
        <v>6</v>
      </c>
      <c r="H165" s="59">
        <v>2.1</v>
      </c>
      <c r="I165" s="59">
        <v>2.23</v>
      </c>
      <c r="J165" s="35">
        <v>234</v>
      </c>
      <c r="K165" s="35" t="s">
        <v>74</v>
      </c>
      <c r="L165" s="35" t="s">
        <v>270</v>
      </c>
      <c r="M165" s="36" t="s">
        <v>68</v>
      </c>
      <c r="N165" s="36"/>
      <c r="O165" s="35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7"/>
      <c r="V165" s="37"/>
      <c r="W165" s="38" t="s">
        <v>70</v>
      </c>
      <c r="X165" s="56">
        <v>0</v>
      </c>
      <c r="Y165" s="53">
        <f t="shared" si="5"/>
        <v>0</v>
      </c>
      <c r="Z165" s="39" t="str">
        <f>IFERROR(IF(Y165=0,"",ROUNDUP(Y165/H165,0)*0.00502),"")</f>
        <v/>
      </c>
      <c r="AA165" s="65"/>
      <c r="AB165" s="66"/>
      <c r="AC165" s="211" t="s">
        <v>261</v>
      </c>
      <c r="AG165" s="75"/>
      <c r="AJ165" s="79" t="s">
        <v>94</v>
      </c>
      <c r="AK165" s="79">
        <v>37.799999999999997</v>
      </c>
      <c r="BB165" s="212" t="s">
        <v>1</v>
      </c>
      <c r="BM165" s="75">
        <f t="shared" si="6"/>
        <v>0</v>
      </c>
      <c r="BN165" s="75">
        <f t="shared" si="7"/>
        <v>0</v>
      </c>
      <c r="BO165" s="75">
        <f t="shared" si="8"/>
        <v>0</v>
      </c>
      <c r="BP165" s="75">
        <f t="shared" si="9"/>
        <v>0</v>
      </c>
    </row>
    <row r="166" spans="1:68" ht="27" customHeight="1" x14ac:dyDescent="0.25">
      <c r="A166" s="60" t="s">
        <v>271</v>
      </c>
      <c r="B166" s="60" t="s">
        <v>272</v>
      </c>
      <c r="C166" s="34">
        <v>4301031443</v>
      </c>
      <c r="D166" s="549">
        <v>4680115887213</v>
      </c>
      <c r="E166" s="550"/>
      <c r="F166" s="59">
        <v>0.3</v>
      </c>
      <c r="G166" s="35">
        <v>6</v>
      </c>
      <c r="H166" s="59">
        <v>1.8</v>
      </c>
      <c r="I166" s="59">
        <v>1.9</v>
      </c>
      <c r="J166" s="35">
        <v>234</v>
      </c>
      <c r="K166" s="35" t="s">
        <v>74</v>
      </c>
      <c r="L166" s="35"/>
      <c r="M166" s="36" t="s">
        <v>68</v>
      </c>
      <c r="N166" s="36"/>
      <c r="O166" s="35">
        <v>45</v>
      </c>
      <c r="P166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7"/>
      <c r="V166" s="37"/>
      <c r="W166" s="38" t="s">
        <v>70</v>
      </c>
      <c r="X166" s="56">
        <v>0</v>
      </c>
      <c r="Y166" s="53">
        <f t="shared" si="5"/>
        <v>0</v>
      </c>
      <c r="Z166" s="39" t="str">
        <f>IFERROR(IF(Y166=0,"",ROUNDUP(Y166/H166,0)*0.00502),"")</f>
        <v/>
      </c>
      <c r="AA166" s="65"/>
      <c r="AB166" s="66"/>
      <c r="AC166" s="213" t="s">
        <v>273</v>
      </c>
      <c r="AG166" s="75"/>
      <c r="AJ166" s="79"/>
      <c r="AK166" s="79">
        <v>0</v>
      </c>
      <c r="BB166" s="214" t="s">
        <v>1</v>
      </c>
      <c r="BM166" s="75">
        <f t="shared" si="6"/>
        <v>0</v>
      </c>
      <c r="BN166" s="75">
        <f t="shared" si="7"/>
        <v>0</v>
      </c>
      <c r="BO166" s="75">
        <f t="shared" si="8"/>
        <v>0</v>
      </c>
      <c r="BP166" s="75">
        <f t="shared" si="9"/>
        <v>0</v>
      </c>
    </row>
    <row r="167" spans="1:68" ht="27" customHeight="1" x14ac:dyDescent="0.25">
      <c r="A167" s="60" t="s">
        <v>274</v>
      </c>
      <c r="B167" s="60" t="s">
        <v>275</v>
      </c>
      <c r="C167" s="34">
        <v>4301031205</v>
      </c>
      <c r="D167" s="549">
        <v>4680115881785</v>
      </c>
      <c r="E167" s="550"/>
      <c r="F167" s="59">
        <v>0.35</v>
      </c>
      <c r="G167" s="35">
        <v>6</v>
      </c>
      <c r="H167" s="59">
        <v>2.1</v>
      </c>
      <c r="I167" s="59">
        <v>2.23</v>
      </c>
      <c r="J167" s="35">
        <v>234</v>
      </c>
      <c r="K167" s="35" t="s">
        <v>74</v>
      </c>
      <c r="L167" s="35" t="s">
        <v>270</v>
      </c>
      <c r="M167" s="36" t="s">
        <v>68</v>
      </c>
      <c r="N167" s="36"/>
      <c r="O167" s="35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7"/>
      <c r="V167" s="37"/>
      <c r="W167" s="38" t="s">
        <v>70</v>
      </c>
      <c r="X167" s="56">
        <v>0</v>
      </c>
      <c r="Y167" s="53">
        <f t="shared" si="5"/>
        <v>0</v>
      </c>
      <c r="Z167" s="39" t="str">
        <f>IFERROR(IF(Y167=0,"",ROUNDUP(Y167/H167,0)*0.00502),"")</f>
        <v/>
      </c>
      <c r="AA167" s="65"/>
      <c r="AB167" s="66"/>
      <c r="AC167" s="215" t="s">
        <v>264</v>
      </c>
      <c r="AG167" s="75"/>
      <c r="AJ167" s="79" t="s">
        <v>94</v>
      </c>
      <c r="AK167" s="79">
        <v>37.799999999999997</v>
      </c>
      <c r="BB167" s="216" t="s">
        <v>1</v>
      </c>
      <c r="BM167" s="75">
        <f t="shared" si="6"/>
        <v>0</v>
      </c>
      <c r="BN167" s="75">
        <f t="shared" si="7"/>
        <v>0</v>
      </c>
      <c r="BO167" s="75">
        <f t="shared" si="8"/>
        <v>0</v>
      </c>
      <c r="BP167" s="75">
        <f t="shared" si="9"/>
        <v>0</v>
      </c>
    </row>
    <row r="168" spans="1:68" ht="27" customHeight="1" x14ac:dyDescent="0.25">
      <c r="A168" s="60" t="s">
        <v>276</v>
      </c>
      <c r="B168" s="60" t="s">
        <v>277</v>
      </c>
      <c r="C168" s="34">
        <v>4301031399</v>
      </c>
      <c r="D168" s="549">
        <v>4680115886537</v>
      </c>
      <c r="E168" s="550"/>
      <c r="F168" s="59">
        <v>0.3</v>
      </c>
      <c r="G168" s="35">
        <v>6</v>
      </c>
      <c r="H168" s="59">
        <v>1.8</v>
      </c>
      <c r="I168" s="59">
        <v>1.93</v>
      </c>
      <c r="J168" s="35">
        <v>234</v>
      </c>
      <c r="K168" s="35" t="s">
        <v>74</v>
      </c>
      <c r="L168" s="35"/>
      <c r="M168" s="36" t="s">
        <v>68</v>
      </c>
      <c r="N168" s="36"/>
      <c r="O168" s="35">
        <v>40</v>
      </c>
      <c r="P168" s="64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7"/>
      <c r="V168" s="37"/>
      <c r="W168" s="38" t="s">
        <v>70</v>
      </c>
      <c r="X168" s="56">
        <v>0</v>
      </c>
      <c r="Y168" s="53">
        <f t="shared" si="5"/>
        <v>0</v>
      </c>
      <c r="Z168" s="39" t="str">
        <f>IFERROR(IF(Y168=0,"",ROUNDUP(Y168/H168,0)*0.00502),"")</f>
        <v/>
      </c>
      <c r="AA168" s="65"/>
      <c r="AB168" s="66"/>
      <c r="AC168" s="217" t="s">
        <v>278</v>
      </c>
      <c r="AG168" s="75"/>
      <c r="AJ168" s="79"/>
      <c r="AK168" s="79">
        <v>0</v>
      </c>
      <c r="BB168" s="218" t="s">
        <v>1</v>
      </c>
      <c r="BM168" s="75">
        <f t="shared" si="6"/>
        <v>0</v>
      </c>
      <c r="BN168" s="75">
        <f t="shared" si="7"/>
        <v>0</v>
      </c>
      <c r="BO168" s="75">
        <f t="shared" si="8"/>
        <v>0</v>
      </c>
      <c r="BP168" s="75">
        <f t="shared" si="9"/>
        <v>0</v>
      </c>
    </row>
    <row r="169" spans="1:68" ht="37.5" customHeight="1" x14ac:dyDescent="0.25">
      <c r="A169" s="60" t="s">
        <v>279</v>
      </c>
      <c r="B169" s="60" t="s">
        <v>280</v>
      </c>
      <c r="C169" s="34">
        <v>4301031202</v>
      </c>
      <c r="D169" s="549">
        <v>4680115881679</v>
      </c>
      <c r="E169" s="550"/>
      <c r="F169" s="59">
        <v>0.35</v>
      </c>
      <c r="G169" s="35">
        <v>6</v>
      </c>
      <c r="H169" s="59">
        <v>2.1</v>
      </c>
      <c r="I169" s="59">
        <v>2.2000000000000002</v>
      </c>
      <c r="J169" s="35">
        <v>234</v>
      </c>
      <c r="K169" s="35" t="s">
        <v>74</v>
      </c>
      <c r="L169" s="35" t="s">
        <v>270</v>
      </c>
      <c r="M169" s="36" t="s">
        <v>68</v>
      </c>
      <c r="N169" s="36"/>
      <c r="O169" s="35">
        <v>40</v>
      </c>
      <c r="P169" s="6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7"/>
      <c r="V169" s="37"/>
      <c r="W169" s="38" t="s">
        <v>70</v>
      </c>
      <c r="X169" s="56">
        <v>0</v>
      </c>
      <c r="Y169" s="53">
        <f t="shared" si="5"/>
        <v>0</v>
      </c>
      <c r="Z169" s="39" t="str">
        <f>IFERROR(IF(Y169=0,"",ROUNDUP(Y169/H169,0)*0.00502),"")</f>
        <v/>
      </c>
      <c r="AA169" s="65"/>
      <c r="AB169" s="66"/>
      <c r="AC169" s="219" t="s">
        <v>267</v>
      </c>
      <c r="AG169" s="75"/>
      <c r="AJ169" s="79" t="s">
        <v>94</v>
      </c>
      <c r="AK169" s="79">
        <v>37.799999999999997</v>
      </c>
      <c r="BB169" s="220" t="s">
        <v>1</v>
      </c>
      <c r="BM169" s="75">
        <f t="shared" si="6"/>
        <v>0</v>
      </c>
      <c r="BN169" s="75">
        <f t="shared" si="7"/>
        <v>0</v>
      </c>
      <c r="BO169" s="75">
        <f t="shared" si="8"/>
        <v>0</v>
      </c>
      <c r="BP169" s="75">
        <f t="shared" si="9"/>
        <v>0</v>
      </c>
    </row>
    <row r="170" spans="1:68" ht="27" customHeight="1" x14ac:dyDescent="0.25">
      <c r="A170" s="60" t="s">
        <v>281</v>
      </c>
      <c r="B170" s="60" t="s">
        <v>282</v>
      </c>
      <c r="C170" s="34">
        <v>4301031158</v>
      </c>
      <c r="D170" s="549">
        <v>4680115880191</v>
      </c>
      <c r="E170" s="550"/>
      <c r="F170" s="59">
        <v>0.4</v>
      </c>
      <c r="G170" s="35">
        <v>6</v>
      </c>
      <c r="H170" s="59">
        <v>2.4</v>
      </c>
      <c r="I170" s="59">
        <v>2.58</v>
      </c>
      <c r="J170" s="35">
        <v>182</v>
      </c>
      <c r="K170" s="35" t="s">
        <v>67</v>
      </c>
      <c r="L170" s="35"/>
      <c r="M170" s="36" t="s">
        <v>68</v>
      </c>
      <c r="N170" s="36"/>
      <c r="O170" s="35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7"/>
      <c r="V170" s="37"/>
      <c r="W170" s="38" t="s">
        <v>70</v>
      </c>
      <c r="X170" s="56">
        <v>0</v>
      </c>
      <c r="Y170" s="53">
        <f t="shared" si="5"/>
        <v>0</v>
      </c>
      <c r="Z170" s="39" t="str">
        <f>IFERROR(IF(Y170=0,"",ROUNDUP(Y170/H170,0)*0.00651),"")</f>
        <v/>
      </c>
      <c r="AA170" s="65"/>
      <c r="AB170" s="66"/>
      <c r="AC170" s="221" t="s">
        <v>267</v>
      </c>
      <c r="AG170" s="75"/>
      <c r="AJ170" s="79"/>
      <c r="AK170" s="79">
        <v>0</v>
      </c>
      <c r="BB170" s="222" t="s">
        <v>1</v>
      </c>
      <c r="BM170" s="75">
        <f t="shared" si="6"/>
        <v>0</v>
      </c>
      <c r="BN170" s="75">
        <f t="shared" si="7"/>
        <v>0</v>
      </c>
      <c r="BO170" s="75">
        <f t="shared" si="8"/>
        <v>0</v>
      </c>
      <c r="BP170" s="75">
        <f t="shared" si="9"/>
        <v>0</v>
      </c>
    </row>
    <row r="171" spans="1:68" ht="27" customHeight="1" x14ac:dyDescent="0.25">
      <c r="A171" s="60" t="s">
        <v>283</v>
      </c>
      <c r="B171" s="60" t="s">
        <v>284</v>
      </c>
      <c r="C171" s="34">
        <v>4301031245</v>
      </c>
      <c r="D171" s="549">
        <v>4680115883963</v>
      </c>
      <c r="E171" s="550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74</v>
      </c>
      <c r="L171" s="35"/>
      <c r="M171" s="36" t="s">
        <v>68</v>
      </c>
      <c r="N171" s="36"/>
      <c r="O171" s="35">
        <v>40</v>
      </c>
      <c r="P17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7"/>
      <c r="V171" s="37"/>
      <c r="W171" s="38" t="s">
        <v>70</v>
      </c>
      <c r="X171" s="56">
        <v>0</v>
      </c>
      <c r="Y171" s="53">
        <f t="shared" si="5"/>
        <v>0</v>
      </c>
      <c r="Z171" s="39" t="str">
        <f>IFERROR(IF(Y171=0,"",ROUNDUP(Y171/H171,0)*0.00502),"")</f>
        <v/>
      </c>
      <c r="AA171" s="65"/>
      <c r="AB171" s="66"/>
      <c r="AC171" s="223" t="s">
        <v>285</v>
      </c>
      <c r="AG171" s="75"/>
      <c r="AJ171" s="79"/>
      <c r="AK171" s="79">
        <v>0</v>
      </c>
      <c r="BB171" s="224" t="s">
        <v>1</v>
      </c>
      <c r="BM171" s="75">
        <f t="shared" si="6"/>
        <v>0</v>
      </c>
      <c r="BN171" s="75">
        <f t="shared" si="7"/>
        <v>0</v>
      </c>
      <c r="BO171" s="75">
        <f t="shared" si="8"/>
        <v>0</v>
      </c>
      <c r="BP171" s="75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3" t="s">
        <v>76</v>
      </c>
      <c r="Q172" s="564"/>
      <c r="R172" s="564"/>
      <c r="S172" s="564"/>
      <c r="T172" s="564"/>
      <c r="U172" s="564"/>
      <c r="V172" s="565"/>
      <c r="W172" s="40" t="s">
        <v>77</v>
      </c>
      <c r="X172" s="41">
        <f>IFERROR(X162/H162,"0")+IFERROR(X163/H163,"0")+IFERROR(X164/H164,"0")+IFERROR(X165/H165,"0")+IFERROR(X166/H166,"0")+IFERROR(X167/H167,"0")+IFERROR(X168/H168,"0")+IFERROR(X169/H169,"0")+IFERROR(X170/H170,"0")+IFERROR(X171/H171,"0")</f>
        <v>71.428571428571431</v>
      </c>
      <c r="Y172" s="41">
        <f>IFERROR(Y162/H162,"0")+IFERROR(Y163/H163,"0")+IFERROR(Y164/H164,"0")+IFERROR(Y165/H165,"0")+IFERROR(Y166/H166,"0")+IFERROR(Y167/H167,"0")+IFERROR(Y168/H168,"0")+IFERROR(Y169/H169,"0")+IFERROR(Y170/H170,"0")+IFERROR(Y171/H171,"0")</f>
        <v>72</v>
      </c>
      <c r="Z172" s="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0.64944000000000002</v>
      </c>
      <c r="AA172" s="64"/>
      <c r="AB172" s="64"/>
      <c r="AC172" s="64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3" t="s">
        <v>76</v>
      </c>
      <c r="Q173" s="564"/>
      <c r="R173" s="564"/>
      <c r="S173" s="564"/>
      <c r="T173" s="564"/>
      <c r="U173" s="564"/>
      <c r="V173" s="565"/>
      <c r="W173" s="40" t="s">
        <v>70</v>
      </c>
      <c r="X173" s="41">
        <f>IFERROR(SUM(X162:X171),"0")</f>
        <v>300</v>
      </c>
      <c r="Y173" s="41">
        <f>IFERROR(SUM(Y162:Y171),"0")</f>
        <v>302.40000000000003</v>
      </c>
      <c r="Z173" s="40"/>
      <c r="AA173" s="64"/>
      <c r="AB173" s="64"/>
      <c r="AC173" s="64"/>
    </row>
    <row r="174" spans="1:68" ht="14.25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63"/>
      <c r="AB174" s="63"/>
      <c r="AC174" s="63"/>
    </row>
    <row r="175" spans="1:68" ht="27" customHeight="1" x14ac:dyDescent="0.25">
      <c r="A175" s="60" t="s">
        <v>286</v>
      </c>
      <c r="B175" s="60" t="s">
        <v>287</v>
      </c>
      <c r="C175" s="34">
        <v>4301032053</v>
      </c>
      <c r="D175" s="549">
        <v>4680115886780</v>
      </c>
      <c r="E175" s="550"/>
      <c r="F175" s="59">
        <v>7.0000000000000007E-2</v>
      </c>
      <c r="G175" s="35">
        <v>18</v>
      </c>
      <c r="H175" s="59">
        <v>1.26</v>
      </c>
      <c r="I175" s="59">
        <v>1.45</v>
      </c>
      <c r="J175" s="35">
        <v>216</v>
      </c>
      <c r="K175" s="35" t="s">
        <v>288</v>
      </c>
      <c r="L175" s="35"/>
      <c r="M175" s="36" t="s">
        <v>289</v>
      </c>
      <c r="N175" s="36"/>
      <c r="O175" s="35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7"/>
      <c r="V175" s="37"/>
      <c r="W175" s="38" t="s">
        <v>70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IFERROR(IF(Y175=0,"",ROUNDUP(Y175/H175,0)*0.0059),"")</f>
        <v/>
      </c>
      <c r="AA175" s="65"/>
      <c r="AB175" s="66"/>
      <c r="AC175" s="225" t="s">
        <v>290</v>
      </c>
      <c r="AG175" s="75"/>
      <c r="AJ175" s="79"/>
      <c r="AK175" s="79">
        <v>0</v>
      </c>
      <c r="BB175" s="226" t="s">
        <v>1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27" customHeight="1" x14ac:dyDescent="0.25">
      <c r="A176" s="60" t="s">
        <v>291</v>
      </c>
      <c r="B176" s="60" t="s">
        <v>292</v>
      </c>
      <c r="C176" s="34">
        <v>4301032051</v>
      </c>
      <c r="D176" s="549">
        <v>4680115886742</v>
      </c>
      <c r="E176" s="550"/>
      <c r="F176" s="59">
        <v>7.0000000000000007E-2</v>
      </c>
      <c r="G176" s="35">
        <v>18</v>
      </c>
      <c r="H176" s="59">
        <v>1.26</v>
      </c>
      <c r="I176" s="59">
        <v>1.45</v>
      </c>
      <c r="J176" s="35">
        <v>216</v>
      </c>
      <c r="K176" s="35" t="s">
        <v>288</v>
      </c>
      <c r="L176" s="35"/>
      <c r="M176" s="36" t="s">
        <v>289</v>
      </c>
      <c r="N176" s="36"/>
      <c r="O176" s="35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7"/>
      <c r="V176" s="37"/>
      <c r="W176" s="38" t="s">
        <v>70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IFERROR(IF(Y176=0,"",ROUNDUP(Y176/H176,0)*0.0059),"")</f>
        <v/>
      </c>
      <c r="AA176" s="65"/>
      <c r="AB176" s="66"/>
      <c r="AC176" s="227" t="s">
        <v>293</v>
      </c>
      <c r="AG176" s="75"/>
      <c r="AJ176" s="79"/>
      <c r="AK176" s="79">
        <v>0</v>
      </c>
      <c r="BB176" s="228" t="s">
        <v>1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t="27" customHeight="1" x14ac:dyDescent="0.25">
      <c r="A177" s="60" t="s">
        <v>294</v>
      </c>
      <c r="B177" s="60" t="s">
        <v>295</v>
      </c>
      <c r="C177" s="34">
        <v>4301032052</v>
      </c>
      <c r="D177" s="549">
        <v>4680115886766</v>
      </c>
      <c r="E177" s="550"/>
      <c r="F177" s="59">
        <v>7.0000000000000007E-2</v>
      </c>
      <c r="G177" s="35">
        <v>18</v>
      </c>
      <c r="H177" s="59">
        <v>1.26</v>
      </c>
      <c r="I177" s="59">
        <v>1.45</v>
      </c>
      <c r="J177" s="35">
        <v>216</v>
      </c>
      <c r="K177" s="35" t="s">
        <v>288</v>
      </c>
      <c r="L177" s="35"/>
      <c r="M177" s="36" t="s">
        <v>289</v>
      </c>
      <c r="N177" s="36"/>
      <c r="O177" s="35">
        <v>90</v>
      </c>
      <c r="P177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7"/>
      <c r="V177" s="37"/>
      <c r="W177" s="38" t="s">
        <v>70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IFERROR(IF(Y177=0,"",ROUNDUP(Y177/H177,0)*0.0059),"")</f>
        <v/>
      </c>
      <c r="AA177" s="65"/>
      <c r="AB177" s="66"/>
      <c r="AC177" s="229" t="s">
        <v>293</v>
      </c>
      <c r="AG177" s="75"/>
      <c r="AJ177" s="79"/>
      <c r="AK177" s="79">
        <v>0</v>
      </c>
      <c r="BB177" s="230" t="s">
        <v>1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3" t="s">
        <v>76</v>
      </c>
      <c r="Q178" s="564"/>
      <c r="R178" s="564"/>
      <c r="S178" s="564"/>
      <c r="T178" s="564"/>
      <c r="U178" s="564"/>
      <c r="V178" s="565"/>
      <c r="W178" s="40" t="s">
        <v>77</v>
      </c>
      <c r="X178" s="41">
        <f>IFERROR(X175/H175,"0")+IFERROR(X176/H176,"0")+IFERROR(X177/H177,"0")</f>
        <v>0</v>
      </c>
      <c r="Y178" s="41">
        <f>IFERROR(Y175/H175,"0")+IFERROR(Y176/H176,"0")+IFERROR(Y177/H177,"0")</f>
        <v>0</v>
      </c>
      <c r="Z178" s="41">
        <f>IFERROR(IF(Z175="",0,Z175),"0")+IFERROR(IF(Z176="",0,Z176),"0")+IFERROR(IF(Z177="",0,Z177),"0")</f>
        <v>0</v>
      </c>
      <c r="AA178" s="64"/>
      <c r="AB178" s="64"/>
      <c r="AC178" s="64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3" t="s">
        <v>76</v>
      </c>
      <c r="Q179" s="564"/>
      <c r="R179" s="564"/>
      <c r="S179" s="564"/>
      <c r="T179" s="564"/>
      <c r="U179" s="564"/>
      <c r="V179" s="565"/>
      <c r="W179" s="40" t="s">
        <v>70</v>
      </c>
      <c r="X179" s="41">
        <f>IFERROR(SUM(X175:X177),"0")</f>
        <v>0</v>
      </c>
      <c r="Y179" s="41">
        <f>IFERROR(SUM(Y175:Y177),"0")</f>
        <v>0</v>
      </c>
      <c r="Z179" s="40"/>
      <c r="AA179" s="64"/>
      <c r="AB179" s="64"/>
      <c r="AC179" s="64"/>
    </row>
    <row r="180" spans="1:68" ht="14.25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63"/>
      <c r="AB180" s="63"/>
      <c r="AC180" s="63"/>
    </row>
    <row r="181" spans="1:68" ht="27" customHeight="1" x14ac:dyDescent="0.25">
      <c r="A181" s="60" t="s">
        <v>297</v>
      </c>
      <c r="B181" s="60" t="s">
        <v>298</v>
      </c>
      <c r="C181" s="34">
        <v>4301170013</v>
      </c>
      <c r="D181" s="549">
        <v>4680115886797</v>
      </c>
      <c r="E181" s="550"/>
      <c r="F181" s="59">
        <v>7.0000000000000007E-2</v>
      </c>
      <c r="G181" s="35">
        <v>18</v>
      </c>
      <c r="H181" s="59">
        <v>1.26</v>
      </c>
      <c r="I181" s="59">
        <v>1.45</v>
      </c>
      <c r="J181" s="35">
        <v>216</v>
      </c>
      <c r="K181" s="35" t="s">
        <v>288</v>
      </c>
      <c r="L181" s="35"/>
      <c r="M181" s="36" t="s">
        <v>289</v>
      </c>
      <c r="N181" s="36"/>
      <c r="O181" s="35">
        <v>90</v>
      </c>
      <c r="P181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7"/>
      <c r="V181" s="37"/>
      <c r="W181" s="38" t="s">
        <v>70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IFERROR(IF(Y181=0,"",ROUNDUP(Y181/H181,0)*0.0059),"")</f>
        <v/>
      </c>
      <c r="AA181" s="65"/>
      <c r="AB181" s="66"/>
      <c r="AC181" s="231" t="s">
        <v>293</v>
      </c>
      <c r="AG181" s="75"/>
      <c r="AJ181" s="79"/>
      <c r="AK181" s="79">
        <v>0</v>
      </c>
      <c r="BB181" s="232" t="s">
        <v>1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3" t="s">
        <v>76</v>
      </c>
      <c r="Q182" s="564"/>
      <c r="R182" s="564"/>
      <c r="S182" s="564"/>
      <c r="T182" s="564"/>
      <c r="U182" s="564"/>
      <c r="V182" s="565"/>
      <c r="W182" s="40" t="s">
        <v>77</v>
      </c>
      <c r="X182" s="41">
        <f>IFERROR(X181/H181,"0")</f>
        <v>0</v>
      </c>
      <c r="Y182" s="41">
        <f>IFERROR(Y181/H181,"0")</f>
        <v>0</v>
      </c>
      <c r="Z182" s="41">
        <f>IFERROR(IF(Z181="",0,Z181),"0")</f>
        <v>0</v>
      </c>
      <c r="AA182" s="64"/>
      <c r="AB182" s="64"/>
      <c r="AC182" s="64"/>
    </row>
    <row r="183" spans="1:68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3" t="s">
        <v>76</v>
      </c>
      <c r="Q183" s="564"/>
      <c r="R183" s="564"/>
      <c r="S183" s="564"/>
      <c r="T183" s="564"/>
      <c r="U183" s="564"/>
      <c r="V183" s="565"/>
      <c r="W183" s="40" t="s">
        <v>70</v>
      </c>
      <c r="X183" s="41">
        <f>IFERROR(SUM(X181:X181),"0")</f>
        <v>0</v>
      </c>
      <c r="Y183" s="41">
        <f>IFERROR(SUM(Y181:Y181),"0")</f>
        <v>0</v>
      </c>
      <c r="Z183" s="40"/>
      <c r="AA183" s="64"/>
      <c r="AB183" s="64"/>
      <c r="AC183" s="64"/>
    </row>
    <row r="184" spans="1:68" ht="16.5" customHeight="1" x14ac:dyDescent="0.25">
      <c r="A184" s="560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62"/>
      <c r="AB184" s="62"/>
      <c r="AC184" s="62"/>
    </row>
    <row r="185" spans="1:68" ht="14.25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63"/>
      <c r="AB185" s="63"/>
      <c r="AC185" s="63"/>
    </row>
    <row r="186" spans="1:68" ht="27" customHeight="1" x14ac:dyDescent="0.25">
      <c r="A186" s="60" t="s">
        <v>300</v>
      </c>
      <c r="B186" s="60" t="s">
        <v>301</v>
      </c>
      <c r="C186" s="34">
        <v>4301011450</v>
      </c>
      <c r="D186" s="549">
        <v>4680115881402</v>
      </c>
      <c r="E186" s="550"/>
      <c r="F186" s="59">
        <v>1.35</v>
      </c>
      <c r="G186" s="35">
        <v>8</v>
      </c>
      <c r="H186" s="59">
        <v>10.8</v>
      </c>
      <c r="I186" s="59">
        <v>11.21</v>
      </c>
      <c r="J186" s="35">
        <v>64</v>
      </c>
      <c r="K186" s="35" t="s">
        <v>108</v>
      </c>
      <c r="L186" s="35"/>
      <c r="M186" s="36" t="s">
        <v>110</v>
      </c>
      <c r="N186" s="36"/>
      <c r="O186" s="35">
        <v>55</v>
      </c>
      <c r="P186" s="8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7"/>
      <c r="V186" s="37"/>
      <c r="W186" s="38" t="s">
        <v>70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IFERROR(IF(Y186=0,"",ROUNDUP(Y186/H186,0)*0.01898),"")</f>
        <v/>
      </c>
      <c r="AA186" s="65"/>
      <c r="AB186" s="66"/>
      <c r="AC186" s="233" t="s">
        <v>302</v>
      </c>
      <c r="AG186" s="75"/>
      <c r="AJ186" s="79"/>
      <c r="AK186" s="79">
        <v>0</v>
      </c>
      <c r="BB186" s="234" t="s">
        <v>1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303</v>
      </c>
      <c r="B187" s="60" t="s">
        <v>304</v>
      </c>
      <c r="C187" s="34">
        <v>4301011768</v>
      </c>
      <c r="D187" s="549">
        <v>4680115881396</v>
      </c>
      <c r="E187" s="550"/>
      <c r="F187" s="59">
        <v>0.45</v>
      </c>
      <c r="G187" s="35">
        <v>6</v>
      </c>
      <c r="H187" s="59">
        <v>2.7</v>
      </c>
      <c r="I187" s="59">
        <v>2.88</v>
      </c>
      <c r="J187" s="35">
        <v>182</v>
      </c>
      <c r="K187" s="35" t="s">
        <v>67</v>
      </c>
      <c r="L187" s="35" t="s">
        <v>92</v>
      </c>
      <c r="M187" s="36" t="s">
        <v>110</v>
      </c>
      <c r="N187" s="36"/>
      <c r="O187" s="35">
        <v>55</v>
      </c>
      <c r="P187" s="6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7"/>
      <c r="V187" s="37"/>
      <c r="W187" s="38" t="s">
        <v>70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/>
      <c r="AB187" s="66"/>
      <c r="AC187" s="235" t="s">
        <v>302</v>
      </c>
      <c r="AG187" s="75"/>
      <c r="AJ187" s="79" t="s">
        <v>94</v>
      </c>
      <c r="AK187" s="79">
        <v>37.799999999999997</v>
      </c>
      <c r="BB187" s="236" t="s">
        <v>1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3" t="s">
        <v>76</v>
      </c>
      <c r="Q188" s="564"/>
      <c r="R188" s="564"/>
      <c r="S188" s="564"/>
      <c r="T188" s="564"/>
      <c r="U188" s="564"/>
      <c r="V188" s="565"/>
      <c r="W188" s="40" t="s">
        <v>77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3" t="s">
        <v>76</v>
      </c>
      <c r="Q189" s="564"/>
      <c r="R189" s="564"/>
      <c r="S189" s="564"/>
      <c r="T189" s="564"/>
      <c r="U189" s="564"/>
      <c r="V189" s="565"/>
      <c r="W189" s="40" t="s">
        <v>70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63"/>
      <c r="AB190" s="63"/>
      <c r="AC190" s="63"/>
    </row>
    <row r="191" spans="1:68" ht="16.5" customHeight="1" x14ac:dyDescent="0.25">
      <c r="A191" s="60" t="s">
        <v>305</v>
      </c>
      <c r="B191" s="60" t="s">
        <v>306</v>
      </c>
      <c r="C191" s="34">
        <v>4301020261</v>
      </c>
      <c r="D191" s="549">
        <v>4680115882935</v>
      </c>
      <c r="E191" s="550"/>
      <c r="F191" s="59">
        <v>1.35</v>
      </c>
      <c r="G191" s="35">
        <v>8</v>
      </c>
      <c r="H191" s="59">
        <v>10.8</v>
      </c>
      <c r="I191" s="59">
        <v>11.21</v>
      </c>
      <c r="J191" s="35">
        <v>64</v>
      </c>
      <c r="K191" s="35" t="s">
        <v>108</v>
      </c>
      <c r="L191" s="35"/>
      <c r="M191" s="36" t="s">
        <v>110</v>
      </c>
      <c r="N191" s="36"/>
      <c r="O191" s="35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7"/>
      <c r="V191" s="37"/>
      <c r="W191" s="38" t="s">
        <v>70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/>
      <c r="AB191" s="66"/>
      <c r="AC191" s="237" t="s">
        <v>307</v>
      </c>
      <c r="AG191" s="75"/>
      <c r="AJ191" s="79"/>
      <c r="AK191" s="79">
        <v>0</v>
      </c>
      <c r="BB191" s="238" t="s">
        <v>1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customHeight="1" x14ac:dyDescent="0.25">
      <c r="A192" s="60" t="s">
        <v>308</v>
      </c>
      <c r="B192" s="60" t="s">
        <v>309</v>
      </c>
      <c r="C192" s="34">
        <v>4301020220</v>
      </c>
      <c r="D192" s="549">
        <v>4680115880764</v>
      </c>
      <c r="E192" s="550"/>
      <c r="F192" s="59">
        <v>0.35</v>
      </c>
      <c r="G192" s="35">
        <v>6</v>
      </c>
      <c r="H192" s="59">
        <v>2.1</v>
      </c>
      <c r="I192" s="59">
        <v>2.2799999999999998</v>
      </c>
      <c r="J192" s="35">
        <v>182</v>
      </c>
      <c r="K192" s="35" t="s">
        <v>67</v>
      </c>
      <c r="L192" s="35"/>
      <c r="M192" s="36" t="s">
        <v>110</v>
      </c>
      <c r="N192" s="36"/>
      <c r="O192" s="35">
        <v>50</v>
      </c>
      <c r="P192" s="65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7"/>
      <c r="V192" s="37"/>
      <c r="W192" s="38" t="s">
        <v>70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/>
      <c r="AB192" s="66"/>
      <c r="AC192" s="239" t="s">
        <v>307</v>
      </c>
      <c r="AG192" s="75"/>
      <c r="AJ192" s="79"/>
      <c r="AK192" s="79">
        <v>0</v>
      </c>
      <c r="BB192" s="240" t="s">
        <v>1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3" t="s">
        <v>76</v>
      </c>
      <c r="Q193" s="564"/>
      <c r="R193" s="564"/>
      <c r="S193" s="564"/>
      <c r="T193" s="564"/>
      <c r="U193" s="564"/>
      <c r="V193" s="565"/>
      <c r="W193" s="40" t="s">
        <v>77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3" t="s">
        <v>76</v>
      </c>
      <c r="Q194" s="564"/>
      <c r="R194" s="564"/>
      <c r="S194" s="564"/>
      <c r="T194" s="564"/>
      <c r="U194" s="564"/>
      <c r="V194" s="565"/>
      <c r="W194" s="40" t="s">
        <v>70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63"/>
      <c r="AB195" s="63"/>
      <c r="AC195" s="63"/>
    </row>
    <row r="196" spans="1:68" ht="27" customHeight="1" x14ac:dyDescent="0.25">
      <c r="A196" s="60" t="s">
        <v>310</v>
      </c>
      <c r="B196" s="60" t="s">
        <v>311</v>
      </c>
      <c r="C196" s="34">
        <v>4301031224</v>
      </c>
      <c r="D196" s="549">
        <v>4680115882683</v>
      </c>
      <c r="E196" s="550"/>
      <c r="F196" s="59">
        <v>0.9</v>
      </c>
      <c r="G196" s="35">
        <v>6</v>
      </c>
      <c r="H196" s="59">
        <v>5.4</v>
      </c>
      <c r="I196" s="59">
        <v>5.59</v>
      </c>
      <c r="J196" s="35">
        <v>132</v>
      </c>
      <c r="K196" s="35" t="s">
        <v>114</v>
      </c>
      <c r="L196" s="35" t="s">
        <v>115</v>
      </c>
      <c r="M196" s="36" t="s">
        <v>68</v>
      </c>
      <c r="N196" s="36"/>
      <c r="O196" s="35">
        <v>40</v>
      </c>
      <c r="P196" s="8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7"/>
      <c r="V196" s="37"/>
      <c r="W196" s="38" t="s">
        <v>70</v>
      </c>
      <c r="X196" s="56">
        <v>200</v>
      </c>
      <c r="Y196" s="53">
        <f t="shared" ref="Y196:Y203" si="10">IFERROR(IF(X196="",0,CEILING((X196/$H196),1)*$H196),"")</f>
        <v>205.20000000000002</v>
      </c>
      <c r="Z196" s="39">
        <f>IFERROR(IF(Y196=0,"",ROUNDUP(Y196/H196,0)*0.00902),"")</f>
        <v>0.34276000000000001</v>
      </c>
      <c r="AA196" s="65"/>
      <c r="AB196" s="66"/>
      <c r="AC196" s="241" t="s">
        <v>312</v>
      </c>
      <c r="AG196" s="75"/>
      <c r="AJ196" s="79" t="s">
        <v>94</v>
      </c>
      <c r="AK196" s="79">
        <v>64.8</v>
      </c>
      <c r="BB196" s="242" t="s">
        <v>1</v>
      </c>
      <c r="BM196" s="75">
        <f t="shared" ref="BM196:BM203" si="11">IFERROR(X196*I196/H196,"0")</f>
        <v>207.03703703703701</v>
      </c>
      <c r="BN196" s="75">
        <f t="shared" ref="BN196:BN203" si="12">IFERROR(Y196*I196/H196,"0")</f>
        <v>212.42</v>
      </c>
      <c r="BO196" s="75">
        <f t="shared" ref="BO196:BO203" si="13">IFERROR(1/J196*(X196/H196),"0")</f>
        <v>0.28058361391694725</v>
      </c>
      <c r="BP196" s="75">
        <f t="shared" ref="BP196:BP203" si="14">IFERROR(1/J196*(Y196/H196),"0")</f>
        <v>0.2878787878787879</v>
      </c>
    </row>
    <row r="197" spans="1:68" ht="27" customHeight="1" x14ac:dyDescent="0.25">
      <c r="A197" s="60" t="s">
        <v>313</v>
      </c>
      <c r="B197" s="60" t="s">
        <v>314</v>
      </c>
      <c r="C197" s="34">
        <v>4301031230</v>
      </c>
      <c r="D197" s="549">
        <v>4680115882690</v>
      </c>
      <c r="E197" s="550"/>
      <c r="F197" s="59">
        <v>0.9</v>
      </c>
      <c r="G197" s="35">
        <v>6</v>
      </c>
      <c r="H197" s="59">
        <v>5.4</v>
      </c>
      <c r="I197" s="59">
        <v>5.59</v>
      </c>
      <c r="J197" s="35">
        <v>132</v>
      </c>
      <c r="K197" s="35" t="s">
        <v>114</v>
      </c>
      <c r="L197" s="35" t="s">
        <v>115</v>
      </c>
      <c r="M197" s="36" t="s">
        <v>68</v>
      </c>
      <c r="N197" s="36"/>
      <c r="O197" s="35">
        <v>40</v>
      </c>
      <c r="P197" s="6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7"/>
      <c r="V197" s="37"/>
      <c r="W197" s="38" t="s">
        <v>70</v>
      </c>
      <c r="X197" s="56">
        <v>200</v>
      </c>
      <c r="Y197" s="53">
        <f t="shared" si="10"/>
        <v>205.20000000000002</v>
      </c>
      <c r="Z197" s="39">
        <f>IFERROR(IF(Y197=0,"",ROUNDUP(Y197/H197,0)*0.00902),"")</f>
        <v>0.34276000000000001</v>
      </c>
      <c r="AA197" s="65"/>
      <c r="AB197" s="66"/>
      <c r="AC197" s="243" t="s">
        <v>315</v>
      </c>
      <c r="AG197" s="75"/>
      <c r="AJ197" s="79" t="s">
        <v>94</v>
      </c>
      <c r="AK197" s="79">
        <v>64.8</v>
      </c>
      <c r="BB197" s="244" t="s">
        <v>1</v>
      </c>
      <c r="BM197" s="75">
        <f t="shared" si="11"/>
        <v>207.03703703703701</v>
      </c>
      <c r="BN197" s="75">
        <f t="shared" si="12"/>
        <v>212.42</v>
      </c>
      <c r="BO197" s="75">
        <f t="shared" si="13"/>
        <v>0.28058361391694725</v>
      </c>
      <c r="BP197" s="75">
        <f t="shared" si="14"/>
        <v>0.2878787878787879</v>
      </c>
    </row>
    <row r="198" spans="1:68" ht="27" customHeight="1" x14ac:dyDescent="0.25">
      <c r="A198" s="60" t="s">
        <v>316</v>
      </c>
      <c r="B198" s="60" t="s">
        <v>317</v>
      </c>
      <c r="C198" s="34">
        <v>4301031220</v>
      </c>
      <c r="D198" s="549">
        <v>4680115882669</v>
      </c>
      <c r="E198" s="550"/>
      <c r="F198" s="59">
        <v>0.9</v>
      </c>
      <c r="G198" s="35">
        <v>6</v>
      </c>
      <c r="H198" s="59">
        <v>5.4</v>
      </c>
      <c r="I198" s="59">
        <v>5.59</v>
      </c>
      <c r="J198" s="35">
        <v>132</v>
      </c>
      <c r="K198" s="35" t="s">
        <v>114</v>
      </c>
      <c r="L198" s="35" t="s">
        <v>115</v>
      </c>
      <c r="M198" s="36" t="s">
        <v>68</v>
      </c>
      <c r="N198" s="36"/>
      <c r="O198" s="35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7"/>
      <c r="V198" s="37"/>
      <c r="W198" s="38" t="s">
        <v>70</v>
      </c>
      <c r="X198" s="56">
        <v>450</v>
      </c>
      <c r="Y198" s="53">
        <f t="shared" si="10"/>
        <v>453.6</v>
      </c>
      <c r="Z198" s="39">
        <f>IFERROR(IF(Y198=0,"",ROUNDUP(Y198/H198,0)*0.00902),"")</f>
        <v>0.75768000000000002</v>
      </c>
      <c r="AA198" s="65"/>
      <c r="AB198" s="66"/>
      <c r="AC198" s="245" t="s">
        <v>318</v>
      </c>
      <c r="AG198" s="75"/>
      <c r="AJ198" s="79" t="s">
        <v>94</v>
      </c>
      <c r="AK198" s="79">
        <v>64.8</v>
      </c>
      <c r="BB198" s="246" t="s">
        <v>1</v>
      </c>
      <c r="BM198" s="75">
        <f t="shared" si="11"/>
        <v>465.83333333333331</v>
      </c>
      <c r="BN198" s="75">
        <f t="shared" si="12"/>
        <v>469.56</v>
      </c>
      <c r="BO198" s="75">
        <f t="shared" si="13"/>
        <v>0.63131313131313127</v>
      </c>
      <c r="BP198" s="75">
        <f t="shared" si="14"/>
        <v>0.63636363636363635</v>
      </c>
    </row>
    <row r="199" spans="1:68" ht="27" customHeight="1" x14ac:dyDescent="0.25">
      <c r="A199" s="60" t="s">
        <v>319</v>
      </c>
      <c r="B199" s="60" t="s">
        <v>320</v>
      </c>
      <c r="C199" s="34">
        <v>4301031221</v>
      </c>
      <c r="D199" s="549">
        <v>4680115882676</v>
      </c>
      <c r="E199" s="550"/>
      <c r="F199" s="59">
        <v>0.9</v>
      </c>
      <c r="G199" s="35">
        <v>6</v>
      </c>
      <c r="H199" s="59">
        <v>5.4</v>
      </c>
      <c r="I199" s="59">
        <v>5.59</v>
      </c>
      <c r="J199" s="35">
        <v>132</v>
      </c>
      <c r="K199" s="35" t="s">
        <v>114</v>
      </c>
      <c r="L199" s="35" t="s">
        <v>115</v>
      </c>
      <c r="M199" s="36" t="s">
        <v>68</v>
      </c>
      <c r="N199" s="36"/>
      <c r="O199" s="35">
        <v>40</v>
      </c>
      <c r="P199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7"/>
      <c r="V199" s="37"/>
      <c r="W199" s="38" t="s">
        <v>70</v>
      </c>
      <c r="X199" s="56">
        <v>250</v>
      </c>
      <c r="Y199" s="53">
        <f t="shared" si="10"/>
        <v>253.8</v>
      </c>
      <c r="Z199" s="39">
        <f>IFERROR(IF(Y199=0,"",ROUNDUP(Y199/H199,0)*0.00902),"")</f>
        <v>0.42393999999999998</v>
      </c>
      <c r="AA199" s="65"/>
      <c r="AB199" s="66"/>
      <c r="AC199" s="247" t="s">
        <v>321</v>
      </c>
      <c r="AG199" s="75"/>
      <c r="AJ199" s="79" t="s">
        <v>94</v>
      </c>
      <c r="AK199" s="79">
        <v>64.8</v>
      </c>
      <c r="BB199" s="248" t="s">
        <v>1</v>
      </c>
      <c r="BM199" s="75">
        <f t="shared" si="11"/>
        <v>258.7962962962963</v>
      </c>
      <c r="BN199" s="75">
        <f t="shared" si="12"/>
        <v>262.72999999999996</v>
      </c>
      <c r="BO199" s="75">
        <f t="shared" si="13"/>
        <v>0.35072951739618402</v>
      </c>
      <c r="BP199" s="75">
        <f t="shared" si="14"/>
        <v>0.35606060606060608</v>
      </c>
    </row>
    <row r="200" spans="1:68" ht="27" customHeight="1" x14ac:dyDescent="0.25">
      <c r="A200" s="60" t="s">
        <v>322</v>
      </c>
      <c r="B200" s="60" t="s">
        <v>323</v>
      </c>
      <c r="C200" s="34">
        <v>4301031223</v>
      </c>
      <c r="D200" s="549">
        <v>4680115884014</v>
      </c>
      <c r="E200" s="550"/>
      <c r="F200" s="59">
        <v>0.3</v>
      </c>
      <c r="G200" s="35">
        <v>6</v>
      </c>
      <c r="H200" s="59">
        <v>1.8</v>
      </c>
      <c r="I200" s="59">
        <v>1.93</v>
      </c>
      <c r="J200" s="35">
        <v>234</v>
      </c>
      <c r="K200" s="35" t="s">
        <v>74</v>
      </c>
      <c r="L200" s="35" t="s">
        <v>270</v>
      </c>
      <c r="M200" s="36" t="s">
        <v>68</v>
      </c>
      <c r="N200" s="36"/>
      <c r="O200" s="35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7"/>
      <c r="V200" s="37"/>
      <c r="W200" s="38" t="s">
        <v>70</v>
      </c>
      <c r="X200" s="56">
        <v>0</v>
      </c>
      <c r="Y200" s="53">
        <f t="shared" si="10"/>
        <v>0</v>
      </c>
      <c r="Z200" s="39" t="str">
        <f>IFERROR(IF(Y200=0,"",ROUNDUP(Y200/H200,0)*0.00502),"")</f>
        <v/>
      </c>
      <c r="AA200" s="65"/>
      <c r="AB200" s="66"/>
      <c r="AC200" s="249" t="s">
        <v>312</v>
      </c>
      <c r="AG200" s="75"/>
      <c r="AJ200" s="79" t="s">
        <v>94</v>
      </c>
      <c r="AK200" s="79">
        <v>32.4</v>
      </c>
      <c r="BB200" s="250" t="s">
        <v>1</v>
      </c>
      <c r="BM200" s="75">
        <f t="shared" si="11"/>
        <v>0</v>
      </c>
      <c r="BN200" s="75">
        <f t="shared" si="12"/>
        <v>0</v>
      </c>
      <c r="BO200" s="75">
        <f t="shared" si="13"/>
        <v>0</v>
      </c>
      <c r="BP200" s="75">
        <f t="shared" si="14"/>
        <v>0</v>
      </c>
    </row>
    <row r="201" spans="1:68" ht="27" customHeight="1" x14ac:dyDescent="0.25">
      <c r="A201" s="60" t="s">
        <v>324</v>
      </c>
      <c r="B201" s="60" t="s">
        <v>325</v>
      </c>
      <c r="C201" s="34">
        <v>4301031222</v>
      </c>
      <c r="D201" s="549">
        <v>4680115884007</v>
      </c>
      <c r="E201" s="550"/>
      <c r="F201" s="59">
        <v>0.3</v>
      </c>
      <c r="G201" s="35">
        <v>6</v>
      </c>
      <c r="H201" s="59">
        <v>1.8</v>
      </c>
      <c r="I201" s="59">
        <v>1.9</v>
      </c>
      <c r="J201" s="35">
        <v>234</v>
      </c>
      <c r="K201" s="35" t="s">
        <v>74</v>
      </c>
      <c r="L201" s="35" t="s">
        <v>270</v>
      </c>
      <c r="M201" s="36" t="s">
        <v>68</v>
      </c>
      <c r="N201" s="36"/>
      <c r="O201" s="35">
        <v>40</v>
      </c>
      <c r="P201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7"/>
      <c r="V201" s="37"/>
      <c r="W201" s="38" t="s">
        <v>70</v>
      </c>
      <c r="X201" s="56">
        <v>0</v>
      </c>
      <c r="Y201" s="53">
        <f t="shared" si="10"/>
        <v>0</v>
      </c>
      <c r="Z201" s="39" t="str">
        <f>IFERROR(IF(Y201=0,"",ROUNDUP(Y201/H201,0)*0.00502),"")</f>
        <v/>
      </c>
      <c r="AA201" s="65"/>
      <c r="AB201" s="66"/>
      <c r="AC201" s="251" t="s">
        <v>315</v>
      </c>
      <c r="AG201" s="75"/>
      <c r="AJ201" s="79" t="s">
        <v>94</v>
      </c>
      <c r="AK201" s="79">
        <v>32.4</v>
      </c>
      <c r="BB201" s="252" t="s">
        <v>1</v>
      </c>
      <c r="BM201" s="75">
        <f t="shared" si="11"/>
        <v>0</v>
      </c>
      <c r="BN201" s="75">
        <f t="shared" si="12"/>
        <v>0</v>
      </c>
      <c r="BO201" s="75">
        <f t="shared" si="13"/>
        <v>0</v>
      </c>
      <c r="BP201" s="75">
        <f t="shared" si="14"/>
        <v>0</v>
      </c>
    </row>
    <row r="202" spans="1:68" ht="27" customHeight="1" x14ac:dyDescent="0.25">
      <c r="A202" s="60" t="s">
        <v>326</v>
      </c>
      <c r="B202" s="60" t="s">
        <v>327</v>
      </c>
      <c r="C202" s="34">
        <v>4301031229</v>
      </c>
      <c r="D202" s="549">
        <v>4680115884038</v>
      </c>
      <c r="E202" s="550"/>
      <c r="F202" s="59">
        <v>0.3</v>
      </c>
      <c r="G202" s="35">
        <v>6</v>
      </c>
      <c r="H202" s="59">
        <v>1.8</v>
      </c>
      <c r="I202" s="59">
        <v>1.9</v>
      </c>
      <c r="J202" s="35">
        <v>234</v>
      </c>
      <c r="K202" s="35" t="s">
        <v>74</v>
      </c>
      <c r="L202" s="35"/>
      <c r="M202" s="36" t="s">
        <v>68</v>
      </c>
      <c r="N202" s="36"/>
      <c r="O202" s="35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7"/>
      <c r="V202" s="37"/>
      <c r="W202" s="38" t="s">
        <v>70</v>
      </c>
      <c r="X202" s="56">
        <v>0</v>
      </c>
      <c r="Y202" s="53">
        <f t="shared" si="10"/>
        <v>0</v>
      </c>
      <c r="Z202" s="39" t="str">
        <f>IFERROR(IF(Y202=0,"",ROUNDUP(Y202/H202,0)*0.00502),"")</f>
        <v/>
      </c>
      <c r="AA202" s="65"/>
      <c r="AB202" s="66"/>
      <c r="AC202" s="253" t="s">
        <v>318</v>
      </c>
      <c r="AG202" s="75"/>
      <c r="AJ202" s="79"/>
      <c r="AK202" s="79">
        <v>0</v>
      </c>
      <c r="BB202" s="254" t="s">
        <v>1</v>
      </c>
      <c r="BM202" s="75">
        <f t="shared" si="11"/>
        <v>0</v>
      </c>
      <c r="BN202" s="75">
        <f t="shared" si="12"/>
        <v>0</v>
      </c>
      <c r="BO202" s="75">
        <f t="shared" si="13"/>
        <v>0</v>
      </c>
      <c r="BP202" s="75">
        <f t="shared" si="14"/>
        <v>0</v>
      </c>
    </row>
    <row r="203" spans="1:68" ht="27" customHeight="1" x14ac:dyDescent="0.25">
      <c r="A203" s="60" t="s">
        <v>328</v>
      </c>
      <c r="B203" s="60" t="s">
        <v>329</v>
      </c>
      <c r="C203" s="34">
        <v>4301031225</v>
      </c>
      <c r="D203" s="549">
        <v>4680115884021</v>
      </c>
      <c r="E203" s="550"/>
      <c r="F203" s="59">
        <v>0.3</v>
      </c>
      <c r="G203" s="35">
        <v>6</v>
      </c>
      <c r="H203" s="59">
        <v>1.8</v>
      </c>
      <c r="I203" s="59">
        <v>1.9</v>
      </c>
      <c r="J203" s="35">
        <v>234</v>
      </c>
      <c r="K203" s="35" t="s">
        <v>74</v>
      </c>
      <c r="L203" s="35" t="s">
        <v>270</v>
      </c>
      <c r="M203" s="36" t="s">
        <v>68</v>
      </c>
      <c r="N203" s="36"/>
      <c r="O203" s="35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7"/>
      <c r="V203" s="37"/>
      <c r="W203" s="38" t="s">
        <v>70</v>
      </c>
      <c r="X203" s="56">
        <v>0</v>
      </c>
      <c r="Y203" s="53">
        <f t="shared" si="10"/>
        <v>0</v>
      </c>
      <c r="Z203" s="39" t="str">
        <f>IFERROR(IF(Y203=0,"",ROUNDUP(Y203/H203,0)*0.00502),"")</f>
        <v/>
      </c>
      <c r="AA203" s="65"/>
      <c r="AB203" s="66"/>
      <c r="AC203" s="255" t="s">
        <v>321</v>
      </c>
      <c r="AG203" s="75"/>
      <c r="AJ203" s="79" t="s">
        <v>94</v>
      </c>
      <c r="AK203" s="79">
        <v>32.4</v>
      </c>
      <c r="BB203" s="256" t="s">
        <v>1</v>
      </c>
      <c r="BM203" s="75">
        <f t="shared" si="11"/>
        <v>0</v>
      </c>
      <c r="BN203" s="75">
        <f t="shared" si="12"/>
        <v>0</v>
      </c>
      <c r="BO203" s="75">
        <f t="shared" si="13"/>
        <v>0</v>
      </c>
      <c r="BP203" s="75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3" t="s">
        <v>76</v>
      </c>
      <c r="Q204" s="564"/>
      <c r="R204" s="564"/>
      <c r="S204" s="564"/>
      <c r="T204" s="564"/>
      <c r="U204" s="564"/>
      <c r="V204" s="565"/>
      <c r="W204" s="40" t="s">
        <v>77</v>
      </c>
      <c r="X204" s="41">
        <f>IFERROR(X196/H196,"0")+IFERROR(X197/H197,"0")+IFERROR(X198/H198,"0")+IFERROR(X199/H199,"0")+IFERROR(X200/H200,"0")+IFERROR(X201/H201,"0")+IFERROR(X202/H202,"0")+IFERROR(X203/H203,"0")</f>
        <v>203.7037037037037</v>
      </c>
      <c r="Y204" s="41">
        <f>IFERROR(Y196/H196,"0")+IFERROR(Y197/H197,"0")+IFERROR(Y198/H198,"0")+IFERROR(Y199/H199,"0")+IFERROR(Y200/H200,"0")+IFERROR(Y201/H201,"0")+IFERROR(Y202/H202,"0")+IFERROR(Y203/H203,"0")</f>
        <v>207</v>
      </c>
      <c r="Z204" s="41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1.86714</v>
      </c>
      <c r="AA204" s="64"/>
      <c r="AB204" s="64"/>
      <c r="AC204" s="64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3" t="s">
        <v>76</v>
      </c>
      <c r="Q205" s="564"/>
      <c r="R205" s="564"/>
      <c r="S205" s="564"/>
      <c r="T205" s="564"/>
      <c r="U205" s="564"/>
      <c r="V205" s="565"/>
      <c r="W205" s="40" t="s">
        <v>70</v>
      </c>
      <c r="X205" s="41">
        <f>IFERROR(SUM(X196:X203),"0")</f>
        <v>1100</v>
      </c>
      <c r="Y205" s="41">
        <f>IFERROR(SUM(Y196:Y203),"0")</f>
        <v>1117.8</v>
      </c>
      <c r="Z205" s="40"/>
      <c r="AA205" s="64"/>
      <c r="AB205" s="64"/>
      <c r="AC205" s="64"/>
    </row>
    <row r="206" spans="1:68" ht="14.25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63"/>
      <c r="AB206" s="63"/>
      <c r="AC206" s="63"/>
    </row>
    <row r="207" spans="1:68" ht="27" customHeight="1" x14ac:dyDescent="0.25">
      <c r="A207" s="60" t="s">
        <v>330</v>
      </c>
      <c r="B207" s="60" t="s">
        <v>331</v>
      </c>
      <c r="C207" s="34">
        <v>4301051408</v>
      </c>
      <c r="D207" s="549">
        <v>4680115881594</v>
      </c>
      <c r="E207" s="550"/>
      <c r="F207" s="59">
        <v>1.35</v>
      </c>
      <c r="G207" s="35">
        <v>6</v>
      </c>
      <c r="H207" s="59">
        <v>8.1</v>
      </c>
      <c r="I207" s="59">
        <v>8.5939999999999994</v>
      </c>
      <c r="J207" s="35">
        <v>64</v>
      </c>
      <c r="K207" s="35" t="s">
        <v>108</v>
      </c>
      <c r="L207" s="35"/>
      <c r="M207" s="36" t="s">
        <v>81</v>
      </c>
      <c r="N207" s="36"/>
      <c r="O207" s="35">
        <v>40</v>
      </c>
      <c r="P207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7"/>
      <c r="V207" s="37"/>
      <c r="W207" s="38" t="s">
        <v>70</v>
      </c>
      <c r="X207" s="56">
        <v>0</v>
      </c>
      <c r="Y207" s="53">
        <f t="shared" ref="Y207:Y215" si="15">IFERROR(IF(X207="",0,CEILING((X207/$H207),1)*$H207),"")</f>
        <v>0</v>
      </c>
      <c r="Z207" s="39" t="str">
        <f>IFERROR(IF(Y207=0,"",ROUNDUP(Y207/H207,0)*0.01898),"")</f>
        <v/>
      </c>
      <c r="AA207" s="65"/>
      <c r="AB207" s="66"/>
      <c r="AC207" s="257" t="s">
        <v>332</v>
      </c>
      <c r="AG207" s="75"/>
      <c r="AJ207" s="79"/>
      <c r="AK207" s="79">
        <v>0</v>
      </c>
      <c r="BB207" s="258" t="s">
        <v>1</v>
      </c>
      <c r="BM207" s="75">
        <f t="shared" ref="BM207:BM215" si="16">IFERROR(X207*I207/H207,"0")</f>
        <v>0</v>
      </c>
      <c r="BN207" s="75">
        <f t="shared" ref="BN207:BN215" si="17">IFERROR(Y207*I207/H207,"0")</f>
        <v>0</v>
      </c>
      <c r="BO207" s="75">
        <f t="shared" ref="BO207:BO215" si="18">IFERROR(1/J207*(X207/H207),"0")</f>
        <v>0</v>
      </c>
      <c r="BP207" s="75">
        <f t="shared" ref="BP207:BP215" si="19">IFERROR(1/J207*(Y207/H207),"0")</f>
        <v>0</v>
      </c>
    </row>
    <row r="208" spans="1:68" ht="27" customHeight="1" x14ac:dyDescent="0.25">
      <c r="A208" s="60" t="s">
        <v>333</v>
      </c>
      <c r="B208" s="60" t="s">
        <v>334</v>
      </c>
      <c r="C208" s="34">
        <v>4301051411</v>
      </c>
      <c r="D208" s="549">
        <v>4680115881617</v>
      </c>
      <c r="E208" s="550"/>
      <c r="F208" s="59">
        <v>1.35</v>
      </c>
      <c r="G208" s="35">
        <v>6</v>
      </c>
      <c r="H208" s="59">
        <v>8.1</v>
      </c>
      <c r="I208" s="59">
        <v>8.5760000000000005</v>
      </c>
      <c r="J208" s="35">
        <v>64</v>
      </c>
      <c r="K208" s="35" t="s">
        <v>108</v>
      </c>
      <c r="L208" s="35"/>
      <c r="M208" s="36" t="s">
        <v>81</v>
      </c>
      <c r="N208" s="36"/>
      <c r="O208" s="35">
        <v>40</v>
      </c>
      <c r="P208" s="7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7"/>
      <c r="V208" s="37"/>
      <c r="W208" s="38" t="s">
        <v>70</v>
      </c>
      <c r="X208" s="56">
        <v>0</v>
      </c>
      <c r="Y208" s="53">
        <f t="shared" si="15"/>
        <v>0</v>
      </c>
      <c r="Z208" s="39" t="str">
        <f>IFERROR(IF(Y208=0,"",ROUNDUP(Y208/H208,0)*0.01898),"")</f>
        <v/>
      </c>
      <c r="AA208" s="65"/>
      <c r="AB208" s="66"/>
      <c r="AC208" s="259" t="s">
        <v>335</v>
      </c>
      <c r="AG208" s="75"/>
      <c r="AJ208" s="79"/>
      <c r="AK208" s="79">
        <v>0</v>
      </c>
      <c r="BB208" s="260" t="s">
        <v>1</v>
      </c>
      <c r="BM208" s="75">
        <f t="shared" si="16"/>
        <v>0</v>
      </c>
      <c r="BN208" s="75">
        <f t="shared" si="17"/>
        <v>0</v>
      </c>
      <c r="BO208" s="75">
        <f t="shared" si="18"/>
        <v>0</v>
      </c>
      <c r="BP208" s="75">
        <f t="shared" si="19"/>
        <v>0</v>
      </c>
    </row>
    <row r="209" spans="1:68" ht="27" customHeight="1" x14ac:dyDescent="0.25">
      <c r="A209" s="60" t="s">
        <v>336</v>
      </c>
      <c r="B209" s="60" t="s">
        <v>337</v>
      </c>
      <c r="C209" s="34">
        <v>4301051656</v>
      </c>
      <c r="D209" s="549">
        <v>4680115880573</v>
      </c>
      <c r="E209" s="550"/>
      <c r="F209" s="59">
        <v>1.45</v>
      </c>
      <c r="G209" s="35">
        <v>6</v>
      </c>
      <c r="H209" s="59">
        <v>8.6999999999999993</v>
      </c>
      <c r="I209" s="59">
        <v>9.1940000000000008</v>
      </c>
      <c r="J209" s="35">
        <v>64</v>
      </c>
      <c r="K209" s="35" t="s">
        <v>108</v>
      </c>
      <c r="L209" s="35" t="s">
        <v>109</v>
      </c>
      <c r="M209" s="36" t="s">
        <v>81</v>
      </c>
      <c r="N209" s="36"/>
      <c r="O209" s="35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7"/>
      <c r="V209" s="37"/>
      <c r="W209" s="38" t="s">
        <v>70</v>
      </c>
      <c r="X209" s="56">
        <v>450</v>
      </c>
      <c r="Y209" s="53">
        <f t="shared" si="15"/>
        <v>452.4</v>
      </c>
      <c r="Z209" s="39">
        <f>IFERROR(IF(Y209=0,"",ROUNDUP(Y209/H209,0)*0.01898),"")</f>
        <v>0.98696000000000006</v>
      </c>
      <c r="AA209" s="65"/>
      <c r="AB209" s="66"/>
      <c r="AC209" s="261" t="s">
        <v>338</v>
      </c>
      <c r="AG209" s="75"/>
      <c r="AJ209" s="79" t="s">
        <v>94</v>
      </c>
      <c r="AK209" s="79">
        <v>69.599999999999994</v>
      </c>
      <c r="BB209" s="262" t="s">
        <v>1</v>
      </c>
      <c r="BM209" s="75">
        <f t="shared" si="16"/>
        <v>475.5517241379311</v>
      </c>
      <c r="BN209" s="75">
        <f t="shared" si="17"/>
        <v>478.08800000000002</v>
      </c>
      <c r="BO209" s="75">
        <f t="shared" si="18"/>
        <v>0.80818965517241381</v>
      </c>
      <c r="BP209" s="75">
        <f t="shared" si="19"/>
        <v>0.8125</v>
      </c>
    </row>
    <row r="210" spans="1:68" ht="27" customHeight="1" x14ac:dyDescent="0.25">
      <c r="A210" s="60" t="s">
        <v>339</v>
      </c>
      <c r="B210" s="60" t="s">
        <v>340</v>
      </c>
      <c r="C210" s="34">
        <v>4301051407</v>
      </c>
      <c r="D210" s="549">
        <v>4680115882195</v>
      </c>
      <c r="E210" s="550"/>
      <c r="F210" s="59">
        <v>0.4</v>
      </c>
      <c r="G210" s="35">
        <v>6</v>
      </c>
      <c r="H210" s="59">
        <v>2.4</v>
      </c>
      <c r="I210" s="59">
        <v>2.67</v>
      </c>
      <c r="J210" s="35">
        <v>182</v>
      </c>
      <c r="K210" s="35" t="s">
        <v>67</v>
      </c>
      <c r="L210" s="35" t="s">
        <v>92</v>
      </c>
      <c r="M210" s="36" t="s">
        <v>81</v>
      </c>
      <c r="N210" s="36"/>
      <c r="O210" s="35">
        <v>40</v>
      </c>
      <c r="P21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7"/>
      <c r="V210" s="37"/>
      <c r="W210" s="38" t="s">
        <v>70</v>
      </c>
      <c r="X210" s="56">
        <v>0</v>
      </c>
      <c r="Y210" s="53">
        <f t="shared" si="15"/>
        <v>0</v>
      </c>
      <c r="Z210" s="39" t="str">
        <f t="shared" ref="Z210:Z215" si="20">IFERROR(IF(Y210=0,"",ROUNDUP(Y210/H210,0)*0.00651),"")</f>
        <v/>
      </c>
      <c r="AA210" s="65"/>
      <c r="AB210" s="66"/>
      <c r="AC210" s="263" t="s">
        <v>332</v>
      </c>
      <c r="AG210" s="75"/>
      <c r="AJ210" s="79" t="s">
        <v>94</v>
      </c>
      <c r="AK210" s="79">
        <v>33.6</v>
      </c>
      <c r="BB210" s="264" t="s">
        <v>1</v>
      </c>
      <c r="BM210" s="75">
        <f t="shared" si="16"/>
        <v>0</v>
      </c>
      <c r="BN210" s="75">
        <f t="shared" si="17"/>
        <v>0</v>
      </c>
      <c r="BO210" s="75">
        <f t="shared" si="18"/>
        <v>0</v>
      </c>
      <c r="BP210" s="75">
        <f t="shared" si="19"/>
        <v>0</v>
      </c>
    </row>
    <row r="211" spans="1:68" ht="27" customHeight="1" x14ac:dyDescent="0.25">
      <c r="A211" s="60" t="s">
        <v>341</v>
      </c>
      <c r="B211" s="60" t="s">
        <v>342</v>
      </c>
      <c r="C211" s="34">
        <v>4301051752</v>
      </c>
      <c r="D211" s="549">
        <v>4680115882607</v>
      </c>
      <c r="E211" s="550"/>
      <c r="F211" s="59">
        <v>0.3</v>
      </c>
      <c r="G211" s="35">
        <v>6</v>
      </c>
      <c r="H211" s="59">
        <v>1.8</v>
      </c>
      <c r="I211" s="59">
        <v>2.052</v>
      </c>
      <c r="J211" s="35">
        <v>182</v>
      </c>
      <c r="K211" s="35" t="s">
        <v>67</v>
      </c>
      <c r="L211" s="35" t="s">
        <v>92</v>
      </c>
      <c r="M211" s="36" t="s">
        <v>88</v>
      </c>
      <c r="N211" s="36"/>
      <c r="O211" s="35">
        <v>45</v>
      </c>
      <c r="P211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7"/>
      <c r="V211" s="37"/>
      <c r="W211" s="38" t="s">
        <v>70</v>
      </c>
      <c r="X211" s="56">
        <v>0</v>
      </c>
      <c r="Y211" s="53">
        <f t="shared" si="15"/>
        <v>0</v>
      </c>
      <c r="Z211" s="39" t="str">
        <f t="shared" si="20"/>
        <v/>
      </c>
      <c r="AA211" s="65"/>
      <c r="AB211" s="66"/>
      <c r="AC211" s="265" t="s">
        <v>338</v>
      </c>
      <c r="AG211" s="75"/>
      <c r="AJ211" s="79" t="s">
        <v>94</v>
      </c>
      <c r="AK211" s="79">
        <v>25.2</v>
      </c>
      <c r="BB211" s="266" t="s">
        <v>1</v>
      </c>
      <c r="BM211" s="75">
        <f t="shared" si="16"/>
        <v>0</v>
      </c>
      <c r="BN211" s="75">
        <f t="shared" si="17"/>
        <v>0</v>
      </c>
      <c r="BO211" s="75">
        <f t="shared" si="18"/>
        <v>0</v>
      </c>
      <c r="BP211" s="75">
        <f t="shared" si="19"/>
        <v>0</v>
      </c>
    </row>
    <row r="212" spans="1:68" ht="27" customHeight="1" x14ac:dyDescent="0.25">
      <c r="A212" s="60" t="s">
        <v>343</v>
      </c>
      <c r="B212" s="60" t="s">
        <v>344</v>
      </c>
      <c r="C212" s="34">
        <v>4301051666</v>
      </c>
      <c r="D212" s="549">
        <v>4680115880092</v>
      </c>
      <c r="E212" s="550"/>
      <c r="F212" s="59">
        <v>0.4</v>
      </c>
      <c r="G212" s="35">
        <v>6</v>
      </c>
      <c r="H212" s="59">
        <v>2.4</v>
      </c>
      <c r="I212" s="59">
        <v>2.6520000000000001</v>
      </c>
      <c r="J212" s="35">
        <v>182</v>
      </c>
      <c r="K212" s="35" t="s">
        <v>67</v>
      </c>
      <c r="L212" s="35" t="s">
        <v>92</v>
      </c>
      <c r="M212" s="36" t="s">
        <v>81</v>
      </c>
      <c r="N212" s="36"/>
      <c r="O212" s="35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7"/>
      <c r="V212" s="37"/>
      <c r="W212" s="38" t="s">
        <v>70</v>
      </c>
      <c r="X212" s="56">
        <v>8</v>
      </c>
      <c r="Y212" s="53">
        <f t="shared" si="15"/>
        <v>9.6</v>
      </c>
      <c r="Z212" s="39">
        <f t="shared" si="20"/>
        <v>2.6040000000000001E-2</v>
      </c>
      <c r="AA212" s="65"/>
      <c r="AB212" s="66"/>
      <c r="AC212" s="267" t="s">
        <v>338</v>
      </c>
      <c r="AG212" s="75"/>
      <c r="AJ212" s="79" t="s">
        <v>94</v>
      </c>
      <c r="AK212" s="79">
        <v>33.6</v>
      </c>
      <c r="BB212" s="268" t="s">
        <v>1</v>
      </c>
      <c r="BM212" s="75">
        <f t="shared" si="16"/>
        <v>8.8400000000000016</v>
      </c>
      <c r="BN212" s="75">
        <f t="shared" si="17"/>
        <v>10.608000000000001</v>
      </c>
      <c r="BO212" s="75">
        <f t="shared" si="18"/>
        <v>1.8315018315018316E-2</v>
      </c>
      <c r="BP212" s="75">
        <f t="shared" si="19"/>
        <v>2.197802197802198E-2</v>
      </c>
    </row>
    <row r="213" spans="1:68" ht="27" customHeight="1" x14ac:dyDescent="0.25">
      <c r="A213" s="60" t="s">
        <v>345</v>
      </c>
      <c r="B213" s="60" t="s">
        <v>346</v>
      </c>
      <c r="C213" s="34">
        <v>4301051668</v>
      </c>
      <c r="D213" s="549">
        <v>4680115880221</v>
      </c>
      <c r="E213" s="550"/>
      <c r="F213" s="59">
        <v>0.4</v>
      </c>
      <c r="G213" s="35">
        <v>6</v>
      </c>
      <c r="H213" s="59">
        <v>2.4</v>
      </c>
      <c r="I213" s="59">
        <v>2.6520000000000001</v>
      </c>
      <c r="J213" s="35">
        <v>182</v>
      </c>
      <c r="K213" s="35" t="s">
        <v>67</v>
      </c>
      <c r="L213" s="35" t="s">
        <v>92</v>
      </c>
      <c r="M213" s="36" t="s">
        <v>81</v>
      </c>
      <c r="N213" s="36"/>
      <c r="O213" s="35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7"/>
      <c r="V213" s="37"/>
      <c r="W213" s="38" t="s">
        <v>70</v>
      </c>
      <c r="X213" s="56">
        <v>0</v>
      </c>
      <c r="Y213" s="53">
        <f t="shared" si="15"/>
        <v>0</v>
      </c>
      <c r="Z213" s="39" t="str">
        <f t="shared" si="20"/>
        <v/>
      </c>
      <c r="AA213" s="65"/>
      <c r="AB213" s="66"/>
      <c r="AC213" s="269" t="s">
        <v>338</v>
      </c>
      <c r="AG213" s="75"/>
      <c r="AJ213" s="79" t="s">
        <v>94</v>
      </c>
      <c r="AK213" s="79">
        <v>33.6</v>
      </c>
      <c r="BB213" s="270" t="s">
        <v>1</v>
      </c>
      <c r="BM213" s="75">
        <f t="shared" si="16"/>
        <v>0</v>
      </c>
      <c r="BN213" s="75">
        <f t="shared" si="17"/>
        <v>0</v>
      </c>
      <c r="BO213" s="75">
        <f t="shared" si="18"/>
        <v>0</v>
      </c>
      <c r="BP213" s="75">
        <f t="shared" si="19"/>
        <v>0</v>
      </c>
    </row>
    <row r="214" spans="1:68" ht="27" customHeight="1" x14ac:dyDescent="0.25">
      <c r="A214" s="60" t="s">
        <v>347</v>
      </c>
      <c r="B214" s="60" t="s">
        <v>348</v>
      </c>
      <c r="C214" s="34">
        <v>4301051945</v>
      </c>
      <c r="D214" s="549">
        <v>4680115880504</v>
      </c>
      <c r="E214" s="550"/>
      <c r="F214" s="59">
        <v>0.4</v>
      </c>
      <c r="G214" s="35">
        <v>6</v>
      </c>
      <c r="H214" s="59">
        <v>2.4</v>
      </c>
      <c r="I214" s="59">
        <v>2.6520000000000001</v>
      </c>
      <c r="J214" s="35">
        <v>182</v>
      </c>
      <c r="K214" s="35" t="s">
        <v>67</v>
      </c>
      <c r="L214" s="35" t="s">
        <v>92</v>
      </c>
      <c r="M214" s="36" t="s">
        <v>88</v>
      </c>
      <c r="N214" s="36"/>
      <c r="O214" s="35">
        <v>40</v>
      </c>
      <c r="P214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7"/>
      <c r="V214" s="37"/>
      <c r="W214" s="38" t="s">
        <v>70</v>
      </c>
      <c r="X214" s="56">
        <v>0</v>
      </c>
      <c r="Y214" s="53">
        <f t="shared" si="15"/>
        <v>0</v>
      </c>
      <c r="Z214" s="39" t="str">
        <f t="shared" si="20"/>
        <v/>
      </c>
      <c r="AA214" s="65"/>
      <c r="AB214" s="66"/>
      <c r="AC214" s="271" t="s">
        <v>349</v>
      </c>
      <c r="AG214" s="75"/>
      <c r="AJ214" s="79" t="s">
        <v>94</v>
      </c>
      <c r="AK214" s="79">
        <v>33.6</v>
      </c>
      <c r="BB214" s="272" t="s">
        <v>1</v>
      </c>
      <c r="BM214" s="75">
        <f t="shared" si="16"/>
        <v>0</v>
      </c>
      <c r="BN214" s="75">
        <f t="shared" si="17"/>
        <v>0</v>
      </c>
      <c r="BO214" s="75">
        <f t="shared" si="18"/>
        <v>0</v>
      </c>
      <c r="BP214" s="75">
        <f t="shared" si="19"/>
        <v>0</v>
      </c>
    </row>
    <row r="215" spans="1:68" ht="27" customHeight="1" x14ac:dyDescent="0.25">
      <c r="A215" s="60" t="s">
        <v>350</v>
      </c>
      <c r="B215" s="60" t="s">
        <v>351</v>
      </c>
      <c r="C215" s="34">
        <v>4301051410</v>
      </c>
      <c r="D215" s="549">
        <v>4680115882164</v>
      </c>
      <c r="E215" s="550"/>
      <c r="F215" s="59">
        <v>0.4</v>
      </c>
      <c r="G215" s="35">
        <v>6</v>
      </c>
      <c r="H215" s="59">
        <v>2.4</v>
      </c>
      <c r="I215" s="59">
        <v>2.6579999999999999</v>
      </c>
      <c r="J215" s="35">
        <v>182</v>
      </c>
      <c r="K215" s="35" t="s">
        <v>67</v>
      </c>
      <c r="L215" s="35" t="s">
        <v>92</v>
      </c>
      <c r="M215" s="36" t="s">
        <v>81</v>
      </c>
      <c r="N215" s="36"/>
      <c r="O215" s="35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7"/>
      <c r="V215" s="37"/>
      <c r="W215" s="38" t="s">
        <v>70</v>
      </c>
      <c r="X215" s="56">
        <v>0</v>
      </c>
      <c r="Y215" s="53">
        <f t="shared" si="15"/>
        <v>0</v>
      </c>
      <c r="Z215" s="39" t="str">
        <f t="shared" si="20"/>
        <v/>
      </c>
      <c r="AA215" s="65"/>
      <c r="AB215" s="66"/>
      <c r="AC215" s="273" t="s">
        <v>335</v>
      </c>
      <c r="AG215" s="75"/>
      <c r="AJ215" s="79" t="s">
        <v>94</v>
      </c>
      <c r="AK215" s="79">
        <v>33.6</v>
      </c>
      <c r="BB215" s="274" t="s">
        <v>1</v>
      </c>
      <c r="BM215" s="75">
        <f t="shared" si="16"/>
        <v>0</v>
      </c>
      <c r="BN215" s="75">
        <f t="shared" si="17"/>
        <v>0</v>
      </c>
      <c r="BO215" s="75">
        <f t="shared" si="18"/>
        <v>0</v>
      </c>
      <c r="BP215" s="75">
        <f t="shared" si="19"/>
        <v>0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3" t="s">
        <v>76</v>
      </c>
      <c r="Q216" s="564"/>
      <c r="R216" s="564"/>
      <c r="S216" s="564"/>
      <c r="T216" s="564"/>
      <c r="U216" s="564"/>
      <c r="V216" s="565"/>
      <c r="W216" s="40" t="s">
        <v>77</v>
      </c>
      <c r="X216" s="41">
        <f>IFERROR(X207/H207,"0")+IFERROR(X208/H208,"0")+IFERROR(X209/H209,"0")+IFERROR(X210/H210,"0")+IFERROR(X211/H211,"0")+IFERROR(X212/H212,"0")+IFERROR(X213/H213,"0")+IFERROR(X214/H214,"0")+IFERROR(X215/H215,"0")</f>
        <v>55.05747126436782</v>
      </c>
      <c r="Y216" s="41">
        <f>IFERROR(Y207/H207,"0")+IFERROR(Y208/H208,"0")+IFERROR(Y209/H209,"0")+IFERROR(Y210/H210,"0")+IFERROR(Y211/H211,"0")+IFERROR(Y212/H212,"0")+IFERROR(Y213/H213,"0")+IFERROR(Y214/H214,"0")+IFERROR(Y215/H215,"0")</f>
        <v>56</v>
      </c>
      <c r="Z216" s="41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1.0130000000000001</v>
      </c>
      <c r="AA216" s="64"/>
      <c r="AB216" s="64"/>
      <c r="AC216" s="64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3" t="s">
        <v>76</v>
      </c>
      <c r="Q217" s="564"/>
      <c r="R217" s="564"/>
      <c r="S217" s="564"/>
      <c r="T217" s="564"/>
      <c r="U217" s="564"/>
      <c r="V217" s="565"/>
      <c r="W217" s="40" t="s">
        <v>70</v>
      </c>
      <c r="X217" s="41">
        <f>IFERROR(SUM(X207:X215),"0")</f>
        <v>458</v>
      </c>
      <c r="Y217" s="41">
        <f>IFERROR(SUM(Y207:Y215),"0")</f>
        <v>462</v>
      </c>
      <c r="Z217" s="40"/>
      <c r="AA217" s="64"/>
      <c r="AB217" s="64"/>
      <c r="AC217" s="64"/>
    </row>
    <row r="218" spans="1:68" ht="14.25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63"/>
      <c r="AB218" s="63"/>
      <c r="AC218" s="63"/>
    </row>
    <row r="219" spans="1:68" ht="27" customHeight="1" x14ac:dyDescent="0.25">
      <c r="A219" s="60" t="s">
        <v>352</v>
      </c>
      <c r="B219" s="60" t="s">
        <v>353</v>
      </c>
      <c r="C219" s="34">
        <v>4301060463</v>
      </c>
      <c r="D219" s="549">
        <v>4680115880818</v>
      </c>
      <c r="E219" s="550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67</v>
      </c>
      <c r="L219" s="35" t="s">
        <v>92</v>
      </c>
      <c r="M219" s="36" t="s">
        <v>88</v>
      </c>
      <c r="N219" s="36"/>
      <c r="O219" s="35">
        <v>40</v>
      </c>
      <c r="P219" s="7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7"/>
      <c r="V219" s="37"/>
      <c r="W219" s="38" t="s">
        <v>70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IFERROR(IF(Y219=0,"",ROUNDUP(Y219/H219,0)*0.00651),"")</f>
        <v/>
      </c>
      <c r="AA219" s="65"/>
      <c r="AB219" s="66"/>
      <c r="AC219" s="275" t="s">
        <v>354</v>
      </c>
      <c r="AG219" s="75"/>
      <c r="AJ219" s="79" t="s">
        <v>94</v>
      </c>
      <c r="AK219" s="79">
        <v>33.6</v>
      </c>
      <c r="BB219" s="276" t="s">
        <v>1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t="37.5" customHeight="1" x14ac:dyDescent="0.25">
      <c r="A220" s="60" t="s">
        <v>355</v>
      </c>
      <c r="B220" s="60" t="s">
        <v>356</v>
      </c>
      <c r="C220" s="34">
        <v>4301060389</v>
      </c>
      <c r="D220" s="549">
        <v>4680115880801</v>
      </c>
      <c r="E220" s="550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67</v>
      </c>
      <c r="L220" s="35"/>
      <c r="M220" s="36" t="s">
        <v>81</v>
      </c>
      <c r="N220" s="36"/>
      <c r="O220" s="35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7"/>
      <c r="V220" s="37"/>
      <c r="W220" s="38" t="s">
        <v>70</v>
      </c>
      <c r="X220" s="56">
        <v>0</v>
      </c>
      <c r="Y220" s="53">
        <f>IFERROR(IF(X220="",0,CEILING((X220/$H220),1)*$H220),"")</f>
        <v>0</v>
      </c>
      <c r="Z220" s="39" t="str">
        <f>IFERROR(IF(Y220=0,"",ROUNDUP(Y220/H220,0)*0.00651),"")</f>
        <v/>
      </c>
      <c r="AA220" s="65"/>
      <c r="AB220" s="66"/>
      <c r="AC220" s="277" t="s">
        <v>357</v>
      </c>
      <c r="AG220" s="75"/>
      <c r="AJ220" s="79"/>
      <c r="AK220" s="79">
        <v>0</v>
      </c>
      <c r="BB220" s="278" t="s">
        <v>1</v>
      </c>
      <c r="BM220" s="75">
        <f>IFERROR(X220*I220/H220,"0")</f>
        <v>0</v>
      </c>
      <c r="BN220" s="75">
        <f>IFERROR(Y220*I220/H220,"0")</f>
        <v>0</v>
      </c>
      <c r="BO220" s="75">
        <f>IFERROR(1/J220*(X220/H220),"0")</f>
        <v>0</v>
      </c>
      <c r="BP220" s="75">
        <f>IFERROR(1/J220*(Y220/H220),"0")</f>
        <v>0</v>
      </c>
    </row>
    <row r="221" spans="1:68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3" t="s">
        <v>76</v>
      </c>
      <c r="Q221" s="564"/>
      <c r="R221" s="564"/>
      <c r="S221" s="564"/>
      <c r="T221" s="564"/>
      <c r="U221" s="564"/>
      <c r="V221" s="565"/>
      <c r="W221" s="40" t="s">
        <v>77</v>
      </c>
      <c r="X221" s="41">
        <f>IFERROR(X219/H219,"0")+IFERROR(X220/H220,"0")</f>
        <v>0</v>
      </c>
      <c r="Y221" s="41">
        <f>IFERROR(Y219/H219,"0")+IFERROR(Y220/H220,"0")</f>
        <v>0</v>
      </c>
      <c r="Z221" s="41">
        <f>IFERROR(IF(Z219="",0,Z219),"0")+IFERROR(IF(Z220="",0,Z220),"0")</f>
        <v>0</v>
      </c>
      <c r="AA221" s="64"/>
      <c r="AB221" s="64"/>
      <c r="AC221" s="64"/>
    </row>
    <row r="222" spans="1:68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3" t="s">
        <v>76</v>
      </c>
      <c r="Q222" s="564"/>
      <c r="R222" s="564"/>
      <c r="S222" s="564"/>
      <c r="T222" s="564"/>
      <c r="U222" s="564"/>
      <c r="V222" s="565"/>
      <c r="W222" s="40" t="s">
        <v>70</v>
      </c>
      <c r="X222" s="41">
        <f>IFERROR(SUM(X219:X220),"0")</f>
        <v>0</v>
      </c>
      <c r="Y222" s="41">
        <f>IFERROR(SUM(Y219:Y220),"0")</f>
        <v>0</v>
      </c>
      <c r="Z222" s="40"/>
      <c r="AA222" s="64"/>
      <c r="AB222" s="64"/>
      <c r="AC222" s="64"/>
    </row>
    <row r="223" spans="1:68" ht="16.5" customHeight="1" x14ac:dyDescent="0.25">
      <c r="A223" s="560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62"/>
      <c r="AB223" s="62"/>
      <c r="AC223" s="62"/>
    </row>
    <row r="224" spans="1:68" ht="14.25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63"/>
      <c r="AB224" s="63"/>
      <c r="AC224" s="63"/>
    </row>
    <row r="225" spans="1:68" ht="27" customHeight="1" x14ac:dyDescent="0.25">
      <c r="A225" s="60" t="s">
        <v>359</v>
      </c>
      <c r="B225" s="60" t="s">
        <v>360</v>
      </c>
      <c r="C225" s="34">
        <v>4301011826</v>
      </c>
      <c r="D225" s="549">
        <v>4680115884137</v>
      </c>
      <c r="E225" s="550"/>
      <c r="F225" s="59">
        <v>1.45</v>
      </c>
      <c r="G225" s="35">
        <v>8</v>
      </c>
      <c r="H225" s="59">
        <v>11.6</v>
      </c>
      <c r="I225" s="59">
        <v>12.01</v>
      </c>
      <c r="J225" s="35">
        <v>64</v>
      </c>
      <c r="K225" s="35" t="s">
        <v>108</v>
      </c>
      <c r="L225" s="35"/>
      <c r="M225" s="36" t="s">
        <v>110</v>
      </c>
      <c r="N225" s="36"/>
      <c r="O225" s="35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7"/>
      <c r="V225" s="37"/>
      <c r="W225" s="38" t="s">
        <v>70</v>
      </c>
      <c r="X225" s="56">
        <v>0</v>
      </c>
      <c r="Y225" s="53">
        <f t="shared" ref="Y225:Y234" si="21">IFERROR(IF(X225="",0,CEILING((X225/$H225),1)*$H225),"")</f>
        <v>0</v>
      </c>
      <c r="Z225" s="39" t="str">
        <f>IFERROR(IF(Y225=0,"",ROUNDUP(Y225/H225,0)*0.01898),"")</f>
        <v/>
      </c>
      <c r="AA225" s="65"/>
      <c r="AB225" s="66"/>
      <c r="AC225" s="279" t="s">
        <v>361</v>
      </c>
      <c r="AG225" s="75"/>
      <c r="AJ225" s="79"/>
      <c r="AK225" s="79">
        <v>0</v>
      </c>
      <c r="BB225" s="280" t="s">
        <v>1</v>
      </c>
      <c r="BM225" s="75">
        <f t="shared" ref="BM225:BM234" si="22">IFERROR(X225*I225/H225,"0")</f>
        <v>0</v>
      </c>
      <c r="BN225" s="75">
        <f t="shared" ref="BN225:BN234" si="23">IFERROR(Y225*I225/H225,"0")</f>
        <v>0</v>
      </c>
      <c r="BO225" s="75">
        <f t="shared" ref="BO225:BO234" si="24">IFERROR(1/J225*(X225/H225),"0")</f>
        <v>0</v>
      </c>
      <c r="BP225" s="75">
        <f t="shared" ref="BP225:BP234" si="25">IFERROR(1/J225*(Y225/H225),"0")</f>
        <v>0</v>
      </c>
    </row>
    <row r="226" spans="1:68" ht="27" customHeight="1" x14ac:dyDescent="0.25">
      <c r="A226" s="60" t="s">
        <v>362</v>
      </c>
      <c r="B226" s="60" t="s">
        <v>363</v>
      </c>
      <c r="C226" s="34">
        <v>4301011724</v>
      </c>
      <c r="D226" s="549">
        <v>4680115884236</v>
      </c>
      <c r="E226" s="550"/>
      <c r="F226" s="59">
        <v>1.45</v>
      </c>
      <c r="G226" s="35">
        <v>8</v>
      </c>
      <c r="H226" s="59">
        <v>11.6</v>
      </c>
      <c r="I226" s="59">
        <v>12.01</v>
      </c>
      <c r="J226" s="35">
        <v>64</v>
      </c>
      <c r="K226" s="35" t="s">
        <v>108</v>
      </c>
      <c r="L226" s="35"/>
      <c r="M226" s="36" t="s">
        <v>110</v>
      </c>
      <c r="N226" s="36"/>
      <c r="O226" s="35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7"/>
      <c r="V226" s="37"/>
      <c r="W226" s="38" t="s">
        <v>70</v>
      </c>
      <c r="X226" s="56">
        <v>0</v>
      </c>
      <c r="Y226" s="53">
        <f t="shared" si="21"/>
        <v>0</v>
      </c>
      <c r="Z226" s="39" t="str">
        <f>IFERROR(IF(Y226=0,"",ROUNDUP(Y226/H226,0)*0.01898),"")</f>
        <v/>
      </c>
      <c r="AA226" s="65"/>
      <c r="AB226" s="66"/>
      <c r="AC226" s="281" t="s">
        <v>364</v>
      </c>
      <c r="AG226" s="75"/>
      <c r="AJ226" s="79"/>
      <c r="AK226" s="79">
        <v>0</v>
      </c>
      <c r="BB226" s="282" t="s">
        <v>1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customHeight="1" x14ac:dyDescent="0.25">
      <c r="A227" s="60" t="s">
        <v>365</v>
      </c>
      <c r="B227" s="60" t="s">
        <v>366</v>
      </c>
      <c r="C227" s="34">
        <v>4301011721</v>
      </c>
      <c r="D227" s="549">
        <v>4680115884175</v>
      </c>
      <c r="E227" s="550"/>
      <c r="F227" s="59">
        <v>1.45</v>
      </c>
      <c r="G227" s="35">
        <v>8</v>
      </c>
      <c r="H227" s="59">
        <v>11.6</v>
      </c>
      <c r="I227" s="59">
        <v>12.01</v>
      </c>
      <c r="J227" s="35">
        <v>64</v>
      </c>
      <c r="K227" s="35" t="s">
        <v>108</v>
      </c>
      <c r="L227" s="35"/>
      <c r="M227" s="36" t="s">
        <v>110</v>
      </c>
      <c r="N227" s="36"/>
      <c r="O227" s="35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7"/>
      <c r="V227" s="37"/>
      <c r="W227" s="38" t="s">
        <v>70</v>
      </c>
      <c r="X227" s="56">
        <v>0</v>
      </c>
      <c r="Y227" s="53">
        <f t="shared" si="21"/>
        <v>0</v>
      </c>
      <c r="Z227" s="39" t="str">
        <f>IFERROR(IF(Y227=0,"",ROUNDUP(Y227/H227,0)*0.01898),"")</f>
        <v/>
      </c>
      <c r="AA227" s="65"/>
      <c r="AB227" s="66"/>
      <c r="AC227" s="283" t="s">
        <v>367</v>
      </c>
      <c r="AG227" s="75"/>
      <c r="AJ227" s="79"/>
      <c r="AK227" s="79">
        <v>0</v>
      </c>
      <c r="BB227" s="284" t="s">
        <v>1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customHeight="1" x14ac:dyDescent="0.25">
      <c r="A228" s="60" t="s">
        <v>368</v>
      </c>
      <c r="B228" s="60" t="s">
        <v>369</v>
      </c>
      <c r="C228" s="34">
        <v>4301011824</v>
      </c>
      <c r="D228" s="549">
        <v>4680115884144</v>
      </c>
      <c r="E228" s="550"/>
      <c r="F228" s="59">
        <v>0.4</v>
      </c>
      <c r="G228" s="35">
        <v>10</v>
      </c>
      <c r="H228" s="59">
        <v>4</v>
      </c>
      <c r="I228" s="59">
        <v>4.1900000000000004</v>
      </c>
      <c r="J228" s="35">
        <v>132</v>
      </c>
      <c r="K228" s="35" t="s">
        <v>114</v>
      </c>
      <c r="L228" s="35" t="s">
        <v>115</v>
      </c>
      <c r="M228" s="36" t="s">
        <v>110</v>
      </c>
      <c r="N228" s="36"/>
      <c r="O228" s="35">
        <v>55</v>
      </c>
      <c r="P228" s="85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7"/>
      <c r="V228" s="37"/>
      <c r="W228" s="38" t="s">
        <v>70</v>
      </c>
      <c r="X228" s="56">
        <v>0</v>
      </c>
      <c r="Y228" s="53">
        <f t="shared" si="21"/>
        <v>0</v>
      </c>
      <c r="Z228" s="39" t="str">
        <f>IFERROR(IF(Y228=0,"",ROUNDUP(Y228/H228,0)*0.00902),"")</f>
        <v/>
      </c>
      <c r="AA228" s="65"/>
      <c r="AB228" s="66"/>
      <c r="AC228" s="285" t="s">
        <v>361</v>
      </c>
      <c r="AG228" s="75"/>
      <c r="AJ228" s="79" t="s">
        <v>94</v>
      </c>
      <c r="AK228" s="79">
        <v>48</v>
      </c>
      <c r="BB228" s="286" t="s">
        <v>1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368</v>
      </c>
      <c r="B229" s="60" t="s">
        <v>370</v>
      </c>
      <c r="C229" s="34">
        <v>4301012196</v>
      </c>
      <c r="D229" s="549">
        <v>4680115884144</v>
      </c>
      <c r="E229" s="550"/>
      <c r="F229" s="59">
        <v>0.4</v>
      </c>
      <c r="G229" s="35">
        <v>10</v>
      </c>
      <c r="H229" s="59">
        <v>4</v>
      </c>
      <c r="I229" s="59">
        <v>4.1900000000000004</v>
      </c>
      <c r="J229" s="35">
        <v>132</v>
      </c>
      <c r="K229" s="35" t="s">
        <v>114</v>
      </c>
      <c r="L229" s="35"/>
      <c r="M229" s="36" t="s">
        <v>110</v>
      </c>
      <c r="N229" s="36"/>
      <c r="O229" s="35">
        <v>55</v>
      </c>
      <c r="P229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7"/>
      <c r="V229" s="37"/>
      <c r="W229" s="38" t="s">
        <v>70</v>
      </c>
      <c r="X229" s="56">
        <v>0</v>
      </c>
      <c r="Y229" s="53">
        <f t="shared" si="21"/>
        <v>0</v>
      </c>
      <c r="Z229" s="39" t="str">
        <f>IFERROR(IF(Y229=0,"",ROUNDUP(Y229/H229,0)*0.00902),"")</f>
        <v/>
      </c>
      <c r="AA229" s="65"/>
      <c r="AB229" s="66"/>
      <c r="AC229" s="287" t="s">
        <v>361</v>
      </c>
      <c r="AG229" s="75"/>
      <c r="AJ229" s="79"/>
      <c r="AK229" s="79">
        <v>0</v>
      </c>
      <c r="BB229" s="288" t="s">
        <v>1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customHeight="1" x14ac:dyDescent="0.25">
      <c r="A230" s="60" t="s">
        <v>371</v>
      </c>
      <c r="B230" s="60" t="s">
        <v>372</v>
      </c>
      <c r="C230" s="34">
        <v>4301012149</v>
      </c>
      <c r="D230" s="549">
        <v>4680115886551</v>
      </c>
      <c r="E230" s="550"/>
      <c r="F230" s="59">
        <v>0.4</v>
      </c>
      <c r="G230" s="35">
        <v>10</v>
      </c>
      <c r="H230" s="59">
        <v>4</v>
      </c>
      <c r="I230" s="59">
        <v>4.1900000000000004</v>
      </c>
      <c r="J230" s="35">
        <v>132</v>
      </c>
      <c r="K230" s="35" t="s">
        <v>114</v>
      </c>
      <c r="L230" s="35"/>
      <c r="M230" s="36" t="s">
        <v>110</v>
      </c>
      <c r="N230" s="36"/>
      <c r="O230" s="35">
        <v>55</v>
      </c>
      <c r="P230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7"/>
      <c r="V230" s="37"/>
      <c r="W230" s="38" t="s">
        <v>70</v>
      </c>
      <c r="X230" s="56">
        <v>0</v>
      </c>
      <c r="Y230" s="53">
        <f t="shared" si="21"/>
        <v>0</v>
      </c>
      <c r="Z230" s="39" t="str">
        <f>IFERROR(IF(Y230=0,"",ROUNDUP(Y230/H230,0)*0.00902),"")</f>
        <v/>
      </c>
      <c r="AA230" s="65"/>
      <c r="AB230" s="66"/>
      <c r="AC230" s="289" t="s">
        <v>373</v>
      </c>
      <c r="AG230" s="75"/>
      <c r="AJ230" s="79"/>
      <c r="AK230" s="79">
        <v>0</v>
      </c>
      <c r="BB230" s="290" t="s">
        <v>1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customHeight="1" x14ac:dyDescent="0.25">
      <c r="A231" s="60" t="s">
        <v>374</v>
      </c>
      <c r="B231" s="60" t="s">
        <v>375</v>
      </c>
      <c r="C231" s="34">
        <v>4301011726</v>
      </c>
      <c r="D231" s="549">
        <v>4680115884182</v>
      </c>
      <c r="E231" s="550"/>
      <c r="F231" s="59">
        <v>0.37</v>
      </c>
      <c r="G231" s="35">
        <v>10</v>
      </c>
      <c r="H231" s="59">
        <v>3.7</v>
      </c>
      <c r="I231" s="59">
        <v>3.89</v>
      </c>
      <c r="J231" s="35">
        <v>132</v>
      </c>
      <c r="K231" s="35" t="s">
        <v>114</v>
      </c>
      <c r="L231" s="35"/>
      <c r="M231" s="36" t="s">
        <v>110</v>
      </c>
      <c r="N231" s="36"/>
      <c r="O231" s="35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7"/>
      <c r="V231" s="37"/>
      <c r="W231" s="38" t="s">
        <v>70</v>
      </c>
      <c r="X231" s="56">
        <v>0</v>
      </c>
      <c r="Y231" s="53">
        <f t="shared" si="21"/>
        <v>0</v>
      </c>
      <c r="Z231" s="39" t="str">
        <f>IFERROR(IF(Y231=0,"",ROUNDUP(Y231/H231,0)*0.00902),"")</f>
        <v/>
      </c>
      <c r="AA231" s="65"/>
      <c r="AB231" s="66"/>
      <c r="AC231" s="291" t="s">
        <v>364</v>
      </c>
      <c r="AG231" s="75"/>
      <c r="AJ231" s="79"/>
      <c r="AK231" s="79">
        <v>0</v>
      </c>
      <c r="BB231" s="292" t="s">
        <v>1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customHeight="1" x14ac:dyDescent="0.25">
      <c r="A232" s="60" t="s">
        <v>376</v>
      </c>
      <c r="B232" s="60" t="s">
        <v>377</v>
      </c>
      <c r="C232" s="34">
        <v>4301012228</v>
      </c>
      <c r="D232" s="549">
        <v>4680115887282</v>
      </c>
      <c r="E232" s="550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67</v>
      </c>
      <c r="L232" s="35"/>
      <c r="M232" s="36" t="s">
        <v>110</v>
      </c>
      <c r="N232" s="36"/>
      <c r="O232" s="35">
        <v>55</v>
      </c>
      <c r="P232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7"/>
      <c r="V232" s="37"/>
      <c r="W232" s="38" t="s">
        <v>70</v>
      </c>
      <c r="X232" s="56">
        <v>0</v>
      </c>
      <c r="Y232" s="53">
        <f t="shared" si="21"/>
        <v>0</v>
      </c>
      <c r="Z232" s="39" t="str">
        <f>IFERROR(IF(Y232=0,"",ROUNDUP(Y232/H232,0)*0.00651),"")</f>
        <v/>
      </c>
      <c r="AA232" s="65"/>
      <c r="AB232" s="66"/>
      <c r="AC232" s="293" t="s">
        <v>364</v>
      </c>
      <c r="AG232" s="75"/>
      <c r="AJ232" s="79"/>
      <c r="AK232" s="79">
        <v>0</v>
      </c>
      <c r="BB232" s="294" t="s">
        <v>1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378</v>
      </c>
      <c r="B233" s="60" t="s">
        <v>379</v>
      </c>
      <c r="C233" s="34">
        <v>4301011722</v>
      </c>
      <c r="D233" s="549">
        <v>4680115884205</v>
      </c>
      <c r="E233" s="550"/>
      <c r="F233" s="59">
        <v>0.4</v>
      </c>
      <c r="G233" s="35">
        <v>10</v>
      </c>
      <c r="H233" s="59">
        <v>4</v>
      </c>
      <c r="I233" s="59">
        <v>4.1900000000000004</v>
      </c>
      <c r="J233" s="35">
        <v>132</v>
      </c>
      <c r="K233" s="35" t="s">
        <v>114</v>
      </c>
      <c r="L233" s="35" t="s">
        <v>115</v>
      </c>
      <c r="M233" s="36" t="s">
        <v>110</v>
      </c>
      <c r="N233" s="36"/>
      <c r="O233" s="35">
        <v>55</v>
      </c>
      <c r="P233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7"/>
      <c r="V233" s="37"/>
      <c r="W233" s="38" t="s">
        <v>70</v>
      </c>
      <c r="X233" s="56">
        <v>0</v>
      </c>
      <c r="Y233" s="53">
        <f t="shared" si="21"/>
        <v>0</v>
      </c>
      <c r="Z233" s="39" t="str">
        <f>IFERROR(IF(Y233=0,"",ROUNDUP(Y233/H233,0)*0.00902),"")</f>
        <v/>
      </c>
      <c r="AA233" s="65"/>
      <c r="AB233" s="66"/>
      <c r="AC233" s="295" t="s">
        <v>367</v>
      </c>
      <c r="AG233" s="75"/>
      <c r="AJ233" s="79" t="s">
        <v>94</v>
      </c>
      <c r="AK233" s="79">
        <v>48</v>
      </c>
      <c r="BB233" s="296" t="s">
        <v>1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27" customHeight="1" x14ac:dyDescent="0.25">
      <c r="A234" s="60" t="s">
        <v>378</v>
      </c>
      <c r="B234" s="60" t="s">
        <v>380</v>
      </c>
      <c r="C234" s="34">
        <v>4301012195</v>
      </c>
      <c r="D234" s="549">
        <v>4680115884205</v>
      </c>
      <c r="E234" s="550"/>
      <c r="F234" s="59">
        <v>0.4</v>
      </c>
      <c r="G234" s="35">
        <v>10</v>
      </c>
      <c r="H234" s="59">
        <v>4</v>
      </c>
      <c r="I234" s="59">
        <v>4.1900000000000004</v>
      </c>
      <c r="J234" s="35">
        <v>132</v>
      </c>
      <c r="K234" s="35" t="s">
        <v>114</v>
      </c>
      <c r="L234" s="35"/>
      <c r="M234" s="36" t="s">
        <v>110</v>
      </c>
      <c r="N234" s="36"/>
      <c r="O234" s="35">
        <v>55</v>
      </c>
      <c r="P234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7"/>
      <c r="V234" s="37"/>
      <c r="W234" s="38" t="s">
        <v>70</v>
      </c>
      <c r="X234" s="56">
        <v>0</v>
      </c>
      <c r="Y234" s="53">
        <f t="shared" si="21"/>
        <v>0</v>
      </c>
      <c r="Z234" s="39" t="str">
        <f>IFERROR(IF(Y234=0,"",ROUNDUP(Y234/H234,0)*0.00902),"")</f>
        <v/>
      </c>
      <c r="AA234" s="65"/>
      <c r="AB234" s="66"/>
      <c r="AC234" s="297" t="s">
        <v>367</v>
      </c>
      <c r="AG234" s="75"/>
      <c r="AJ234" s="79"/>
      <c r="AK234" s="79">
        <v>0</v>
      </c>
      <c r="BB234" s="298" t="s">
        <v>1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3" t="s">
        <v>76</v>
      </c>
      <c r="Q235" s="564"/>
      <c r="R235" s="564"/>
      <c r="S235" s="564"/>
      <c r="T235" s="564"/>
      <c r="U235" s="564"/>
      <c r="V235" s="565"/>
      <c r="W235" s="40" t="s">
        <v>77</v>
      </c>
      <c r="X235" s="41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3" t="s">
        <v>76</v>
      </c>
      <c r="Q236" s="564"/>
      <c r="R236" s="564"/>
      <c r="S236" s="564"/>
      <c r="T236" s="564"/>
      <c r="U236" s="564"/>
      <c r="V236" s="565"/>
      <c r="W236" s="40" t="s">
        <v>70</v>
      </c>
      <c r="X236" s="41">
        <f>IFERROR(SUM(X225:X234),"0")</f>
        <v>0</v>
      </c>
      <c r="Y236" s="41">
        <f>IFERROR(SUM(Y225:Y234),"0")</f>
        <v>0</v>
      </c>
      <c r="Z236" s="40"/>
      <c r="AA236" s="64"/>
      <c r="AB236" s="64"/>
      <c r="AC236" s="64"/>
    </row>
    <row r="237" spans="1:68" ht="14.25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63"/>
      <c r="AB237" s="63"/>
      <c r="AC237" s="63"/>
    </row>
    <row r="238" spans="1:68" ht="27" customHeight="1" x14ac:dyDescent="0.25">
      <c r="A238" s="60" t="s">
        <v>381</v>
      </c>
      <c r="B238" s="60" t="s">
        <v>382</v>
      </c>
      <c r="C238" s="34">
        <v>4301020377</v>
      </c>
      <c r="D238" s="549">
        <v>4680115885981</v>
      </c>
      <c r="E238" s="550"/>
      <c r="F238" s="59">
        <v>0.33</v>
      </c>
      <c r="G238" s="35">
        <v>6</v>
      </c>
      <c r="H238" s="59">
        <v>1.98</v>
      </c>
      <c r="I238" s="59">
        <v>2.08</v>
      </c>
      <c r="J238" s="35">
        <v>234</v>
      </c>
      <c r="K238" s="35" t="s">
        <v>74</v>
      </c>
      <c r="L238" s="35"/>
      <c r="M238" s="36" t="s">
        <v>81</v>
      </c>
      <c r="N238" s="36"/>
      <c r="O238" s="35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7"/>
      <c r="V238" s="37"/>
      <c r="W238" s="38" t="s">
        <v>70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IFERROR(IF(Y238=0,"",ROUNDUP(Y238/H238,0)*0.00502),"")</f>
        <v/>
      </c>
      <c r="AA238" s="65"/>
      <c r="AB238" s="66"/>
      <c r="AC238" s="299" t="s">
        <v>383</v>
      </c>
      <c r="AG238" s="75"/>
      <c r="AJ238" s="79"/>
      <c r="AK238" s="79">
        <v>0</v>
      </c>
      <c r="BB238" s="300" t="s">
        <v>1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3" t="s">
        <v>76</v>
      </c>
      <c r="Q239" s="564"/>
      <c r="R239" s="564"/>
      <c r="S239" s="564"/>
      <c r="T239" s="564"/>
      <c r="U239" s="564"/>
      <c r="V239" s="565"/>
      <c r="W239" s="40" t="s">
        <v>77</v>
      </c>
      <c r="X239" s="41">
        <f>IFERROR(X238/H238,"0")</f>
        <v>0</v>
      </c>
      <c r="Y239" s="41">
        <f>IFERROR(Y238/H238,"0")</f>
        <v>0</v>
      </c>
      <c r="Z239" s="41">
        <f>IFERROR(IF(Z238="",0,Z238),"0")</f>
        <v>0</v>
      </c>
      <c r="AA239" s="64"/>
      <c r="AB239" s="64"/>
      <c r="AC239" s="64"/>
    </row>
    <row r="240" spans="1:68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3" t="s">
        <v>76</v>
      </c>
      <c r="Q240" s="564"/>
      <c r="R240" s="564"/>
      <c r="S240" s="564"/>
      <c r="T240" s="564"/>
      <c r="U240" s="564"/>
      <c r="V240" s="565"/>
      <c r="W240" s="40" t="s">
        <v>70</v>
      </c>
      <c r="X240" s="41">
        <f>IFERROR(SUM(X238:X238),"0")</f>
        <v>0</v>
      </c>
      <c r="Y240" s="41">
        <f>IFERROR(SUM(Y238:Y238),"0")</f>
        <v>0</v>
      </c>
      <c r="Z240" s="40"/>
      <c r="AA240" s="64"/>
      <c r="AB240" s="64"/>
      <c r="AC240" s="64"/>
    </row>
    <row r="241" spans="1:68" ht="14.25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63"/>
      <c r="AB241" s="63"/>
      <c r="AC241" s="63"/>
    </row>
    <row r="242" spans="1:68" ht="27" customHeight="1" x14ac:dyDescent="0.25">
      <c r="A242" s="60" t="s">
        <v>385</v>
      </c>
      <c r="B242" s="60" t="s">
        <v>386</v>
      </c>
      <c r="C242" s="34">
        <v>4301040362</v>
      </c>
      <c r="D242" s="549">
        <v>4680115886803</v>
      </c>
      <c r="E242" s="550"/>
      <c r="F242" s="59">
        <v>0.12</v>
      </c>
      <c r="G242" s="35">
        <v>15</v>
      </c>
      <c r="H242" s="59">
        <v>1.8</v>
      </c>
      <c r="I242" s="59">
        <v>1.9750000000000001</v>
      </c>
      <c r="J242" s="35">
        <v>216</v>
      </c>
      <c r="K242" s="35" t="s">
        <v>288</v>
      </c>
      <c r="L242" s="35"/>
      <c r="M242" s="36" t="s">
        <v>289</v>
      </c>
      <c r="N242" s="36"/>
      <c r="O242" s="35">
        <v>45</v>
      </c>
      <c r="P242" s="6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7"/>
      <c r="V242" s="37"/>
      <c r="W242" s="38" t="s">
        <v>70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IFERROR(IF(Y242=0,"",ROUNDUP(Y242/H242,0)*0.0059),"")</f>
        <v/>
      </c>
      <c r="AA242" s="65"/>
      <c r="AB242" s="66"/>
      <c r="AC242" s="301" t="s">
        <v>387</v>
      </c>
      <c r="AG242" s="75"/>
      <c r="AJ242" s="79"/>
      <c r="AK242" s="79">
        <v>0</v>
      </c>
      <c r="BB242" s="302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3" t="s">
        <v>76</v>
      </c>
      <c r="Q243" s="564"/>
      <c r="R243" s="564"/>
      <c r="S243" s="564"/>
      <c r="T243" s="564"/>
      <c r="U243" s="564"/>
      <c r="V243" s="565"/>
      <c r="W243" s="40" t="s">
        <v>77</v>
      </c>
      <c r="X243" s="41">
        <f>IFERROR(X242/H242,"0")</f>
        <v>0</v>
      </c>
      <c r="Y243" s="41">
        <f>IFERROR(Y242/H242,"0")</f>
        <v>0</v>
      </c>
      <c r="Z243" s="41">
        <f>IFERROR(IF(Z242="",0,Z242),"0")</f>
        <v>0</v>
      </c>
      <c r="AA243" s="64"/>
      <c r="AB243" s="64"/>
      <c r="AC243" s="64"/>
    </row>
    <row r="244" spans="1:68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3" t="s">
        <v>76</v>
      </c>
      <c r="Q244" s="564"/>
      <c r="R244" s="564"/>
      <c r="S244" s="564"/>
      <c r="T244" s="564"/>
      <c r="U244" s="564"/>
      <c r="V244" s="565"/>
      <c r="W244" s="40" t="s">
        <v>70</v>
      </c>
      <c r="X244" s="41">
        <f>IFERROR(SUM(X242:X242),"0")</f>
        <v>0</v>
      </c>
      <c r="Y244" s="41">
        <f>IFERROR(SUM(Y242:Y242),"0")</f>
        <v>0</v>
      </c>
      <c r="Z244" s="40"/>
      <c r="AA244" s="64"/>
      <c r="AB244" s="64"/>
      <c r="AC244" s="64"/>
    </row>
    <row r="245" spans="1:68" ht="14.25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63"/>
      <c r="AB245" s="63"/>
      <c r="AC245" s="63"/>
    </row>
    <row r="246" spans="1:68" ht="27" customHeight="1" x14ac:dyDescent="0.25">
      <c r="A246" s="60" t="s">
        <v>389</v>
      </c>
      <c r="B246" s="60" t="s">
        <v>390</v>
      </c>
      <c r="C246" s="34">
        <v>4301041004</v>
      </c>
      <c r="D246" s="549">
        <v>4680115886704</v>
      </c>
      <c r="E246" s="550"/>
      <c r="F246" s="59">
        <v>5.5E-2</v>
      </c>
      <c r="G246" s="35">
        <v>18</v>
      </c>
      <c r="H246" s="59">
        <v>0.99</v>
      </c>
      <c r="I246" s="59">
        <v>1.18</v>
      </c>
      <c r="J246" s="35">
        <v>216</v>
      </c>
      <c r="K246" s="35" t="s">
        <v>288</v>
      </c>
      <c r="L246" s="35"/>
      <c r="M246" s="36" t="s">
        <v>289</v>
      </c>
      <c r="N246" s="36"/>
      <c r="O246" s="35">
        <v>90</v>
      </c>
      <c r="P246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7"/>
      <c r="V246" s="37"/>
      <c r="W246" s="38" t="s">
        <v>70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/>
      <c r="AB246" s="66"/>
      <c r="AC246" s="303" t="s">
        <v>391</v>
      </c>
      <c r="AG246" s="75"/>
      <c r="AJ246" s="79"/>
      <c r="AK246" s="79">
        <v>0</v>
      </c>
      <c r="BB246" s="304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customHeight="1" x14ac:dyDescent="0.25">
      <c r="A247" s="60" t="s">
        <v>392</v>
      </c>
      <c r="B247" s="60" t="s">
        <v>393</v>
      </c>
      <c r="C247" s="34">
        <v>4301041008</v>
      </c>
      <c r="D247" s="549">
        <v>4680115886681</v>
      </c>
      <c r="E247" s="550"/>
      <c r="F247" s="59">
        <v>0.12</v>
      </c>
      <c r="G247" s="35">
        <v>15</v>
      </c>
      <c r="H247" s="59">
        <v>1.8</v>
      </c>
      <c r="I247" s="59">
        <v>1.9750000000000001</v>
      </c>
      <c r="J247" s="35">
        <v>216</v>
      </c>
      <c r="K247" s="35" t="s">
        <v>288</v>
      </c>
      <c r="L247" s="35"/>
      <c r="M247" s="36" t="s">
        <v>289</v>
      </c>
      <c r="N247" s="36"/>
      <c r="O247" s="35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7"/>
      <c r="V247" s="37"/>
      <c r="W247" s="38" t="s">
        <v>70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/>
      <c r="AB247" s="66"/>
      <c r="AC247" s="305" t="s">
        <v>391</v>
      </c>
      <c r="AG247" s="75"/>
      <c r="AJ247" s="79"/>
      <c r="AK247" s="79">
        <v>0</v>
      </c>
      <c r="BB247" s="306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customHeight="1" x14ac:dyDescent="0.25">
      <c r="A248" s="60" t="s">
        <v>394</v>
      </c>
      <c r="B248" s="60" t="s">
        <v>395</v>
      </c>
      <c r="C248" s="34">
        <v>4301041007</v>
      </c>
      <c r="D248" s="549">
        <v>4680115886735</v>
      </c>
      <c r="E248" s="550"/>
      <c r="F248" s="59">
        <v>0.05</v>
      </c>
      <c r="G248" s="35">
        <v>18</v>
      </c>
      <c r="H248" s="59">
        <v>0.9</v>
      </c>
      <c r="I248" s="59">
        <v>1.0900000000000001</v>
      </c>
      <c r="J248" s="35">
        <v>216</v>
      </c>
      <c r="K248" s="35" t="s">
        <v>288</v>
      </c>
      <c r="L248" s="35"/>
      <c r="M248" s="36" t="s">
        <v>289</v>
      </c>
      <c r="N248" s="36"/>
      <c r="O248" s="35">
        <v>90</v>
      </c>
      <c r="P248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7"/>
      <c r="V248" s="37"/>
      <c r="W248" s="38" t="s">
        <v>70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/>
      <c r="AB248" s="66"/>
      <c r="AC248" s="307" t="s">
        <v>391</v>
      </c>
      <c r="AG248" s="75"/>
      <c r="AJ248" s="79"/>
      <c r="AK248" s="79">
        <v>0</v>
      </c>
      <c r="BB248" s="308" t="s">
        <v>1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customHeight="1" x14ac:dyDescent="0.25">
      <c r="A249" s="60" t="s">
        <v>396</v>
      </c>
      <c r="B249" s="60" t="s">
        <v>397</v>
      </c>
      <c r="C249" s="34">
        <v>4301041006</v>
      </c>
      <c r="D249" s="549">
        <v>4680115886728</v>
      </c>
      <c r="E249" s="550"/>
      <c r="F249" s="59">
        <v>5.5E-2</v>
      </c>
      <c r="G249" s="35">
        <v>18</v>
      </c>
      <c r="H249" s="59">
        <v>0.99</v>
      </c>
      <c r="I249" s="59">
        <v>1.18</v>
      </c>
      <c r="J249" s="35">
        <v>216</v>
      </c>
      <c r="K249" s="35" t="s">
        <v>288</v>
      </c>
      <c r="L249" s="35"/>
      <c r="M249" s="36" t="s">
        <v>289</v>
      </c>
      <c r="N249" s="36"/>
      <c r="O249" s="35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7"/>
      <c r="V249" s="37"/>
      <c r="W249" s="38" t="s">
        <v>70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/>
      <c r="AB249" s="66"/>
      <c r="AC249" s="309" t="s">
        <v>391</v>
      </c>
      <c r="AG249" s="75"/>
      <c r="AJ249" s="79"/>
      <c r="AK249" s="79">
        <v>0</v>
      </c>
      <c r="BB249" s="310" t="s">
        <v>1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customHeight="1" x14ac:dyDescent="0.25">
      <c r="A250" s="60" t="s">
        <v>398</v>
      </c>
      <c r="B250" s="60" t="s">
        <v>399</v>
      </c>
      <c r="C250" s="34">
        <v>4301041005</v>
      </c>
      <c r="D250" s="549">
        <v>4680115886711</v>
      </c>
      <c r="E250" s="550"/>
      <c r="F250" s="59">
        <v>5.5E-2</v>
      </c>
      <c r="G250" s="35">
        <v>18</v>
      </c>
      <c r="H250" s="59">
        <v>0.99</v>
      </c>
      <c r="I250" s="59">
        <v>1.18</v>
      </c>
      <c r="J250" s="35">
        <v>216</v>
      </c>
      <c r="K250" s="35" t="s">
        <v>288</v>
      </c>
      <c r="L250" s="35"/>
      <c r="M250" s="36" t="s">
        <v>289</v>
      </c>
      <c r="N250" s="36"/>
      <c r="O250" s="35">
        <v>90</v>
      </c>
      <c r="P250" s="6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7"/>
      <c r="V250" s="37"/>
      <c r="W250" s="38" t="s">
        <v>70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/>
      <c r="AB250" s="66"/>
      <c r="AC250" s="311" t="s">
        <v>391</v>
      </c>
      <c r="AG250" s="75"/>
      <c r="AJ250" s="79"/>
      <c r="AK250" s="79">
        <v>0</v>
      </c>
      <c r="BB250" s="312" t="s">
        <v>1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3" t="s">
        <v>76</v>
      </c>
      <c r="Q251" s="564"/>
      <c r="R251" s="564"/>
      <c r="S251" s="564"/>
      <c r="T251" s="564"/>
      <c r="U251" s="564"/>
      <c r="V251" s="565"/>
      <c r="W251" s="40" t="s">
        <v>77</v>
      </c>
      <c r="X251" s="41">
        <f>IFERROR(X246/H246,"0")+IFERROR(X247/H247,"0")+IFERROR(X248/H248,"0")+IFERROR(X249/H249,"0")+IFERROR(X250/H250,"0")</f>
        <v>0</v>
      </c>
      <c r="Y251" s="41">
        <f>IFERROR(Y246/H246,"0")+IFERROR(Y247/H247,"0")+IFERROR(Y248/H248,"0")+IFERROR(Y249/H249,"0")+IFERROR(Y250/H250,"0")</f>
        <v>0</v>
      </c>
      <c r="Z251" s="41">
        <f>IFERROR(IF(Z246="",0,Z246),"0")+IFERROR(IF(Z247="",0,Z247),"0")+IFERROR(IF(Z248="",0,Z248),"0")+IFERROR(IF(Z249="",0,Z249),"0")+IFERROR(IF(Z250="",0,Z250),"0")</f>
        <v>0</v>
      </c>
      <c r="AA251" s="64"/>
      <c r="AB251" s="64"/>
      <c r="AC251" s="64"/>
    </row>
    <row r="252" spans="1:68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3" t="s">
        <v>76</v>
      </c>
      <c r="Q252" s="564"/>
      <c r="R252" s="564"/>
      <c r="S252" s="564"/>
      <c r="T252" s="564"/>
      <c r="U252" s="564"/>
      <c r="V252" s="565"/>
      <c r="W252" s="40" t="s">
        <v>70</v>
      </c>
      <c r="X252" s="41">
        <f>IFERROR(SUM(X246:X250),"0")</f>
        <v>0</v>
      </c>
      <c r="Y252" s="41">
        <f>IFERROR(SUM(Y246:Y250),"0")</f>
        <v>0</v>
      </c>
      <c r="Z252" s="40"/>
      <c r="AA252" s="64"/>
      <c r="AB252" s="64"/>
      <c r="AC252" s="64"/>
    </row>
    <row r="253" spans="1:68" ht="16.5" customHeight="1" x14ac:dyDescent="0.25">
      <c r="A253" s="560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62"/>
      <c r="AB253" s="62"/>
      <c r="AC253" s="62"/>
    </row>
    <row r="254" spans="1:68" ht="14.25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63"/>
      <c r="AB254" s="63"/>
      <c r="AC254" s="63"/>
    </row>
    <row r="255" spans="1:68" ht="27" customHeight="1" x14ac:dyDescent="0.25">
      <c r="A255" s="60" t="s">
        <v>401</v>
      </c>
      <c r="B255" s="60" t="s">
        <v>402</v>
      </c>
      <c r="C255" s="34">
        <v>4301011855</v>
      </c>
      <c r="D255" s="549">
        <v>4680115885837</v>
      </c>
      <c r="E255" s="550"/>
      <c r="F255" s="59">
        <v>1.35</v>
      </c>
      <c r="G255" s="35">
        <v>8</v>
      </c>
      <c r="H255" s="59">
        <v>10.8</v>
      </c>
      <c r="I255" s="59">
        <v>11.21</v>
      </c>
      <c r="J255" s="35">
        <v>64</v>
      </c>
      <c r="K255" s="35" t="s">
        <v>108</v>
      </c>
      <c r="L255" s="35" t="s">
        <v>109</v>
      </c>
      <c r="M255" s="36" t="s">
        <v>110</v>
      </c>
      <c r="N255" s="36"/>
      <c r="O255" s="35">
        <v>55</v>
      </c>
      <c r="P255" s="6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7"/>
      <c r="V255" s="37"/>
      <c r="W255" s="38" t="s">
        <v>70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/>
      <c r="AB255" s="66"/>
      <c r="AC255" s="313" t="s">
        <v>403</v>
      </c>
      <c r="AG255" s="75"/>
      <c r="AJ255" s="79" t="s">
        <v>94</v>
      </c>
      <c r="AK255" s="79">
        <v>86.4</v>
      </c>
      <c r="BB255" s="314" t="s">
        <v>1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37.5" customHeight="1" x14ac:dyDescent="0.25">
      <c r="A256" s="60" t="s">
        <v>404</v>
      </c>
      <c r="B256" s="60" t="s">
        <v>405</v>
      </c>
      <c r="C256" s="34">
        <v>4301011853</v>
      </c>
      <c r="D256" s="549">
        <v>4680115885851</v>
      </c>
      <c r="E256" s="550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108</v>
      </c>
      <c r="L256" s="35"/>
      <c r="M256" s="36" t="s">
        <v>110</v>
      </c>
      <c r="N256" s="36"/>
      <c r="O256" s="35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7"/>
      <c r="V256" s="37"/>
      <c r="W256" s="38" t="s">
        <v>70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/>
      <c r="AB256" s="66"/>
      <c r="AC256" s="315" t="s">
        <v>406</v>
      </c>
      <c r="AG256" s="75"/>
      <c r="AJ256" s="79"/>
      <c r="AK256" s="79">
        <v>0</v>
      </c>
      <c r="BB256" s="316" t="s">
        <v>1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407</v>
      </c>
      <c r="B257" s="60" t="s">
        <v>408</v>
      </c>
      <c r="C257" s="34">
        <v>4301011850</v>
      </c>
      <c r="D257" s="549">
        <v>4680115885806</v>
      </c>
      <c r="E257" s="550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108</v>
      </c>
      <c r="L257" s="35" t="s">
        <v>109</v>
      </c>
      <c r="M257" s="36" t="s">
        <v>110</v>
      </c>
      <c r="N257" s="36"/>
      <c r="O257" s="35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7"/>
      <c r="V257" s="37"/>
      <c r="W257" s="38" t="s">
        <v>70</v>
      </c>
      <c r="X257" s="56">
        <v>90</v>
      </c>
      <c r="Y257" s="53">
        <f>IFERROR(IF(X257="",0,CEILING((X257/$H257),1)*$H257),"")</f>
        <v>97.2</v>
      </c>
      <c r="Z257" s="39">
        <f>IFERROR(IF(Y257=0,"",ROUNDUP(Y257/H257,0)*0.01898),"")</f>
        <v>0.17082</v>
      </c>
      <c r="AA257" s="65"/>
      <c r="AB257" s="66"/>
      <c r="AC257" s="317" t="s">
        <v>409</v>
      </c>
      <c r="AG257" s="75"/>
      <c r="AJ257" s="79" t="s">
        <v>94</v>
      </c>
      <c r="AK257" s="79">
        <v>86.4</v>
      </c>
      <c r="BB257" s="318" t="s">
        <v>1</v>
      </c>
      <c r="BM257" s="75">
        <f>IFERROR(X257*I257/H257,"0")</f>
        <v>93.416666666666671</v>
      </c>
      <c r="BN257" s="75">
        <f>IFERROR(Y257*I257/H257,"0")</f>
        <v>100.89</v>
      </c>
      <c r="BO257" s="75">
        <f>IFERROR(1/J257*(X257/H257),"0")</f>
        <v>0.13020833333333331</v>
      </c>
      <c r="BP257" s="75">
        <f>IFERROR(1/J257*(Y257/H257),"0")</f>
        <v>0.140625</v>
      </c>
    </row>
    <row r="258" spans="1:68" ht="27" customHeight="1" x14ac:dyDescent="0.25">
      <c r="A258" s="60" t="s">
        <v>410</v>
      </c>
      <c r="B258" s="60" t="s">
        <v>411</v>
      </c>
      <c r="C258" s="34">
        <v>4301011852</v>
      </c>
      <c r="D258" s="549">
        <v>4680115885844</v>
      </c>
      <c r="E258" s="550"/>
      <c r="F258" s="59">
        <v>0.4</v>
      </c>
      <c r="G258" s="35">
        <v>10</v>
      </c>
      <c r="H258" s="59">
        <v>4</v>
      </c>
      <c r="I258" s="59">
        <v>4.1900000000000004</v>
      </c>
      <c r="J258" s="35">
        <v>132</v>
      </c>
      <c r="K258" s="35" t="s">
        <v>114</v>
      </c>
      <c r="L258" s="35"/>
      <c r="M258" s="36" t="s">
        <v>110</v>
      </c>
      <c r="N258" s="36"/>
      <c r="O258" s="35">
        <v>55</v>
      </c>
      <c r="P25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7"/>
      <c r="V258" s="37"/>
      <c r="W258" s="38" t="s">
        <v>70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IFERROR(IF(Y258=0,"",ROUNDUP(Y258/H258,0)*0.00902),"")</f>
        <v/>
      </c>
      <c r="AA258" s="65"/>
      <c r="AB258" s="66"/>
      <c r="AC258" s="319" t="s">
        <v>412</v>
      </c>
      <c r="AG258" s="75"/>
      <c r="AJ258" s="79"/>
      <c r="AK258" s="79">
        <v>0</v>
      </c>
      <c r="BB258" s="320" t="s">
        <v>1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t="37.5" customHeight="1" x14ac:dyDescent="0.25">
      <c r="A259" s="60" t="s">
        <v>413</v>
      </c>
      <c r="B259" s="60" t="s">
        <v>414</v>
      </c>
      <c r="C259" s="34">
        <v>4301011851</v>
      </c>
      <c r="D259" s="549">
        <v>4680115885820</v>
      </c>
      <c r="E259" s="550"/>
      <c r="F259" s="59">
        <v>0.4</v>
      </c>
      <c r="G259" s="35">
        <v>10</v>
      </c>
      <c r="H259" s="59">
        <v>4</v>
      </c>
      <c r="I259" s="59">
        <v>4.1900000000000004</v>
      </c>
      <c r="J259" s="35">
        <v>132</v>
      </c>
      <c r="K259" s="35" t="s">
        <v>114</v>
      </c>
      <c r="L259" s="35" t="s">
        <v>115</v>
      </c>
      <c r="M259" s="36" t="s">
        <v>110</v>
      </c>
      <c r="N259" s="36"/>
      <c r="O259" s="35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7"/>
      <c r="V259" s="37"/>
      <c r="W259" s="38" t="s">
        <v>70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IFERROR(IF(Y259=0,"",ROUNDUP(Y259/H259,0)*0.00902),"")</f>
        <v/>
      </c>
      <c r="AA259" s="65"/>
      <c r="AB259" s="66"/>
      <c r="AC259" s="321" t="s">
        <v>415</v>
      </c>
      <c r="AG259" s="75"/>
      <c r="AJ259" s="79" t="s">
        <v>94</v>
      </c>
      <c r="AK259" s="79">
        <v>48</v>
      </c>
      <c r="BB259" s="322" t="s">
        <v>1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3" t="s">
        <v>76</v>
      </c>
      <c r="Q260" s="564"/>
      <c r="R260" s="564"/>
      <c r="S260" s="564"/>
      <c r="T260" s="564"/>
      <c r="U260" s="564"/>
      <c r="V260" s="565"/>
      <c r="W260" s="40" t="s">
        <v>77</v>
      </c>
      <c r="X260" s="41">
        <f>IFERROR(X255/H255,"0")+IFERROR(X256/H256,"0")+IFERROR(X257/H257,"0")+IFERROR(X258/H258,"0")+IFERROR(X259/H259,"0")</f>
        <v>8.3333333333333321</v>
      </c>
      <c r="Y260" s="41">
        <f>IFERROR(Y255/H255,"0")+IFERROR(Y256/H256,"0")+IFERROR(Y257/H257,"0")+IFERROR(Y258/H258,"0")+IFERROR(Y259/H259,"0")</f>
        <v>9</v>
      </c>
      <c r="Z260" s="41">
        <f>IFERROR(IF(Z255="",0,Z255),"0")+IFERROR(IF(Z256="",0,Z256),"0")+IFERROR(IF(Z257="",0,Z257),"0")+IFERROR(IF(Z258="",0,Z258),"0")+IFERROR(IF(Z259="",0,Z259),"0")</f>
        <v>0.17082</v>
      </c>
      <c r="AA260" s="64"/>
      <c r="AB260" s="64"/>
      <c r="AC260" s="64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3" t="s">
        <v>76</v>
      </c>
      <c r="Q261" s="564"/>
      <c r="R261" s="564"/>
      <c r="S261" s="564"/>
      <c r="T261" s="564"/>
      <c r="U261" s="564"/>
      <c r="V261" s="565"/>
      <c r="W261" s="40" t="s">
        <v>70</v>
      </c>
      <c r="X261" s="41">
        <f>IFERROR(SUM(X255:X259),"0")</f>
        <v>90</v>
      </c>
      <c r="Y261" s="41">
        <f>IFERROR(SUM(Y255:Y259),"0")</f>
        <v>97.2</v>
      </c>
      <c r="Z261" s="40"/>
      <c r="AA261" s="64"/>
      <c r="AB261" s="64"/>
      <c r="AC261" s="64"/>
    </row>
    <row r="262" spans="1:68" ht="16.5" customHeight="1" x14ac:dyDescent="0.25">
      <c r="A262" s="560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62"/>
      <c r="AB262" s="62"/>
      <c r="AC262" s="62"/>
    </row>
    <row r="263" spans="1:68" ht="14.25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63"/>
      <c r="AB263" s="63"/>
      <c r="AC263" s="63"/>
    </row>
    <row r="264" spans="1:68" ht="27" customHeight="1" x14ac:dyDescent="0.25">
      <c r="A264" s="60" t="s">
        <v>417</v>
      </c>
      <c r="B264" s="60" t="s">
        <v>418</v>
      </c>
      <c r="C264" s="34">
        <v>4301011223</v>
      </c>
      <c r="D264" s="549">
        <v>4607091383423</v>
      </c>
      <c r="E264" s="550"/>
      <c r="F264" s="59">
        <v>1.35</v>
      </c>
      <c r="G264" s="35">
        <v>8</v>
      </c>
      <c r="H264" s="59">
        <v>10.8</v>
      </c>
      <c r="I264" s="59">
        <v>11.305999999999999</v>
      </c>
      <c r="J264" s="35">
        <v>64</v>
      </c>
      <c r="K264" s="35" t="s">
        <v>108</v>
      </c>
      <c r="L264" s="35"/>
      <c r="M264" s="36" t="s">
        <v>81</v>
      </c>
      <c r="N264" s="36"/>
      <c r="O264" s="35">
        <v>35</v>
      </c>
      <c r="P264" s="69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7"/>
      <c r="V264" s="37"/>
      <c r="W264" s="38" t="s">
        <v>70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/>
      <c r="AB264" s="66"/>
      <c r="AC264" s="323" t="s">
        <v>111</v>
      </c>
      <c r="AG264" s="75"/>
      <c r="AJ264" s="79"/>
      <c r="AK264" s="79">
        <v>0</v>
      </c>
      <c r="BB264" s="324" t="s">
        <v>1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37.5" customHeight="1" x14ac:dyDescent="0.25">
      <c r="A265" s="60" t="s">
        <v>419</v>
      </c>
      <c r="B265" s="60" t="s">
        <v>420</v>
      </c>
      <c r="C265" s="34">
        <v>4301012199</v>
      </c>
      <c r="D265" s="549">
        <v>4680115886957</v>
      </c>
      <c r="E265" s="550"/>
      <c r="F265" s="59">
        <v>1.35</v>
      </c>
      <c r="G265" s="35">
        <v>8</v>
      </c>
      <c r="H265" s="59">
        <v>10.8</v>
      </c>
      <c r="I265" s="59">
        <v>11.21</v>
      </c>
      <c r="J265" s="35">
        <v>64</v>
      </c>
      <c r="K265" s="35" t="s">
        <v>108</v>
      </c>
      <c r="L265" s="35"/>
      <c r="M265" s="36" t="s">
        <v>81</v>
      </c>
      <c r="N265" s="36"/>
      <c r="O265" s="35">
        <v>30</v>
      </c>
      <c r="P265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7"/>
      <c r="V265" s="37"/>
      <c r="W265" s="38" t="s">
        <v>70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/>
      <c r="AB265" s="66"/>
      <c r="AC265" s="325" t="s">
        <v>421</v>
      </c>
      <c r="AG265" s="75"/>
      <c r="AJ265" s="79"/>
      <c r="AK265" s="79">
        <v>0</v>
      </c>
      <c r="BB265" s="326" t="s">
        <v>1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27" customHeight="1" x14ac:dyDescent="0.25">
      <c r="A266" s="60" t="s">
        <v>422</v>
      </c>
      <c r="B266" s="60" t="s">
        <v>423</v>
      </c>
      <c r="C266" s="34">
        <v>4301012098</v>
      </c>
      <c r="D266" s="549">
        <v>4680115885660</v>
      </c>
      <c r="E266" s="550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108</v>
      </c>
      <c r="L266" s="35"/>
      <c r="M266" s="36" t="s">
        <v>81</v>
      </c>
      <c r="N266" s="36"/>
      <c r="O266" s="35">
        <v>35</v>
      </c>
      <c r="P266" s="6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7"/>
      <c r="V266" s="37"/>
      <c r="W266" s="38" t="s">
        <v>70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/>
      <c r="AB266" s="66"/>
      <c r="AC266" s="327" t="s">
        <v>367</v>
      </c>
      <c r="AG266" s="75"/>
      <c r="AJ266" s="79"/>
      <c r="AK266" s="79">
        <v>0</v>
      </c>
      <c r="BB266" s="328" t="s">
        <v>1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37.5" customHeight="1" x14ac:dyDescent="0.25">
      <c r="A267" s="60" t="s">
        <v>424</v>
      </c>
      <c r="B267" s="60" t="s">
        <v>425</v>
      </c>
      <c r="C267" s="34">
        <v>4301012176</v>
      </c>
      <c r="D267" s="549">
        <v>4680115886773</v>
      </c>
      <c r="E267" s="550"/>
      <c r="F267" s="59">
        <v>0.9</v>
      </c>
      <c r="G267" s="35">
        <v>10</v>
      </c>
      <c r="H267" s="59">
        <v>9</v>
      </c>
      <c r="I267" s="59">
        <v>9.41</v>
      </c>
      <c r="J267" s="35">
        <v>64</v>
      </c>
      <c r="K267" s="35" t="s">
        <v>108</v>
      </c>
      <c r="L267" s="35"/>
      <c r="M267" s="36" t="s">
        <v>110</v>
      </c>
      <c r="N267" s="36"/>
      <c r="O267" s="35">
        <v>31</v>
      </c>
      <c r="P267" s="72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7"/>
      <c r="V267" s="37"/>
      <c r="W267" s="38" t="s">
        <v>70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/>
      <c r="AB267" s="66"/>
      <c r="AC267" s="329" t="s">
        <v>426</v>
      </c>
      <c r="AG267" s="75"/>
      <c r="AJ267" s="79"/>
      <c r="AK267" s="79">
        <v>0</v>
      </c>
      <c r="BB267" s="330" t="s">
        <v>1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3" t="s">
        <v>76</v>
      </c>
      <c r="Q268" s="564"/>
      <c r="R268" s="564"/>
      <c r="S268" s="564"/>
      <c r="T268" s="564"/>
      <c r="U268" s="564"/>
      <c r="V268" s="565"/>
      <c r="W268" s="40" t="s">
        <v>77</v>
      </c>
      <c r="X268" s="41">
        <f>IFERROR(X264/H264,"0")+IFERROR(X265/H265,"0")+IFERROR(X266/H266,"0")+IFERROR(X267/H267,"0")</f>
        <v>0</v>
      </c>
      <c r="Y268" s="41">
        <f>IFERROR(Y264/H264,"0")+IFERROR(Y265/H265,"0")+IFERROR(Y266/H266,"0")+IFERROR(Y267/H267,"0")</f>
        <v>0</v>
      </c>
      <c r="Z268" s="41">
        <f>IFERROR(IF(Z264="",0,Z264),"0")+IFERROR(IF(Z265="",0,Z265),"0")+IFERROR(IF(Z266="",0,Z266),"0")+IFERROR(IF(Z267="",0,Z267),"0")</f>
        <v>0</v>
      </c>
      <c r="AA268" s="64"/>
      <c r="AB268" s="64"/>
      <c r="AC268" s="64"/>
    </row>
    <row r="269" spans="1:68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3" t="s">
        <v>76</v>
      </c>
      <c r="Q269" s="564"/>
      <c r="R269" s="564"/>
      <c r="S269" s="564"/>
      <c r="T269" s="564"/>
      <c r="U269" s="564"/>
      <c r="V269" s="565"/>
      <c r="W269" s="40" t="s">
        <v>70</v>
      </c>
      <c r="X269" s="41">
        <f>IFERROR(SUM(X264:X267),"0")</f>
        <v>0</v>
      </c>
      <c r="Y269" s="41">
        <f>IFERROR(SUM(Y264:Y267),"0")</f>
        <v>0</v>
      </c>
      <c r="Z269" s="40"/>
      <c r="AA269" s="64"/>
      <c r="AB269" s="64"/>
      <c r="AC269" s="64"/>
    </row>
    <row r="270" spans="1:68" ht="16.5" customHeight="1" x14ac:dyDescent="0.25">
      <c r="A270" s="560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62"/>
      <c r="AB270" s="62"/>
      <c r="AC270" s="62"/>
    </row>
    <row r="271" spans="1:68" ht="14.25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63"/>
      <c r="AB271" s="63"/>
      <c r="AC271" s="63"/>
    </row>
    <row r="272" spans="1:68" ht="27" customHeight="1" x14ac:dyDescent="0.25">
      <c r="A272" s="60" t="s">
        <v>428</v>
      </c>
      <c r="B272" s="60" t="s">
        <v>429</v>
      </c>
      <c r="C272" s="34">
        <v>4301051893</v>
      </c>
      <c r="D272" s="549">
        <v>4680115886186</v>
      </c>
      <c r="E272" s="550"/>
      <c r="F272" s="59">
        <v>0.3</v>
      </c>
      <c r="G272" s="35">
        <v>6</v>
      </c>
      <c r="H272" s="59">
        <v>1.8</v>
      </c>
      <c r="I272" s="59">
        <v>1.98</v>
      </c>
      <c r="J272" s="35">
        <v>182</v>
      </c>
      <c r="K272" s="35" t="s">
        <v>67</v>
      </c>
      <c r="L272" s="35"/>
      <c r="M272" s="36" t="s">
        <v>81</v>
      </c>
      <c r="N272" s="36"/>
      <c r="O272" s="35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7"/>
      <c r="V272" s="37"/>
      <c r="W272" s="38" t="s">
        <v>70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/>
      <c r="AB272" s="66"/>
      <c r="AC272" s="331" t="s">
        <v>430</v>
      </c>
      <c r="AG272" s="75"/>
      <c r="AJ272" s="79"/>
      <c r="AK272" s="79">
        <v>0</v>
      </c>
      <c r="BB272" s="332" t="s">
        <v>1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431</v>
      </c>
      <c r="B273" s="60" t="s">
        <v>432</v>
      </c>
      <c r="C273" s="34">
        <v>4301051795</v>
      </c>
      <c r="D273" s="549">
        <v>4680115881228</v>
      </c>
      <c r="E273" s="550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67</v>
      </c>
      <c r="L273" s="35"/>
      <c r="M273" s="36" t="s">
        <v>88</v>
      </c>
      <c r="N273" s="36"/>
      <c r="O273" s="35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7"/>
      <c r="V273" s="37"/>
      <c r="W273" s="38" t="s">
        <v>70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IFERROR(IF(Y273=0,"",ROUNDUP(Y273/H273,0)*0.00651),"")</f>
        <v/>
      </c>
      <c r="AA273" s="65"/>
      <c r="AB273" s="66"/>
      <c r="AC273" s="333" t="s">
        <v>433</v>
      </c>
      <c r="AG273" s="75"/>
      <c r="AJ273" s="79"/>
      <c r="AK273" s="79">
        <v>0</v>
      </c>
      <c r="BB273" s="334" t="s">
        <v>1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27" customHeight="1" x14ac:dyDescent="0.25">
      <c r="A274" s="60" t="s">
        <v>434</v>
      </c>
      <c r="B274" s="60" t="s">
        <v>435</v>
      </c>
      <c r="C274" s="34">
        <v>4301051388</v>
      </c>
      <c r="D274" s="549">
        <v>4680115881211</v>
      </c>
      <c r="E274" s="550"/>
      <c r="F274" s="59">
        <v>0.4</v>
      </c>
      <c r="G274" s="35">
        <v>6</v>
      </c>
      <c r="H274" s="59">
        <v>2.4</v>
      </c>
      <c r="I274" s="59">
        <v>2.58</v>
      </c>
      <c r="J274" s="35">
        <v>182</v>
      </c>
      <c r="K274" s="35" t="s">
        <v>67</v>
      </c>
      <c r="L274" s="35" t="s">
        <v>92</v>
      </c>
      <c r="M274" s="36" t="s">
        <v>81</v>
      </c>
      <c r="N274" s="36"/>
      <c r="O274" s="35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7"/>
      <c r="V274" s="37"/>
      <c r="W274" s="38" t="s">
        <v>70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IFERROR(IF(Y274=0,"",ROUNDUP(Y274/H274,0)*0.00651),"")</f>
        <v/>
      </c>
      <c r="AA274" s="65"/>
      <c r="AB274" s="66"/>
      <c r="AC274" s="335" t="s">
        <v>430</v>
      </c>
      <c r="AG274" s="75"/>
      <c r="AJ274" s="79" t="s">
        <v>94</v>
      </c>
      <c r="AK274" s="79">
        <v>33.6</v>
      </c>
      <c r="BB274" s="336" t="s">
        <v>1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3" t="s">
        <v>76</v>
      </c>
      <c r="Q275" s="564"/>
      <c r="R275" s="564"/>
      <c r="S275" s="564"/>
      <c r="T275" s="564"/>
      <c r="U275" s="564"/>
      <c r="V275" s="565"/>
      <c r="W275" s="40" t="s">
        <v>77</v>
      </c>
      <c r="X275" s="41">
        <f>IFERROR(X272/H272,"0")+IFERROR(X273/H273,"0")+IFERROR(X274/H274,"0")</f>
        <v>0</v>
      </c>
      <c r="Y275" s="41">
        <f>IFERROR(Y272/H272,"0")+IFERROR(Y273/H273,"0")+IFERROR(Y274/H274,"0")</f>
        <v>0</v>
      </c>
      <c r="Z275" s="41">
        <f>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3" t="s">
        <v>76</v>
      </c>
      <c r="Q276" s="564"/>
      <c r="R276" s="564"/>
      <c r="S276" s="564"/>
      <c r="T276" s="564"/>
      <c r="U276" s="564"/>
      <c r="V276" s="565"/>
      <c r="W276" s="40" t="s">
        <v>70</v>
      </c>
      <c r="X276" s="41">
        <f>IFERROR(SUM(X272:X274),"0")</f>
        <v>0</v>
      </c>
      <c r="Y276" s="41">
        <f>IFERROR(SUM(Y272:Y274),"0")</f>
        <v>0</v>
      </c>
      <c r="Z276" s="40"/>
      <c r="AA276" s="64"/>
      <c r="AB276" s="64"/>
      <c r="AC276" s="64"/>
    </row>
    <row r="277" spans="1:68" ht="16.5" customHeight="1" x14ac:dyDescent="0.25">
      <c r="A277" s="560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62"/>
      <c r="AB277" s="62"/>
      <c r="AC277" s="62"/>
    </row>
    <row r="278" spans="1:68" ht="14.25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63"/>
      <c r="AB278" s="63"/>
      <c r="AC278" s="63"/>
    </row>
    <row r="279" spans="1:68" ht="27" customHeight="1" x14ac:dyDescent="0.25">
      <c r="A279" s="60" t="s">
        <v>437</v>
      </c>
      <c r="B279" s="60" t="s">
        <v>438</v>
      </c>
      <c r="C279" s="34">
        <v>4301031307</v>
      </c>
      <c r="D279" s="549">
        <v>4680115880344</v>
      </c>
      <c r="E279" s="550"/>
      <c r="F279" s="59">
        <v>0.28000000000000003</v>
      </c>
      <c r="G279" s="35">
        <v>6</v>
      </c>
      <c r="H279" s="59">
        <v>1.68</v>
      </c>
      <c r="I279" s="59">
        <v>1.78</v>
      </c>
      <c r="J279" s="35">
        <v>234</v>
      </c>
      <c r="K279" s="35" t="s">
        <v>74</v>
      </c>
      <c r="L279" s="35"/>
      <c r="M279" s="36" t="s">
        <v>68</v>
      </c>
      <c r="N279" s="36"/>
      <c r="O279" s="35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7"/>
      <c r="V279" s="37"/>
      <c r="W279" s="38" t="s">
        <v>70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IFERROR(IF(Y279=0,"",ROUNDUP(Y279/H279,0)*0.00502),"")</f>
        <v/>
      </c>
      <c r="AA279" s="65"/>
      <c r="AB279" s="66"/>
      <c r="AC279" s="337" t="s">
        <v>439</v>
      </c>
      <c r="AG279" s="75"/>
      <c r="AJ279" s="79"/>
      <c r="AK279" s="79">
        <v>0</v>
      </c>
      <c r="BB279" s="338" t="s">
        <v>1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440</v>
      </c>
      <c r="B280" s="60" t="s">
        <v>441</v>
      </c>
      <c r="C280" s="34">
        <v>4301031429</v>
      </c>
      <c r="D280" s="549">
        <v>4680115886919</v>
      </c>
      <c r="E280" s="550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67</v>
      </c>
      <c r="L280" s="35"/>
      <c r="M280" s="36" t="s">
        <v>68</v>
      </c>
      <c r="N280" s="36"/>
      <c r="O280" s="35">
        <v>40</v>
      </c>
      <c r="P280" s="6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7"/>
      <c r="V280" s="37"/>
      <c r="W280" s="38" t="s">
        <v>70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/>
      <c r="AB280" s="66"/>
      <c r="AC280" s="339" t="s">
        <v>442</v>
      </c>
      <c r="AG280" s="75"/>
      <c r="AJ280" s="79"/>
      <c r="AK280" s="79">
        <v>0</v>
      </c>
      <c r="BB280" s="340" t="s">
        <v>1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3" t="s">
        <v>76</v>
      </c>
      <c r="Q281" s="564"/>
      <c r="R281" s="564"/>
      <c r="S281" s="564"/>
      <c r="T281" s="564"/>
      <c r="U281" s="564"/>
      <c r="V281" s="565"/>
      <c r="W281" s="40" t="s">
        <v>77</v>
      </c>
      <c r="X281" s="41">
        <f>IFERROR(X279/H279,"0")+IFERROR(X280/H280,"0")</f>
        <v>0</v>
      </c>
      <c r="Y281" s="41">
        <f>IFERROR(Y279/H279,"0")+IFERROR(Y280/H280,"0")</f>
        <v>0</v>
      </c>
      <c r="Z281" s="41">
        <f>IFERROR(IF(Z279="",0,Z279),"0")+IFERROR(IF(Z280="",0,Z280),"0")</f>
        <v>0</v>
      </c>
      <c r="AA281" s="64"/>
      <c r="AB281" s="64"/>
      <c r="AC281" s="64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3" t="s">
        <v>76</v>
      </c>
      <c r="Q282" s="564"/>
      <c r="R282" s="564"/>
      <c r="S282" s="564"/>
      <c r="T282" s="564"/>
      <c r="U282" s="564"/>
      <c r="V282" s="565"/>
      <c r="W282" s="40" t="s">
        <v>70</v>
      </c>
      <c r="X282" s="41">
        <f>IFERROR(SUM(X279:X280),"0")</f>
        <v>0</v>
      </c>
      <c r="Y282" s="41">
        <f>IFERROR(SUM(Y279:Y280),"0")</f>
        <v>0</v>
      </c>
      <c r="Z282" s="40"/>
      <c r="AA282" s="64"/>
      <c r="AB282" s="64"/>
      <c r="AC282" s="64"/>
    </row>
    <row r="283" spans="1:68" ht="14.25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63"/>
      <c r="AB283" s="63"/>
      <c r="AC283" s="63"/>
    </row>
    <row r="284" spans="1:68" ht="37.5" customHeight="1" x14ac:dyDescent="0.25">
      <c r="A284" s="60" t="s">
        <v>443</v>
      </c>
      <c r="B284" s="60" t="s">
        <v>444</v>
      </c>
      <c r="C284" s="34">
        <v>4301051782</v>
      </c>
      <c r="D284" s="549">
        <v>4680115884618</v>
      </c>
      <c r="E284" s="550"/>
      <c r="F284" s="59">
        <v>0.6</v>
      </c>
      <c r="G284" s="35">
        <v>6</v>
      </c>
      <c r="H284" s="59">
        <v>3.6</v>
      </c>
      <c r="I284" s="59">
        <v>3.79</v>
      </c>
      <c r="J284" s="35">
        <v>132</v>
      </c>
      <c r="K284" s="35" t="s">
        <v>114</v>
      </c>
      <c r="L284" s="35" t="s">
        <v>115</v>
      </c>
      <c r="M284" s="36" t="s">
        <v>81</v>
      </c>
      <c r="N284" s="36"/>
      <c r="O284" s="35">
        <v>45</v>
      </c>
      <c r="P284" s="6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7"/>
      <c r="V284" s="37"/>
      <c r="W284" s="38" t="s">
        <v>70</v>
      </c>
      <c r="X284" s="56">
        <v>0</v>
      </c>
      <c r="Y284" s="53">
        <f>IFERROR(IF(X284="",0,CEILING((X284/$H284),1)*$H284),"")</f>
        <v>0</v>
      </c>
      <c r="Z284" s="39" t="str">
        <f>IFERROR(IF(Y284=0,"",ROUNDUP(Y284/H284,0)*0.00902),"")</f>
        <v/>
      </c>
      <c r="AA284" s="65"/>
      <c r="AB284" s="66"/>
      <c r="AC284" s="341" t="s">
        <v>445</v>
      </c>
      <c r="AG284" s="75"/>
      <c r="AJ284" s="79" t="s">
        <v>94</v>
      </c>
      <c r="AK284" s="79">
        <v>43.2</v>
      </c>
      <c r="BB284" s="342" t="s">
        <v>1</v>
      </c>
      <c r="BM284" s="75">
        <f>IFERROR(X284*I284/H284,"0")</f>
        <v>0</v>
      </c>
      <c r="BN284" s="75">
        <f>IFERROR(Y284*I284/H284,"0")</f>
        <v>0</v>
      </c>
      <c r="BO284" s="75">
        <f>IFERROR(1/J284*(X284/H284),"0")</f>
        <v>0</v>
      </c>
      <c r="BP284" s="75">
        <f>IFERROR(1/J284*(Y284/H284),"0")</f>
        <v>0</v>
      </c>
    </row>
    <row r="285" spans="1:68" ht="27" customHeight="1" x14ac:dyDescent="0.25">
      <c r="A285" s="60" t="s">
        <v>446</v>
      </c>
      <c r="B285" s="60" t="s">
        <v>447</v>
      </c>
      <c r="C285" s="34">
        <v>4301052057</v>
      </c>
      <c r="D285" s="549">
        <v>4680115887114</v>
      </c>
      <c r="E285" s="550"/>
      <c r="F285" s="59">
        <v>0.55000000000000004</v>
      </c>
      <c r="G285" s="35">
        <v>6</v>
      </c>
      <c r="H285" s="59">
        <v>3.3</v>
      </c>
      <c r="I285" s="59">
        <v>3.49</v>
      </c>
      <c r="J285" s="35">
        <v>132</v>
      </c>
      <c r="K285" s="35" t="s">
        <v>114</v>
      </c>
      <c r="L285" s="35"/>
      <c r="M285" s="36" t="s">
        <v>81</v>
      </c>
      <c r="N285" s="36"/>
      <c r="O285" s="35">
        <v>45</v>
      </c>
      <c r="P285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7"/>
      <c r="V285" s="37"/>
      <c r="W285" s="38" t="s">
        <v>70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IFERROR(IF(Y285=0,"",ROUNDUP(Y285/H285,0)*0.00902),"")</f>
        <v/>
      </c>
      <c r="AA285" s="65"/>
      <c r="AB285" s="66"/>
      <c r="AC285" s="343" t="s">
        <v>448</v>
      </c>
      <c r="AG285" s="75"/>
      <c r="AJ285" s="79"/>
      <c r="AK285" s="79">
        <v>0</v>
      </c>
      <c r="BB285" s="344" t="s">
        <v>1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3" t="s">
        <v>76</v>
      </c>
      <c r="Q286" s="564"/>
      <c r="R286" s="564"/>
      <c r="S286" s="564"/>
      <c r="T286" s="564"/>
      <c r="U286" s="564"/>
      <c r="V286" s="565"/>
      <c r="W286" s="40" t="s">
        <v>77</v>
      </c>
      <c r="X286" s="41">
        <f>IFERROR(X284/H284,"0")+IFERROR(X285/H285,"0")</f>
        <v>0</v>
      </c>
      <c r="Y286" s="41">
        <f>IFERROR(Y284/H284,"0")+IFERROR(Y285/H285,"0")</f>
        <v>0</v>
      </c>
      <c r="Z286" s="41">
        <f>IFERROR(IF(Z284="",0,Z284),"0")+IFERROR(IF(Z285="",0,Z285),"0")</f>
        <v>0</v>
      </c>
      <c r="AA286" s="64"/>
      <c r="AB286" s="64"/>
      <c r="AC286" s="64"/>
    </row>
    <row r="287" spans="1:68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3" t="s">
        <v>76</v>
      </c>
      <c r="Q287" s="564"/>
      <c r="R287" s="564"/>
      <c r="S287" s="564"/>
      <c r="T287" s="564"/>
      <c r="U287" s="564"/>
      <c r="V287" s="565"/>
      <c r="W287" s="40" t="s">
        <v>70</v>
      </c>
      <c r="X287" s="41">
        <f>IFERROR(SUM(X284:X285),"0")</f>
        <v>0</v>
      </c>
      <c r="Y287" s="41">
        <f>IFERROR(SUM(Y284:Y285),"0")</f>
        <v>0</v>
      </c>
      <c r="Z287" s="40"/>
      <c r="AA287" s="64"/>
      <c r="AB287" s="64"/>
      <c r="AC287" s="64"/>
    </row>
    <row r="288" spans="1:68" ht="16.5" customHeight="1" x14ac:dyDescent="0.25">
      <c r="A288" s="560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62"/>
      <c r="AB288" s="62"/>
      <c r="AC288" s="62"/>
    </row>
    <row r="289" spans="1:68" ht="14.25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63"/>
      <c r="AB289" s="63"/>
      <c r="AC289" s="63"/>
    </row>
    <row r="290" spans="1:68" ht="27" customHeight="1" x14ac:dyDescent="0.25">
      <c r="A290" s="60" t="s">
        <v>450</v>
      </c>
      <c r="B290" s="60" t="s">
        <v>451</v>
      </c>
      <c r="C290" s="34">
        <v>4301012126</v>
      </c>
      <c r="D290" s="549">
        <v>4607091386004</v>
      </c>
      <c r="E290" s="550"/>
      <c r="F290" s="59">
        <v>1.35</v>
      </c>
      <c r="G290" s="35">
        <v>8</v>
      </c>
      <c r="H290" s="59">
        <v>10.8</v>
      </c>
      <c r="I290" s="59">
        <v>11.21</v>
      </c>
      <c r="J290" s="35">
        <v>64</v>
      </c>
      <c r="K290" s="35" t="s">
        <v>108</v>
      </c>
      <c r="L290" s="35"/>
      <c r="M290" s="36" t="s">
        <v>110</v>
      </c>
      <c r="N290" s="36"/>
      <c r="O290" s="35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7"/>
      <c r="V290" s="37"/>
      <c r="W290" s="38" t="s">
        <v>70</v>
      </c>
      <c r="X290" s="56">
        <v>0</v>
      </c>
      <c r="Y290" s="53">
        <f t="shared" ref="Y290:Y295" si="26">IFERROR(IF(X290="",0,CEILING((X290/$H290),1)*$H290),"")</f>
        <v>0</v>
      </c>
      <c r="Z290" s="39" t="str">
        <f>IFERROR(IF(Y290=0,"",ROUNDUP(Y290/H290,0)*0.01898),"")</f>
        <v/>
      </c>
      <c r="AA290" s="65"/>
      <c r="AB290" s="66"/>
      <c r="AC290" s="345" t="s">
        <v>452</v>
      </c>
      <c r="AG290" s="75"/>
      <c r="AJ290" s="79"/>
      <c r="AK290" s="79">
        <v>0</v>
      </c>
      <c r="BB290" s="346" t="s">
        <v>1</v>
      </c>
      <c r="BM290" s="75">
        <f t="shared" ref="BM290:BM295" si="27">IFERROR(X290*I290/H290,"0")</f>
        <v>0</v>
      </c>
      <c r="BN290" s="75">
        <f t="shared" ref="BN290:BN295" si="28">IFERROR(Y290*I290/H290,"0")</f>
        <v>0</v>
      </c>
      <c r="BO290" s="75">
        <f t="shared" ref="BO290:BO295" si="29">IFERROR(1/J290*(X290/H290),"0")</f>
        <v>0</v>
      </c>
      <c r="BP290" s="75">
        <f t="shared" ref="BP290:BP295" si="30">IFERROR(1/J290*(Y290/H290),"0")</f>
        <v>0</v>
      </c>
    </row>
    <row r="291" spans="1:68" ht="27" customHeight="1" x14ac:dyDescent="0.25">
      <c r="A291" s="60" t="s">
        <v>453</v>
      </c>
      <c r="B291" s="60" t="s">
        <v>454</v>
      </c>
      <c r="C291" s="34">
        <v>4301012024</v>
      </c>
      <c r="D291" s="549">
        <v>4680115885615</v>
      </c>
      <c r="E291" s="550"/>
      <c r="F291" s="59">
        <v>1.35</v>
      </c>
      <c r="G291" s="35">
        <v>8</v>
      </c>
      <c r="H291" s="59">
        <v>10.8</v>
      </c>
      <c r="I291" s="59">
        <v>11.21</v>
      </c>
      <c r="J291" s="35">
        <v>64</v>
      </c>
      <c r="K291" s="35" t="s">
        <v>108</v>
      </c>
      <c r="L291" s="35" t="s">
        <v>109</v>
      </c>
      <c r="M291" s="36" t="s">
        <v>81</v>
      </c>
      <c r="N291" s="36"/>
      <c r="O291" s="35">
        <v>55</v>
      </c>
      <c r="P291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7"/>
      <c r="V291" s="37"/>
      <c r="W291" s="38" t="s">
        <v>70</v>
      </c>
      <c r="X291" s="56">
        <v>0</v>
      </c>
      <c r="Y291" s="53">
        <f t="shared" si="26"/>
        <v>0</v>
      </c>
      <c r="Z291" s="39" t="str">
        <f>IFERROR(IF(Y291=0,"",ROUNDUP(Y291/H291,0)*0.01898),"")</f>
        <v/>
      </c>
      <c r="AA291" s="65"/>
      <c r="AB291" s="66"/>
      <c r="AC291" s="347" t="s">
        <v>455</v>
      </c>
      <c r="AG291" s="75"/>
      <c r="AJ291" s="79" t="s">
        <v>94</v>
      </c>
      <c r="AK291" s="79">
        <v>86.4</v>
      </c>
      <c r="BB291" s="348" t="s">
        <v>1</v>
      </c>
      <c r="BM291" s="75">
        <f t="shared" si="27"/>
        <v>0</v>
      </c>
      <c r="BN291" s="75">
        <f t="shared" si="28"/>
        <v>0</v>
      </c>
      <c r="BO291" s="75">
        <f t="shared" si="29"/>
        <v>0</v>
      </c>
      <c r="BP291" s="75">
        <f t="shared" si="30"/>
        <v>0</v>
      </c>
    </row>
    <row r="292" spans="1:68" ht="37.5" customHeight="1" x14ac:dyDescent="0.25">
      <c r="A292" s="60" t="s">
        <v>456</v>
      </c>
      <c r="B292" s="60" t="s">
        <v>457</v>
      </c>
      <c r="C292" s="34">
        <v>4301011858</v>
      </c>
      <c r="D292" s="549">
        <v>4680115885646</v>
      </c>
      <c r="E292" s="550"/>
      <c r="F292" s="59">
        <v>1.35</v>
      </c>
      <c r="G292" s="35">
        <v>8</v>
      </c>
      <c r="H292" s="59">
        <v>10.8</v>
      </c>
      <c r="I292" s="59">
        <v>11.21</v>
      </c>
      <c r="J292" s="35">
        <v>64</v>
      </c>
      <c r="K292" s="35" t="s">
        <v>108</v>
      </c>
      <c r="L292" s="35" t="s">
        <v>109</v>
      </c>
      <c r="M292" s="36" t="s">
        <v>110</v>
      </c>
      <c r="N292" s="36"/>
      <c r="O292" s="35">
        <v>55</v>
      </c>
      <c r="P292" s="8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7"/>
      <c r="V292" s="37"/>
      <c r="W292" s="38" t="s">
        <v>70</v>
      </c>
      <c r="X292" s="56">
        <v>0</v>
      </c>
      <c r="Y292" s="53">
        <f t="shared" si="26"/>
        <v>0</v>
      </c>
      <c r="Z292" s="39" t="str">
        <f>IFERROR(IF(Y292=0,"",ROUNDUP(Y292/H292,0)*0.01898),"")</f>
        <v/>
      </c>
      <c r="AA292" s="65"/>
      <c r="AB292" s="66"/>
      <c r="AC292" s="349" t="s">
        <v>458</v>
      </c>
      <c r="AG292" s="75"/>
      <c r="AJ292" s="79" t="s">
        <v>94</v>
      </c>
      <c r="AK292" s="79">
        <v>86.4</v>
      </c>
      <c r="BB292" s="350" t="s">
        <v>1</v>
      </c>
      <c r="BM292" s="75">
        <f t="shared" si="27"/>
        <v>0</v>
      </c>
      <c r="BN292" s="75">
        <f t="shared" si="28"/>
        <v>0</v>
      </c>
      <c r="BO292" s="75">
        <f t="shared" si="29"/>
        <v>0</v>
      </c>
      <c r="BP292" s="75">
        <f t="shared" si="30"/>
        <v>0</v>
      </c>
    </row>
    <row r="293" spans="1:68" ht="27" customHeight="1" x14ac:dyDescent="0.25">
      <c r="A293" s="60" t="s">
        <v>459</v>
      </c>
      <c r="B293" s="60" t="s">
        <v>460</v>
      </c>
      <c r="C293" s="34">
        <v>4301012016</v>
      </c>
      <c r="D293" s="549">
        <v>4680115885554</v>
      </c>
      <c r="E293" s="550"/>
      <c r="F293" s="59">
        <v>1.35</v>
      </c>
      <c r="G293" s="35">
        <v>8</v>
      </c>
      <c r="H293" s="59">
        <v>10.8</v>
      </c>
      <c r="I293" s="59">
        <v>11.21</v>
      </c>
      <c r="J293" s="35">
        <v>64</v>
      </c>
      <c r="K293" s="35" t="s">
        <v>108</v>
      </c>
      <c r="L293" s="35"/>
      <c r="M293" s="36" t="s">
        <v>81</v>
      </c>
      <c r="N293" s="36"/>
      <c r="O293" s="35">
        <v>55</v>
      </c>
      <c r="P293" s="8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7"/>
      <c r="V293" s="37"/>
      <c r="W293" s="38" t="s">
        <v>70</v>
      </c>
      <c r="X293" s="56">
        <v>0</v>
      </c>
      <c r="Y293" s="53">
        <f t="shared" si="26"/>
        <v>0</v>
      </c>
      <c r="Z293" s="39" t="str">
        <f>IFERROR(IF(Y293=0,"",ROUNDUP(Y293/H293,0)*0.01898),"")</f>
        <v/>
      </c>
      <c r="AA293" s="65"/>
      <c r="AB293" s="66"/>
      <c r="AC293" s="351" t="s">
        <v>461</v>
      </c>
      <c r="AG293" s="75"/>
      <c r="AJ293" s="79"/>
      <c r="AK293" s="79">
        <v>0</v>
      </c>
      <c r="BB293" s="352" t="s">
        <v>1</v>
      </c>
      <c r="BM293" s="75">
        <f t="shared" si="27"/>
        <v>0</v>
      </c>
      <c r="BN293" s="75">
        <f t="shared" si="28"/>
        <v>0</v>
      </c>
      <c r="BO293" s="75">
        <f t="shared" si="29"/>
        <v>0</v>
      </c>
      <c r="BP293" s="75">
        <f t="shared" si="30"/>
        <v>0</v>
      </c>
    </row>
    <row r="294" spans="1:68" ht="27" customHeight="1" x14ac:dyDescent="0.25">
      <c r="A294" s="60" t="s">
        <v>462</v>
      </c>
      <c r="B294" s="60" t="s">
        <v>463</v>
      </c>
      <c r="C294" s="34">
        <v>4301011857</v>
      </c>
      <c r="D294" s="549">
        <v>4680115885622</v>
      </c>
      <c r="E294" s="550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114</v>
      </c>
      <c r="L294" s="35" t="s">
        <v>115</v>
      </c>
      <c r="M294" s="36" t="s">
        <v>110</v>
      </c>
      <c r="N294" s="36"/>
      <c r="O294" s="35">
        <v>55</v>
      </c>
      <c r="P294" s="8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7"/>
      <c r="V294" s="37"/>
      <c r="W294" s="38" t="s">
        <v>70</v>
      </c>
      <c r="X294" s="56">
        <v>0</v>
      </c>
      <c r="Y294" s="53">
        <f t="shared" si="26"/>
        <v>0</v>
      </c>
      <c r="Z294" s="39" t="str">
        <f>IFERROR(IF(Y294=0,"",ROUNDUP(Y294/H294,0)*0.00902),"")</f>
        <v/>
      </c>
      <c r="AA294" s="65"/>
      <c r="AB294" s="66"/>
      <c r="AC294" s="353" t="s">
        <v>455</v>
      </c>
      <c r="AG294" s="75"/>
      <c r="AJ294" s="79" t="s">
        <v>94</v>
      </c>
      <c r="AK294" s="79">
        <v>48</v>
      </c>
      <c r="BB294" s="354" t="s">
        <v>1</v>
      </c>
      <c r="BM294" s="75">
        <f t="shared" si="27"/>
        <v>0</v>
      </c>
      <c r="BN294" s="75">
        <f t="shared" si="28"/>
        <v>0</v>
      </c>
      <c r="BO294" s="75">
        <f t="shared" si="29"/>
        <v>0</v>
      </c>
      <c r="BP294" s="75">
        <f t="shared" si="30"/>
        <v>0</v>
      </c>
    </row>
    <row r="295" spans="1:68" ht="27" customHeight="1" x14ac:dyDescent="0.25">
      <c r="A295" s="60" t="s">
        <v>464</v>
      </c>
      <c r="B295" s="60" t="s">
        <v>465</v>
      </c>
      <c r="C295" s="34">
        <v>4301011859</v>
      </c>
      <c r="D295" s="549">
        <v>4680115885608</v>
      </c>
      <c r="E295" s="550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114</v>
      </c>
      <c r="L295" s="35" t="s">
        <v>115</v>
      </c>
      <c r="M295" s="36" t="s">
        <v>110</v>
      </c>
      <c r="N295" s="36"/>
      <c r="O295" s="35">
        <v>55</v>
      </c>
      <c r="P295" s="8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7"/>
      <c r="V295" s="37"/>
      <c r="W295" s="38" t="s">
        <v>70</v>
      </c>
      <c r="X295" s="56">
        <v>0</v>
      </c>
      <c r="Y295" s="53">
        <f t="shared" si="26"/>
        <v>0</v>
      </c>
      <c r="Z295" s="39" t="str">
        <f>IFERROR(IF(Y295=0,"",ROUNDUP(Y295/H295,0)*0.00902),"")</f>
        <v/>
      </c>
      <c r="AA295" s="65"/>
      <c r="AB295" s="66"/>
      <c r="AC295" s="355" t="s">
        <v>466</v>
      </c>
      <c r="AG295" s="75"/>
      <c r="AJ295" s="79" t="s">
        <v>94</v>
      </c>
      <c r="AK295" s="79">
        <v>48</v>
      </c>
      <c r="BB295" s="356" t="s">
        <v>1</v>
      </c>
      <c r="BM295" s="75">
        <f t="shared" si="27"/>
        <v>0</v>
      </c>
      <c r="BN295" s="75">
        <f t="shared" si="28"/>
        <v>0</v>
      </c>
      <c r="BO295" s="75">
        <f t="shared" si="29"/>
        <v>0</v>
      </c>
      <c r="BP295" s="75">
        <f t="shared" si="30"/>
        <v>0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3" t="s">
        <v>76</v>
      </c>
      <c r="Q296" s="564"/>
      <c r="R296" s="564"/>
      <c r="S296" s="564"/>
      <c r="T296" s="564"/>
      <c r="U296" s="564"/>
      <c r="V296" s="565"/>
      <c r="W296" s="40" t="s">
        <v>77</v>
      </c>
      <c r="X296" s="41">
        <f>IFERROR(X290/H290,"0")+IFERROR(X291/H291,"0")+IFERROR(X292/H292,"0")+IFERROR(X293/H293,"0")+IFERROR(X294/H294,"0")+IFERROR(X295/H295,"0")</f>
        <v>0</v>
      </c>
      <c r="Y296" s="41">
        <f>IFERROR(Y290/H290,"0")+IFERROR(Y291/H291,"0")+IFERROR(Y292/H292,"0")+IFERROR(Y293/H293,"0")+IFERROR(Y294/H294,"0")+IFERROR(Y295/H295,"0")</f>
        <v>0</v>
      </c>
      <c r="Z296" s="41">
        <f>IFERROR(IF(Z290="",0,Z290),"0")+IFERROR(IF(Z291="",0,Z291),"0")+IFERROR(IF(Z292="",0,Z292),"0")+IFERROR(IF(Z293="",0,Z293),"0")+IFERROR(IF(Z294="",0,Z294),"0")+IFERROR(IF(Z295="",0,Z295),"0")</f>
        <v>0</v>
      </c>
      <c r="AA296" s="64"/>
      <c r="AB296" s="64"/>
      <c r="AC296" s="64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3" t="s">
        <v>76</v>
      </c>
      <c r="Q297" s="564"/>
      <c r="R297" s="564"/>
      <c r="S297" s="564"/>
      <c r="T297" s="564"/>
      <c r="U297" s="564"/>
      <c r="V297" s="565"/>
      <c r="W297" s="40" t="s">
        <v>70</v>
      </c>
      <c r="X297" s="41">
        <f>IFERROR(SUM(X290:X295),"0")</f>
        <v>0</v>
      </c>
      <c r="Y297" s="41">
        <f>IFERROR(SUM(Y290:Y295),"0")</f>
        <v>0</v>
      </c>
      <c r="Z297" s="40"/>
      <c r="AA297" s="64"/>
      <c r="AB297" s="64"/>
      <c r="AC297" s="64"/>
    </row>
    <row r="298" spans="1:68" ht="14.25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63"/>
      <c r="AB298" s="63"/>
      <c r="AC298" s="63"/>
    </row>
    <row r="299" spans="1:68" ht="27" customHeight="1" x14ac:dyDescent="0.25">
      <c r="A299" s="60" t="s">
        <v>467</v>
      </c>
      <c r="B299" s="60" t="s">
        <v>468</v>
      </c>
      <c r="C299" s="34">
        <v>4301030878</v>
      </c>
      <c r="D299" s="549">
        <v>4607091387193</v>
      </c>
      <c r="E299" s="550"/>
      <c r="F299" s="59">
        <v>0.7</v>
      </c>
      <c r="G299" s="35">
        <v>6</v>
      </c>
      <c r="H299" s="59">
        <v>4.2</v>
      </c>
      <c r="I299" s="59">
        <v>4.45</v>
      </c>
      <c r="J299" s="35">
        <v>132</v>
      </c>
      <c r="K299" s="35" t="s">
        <v>114</v>
      </c>
      <c r="L299" s="35" t="s">
        <v>115</v>
      </c>
      <c r="M299" s="36" t="s">
        <v>68</v>
      </c>
      <c r="N299" s="36"/>
      <c r="O299" s="35">
        <v>35</v>
      </c>
      <c r="P29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7"/>
      <c r="V299" s="37"/>
      <c r="W299" s="38" t="s">
        <v>70</v>
      </c>
      <c r="X299" s="56">
        <v>90</v>
      </c>
      <c r="Y299" s="53">
        <f t="shared" ref="Y299:Y304" si="31">IFERROR(IF(X299="",0,CEILING((X299/$H299),1)*$H299),"")</f>
        <v>92.4</v>
      </c>
      <c r="Z299" s="39">
        <f>IFERROR(IF(Y299=0,"",ROUNDUP(Y299/H299,0)*0.00902),"")</f>
        <v>0.19844000000000001</v>
      </c>
      <c r="AA299" s="65"/>
      <c r="AB299" s="66"/>
      <c r="AC299" s="357" t="s">
        <v>469</v>
      </c>
      <c r="AG299" s="75"/>
      <c r="AJ299" s="79" t="s">
        <v>94</v>
      </c>
      <c r="AK299" s="79">
        <v>50.4</v>
      </c>
      <c r="BB299" s="358" t="s">
        <v>1</v>
      </c>
      <c r="BM299" s="75">
        <f t="shared" ref="BM299:BM304" si="32">IFERROR(X299*I299/H299,"0")</f>
        <v>95.357142857142847</v>
      </c>
      <c r="BN299" s="75">
        <f t="shared" ref="BN299:BN304" si="33">IFERROR(Y299*I299/H299,"0")</f>
        <v>97.9</v>
      </c>
      <c r="BO299" s="75">
        <f t="shared" ref="BO299:BO304" si="34">IFERROR(1/J299*(X299/H299),"0")</f>
        <v>0.16233766233766234</v>
      </c>
      <c r="BP299" s="75">
        <f t="shared" ref="BP299:BP304" si="35">IFERROR(1/J299*(Y299/H299),"0")</f>
        <v>0.16666666666666669</v>
      </c>
    </row>
    <row r="300" spans="1:68" ht="27" customHeight="1" x14ac:dyDescent="0.25">
      <c r="A300" s="60" t="s">
        <v>470</v>
      </c>
      <c r="B300" s="60" t="s">
        <v>471</v>
      </c>
      <c r="C300" s="34">
        <v>4301031153</v>
      </c>
      <c r="D300" s="549">
        <v>4607091387230</v>
      </c>
      <c r="E300" s="550"/>
      <c r="F300" s="59">
        <v>0.7</v>
      </c>
      <c r="G300" s="35">
        <v>6</v>
      </c>
      <c r="H300" s="59">
        <v>4.2</v>
      </c>
      <c r="I300" s="59">
        <v>4.45</v>
      </c>
      <c r="J300" s="35">
        <v>132</v>
      </c>
      <c r="K300" s="35" t="s">
        <v>114</v>
      </c>
      <c r="L300" s="35" t="s">
        <v>115</v>
      </c>
      <c r="M300" s="36" t="s">
        <v>68</v>
      </c>
      <c r="N300" s="36"/>
      <c r="O300" s="35">
        <v>40</v>
      </c>
      <c r="P300" s="6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7"/>
      <c r="V300" s="37"/>
      <c r="W300" s="38" t="s">
        <v>70</v>
      </c>
      <c r="X300" s="56">
        <v>180</v>
      </c>
      <c r="Y300" s="53">
        <f t="shared" si="31"/>
        <v>180.6</v>
      </c>
      <c r="Z300" s="39">
        <f>IFERROR(IF(Y300=0,"",ROUNDUP(Y300/H300,0)*0.00902),"")</f>
        <v>0.38785999999999998</v>
      </c>
      <c r="AA300" s="65"/>
      <c r="AB300" s="66"/>
      <c r="AC300" s="359" t="s">
        <v>472</v>
      </c>
      <c r="AG300" s="75"/>
      <c r="AJ300" s="79" t="s">
        <v>94</v>
      </c>
      <c r="AK300" s="79">
        <v>50.4</v>
      </c>
      <c r="BB300" s="360" t="s">
        <v>1</v>
      </c>
      <c r="BM300" s="75">
        <f t="shared" si="32"/>
        <v>190.71428571428569</v>
      </c>
      <c r="BN300" s="75">
        <f t="shared" si="33"/>
        <v>191.35</v>
      </c>
      <c r="BO300" s="75">
        <f t="shared" si="34"/>
        <v>0.32467532467532467</v>
      </c>
      <c r="BP300" s="75">
        <f t="shared" si="35"/>
        <v>0.32575757575757575</v>
      </c>
    </row>
    <row r="301" spans="1:68" ht="27" customHeight="1" x14ac:dyDescent="0.25">
      <c r="A301" s="60" t="s">
        <v>473</v>
      </c>
      <c r="B301" s="60" t="s">
        <v>474</v>
      </c>
      <c r="C301" s="34">
        <v>4301031154</v>
      </c>
      <c r="D301" s="549">
        <v>4607091387292</v>
      </c>
      <c r="E301" s="550"/>
      <c r="F301" s="59">
        <v>0.73</v>
      </c>
      <c r="G301" s="35">
        <v>6</v>
      </c>
      <c r="H301" s="59">
        <v>4.38</v>
      </c>
      <c r="I301" s="59">
        <v>4.63</v>
      </c>
      <c r="J301" s="35">
        <v>132</v>
      </c>
      <c r="K301" s="35" t="s">
        <v>114</v>
      </c>
      <c r="L301" s="35"/>
      <c r="M301" s="36" t="s">
        <v>68</v>
      </c>
      <c r="N301" s="36"/>
      <c r="O301" s="35">
        <v>45</v>
      </c>
      <c r="P301" s="8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7"/>
      <c r="V301" s="37"/>
      <c r="W301" s="38" t="s">
        <v>70</v>
      </c>
      <c r="X301" s="56">
        <v>0</v>
      </c>
      <c r="Y301" s="53">
        <f t="shared" si="31"/>
        <v>0</v>
      </c>
      <c r="Z301" s="39" t="str">
        <f>IFERROR(IF(Y301=0,"",ROUNDUP(Y301/H301,0)*0.00902),"")</f>
        <v/>
      </c>
      <c r="AA301" s="65"/>
      <c r="AB301" s="66"/>
      <c r="AC301" s="361" t="s">
        <v>475</v>
      </c>
      <c r="AG301" s="75"/>
      <c r="AJ301" s="79"/>
      <c r="AK301" s="79">
        <v>0</v>
      </c>
      <c r="BB301" s="362" t="s">
        <v>1</v>
      </c>
      <c r="BM301" s="75">
        <f t="shared" si="32"/>
        <v>0</v>
      </c>
      <c r="BN301" s="75">
        <f t="shared" si="33"/>
        <v>0</v>
      </c>
      <c r="BO301" s="75">
        <f t="shared" si="34"/>
        <v>0</v>
      </c>
      <c r="BP301" s="75">
        <f t="shared" si="35"/>
        <v>0</v>
      </c>
    </row>
    <row r="302" spans="1:68" ht="27" customHeight="1" x14ac:dyDescent="0.25">
      <c r="A302" s="60" t="s">
        <v>476</v>
      </c>
      <c r="B302" s="60" t="s">
        <v>477</v>
      </c>
      <c r="C302" s="34">
        <v>4301031152</v>
      </c>
      <c r="D302" s="549">
        <v>4607091387285</v>
      </c>
      <c r="E302" s="550"/>
      <c r="F302" s="59">
        <v>0.35</v>
      </c>
      <c r="G302" s="35">
        <v>6</v>
      </c>
      <c r="H302" s="59">
        <v>2.1</v>
      </c>
      <c r="I302" s="59">
        <v>2.23</v>
      </c>
      <c r="J302" s="35">
        <v>234</v>
      </c>
      <c r="K302" s="35" t="s">
        <v>74</v>
      </c>
      <c r="L302" s="35" t="s">
        <v>270</v>
      </c>
      <c r="M302" s="36" t="s">
        <v>68</v>
      </c>
      <c r="N302" s="36"/>
      <c r="O302" s="35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7"/>
      <c r="V302" s="37"/>
      <c r="W302" s="38" t="s">
        <v>70</v>
      </c>
      <c r="X302" s="56">
        <v>0</v>
      </c>
      <c r="Y302" s="53">
        <f t="shared" si="31"/>
        <v>0</v>
      </c>
      <c r="Z302" s="39" t="str">
        <f>IFERROR(IF(Y302=0,"",ROUNDUP(Y302/H302,0)*0.00502),"")</f>
        <v/>
      </c>
      <c r="AA302" s="65"/>
      <c r="AB302" s="66"/>
      <c r="AC302" s="363" t="s">
        <v>472</v>
      </c>
      <c r="AG302" s="75"/>
      <c r="AJ302" s="79" t="s">
        <v>94</v>
      </c>
      <c r="AK302" s="79">
        <v>37.799999999999997</v>
      </c>
      <c r="BB302" s="364" t="s">
        <v>1</v>
      </c>
      <c r="BM302" s="75">
        <f t="shared" si="32"/>
        <v>0</v>
      </c>
      <c r="BN302" s="75">
        <f t="shared" si="33"/>
        <v>0</v>
      </c>
      <c r="BO302" s="75">
        <f t="shared" si="34"/>
        <v>0</v>
      </c>
      <c r="BP302" s="75">
        <f t="shared" si="35"/>
        <v>0</v>
      </c>
    </row>
    <row r="303" spans="1:68" ht="27" customHeight="1" x14ac:dyDescent="0.25">
      <c r="A303" s="60" t="s">
        <v>478</v>
      </c>
      <c r="B303" s="60" t="s">
        <v>479</v>
      </c>
      <c r="C303" s="34">
        <v>4301031305</v>
      </c>
      <c r="D303" s="549">
        <v>4607091389845</v>
      </c>
      <c r="E303" s="550"/>
      <c r="F303" s="59">
        <v>0.35</v>
      </c>
      <c r="G303" s="35">
        <v>6</v>
      </c>
      <c r="H303" s="59">
        <v>2.1</v>
      </c>
      <c r="I303" s="59">
        <v>2.2000000000000002</v>
      </c>
      <c r="J303" s="35">
        <v>234</v>
      </c>
      <c r="K303" s="35" t="s">
        <v>74</v>
      </c>
      <c r="L303" s="35" t="s">
        <v>270</v>
      </c>
      <c r="M303" s="36" t="s">
        <v>68</v>
      </c>
      <c r="N303" s="36"/>
      <c r="O303" s="35">
        <v>40</v>
      </c>
      <c r="P303" s="6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7"/>
      <c r="V303" s="37"/>
      <c r="W303" s="38" t="s">
        <v>70</v>
      </c>
      <c r="X303" s="56">
        <v>0</v>
      </c>
      <c r="Y303" s="53">
        <f t="shared" si="31"/>
        <v>0</v>
      </c>
      <c r="Z303" s="39" t="str">
        <f>IFERROR(IF(Y303=0,"",ROUNDUP(Y303/H303,0)*0.00502),"")</f>
        <v/>
      </c>
      <c r="AA303" s="65"/>
      <c r="AB303" s="66"/>
      <c r="AC303" s="365" t="s">
        <v>480</v>
      </c>
      <c r="AG303" s="75"/>
      <c r="AJ303" s="79" t="s">
        <v>94</v>
      </c>
      <c r="AK303" s="79">
        <v>37.799999999999997</v>
      </c>
      <c r="BB303" s="366" t="s">
        <v>1</v>
      </c>
      <c r="BM303" s="75">
        <f t="shared" si="32"/>
        <v>0</v>
      </c>
      <c r="BN303" s="75">
        <f t="shared" si="33"/>
        <v>0</v>
      </c>
      <c r="BO303" s="75">
        <f t="shared" si="34"/>
        <v>0</v>
      </c>
      <c r="BP303" s="75">
        <f t="shared" si="35"/>
        <v>0</v>
      </c>
    </row>
    <row r="304" spans="1:68" ht="27" customHeight="1" x14ac:dyDescent="0.25">
      <c r="A304" s="60" t="s">
        <v>481</v>
      </c>
      <c r="B304" s="60" t="s">
        <v>482</v>
      </c>
      <c r="C304" s="34">
        <v>4301031066</v>
      </c>
      <c r="D304" s="549">
        <v>4607091383836</v>
      </c>
      <c r="E304" s="550"/>
      <c r="F304" s="59">
        <v>0.3</v>
      </c>
      <c r="G304" s="35">
        <v>6</v>
      </c>
      <c r="H304" s="59">
        <v>1.8</v>
      </c>
      <c r="I304" s="59">
        <v>2.028</v>
      </c>
      <c r="J304" s="35">
        <v>182</v>
      </c>
      <c r="K304" s="35" t="s">
        <v>67</v>
      </c>
      <c r="L304" s="35" t="s">
        <v>92</v>
      </c>
      <c r="M304" s="36" t="s">
        <v>68</v>
      </c>
      <c r="N304" s="36"/>
      <c r="O304" s="35">
        <v>40</v>
      </c>
      <c r="P304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7"/>
      <c r="V304" s="37"/>
      <c r="W304" s="38" t="s">
        <v>70</v>
      </c>
      <c r="X304" s="56">
        <v>0</v>
      </c>
      <c r="Y304" s="53">
        <f t="shared" si="31"/>
        <v>0</v>
      </c>
      <c r="Z304" s="39" t="str">
        <f>IFERROR(IF(Y304=0,"",ROUNDUP(Y304/H304,0)*0.00651),"")</f>
        <v/>
      </c>
      <c r="AA304" s="65"/>
      <c r="AB304" s="66"/>
      <c r="AC304" s="367" t="s">
        <v>483</v>
      </c>
      <c r="AG304" s="75"/>
      <c r="AJ304" s="79" t="s">
        <v>94</v>
      </c>
      <c r="AK304" s="79">
        <v>25.2</v>
      </c>
      <c r="BB304" s="368" t="s">
        <v>1</v>
      </c>
      <c r="BM304" s="75">
        <f t="shared" si="32"/>
        <v>0</v>
      </c>
      <c r="BN304" s="75">
        <f t="shared" si="33"/>
        <v>0</v>
      </c>
      <c r="BO304" s="75">
        <f t="shared" si="34"/>
        <v>0</v>
      </c>
      <c r="BP304" s="75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3" t="s">
        <v>76</v>
      </c>
      <c r="Q305" s="564"/>
      <c r="R305" s="564"/>
      <c r="S305" s="564"/>
      <c r="T305" s="564"/>
      <c r="U305" s="564"/>
      <c r="V305" s="565"/>
      <c r="W305" s="40" t="s">
        <v>77</v>
      </c>
      <c r="X305" s="41">
        <f>IFERROR(X299/H299,"0")+IFERROR(X300/H300,"0")+IFERROR(X301/H301,"0")+IFERROR(X302/H302,"0")+IFERROR(X303/H303,"0")+IFERROR(X304/H304,"0")</f>
        <v>64.285714285714278</v>
      </c>
      <c r="Y305" s="41">
        <f>IFERROR(Y299/H299,"0")+IFERROR(Y300/H300,"0")+IFERROR(Y301/H301,"0")+IFERROR(Y302/H302,"0")+IFERROR(Y303/H303,"0")+IFERROR(Y304/H304,"0")</f>
        <v>65</v>
      </c>
      <c r="Z305" s="41">
        <f>IFERROR(IF(Z299="",0,Z299),"0")+IFERROR(IF(Z300="",0,Z300),"0")+IFERROR(IF(Z301="",0,Z301),"0")+IFERROR(IF(Z302="",0,Z302),"0")+IFERROR(IF(Z303="",0,Z303),"0")+IFERROR(IF(Z304="",0,Z304),"0")</f>
        <v>0.58630000000000004</v>
      </c>
      <c r="AA305" s="64"/>
      <c r="AB305" s="64"/>
      <c r="AC305" s="64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3" t="s">
        <v>76</v>
      </c>
      <c r="Q306" s="564"/>
      <c r="R306" s="564"/>
      <c r="S306" s="564"/>
      <c r="T306" s="564"/>
      <c r="U306" s="564"/>
      <c r="V306" s="565"/>
      <c r="W306" s="40" t="s">
        <v>70</v>
      </c>
      <c r="X306" s="41">
        <f>IFERROR(SUM(X299:X304),"0")</f>
        <v>270</v>
      </c>
      <c r="Y306" s="41">
        <f>IFERROR(SUM(Y299:Y304),"0")</f>
        <v>273</v>
      </c>
      <c r="Z306" s="40"/>
      <c r="AA306" s="64"/>
      <c r="AB306" s="64"/>
      <c r="AC306" s="64"/>
    </row>
    <row r="307" spans="1:68" ht="14.25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63"/>
      <c r="AB307" s="63"/>
      <c r="AC307" s="63"/>
    </row>
    <row r="308" spans="1:68" ht="27" customHeight="1" x14ac:dyDescent="0.25">
      <c r="A308" s="60" t="s">
        <v>484</v>
      </c>
      <c r="B308" s="60" t="s">
        <v>485</v>
      </c>
      <c r="C308" s="34">
        <v>4301051100</v>
      </c>
      <c r="D308" s="549">
        <v>4607091387766</v>
      </c>
      <c r="E308" s="550"/>
      <c r="F308" s="59">
        <v>1.3</v>
      </c>
      <c r="G308" s="35">
        <v>6</v>
      </c>
      <c r="H308" s="59">
        <v>7.8</v>
      </c>
      <c r="I308" s="59">
        <v>8.2880000000000003</v>
      </c>
      <c r="J308" s="35">
        <v>64</v>
      </c>
      <c r="K308" s="35" t="s">
        <v>108</v>
      </c>
      <c r="L308" s="35" t="s">
        <v>109</v>
      </c>
      <c r="M308" s="36" t="s">
        <v>81</v>
      </c>
      <c r="N308" s="36"/>
      <c r="O308" s="35">
        <v>40</v>
      </c>
      <c r="P308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7"/>
      <c r="V308" s="37"/>
      <c r="W308" s="38" t="s">
        <v>70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/>
      <c r="AB308" s="66"/>
      <c r="AC308" s="369" t="s">
        <v>486</v>
      </c>
      <c r="AG308" s="75"/>
      <c r="AJ308" s="79" t="s">
        <v>94</v>
      </c>
      <c r="AK308" s="79">
        <v>62.4</v>
      </c>
      <c r="BB308" s="370" t="s">
        <v>1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487</v>
      </c>
      <c r="B309" s="60" t="s">
        <v>488</v>
      </c>
      <c r="C309" s="34">
        <v>4301051818</v>
      </c>
      <c r="D309" s="549">
        <v>4607091387957</v>
      </c>
      <c r="E309" s="550"/>
      <c r="F309" s="59">
        <v>1.3</v>
      </c>
      <c r="G309" s="35">
        <v>6</v>
      </c>
      <c r="H309" s="59">
        <v>7.8</v>
      </c>
      <c r="I309" s="59">
        <v>8.2940000000000005</v>
      </c>
      <c r="J309" s="35">
        <v>64</v>
      </c>
      <c r="K309" s="35" t="s">
        <v>108</v>
      </c>
      <c r="L309" s="35"/>
      <c r="M309" s="36" t="s">
        <v>81</v>
      </c>
      <c r="N309" s="36"/>
      <c r="O309" s="35">
        <v>40</v>
      </c>
      <c r="P309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7"/>
      <c r="V309" s="37"/>
      <c r="W309" s="38" t="s">
        <v>70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/>
      <c r="AB309" s="66"/>
      <c r="AC309" s="371" t="s">
        <v>489</v>
      </c>
      <c r="AG309" s="75"/>
      <c r="AJ309" s="79"/>
      <c r="AK309" s="79">
        <v>0</v>
      </c>
      <c r="BB309" s="372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490</v>
      </c>
      <c r="B310" s="60" t="s">
        <v>491</v>
      </c>
      <c r="C310" s="34">
        <v>4301051819</v>
      </c>
      <c r="D310" s="549">
        <v>4607091387964</v>
      </c>
      <c r="E310" s="550"/>
      <c r="F310" s="59">
        <v>1.35</v>
      </c>
      <c r="G310" s="35">
        <v>6</v>
      </c>
      <c r="H310" s="59">
        <v>8.1</v>
      </c>
      <c r="I310" s="59">
        <v>8.5760000000000005</v>
      </c>
      <c r="J310" s="35">
        <v>64</v>
      </c>
      <c r="K310" s="35" t="s">
        <v>108</v>
      </c>
      <c r="L310" s="35"/>
      <c r="M310" s="36" t="s">
        <v>81</v>
      </c>
      <c r="N310" s="36"/>
      <c r="O310" s="35">
        <v>40</v>
      </c>
      <c r="P310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7"/>
      <c r="V310" s="37"/>
      <c r="W310" s="38" t="s">
        <v>70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/>
      <c r="AB310" s="66"/>
      <c r="AC310" s="373" t="s">
        <v>492</v>
      </c>
      <c r="AG310" s="75"/>
      <c r="AJ310" s="79"/>
      <c r="AK310" s="79">
        <v>0</v>
      </c>
      <c r="BB310" s="374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493</v>
      </c>
      <c r="B311" s="60" t="s">
        <v>494</v>
      </c>
      <c r="C311" s="34">
        <v>4301051734</v>
      </c>
      <c r="D311" s="549">
        <v>4680115884588</v>
      </c>
      <c r="E311" s="550"/>
      <c r="F311" s="59">
        <v>0.5</v>
      </c>
      <c r="G311" s="35">
        <v>6</v>
      </c>
      <c r="H311" s="59">
        <v>3</v>
      </c>
      <c r="I311" s="59">
        <v>3.246</v>
      </c>
      <c r="J311" s="35">
        <v>182</v>
      </c>
      <c r="K311" s="35" t="s">
        <v>67</v>
      </c>
      <c r="L311" s="35" t="s">
        <v>92</v>
      </c>
      <c r="M311" s="36" t="s">
        <v>81</v>
      </c>
      <c r="N311" s="36"/>
      <c r="O311" s="35">
        <v>40</v>
      </c>
      <c r="P311" s="7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7"/>
      <c r="V311" s="37"/>
      <c r="W311" s="38" t="s">
        <v>70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IFERROR(IF(Y311=0,"",ROUNDUP(Y311/H311,0)*0.00651),"")</f>
        <v/>
      </c>
      <c r="AA311" s="65"/>
      <c r="AB311" s="66"/>
      <c r="AC311" s="375" t="s">
        <v>495</v>
      </c>
      <c r="AG311" s="75"/>
      <c r="AJ311" s="79" t="s">
        <v>94</v>
      </c>
      <c r="AK311" s="79">
        <v>42</v>
      </c>
      <c r="BB311" s="376" t="s">
        <v>1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3" t="s">
        <v>76</v>
      </c>
      <c r="Q312" s="564"/>
      <c r="R312" s="564"/>
      <c r="S312" s="564"/>
      <c r="T312" s="564"/>
      <c r="U312" s="564"/>
      <c r="V312" s="565"/>
      <c r="W312" s="40" t="s">
        <v>77</v>
      </c>
      <c r="X312" s="41">
        <f>IFERROR(X308/H308,"0")+IFERROR(X309/H309,"0")+IFERROR(X310/H310,"0")+IFERROR(X311/H311,"0")</f>
        <v>0</v>
      </c>
      <c r="Y312" s="41">
        <f>IFERROR(Y308/H308,"0")+IFERROR(Y309/H309,"0")+IFERROR(Y310/H310,"0")+IFERROR(Y311/H311,"0")</f>
        <v>0</v>
      </c>
      <c r="Z312" s="41">
        <f>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3" t="s">
        <v>76</v>
      </c>
      <c r="Q313" s="564"/>
      <c r="R313" s="564"/>
      <c r="S313" s="564"/>
      <c r="T313" s="564"/>
      <c r="U313" s="564"/>
      <c r="V313" s="565"/>
      <c r="W313" s="40" t="s">
        <v>70</v>
      </c>
      <c r="X313" s="41">
        <f>IFERROR(SUM(X308:X311),"0")</f>
        <v>0</v>
      </c>
      <c r="Y313" s="41">
        <f>IFERROR(SUM(Y308:Y311),"0")</f>
        <v>0</v>
      </c>
      <c r="Z313" s="40"/>
      <c r="AA313" s="64"/>
      <c r="AB313" s="64"/>
      <c r="AC313" s="64"/>
    </row>
    <row r="314" spans="1:68" ht="14.25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63"/>
      <c r="AB314" s="63"/>
      <c r="AC314" s="63"/>
    </row>
    <row r="315" spans="1:68" ht="27" customHeight="1" x14ac:dyDescent="0.25">
      <c r="A315" s="60" t="s">
        <v>496</v>
      </c>
      <c r="B315" s="60" t="s">
        <v>497</v>
      </c>
      <c r="C315" s="34">
        <v>4301060387</v>
      </c>
      <c r="D315" s="549">
        <v>4607091380880</v>
      </c>
      <c r="E315" s="550"/>
      <c r="F315" s="59">
        <v>1.4</v>
      </c>
      <c r="G315" s="35">
        <v>6</v>
      </c>
      <c r="H315" s="59">
        <v>8.4</v>
      </c>
      <c r="I315" s="59">
        <v>8.8940000000000001</v>
      </c>
      <c r="J315" s="35">
        <v>64</v>
      </c>
      <c r="K315" s="35" t="s">
        <v>108</v>
      </c>
      <c r="L315" s="35" t="s">
        <v>109</v>
      </c>
      <c r="M315" s="36" t="s">
        <v>81</v>
      </c>
      <c r="N315" s="36"/>
      <c r="O315" s="35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7"/>
      <c r="V315" s="37"/>
      <c r="W315" s="38" t="s">
        <v>70</v>
      </c>
      <c r="X315" s="56">
        <v>50</v>
      </c>
      <c r="Y315" s="53">
        <f>IFERROR(IF(X315="",0,CEILING((X315/$H315),1)*$H315),"")</f>
        <v>50.400000000000006</v>
      </c>
      <c r="Z315" s="39">
        <f>IFERROR(IF(Y315=0,"",ROUNDUP(Y315/H315,0)*0.01898),"")</f>
        <v>0.11388000000000001</v>
      </c>
      <c r="AA315" s="65"/>
      <c r="AB315" s="66"/>
      <c r="AC315" s="377" t="s">
        <v>498</v>
      </c>
      <c r="AG315" s="75"/>
      <c r="AJ315" s="79" t="s">
        <v>94</v>
      </c>
      <c r="AK315" s="79">
        <v>67.2</v>
      </c>
      <c r="BB315" s="378" t="s">
        <v>1</v>
      </c>
      <c r="BM315" s="75">
        <f>IFERROR(X315*I315/H315,"0")</f>
        <v>52.94047619047619</v>
      </c>
      <c r="BN315" s="75">
        <f>IFERROR(Y315*I315/H315,"0")</f>
        <v>53.364000000000004</v>
      </c>
      <c r="BO315" s="75">
        <f>IFERROR(1/J315*(X315/H315),"0")</f>
        <v>9.3005952380952384E-2</v>
      </c>
      <c r="BP315" s="75">
        <f>IFERROR(1/J315*(Y315/H315),"0")</f>
        <v>9.375E-2</v>
      </c>
    </row>
    <row r="316" spans="1:68" ht="27" customHeight="1" x14ac:dyDescent="0.25">
      <c r="A316" s="60" t="s">
        <v>499</v>
      </c>
      <c r="B316" s="60" t="s">
        <v>500</v>
      </c>
      <c r="C316" s="34">
        <v>4301060406</v>
      </c>
      <c r="D316" s="549">
        <v>4607091384482</v>
      </c>
      <c r="E316" s="550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108</v>
      </c>
      <c r="L316" s="35" t="s">
        <v>109</v>
      </c>
      <c r="M316" s="36" t="s">
        <v>81</v>
      </c>
      <c r="N316" s="36"/>
      <c r="O316" s="35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7"/>
      <c r="V316" s="37"/>
      <c r="W316" s="38" t="s">
        <v>70</v>
      </c>
      <c r="X316" s="56">
        <v>130</v>
      </c>
      <c r="Y316" s="53">
        <f>IFERROR(IF(X316="",0,CEILING((X316/$H316),1)*$H316),"")</f>
        <v>132.6</v>
      </c>
      <c r="Z316" s="39">
        <f>IFERROR(IF(Y316=0,"",ROUNDUP(Y316/H316,0)*0.01898),"")</f>
        <v>0.32266</v>
      </c>
      <c r="AA316" s="65"/>
      <c r="AB316" s="66"/>
      <c r="AC316" s="379" t="s">
        <v>501</v>
      </c>
      <c r="AG316" s="75"/>
      <c r="AJ316" s="79" t="s">
        <v>94</v>
      </c>
      <c r="AK316" s="79">
        <v>62.4</v>
      </c>
      <c r="BB316" s="380" t="s">
        <v>1</v>
      </c>
      <c r="BM316" s="75">
        <f>IFERROR(X316*I316/H316,"0")</f>
        <v>138.23333333333335</v>
      </c>
      <c r="BN316" s="75">
        <f>IFERROR(Y316*I316/H316,"0")</f>
        <v>140.99799999999999</v>
      </c>
      <c r="BO316" s="75">
        <f>IFERROR(1/J316*(X316/H316),"0")</f>
        <v>0.26041666666666669</v>
      </c>
      <c r="BP316" s="75">
        <f>IFERROR(1/J316*(Y316/H316),"0")</f>
        <v>0.265625</v>
      </c>
    </row>
    <row r="317" spans="1:68" ht="16.5" customHeight="1" x14ac:dyDescent="0.25">
      <c r="A317" s="60" t="s">
        <v>502</v>
      </c>
      <c r="B317" s="60" t="s">
        <v>503</v>
      </c>
      <c r="C317" s="34">
        <v>4301060484</v>
      </c>
      <c r="D317" s="549">
        <v>4607091380897</v>
      </c>
      <c r="E317" s="550"/>
      <c r="F317" s="59">
        <v>1.4</v>
      </c>
      <c r="G317" s="35">
        <v>6</v>
      </c>
      <c r="H317" s="59">
        <v>8.4</v>
      </c>
      <c r="I317" s="59">
        <v>8.8940000000000001</v>
      </c>
      <c r="J317" s="35">
        <v>64</v>
      </c>
      <c r="K317" s="35" t="s">
        <v>108</v>
      </c>
      <c r="L317" s="35" t="s">
        <v>109</v>
      </c>
      <c r="M317" s="36" t="s">
        <v>88</v>
      </c>
      <c r="N317" s="36"/>
      <c r="O317" s="35">
        <v>30</v>
      </c>
      <c r="P317" s="8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7"/>
      <c r="V317" s="37"/>
      <c r="W317" s="38" t="s">
        <v>70</v>
      </c>
      <c r="X317" s="56">
        <v>150</v>
      </c>
      <c r="Y317" s="53">
        <f>IFERROR(IF(X317="",0,CEILING((X317/$H317),1)*$H317),"")</f>
        <v>151.20000000000002</v>
      </c>
      <c r="Z317" s="39">
        <f>IFERROR(IF(Y317=0,"",ROUNDUP(Y317/H317,0)*0.01898),"")</f>
        <v>0.34164</v>
      </c>
      <c r="AA317" s="65"/>
      <c r="AB317" s="66"/>
      <c r="AC317" s="381" t="s">
        <v>504</v>
      </c>
      <c r="AG317" s="75"/>
      <c r="AJ317" s="79" t="s">
        <v>94</v>
      </c>
      <c r="AK317" s="79">
        <v>67.2</v>
      </c>
      <c r="BB317" s="382" t="s">
        <v>1</v>
      </c>
      <c r="BM317" s="75">
        <f>IFERROR(X317*I317/H317,"0")</f>
        <v>158.82142857142856</v>
      </c>
      <c r="BN317" s="75">
        <f>IFERROR(Y317*I317/H317,"0")</f>
        <v>160.09200000000001</v>
      </c>
      <c r="BO317" s="75">
        <f>IFERROR(1/J317*(X317/H317),"0")</f>
        <v>0.27901785714285715</v>
      </c>
      <c r="BP317" s="75">
        <f>IFERROR(1/J317*(Y317/H317),"0")</f>
        <v>0.28125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3" t="s">
        <v>76</v>
      </c>
      <c r="Q318" s="564"/>
      <c r="R318" s="564"/>
      <c r="S318" s="564"/>
      <c r="T318" s="564"/>
      <c r="U318" s="564"/>
      <c r="V318" s="565"/>
      <c r="W318" s="40" t="s">
        <v>77</v>
      </c>
      <c r="X318" s="41">
        <f>IFERROR(X315/H315,"0")+IFERROR(X316/H316,"0")+IFERROR(X317/H317,"0")</f>
        <v>40.476190476190482</v>
      </c>
      <c r="Y318" s="41">
        <f>IFERROR(Y315/H315,"0")+IFERROR(Y316/H316,"0")+IFERROR(Y317/H317,"0")</f>
        <v>41</v>
      </c>
      <c r="Z318" s="41">
        <f>IFERROR(IF(Z315="",0,Z315),"0")+IFERROR(IF(Z316="",0,Z316),"0")+IFERROR(IF(Z317="",0,Z317),"0")</f>
        <v>0.77818000000000009</v>
      </c>
      <c r="AA318" s="64"/>
      <c r="AB318" s="64"/>
      <c r="AC318" s="64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3" t="s">
        <v>76</v>
      </c>
      <c r="Q319" s="564"/>
      <c r="R319" s="564"/>
      <c r="S319" s="564"/>
      <c r="T319" s="564"/>
      <c r="U319" s="564"/>
      <c r="V319" s="565"/>
      <c r="W319" s="40" t="s">
        <v>70</v>
      </c>
      <c r="X319" s="41">
        <f>IFERROR(SUM(X315:X317),"0")</f>
        <v>330</v>
      </c>
      <c r="Y319" s="41">
        <f>IFERROR(SUM(Y315:Y317),"0")</f>
        <v>334.20000000000005</v>
      </c>
      <c r="Z319" s="40"/>
      <c r="AA319" s="64"/>
      <c r="AB319" s="64"/>
      <c r="AC319" s="64"/>
    </row>
    <row r="320" spans="1:68" ht="14.25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63"/>
      <c r="AB320" s="63"/>
      <c r="AC320" s="63"/>
    </row>
    <row r="321" spans="1:68" ht="27" customHeight="1" x14ac:dyDescent="0.25">
      <c r="A321" s="60" t="s">
        <v>505</v>
      </c>
      <c r="B321" s="60" t="s">
        <v>506</v>
      </c>
      <c r="C321" s="34">
        <v>4301030235</v>
      </c>
      <c r="D321" s="549">
        <v>4607091388381</v>
      </c>
      <c r="E321" s="550"/>
      <c r="F321" s="59">
        <v>0.38</v>
      </c>
      <c r="G321" s="35">
        <v>8</v>
      </c>
      <c r="H321" s="59">
        <v>3.04</v>
      </c>
      <c r="I321" s="59">
        <v>3.31</v>
      </c>
      <c r="J321" s="35">
        <v>132</v>
      </c>
      <c r="K321" s="35" t="s">
        <v>114</v>
      </c>
      <c r="L321" s="35"/>
      <c r="M321" s="36" t="s">
        <v>100</v>
      </c>
      <c r="N321" s="36"/>
      <c r="O321" s="35">
        <v>180</v>
      </c>
      <c r="P321" s="8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7"/>
      <c r="V321" s="37"/>
      <c r="W321" s="38" t="s">
        <v>70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IFERROR(IF(Y321=0,"",ROUNDUP(Y321/H321,0)*0.00902),"")</f>
        <v/>
      </c>
      <c r="AA321" s="65"/>
      <c r="AB321" s="66"/>
      <c r="AC321" s="383" t="s">
        <v>507</v>
      </c>
      <c r="AG321" s="75"/>
      <c r="AJ321" s="79"/>
      <c r="AK321" s="79">
        <v>0</v>
      </c>
      <c r="BB321" s="384" t="s">
        <v>1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t="27" customHeight="1" x14ac:dyDescent="0.25">
      <c r="A322" s="60" t="s">
        <v>508</v>
      </c>
      <c r="B322" s="60" t="s">
        <v>509</v>
      </c>
      <c r="C322" s="34">
        <v>4301030232</v>
      </c>
      <c r="D322" s="549">
        <v>4607091388374</v>
      </c>
      <c r="E322" s="550"/>
      <c r="F322" s="59">
        <v>0.38</v>
      </c>
      <c r="G322" s="35">
        <v>8</v>
      </c>
      <c r="H322" s="59">
        <v>3.04</v>
      </c>
      <c r="I322" s="59">
        <v>3.27</v>
      </c>
      <c r="J322" s="35">
        <v>132</v>
      </c>
      <c r="K322" s="35" t="s">
        <v>114</v>
      </c>
      <c r="L322" s="35"/>
      <c r="M322" s="36" t="s">
        <v>100</v>
      </c>
      <c r="N322" s="36"/>
      <c r="O322" s="35">
        <v>180</v>
      </c>
      <c r="P32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7"/>
      <c r="V322" s="37"/>
      <c r="W322" s="38" t="s">
        <v>70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IFERROR(IF(Y322=0,"",ROUNDUP(Y322/H322,0)*0.00902),"")</f>
        <v/>
      </c>
      <c r="AA322" s="65"/>
      <c r="AB322" s="66"/>
      <c r="AC322" s="385" t="s">
        <v>507</v>
      </c>
      <c r="AG322" s="75"/>
      <c r="AJ322" s="79"/>
      <c r="AK322" s="79">
        <v>0</v>
      </c>
      <c r="BB322" s="386" t="s">
        <v>1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customHeight="1" x14ac:dyDescent="0.25">
      <c r="A323" s="60" t="s">
        <v>510</v>
      </c>
      <c r="B323" s="60" t="s">
        <v>511</v>
      </c>
      <c r="C323" s="34">
        <v>4301032015</v>
      </c>
      <c r="D323" s="549">
        <v>4607091383102</v>
      </c>
      <c r="E323" s="550"/>
      <c r="F323" s="59">
        <v>0.17</v>
      </c>
      <c r="G323" s="35">
        <v>15</v>
      </c>
      <c r="H323" s="59">
        <v>2.5499999999999998</v>
      </c>
      <c r="I323" s="59">
        <v>2.9550000000000001</v>
      </c>
      <c r="J323" s="35">
        <v>182</v>
      </c>
      <c r="K323" s="35" t="s">
        <v>67</v>
      </c>
      <c r="L323" s="35"/>
      <c r="M323" s="36" t="s">
        <v>100</v>
      </c>
      <c r="N323" s="36"/>
      <c r="O323" s="35">
        <v>180</v>
      </c>
      <c r="P323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7"/>
      <c r="V323" s="37"/>
      <c r="W323" s="38" t="s">
        <v>70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IFERROR(IF(Y323=0,"",ROUNDUP(Y323/H323,0)*0.00651),"")</f>
        <v/>
      </c>
      <c r="AA323" s="65"/>
      <c r="AB323" s="66"/>
      <c r="AC323" s="387" t="s">
        <v>512</v>
      </c>
      <c r="AG323" s="75"/>
      <c r="AJ323" s="79"/>
      <c r="AK323" s="79">
        <v>0</v>
      </c>
      <c r="BB323" s="388" t="s">
        <v>1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customHeight="1" x14ac:dyDescent="0.25">
      <c r="A324" s="60" t="s">
        <v>513</v>
      </c>
      <c r="B324" s="60" t="s">
        <v>514</v>
      </c>
      <c r="C324" s="34">
        <v>4301030233</v>
      </c>
      <c r="D324" s="549">
        <v>4607091388404</v>
      </c>
      <c r="E324" s="550"/>
      <c r="F324" s="59">
        <v>0.17</v>
      </c>
      <c r="G324" s="35">
        <v>15</v>
      </c>
      <c r="H324" s="59">
        <v>2.5499999999999998</v>
      </c>
      <c r="I324" s="59">
        <v>2.88</v>
      </c>
      <c r="J324" s="35">
        <v>182</v>
      </c>
      <c r="K324" s="35" t="s">
        <v>67</v>
      </c>
      <c r="L324" s="35" t="s">
        <v>92</v>
      </c>
      <c r="M324" s="36" t="s">
        <v>100</v>
      </c>
      <c r="N324" s="36"/>
      <c r="O324" s="35">
        <v>180</v>
      </c>
      <c r="P324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7"/>
      <c r="V324" s="37"/>
      <c r="W324" s="38" t="s">
        <v>70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IFERROR(IF(Y324=0,"",ROUNDUP(Y324/H324,0)*0.00651),"")</f>
        <v/>
      </c>
      <c r="AA324" s="65"/>
      <c r="AB324" s="66"/>
      <c r="AC324" s="389" t="s">
        <v>507</v>
      </c>
      <c r="AG324" s="75"/>
      <c r="AJ324" s="79" t="s">
        <v>94</v>
      </c>
      <c r="AK324" s="79">
        <v>35.700000000000003</v>
      </c>
      <c r="BB324" s="390" t="s">
        <v>1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3" t="s">
        <v>76</v>
      </c>
      <c r="Q325" s="564"/>
      <c r="R325" s="564"/>
      <c r="S325" s="564"/>
      <c r="T325" s="564"/>
      <c r="U325" s="564"/>
      <c r="V325" s="565"/>
      <c r="W325" s="40" t="s">
        <v>77</v>
      </c>
      <c r="X325" s="41">
        <f>IFERROR(X321/H321,"0")+IFERROR(X322/H322,"0")+IFERROR(X323/H323,"0")+IFERROR(X324/H324,"0")</f>
        <v>0</v>
      </c>
      <c r="Y325" s="41">
        <f>IFERROR(Y321/H321,"0")+IFERROR(Y322/H322,"0")+IFERROR(Y323/H323,"0")+IFERROR(Y324/H324,"0")</f>
        <v>0</v>
      </c>
      <c r="Z325" s="41">
        <f>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3" t="s">
        <v>76</v>
      </c>
      <c r="Q326" s="564"/>
      <c r="R326" s="564"/>
      <c r="S326" s="564"/>
      <c r="T326" s="564"/>
      <c r="U326" s="564"/>
      <c r="V326" s="565"/>
      <c r="W326" s="40" t="s">
        <v>70</v>
      </c>
      <c r="X326" s="41">
        <f>IFERROR(SUM(X321:X324),"0")</f>
        <v>0</v>
      </c>
      <c r="Y326" s="41">
        <f>IFERROR(SUM(Y321:Y324),"0")</f>
        <v>0</v>
      </c>
      <c r="Z326" s="40"/>
      <c r="AA326" s="64"/>
      <c r="AB326" s="64"/>
      <c r="AC326" s="64"/>
    </row>
    <row r="327" spans="1:68" ht="14.25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63"/>
      <c r="AB327" s="63"/>
      <c r="AC327" s="63"/>
    </row>
    <row r="328" spans="1:68" ht="16.5" customHeight="1" x14ac:dyDescent="0.25">
      <c r="A328" s="60" t="s">
        <v>516</v>
      </c>
      <c r="B328" s="60" t="s">
        <v>517</v>
      </c>
      <c r="C328" s="34">
        <v>4301180007</v>
      </c>
      <c r="D328" s="549">
        <v>4680115881808</v>
      </c>
      <c r="E328" s="550"/>
      <c r="F328" s="59">
        <v>0.1</v>
      </c>
      <c r="G328" s="35">
        <v>20</v>
      </c>
      <c r="H328" s="59">
        <v>2</v>
      </c>
      <c r="I328" s="59">
        <v>2.2400000000000002</v>
      </c>
      <c r="J328" s="35">
        <v>238</v>
      </c>
      <c r="K328" s="35" t="s">
        <v>67</v>
      </c>
      <c r="L328" s="35"/>
      <c r="M328" s="36" t="s">
        <v>518</v>
      </c>
      <c r="N328" s="36"/>
      <c r="O328" s="35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7"/>
      <c r="V328" s="37"/>
      <c r="W328" s="38" t="s">
        <v>70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IFERROR(IF(Y328=0,"",ROUNDUP(Y328/H328,0)*0.00474),"")</f>
        <v/>
      </c>
      <c r="AA328" s="65"/>
      <c r="AB328" s="66"/>
      <c r="AC328" s="391" t="s">
        <v>519</v>
      </c>
      <c r="AG328" s="75"/>
      <c r="AJ328" s="79"/>
      <c r="AK328" s="79">
        <v>0</v>
      </c>
      <c r="BB328" s="392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520</v>
      </c>
      <c r="B329" s="60" t="s">
        <v>521</v>
      </c>
      <c r="C329" s="34">
        <v>4301180006</v>
      </c>
      <c r="D329" s="549">
        <v>4680115881822</v>
      </c>
      <c r="E329" s="550"/>
      <c r="F329" s="59">
        <v>0.1</v>
      </c>
      <c r="G329" s="35">
        <v>20</v>
      </c>
      <c r="H329" s="59">
        <v>2</v>
      </c>
      <c r="I329" s="59">
        <v>2.2400000000000002</v>
      </c>
      <c r="J329" s="35">
        <v>238</v>
      </c>
      <c r="K329" s="35" t="s">
        <v>67</v>
      </c>
      <c r="L329" s="35"/>
      <c r="M329" s="36" t="s">
        <v>518</v>
      </c>
      <c r="N329" s="36"/>
      <c r="O329" s="35">
        <v>730</v>
      </c>
      <c r="P329" s="6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7"/>
      <c r="V329" s="37"/>
      <c r="W329" s="38" t="s">
        <v>70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IFERROR(IF(Y329=0,"",ROUNDUP(Y329/H329,0)*0.00474),"")</f>
        <v/>
      </c>
      <c r="AA329" s="65"/>
      <c r="AB329" s="66"/>
      <c r="AC329" s="393" t="s">
        <v>519</v>
      </c>
      <c r="AG329" s="75"/>
      <c r="AJ329" s="79"/>
      <c r="AK329" s="79">
        <v>0</v>
      </c>
      <c r="BB329" s="394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522</v>
      </c>
      <c r="B330" s="60" t="s">
        <v>523</v>
      </c>
      <c r="C330" s="34">
        <v>4301180001</v>
      </c>
      <c r="D330" s="549">
        <v>4680115880016</v>
      </c>
      <c r="E330" s="550"/>
      <c r="F330" s="59">
        <v>0.1</v>
      </c>
      <c r="G330" s="35">
        <v>20</v>
      </c>
      <c r="H330" s="59">
        <v>2</v>
      </c>
      <c r="I330" s="59">
        <v>2.2400000000000002</v>
      </c>
      <c r="J330" s="35">
        <v>238</v>
      </c>
      <c r="K330" s="35" t="s">
        <v>67</v>
      </c>
      <c r="L330" s="35"/>
      <c r="M330" s="36" t="s">
        <v>518</v>
      </c>
      <c r="N330" s="36"/>
      <c r="O330" s="35">
        <v>730</v>
      </c>
      <c r="P330" s="7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7"/>
      <c r="V330" s="37"/>
      <c r="W330" s="38" t="s">
        <v>70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IFERROR(IF(Y330=0,"",ROUNDUP(Y330/H330,0)*0.00474),"")</f>
        <v/>
      </c>
      <c r="AA330" s="65"/>
      <c r="AB330" s="66"/>
      <c r="AC330" s="395" t="s">
        <v>519</v>
      </c>
      <c r="AG330" s="75"/>
      <c r="AJ330" s="79"/>
      <c r="AK330" s="79">
        <v>0</v>
      </c>
      <c r="BB330" s="396" t="s">
        <v>1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3" t="s">
        <v>76</v>
      </c>
      <c r="Q331" s="564"/>
      <c r="R331" s="564"/>
      <c r="S331" s="564"/>
      <c r="T331" s="564"/>
      <c r="U331" s="564"/>
      <c r="V331" s="565"/>
      <c r="W331" s="40" t="s">
        <v>77</v>
      </c>
      <c r="X331" s="41">
        <f>IFERROR(X328/H328,"0")+IFERROR(X329/H329,"0")+IFERROR(X330/H330,"0")</f>
        <v>0</v>
      </c>
      <c r="Y331" s="41">
        <f>IFERROR(Y328/H328,"0")+IFERROR(Y329/H329,"0")+IFERROR(Y330/H330,"0")</f>
        <v>0</v>
      </c>
      <c r="Z331" s="41">
        <f>IFERROR(IF(Z328="",0,Z328),"0")+IFERROR(IF(Z329="",0,Z329),"0")+IFERROR(IF(Z330="",0,Z330),"0")</f>
        <v>0</v>
      </c>
      <c r="AA331" s="64"/>
      <c r="AB331" s="64"/>
      <c r="AC331" s="64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3" t="s">
        <v>76</v>
      </c>
      <c r="Q332" s="564"/>
      <c r="R332" s="564"/>
      <c r="S332" s="564"/>
      <c r="T332" s="564"/>
      <c r="U332" s="564"/>
      <c r="V332" s="565"/>
      <c r="W332" s="40" t="s">
        <v>70</v>
      </c>
      <c r="X332" s="41">
        <f>IFERROR(SUM(X328:X330),"0")</f>
        <v>0</v>
      </c>
      <c r="Y332" s="41">
        <f>IFERROR(SUM(Y328:Y330),"0")</f>
        <v>0</v>
      </c>
      <c r="Z332" s="40"/>
      <c r="AA332" s="64"/>
      <c r="AB332" s="64"/>
      <c r="AC332" s="64"/>
    </row>
    <row r="333" spans="1:68" ht="16.5" customHeight="1" x14ac:dyDescent="0.25">
      <c r="A333" s="560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62"/>
      <c r="AB333" s="62"/>
      <c r="AC333" s="62"/>
    </row>
    <row r="334" spans="1:68" ht="14.25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63"/>
      <c r="AB334" s="63"/>
      <c r="AC334" s="63"/>
    </row>
    <row r="335" spans="1:68" ht="27" customHeight="1" x14ac:dyDescent="0.25">
      <c r="A335" s="60" t="s">
        <v>525</v>
      </c>
      <c r="B335" s="60" t="s">
        <v>526</v>
      </c>
      <c r="C335" s="34">
        <v>4301051489</v>
      </c>
      <c r="D335" s="549">
        <v>4607091387919</v>
      </c>
      <c r="E335" s="550"/>
      <c r="F335" s="59">
        <v>1.35</v>
      </c>
      <c r="G335" s="35">
        <v>6</v>
      </c>
      <c r="H335" s="59">
        <v>8.1</v>
      </c>
      <c r="I335" s="59">
        <v>8.5939999999999994</v>
      </c>
      <c r="J335" s="35">
        <v>64</v>
      </c>
      <c r="K335" s="35" t="s">
        <v>108</v>
      </c>
      <c r="L335" s="35" t="s">
        <v>109</v>
      </c>
      <c r="M335" s="36" t="s">
        <v>88</v>
      </c>
      <c r="N335" s="36"/>
      <c r="O335" s="35">
        <v>45</v>
      </c>
      <c r="P335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7"/>
      <c r="V335" s="37"/>
      <c r="W335" s="38" t="s">
        <v>70</v>
      </c>
      <c r="X335" s="56">
        <v>90</v>
      </c>
      <c r="Y335" s="53">
        <f>IFERROR(IF(X335="",0,CEILING((X335/$H335),1)*$H335),"")</f>
        <v>97.199999999999989</v>
      </c>
      <c r="Z335" s="39">
        <f>IFERROR(IF(Y335=0,"",ROUNDUP(Y335/H335,0)*0.01898),"")</f>
        <v>0.22776000000000002</v>
      </c>
      <c r="AA335" s="65"/>
      <c r="AB335" s="66"/>
      <c r="AC335" s="397" t="s">
        <v>527</v>
      </c>
      <c r="AG335" s="75"/>
      <c r="AJ335" s="79" t="s">
        <v>94</v>
      </c>
      <c r="AK335" s="79">
        <v>64.8</v>
      </c>
      <c r="BB335" s="398" t="s">
        <v>1</v>
      </c>
      <c r="BM335" s="75">
        <f>IFERROR(X335*I335/H335,"0")</f>
        <v>95.48888888888888</v>
      </c>
      <c r="BN335" s="75">
        <f>IFERROR(Y335*I335/H335,"0")</f>
        <v>103.12799999999999</v>
      </c>
      <c r="BO335" s="75">
        <f>IFERROR(1/J335*(X335/H335),"0")</f>
        <v>0.1736111111111111</v>
      </c>
      <c r="BP335" s="75">
        <f>IFERROR(1/J335*(Y335/H335),"0")</f>
        <v>0.1875</v>
      </c>
    </row>
    <row r="336" spans="1:68" ht="27" customHeight="1" x14ac:dyDescent="0.25">
      <c r="A336" s="60" t="s">
        <v>528</v>
      </c>
      <c r="B336" s="60" t="s">
        <v>529</v>
      </c>
      <c r="C336" s="34">
        <v>4301051461</v>
      </c>
      <c r="D336" s="549">
        <v>4680115883604</v>
      </c>
      <c r="E336" s="550"/>
      <c r="F336" s="59">
        <v>0.35</v>
      </c>
      <c r="G336" s="35">
        <v>6</v>
      </c>
      <c r="H336" s="59">
        <v>2.1</v>
      </c>
      <c r="I336" s="59">
        <v>2.3519999999999999</v>
      </c>
      <c r="J336" s="35">
        <v>182</v>
      </c>
      <c r="K336" s="35" t="s">
        <v>67</v>
      </c>
      <c r="L336" s="35" t="s">
        <v>92</v>
      </c>
      <c r="M336" s="36" t="s">
        <v>81</v>
      </c>
      <c r="N336" s="36"/>
      <c r="O336" s="35">
        <v>45</v>
      </c>
      <c r="P336" s="8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7"/>
      <c r="V336" s="37"/>
      <c r="W336" s="38" t="s">
        <v>70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/>
      <c r="AB336" s="66"/>
      <c r="AC336" s="399" t="s">
        <v>530</v>
      </c>
      <c r="AG336" s="75"/>
      <c r="AJ336" s="79" t="s">
        <v>94</v>
      </c>
      <c r="AK336" s="79">
        <v>29.4</v>
      </c>
      <c r="BB336" s="400" t="s">
        <v>1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531</v>
      </c>
      <c r="B337" s="60" t="s">
        <v>532</v>
      </c>
      <c r="C337" s="34">
        <v>4301051864</v>
      </c>
      <c r="D337" s="549">
        <v>4680115883567</v>
      </c>
      <c r="E337" s="550"/>
      <c r="F337" s="59">
        <v>0.35</v>
      </c>
      <c r="G337" s="35">
        <v>6</v>
      </c>
      <c r="H337" s="59">
        <v>2.1</v>
      </c>
      <c r="I337" s="59">
        <v>2.34</v>
      </c>
      <c r="J337" s="35">
        <v>182</v>
      </c>
      <c r="K337" s="35" t="s">
        <v>67</v>
      </c>
      <c r="L337" s="35" t="s">
        <v>92</v>
      </c>
      <c r="M337" s="36" t="s">
        <v>88</v>
      </c>
      <c r="N337" s="36"/>
      <c r="O337" s="35">
        <v>40</v>
      </c>
      <c r="P337" s="6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7"/>
      <c r="V337" s="37"/>
      <c r="W337" s="38" t="s">
        <v>70</v>
      </c>
      <c r="X337" s="56">
        <v>14</v>
      </c>
      <c r="Y337" s="53">
        <f>IFERROR(IF(X337="",0,CEILING((X337/$H337),1)*$H337),"")</f>
        <v>14.700000000000001</v>
      </c>
      <c r="Z337" s="39">
        <f>IFERROR(IF(Y337=0,"",ROUNDUP(Y337/H337,0)*0.00651),"")</f>
        <v>4.5569999999999999E-2</v>
      </c>
      <c r="AA337" s="65"/>
      <c r="AB337" s="66"/>
      <c r="AC337" s="401" t="s">
        <v>533</v>
      </c>
      <c r="AG337" s="75"/>
      <c r="AJ337" s="79" t="s">
        <v>94</v>
      </c>
      <c r="AK337" s="79">
        <v>29.4</v>
      </c>
      <c r="BB337" s="402" t="s">
        <v>1</v>
      </c>
      <c r="BM337" s="75">
        <f>IFERROR(X337*I337/H337,"0")</f>
        <v>15.599999999999998</v>
      </c>
      <c r="BN337" s="75">
        <f>IFERROR(Y337*I337/H337,"0")</f>
        <v>16.380000000000003</v>
      </c>
      <c r="BO337" s="75">
        <f>IFERROR(1/J337*(X337/H337),"0")</f>
        <v>3.6630036630036632E-2</v>
      </c>
      <c r="BP337" s="75">
        <f>IFERROR(1/J337*(Y337/H337),"0")</f>
        <v>3.8461538461538464E-2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3" t="s">
        <v>76</v>
      </c>
      <c r="Q338" s="564"/>
      <c r="R338" s="564"/>
      <c r="S338" s="564"/>
      <c r="T338" s="564"/>
      <c r="U338" s="564"/>
      <c r="V338" s="565"/>
      <c r="W338" s="40" t="s">
        <v>77</v>
      </c>
      <c r="X338" s="41">
        <f>IFERROR(X335/H335,"0")+IFERROR(X336/H336,"0")+IFERROR(X337/H337,"0")</f>
        <v>17.777777777777779</v>
      </c>
      <c r="Y338" s="41">
        <f>IFERROR(Y335/H335,"0")+IFERROR(Y336/H336,"0")+IFERROR(Y337/H337,"0")</f>
        <v>19</v>
      </c>
      <c r="Z338" s="41">
        <f>IFERROR(IF(Z335="",0,Z335),"0")+IFERROR(IF(Z336="",0,Z336),"0")+IFERROR(IF(Z337="",0,Z337),"0")</f>
        <v>0.27333000000000002</v>
      </c>
      <c r="AA338" s="64"/>
      <c r="AB338" s="64"/>
      <c r="AC338" s="64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3" t="s">
        <v>76</v>
      </c>
      <c r="Q339" s="564"/>
      <c r="R339" s="564"/>
      <c r="S339" s="564"/>
      <c r="T339" s="564"/>
      <c r="U339" s="564"/>
      <c r="V339" s="565"/>
      <c r="W339" s="40" t="s">
        <v>70</v>
      </c>
      <c r="X339" s="41">
        <f>IFERROR(SUM(X335:X337),"0")</f>
        <v>104</v>
      </c>
      <c r="Y339" s="41">
        <f>IFERROR(SUM(Y335:Y337),"0")</f>
        <v>111.89999999999999</v>
      </c>
      <c r="Z339" s="40"/>
      <c r="AA339" s="64"/>
      <c r="AB339" s="64"/>
      <c r="AC339" s="64"/>
    </row>
    <row r="340" spans="1:68" ht="27.75" customHeight="1" x14ac:dyDescent="0.2">
      <c r="A340" s="567" t="s">
        <v>534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2"/>
      <c r="AB340" s="52"/>
      <c r="AC340" s="52"/>
    </row>
    <row r="341" spans="1:68" ht="16.5" customHeight="1" x14ac:dyDescent="0.25">
      <c r="A341" s="560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62"/>
      <c r="AB341" s="62"/>
      <c r="AC341" s="62"/>
    </row>
    <row r="342" spans="1:68" ht="14.25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63"/>
      <c r="AB342" s="63"/>
      <c r="AC342" s="63"/>
    </row>
    <row r="343" spans="1:68" ht="37.5" customHeight="1" x14ac:dyDescent="0.25">
      <c r="A343" s="60" t="s">
        <v>536</v>
      </c>
      <c r="B343" s="60" t="s">
        <v>537</v>
      </c>
      <c r="C343" s="34">
        <v>4301011869</v>
      </c>
      <c r="D343" s="549">
        <v>4680115884847</v>
      </c>
      <c r="E343" s="550"/>
      <c r="F343" s="59">
        <v>2.5</v>
      </c>
      <c r="G343" s="35">
        <v>6</v>
      </c>
      <c r="H343" s="59">
        <v>15</v>
      </c>
      <c r="I343" s="59">
        <v>15.47</v>
      </c>
      <c r="J343" s="35">
        <v>48</v>
      </c>
      <c r="K343" s="35" t="s">
        <v>108</v>
      </c>
      <c r="L343" s="35"/>
      <c r="M343" s="36" t="s">
        <v>68</v>
      </c>
      <c r="N343" s="36"/>
      <c r="O343" s="35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7"/>
      <c r="V343" s="37"/>
      <c r="W343" s="38" t="s">
        <v>70</v>
      </c>
      <c r="X343" s="56">
        <v>700</v>
      </c>
      <c r="Y343" s="53">
        <f t="shared" ref="Y343:Y349" si="36">IFERROR(IF(X343="",0,CEILING((X343/$H343),1)*$H343),"")</f>
        <v>705</v>
      </c>
      <c r="Z343" s="39">
        <f>IFERROR(IF(Y343=0,"",ROUNDUP(Y343/H343,0)*0.02175),"")</f>
        <v>1.0222499999999999</v>
      </c>
      <c r="AA343" s="65"/>
      <c r="AB343" s="66"/>
      <c r="AC343" s="403" t="s">
        <v>538</v>
      </c>
      <c r="AG343" s="75"/>
      <c r="AJ343" s="79"/>
      <c r="AK343" s="79">
        <v>0</v>
      </c>
      <c r="BB343" s="404" t="s">
        <v>1</v>
      </c>
      <c r="BM343" s="75">
        <f t="shared" ref="BM343:BM349" si="37">IFERROR(X343*I343/H343,"0")</f>
        <v>721.93333333333328</v>
      </c>
      <c r="BN343" s="75">
        <f t="shared" ref="BN343:BN349" si="38">IFERROR(Y343*I343/H343,"0")</f>
        <v>727.09</v>
      </c>
      <c r="BO343" s="75">
        <f t="shared" ref="BO343:BO349" si="39">IFERROR(1/J343*(X343/H343),"0")</f>
        <v>0.9722222222222221</v>
      </c>
      <c r="BP343" s="75">
        <f t="shared" ref="BP343:BP349" si="40">IFERROR(1/J343*(Y343/H343),"0")</f>
        <v>0.97916666666666663</v>
      </c>
    </row>
    <row r="344" spans="1:68" ht="27" customHeight="1" x14ac:dyDescent="0.25">
      <c r="A344" s="60" t="s">
        <v>539</v>
      </c>
      <c r="B344" s="60" t="s">
        <v>540</v>
      </c>
      <c r="C344" s="34">
        <v>4301011870</v>
      </c>
      <c r="D344" s="549">
        <v>4680115884854</v>
      </c>
      <c r="E344" s="550"/>
      <c r="F344" s="59">
        <v>2.5</v>
      </c>
      <c r="G344" s="35">
        <v>6</v>
      </c>
      <c r="H344" s="59">
        <v>15</v>
      </c>
      <c r="I344" s="59">
        <v>15.47</v>
      </c>
      <c r="J344" s="35">
        <v>48</v>
      </c>
      <c r="K344" s="35" t="s">
        <v>108</v>
      </c>
      <c r="L344" s="35"/>
      <c r="M344" s="36" t="s">
        <v>68</v>
      </c>
      <c r="N344" s="36"/>
      <c r="O344" s="35">
        <v>60</v>
      </c>
      <c r="P344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7"/>
      <c r="V344" s="37"/>
      <c r="W344" s="38" t="s">
        <v>70</v>
      </c>
      <c r="X344" s="56">
        <v>115</v>
      </c>
      <c r="Y344" s="53">
        <f t="shared" si="36"/>
        <v>120</v>
      </c>
      <c r="Z344" s="39">
        <f>IFERROR(IF(Y344=0,"",ROUNDUP(Y344/H344,0)*0.02175),"")</f>
        <v>0.17399999999999999</v>
      </c>
      <c r="AA344" s="65"/>
      <c r="AB344" s="66"/>
      <c r="AC344" s="405" t="s">
        <v>541</v>
      </c>
      <c r="AG344" s="75"/>
      <c r="AJ344" s="79"/>
      <c r="AK344" s="79">
        <v>0</v>
      </c>
      <c r="BB344" s="406" t="s">
        <v>1</v>
      </c>
      <c r="BM344" s="75">
        <f t="shared" si="37"/>
        <v>118.60333333333334</v>
      </c>
      <c r="BN344" s="75">
        <f t="shared" si="38"/>
        <v>123.76</v>
      </c>
      <c r="BO344" s="75">
        <f t="shared" si="39"/>
        <v>0.15972222222222221</v>
      </c>
      <c r="BP344" s="75">
        <f t="shared" si="40"/>
        <v>0.16666666666666666</v>
      </c>
    </row>
    <row r="345" spans="1:68" ht="37.5" customHeight="1" x14ac:dyDescent="0.25">
      <c r="A345" s="60" t="s">
        <v>542</v>
      </c>
      <c r="B345" s="60" t="s">
        <v>543</v>
      </c>
      <c r="C345" s="34">
        <v>4301011867</v>
      </c>
      <c r="D345" s="549">
        <v>4680115884830</v>
      </c>
      <c r="E345" s="550"/>
      <c r="F345" s="59">
        <v>2.5</v>
      </c>
      <c r="G345" s="35">
        <v>6</v>
      </c>
      <c r="H345" s="59">
        <v>15</v>
      </c>
      <c r="I345" s="59">
        <v>15.47</v>
      </c>
      <c r="J345" s="35">
        <v>48</v>
      </c>
      <c r="K345" s="35" t="s">
        <v>108</v>
      </c>
      <c r="L345" s="35"/>
      <c r="M345" s="36" t="s">
        <v>68</v>
      </c>
      <c r="N345" s="36"/>
      <c r="O345" s="35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7"/>
      <c r="V345" s="37"/>
      <c r="W345" s="38" t="s">
        <v>70</v>
      </c>
      <c r="X345" s="56">
        <v>2675</v>
      </c>
      <c r="Y345" s="53">
        <f t="shared" si="36"/>
        <v>2685</v>
      </c>
      <c r="Z345" s="39">
        <f>IFERROR(IF(Y345=0,"",ROUNDUP(Y345/H345,0)*0.02175),"")</f>
        <v>3.8932499999999997</v>
      </c>
      <c r="AA345" s="65"/>
      <c r="AB345" s="66"/>
      <c r="AC345" s="407" t="s">
        <v>544</v>
      </c>
      <c r="AG345" s="75"/>
      <c r="AJ345" s="79"/>
      <c r="AK345" s="79">
        <v>0</v>
      </c>
      <c r="BB345" s="408" t="s">
        <v>1</v>
      </c>
      <c r="BM345" s="75">
        <f t="shared" si="37"/>
        <v>2758.8166666666666</v>
      </c>
      <c r="BN345" s="75">
        <f t="shared" si="38"/>
        <v>2769.13</v>
      </c>
      <c r="BO345" s="75">
        <f t="shared" si="39"/>
        <v>3.7152777777777777</v>
      </c>
      <c r="BP345" s="75">
        <f t="shared" si="40"/>
        <v>3.7291666666666665</v>
      </c>
    </row>
    <row r="346" spans="1:68" ht="27" customHeight="1" x14ac:dyDescent="0.25">
      <c r="A346" s="60" t="s">
        <v>545</v>
      </c>
      <c r="B346" s="60" t="s">
        <v>546</v>
      </c>
      <c r="C346" s="34">
        <v>4301012215</v>
      </c>
      <c r="D346" s="549">
        <v>4680115887046</v>
      </c>
      <c r="E346" s="550"/>
      <c r="F346" s="59">
        <v>2.5</v>
      </c>
      <c r="G346" s="35">
        <v>6</v>
      </c>
      <c r="H346" s="59">
        <v>15</v>
      </c>
      <c r="I346" s="59">
        <v>15.47</v>
      </c>
      <c r="J346" s="35">
        <v>48</v>
      </c>
      <c r="K346" s="35" t="s">
        <v>108</v>
      </c>
      <c r="L346" s="35"/>
      <c r="M346" s="36" t="s">
        <v>88</v>
      </c>
      <c r="N346" s="36"/>
      <c r="O346" s="35">
        <v>60</v>
      </c>
      <c r="P346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7"/>
      <c r="V346" s="37"/>
      <c r="W346" s="38" t="s">
        <v>70</v>
      </c>
      <c r="X346" s="56">
        <v>0</v>
      </c>
      <c r="Y346" s="53">
        <f t="shared" si="36"/>
        <v>0</v>
      </c>
      <c r="Z346" s="39" t="str">
        <f>IFERROR(IF(Y346=0,"",ROUNDUP(Y346/H346,0)*0.02175),"")</f>
        <v/>
      </c>
      <c r="AA346" s="65"/>
      <c r="AB346" s="66"/>
      <c r="AC346" s="409" t="s">
        <v>547</v>
      </c>
      <c r="AG346" s="75"/>
      <c r="AJ346" s="79"/>
      <c r="AK346" s="79">
        <v>0</v>
      </c>
      <c r="BB346" s="410" t="s">
        <v>1</v>
      </c>
      <c r="BM346" s="75">
        <f t="shared" si="37"/>
        <v>0</v>
      </c>
      <c r="BN346" s="75">
        <f t="shared" si="38"/>
        <v>0</v>
      </c>
      <c r="BO346" s="75">
        <f t="shared" si="39"/>
        <v>0</v>
      </c>
      <c r="BP346" s="75">
        <f t="shared" si="40"/>
        <v>0</v>
      </c>
    </row>
    <row r="347" spans="1:68" ht="27" customHeight="1" x14ac:dyDescent="0.25">
      <c r="A347" s="60" t="s">
        <v>548</v>
      </c>
      <c r="B347" s="60" t="s">
        <v>549</v>
      </c>
      <c r="C347" s="34">
        <v>4301011433</v>
      </c>
      <c r="D347" s="549">
        <v>4680115882638</v>
      </c>
      <c r="E347" s="550"/>
      <c r="F347" s="59">
        <v>0.4</v>
      </c>
      <c r="G347" s="35">
        <v>10</v>
      </c>
      <c r="H347" s="59">
        <v>4</v>
      </c>
      <c r="I347" s="59">
        <v>4.1900000000000004</v>
      </c>
      <c r="J347" s="35">
        <v>132</v>
      </c>
      <c r="K347" s="35" t="s">
        <v>114</v>
      </c>
      <c r="L347" s="35"/>
      <c r="M347" s="36" t="s">
        <v>110</v>
      </c>
      <c r="N347" s="36"/>
      <c r="O347" s="35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7"/>
      <c r="V347" s="37"/>
      <c r="W347" s="38" t="s">
        <v>70</v>
      </c>
      <c r="X347" s="56">
        <v>0</v>
      </c>
      <c r="Y347" s="53">
        <f t="shared" si="36"/>
        <v>0</v>
      </c>
      <c r="Z347" s="39" t="str">
        <f>IFERROR(IF(Y347=0,"",ROUNDUP(Y347/H347,0)*0.00902),"")</f>
        <v/>
      </c>
      <c r="AA347" s="65"/>
      <c r="AB347" s="66"/>
      <c r="AC347" s="411" t="s">
        <v>550</v>
      </c>
      <c r="AG347" s="75"/>
      <c r="AJ347" s="79"/>
      <c r="AK347" s="79">
        <v>0</v>
      </c>
      <c r="BB347" s="412" t="s">
        <v>1</v>
      </c>
      <c r="BM347" s="75">
        <f t="shared" si="37"/>
        <v>0</v>
      </c>
      <c r="BN347" s="75">
        <f t="shared" si="38"/>
        <v>0</v>
      </c>
      <c r="BO347" s="75">
        <f t="shared" si="39"/>
        <v>0</v>
      </c>
      <c r="BP347" s="75">
        <f t="shared" si="40"/>
        <v>0</v>
      </c>
    </row>
    <row r="348" spans="1:68" ht="27" customHeight="1" x14ac:dyDescent="0.25">
      <c r="A348" s="60" t="s">
        <v>551</v>
      </c>
      <c r="B348" s="60" t="s">
        <v>552</v>
      </c>
      <c r="C348" s="34">
        <v>4301011952</v>
      </c>
      <c r="D348" s="549">
        <v>4680115884922</v>
      </c>
      <c r="E348" s="550"/>
      <c r="F348" s="59">
        <v>0.5</v>
      </c>
      <c r="G348" s="35">
        <v>10</v>
      </c>
      <c r="H348" s="59">
        <v>5</v>
      </c>
      <c r="I348" s="59">
        <v>5.19</v>
      </c>
      <c r="J348" s="35">
        <v>132</v>
      </c>
      <c r="K348" s="35" t="s">
        <v>114</v>
      </c>
      <c r="L348" s="35"/>
      <c r="M348" s="36" t="s">
        <v>68</v>
      </c>
      <c r="N348" s="36"/>
      <c r="O348" s="35">
        <v>60</v>
      </c>
      <c r="P348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7"/>
      <c r="V348" s="37"/>
      <c r="W348" s="38" t="s">
        <v>70</v>
      </c>
      <c r="X348" s="56">
        <v>0</v>
      </c>
      <c r="Y348" s="53">
        <f t="shared" si="36"/>
        <v>0</v>
      </c>
      <c r="Z348" s="39" t="str">
        <f>IFERROR(IF(Y348=0,"",ROUNDUP(Y348/H348,0)*0.00902),"")</f>
        <v/>
      </c>
      <c r="AA348" s="65"/>
      <c r="AB348" s="66"/>
      <c r="AC348" s="413" t="s">
        <v>541</v>
      </c>
      <c r="AG348" s="75"/>
      <c r="AJ348" s="79"/>
      <c r="AK348" s="79">
        <v>0</v>
      </c>
      <c r="BB348" s="414" t="s">
        <v>1</v>
      </c>
      <c r="BM348" s="75">
        <f t="shared" si="37"/>
        <v>0</v>
      </c>
      <c r="BN348" s="75">
        <f t="shared" si="38"/>
        <v>0</v>
      </c>
      <c r="BO348" s="75">
        <f t="shared" si="39"/>
        <v>0</v>
      </c>
      <c r="BP348" s="75">
        <f t="shared" si="40"/>
        <v>0</v>
      </c>
    </row>
    <row r="349" spans="1:68" ht="37.5" customHeight="1" x14ac:dyDescent="0.25">
      <c r="A349" s="60" t="s">
        <v>553</v>
      </c>
      <c r="B349" s="60" t="s">
        <v>554</v>
      </c>
      <c r="C349" s="34">
        <v>4301011868</v>
      </c>
      <c r="D349" s="549">
        <v>4680115884861</v>
      </c>
      <c r="E349" s="550"/>
      <c r="F349" s="59">
        <v>0.5</v>
      </c>
      <c r="G349" s="35">
        <v>10</v>
      </c>
      <c r="H349" s="59">
        <v>5</v>
      </c>
      <c r="I349" s="59">
        <v>5.19</v>
      </c>
      <c r="J349" s="35">
        <v>132</v>
      </c>
      <c r="K349" s="35" t="s">
        <v>114</v>
      </c>
      <c r="L349" s="35" t="s">
        <v>115</v>
      </c>
      <c r="M349" s="36" t="s">
        <v>68</v>
      </c>
      <c r="N349" s="36"/>
      <c r="O349" s="35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7"/>
      <c r="V349" s="37"/>
      <c r="W349" s="38" t="s">
        <v>70</v>
      </c>
      <c r="X349" s="56">
        <v>0</v>
      </c>
      <c r="Y349" s="53">
        <f t="shared" si="36"/>
        <v>0</v>
      </c>
      <c r="Z349" s="39" t="str">
        <f>IFERROR(IF(Y349=0,"",ROUNDUP(Y349/H349,0)*0.00902),"")</f>
        <v/>
      </c>
      <c r="AA349" s="65"/>
      <c r="AB349" s="66"/>
      <c r="AC349" s="415" t="s">
        <v>544</v>
      </c>
      <c r="AG349" s="75"/>
      <c r="AJ349" s="79" t="s">
        <v>94</v>
      </c>
      <c r="AK349" s="79">
        <v>60</v>
      </c>
      <c r="BB349" s="416" t="s">
        <v>1</v>
      </c>
      <c r="BM349" s="75">
        <f t="shared" si="37"/>
        <v>0</v>
      </c>
      <c r="BN349" s="75">
        <f t="shared" si="38"/>
        <v>0</v>
      </c>
      <c r="BO349" s="75">
        <f t="shared" si="39"/>
        <v>0</v>
      </c>
      <c r="BP349" s="75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3" t="s">
        <v>76</v>
      </c>
      <c r="Q350" s="564"/>
      <c r="R350" s="564"/>
      <c r="S350" s="564"/>
      <c r="T350" s="564"/>
      <c r="U350" s="564"/>
      <c r="V350" s="565"/>
      <c r="W350" s="40" t="s">
        <v>77</v>
      </c>
      <c r="X350" s="41">
        <f>IFERROR(X343/H343,"0")+IFERROR(X344/H344,"0")+IFERROR(X345/H345,"0")+IFERROR(X346/H346,"0")+IFERROR(X347/H347,"0")+IFERROR(X348/H348,"0")+IFERROR(X349/H349,"0")</f>
        <v>232.66666666666669</v>
      </c>
      <c r="Y350" s="41">
        <f>IFERROR(Y343/H343,"0")+IFERROR(Y344/H344,"0")+IFERROR(Y345/H345,"0")+IFERROR(Y346/H346,"0")+IFERROR(Y347/H347,"0")+IFERROR(Y348/H348,"0")+IFERROR(Y349/H349,"0")</f>
        <v>234</v>
      </c>
      <c r="Z350" s="41">
        <f>IFERROR(IF(Z343="",0,Z343),"0")+IFERROR(IF(Z344="",0,Z344),"0")+IFERROR(IF(Z345="",0,Z345),"0")+IFERROR(IF(Z346="",0,Z346),"0")+IFERROR(IF(Z347="",0,Z347),"0")+IFERROR(IF(Z348="",0,Z348),"0")+IFERROR(IF(Z349="",0,Z349),"0")</f>
        <v>5.0894999999999992</v>
      </c>
      <c r="AA350" s="64"/>
      <c r="AB350" s="64"/>
      <c r="AC350" s="64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3" t="s">
        <v>76</v>
      </c>
      <c r="Q351" s="564"/>
      <c r="R351" s="564"/>
      <c r="S351" s="564"/>
      <c r="T351" s="564"/>
      <c r="U351" s="564"/>
      <c r="V351" s="565"/>
      <c r="W351" s="40" t="s">
        <v>70</v>
      </c>
      <c r="X351" s="41">
        <f>IFERROR(SUM(X343:X349),"0")</f>
        <v>3490</v>
      </c>
      <c r="Y351" s="41">
        <f>IFERROR(SUM(Y343:Y349),"0")</f>
        <v>3510</v>
      </c>
      <c r="Z351" s="40"/>
      <c r="AA351" s="64"/>
      <c r="AB351" s="64"/>
      <c r="AC351" s="64"/>
    </row>
    <row r="352" spans="1:68" ht="14.25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63"/>
      <c r="AB352" s="63"/>
      <c r="AC352" s="63"/>
    </row>
    <row r="353" spans="1:68" ht="27" customHeight="1" x14ac:dyDescent="0.25">
      <c r="A353" s="60" t="s">
        <v>555</v>
      </c>
      <c r="B353" s="60" t="s">
        <v>556</v>
      </c>
      <c r="C353" s="34">
        <v>4301020178</v>
      </c>
      <c r="D353" s="549">
        <v>4607091383980</v>
      </c>
      <c r="E353" s="550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108</v>
      </c>
      <c r="L353" s="35"/>
      <c r="M353" s="36" t="s">
        <v>110</v>
      </c>
      <c r="N353" s="36"/>
      <c r="O353" s="35">
        <v>50</v>
      </c>
      <c r="P353" s="6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7"/>
      <c r="V353" s="37"/>
      <c r="W353" s="38" t="s">
        <v>70</v>
      </c>
      <c r="X353" s="56">
        <v>805</v>
      </c>
      <c r="Y353" s="53">
        <f>IFERROR(IF(X353="",0,CEILING((X353/$H353),1)*$H353),"")</f>
        <v>810</v>
      </c>
      <c r="Z353" s="39">
        <f>IFERROR(IF(Y353=0,"",ROUNDUP(Y353/H353,0)*0.02175),"")</f>
        <v>1.1744999999999999</v>
      </c>
      <c r="AA353" s="65"/>
      <c r="AB353" s="66"/>
      <c r="AC353" s="417" t="s">
        <v>557</v>
      </c>
      <c r="AG353" s="75"/>
      <c r="AJ353" s="79"/>
      <c r="AK353" s="79">
        <v>0</v>
      </c>
      <c r="BB353" s="418" t="s">
        <v>1</v>
      </c>
      <c r="BM353" s="75">
        <f>IFERROR(X353*I353/H353,"0")</f>
        <v>830.22333333333336</v>
      </c>
      <c r="BN353" s="75">
        <f>IFERROR(Y353*I353/H353,"0")</f>
        <v>835.38</v>
      </c>
      <c r="BO353" s="75">
        <f>IFERROR(1/J353*(X353/H353),"0")</f>
        <v>1.1180555555555554</v>
      </c>
      <c r="BP353" s="75">
        <f>IFERROR(1/J353*(Y353/H353),"0")</f>
        <v>1.125</v>
      </c>
    </row>
    <row r="354" spans="1:68" ht="27" customHeight="1" x14ac:dyDescent="0.25">
      <c r="A354" s="60" t="s">
        <v>558</v>
      </c>
      <c r="B354" s="60" t="s">
        <v>559</v>
      </c>
      <c r="C354" s="34">
        <v>4301020179</v>
      </c>
      <c r="D354" s="549">
        <v>4607091384178</v>
      </c>
      <c r="E354" s="550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114</v>
      </c>
      <c r="L354" s="35"/>
      <c r="M354" s="36" t="s">
        <v>110</v>
      </c>
      <c r="N354" s="36"/>
      <c r="O354" s="35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7"/>
      <c r="V354" s="37"/>
      <c r="W354" s="38" t="s">
        <v>70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/>
      <c r="AB354" s="66"/>
      <c r="AC354" s="419" t="s">
        <v>560</v>
      </c>
      <c r="AG354" s="75"/>
      <c r="AJ354" s="79"/>
      <c r="AK354" s="79">
        <v>0</v>
      </c>
      <c r="BB354" s="420" t="s">
        <v>1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3" t="s">
        <v>76</v>
      </c>
      <c r="Q355" s="564"/>
      <c r="R355" s="564"/>
      <c r="S355" s="564"/>
      <c r="T355" s="564"/>
      <c r="U355" s="564"/>
      <c r="V355" s="565"/>
      <c r="W355" s="40" t="s">
        <v>77</v>
      </c>
      <c r="X355" s="41">
        <f>IFERROR(X353/H353,"0")+IFERROR(X354/H354,"0")</f>
        <v>53.666666666666664</v>
      </c>
      <c r="Y355" s="41">
        <f>IFERROR(Y353/H353,"0")+IFERROR(Y354/H354,"0")</f>
        <v>54</v>
      </c>
      <c r="Z355" s="41">
        <f>IFERROR(IF(Z353="",0,Z353),"0")+IFERROR(IF(Z354="",0,Z354),"0")</f>
        <v>1.1744999999999999</v>
      </c>
      <c r="AA355" s="64"/>
      <c r="AB355" s="64"/>
      <c r="AC355" s="64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3" t="s">
        <v>76</v>
      </c>
      <c r="Q356" s="564"/>
      <c r="R356" s="564"/>
      <c r="S356" s="564"/>
      <c r="T356" s="564"/>
      <c r="U356" s="564"/>
      <c r="V356" s="565"/>
      <c r="W356" s="40" t="s">
        <v>70</v>
      </c>
      <c r="X356" s="41">
        <f>IFERROR(SUM(X353:X354),"0")</f>
        <v>805</v>
      </c>
      <c r="Y356" s="41">
        <f>IFERROR(SUM(Y353:Y354),"0")</f>
        <v>810</v>
      </c>
      <c r="Z356" s="40"/>
      <c r="AA356" s="64"/>
      <c r="AB356" s="64"/>
      <c r="AC356" s="64"/>
    </row>
    <row r="357" spans="1:68" ht="14.25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63"/>
      <c r="AB357" s="63"/>
      <c r="AC357" s="63"/>
    </row>
    <row r="358" spans="1:68" ht="27" customHeight="1" x14ac:dyDescent="0.25">
      <c r="A358" s="60" t="s">
        <v>561</v>
      </c>
      <c r="B358" s="60" t="s">
        <v>562</v>
      </c>
      <c r="C358" s="34">
        <v>4301051903</v>
      </c>
      <c r="D358" s="549">
        <v>4607091383928</v>
      </c>
      <c r="E358" s="550"/>
      <c r="F358" s="59">
        <v>1.5</v>
      </c>
      <c r="G358" s="35">
        <v>6</v>
      </c>
      <c r="H358" s="59">
        <v>9</v>
      </c>
      <c r="I358" s="59">
        <v>9.5</v>
      </c>
      <c r="J358" s="35">
        <v>64</v>
      </c>
      <c r="K358" s="35" t="s">
        <v>108</v>
      </c>
      <c r="L358" s="35" t="s">
        <v>109</v>
      </c>
      <c r="M358" s="36" t="s">
        <v>81</v>
      </c>
      <c r="N358" s="36"/>
      <c r="O358" s="35">
        <v>40</v>
      </c>
      <c r="P358" s="69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7"/>
      <c r="V358" s="37"/>
      <c r="W358" s="38" t="s">
        <v>70</v>
      </c>
      <c r="X358" s="56">
        <v>780</v>
      </c>
      <c r="Y358" s="53">
        <f>IFERROR(IF(X358="",0,CEILING((X358/$H358),1)*$H358),"")</f>
        <v>783</v>
      </c>
      <c r="Z358" s="39">
        <f>IFERROR(IF(Y358=0,"",ROUNDUP(Y358/H358,0)*0.01898),"")</f>
        <v>1.65126</v>
      </c>
      <c r="AA358" s="65"/>
      <c r="AB358" s="66"/>
      <c r="AC358" s="421" t="s">
        <v>563</v>
      </c>
      <c r="AG358" s="75"/>
      <c r="AJ358" s="79" t="s">
        <v>94</v>
      </c>
      <c r="AK358" s="79">
        <v>72</v>
      </c>
      <c r="BB358" s="422" t="s">
        <v>1</v>
      </c>
      <c r="BM358" s="75">
        <f>IFERROR(X358*I358/H358,"0")</f>
        <v>823.33333333333337</v>
      </c>
      <c r="BN358" s="75">
        <f>IFERROR(Y358*I358/H358,"0")</f>
        <v>826.5</v>
      </c>
      <c r="BO358" s="75">
        <f>IFERROR(1/J358*(X358/H358),"0")</f>
        <v>1.3541666666666667</v>
      </c>
      <c r="BP358" s="75">
        <f>IFERROR(1/J358*(Y358/H358),"0")</f>
        <v>1.359375</v>
      </c>
    </row>
    <row r="359" spans="1:68" ht="27" customHeight="1" x14ac:dyDescent="0.25">
      <c r="A359" s="60" t="s">
        <v>564</v>
      </c>
      <c r="B359" s="60" t="s">
        <v>565</v>
      </c>
      <c r="C359" s="34">
        <v>4301051897</v>
      </c>
      <c r="D359" s="549">
        <v>4607091384260</v>
      </c>
      <c r="E359" s="550"/>
      <c r="F359" s="59">
        <v>1.5</v>
      </c>
      <c r="G359" s="35">
        <v>6</v>
      </c>
      <c r="H359" s="59">
        <v>9</v>
      </c>
      <c r="I359" s="59">
        <v>9.4939999999999998</v>
      </c>
      <c r="J359" s="35">
        <v>64</v>
      </c>
      <c r="K359" s="35" t="s">
        <v>108</v>
      </c>
      <c r="L359" s="35" t="s">
        <v>109</v>
      </c>
      <c r="M359" s="36" t="s">
        <v>81</v>
      </c>
      <c r="N359" s="36"/>
      <c r="O359" s="35">
        <v>40</v>
      </c>
      <c r="P359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7"/>
      <c r="V359" s="37"/>
      <c r="W359" s="38" t="s">
        <v>70</v>
      </c>
      <c r="X359" s="56">
        <v>85</v>
      </c>
      <c r="Y359" s="53">
        <f>IFERROR(IF(X359="",0,CEILING((X359/$H359),1)*$H359),"")</f>
        <v>90</v>
      </c>
      <c r="Z359" s="39">
        <f>IFERROR(IF(Y359=0,"",ROUNDUP(Y359/H359,0)*0.01898),"")</f>
        <v>0.1898</v>
      </c>
      <c r="AA359" s="65"/>
      <c r="AB359" s="66"/>
      <c r="AC359" s="423" t="s">
        <v>566</v>
      </c>
      <c r="AG359" s="75"/>
      <c r="AJ359" s="79" t="s">
        <v>94</v>
      </c>
      <c r="AK359" s="79">
        <v>72</v>
      </c>
      <c r="BB359" s="424" t="s">
        <v>1</v>
      </c>
      <c r="BM359" s="75">
        <f>IFERROR(X359*I359/H359,"0")</f>
        <v>89.665555555555557</v>
      </c>
      <c r="BN359" s="75">
        <f>IFERROR(Y359*I359/H359,"0")</f>
        <v>94.94</v>
      </c>
      <c r="BO359" s="75">
        <f>IFERROR(1/J359*(X359/H359),"0")</f>
        <v>0.14756944444444445</v>
      </c>
      <c r="BP359" s="75">
        <f>IFERROR(1/J359*(Y359/H359),"0")</f>
        <v>0.15625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3" t="s">
        <v>76</v>
      </c>
      <c r="Q360" s="564"/>
      <c r="R360" s="564"/>
      <c r="S360" s="564"/>
      <c r="T360" s="564"/>
      <c r="U360" s="564"/>
      <c r="V360" s="565"/>
      <c r="W360" s="40" t="s">
        <v>77</v>
      </c>
      <c r="X360" s="41">
        <f>IFERROR(X358/H358,"0")+IFERROR(X359/H359,"0")</f>
        <v>96.111111111111114</v>
      </c>
      <c r="Y360" s="41">
        <f>IFERROR(Y358/H358,"0")+IFERROR(Y359/H359,"0")</f>
        <v>97</v>
      </c>
      <c r="Z360" s="41">
        <f>IFERROR(IF(Z358="",0,Z358),"0")+IFERROR(IF(Z359="",0,Z359),"0")</f>
        <v>1.8410599999999999</v>
      </c>
      <c r="AA360" s="64"/>
      <c r="AB360" s="64"/>
      <c r="AC360" s="64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3" t="s">
        <v>76</v>
      </c>
      <c r="Q361" s="564"/>
      <c r="R361" s="564"/>
      <c r="S361" s="564"/>
      <c r="T361" s="564"/>
      <c r="U361" s="564"/>
      <c r="V361" s="565"/>
      <c r="W361" s="40" t="s">
        <v>70</v>
      </c>
      <c r="X361" s="41">
        <f>IFERROR(SUM(X358:X359),"0")</f>
        <v>865</v>
      </c>
      <c r="Y361" s="41">
        <f>IFERROR(SUM(Y358:Y359),"0")</f>
        <v>873</v>
      </c>
      <c r="Z361" s="40"/>
      <c r="AA361" s="64"/>
      <c r="AB361" s="64"/>
      <c r="AC361" s="64"/>
    </row>
    <row r="362" spans="1:68" ht="14.25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63"/>
      <c r="AB362" s="63"/>
      <c r="AC362" s="63"/>
    </row>
    <row r="363" spans="1:68" ht="16.5" customHeight="1" x14ac:dyDescent="0.25">
      <c r="A363" s="60" t="s">
        <v>567</v>
      </c>
      <c r="B363" s="60" t="s">
        <v>568</v>
      </c>
      <c r="C363" s="34">
        <v>4301060524</v>
      </c>
      <c r="D363" s="549">
        <v>4607091384673</v>
      </c>
      <c r="E363" s="550"/>
      <c r="F363" s="59">
        <v>1.5</v>
      </c>
      <c r="G363" s="35">
        <v>6</v>
      </c>
      <c r="H363" s="59">
        <v>9</v>
      </c>
      <c r="I363" s="59">
        <v>9.4939999999999998</v>
      </c>
      <c r="J363" s="35">
        <v>64</v>
      </c>
      <c r="K363" s="35" t="s">
        <v>108</v>
      </c>
      <c r="L363" s="35"/>
      <c r="M363" s="36" t="s">
        <v>81</v>
      </c>
      <c r="N363" s="36"/>
      <c r="O363" s="35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7"/>
      <c r="V363" s="37"/>
      <c r="W363" s="38" t="s">
        <v>70</v>
      </c>
      <c r="X363" s="56">
        <v>320</v>
      </c>
      <c r="Y363" s="53">
        <f>IFERROR(IF(X363="",0,CEILING((X363/$H363),1)*$H363),"")</f>
        <v>324</v>
      </c>
      <c r="Z363" s="39">
        <f>IFERROR(IF(Y363=0,"",ROUNDUP(Y363/H363,0)*0.01898),"")</f>
        <v>0.68328</v>
      </c>
      <c r="AA363" s="65"/>
      <c r="AB363" s="66"/>
      <c r="AC363" s="425" t="s">
        <v>569</v>
      </c>
      <c r="AG363" s="75"/>
      <c r="AJ363" s="79"/>
      <c r="AK363" s="79">
        <v>0</v>
      </c>
      <c r="BB363" s="426" t="s">
        <v>1</v>
      </c>
      <c r="BM363" s="75">
        <f>IFERROR(X363*I363/H363,"0")</f>
        <v>337.56444444444446</v>
      </c>
      <c r="BN363" s="75">
        <f>IFERROR(Y363*I363/H363,"0")</f>
        <v>341.78399999999999</v>
      </c>
      <c r="BO363" s="75">
        <f>IFERROR(1/J363*(X363/H363),"0")</f>
        <v>0.55555555555555558</v>
      </c>
      <c r="BP363" s="75">
        <f>IFERROR(1/J363*(Y363/H363),"0")</f>
        <v>0.5625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3" t="s">
        <v>76</v>
      </c>
      <c r="Q364" s="564"/>
      <c r="R364" s="564"/>
      <c r="S364" s="564"/>
      <c r="T364" s="564"/>
      <c r="U364" s="564"/>
      <c r="V364" s="565"/>
      <c r="W364" s="40" t="s">
        <v>77</v>
      </c>
      <c r="X364" s="41">
        <f>IFERROR(X363/H363,"0")</f>
        <v>35.555555555555557</v>
      </c>
      <c r="Y364" s="41">
        <f>IFERROR(Y363/H363,"0")</f>
        <v>36</v>
      </c>
      <c r="Z364" s="41">
        <f>IFERROR(IF(Z363="",0,Z363),"0")</f>
        <v>0.68328</v>
      </c>
      <c r="AA364" s="64"/>
      <c r="AB364" s="64"/>
      <c r="AC364" s="64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3" t="s">
        <v>76</v>
      </c>
      <c r="Q365" s="564"/>
      <c r="R365" s="564"/>
      <c r="S365" s="564"/>
      <c r="T365" s="564"/>
      <c r="U365" s="564"/>
      <c r="V365" s="565"/>
      <c r="W365" s="40" t="s">
        <v>70</v>
      </c>
      <c r="X365" s="41">
        <f>IFERROR(SUM(X363:X363),"0")</f>
        <v>320</v>
      </c>
      <c r="Y365" s="41">
        <f>IFERROR(SUM(Y363:Y363),"0")</f>
        <v>324</v>
      </c>
      <c r="Z365" s="40"/>
      <c r="AA365" s="64"/>
      <c r="AB365" s="64"/>
      <c r="AC365" s="64"/>
    </row>
    <row r="366" spans="1:68" ht="16.5" customHeight="1" x14ac:dyDescent="0.25">
      <c r="A366" s="560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62"/>
      <c r="AB366" s="62"/>
      <c r="AC366" s="62"/>
    </row>
    <row r="367" spans="1:68" ht="14.25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63"/>
      <c r="AB367" s="63"/>
      <c r="AC367" s="63"/>
    </row>
    <row r="368" spans="1:68" ht="37.5" customHeight="1" x14ac:dyDescent="0.25">
      <c r="A368" s="60" t="s">
        <v>571</v>
      </c>
      <c r="B368" s="60" t="s">
        <v>572</v>
      </c>
      <c r="C368" s="34">
        <v>4301011875</v>
      </c>
      <c r="D368" s="549">
        <v>4680115884885</v>
      </c>
      <c r="E368" s="550"/>
      <c r="F368" s="59">
        <v>0.8</v>
      </c>
      <c r="G368" s="35">
        <v>15</v>
      </c>
      <c r="H368" s="59">
        <v>12</v>
      </c>
      <c r="I368" s="59">
        <v>12.41</v>
      </c>
      <c r="J368" s="35">
        <v>64</v>
      </c>
      <c r="K368" s="35" t="s">
        <v>108</v>
      </c>
      <c r="L368" s="35" t="s">
        <v>109</v>
      </c>
      <c r="M368" s="36" t="s">
        <v>68</v>
      </c>
      <c r="N368" s="36"/>
      <c r="O368" s="35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7"/>
      <c r="V368" s="37"/>
      <c r="W368" s="38" t="s">
        <v>70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/>
      <c r="AB368" s="66"/>
      <c r="AC368" s="427" t="s">
        <v>573</v>
      </c>
      <c r="AG368" s="75"/>
      <c r="AJ368" s="79" t="s">
        <v>94</v>
      </c>
      <c r="AK368" s="79">
        <v>96</v>
      </c>
      <c r="BB368" s="428" t="s">
        <v>1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37.5" customHeight="1" x14ac:dyDescent="0.25">
      <c r="A369" s="60" t="s">
        <v>574</v>
      </c>
      <c r="B369" s="60" t="s">
        <v>575</v>
      </c>
      <c r="C369" s="34">
        <v>4301011871</v>
      </c>
      <c r="D369" s="549">
        <v>4680115884908</v>
      </c>
      <c r="E369" s="550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114</v>
      </c>
      <c r="L369" s="35" t="s">
        <v>115</v>
      </c>
      <c r="M369" s="36" t="s">
        <v>68</v>
      </c>
      <c r="N369" s="36"/>
      <c r="O369" s="35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7"/>
      <c r="V369" s="37"/>
      <c r="W369" s="38" t="s">
        <v>70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/>
      <c r="AB369" s="66"/>
      <c r="AC369" s="429" t="s">
        <v>573</v>
      </c>
      <c r="AG369" s="75"/>
      <c r="AJ369" s="79" t="s">
        <v>94</v>
      </c>
      <c r="AK369" s="79">
        <v>48</v>
      </c>
      <c r="BB369" s="430" t="s">
        <v>1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3" t="s">
        <v>76</v>
      </c>
      <c r="Q370" s="564"/>
      <c r="R370" s="564"/>
      <c r="S370" s="564"/>
      <c r="T370" s="564"/>
      <c r="U370" s="564"/>
      <c r="V370" s="565"/>
      <c r="W370" s="40" t="s">
        <v>77</v>
      </c>
      <c r="X370" s="41">
        <f>IFERROR(X368/H368,"0")+IFERROR(X369/H369,"0")</f>
        <v>0</v>
      </c>
      <c r="Y370" s="41">
        <f>IFERROR(Y368/H368,"0")+IFERROR(Y369/H369,"0")</f>
        <v>0</v>
      </c>
      <c r="Z370" s="41">
        <f>IFERROR(IF(Z368="",0,Z368),"0")+IFERROR(IF(Z369="",0,Z369),"0")</f>
        <v>0</v>
      </c>
      <c r="AA370" s="64"/>
      <c r="AB370" s="64"/>
      <c r="AC370" s="64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3" t="s">
        <v>76</v>
      </c>
      <c r="Q371" s="564"/>
      <c r="R371" s="564"/>
      <c r="S371" s="564"/>
      <c r="T371" s="564"/>
      <c r="U371" s="564"/>
      <c r="V371" s="565"/>
      <c r="W371" s="40" t="s">
        <v>70</v>
      </c>
      <c r="X371" s="41">
        <f>IFERROR(SUM(X368:X369),"0")</f>
        <v>0</v>
      </c>
      <c r="Y371" s="41">
        <f>IFERROR(SUM(Y368:Y369),"0")</f>
        <v>0</v>
      </c>
      <c r="Z371" s="40"/>
      <c r="AA371" s="64"/>
      <c r="AB371" s="64"/>
      <c r="AC371" s="64"/>
    </row>
    <row r="372" spans="1:68" ht="14.25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63"/>
      <c r="AB372" s="63"/>
      <c r="AC372" s="63"/>
    </row>
    <row r="373" spans="1:68" ht="27" customHeight="1" x14ac:dyDescent="0.25">
      <c r="A373" s="60" t="s">
        <v>576</v>
      </c>
      <c r="B373" s="60" t="s">
        <v>577</v>
      </c>
      <c r="C373" s="34">
        <v>4301031303</v>
      </c>
      <c r="D373" s="549">
        <v>4607091384802</v>
      </c>
      <c r="E373" s="550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114</v>
      </c>
      <c r="L373" s="35" t="s">
        <v>115</v>
      </c>
      <c r="M373" s="36" t="s">
        <v>68</v>
      </c>
      <c r="N373" s="36"/>
      <c r="O373" s="35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7"/>
      <c r="V373" s="37"/>
      <c r="W373" s="38" t="s">
        <v>70</v>
      </c>
      <c r="X373" s="56">
        <v>50</v>
      </c>
      <c r="Y373" s="53">
        <f>IFERROR(IF(X373="",0,CEILING((X373/$H373),1)*$H373),"")</f>
        <v>52.56</v>
      </c>
      <c r="Z373" s="39">
        <f>IFERROR(IF(Y373=0,"",ROUNDUP(Y373/H373,0)*0.00902),"")</f>
        <v>0.10824</v>
      </c>
      <c r="AA373" s="65"/>
      <c r="AB373" s="66"/>
      <c r="AC373" s="431" t="s">
        <v>578</v>
      </c>
      <c r="AG373" s="75"/>
      <c r="AJ373" s="79" t="s">
        <v>94</v>
      </c>
      <c r="AK373" s="79">
        <v>52.56</v>
      </c>
      <c r="BB373" s="432" t="s">
        <v>1</v>
      </c>
      <c r="BM373" s="75">
        <f>IFERROR(X373*I373/H373,"0")</f>
        <v>52.853881278538815</v>
      </c>
      <c r="BN373" s="75">
        <f>IFERROR(Y373*I373/H373,"0")</f>
        <v>55.56</v>
      </c>
      <c r="BO373" s="75">
        <f>IFERROR(1/J373*(X373/H373),"0")</f>
        <v>8.6481250864812509E-2</v>
      </c>
      <c r="BP373" s="75">
        <f>IFERROR(1/J373*(Y373/H373),"0")</f>
        <v>9.0909090909090912E-2</v>
      </c>
    </row>
    <row r="374" spans="1:68" ht="27" customHeight="1" x14ac:dyDescent="0.25">
      <c r="A374" s="60" t="s">
        <v>576</v>
      </c>
      <c r="B374" s="60" t="s">
        <v>579</v>
      </c>
      <c r="C374" s="34">
        <v>4301031457</v>
      </c>
      <c r="D374" s="549">
        <v>4607091384802</v>
      </c>
      <c r="E374" s="550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114</v>
      </c>
      <c r="L374" s="35"/>
      <c r="M374" s="36" t="s">
        <v>68</v>
      </c>
      <c r="N374" s="36"/>
      <c r="O374" s="35">
        <v>50</v>
      </c>
      <c r="P374" s="7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7"/>
      <c r="V374" s="37"/>
      <c r="W374" s="38" t="s">
        <v>70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IFERROR(IF(Y374=0,"",ROUNDUP(Y374/H374,0)*0.00902),"")</f>
        <v/>
      </c>
      <c r="AA374" s="65"/>
      <c r="AB374" s="66"/>
      <c r="AC374" s="433" t="s">
        <v>580</v>
      </c>
      <c r="AG374" s="75"/>
      <c r="AJ374" s="79"/>
      <c r="AK374" s="79">
        <v>0</v>
      </c>
      <c r="BB374" s="434" t="s">
        <v>1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3" t="s">
        <v>76</v>
      </c>
      <c r="Q375" s="564"/>
      <c r="R375" s="564"/>
      <c r="S375" s="564"/>
      <c r="T375" s="564"/>
      <c r="U375" s="564"/>
      <c r="V375" s="565"/>
      <c r="W375" s="40" t="s">
        <v>77</v>
      </c>
      <c r="X375" s="41">
        <f>IFERROR(X373/H373,"0")+IFERROR(X374/H374,"0")</f>
        <v>11.415525114155251</v>
      </c>
      <c r="Y375" s="41">
        <f>IFERROR(Y373/H373,"0")+IFERROR(Y374/H374,"0")</f>
        <v>12</v>
      </c>
      <c r="Z375" s="41">
        <f>IFERROR(IF(Z373="",0,Z373),"0")+IFERROR(IF(Z374="",0,Z374),"0")</f>
        <v>0.10824</v>
      </c>
      <c r="AA375" s="64"/>
      <c r="AB375" s="64"/>
      <c r="AC375" s="64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3" t="s">
        <v>76</v>
      </c>
      <c r="Q376" s="564"/>
      <c r="R376" s="564"/>
      <c r="S376" s="564"/>
      <c r="T376" s="564"/>
      <c r="U376" s="564"/>
      <c r="V376" s="565"/>
      <c r="W376" s="40" t="s">
        <v>70</v>
      </c>
      <c r="X376" s="41">
        <f>IFERROR(SUM(X373:X374),"0")</f>
        <v>50</v>
      </c>
      <c r="Y376" s="41">
        <f>IFERROR(SUM(Y373:Y374),"0")</f>
        <v>52.56</v>
      </c>
      <c r="Z376" s="40"/>
      <c r="AA376" s="64"/>
      <c r="AB376" s="64"/>
      <c r="AC376" s="64"/>
    </row>
    <row r="377" spans="1:68" ht="14.25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63"/>
      <c r="AB377" s="63"/>
      <c r="AC377" s="63"/>
    </row>
    <row r="378" spans="1:68" ht="27" customHeight="1" x14ac:dyDescent="0.25">
      <c r="A378" s="60" t="s">
        <v>581</v>
      </c>
      <c r="B378" s="60" t="s">
        <v>582</v>
      </c>
      <c r="C378" s="34">
        <v>4301051899</v>
      </c>
      <c r="D378" s="549">
        <v>4607091384246</v>
      </c>
      <c r="E378" s="550"/>
      <c r="F378" s="59">
        <v>1.5</v>
      </c>
      <c r="G378" s="35">
        <v>6</v>
      </c>
      <c r="H378" s="59">
        <v>9</v>
      </c>
      <c r="I378" s="59">
        <v>9.4939999999999998</v>
      </c>
      <c r="J378" s="35">
        <v>64</v>
      </c>
      <c r="K378" s="35" t="s">
        <v>108</v>
      </c>
      <c r="L378" s="35" t="s">
        <v>109</v>
      </c>
      <c r="M378" s="36" t="s">
        <v>81</v>
      </c>
      <c r="N378" s="36"/>
      <c r="O378" s="35">
        <v>40</v>
      </c>
      <c r="P378" s="6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7"/>
      <c r="V378" s="37"/>
      <c r="W378" s="38" t="s">
        <v>70</v>
      </c>
      <c r="X378" s="56">
        <v>1080</v>
      </c>
      <c r="Y378" s="53">
        <f>IFERROR(IF(X378="",0,CEILING((X378/$H378),1)*$H378),"")</f>
        <v>1080</v>
      </c>
      <c r="Z378" s="39">
        <f>IFERROR(IF(Y378=0,"",ROUNDUP(Y378/H378,0)*0.01898),"")</f>
        <v>2.2776000000000001</v>
      </c>
      <c r="AA378" s="65"/>
      <c r="AB378" s="66"/>
      <c r="AC378" s="435" t="s">
        <v>583</v>
      </c>
      <c r="AG378" s="75"/>
      <c r="AJ378" s="79" t="s">
        <v>94</v>
      </c>
      <c r="AK378" s="79">
        <v>72</v>
      </c>
      <c r="BB378" s="436" t="s">
        <v>1</v>
      </c>
      <c r="BM378" s="75">
        <f>IFERROR(X378*I378/H378,"0")</f>
        <v>1139.28</v>
      </c>
      <c r="BN378" s="75">
        <f>IFERROR(Y378*I378/H378,"0")</f>
        <v>1139.28</v>
      </c>
      <c r="BO378" s="75">
        <f>IFERROR(1/J378*(X378/H378),"0")</f>
        <v>1.875</v>
      </c>
      <c r="BP378" s="75">
        <f>IFERROR(1/J378*(Y378/H378),"0")</f>
        <v>1.875</v>
      </c>
    </row>
    <row r="379" spans="1:68" ht="27" customHeight="1" x14ac:dyDescent="0.25">
      <c r="A379" s="60" t="s">
        <v>584</v>
      </c>
      <c r="B379" s="60" t="s">
        <v>585</v>
      </c>
      <c r="C379" s="34">
        <v>4301051660</v>
      </c>
      <c r="D379" s="549">
        <v>4607091384253</v>
      </c>
      <c r="E379" s="550"/>
      <c r="F379" s="59">
        <v>0.4</v>
      </c>
      <c r="G379" s="35">
        <v>6</v>
      </c>
      <c r="H379" s="59">
        <v>2.4</v>
      </c>
      <c r="I379" s="59">
        <v>2.6640000000000001</v>
      </c>
      <c r="J379" s="35">
        <v>182</v>
      </c>
      <c r="K379" s="35" t="s">
        <v>67</v>
      </c>
      <c r="L379" s="35" t="s">
        <v>92</v>
      </c>
      <c r="M379" s="36" t="s">
        <v>81</v>
      </c>
      <c r="N379" s="36"/>
      <c r="O379" s="35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7"/>
      <c r="V379" s="37"/>
      <c r="W379" s="38" t="s">
        <v>70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/>
      <c r="AB379" s="66"/>
      <c r="AC379" s="437" t="s">
        <v>583</v>
      </c>
      <c r="AG379" s="75"/>
      <c r="AJ379" s="79" t="s">
        <v>94</v>
      </c>
      <c r="AK379" s="79">
        <v>33.6</v>
      </c>
      <c r="BB379" s="438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584</v>
      </c>
      <c r="B380" s="60" t="s">
        <v>586</v>
      </c>
      <c r="C380" s="34">
        <v>4301052069</v>
      </c>
      <c r="D380" s="549">
        <v>4607091384253</v>
      </c>
      <c r="E380" s="550"/>
      <c r="F380" s="59">
        <v>0.4</v>
      </c>
      <c r="G380" s="35">
        <v>6</v>
      </c>
      <c r="H380" s="59">
        <v>2.4</v>
      </c>
      <c r="I380" s="59">
        <v>2.6640000000000001</v>
      </c>
      <c r="J380" s="35">
        <v>182</v>
      </c>
      <c r="K380" s="35" t="s">
        <v>67</v>
      </c>
      <c r="L380" s="35"/>
      <c r="M380" s="36" t="s">
        <v>81</v>
      </c>
      <c r="N380" s="36"/>
      <c r="O380" s="35">
        <v>40</v>
      </c>
      <c r="P380" s="7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7"/>
      <c r="V380" s="37"/>
      <c r="W380" s="38" t="s">
        <v>70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/>
      <c r="AB380" s="66"/>
      <c r="AC380" s="439" t="s">
        <v>587</v>
      </c>
      <c r="AG380" s="75"/>
      <c r="AJ380" s="79"/>
      <c r="AK380" s="79">
        <v>0</v>
      </c>
      <c r="BB380" s="440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3" t="s">
        <v>76</v>
      </c>
      <c r="Q381" s="564"/>
      <c r="R381" s="564"/>
      <c r="S381" s="564"/>
      <c r="T381" s="564"/>
      <c r="U381" s="564"/>
      <c r="V381" s="565"/>
      <c r="W381" s="40" t="s">
        <v>77</v>
      </c>
      <c r="X381" s="41">
        <f>IFERROR(X378/H378,"0")+IFERROR(X379/H379,"0")+IFERROR(X380/H380,"0")</f>
        <v>120</v>
      </c>
      <c r="Y381" s="41">
        <f>IFERROR(Y378/H378,"0")+IFERROR(Y379/H379,"0")+IFERROR(Y380/H380,"0")</f>
        <v>120</v>
      </c>
      <c r="Z381" s="41">
        <f>IFERROR(IF(Z378="",0,Z378),"0")+IFERROR(IF(Z379="",0,Z379),"0")+IFERROR(IF(Z380="",0,Z380),"0")</f>
        <v>2.2776000000000001</v>
      </c>
      <c r="AA381" s="64"/>
      <c r="AB381" s="64"/>
      <c r="AC381" s="64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3" t="s">
        <v>76</v>
      </c>
      <c r="Q382" s="564"/>
      <c r="R382" s="564"/>
      <c r="S382" s="564"/>
      <c r="T382" s="564"/>
      <c r="U382" s="564"/>
      <c r="V382" s="565"/>
      <c r="W382" s="40" t="s">
        <v>70</v>
      </c>
      <c r="X382" s="41">
        <f>IFERROR(SUM(X378:X380),"0")</f>
        <v>1080</v>
      </c>
      <c r="Y382" s="41">
        <f>IFERROR(SUM(Y378:Y380),"0")</f>
        <v>1080</v>
      </c>
      <c r="Z382" s="40"/>
      <c r="AA382" s="64"/>
      <c r="AB382" s="64"/>
      <c r="AC382" s="64"/>
    </row>
    <row r="383" spans="1:68" ht="27.75" customHeight="1" x14ac:dyDescent="0.2">
      <c r="A383" s="567" t="s">
        <v>588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52"/>
      <c r="AB383" s="52"/>
      <c r="AC383" s="52"/>
    </row>
    <row r="384" spans="1:68" ht="16.5" customHeight="1" x14ac:dyDescent="0.25">
      <c r="A384" s="560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62"/>
      <c r="AB384" s="62"/>
      <c r="AC384" s="62"/>
    </row>
    <row r="385" spans="1:68" ht="14.25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63"/>
      <c r="AB385" s="63"/>
      <c r="AC385" s="63"/>
    </row>
    <row r="386" spans="1:68" ht="27" customHeight="1" x14ac:dyDescent="0.25">
      <c r="A386" s="60" t="s">
        <v>590</v>
      </c>
      <c r="B386" s="60" t="s">
        <v>591</v>
      </c>
      <c r="C386" s="34">
        <v>4301031405</v>
      </c>
      <c r="D386" s="549">
        <v>4680115886100</v>
      </c>
      <c r="E386" s="550"/>
      <c r="F386" s="59">
        <v>0.9</v>
      </c>
      <c r="G386" s="35">
        <v>6</v>
      </c>
      <c r="H386" s="59">
        <v>5.4</v>
      </c>
      <c r="I386" s="59">
        <v>5.59</v>
      </c>
      <c r="J386" s="35">
        <v>132</v>
      </c>
      <c r="K386" s="35" t="s">
        <v>114</v>
      </c>
      <c r="L386" s="35" t="s">
        <v>115</v>
      </c>
      <c r="M386" s="36" t="s">
        <v>68</v>
      </c>
      <c r="N386" s="36"/>
      <c r="O386" s="35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7"/>
      <c r="V386" s="37"/>
      <c r="W386" s="38" t="s">
        <v>70</v>
      </c>
      <c r="X386" s="56">
        <v>200</v>
      </c>
      <c r="Y386" s="53">
        <f t="shared" ref="Y386:Y394" si="41">IFERROR(IF(X386="",0,CEILING((X386/$H386),1)*$H386),"")</f>
        <v>205.20000000000002</v>
      </c>
      <c r="Z386" s="39">
        <f>IFERROR(IF(Y386=0,"",ROUNDUP(Y386/H386,0)*0.00902),"")</f>
        <v>0.34276000000000001</v>
      </c>
      <c r="AA386" s="65"/>
      <c r="AB386" s="66"/>
      <c r="AC386" s="441" t="s">
        <v>592</v>
      </c>
      <c r="AG386" s="75"/>
      <c r="AJ386" s="79" t="s">
        <v>94</v>
      </c>
      <c r="AK386" s="79">
        <v>64.8</v>
      </c>
      <c r="BB386" s="442" t="s">
        <v>1</v>
      </c>
      <c r="BM386" s="75">
        <f t="shared" ref="BM386:BM394" si="42">IFERROR(X386*I386/H386,"0")</f>
        <v>207.03703703703701</v>
      </c>
      <c r="BN386" s="75">
        <f t="shared" ref="BN386:BN394" si="43">IFERROR(Y386*I386/H386,"0")</f>
        <v>212.42</v>
      </c>
      <c r="BO386" s="75">
        <f t="shared" ref="BO386:BO394" si="44">IFERROR(1/J386*(X386/H386),"0")</f>
        <v>0.28058361391694725</v>
      </c>
      <c r="BP386" s="75">
        <f t="shared" ref="BP386:BP394" si="45">IFERROR(1/J386*(Y386/H386),"0")</f>
        <v>0.2878787878787879</v>
      </c>
    </row>
    <row r="387" spans="1:68" ht="27" customHeight="1" x14ac:dyDescent="0.25">
      <c r="A387" s="60" t="s">
        <v>593</v>
      </c>
      <c r="B387" s="60" t="s">
        <v>594</v>
      </c>
      <c r="C387" s="34">
        <v>4301031406</v>
      </c>
      <c r="D387" s="549">
        <v>4680115886117</v>
      </c>
      <c r="E387" s="550"/>
      <c r="F387" s="59">
        <v>0.9</v>
      </c>
      <c r="G387" s="35">
        <v>6</v>
      </c>
      <c r="H387" s="59">
        <v>5.4</v>
      </c>
      <c r="I387" s="59">
        <v>5.59</v>
      </c>
      <c r="J387" s="35">
        <v>132</v>
      </c>
      <c r="K387" s="35" t="s">
        <v>114</v>
      </c>
      <c r="L387" s="35"/>
      <c r="M387" s="36" t="s">
        <v>68</v>
      </c>
      <c r="N387" s="36"/>
      <c r="O387" s="35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7"/>
      <c r="V387" s="37"/>
      <c r="W387" s="38" t="s">
        <v>70</v>
      </c>
      <c r="X387" s="56">
        <v>0</v>
      </c>
      <c r="Y387" s="53">
        <f t="shared" si="41"/>
        <v>0</v>
      </c>
      <c r="Z387" s="39" t="str">
        <f>IFERROR(IF(Y387=0,"",ROUNDUP(Y387/H387,0)*0.00902),"")</f>
        <v/>
      </c>
      <c r="AA387" s="65"/>
      <c r="AB387" s="66"/>
      <c r="AC387" s="443" t="s">
        <v>595</v>
      </c>
      <c r="AG387" s="75"/>
      <c r="AJ387" s="79"/>
      <c r="AK387" s="79">
        <v>0</v>
      </c>
      <c r="BB387" s="444" t="s">
        <v>1</v>
      </c>
      <c r="BM387" s="75">
        <f t="shared" si="42"/>
        <v>0</v>
      </c>
      <c r="BN387" s="75">
        <f t="shared" si="43"/>
        <v>0</v>
      </c>
      <c r="BO387" s="75">
        <f t="shared" si="44"/>
        <v>0</v>
      </c>
      <c r="BP387" s="75">
        <f t="shared" si="45"/>
        <v>0</v>
      </c>
    </row>
    <row r="388" spans="1:68" ht="27" customHeight="1" x14ac:dyDescent="0.25">
      <c r="A388" s="60" t="s">
        <v>596</v>
      </c>
      <c r="B388" s="60" t="s">
        <v>597</v>
      </c>
      <c r="C388" s="34">
        <v>4301031402</v>
      </c>
      <c r="D388" s="549">
        <v>4680115886124</v>
      </c>
      <c r="E388" s="550"/>
      <c r="F388" s="59">
        <v>0.9</v>
      </c>
      <c r="G388" s="35">
        <v>6</v>
      </c>
      <c r="H388" s="59">
        <v>5.4</v>
      </c>
      <c r="I388" s="59">
        <v>5.59</v>
      </c>
      <c r="J388" s="35">
        <v>132</v>
      </c>
      <c r="K388" s="35" t="s">
        <v>114</v>
      </c>
      <c r="L388" s="35" t="s">
        <v>115</v>
      </c>
      <c r="M388" s="36" t="s">
        <v>68</v>
      </c>
      <c r="N388" s="36"/>
      <c r="O388" s="35">
        <v>50</v>
      </c>
      <c r="P388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7"/>
      <c r="V388" s="37"/>
      <c r="W388" s="38" t="s">
        <v>70</v>
      </c>
      <c r="X388" s="56">
        <v>150</v>
      </c>
      <c r="Y388" s="53">
        <f t="shared" si="41"/>
        <v>151.20000000000002</v>
      </c>
      <c r="Z388" s="39">
        <f>IFERROR(IF(Y388=0,"",ROUNDUP(Y388/H388,0)*0.00902),"")</f>
        <v>0.25256000000000001</v>
      </c>
      <c r="AA388" s="65"/>
      <c r="AB388" s="66"/>
      <c r="AC388" s="445" t="s">
        <v>598</v>
      </c>
      <c r="AG388" s="75"/>
      <c r="AJ388" s="79" t="s">
        <v>94</v>
      </c>
      <c r="AK388" s="79">
        <v>64.8</v>
      </c>
      <c r="BB388" s="446" t="s">
        <v>1</v>
      </c>
      <c r="BM388" s="75">
        <f t="shared" si="42"/>
        <v>155.27777777777777</v>
      </c>
      <c r="BN388" s="75">
        <f t="shared" si="43"/>
        <v>156.52000000000001</v>
      </c>
      <c r="BO388" s="75">
        <f t="shared" si="44"/>
        <v>0.21043771043771042</v>
      </c>
      <c r="BP388" s="75">
        <f t="shared" si="45"/>
        <v>0.21212121212121213</v>
      </c>
    </row>
    <row r="389" spans="1:68" ht="27" customHeight="1" x14ac:dyDescent="0.25">
      <c r="A389" s="60" t="s">
        <v>599</v>
      </c>
      <c r="B389" s="60" t="s">
        <v>600</v>
      </c>
      <c r="C389" s="34">
        <v>4301031366</v>
      </c>
      <c r="D389" s="549">
        <v>4680115883147</v>
      </c>
      <c r="E389" s="550"/>
      <c r="F389" s="59">
        <v>0.28000000000000003</v>
      </c>
      <c r="G389" s="35">
        <v>6</v>
      </c>
      <c r="H389" s="59">
        <v>1.68</v>
      </c>
      <c r="I389" s="59">
        <v>1.81</v>
      </c>
      <c r="J389" s="35">
        <v>234</v>
      </c>
      <c r="K389" s="35" t="s">
        <v>74</v>
      </c>
      <c r="L389" s="35"/>
      <c r="M389" s="36" t="s">
        <v>68</v>
      </c>
      <c r="N389" s="36"/>
      <c r="O389" s="35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7"/>
      <c r="V389" s="37"/>
      <c r="W389" s="38" t="s">
        <v>70</v>
      </c>
      <c r="X389" s="56">
        <v>0</v>
      </c>
      <c r="Y389" s="53">
        <f t="shared" si="41"/>
        <v>0</v>
      </c>
      <c r="Z389" s="39" t="str">
        <f t="shared" ref="Z389:Z394" si="46">IFERROR(IF(Y389=0,"",ROUNDUP(Y389/H389,0)*0.00502),"")</f>
        <v/>
      </c>
      <c r="AA389" s="65"/>
      <c r="AB389" s="66"/>
      <c r="AC389" s="447" t="s">
        <v>592</v>
      </c>
      <c r="AG389" s="75"/>
      <c r="AJ389" s="79"/>
      <c r="AK389" s="79">
        <v>0</v>
      </c>
      <c r="BB389" s="448" t="s">
        <v>1</v>
      </c>
      <c r="BM389" s="75">
        <f t="shared" si="42"/>
        <v>0</v>
      </c>
      <c r="BN389" s="75">
        <f t="shared" si="43"/>
        <v>0</v>
      </c>
      <c r="BO389" s="75">
        <f t="shared" si="44"/>
        <v>0</v>
      </c>
      <c r="BP389" s="75">
        <f t="shared" si="45"/>
        <v>0</v>
      </c>
    </row>
    <row r="390" spans="1:68" ht="27" customHeight="1" x14ac:dyDescent="0.25">
      <c r="A390" s="60" t="s">
        <v>601</v>
      </c>
      <c r="B390" s="60" t="s">
        <v>602</v>
      </c>
      <c r="C390" s="34">
        <v>4301031362</v>
      </c>
      <c r="D390" s="549">
        <v>4607091384338</v>
      </c>
      <c r="E390" s="550"/>
      <c r="F390" s="59">
        <v>0.35</v>
      </c>
      <c r="G390" s="35">
        <v>6</v>
      </c>
      <c r="H390" s="59">
        <v>2.1</v>
      </c>
      <c r="I390" s="59">
        <v>2.23</v>
      </c>
      <c r="J390" s="35">
        <v>234</v>
      </c>
      <c r="K390" s="35" t="s">
        <v>74</v>
      </c>
      <c r="L390" s="35"/>
      <c r="M390" s="36" t="s">
        <v>68</v>
      </c>
      <c r="N390" s="36"/>
      <c r="O390" s="35">
        <v>50</v>
      </c>
      <c r="P390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7"/>
      <c r="V390" s="37"/>
      <c r="W390" s="38" t="s">
        <v>70</v>
      </c>
      <c r="X390" s="56">
        <v>0</v>
      </c>
      <c r="Y390" s="53">
        <f t="shared" si="41"/>
        <v>0</v>
      </c>
      <c r="Z390" s="39" t="str">
        <f t="shared" si="46"/>
        <v/>
      </c>
      <c r="AA390" s="65"/>
      <c r="AB390" s="66"/>
      <c r="AC390" s="449" t="s">
        <v>592</v>
      </c>
      <c r="AG390" s="75"/>
      <c r="AJ390" s="79"/>
      <c r="AK390" s="79">
        <v>0</v>
      </c>
      <c r="BB390" s="450" t="s">
        <v>1</v>
      </c>
      <c r="BM390" s="75">
        <f t="shared" si="42"/>
        <v>0</v>
      </c>
      <c r="BN390" s="75">
        <f t="shared" si="43"/>
        <v>0</v>
      </c>
      <c r="BO390" s="75">
        <f t="shared" si="44"/>
        <v>0</v>
      </c>
      <c r="BP390" s="75">
        <f t="shared" si="45"/>
        <v>0</v>
      </c>
    </row>
    <row r="391" spans="1:68" ht="37.5" customHeight="1" x14ac:dyDescent="0.25">
      <c r="A391" s="60" t="s">
        <v>603</v>
      </c>
      <c r="B391" s="60" t="s">
        <v>604</v>
      </c>
      <c r="C391" s="34">
        <v>4301031361</v>
      </c>
      <c r="D391" s="549">
        <v>4607091389524</v>
      </c>
      <c r="E391" s="550"/>
      <c r="F391" s="59">
        <v>0.35</v>
      </c>
      <c r="G391" s="35">
        <v>6</v>
      </c>
      <c r="H391" s="59">
        <v>2.1</v>
      </c>
      <c r="I391" s="59">
        <v>2.23</v>
      </c>
      <c r="J391" s="35">
        <v>234</v>
      </c>
      <c r="K391" s="35" t="s">
        <v>74</v>
      </c>
      <c r="L391" s="35"/>
      <c r="M391" s="36" t="s">
        <v>68</v>
      </c>
      <c r="N391" s="36"/>
      <c r="O391" s="35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7"/>
      <c r="V391" s="37"/>
      <c r="W391" s="38" t="s">
        <v>70</v>
      </c>
      <c r="X391" s="56">
        <v>0</v>
      </c>
      <c r="Y391" s="53">
        <f t="shared" si="41"/>
        <v>0</v>
      </c>
      <c r="Z391" s="39" t="str">
        <f t="shared" si="46"/>
        <v/>
      </c>
      <c r="AA391" s="65"/>
      <c r="AB391" s="66"/>
      <c r="AC391" s="451" t="s">
        <v>605</v>
      </c>
      <c r="AG391" s="75"/>
      <c r="AJ391" s="79"/>
      <c r="AK391" s="79">
        <v>0</v>
      </c>
      <c r="BB391" s="452" t="s">
        <v>1</v>
      </c>
      <c r="BM391" s="75">
        <f t="shared" si="42"/>
        <v>0</v>
      </c>
      <c r="BN391" s="75">
        <f t="shared" si="43"/>
        <v>0</v>
      </c>
      <c r="BO391" s="75">
        <f t="shared" si="44"/>
        <v>0</v>
      </c>
      <c r="BP391" s="75">
        <f t="shared" si="45"/>
        <v>0</v>
      </c>
    </row>
    <row r="392" spans="1:68" ht="27" customHeight="1" x14ac:dyDescent="0.25">
      <c r="A392" s="60" t="s">
        <v>606</v>
      </c>
      <c r="B392" s="60" t="s">
        <v>607</v>
      </c>
      <c r="C392" s="34">
        <v>4301031364</v>
      </c>
      <c r="D392" s="549">
        <v>4680115883161</v>
      </c>
      <c r="E392" s="550"/>
      <c r="F392" s="59">
        <v>0.28000000000000003</v>
      </c>
      <c r="G392" s="35">
        <v>6</v>
      </c>
      <c r="H392" s="59">
        <v>1.68</v>
      </c>
      <c r="I392" s="59">
        <v>1.81</v>
      </c>
      <c r="J392" s="35">
        <v>234</v>
      </c>
      <c r="K392" s="35" t="s">
        <v>74</v>
      </c>
      <c r="L392" s="35"/>
      <c r="M392" s="36" t="s">
        <v>68</v>
      </c>
      <c r="N392" s="36"/>
      <c r="O392" s="35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7"/>
      <c r="V392" s="37"/>
      <c r="W392" s="38" t="s">
        <v>70</v>
      </c>
      <c r="X392" s="56">
        <v>0</v>
      </c>
      <c r="Y392" s="53">
        <f t="shared" si="41"/>
        <v>0</v>
      </c>
      <c r="Z392" s="39" t="str">
        <f t="shared" si="46"/>
        <v/>
      </c>
      <c r="AA392" s="65"/>
      <c r="AB392" s="66"/>
      <c r="AC392" s="453" t="s">
        <v>608</v>
      </c>
      <c r="AG392" s="75"/>
      <c r="AJ392" s="79"/>
      <c r="AK392" s="79">
        <v>0</v>
      </c>
      <c r="BB392" s="454" t="s">
        <v>1</v>
      </c>
      <c r="BM392" s="75">
        <f t="shared" si="42"/>
        <v>0</v>
      </c>
      <c r="BN392" s="75">
        <f t="shared" si="43"/>
        <v>0</v>
      </c>
      <c r="BO392" s="75">
        <f t="shared" si="44"/>
        <v>0</v>
      </c>
      <c r="BP392" s="75">
        <f t="shared" si="45"/>
        <v>0</v>
      </c>
    </row>
    <row r="393" spans="1:68" ht="27" customHeight="1" x14ac:dyDescent="0.25">
      <c r="A393" s="60" t="s">
        <v>609</v>
      </c>
      <c r="B393" s="60" t="s">
        <v>610</v>
      </c>
      <c r="C393" s="34">
        <v>4301031358</v>
      </c>
      <c r="D393" s="549">
        <v>4607091389531</v>
      </c>
      <c r="E393" s="550"/>
      <c r="F393" s="59">
        <v>0.35</v>
      </c>
      <c r="G393" s="35">
        <v>6</v>
      </c>
      <c r="H393" s="59">
        <v>2.1</v>
      </c>
      <c r="I393" s="59">
        <v>2.23</v>
      </c>
      <c r="J393" s="35">
        <v>234</v>
      </c>
      <c r="K393" s="35" t="s">
        <v>74</v>
      </c>
      <c r="L393" s="35"/>
      <c r="M393" s="36" t="s">
        <v>68</v>
      </c>
      <c r="N393" s="36"/>
      <c r="O393" s="35">
        <v>50</v>
      </c>
      <c r="P393" s="7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7"/>
      <c r="V393" s="37"/>
      <c r="W393" s="38" t="s">
        <v>70</v>
      </c>
      <c r="X393" s="56">
        <v>0</v>
      </c>
      <c r="Y393" s="53">
        <f t="shared" si="41"/>
        <v>0</v>
      </c>
      <c r="Z393" s="39" t="str">
        <f t="shared" si="46"/>
        <v/>
      </c>
      <c r="AA393" s="65"/>
      <c r="AB393" s="66"/>
      <c r="AC393" s="455" t="s">
        <v>611</v>
      </c>
      <c r="AG393" s="75"/>
      <c r="AJ393" s="79"/>
      <c r="AK393" s="79">
        <v>0</v>
      </c>
      <c r="BB393" s="456" t="s">
        <v>1</v>
      </c>
      <c r="BM393" s="75">
        <f t="shared" si="42"/>
        <v>0</v>
      </c>
      <c r="BN393" s="75">
        <f t="shared" si="43"/>
        <v>0</v>
      </c>
      <c r="BO393" s="75">
        <f t="shared" si="44"/>
        <v>0</v>
      </c>
      <c r="BP393" s="75">
        <f t="shared" si="45"/>
        <v>0</v>
      </c>
    </row>
    <row r="394" spans="1:68" ht="37.5" customHeight="1" x14ac:dyDescent="0.25">
      <c r="A394" s="60" t="s">
        <v>612</v>
      </c>
      <c r="B394" s="60" t="s">
        <v>613</v>
      </c>
      <c r="C394" s="34">
        <v>4301031360</v>
      </c>
      <c r="D394" s="549">
        <v>4607091384345</v>
      </c>
      <c r="E394" s="550"/>
      <c r="F394" s="59">
        <v>0.35</v>
      </c>
      <c r="G394" s="35">
        <v>6</v>
      </c>
      <c r="H394" s="59">
        <v>2.1</v>
      </c>
      <c r="I394" s="59">
        <v>2.23</v>
      </c>
      <c r="J394" s="35">
        <v>234</v>
      </c>
      <c r="K394" s="35" t="s">
        <v>74</v>
      </c>
      <c r="L394" s="35"/>
      <c r="M394" s="36" t="s">
        <v>68</v>
      </c>
      <c r="N394" s="36"/>
      <c r="O394" s="35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7"/>
      <c r="V394" s="37"/>
      <c r="W394" s="38" t="s">
        <v>70</v>
      </c>
      <c r="X394" s="56">
        <v>0</v>
      </c>
      <c r="Y394" s="53">
        <f t="shared" si="41"/>
        <v>0</v>
      </c>
      <c r="Z394" s="39" t="str">
        <f t="shared" si="46"/>
        <v/>
      </c>
      <c r="AA394" s="65"/>
      <c r="AB394" s="66"/>
      <c r="AC394" s="457" t="s">
        <v>608</v>
      </c>
      <c r="AG394" s="75"/>
      <c r="AJ394" s="79"/>
      <c r="AK394" s="79">
        <v>0</v>
      </c>
      <c r="BB394" s="458" t="s">
        <v>1</v>
      </c>
      <c r="BM394" s="75">
        <f t="shared" si="42"/>
        <v>0</v>
      </c>
      <c r="BN394" s="75">
        <f t="shared" si="43"/>
        <v>0</v>
      </c>
      <c r="BO394" s="75">
        <f t="shared" si="44"/>
        <v>0</v>
      </c>
      <c r="BP394" s="75">
        <f t="shared" si="45"/>
        <v>0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3" t="s">
        <v>76</v>
      </c>
      <c r="Q395" s="564"/>
      <c r="R395" s="564"/>
      <c r="S395" s="564"/>
      <c r="T395" s="564"/>
      <c r="U395" s="564"/>
      <c r="V395" s="565"/>
      <c r="W395" s="40" t="s">
        <v>77</v>
      </c>
      <c r="X395" s="41">
        <f>IFERROR(X386/H386,"0")+IFERROR(X387/H387,"0")+IFERROR(X388/H388,"0")+IFERROR(X389/H389,"0")+IFERROR(X390/H390,"0")+IFERROR(X391/H391,"0")+IFERROR(X392/H392,"0")+IFERROR(X393/H393,"0")+IFERROR(X394/H394,"0")</f>
        <v>64.81481481481481</v>
      </c>
      <c r="Y395" s="41">
        <f>IFERROR(Y386/H386,"0")+IFERROR(Y387/H387,"0")+IFERROR(Y388/H388,"0")+IFERROR(Y389/H389,"0")+IFERROR(Y390/H390,"0")+IFERROR(Y391/H391,"0")+IFERROR(Y392/H392,"0")+IFERROR(Y393/H393,"0")+IFERROR(Y394/H394,"0")</f>
        <v>66</v>
      </c>
      <c r="Z395" s="41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0.59532000000000007</v>
      </c>
      <c r="AA395" s="64"/>
      <c r="AB395" s="64"/>
      <c r="AC395" s="64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3" t="s">
        <v>76</v>
      </c>
      <c r="Q396" s="564"/>
      <c r="R396" s="564"/>
      <c r="S396" s="564"/>
      <c r="T396" s="564"/>
      <c r="U396" s="564"/>
      <c r="V396" s="565"/>
      <c r="W396" s="40" t="s">
        <v>70</v>
      </c>
      <c r="X396" s="41">
        <f>IFERROR(SUM(X386:X394),"0")</f>
        <v>350</v>
      </c>
      <c r="Y396" s="41">
        <f>IFERROR(SUM(Y386:Y394),"0")</f>
        <v>356.40000000000003</v>
      </c>
      <c r="Z396" s="40"/>
      <c r="AA396" s="64"/>
      <c r="AB396" s="64"/>
      <c r="AC396" s="64"/>
    </row>
    <row r="397" spans="1:68" ht="14.25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63"/>
      <c r="AB397" s="63"/>
      <c r="AC397" s="63"/>
    </row>
    <row r="398" spans="1:68" ht="27" customHeight="1" x14ac:dyDescent="0.25">
      <c r="A398" s="60" t="s">
        <v>614</v>
      </c>
      <c r="B398" s="60" t="s">
        <v>615</v>
      </c>
      <c r="C398" s="34">
        <v>4301051284</v>
      </c>
      <c r="D398" s="549">
        <v>4607091384352</v>
      </c>
      <c r="E398" s="550"/>
      <c r="F398" s="59">
        <v>0.6</v>
      </c>
      <c r="G398" s="35">
        <v>4</v>
      </c>
      <c r="H398" s="59">
        <v>2.4</v>
      </c>
      <c r="I398" s="59">
        <v>2.6259999999999999</v>
      </c>
      <c r="J398" s="35">
        <v>132</v>
      </c>
      <c r="K398" s="35" t="s">
        <v>114</v>
      </c>
      <c r="L398" s="35" t="s">
        <v>115</v>
      </c>
      <c r="M398" s="36" t="s">
        <v>81</v>
      </c>
      <c r="N398" s="36"/>
      <c r="O398" s="35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7"/>
      <c r="V398" s="37"/>
      <c r="W398" s="38" t="s">
        <v>70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/>
      <c r="AB398" s="66"/>
      <c r="AC398" s="459" t="s">
        <v>616</v>
      </c>
      <c r="AG398" s="75"/>
      <c r="AJ398" s="79" t="s">
        <v>94</v>
      </c>
      <c r="AK398" s="79">
        <v>28.8</v>
      </c>
      <c r="BB398" s="460" t="s">
        <v>1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customHeight="1" x14ac:dyDescent="0.25">
      <c r="A399" s="60" t="s">
        <v>617</v>
      </c>
      <c r="B399" s="60" t="s">
        <v>618</v>
      </c>
      <c r="C399" s="34">
        <v>4301051431</v>
      </c>
      <c r="D399" s="549">
        <v>4607091389654</v>
      </c>
      <c r="E399" s="550"/>
      <c r="F399" s="59">
        <v>0.33</v>
      </c>
      <c r="G399" s="35">
        <v>6</v>
      </c>
      <c r="H399" s="59">
        <v>1.98</v>
      </c>
      <c r="I399" s="59">
        <v>2.238</v>
      </c>
      <c r="J399" s="35">
        <v>182</v>
      </c>
      <c r="K399" s="35" t="s">
        <v>67</v>
      </c>
      <c r="L399" s="35" t="s">
        <v>92</v>
      </c>
      <c r="M399" s="36" t="s">
        <v>81</v>
      </c>
      <c r="N399" s="36"/>
      <c r="O399" s="35">
        <v>45</v>
      </c>
      <c r="P399" s="7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7"/>
      <c r="V399" s="37"/>
      <c r="W399" s="38" t="s">
        <v>70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/>
      <c r="AB399" s="66"/>
      <c r="AC399" s="461" t="s">
        <v>619</v>
      </c>
      <c r="AG399" s="75"/>
      <c r="AJ399" s="79" t="s">
        <v>94</v>
      </c>
      <c r="AK399" s="79">
        <v>27.72</v>
      </c>
      <c r="BB399" s="462" t="s">
        <v>1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3" t="s">
        <v>76</v>
      </c>
      <c r="Q400" s="564"/>
      <c r="R400" s="564"/>
      <c r="S400" s="564"/>
      <c r="T400" s="564"/>
      <c r="U400" s="564"/>
      <c r="V400" s="565"/>
      <c r="W400" s="40" t="s">
        <v>77</v>
      </c>
      <c r="X400" s="41">
        <f>IFERROR(X398/H398,"0")+IFERROR(X399/H399,"0")</f>
        <v>0</v>
      </c>
      <c r="Y400" s="41">
        <f>IFERROR(Y398/H398,"0")+IFERROR(Y399/H399,"0")</f>
        <v>0</v>
      </c>
      <c r="Z400" s="41">
        <f>IFERROR(IF(Z398="",0,Z398),"0")+IFERROR(IF(Z399="",0,Z399),"0")</f>
        <v>0</v>
      </c>
      <c r="AA400" s="64"/>
      <c r="AB400" s="64"/>
      <c r="AC400" s="64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3" t="s">
        <v>76</v>
      </c>
      <c r="Q401" s="564"/>
      <c r="R401" s="564"/>
      <c r="S401" s="564"/>
      <c r="T401" s="564"/>
      <c r="U401" s="564"/>
      <c r="V401" s="565"/>
      <c r="W401" s="40" t="s">
        <v>70</v>
      </c>
      <c r="X401" s="41">
        <f>IFERROR(SUM(X398:X399),"0")</f>
        <v>0</v>
      </c>
      <c r="Y401" s="41">
        <f>IFERROR(SUM(Y398:Y399),"0")</f>
        <v>0</v>
      </c>
      <c r="Z401" s="40"/>
      <c r="AA401" s="64"/>
      <c r="AB401" s="64"/>
      <c r="AC401" s="64"/>
    </row>
    <row r="402" spans="1:68" ht="16.5" customHeight="1" x14ac:dyDescent="0.25">
      <c r="A402" s="560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62"/>
      <c r="AB402" s="62"/>
      <c r="AC402" s="62"/>
    </row>
    <row r="403" spans="1:68" ht="14.25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63"/>
      <c r="AB403" s="63"/>
      <c r="AC403" s="63"/>
    </row>
    <row r="404" spans="1:68" ht="27" customHeight="1" x14ac:dyDescent="0.25">
      <c r="A404" s="60" t="s">
        <v>621</v>
      </c>
      <c r="B404" s="60" t="s">
        <v>622</v>
      </c>
      <c r="C404" s="34">
        <v>4301020319</v>
      </c>
      <c r="D404" s="549">
        <v>4680115885240</v>
      </c>
      <c r="E404" s="550"/>
      <c r="F404" s="59">
        <v>0.35</v>
      </c>
      <c r="G404" s="35">
        <v>6</v>
      </c>
      <c r="H404" s="59">
        <v>2.1</v>
      </c>
      <c r="I404" s="59">
        <v>2.31</v>
      </c>
      <c r="J404" s="35">
        <v>182</v>
      </c>
      <c r="K404" s="35" t="s">
        <v>67</v>
      </c>
      <c r="L404" s="35"/>
      <c r="M404" s="36" t="s">
        <v>68</v>
      </c>
      <c r="N404" s="36"/>
      <c r="O404" s="35">
        <v>40</v>
      </c>
      <c r="P404" s="5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7"/>
      <c r="V404" s="37"/>
      <c r="W404" s="38" t="s">
        <v>70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IFERROR(IF(Y404=0,"",ROUNDUP(Y404/H404,0)*0.00651),"")</f>
        <v/>
      </c>
      <c r="AA404" s="65"/>
      <c r="AB404" s="66"/>
      <c r="AC404" s="463" t="s">
        <v>623</v>
      </c>
      <c r="AG404" s="75"/>
      <c r="AJ404" s="79"/>
      <c r="AK404" s="79">
        <v>0</v>
      </c>
      <c r="BB404" s="464" t="s">
        <v>1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3" t="s">
        <v>76</v>
      </c>
      <c r="Q405" s="564"/>
      <c r="R405" s="564"/>
      <c r="S405" s="564"/>
      <c r="T405" s="564"/>
      <c r="U405" s="564"/>
      <c r="V405" s="565"/>
      <c r="W405" s="40" t="s">
        <v>77</v>
      </c>
      <c r="X405" s="41">
        <f>IFERROR(X404/H404,"0")</f>
        <v>0</v>
      </c>
      <c r="Y405" s="41">
        <f>IFERROR(Y404/H404,"0")</f>
        <v>0</v>
      </c>
      <c r="Z405" s="41">
        <f>IFERROR(IF(Z404="",0,Z404),"0")</f>
        <v>0</v>
      </c>
      <c r="AA405" s="64"/>
      <c r="AB405" s="64"/>
      <c r="AC405" s="64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3" t="s">
        <v>76</v>
      </c>
      <c r="Q406" s="564"/>
      <c r="R406" s="564"/>
      <c r="S406" s="564"/>
      <c r="T406" s="564"/>
      <c r="U406" s="564"/>
      <c r="V406" s="565"/>
      <c r="W406" s="40" t="s">
        <v>70</v>
      </c>
      <c r="X406" s="41">
        <f>IFERROR(SUM(X404:X404),"0")</f>
        <v>0</v>
      </c>
      <c r="Y406" s="41">
        <f>IFERROR(SUM(Y404:Y404),"0")</f>
        <v>0</v>
      </c>
      <c r="Z406" s="40"/>
      <c r="AA406" s="64"/>
      <c r="AB406" s="64"/>
      <c r="AC406" s="64"/>
    </row>
    <row r="407" spans="1:68" ht="14.25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63"/>
      <c r="AB407" s="63"/>
      <c r="AC407" s="63"/>
    </row>
    <row r="408" spans="1:68" ht="27" customHeight="1" x14ac:dyDescent="0.25">
      <c r="A408" s="60" t="s">
        <v>624</v>
      </c>
      <c r="B408" s="60" t="s">
        <v>625</v>
      </c>
      <c r="C408" s="34">
        <v>4301031403</v>
      </c>
      <c r="D408" s="549">
        <v>4680115886094</v>
      </c>
      <c r="E408" s="550"/>
      <c r="F408" s="59">
        <v>0.9</v>
      </c>
      <c r="G408" s="35">
        <v>6</v>
      </c>
      <c r="H408" s="59">
        <v>5.4</v>
      </c>
      <c r="I408" s="59">
        <v>5.59</v>
      </c>
      <c r="J408" s="35">
        <v>132</v>
      </c>
      <c r="K408" s="35" t="s">
        <v>114</v>
      </c>
      <c r="L408" s="35" t="s">
        <v>115</v>
      </c>
      <c r="M408" s="36" t="s">
        <v>110</v>
      </c>
      <c r="N408" s="36"/>
      <c r="O408" s="35">
        <v>50</v>
      </c>
      <c r="P408" s="8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7"/>
      <c r="V408" s="37"/>
      <c r="W408" s="38" t="s">
        <v>70</v>
      </c>
      <c r="X408" s="56">
        <v>270</v>
      </c>
      <c r="Y408" s="53">
        <f>IFERROR(IF(X408="",0,CEILING((X408/$H408),1)*$H408),"")</f>
        <v>270</v>
      </c>
      <c r="Z408" s="39">
        <f>IFERROR(IF(Y408=0,"",ROUNDUP(Y408/H408,0)*0.00902),"")</f>
        <v>0.45100000000000001</v>
      </c>
      <c r="AA408" s="65"/>
      <c r="AB408" s="66"/>
      <c r="AC408" s="465" t="s">
        <v>626</v>
      </c>
      <c r="AG408" s="75"/>
      <c r="AJ408" s="79" t="s">
        <v>94</v>
      </c>
      <c r="AK408" s="79">
        <v>64.8</v>
      </c>
      <c r="BB408" s="466" t="s">
        <v>1</v>
      </c>
      <c r="BM408" s="75">
        <f>IFERROR(X408*I408/H408,"0")</f>
        <v>279.5</v>
      </c>
      <c r="BN408" s="75">
        <f>IFERROR(Y408*I408/H408,"0")</f>
        <v>279.5</v>
      </c>
      <c r="BO408" s="75">
        <f>IFERROR(1/J408*(X408/H408),"0")</f>
        <v>0.37878787878787878</v>
      </c>
      <c r="BP408" s="75">
        <f>IFERROR(1/J408*(Y408/H408),"0")</f>
        <v>0.37878787878787878</v>
      </c>
    </row>
    <row r="409" spans="1:68" ht="27" customHeight="1" x14ac:dyDescent="0.25">
      <c r="A409" s="60" t="s">
        <v>627</v>
      </c>
      <c r="B409" s="60" t="s">
        <v>628</v>
      </c>
      <c r="C409" s="34">
        <v>4301031363</v>
      </c>
      <c r="D409" s="549">
        <v>4607091389425</v>
      </c>
      <c r="E409" s="550"/>
      <c r="F409" s="59">
        <v>0.35</v>
      </c>
      <c r="G409" s="35">
        <v>6</v>
      </c>
      <c r="H409" s="59">
        <v>2.1</v>
      </c>
      <c r="I409" s="59">
        <v>2.23</v>
      </c>
      <c r="J409" s="35">
        <v>234</v>
      </c>
      <c r="K409" s="35" t="s">
        <v>74</v>
      </c>
      <c r="L409" s="35"/>
      <c r="M409" s="36" t="s">
        <v>68</v>
      </c>
      <c r="N409" s="36"/>
      <c r="O409" s="35">
        <v>50</v>
      </c>
      <c r="P409" s="79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7"/>
      <c r="V409" s="37"/>
      <c r="W409" s="38" t="s">
        <v>70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IFERROR(IF(Y409=0,"",ROUNDUP(Y409/H409,0)*0.00502),"")</f>
        <v/>
      </c>
      <c r="AA409" s="65"/>
      <c r="AB409" s="66"/>
      <c r="AC409" s="467" t="s">
        <v>629</v>
      </c>
      <c r="AG409" s="75"/>
      <c r="AJ409" s="79"/>
      <c r="AK409" s="79">
        <v>0</v>
      </c>
      <c r="BB409" s="468" t="s">
        <v>1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customHeight="1" x14ac:dyDescent="0.25">
      <c r="A410" s="60" t="s">
        <v>630</v>
      </c>
      <c r="B410" s="60" t="s">
        <v>631</v>
      </c>
      <c r="C410" s="34">
        <v>4301031373</v>
      </c>
      <c r="D410" s="549">
        <v>4680115880771</v>
      </c>
      <c r="E410" s="550"/>
      <c r="F410" s="59">
        <v>0.28000000000000003</v>
      </c>
      <c r="G410" s="35">
        <v>6</v>
      </c>
      <c r="H410" s="59">
        <v>1.68</v>
      </c>
      <c r="I410" s="59">
        <v>1.81</v>
      </c>
      <c r="J410" s="35">
        <v>234</v>
      </c>
      <c r="K410" s="35" t="s">
        <v>74</v>
      </c>
      <c r="L410" s="35"/>
      <c r="M410" s="36" t="s">
        <v>68</v>
      </c>
      <c r="N410" s="36"/>
      <c r="O410" s="35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7"/>
      <c r="V410" s="37"/>
      <c r="W410" s="38" t="s">
        <v>70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IFERROR(IF(Y410=0,"",ROUNDUP(Y410/H410,0)*0.00502),"")</f>
        <v/>
      </c>
      <c r="AA410" s="65"/>
      <c r="AB410" s="66"/>
      <c r="AC410" s="469" t="s">
        <v>632</v>
      </c>
      <c r="AG410" s="75"/>
      <c r="AJ410" s="79"/>
      <c r="AK410" s="79">
        <v>0</v>
      </c>
      <c r="BB410" s="470" t="s">
        <v>1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customHeight="1" x14ac:dyDescent="0.25">
      <c r="A411" s="60" t="s">
        <v>633</v>
      </c>
      <c r="B411" s="60" t="s">
        <v>634</v>
      </c>
      <c r="C411" s="34">
        <v>4301031359</v>
      </c>
      <c r="D411" s="549">
        <v>4607091389500</v>
      </c>
      <c r="E411" s="550"/>
      <c r="F411" s="59">
        <v>0.35</v>
      </c>
      <c r="G411" s="35">
        <v>6</v>
      </c>
      <c r="H411" s="59">
        <v>2.1</v>
      </c>
      <c r="I411" s="59">
        <v>2.23</v>
      </c>
      <c r="J411" s="35">
        <v>234</v>
      </c>
      <c r="K411" s="35" t="s">
        <v>74</v>
      </c>
      <c r="L411" s="35"/>
      <c r="M411" s="36" t="s">
        <v>68</v>
      </c>
      <c r="N411" s="36"/>
      <c r="O411" s="35">
        <v>50</v>
      </c>
      <c r="P411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7"/>
      <c r="V411" s="37"/>
      <c r="W411" s="38" t="s">
        <v>70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IFERROR(IF(Y411=0,"",ROUNDUP(Y411/H411,0)*0.00502),"")</f>
        <v/>
      </c>
      <c r="AA411" s="65"/>
      <c r="AB411" s="66"/>
      <c r="AC411" s="471" t="s">
        <v>632</v>
      </c>
      <c r="AG411" s="75"/>
      <c r="AJ411" s="79"/>
      <c r="AK411" s="79">
        <v>0</v>
      </c>
      <c r="BB411" s="472" t="s">
        <v>1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3" t="s">
        <v>76</v>
      </c>
      <c r="Q412" s="564"/>
      <c r="R412" s="564"/>
      <c r="S412" s="564"/>
      <c r="T412" s="564"/>
      <c r="U412" s="564"/>
      <c r="V412" s="565"/>
      <c r="W412" s="40" t="s">
        <v>77</v>
      </c>
      <c r="X412" s="41">
        <f>IFERROR(X408/H408,"0")+IFERROR(X409/H409,"0")+IFERROR(X410/H410,"0")+IFERROR(X411/H411,"0")</f>
        <v>50</v>
      </c>
      <c r="Y412" s="41">
        <f>IFERROR(Y408/H408,"0")+IFERROR(Y409/H409,"0")+IFERROR(Y410/H410,"0")+IFERROR(Y411/H411,"0")</f>
        <v>50</v>
      </c>
      <c r="Z412" s="41">
        <f>IFERROR(IF(Z408="",0,Z408),"0")+IFERROR(IF(Z409="",0,Z409),"0")+IFERROR(IF(Z410="",0,Z410),"0")+IFERROR(IF(Z411="",0,Z411),"0")</f>
        <v>0.45100000000000001</v>
      </c>
      <c r="AA412" s="64"/>
      <c r="AB412" s="64"/>
      <c r="AC412" s="64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3" t="s">
        <v>76</v>
      </c>
      <c r="Q413" s="564"/>
      <c r="R413" s="564"/>
      <c r="S413" s="564"/>
      <c r="T413" s="564"/>
      <c r="U413" s="564"/>
      <c r="V413" s="565"/>
      <c r="W413" s="40" t="s">
        <v>70</v>
      </c>
      <c r="X413" s="41">
        <f>IFERROR(SUM(X408:X411),"0")</f>
        <v>270</v>
      </c>
      <c r="Y413" s="41">
        <f>IFERROR(SUM(Y408:Y411),"0")</f>
        <v>270</v>
      </c>
      <c r="Z413" s="40"/>
      <c r="AA413" s="64"/>
      <c r="AB413" s="64"/>
      <c r="AC413" s="64"/>
    </row>
    <row r="414" spans="1:68" ht="16.5" customHeight="1" x14ac:dyDescent="0.25">
      <c r="A414" s="560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62"/>
      <c r="AB414" s="62"/>
      <c r="AC414" s="62"/>
    </row>
    <row r="415" spans="1:68" ht="14.25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63"/>
      <c r="AB415" s="63"/>
      <c r="AC415" s="63"/>
    </row>
    <row r="416" spans="1:68" ht="27" customHeight="1" x14ac:dyDescent="0.25">
      <c r="A416" s="60" t="s">
        <v>636</v>
      </c>
      <c r="B416" s="60" t="s">
        <v>637</v>
      </c>
      <c r="C416" s="34">
        <v>4301031347</v>
      </c>
      <c r="D416" s="549">
        <v>4680115885110</v>
      </c>
      <c r="E416" s="550"/>
      <c r="F416" s="59">
        <v>0.2</v>
      </c>
      <c r="G416" s="35">
        <v>6</v>
      </c>
      <c r="H416" s="59">
        <v>1.2</v>
      </c>
      <c r="I416" s="59">
        <v>2.1</v>
      </c>
      <c r="J416" s="35">
        <v>182</v>
      </c>
      <c r="K416" s="35" t="s">
        <v>67</v>
      </c>
      <c r="L416" s="35"/>
      <c r="M416" s="36" t="s">
        <v>68</v>
      </c>
      <c r="N416" s="36"/>
      <c r="O416" s="35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7"/>
      <c r="V416" s="37"/>
      <c r="W416" s="38" t="s">
        <v>70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/>
      <c r="AB416" s="66"/>
      <c r="AC416" s="473" t="s">
        <v>638</v>
      </c>
      <c r="AG416" s="75"/>
      <c r="AJ416" s="79"/>
      <c r="AK416" s="79">
        <v>0</v>
      </c>
      <c r="BB416" s="474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3" t="s">
        <v>76</v>
      </c>
      <c r="Q417" s="564"/>
      <c r="R417" s="564"/>
      <c r="S417" s="564"/>
      <c r="T417" s="564"/>
      <c r="U417" s="564"/>
      <c r="V417" s="565"/>
      <c r="W417" s="40" t="s">
        <v>77</v>
      </c>
      <c r="X417" s="41">
        <f>IFERROR(X416/H416,"0")</f>
        <v>0</v>
      </c>
      <c r="Y417" s="41">
        <f>IFERROR(Y416/H416,"0")</f>
        <v>0</v>
      </c>
      <c r="Z417" s="41">
        <f>IFERROR(IF(Z416="",0,Z416),"0")</f>
        <v>0</v>
      </c>
      <c r="AA417" s="64"/>
      <c r="AB417" s="64"/>
      <c r="AC417" s="64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3" t="s">
        <v>76</v>
      </c>
      <c r="Q418" s="564"/>
      <c r="R418" s="564"/>
      <c r="S418" s="564"/>
      <c r="T418" s="564"/>
      <c r="U418" s="564"/>
      <c r="V418" s="565"/>
      <c r="W418" s="40" t="s">
        <v>70</v>
      </c>
      <c r="X418" s="41">
        <f>IFERROR(SUM(X416:X416),"0")</f>
        <v>0</v>
      </c>
      <c r="Y418" s="41">
        <f>IFERROR(SUM(Y416:Y416),"0")</f>
        <v>0</v>
      </c>
      <c r="Z418" s="40"/>
      <c r="AA418" s="64"/>
      <c r="AB418" s="64"/>
      <c r="AC418" s="64"/>
    </row>
    <row r="419" spans="1:68" ht="27.75" customHeight="1" x14ac:dyDescent="0.2">
      <c r="A419" s="567" t="s">
        <v>639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52"/>
      <c r="AB419" s="52"/>
      <c r="AC419" s="52"/>
    </row>
    <row r="420" spans="1:68" ht="16.5" customHeight="1" x14ac:dyDescent="0.25">
      <c r="A420" s="560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62"/>
      <c r="AB420" s="62"/>
      <c r="AC420" s="62"/>
    </row>
    <row r="421" spans="1:68" ht="14.25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63"/>
      <c r="AB421" s="63"/>
      <c r="AC421" s="63"/>
    </row>
    <row r="422" spans="1:68" ht="27" customHeight="1" x14ac:dyDescent="0.25">
      <c r="A422" s="60" t="s">
        <v>640</v>
      </c>
      <c r="B422" s="60" t="s">
        <v>641</v>
      </c>
      <c r="C422" s="34">
        <v>4301011795</v>
      </c>
      <c r="D422" s="549">
        <v>4607091389067</v>
      </c>
      <c r="E422" s="550"/>
      <c r="F422" s="59">
        <v>0.88</v>
      </c>
      <c r="G422" s="35">
        <v>6</v>
      </c>
      <c r="H422" s="59">
        <v>5.28</v>
      </c>
      <c r="I422" s="59">
        <v>5.63</v>
      </c>
      <c r="J422" s="35">
        <v>104</v>
      </c>
      <c r="K422" s="35" t="s">
        <v>108</v>
      </c>
      <c r="L422" s="35" t="s">
        <v>109</v>
      </c>
      <c r="M422" s="36" t="s">
        <v>110</v>
      </c>
      <c r="N422" s="36"/>
      <c r="O422" s="35">
        <v>60</v>
      </c>
      <c r="P422" s="69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7"/>
      <c r="V422" s="37"/>
      <c r="W422" s="38" t="s">
        <v>70</v>
      </c>
      <c r="X422" s="56">
        <v>100</v>
      </c>
      <c r="Y422" s="53">
        <f t="shared" ref="Y422:Y433" si="47">IFERROR(IF(X422="",0,CEILING((X422/$H422),1)*$H422),"")</f>
        <v>100.32000000000001</v>
      </c>
      <c r="Z422" s="39">
        <f t="shared" ref="Z422:Z428" si="48">IFERROR(IF(Y422=0,"",ROUNDUP(Y422/H422,0)*0.01196),"")</f>
        <v>0.22724</v>
      </c>
      <c r="AA422" s="65"/>
      <c r="AB422" s="66"/>
      <c r="AC422" s="475" t="s">
        <v>111</v>
      </c>
      <c r="AG422" s="75"/>
      <c r="AJ422" s="79" t="s">
        <v>94</v>
      </c>
      <c r="AK422" s="79">
        <v>42.24</v>
      </c>
      <c r="BB422" s="476" t="s">
        <v>1</v>
      </c>
      <c r="BM422" s="75">
        <f t="shared" ref="BM422:BM433" si="49">IFERROR(X422*I422/H422,"0")</f>
        <v>106.62878787878788</v>
      </c>
      <c r="BN422" s="75">
        <f t="shared" ref="BN422:BN433" si="50">IFERROR(Y422*I422/H422,"0")</f>
        <v>106.97</v>
      </c>
      <c r="BO422" s="75">
        <f t="shared" ref="BO422:BO433" si="51">IFERROR(1/J422*(X422/H422),"0")</f>
        <v>0.18210955710955709</v>
      </c>
      <c r="BP422" s="75">
        <f t="shared" ref="BP422:BP433" si="52">IFERROR(1/J422*(Y422/H422),"0")</f>
        <v>0.18269230769230771</v>
      </c>
    </row>
    <row r="423" spans="1:68" ht="27" customHeight="1" x14ac:dyDescent="0.25">
      <c r="A423" s="60" t="s">
        <v>642</v>
      </c>
      <c r="B423" s="60" t="s">
        <v>643</v>
      </c>
      <c r="C423" s="34">
        <v>4301012210</v>
      </c>
      <c r="D423" s="549">
        <v>4607091383522</v>
      </c>
      <c r="E423" s="550"/>
      <c r="F423" s="59">
        <v>0.88</v>
      </c>
      <c r="G423" s="35">
        <v>6</v>
      </c>
      <c r="H423" s="59">
        <v>5.28</v>
      </c>
      <c r="I423" s="59">
        <v>5.63</v>
      </c>
      <c r="J423" s="35">
        <v>104</v>
      </c>
      <c r="K423" s="35" t="s">
        <v>108</v>
      </c>
      <c r="L423" s="35"/>
      <c r="M423" s="36" t="s">
        <v>110</v>
      </c>
      <c r="N423" s="36"/>
      <c r="O423" s="35">
        <v>60</v>
      </c>
      <c r="P423" s="665" t="s">
        <v>644</v>
      </c>
      <c r="Q423" s="552"/>
      <c r="R423" s="552"/>
      <c r="S423" s="552"/>
      <c r="T423" s="553"/>
      <c r="U423" s="37"/>
      <c r="V423" s="37"/>
      <c r="W423" s="38" t="s">
        <v>70</v>
      </c>
      <c r="X423" s="56">
        <v>0</v>
      </c>
      <c r="Y423" s="53">
        <f t="shared" si="47"/>
        <v>0</v>
      </c>
      <c r="Z423" s="39" t="str">
        <f t="shared" si="48"/>
        <v/>
      </c>
      <c r="AA423" s="65"/>
      <c r="AB423" s="66"/>
      <c r="AC423" s="477" t="s">
        <v>645</v>
      </c>
      <c r="AG423" s="75"/>
      <c r="AJ423" s="79"/>
      <c r="AK423" s="79">
        <v>0</v>
      </c>
      <c r="BB423" s="478" t="s">
        <v>1</v>
      </c>
      <c r="BM423" s="75">
        <f t="shared" si="49"/>
        <v>0</v>
      </c>
      <c r="BN423" s="75">
        <f t="shared" si="50"/>
        <v>0</v>
      </c>
      <c r="BO423" s="75">
        <f t="shared" si="51"/>
        <v>0</v>
      </c>
      <c r="BP423" s="75">
        <f t="shared" si="52"/>
        <v>0</v>
      </c>
    </row>
    <row r="424" spans="1:68" ht="27" customHeight="1" x14ac:dyDescent="0.25">
      <c r="A424" s="60" t="s">
        <v>642</v>
      </c>
      <c r="B424" s="60" t="s">
        <v>646</v>
      </c>
      <c r="C424" s="34">
        <v>4301012145</v>
      </c>
      <c r="D424" s="549">
        <v>4607091383522</v>
      </c>
      <c r="E424" s="550"/>
      <c r="F424" s="59">
        <v>0.88</v>
      </c>
      <c r="G424" s="35">
        <v>6</v>
      </c>
      <c r="H424" s="59">
        <v>5.28</v>
      </c>
      <c r="I424" s="59">
        <v>5.63</v>
      </c>
      <c r="J424" s="35">
        <v>104</v>
      </c>
      <c r="K424" s="35" t="s">
        <v>108</v>
      </c>
      <c r="L424" s="35"/>
      <c r="M424" s="36" t="s">
        <v>110</v>
      </c>
      <c r="N424" s="36"/>
      <c r="O424" s="35">
        <v>60</v>
      </c>
      <c r="P424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7"/>
      <c r="V424" s="37"/>
      <c r="W424" s="38" t="s">
        <v>70</v>
      </c>
      <c r="X424" s="56">
        <v>0</v>
      </c>
      <c r="Y424" s="53">
        <f t="shared" si="47"/>
        <v>0</v>
      </c>
      <c r="Z424" s="39" t="str">
        <f t="shared" si="48"/>
        <v/>
      </c>
      <c r="AA424" s="65"/>
      <c r="AB424" s="66"/>
      <c r="AC424" s="479" t="s">
        <v>645</v>
      </c>
      <c r="AG424" s="75"/>
      <c r="AJ424" s="79"/>
      <c r="AK424" s="79">
        <v>0</v>
      </c>
      <c r="BB424" s="480" t="s">
        <v>1</v>
      </c>
      <c r="BM424" s="75">
        <f t="shared" si="49"/>
        <v>0</v>
      </c>
      <c r="BN424" s="75">
        <f t="shared" si="50"/>
        <v>0</v>
      </c>
      <c r="BO424" s="75">
        <f t="shared" si="51"/>
        <v>0</v>
      </c>
      <c r="BP424" s="75">
        <f t="shared" si="52"/>
        <v>0</v>
      </c>
    </row>
    <row r="425" spans="1:68" ht="27" customHeight="1" x14ac:dyDescent="0.25">
      <c r="A425" s="60" t="s">
        <v>647</v>
      </c>
      <c r="B425" s="60" t="s">
        <v>648</v>
      </c>
      <c r="C425" s="34">
        <v>4301011961</v>
      </c>
      <c r="D425" s="549">
        <v>4680115885271</v>
      </c>
      <c r="E425" s="550"/>
      <c r="F425" s="59">
        <v>0.88</v>
      </c>
      <c r="G425" s="35">
        <v>6</v>
      </c>
      <c r="H425" s="59">
        <v>5.28</v>
      </c>
      <c r="I425" s="59">
        <v>5.63</v>
      </c>
      <c r="J425" s="35">
        <v>104</v>
      </c>
      <c r="K425" s="35" t="s">
        <v>108</v>
      </c>
      <c r="L425" s="35" t="s">
        <v>109</v>
      </c>
      <c r="M425" s="36" t="s">
        <v>110</v>
      </c>
      <c r="N425" s="36"/>
      <c r="O425" s="35">
        <v>60</v>
      </c>
      <c r="P425" s="7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7"/>
      <c r="V425" s="37"/>
      <c r="W425" s="38" t="s">
        <v>70</v>
      </c>
      <c r="X425" s="56">
        <v>80</v>
      </c>
      <c r="Y425" s="53">
        <f t="shared" si="47"/>
        <v>84.48</v>
      </c>
      <c r="Z425" s="39">
        <f t="shared" si="48"/>
        <v>0.19136</v>
      </c>
      <c r="AA425" s="65"/>
      <c r="AB425" s="66"/>
      <c r="AC425" s="481" t="s">
        <v>649</v>
      </c>
      <c r="AG425" s="75"/>
      <c r="AJ425" s="79" t="s">
        <v>94</v>
      </c>
      <c r="AK425" s="79">
        <v>42.24</v>
      </c>
      <c r="BB425" s="482" t="s">
        <v>1</v>
      </c>
      <c r="BM425" s="75">
        <f t="shared" si="49"/>
        <v>85.303030303030297</v>
      </c>
      <c r="BN425" s="75">
        <f t="shared" si="50"/>
        <v>90.08</v>
      </c>
      <c r="BO425" s="75">
        <f t="shared" si="51"/>
        <v>0.14568764568764569</v>
      </c>
      <c r="BP425" s="75">
        <f t="shared" si="52"/>
        <v>0.15384615384615385</v>
      </c>
    </row>
    <row r="426" spans="1:68" ht="27" customHeight="1" x14ac:dyDescent="0.25">
      <c r="A426" s="60" t="s">
        <v>650</v>
      </c>
      <c r="B426" s="60" t="s">
        <v>651</v>
      </c>
      <c r="C426" s="34">
        <v>4301011376</v>
      </c>
      <c r="D426" s="549">
        <v>4680115885226</v>
      </c>
      <c r="E426" s="550"/>
      <c r="F426" s="59">
        <v>0.88</v>
      </c>
      <c r="G426" s="35">
        <v>6</v>
      </c>
      <c r="H426" s="59">
        <v>5.28</v>
      </c>
      <c r="I426" s="59">
        <v>5.63</v>
      </c>
      <c r="J426" s="35">
        <v>104</v>
      </c>
      <c r="K426" s="35" t="s">
        <v>108</v>
      </c>
      <c r="L426" s="35" t="s">
        <v>109</v>
      </c>
      <c r="M426" s="36" t="s">
        <v>81</v>
      </c>
      <c r="N426" s="36"/>
      <c r="O426" s="35">
        <v>60</v>
      </c>
      <c r="P426" s="6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7"/>
      <c r="V426" s="37"/>
      <c r="W426" s="38" t="s">
        <v>70</v>
      </c>
      <c r="X426" s="56">
        <v>405</v>
      </c>
      <c r="Y426" s="53">
        <f t="shared" si="47"/>
        <v>406.56</v>
      </c>
      <c r="Z426" s="39">
        <f t="shared" si="48"/>
        <v>0.92091999999999996</v>
      </c>
      <c r="AA426" s="65"/>
      <c r="AB426" s="66"/>
      <c r="AC426" s="483" t="s">
        <v>652</v>
      </c>
      <c r="AG426" s="75"/>
      <c r="AJ426" s="79" t="s">
        <v>94</v>
      </c>
      <c r="AK426" s="79">
        <v>42.24</v>
      </c>
      <c r="BB426" s="484" t="s">
        <v>1</v>
      </c>
      <c r="BM426" s="75">
        <f t="shared" si="49"/>
        <v>431.84659090909088</v>
      </c>
      <c r="BN426" s="75">
        <f t="shared" si="50"/>
        <v>433.51</v>
      </c>
      <c r="BO426" s="75">
        <f t="shared" si="51"/>
        <v>0.73754370629370636</v>
      </c>
      <c r="BP426" s="75">
        <f t="shared" si="52"/>
        <v>0.74038461538461542</v>
      </c>
    </row>
    <row r="427" spans="1:68" ht="16.5" customHeight="1" x14ac:dyDescent="0.25">
      <c r="A427" s="60" t="s">
        <v>653</v>
      </c>
      <c r="B427" s="60" t="s">
        <v>654</v>
      </c>
      <c r="C427" s="34">
        <v>4301011774</v>
      </c>
      <c r="D427" s="549">
        <v>4680115884502</v>
      </c>
      <c r="E427" s="550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108</v>
      </c>
      <c r="L427" s="35"/>
      <c r="M427" s="36" t="s">
        <v>110</v>
      </c>
      <c r="N427" s="36"/>
      <c r="O427" s="35">
        <v>60</v>
      </c>
      <c r="P427" s="7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7"/>
      <c r="V427" s="37"/>
      <c r="W427" s="38" t="s">
        <v>70</v>
      </c>
      <c r="X427" s="56">
        <v>0</v>
      </c>
      <c r="Y427" s="53">
        <f t="shared" si="47"/>
        <v>0</v>
      </c>
      <c r="Z427" s="39" t="str">
        <f t="shared" si="48"/>
        <v/>
      </c>
      <c r="AA427" s="65"/>
      <c r="AB427" s="66"/>
      <c r="AC427" s="485" t="s">
        <v>655</v>
      </c>
      <c r="AG427" s="75"/>
      <c r="AJ427" s="79"/>
      <c r="AK427" s="79">
        <v>0</v>
      </c>
      <c r="BB427" s="486" t="s">
        <v>1</v>
      </c>
      <c r="BM427" s="75">
        <f t="shared" si="49"/>
        <v>0</v>
      </c>
      <c r="BN427" s="75">
        <f t="shared" si="50"/>
        <v>0</v>
      </c>
      <c r="BO427" s="75">
        <f t="shared" si="51"/>
        <v>0</v>
      </c>
      <c r="BP427" s="75">
        <f t="shared" si="52"/>
        <v>0</v>
      </c>
    </row>
    <row r="428" spans="1:68" ht="27" customHeight="1" x14ac:dyDescent="0.25">
      <c r="A428" s="60" t="s">
        <v>656</v>
      </c>
      <c r="B428" s="60" t="s">
        <v>657</v>
      </c>
      <c r="C428" s="34">
        <v>4301011771</v>
      </c>
      <c r="D428" s="549">
        <v>4607091389104</v>
      </c>
      <c r="E428" s="550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108</v>
      </c>
      <c r="L428" s="35" t="s">
        <v>109</v>
      </c>
      <c r="M428" s="36" t="s">
        <v>110</v>
      </c>
      <c r="N428" s="36"/>
      <c r="O428" s="35">
        <v>60</v>
      </c>
      <c r="P428" s="6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7"/>
      <c r="V428" s="37"/>
      <c r="W428" s="38" t="s">
        <v>70</v>
      </c>
      <c r="X428" s="56">
        <v>510</v>
      </c>
      <c r="Y428" s="53">
        <f t="shared" si="47"/>
        <v>512.16</v>
      </c>
      <c r="Z428" s="39">
        <f t="shared" si="48"/>
        <v>1.16012</v>
      </c>
      <c r="AA428" s="65"/>
      <c r="AB428" s="66"/>
      <c r="AC428" s="487" t="s">
        <v>658</v>
      </c>
      <c r="AG428" s="75"/>
      <c r="AJ428" s="79" t="s">
        <v>94</v>
      </c>
      <c r="AK428" s="79">
        <v>42.24</v>
      </c>
      <c r="BB428" s="488" t="s">
        <v>1</v>
      </c>
      <c r="BM428" s="75">
        <f t="shared" si="49"/>
        <v>543.80681818181813</v>
      </c>
      <c r="BN428" s="75">
        <f t="shared" si="50"/>
        <v>546.1099999999999</v>
      </c>
      <c r="BO428" s="75">
        <f t="shared" si="51"/>
        <v>0.92875874125874125</v>
      </c>
      <c r="BP428" s="75">
        <f t="shared" si="52"/>
        <v>0.9326923076923076</v>
      </c>
    </row>
    <row r="429" spans="1:68" ht="27" customHeight="1" x14ac:dyDescent="0.25">
      <c r="A429" s="60" t="s">
        <v>659</v>
      </c>
      <c r="B429" s="60" t="s">
        <v>660</v>
      </c>
      <c r="C429" s="34">
        <v>4301012125</v>
      </c>
      <c r="D429" s="549">
        <v>4680115886391</v>
      </c>
      <c r="E429" s="550"/>
      <c r="F429" s="59">
        <v>0.4</v>
      </c>
      <c r="G429" s="35">
        <v>6</v>
      </c>
      <c r="H429" s="59">
        <v>2.4</v>
      </c>
      <c r="I429" s="59">
        <v>2.58</v>
      </c>
      <c r="J429" s="35">
        <v>182</v>
      </c>
      <c r="K429" s="35" t="s">
        <v>67</v>
      </c>
      <c r="L429" s="35"/>
      <c r="M429" s="36" t="s">
        <v>81</v>
      </c>
      <c r="N429" s="36"/>
      <c r="O429" s="35">
        <v>60</v>
      </c>
      <c r="P429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7"/>
      <c r="V429" s="37"/>
      <c r="W429" s="38" t="s">
        <v>70</v>
      </c>
      <c r="X429" s="56">
        <v>0</v>
      </c>
      <c r="Y429" s="53">
        <f t="shared" si="47"/>
        <v>0</v>
      </c>
      <c r="Z429" s="39" t="str">
        <f>IFERROR(IF(Y429=0,"",ROUNDUP(Y429/H429,0)*0.00651),"")</f>
        <v/>
      </c>
      <c r="AA429" s="65"/>
      <c r="AB429" s="66"/>
      <c r="AC429" s="489" t="s">
        <v>111</v>
      </c>
      <c r="AG429" s="75"/>
      <c r="AJ429" s="79"/>
      <c r="AK429" s="79">
        <v>0</v>
      </c>
      <c r="BB429" s="490" t="s">
        <v>1</v>
      </c>
      <c r="BM429" s="75">
        <f t="shared" si="49"/>
        <v>0</v>
      </c>
      <c r="BN429" s="75">
        <f t="shared" si="50"/>
        <v>0</v>
      </c>
      <c r="BO429" s="75">
        <f t="shared" si="51"/>
        <v>0</v>
      </c>
      <c r="BP429" s="75">
        <f t="shared" si="52"/>
        <v>0</v>
      </c>
    </row>
    <row r="430" spans="1:68" ht="27" customHeight="1" x14ac:dyDescent="0.25">
      <c r="A430" s="60" t="s">
        <v>661</v>
      </c>
      <c r="B430" s="60" t="s">
        <v>662</v>
      </c>
      <c r="C430" s="34">
        <v>4301012035</v>
      </c>
      <c r="D430" s="549">
        <v>4680115880603</v>
      </c>
      <c r="E430" s="550"/>
      <c r="F430" s="59">
        <v>0.6</v>
      </c>
      <c r="G430" s="35">
        <v>8</v>
      </c>
      <c r="H430" s="59">
        <v>4.8</v>
      </c>
      <c r="I430" s="59">
        <v>6.91</v>
      </c>
      <c r="J430" s="35">
        <v>132</v>
      </c>
      <c r="K430" s="35" t="s">
        <v>114</v>
      </c>
      <c r="L430" s="35"/>
      <c r="M430" s="36" t="s">
        <v>110</v>
      </c>
      <c r="N430" s="36"/>
      <c r="O430" s="35">
        <v>60</v>
      </c>
      <c r="P430" s="82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7"/>
      <c r="V430" s="37"/>
      <c r="W430" s="38" t="s">
        <v>70</v>
      </c>
      <c r="X430" s="56">
        <v>0</v>
      </c>
      <c r="Y430" s="53">
        <f t="shared" si="47"/>
        <v>0</v>
      </c>
      <c r="Z430" s="39" t="str">
        <f>IFERROR(IF(Y430=0,"",ROUNDUP(Y430/H430,0)*0.00902),"")</f>
        <v/>
      </c>
      <c r="AA430" s="65"/>
      <c r="AB430" s="66"/>
      <c r="AC430" s="491" t="s">
        <v>111</v>
      </c>
      <c r="AG430" s="75"/>
      <c r="AJ430" s="79"/>
      <c r="AK430" s="79">
        <v>0</v>
      </c>
      <c r="BB430" s="492" t="s">
        <v>1</v>
      </c>
      <c r="BM430" s="75">
        <f t="shared" si="49"/>
        <v>0</v>
      </c>
      <c r="BN430" s="75">
        <f t="shared" si="50"/>
        <v>0</v>
      </c>
      <c r="BO430" s="75">
        <f t="shared" si="51"/>
        <v>0</v>
      </c>
      <c r="BP430" s="75">
        <f t="shared" si="52"/>
        <v>0</v>
      </c>
    </row>
    <row r="431" spans="1:68" ht="27" customHeight="1" x14ac:dyDescent="0.25">
      <c r="A431" s="60" t="s">
        <v>663</v>
      </c>
      <c r="B431" s="60" t="s">
        <v>664</v>
      </c>
      <c r="C431" s="34">
        <v>4301012036</v>
      </c>
      <c r="D431" s="549">
        <v>4680115882782</v>
      </c>
      <c r="E431" s="550"/>
      <c r="F431" s="59">
        <v>0.6</v>
      </c>
      <c r="G431" s="35">
        <v>8</v>
      </c>
      <c r="H431" s="59">
        <v>4.8</v>
      </c>
      <c r="I431" s="59">
        <v>6.96</v>
      </c>
      <c r="J431" s="35">
        <v>120</v>
      </c>
      <c r="K431" s="35" t="s">
        <v>114</v>
      </c>
      <c r="L431" s="35"/>
      <c r="M431" s="36" t="s">
        <v>110</v>
      </c>
      <c r="N431" s="36"/>
      <c r="O431" s="35">
        <v>60</v>
      </c>
      <c r="P431" s="68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7"/>
      <c r="V431" s="37"/>
      <c r="W431" s="38" t="s">
        <v>70</v>
      </c>
      <c r="X431" s="56">
        <v>0</v>
      </c>
      <c r="Y431" s="53">
        <f t="shared" si="47"/>
        <v>0</v>
      </c>
      <c r="Z431" s="39" t="str">
        <f>IFERROR(IF(Y431=0,"",ROUNDUP(Y431/H431,0)*0.00937),"")</f>
        <v/>
      </c>
      <c r="AA431" s="65"/>
      <c r="AB431" s="66"/>
      <c r="AC431" s="493" t="s">
        <v>649</v>
      </c>
      <c r="AG431" s="75"/>
      <c r="AJ431" s="79"/>
      <c r="AK431" s="79">
        <v>0</v>
      </c>
      <c r="BB431" s="494" t="s">
        <v>1</v>
      </c>
      <c r="BM431" s="75">
        <f t="shared" si="49"/>
        <v>0</v>
      </c>
      <c r="BN431" s="75">
        <f t="shared" si="50"/>
        <v>0</v>
      </c>
      <c r="BO431" s="75">
        <f t="shared" si="51"/>
        <v>0</v>
      </c>
      <c r="BP431" s="75">
        <f t="shared" si="52"/>
        <v>0</v>
      </c>
    </row>
    <row r="432" spans="1:68" ht="27" customHeight="1" x14ac:dyDescent="0.25">
      <c r="A432" s="60" t="s">
        <v>665</v>
      </c>
      <c r="B432" s="60" t="s">
        <v>666</v>
      </c>
      <c r="C432" s="34">
        <v>4301012050</v>
      </c>
      <c r="D432" s="549">
        <v>4680115885479</v>
      </c>
      <c r="E432" s="550"/>
      <c r="F432" s="59">
        <v>0.4</v>
      </c>
      <c r="G432" s="35">
        <v>6</v>
      </c>
      <c r="H432" s="59">
        <v>2.4</v>
      </c>
      <c r="I432" s="59">
        <v>2.58</v>
      </c>
      <c r="J432" s="35">
        <v>182</v>
      </c>
      <c r="K432" s="35" t="s">
        <v>67</v>
      </c>
      <c r="L432" s="35"/>
      <c r="M432" s="36" t="s">
        <v>110</v>
      </c>
      <c r="N432" s="36"/>
      <c r="O432" s="35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7"/>
      <c r="V432" s="37"/>
      <c r="W432" s="38" t="s">
        <v>70</v>
      </c>
      <c r="X432" s="56">
        <v>0</v>
      </c>
      <c r="Y432" s="53">
        <f t="shared" si="47"/>
        <v>0</v>
      </c>
      <c r="Z432" s="39" t="str">
        <f>IFERROR(IF(Y432=0,"",ROUNDUP(Y432/H432,0)*0.00651),"")</f>
        <v/>
      </c>
      <c r="AA432" s="65"/>
      <c r="AB432" s="66"/>
      <c r="AC432" s="495" t="s">
        <v>667</v>
      </c>
      <c r="AG432" s="75"/>
      <c r="AJ432" s="79"/>
      <c r="AK432" s="79">
        <v>0</v>
      </c>
      <c r="BB432" s="496" t="s">
        <v>1</v>
      </c>
      <c r="BM432" s="75">
        <f t="shared" si="49"/>
        <v>0</v>
      </c>
      <c r="BN432" s="75">
        <f t="shared" si="50"/>
        <v>0</v>
      </c>
      <c r="BO432" s="75">
        <f t="shared" si="51"/>
        <v>0</v>
      </c>
      <c r="BP432" s="75">
        <f t="shared" si="52"/>
        <v>0</v>
      </c>
    </row>
    <row r="433" spans="1:68" ht="27" customHeight="1" x14ac:dyDescent="0.25">
      <c r="A433" s="60" t="s">
        <v>668</v>
      </c>
      <c r="B433" s="60" t="s">
        <v>669</v>
      </c>
      <c r="C433" s="34">
        <v>4301012034</v>
      </c>
      <c r="D433" s="549">
        <v>4607091389982</v>
      </c>
      <c r="E433" s="550"/>
      <c r="F433" s="59">
        <v>0.6</v>
      </c>
      <c r="G433" s="35">
        <v>8</v>
      </c>
      <c r="H433" s="59">
        <v>4.8</v>
      </c>
      <c r="I433" s="59">
        <v>6.91</v>
      </c>
      <c r="J433" s="35">
        <v>132</v>
      </c>
      <c r="K433" s="35" t="s">
        <v>114</v>
      </c>
      <c r="L433" s="35"/>
      <c r="M433" s="36" t="s">
        <v>110</v>
      </c>
      <c r="N433" s="36"/>
      <c r="O433" s="35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7"/>
      <c r="V433" s="37"/>
      <c r="W433" s="38" t="s">
        <v>70</v>
      </c>
      <c r="X433" s="56">
        <v>0</v>
      </c>
      <c r="Y433" s="53">
        <f t="shared" si="47"/>
        <v>0</v>
      </c>
      <c r="Z433" s="39" t="str">
        <f>IFERROR(IF(Y433=0,"",ROUNDUP(Y433/H433,0)*0.00902),"")</f>
        <v/>
      </c>
      <c r="AA433" s="65"/>
      <c r="AB433" s="66"/>
      <c r="AC433" s="497" t="s">
        <v>658</v>
      </c>
      <c r="AG433" s="75"/>
      <c r="AJ433" s="79"/>
      <c r="AK433" s="79">
        <v>0</v>
      </c>
      <c r="BB433" s="498" t="s">
        <v>1</v>
      </c>
      <c r="BM433" s="75">
        <f t="shared" si="49"/>
        <v>0</v>
      </c>
      <c r="BN433" s="75">
        <f t="shared" si="50"/>
        <v>0</v>
      </c>
      <c r="BO433" s="75">
        <f t="shared" si="51"/>
        <v>0</v>
      </c>
      <c r="BP433" s="75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3" t="s">
        <v>76</v>
      </c>
      <c r="Q434" s="564"/>
      <c r="R434" s="564"/>
      <c r="S434" s="564"/>
      <c r="T434" s="564"/>
      <c r="U434" s="564"/>
      <c r="V434" s="565"/>
      <c r="W434" s="40" t="s">
        <v>77</v>
      </c>
      <c r="X434" s="41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207.38636363636363</v>
      </c>
      <c r="Y434" s="41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209</v>
      </c>
      <c r="Z434" s="41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2.4996399999999999</v>
      </c>
      <c r="AA434" s="64"/>
      <c r="AB434" s="64"/>
      <c r="AC434" s="64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3" t="s">
        <v>76</v>
      </c>
      <c r="Q435" s="564"/>
      <c r="R435" s="564"/>
      <c r="S435" s="564"/>
      <c r="T435" s="564"/>
      <c r="U435" s="564"/>
      <c r="V435" s="565"/>
      <c r="W435" s="40" t="s">
        <v>70</v>
      </c>
      <c r="X435" s="41">
        <f>IFERROR(SUM(X422:X433),"0")</f>
        <v>1095</v>
      </c>
      <c r="Y435" s="41">
        <f>IFERROR(SUM(Y422:Y433),"0")</f>
        <v>1103.52</v>
      </c>
      <c r="Z435" s="40"/>
      <c r="AA435" s="64"/>
      <c r="AB435" s="64"/>
      <c r="AC435" s="64"/>
    </row>
    <row r="436" spans="1:68" ht="14.25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63"/>
      <c r="AB436" s="63"/>
      <c r="AC436" s="63"/>
    </row>
    <row r="437" spans="1:68" ht="16.5" customHeight="1" x14ac:dyDescent="0.25">
      <c r="A437" s="60" t="s">
        <v>670</v>
      </c>
      <c r="B437" s="60" t="s">
        <v>671</v>
      </c>
      <c r="C437" s="34">
        <v>4301020334</v>
      </c>
      <c r="D437" s="549">
        <v>4607091388930</v>
      </c>
      <c r="E437" s="550"/>
      <c r="F437" s="59">
        <v>0.88</v>
      </c>
      <c r="G437" s="35">
        <v>6</v>
      </c>
      <c r="H437" s="59">
        <v>5.28</v>
      </c>
      <c r="I437" s="59">
        <v>5.63</v>
      </c>
      <c r="J437" s="35">
        <v>104</v>
      </c>
      <c r="K437" s="35" t="s">
        <v>108</v>
      </c>
      <c r="L437" s="35" t="s">
        <v>109</v>
      </c>
      <c r="M437" s="36" t="s">
        <v>81</v>
      </c>
      <c r="N437" s="36"/>
      <c r="O437" s="35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7"/>
      <c r="V437" s="37"/>
      <c r="W437" s="38" t="s">
        <v>70</v>
      </c>
      <c r="X437" s="56">
        <v>300</v>
      </c>
      <c r="Y437" s="53">
        <f>IFERROR(IF(X437="",0,CEILING((X437/$H437),1)*$H437),"")</f>
        <v>300.96000000000004</v>
      </c>
      <c r="Z437" s="39">
        <f>IFERROR(IF(Y437=0,"",ROUNDUP(Y437/H437,0)*0.01196),"")</f>
        <v>0.68171999999999999</v>
      </c>
      <c r="AA437" s="65"/>
      <c r="AB437" s="66"/>
      <c r="AC437" s="499" t="s">
        <v>672</v>
      </c>
      <c r="AG437" s="75"/>
      <c r="AJ437" s="79" t="s">
        <v>94</v>
      </c>
      <c r="AK437" s="79">
        <v>42.24</v>
      </c>
      <c r="BB437" s="500" t="s">
        <v>1</v>
      </c>
      <c r="BM437" s="75">
        <f>IFERROR(X437*I437/H437,"0")</f>
        <v>319.88636363636363</v>
      </c>
      <c r="BN437" s="75">
        <f>IFERROR(Y437*I437/H437,"0")</f>
        <v>320.91000000000003</v>
      </c>
      <c r="BO437" s="75">
        <f>IFERROR(1/J437*(X437/H437),"0")</f>
        <v>0.54632867132867136</v>
      </c>
      <c r="BP437" s="75">
        <f>IFERROR(1/J437*(Y437/H437),"0")</f>
        <v>0.54807692307692313</v>
      </c>
    </row>
    <row r="438" spans="1:68" ht="16.5" customHeight="1" x14ac:dyDescent="0.25">
      <c r="A438" s="60" t="s">
        <v>673</v>
      </c>
      <c r="B438" s="60" t="s">
        <v>674</v>
      </c>
      <c r="C438" s="34">
        <v>4301020384</v>
      </c>
      <c r="D438" s="549">
        <v>4680115886407</v>
      </c>
      <c r="E438" s="550"/>
      <c r="F438" s="59">
        <v>0.4</v>
      </c>
      <c r="G438" s="35">
        <v>6</v>
      </c>
      <c r="H438" s="59">
        <v>2.4</v>
      </c>
      <c r="I438" s="59">
        <v>2.58</v>
      </c>
      <c r="J438" s="35">
        <v>182</v>
      </c>
      <c r="K438" s="35" t="s">
        <v>67</v>
      </c>
      <c r="L438" s="35"/>
      <c r="M438" s="36" t="s">
        <v>81</v>
      </c>
      <c r="N438" s="36"/>
      <c r="O438" s="35">
        <v>70</v>
      </c>
      <c r="P438" s="72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7"/>
      <c r="V438" s="37"/>
      <c r="W438" s="38" t="s">
        <v>70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/>
      <c r="AB438" s="66"/>
      <c r="AC438" s="501" t="s">
        <v>672</v>
      </c>
      <c r="AG438" s="75"/>
      <c r="AJ438" s="79"/>
      <c r="AK438" s="79">
        <v>0</v>
      </c>
      <c r="BB438" s="502" t="s">
        <v>1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16.5" customHeight="1" x14ac:dyDescent="0.25">
      <c r="A439" s="60" t="s">
        <v>675</v>
      </c>
      <c r="B439" s="60" t="s">
        <v>676</v>
      </c>
      <c r="C439" s="34">
        <v>4301020385</v>
      </c>
      <c r="D439" s="549">
        <v>4680115880054</v>
      </c>
      <c r="E439" s="550"/>
      <c r="F439" s="59">
        <v>0.6</v>
      </c>
      <c r="G439" s="35">
        <v>8</v>
      </c>
      <c r="H439" s="59">
        <v>4.8</v>
      </c>
      <c r="I439" s="59">
        <v>6.91</v>
      </c>
      <c r="J439" s="35">
        <v>132</v>
      </c>
      <c r="K439" s="35" t="s">
        <v>114</v>
      </c>
      <c r="L439" s="35"/>
      <c r="M439" s="36" t="s">
        <v>110</v>
      </c>
      <c r="N439" s="36"/>
      <c r="O439" s="35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7"/>
      <c r="V439" s="37"/>
      <c r="W439" s="38" t="s">
        <v>70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/>
      <c r="AB439" s="66"/>
      <c r="AC439" s="503" t="s">
        <v>672</v>
      </c>
      <c r="AG439" s="75"/>
      <c r="AJ439" s="79"/>
      <c r="AK439" s="79">
        <v>0</v>
      </c>
      <c r="BB439" s="504" t="s">
        <v>1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3" t="s">
        <v>76</v>
      </c>
      <c r="Q440" s="564"/>
      <c r="R440" s="564"/>
      <c r="S440" s="564"/>
      <c r="T440" s="564"/>
      <c r="U440" s="564"/>
      <c r="V440" s="565"/>
      <c r="W440" s="40" t="s">
        <v>77</v>
      </c>
      <c r="X440" s="41">
        <f>IFERROR(X437/H437,"0")+IFERROR(X438/H438,"0")+IFERROR(X439/H439,"0")</f>
        <v>56.818181818181813</v>
      </c>
      <c r="Y440" s="41">
        <f>IFERROR(Y437/H437,"0")+IFERROR(Y438/H438,"0")+IFERROR(Y439/H439,"0")</f>
        <v>57.000000000000007</v>
      </c>
      <c r="Z440" s="41">
        <f>IFERROR(IF(Z437="",0,Z437),"0")+IFERROR(IF(Z438="",0,Z438),"0")+IFERROR(IF(Z439="",0,Z439),"0")</f>
        <v>0.68171999999999999</v>
      </c>
      <c r="AA440" s="64"/>
      <c r="AB440" s="64"/>
      <c r="AC440" s="64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3" t="s">
        <v>76</v>
      </c>
      <c r="Q441" s="564"/>
      <c r="R441" s="564"/>
      <c r="S441" s="564"/>
      <c r="T441" s="564"/>
      <c r="U441" s="564"/>
      <c r="V441" s="565"/>
      <c r="W441" s="40" t="s">
        <v>70</v>
      </c>
      <c r="X441" s="41">
        <f>IFERROR(SUM(X437:X439),"0")</f>
        <v>300</v>
      </c>
      <c r="Y441" s="41">
        <f>IFERROR(SUM(Y437:Y439),"0")</f>
        <v>300.96000000000004</v>
      </c>
      <c r="Z441" s="40"/>
      <c r="AA441" s="64"/>
      <c r="AB441" s="64"/>
      <c r="AC441" s="64"/>
    </row>
    <row r="442" spans="1:68" ht="14.25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63"/>
      <c r="AB442" s="63"/>
      <c r="AC442" s="63"/>
    </row>
    <row r="443" spans="1:68" ht="27" customHeight="1" x14ac:dyDescent="0.25">
      <c r="A443" s="60" t="s">
        <v>677</v>
      </c>
      <c r="B443" s="60" t="s">
        <v>678</v>
      </c>
      <c r="C443" s="34">
        <v>4301031349</v>
      </c>
      <c r="D443" s="549">
        <v>4680115883116</v>
      </c>
      <c r="E443" s="550"/>
      <c r="F443" s="59">
        <v>0.88</v>
      </c>
      <c r="G443" s="35">
        <v>6</v>
      </c>
      <c r="H443" s="59">
        <v>5.28</v>
      </c>
      <c r="I443" s="59">
        <v>5.63</v>
      </c>
      <c r="J443" s="35">
        <v>104</v>
      </c>
      <c r="K443" s="35" t="s">
        <v>108</v>
      </c>
      <c r="L443" s="35" t="s">
        <v>109</v>
      </c>
      <c r="M443" s="36" t="s">
        <v>110</v>
      </c>
      <c r="N443" s="36"/>
      <c r="O443" s="35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7"/>
      <c r="V443" s="37"/>
      <c r="W443" s="38" t="s">
        <v>70</v>
      </c>
      <c r="X443" s="56">
        <v>130</v>
      </c>
      <c r="Y443" s="53">
        <f t="shared" ref="Y443:Y448" si="53">IFERROR(IF(X443="",0,CEILING((X443/$H443),1)*$H443),"")</f>
        <v>132</v>
      </c>
      <c r="Z443" s="39">
        <f>IFERROR(IF(Y443=0,"",ROUNDUP(Y443/H443,0)*0.01196),"")</f>
        <v>0.29899999999999999</v>
      </c>
      <c r="AA443" s="65"/>
      <c r="AB443" s="66"/>
      <c r="AC443" s="505" t="s">
        <v>679</v>
      </c>
      <c r="AG443" s="75"/>
      <c r="AJ443" s="79" t="s">
        <v>94</v>
      </c>
      <c r="AK443" s="79">
        <v>42.24</v>
      </c>
      <c r="BB443" s="506" t="s">
        <v>1</v>
      </c>
      <c r="BM443" s="75">
        <f t="shared" ref="BM443:BM448" si="54">IFERROR(X443*I443/H443,"0")</f>
        <v>138.61742424242422</v>
      </c>
      <c r="BN443" s="75">
        <f t="shared" ref="BN443:BN448" si="55">IFERROR(Y443*I443/H443,"0")</f>
        <v>140.75</v>
      </c>
      <c r="BO443" s="75">
        <f t="shared" ref="BO443:BO448" si="56">IFERROR(1/J443*(X443/H443),"0")</f>
        <v>0.23674242424242425</v>
      </c>
      <c r="BP443" s="75">
        <f t="shared" ref="BP443:BP448" si="57">IFERROR(1/J443*(Y443/H443),"0")</f>
        <v>0.24038461538461539</v>
      </c>
    </row>
    <row r="444" spans="1:68" ht="27" customHeight="1" x14ac:dyDescent="0.25">
      <c r="A444" s="60" t="s">
        <v>680</v>
      </c>
      <c r="B444" s="60" t="s">
        <v>681</v>
      </c>
      <c r="C444" s="34">
        <v>4301031350</v>
      </c>
      <c r="D444" s="549">
        <v>4680115883093</v>
      </c>
      <c r="E444" s="550"/>
      <c r="F444" s="59">
        <v>0.88</v>
      </c>
      <c r="G444" s="35">
        <v>6</v>
      </c>
      <c r="H444" s="59">
        <v>5.28</v>
      </c>
      <c r="I444" s="59">
        <v>5.63</v>
      </c>
      <c r="J444" s="35">
        <v>104</v>
      </c>
      <c r="K444" s="35" t="s">
        <v>108</v>
      </c>
      <c r="L444" s="35" t="s">
        <v>109</v>
      </c>
      <c r="M444" s="36" t="s">
        <v>68</v>
      </c>
      <c r="N444" s="36"/>
      <c r="O444" s="35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7"/>
      <c r="V444" s="37"/>
      <c r="W444" s="38" t="s">
        <v>70</v>
      </c>
      <c r="X444" s="56">
        <v>160</v>
      </c>
      <c r="Y444" s="53">
        <f t="shared" si="53"/>
        <v>163.68</v>
      </c>
      <c r="Z444" s="39">
        <f>IFERROR(IF(Y444=0,"",ROUNDUP(Y444/H444,0)*0.01196),"")</f>
        <v>0.37075999999999998</v>
      </c>
      <c r="AA444" s="65"/>
      <c r="AB444" s="66"/>
      <c r="AC444" s="507" t="s">
        <v>682</v>
      </c>
      <c r="AG444" s="75"/>
      <c r="AJ444" s="79" t="s">
        <v>94</v>
      </c>
      <c r="AK444" s="79">
        <v>42.24</v>
      </c>
      <c r="BB444" s="508" t="s">
        <v>1</v>
      </c>
      <c r="BM444" s="75">
        <f t="shared" si="54"/>
        <v>170.60606060606059</v>
      </c>
      <c r="BN444" s="75">
        <f t="shared" si="55"/>
        <v>174.53</v>
      </c>
      <c r="BO444" s="75">
        <f t="shared" si="56"/>
        <v>0.29137529137529139</v>
      </c>
      <c r="BP444" s="75">
        <f t="shared" si="57"/>
        <v>0.29807692307692307</v>
      </c>
    </row>
    <row r="445" spans="1:68" ht="27" customHeight="1" x14ac:dyDescent="0.25">
      <c r="A445" s="60" t="s">
        <v>683</v>
      </c>
      <c r="B445" s="60" t="s">
        <v>684</v>
      </c>
      <c r="C445" s="34">
        <v>4301031353</v>
      </c>
      <c r="D445" s="549">
        <v>4680115883109</v>
      </c>
      <c r="E445" s="550"/>
      <c r="F445" s="59">
        <v>0.88</v>
      </c>
      <c r="G445" s="35">
        <v>6</v>
      </c>
      <c r="H445" s="59">
        <v>5.28</v>
      </c>
      <c r="I445" s="59">
        <v>5.63</v>
      </c>
      <c r="J445" s="35">
        <v>104</v>
      </c>
      <c r="K445" s="35" t="s">
        <v>108</v>
      </c>
      <c r="L445" s="35" t="s">
        <v>109</v>
      </c>
      <c r="M445" s="36" t="s">
        <v>68</v>
      </c>
      <c r="N445" s="36"/>
      <c r="O445" s="35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7"/>
      <c r="V445" s="37"/>
      <c r="W445" s="38" t="s">
        <v>70</v>
      </c>
      <c r="X445" s="56">
        <v>260</v>
      </c>
      <c r="Y445" s="53">
        <f t="shared" si="53"/>
        <v>264</v>
      </c>
      <c r="Z445" s="39">
        <f>IFERROR(IF(Y445=0,"",ROUNDUP(Y445/H445,0)*0.01196),"")</f>
        <v>0.59799999999999998</v>
      </c>
      <c r="AA445" s="65"/>
      <c r="AB445" s="66"/>
      <c r="AC445" s="509" t="s">
        <v>685</v>
      </c>
      <c r="AG445" s="75"/>
      <c r="AJ445" s="79" t="s">
        <v>94</v>
      </c>
      <c r="AK445" s="79">
        <v>42.24</v>
      </c>
      <c r="BB445" s="510" t="s">
        <v>1</v>
      </c>
      <c r="BM445" s="75">
        <f t="shared" si="54"/>
        <v>277.23484848484844</v>
      </c>
      <c r="BN445" s="75">
        <f t="shared" si="55"/>
        <v>281.5</v>
      </c>
      <c r="BO445" s="75">
        <f t="shared" si="56"/>
        <v>0.47348484848484851</v>
      </c>
      <c r="BP445" s="75">
        <f t="shared" si="57"/>
        <v>0.48076923076923078</v>
      </c>
    </row>
    <row r="446" spans="1:68" ht="27" customHeight="1" x14ac:dyDescent="0.25">
      <c r="A446" s="60" t="s">
        <v>686</v>
      </c>
      <c r="B446" s="60" t="s">
        <v>687</v>
      </c>
      <c r="C446" s="34">
        <v>4301031419</v>
      </c>
      <c r="D446" s="549">
        <v>4680115882072</v>
      </c>
      <c r="E446" s="550"/>
      <c r="F446" s="59">
        <v>0.6</v>
      </c>
      <c r="G446" s="35">
        <v>8</v>
      </c>
      <c r="H446" s="59">
        <v>4.8</v>
      </c>
      <c r="I446" s="59">
        <v>6.91</v>
      </c>
      <c r="J446" s="35">
        <v>132</v>
      </c>
      <c r="K446" s="35" t="s">
        <v>114</v>
      </c>
      <c r="L446" s="35"/>
      <c r="M446" s="36" t="s">
        <v>110</v>
      </c>
      <c r="N446" s="36"/>
      <c r="O446" s="35">
        <v>70</v>
      </c>
      <c r="P446" s="7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7"/>
      <c r="V446" s="37"/>
      <c r="W446" s="38" t="s">
        <v>70</v>
      </c>
      <c r="X446" s="56">
        <v>0</v>
      </c>
      <c r="Y446" s="53">
        <f t="shared" si="53"/>
        <v>0</v>
      </c>
      <c r="Z446" s="39" t="str">
        <f>IFERROR(IF(Y446=0,"",ROUNDUP(Y446/H446,0)*0.00902),"")</f>
        <v/>
      </c>
      <c r="AA446" s="65"/>
      <c r="AB446" s="66"/>
      <c r="AC446" s="511" t="s">
        <v>679</v>
      </c>
      <c r="AG446" s="75"/>
      <c r="AJ446" s="79"/>
      <c r="AK446" s="79">
        <v>0</v>
      </c>
      <c r="BB446" s="512" t="s">
        <v>1</v>
      </c>
      <c r="BM446" s="75">
        <f t="shared" si="54"/>
        <v>0</v>
      </c>
      <c r="BN446" s="75">
        <f t="shared" si="55"/>
        <v>0</v>
      </c>
      <c r="BO446" s="75">
        <f t="shared" si="56"/>
        <v>0</v>
      </c>
      <c r="BP446" s="75">
        <f t="shared" si="57"/>
        <v>0</v>
      </c>
    </row>
    <row r="447" spans="1:68" ht="27" customHeight="1" x14ac:dyDescent="0.25">
      <c r="A447" s="60" t="s">
        <v>688</v>
      </c>
      <c r="B447" s="60" t="s">
        <v>689</v>
      </c>
      <c r="C447" s="34">
        <v>4301031418</v>
      </c>
      <c r="D447" s="549">
        <v>4680115882102</v>
      </c>
      <c r="E447" s="550"/>
      <c r="F447" s="59">
        <v>0.6</v>
      </c>
      <c r="G447" s="35">
        <v>8</v>
      </c>
      <c r="H447" s="59">
        <v>4.8</v>
      </c>
      <c r="I447" s="59">
        <v>6.67</v>
      </c>
      <c r="J447" s="35">
        <v>132</v>
      </c>
      <c r="K447" s="35" t="s">
        <v>114</v>
      </c>
      <c r="L447" s="35"/>
      <c r="M447" s="36" t="s">
        <v>68</v>
      </c>
      <c r="N447" s="36"/>
      <c r="O447" s="35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7"/>
      <c r="V447" s="37"/>
      <c r="W447" s="38" t="s">
        <v>70</v>
      </c>
      <c r="X447" s="56">
        <v>0</v>
      </c>
      <c r="Y447" s="53">
        <f t="shared" si="53"/>
        <v>0</v>
      </c>
      <c r="Z447" s="39" t="str">
        <f>IFERROR(IF(Y447=0,"",ROUNDUP(Y447/H447,0)*0.00902),"")</f>
        <v/>
      </c>
      <c r="AA447" s="65"/>
      <c r="AB447" s="66"/>
      <c r="AC447" s="513" t="s">
        <v>682</v>
      </c>
      <c r="AG447" s="75"/>
      <c r="AJ447" s="79"/>
      <c r="AK447" s="79">
        <v>0</v>
      </c>
      <c r="BB447" s="514" t="s">
        <v>1</v>
      </c>
      <c r="BM447" s="75">
        <f t="shared" si="54"/>
        <v>0</v>
      </c>
      <c r="BN447" s="75">
        <f t="shared" si="55"/>
        <v>0</v>
      </c>
      <c r="BO447" s="75">
        <f t="shared" si="56"/>
        <v>0</v>
      </c>
      <c r="BP447" s="75">
        <f t="shared" si="57"/>
        <v>0</v>
      </c>
    </row>
    <row r="448" spans="1:68" ht="27" customHeight="1" x14ac:dyDescent="0.25">
      <c r="A448" s="60" t="s">
        <v>690</v>
      </c>
      <c r="B448" s="60" t="s">
        <v>691</v>
      </c>
      <c r="C448" s="34">
        <v>4301031417</v>
      </c>
      <c r="D448" s="549">
        <v>4680115882096</v>
      </c>
      <c r="E448" s="550"/>
      <c r="F448" s="59">
        <v>0.6</v>
      </c>
      <c r="G448" s="35">
        <v>8</v>
      </c>
      <c r="H448" s="59">
        <v>4.8</v>
      </c>
      <c r="I448" s="59">
        <v>6.67</v>
      </c>
      <c r="J448" s="35">
        <v>132</v>
      </c>
      <c r="K448" s="35" t="s">
        <v>114</v>
      </c>
      <c r="L448" s="35"/>
      <c r="M448" s="36" t="s">
        <v>68</v>
      </c>
      <c r="N448" s="36"/>
      <c r="O448" s="35">
        <v>70</v>
      </c>
      <c r="P448" s="7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7"/>
      <c r="V448" s="37"/>
      <c r="W448" s="38" t="s">
        <v>70</v>
      </c>
      <c r="X448" s="56">
        <v>0</v>
      </c>
      <c r="Y448" s="53">
        <f t="shared" si="53"/>
        <v>0</v>
      </c>
      <c r="Z448" s="39" t="str">
        <f>IFERROR(IF(Y448=0,"",ROUNDUP(Y448/H448,0)*0.00902),"")</f>
        <v/>
      </c>
      <c r="AA448" s="65"/>
      <c r="AB448" s="66"/>
      <c r="AC448" s="515" t="s">
        <v>685</v>
      </c>
      <c r="AG448" s="75"/>
      <c r="AJ448" s="79"/>
      <c r="AK448" s="79">
        <v>0</v>
      </c>
      <c r="BB448" s="516" t="s">
        <v>1</v>
      </c>
      <c r="BM448" s="75">
        <f t="shared" si="54"/>
        <v>0</v>
      </c>
      <c r="BN448" s="75">
        <f t="shared" si="55"/>
        <v>0</v>
      </c>
      <c r="BO448" s="75">
        <f t="shared" si="56"/>
        <v>0</v>
      </c>
      <c r="BP448" s="75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3" t="s">
        <v>76</v>
      </c>
      <c r="Q449" s="564"/>
      <c r="R449" s="564"/>
      <c r="S449" s="564"/>
      <c r="T449" s="564"/>
      <c r="U449" s="564"/>
      <c r="V449" s="565"/>
      <c r="W449" s="40" t="s">
        <v>77</v>
      </c>
      <c r="X449" s="41">
        <f>IFERROR(X443/H443,"0")+IFERROR(X444/H444,"0")+IFERROR(X445/H445,"0")+IFERROR(X446/H446,"0")+IFERROR(X447/H447,"0")+IFERROR(X448/H448,"0")</f>
        <v>104.16666666666666</v>
      </c>
      <c r="Y449" s="41">
        <f>IFERROR(Y443/H443,"0")+IFERROR(Y444/H444,"0")+IFERROR(Y445/H445,"0")+IFERROR(Y446/H446,"0")+IFERROR(Y447/H447,"0")+IFERROR(Y448/H448,"0")</f>
        <v>106</v>
      </c>
      <c r="Z449" s="41">
        <f>IFERROR(IF(Z443="",0,Z443),"0")+IFERROR(IF(Z444="",0,Z444),"0")+IFERROR(IF(Z445="",0,Z445),"0")+IFERROR(IF(Z446="",0,Z446),"0")+IFERROR(IF(Z447="",0,Z447),"0")+IFERROR(IF(Z448="",0,Z448),"0")</f>
        <v>1.26776</v>
      </c>
      <c r="AA449" s="64"/>
      <c r="AB449" s="64"/>
      <c r="AC449" s="64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3" t="s">
        <v>76</v>
      </c>
      <c r="Q450" s="564"/>
      <c r="R450" s="564"/>
      <c r="S450" s="564"/>
      <c r="T450" s="564"/>
      <c r="U450" s="564"/>
      <c r="V450" s="565"/>
      <c r="W450" s="40" t="s">
        <v>70</v>
      </c>
      <c r="X450" s="41">
        <f>IFERROR(SUM(X443:X448),"0")</f>
        <v>550</v>
      </c>
      <c r="Y450" s="41">
        <f>IFERROR(SUM(Y443:Y448),"0")</f>
        <v>559.68000000000006</v>
      </c>
      <c r="Z450" s="40"/>
      <c r="AA450" s="64"/>
      <c r="AB450" s="64"/>
      <c r="AC450" s="64"/>
    </row>
    <row r="451" spans="1:68" ht="14.25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63"/>
      <c r="AB451" s="63"/>
      <c r="AC451" s="63"/>
    </row>
    <row r="452" spans="1:68" ht="16.5" customHeight="1" x14ac:dyDescent="0.25">
      <c r="A452" s="60" t="s">
        <v>692</v>
      </c>
      <c r="B452" s="60" t="s">
        <v>693</v>
      </c>
      <c r="C452" s="34">
        <v>4301051232</v>
      </c>
      <c r="D452" s="549">
        <v>4607091383409</v>
      </c>
      <c r="E452" s="550"/>
      <c r="F452" s="59">
        <v>1.3</v>
      </c>
      <c r="G452" s="35">
        <v>6</v>
      </c>
      <c r="H452" s="59">
        <v>7.8</v>
      </c>
      <c r="I452" s="59">
        <v>8.2759999999999998</v>
      </c>
      <c r="J452" s="35">
        <v>64</v>
      </c>
      <c r="K452" s="35" t="s">
        <v>108</v>
      </c>
      <c r="L452" s="35"/>
      <c r="M452" s="36" t="s">
        <v>81</v>
      </c>
      <c r="N452" s="36"/>
      <c r="O452" s="35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7"/>
      <c r="V452" s="37" t="s">
        <v>694</v>
      </c>
      <c r="W452" s="38" t="s">
        <v>70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/>
      <c r="AB452" s="66"/>
      <c r="AC452" s="517" t="s">
        <v>695</v>
      </c>
      <c r="AG452" s="75"/>
      <c r="AJ452" s="79"/>
      <c r="AK452" s="79">
        <v>0</v>
      </c>
      <c r="BB452" s="518" t="s">
        <v>1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customHeight="1" x14ac:dyDescent="0.25">
      <c r="A453" s="60" t="s">
        <v>696</v>
      </c>
      <c r="B453" s="60" t="s">
        <v>697</v>
      </c>
      <c r="C453" s="34">
        <v>4301051233</v>
      </c>
      <c r="D453" s="549">
        <v>4607091383416</v>
      </c>
      <c r="E453" s="550"/>
      <c r="F453" s="59">
        <v>1.3</v>
      </c>
      <c r="G453" s="35">
        <v>6</v>
      </c>
      <c r="H453" s="59">
        <v>7.8</v>
      </c>
      <c r="I453" s="59">
        <v>8.2759999999999998</v>
      </c>
      <c r="J453" s="35">
        <v>64</v>
      </c>
      <c r="K453" s="35" t="s">
        <v>108</v>
      </c>
      <c r="L453" s="35"/>
      <c r="M453" s="36" t="s">
        <v>81</v>
      </c>
      <c r="N453" s="36"/>
      <c r="O453" s="35">
        <v>45</v>
      </c>
      <c r="P453" s="63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7"/>
      <c r="V453" s="37" t="s">
        <v>694</v>
      </c>
      <c r="W453" s="38" t="s">
        <v>70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/>
      <c r="AB453" s="66"/>
      <c r="AC453" s="519" t="s">
        <v>698</v>
      </c>
      <c r="AG453" s="75"/>
      <c r="AJ453" s="79"/>
      <c r="AK453" s="79">
        <v>0</v>
      </c>
      <c r="BB453" s="520" t="s">
        <v>1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customHeight="1" x14ac:dyDescent="0.25">
      <c r="A454" s="60" t="s">
        <v>699</v>
      </c>
      <c r="B454" s="60" t="s">
        <v>700</v>
      </c>
      <c r="C454" s="34">
        <v>4301051064</v>
      </c>
      <c r="D454" s="549">
        <v>4680115883536</v>
      </c>
      <c r="E454" s="550"/>
      <c r="F454" s="59">
        <v>0.3</v>
      </c>
      <c r="G454" s="35">
        <v>6</v>
      </c>
      <c r="H454" s="59">
        <v>1.8</v>
      </c>
      <c r="I454" s="59">
        <v>2.0459999999999998</v>
      </c>
      <c r="J454" s="35">
        <v>182</v>
      </c>
      <c r="K454" s="35" t="s">
        <v>67</v>
      </c>
      <c r="L454" s="35"/>
      <c r="M454" s="36" t="s">
        <v>81</v>
      </c>
      <c r="N454" s="36"/>
      <c r="O454" s="35">
        <v>45</v>
      </c>
      <c r="P454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7"/>
      <c r="V454" s="37"/>
      <c r="W454" s="38" t="s">
        <v>70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/>
      <c r="AB454" s="66"/>
      <c r="AC454" s="521" t="s">
        <v>701</v>
      </c>
      <c r="AG454" s="75"/>
      <c r="AJ454" s="79"/>
      <c r="AK454" s="79">
        <v>0</v>
      </c>
      <c r="BB454" s="522" t="s">
        <v>1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3" t="s">
        <v>76</v>
      </c>
      <c r="Q455" s="564"/>
      <c r="R455" s="564"/>
      <c r="S455" s="564"/>
      <c r="T455" s="564"/>
      <c r="U455" s="564"/>
      <c r="V455" s="565"/>
      <c r="W455" s="40" t="s">
        <v>77</v>
      </c>
      <c r="X455" s="41">
        <f>IFERROR(X452/H452,"0")+IFERROR(X453/H453,"0")+IFERROR(X454/H454,"0")</f>
        <v>0</v>
      </c>
      <c r="Y455" s="41">
        <f>IFERROR(Y452/H452,"0")+IFERROR(Y453/H453,"0")+IFERROR(Y454/H454,"0")</f>
        <v>0</v>
      </c>
      <c r="Z455" s="41">
        <f>IFERROR(IF(Z452="",0,Z452),"0")+IFERROR(IF(Z453="",0,Z453),"0")+IFERROR(IF(Z454="",0,Z454),"0")</f>
        <v>0</v>
      </c>
      <c r="AA455" s="64"/>
      <c r="AB455" s="64"/>
      <c r="AC455" s="64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3" t="s">
        <v>76</v>
      </c>
      <c r="Q456" s="564"/>
      <c r="R456" s="564"/>
      <c r="S456" s="564"/>
      <c r="T456" s="564"/>
      <c r="U456" s="564"/>
      <c r="V456" s="565"/>
      <c r="W456" s="40" t="s">
        <v>70</v>
      </c>
      <c r="X456" s="41">
        <f>IFERROR(SUM(X452:X454),"0")</f>
        <v>0</v>
      </c>
      <c r="Y456" s="41">
        <f>IFERROR(SUM(Y452:Y454),"0")</f>
        <v>0</v>
      </c>
      <c r="Z456" s="40"/>
      <c r="AA456" s="64"/>
      <c r="AB456" s="64"/>
      <c r="AC456" s="64"/>
    </row>
    <row r="457" spans="1:68" ht="27.75" customHeight="1" x14ac:dyDescent="0.2">
      <c r="A457" s="567" t="s">
        <v>702</v>
      </c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68"/>
      <c r="P457" s="568"/>
      <c r="Q457" s="568"/>
      <c r="R457" s="568"/>
      <c r="S457" s="568"/>
      <c r="T457" s="568"/>
      <c r="U457" s="568"/>
      <c r="V457" s="568"/>
      <c r="W457" s="568"/>
      <c r="X457" s="568"/>
      <c r="Y457" s="568"/>
      <c r="Z457" s="568"/>
      <c r="AA457" s="52"/>
      <c r="AB457" s="52"/>
      <c r="AC457" s="52"/>
    </row>
    <row r="458" spans="1:68" ht="16.5" customHeight="1" x14ac:dyDescent="0.25">
      <c r="A458" s="560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62"/>
      <c r="AB458" s="62"/>
      <c r="AC458" s="62"/>
    </row>
    <row r="459" spans="1:68" ht="14.25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63"/>
      <c r="AB459" s="63"/>
      <c r="AC459" s="63"/>
    </row>
    <row r="460" spans="1:68" ht="27" customHeight="1" x14ac:dyDescent="0.25">
      <c r="A460" s="60" t="s">
        <v>703</v>
      </c>
      <c r="B460" s="60" t="s">
        <v>704</v>
      </c>
      <c r="C460" s="34">
        <v>4301011763</v>
      </c>
      <c r="D460" s="549">
        <v>4640242181011</v>
      </c>
      <c r="E460" s="550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108</v>
      </c>
      <c r="L460" s="35"/>
      <c r="M460" s="36" t="s">
        <v>81</v>
      </c>
      <c r="N460" s="36"/>
      <c r="O460" s="35">
        <v>55</v>
      </c>
      <c r="P460" s="78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7"/>
      <c r="V460" s="37"/>
      <c r="W460" s="38" t="s">
        <v>70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/>
      <c r="AB460" s="66"/>
      <c r="AC460" s="523" t="s">
        <v>705</v>
      </c>
      <c r="AG460" s="75"/>
      <c r="AJ460" s="79"/>
      <c r="AK460" s="79">
        <v>0</v>
      </c>
      <c r="BB460" s="524" t="s">
        <v>1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706</v>
      </c>
      <c r="B461" s="60" t="s">
        <v>707</v>
      </c>
      <c r="C461" s="34">
        <v>4301011585</v>
      </c>
      <c r="D461" s="549">
        <v>4640242180441</v>
      </c>
      <c r="E461" s="550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108</v>
      </c>
      <c r="L461" s="35"/>
      <c r="M461" s="36" t="s">
        <v>110</v>
      </c>
      <c r="N461" s="36"/>
      <c r="O461" s="35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7"/>
      <c r="V461" s="37"/>
      <c r="W461" s="38" t="s">
        <v>70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/>
      <c r="AB461" s="66"/>
      <c r="AC461" s="525" t="s">
        <v>708</v>
      </c>
      <c r="AG461" s="75"/>
      <c r="AJ461" s="79"/>
      <c r="AK461" s="79">
        <v>0</v>
      </c>
      <c r="BB461" s="526" t="s">
        <v>1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709</v>
      </c>
      <c r="B462" s="60" t="s">
        <v>710</v>
      </c>
      <c r="C462" s="34">
        <v>4301011584</v>
      </c>
      <c r="D462" s="549">
        <v>4640242180564</v>
      </c>
      <c r="E462" s="550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108</v>
      </c>
      <c r="L462" s="35" t="s">
        <v>109</v>
      </c>
      <c r="M462" s="36" t="s">
        <v>110</v>
      </c>
      <c r="N462" s="36"/>
      <c r="O462" s="35">
        <v>50</v>
      </c>
      <c r="P462" s="7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7"/>
      <c r="V462" s="37"/>
      <c r="W462" s="38" t="s">
        <v>70</v>
      </c>
      <c r="X462" s="56">
        <v>30</v>
      </c>
      <c r="Y462" s="53">
        <f>IFERROR(IF(X462="",0,CEILING((X462/$H462),1)*$H462),"")</f>
        <v>36</v>
      </c>
      <c r="Z462" s="39">
        <f>IFERROR(IF(Y462=0,"",ROUNDUP(Y462/H462,0)*0.01898),"")</f>
        <v>5.6940000000000004E-2</v>
      </c>
      <c r="AA462" s="65"/>
      <c r="AB462" s="66"/>
      <c r="AC462" s="527" t="s">
        <v>711</v>
      </c>
      <c r="AG462" s="75"/>
      <c r="AJ462" s="79" t="s">
        <v>94</v>
      </c>
      <c r="AK462" s="79">
        <v>96</v>
      </c>
      <c r="BB462" s="528" t="s">
        <v>1</v>
      </c>
      <c r="BM462" s="75">
        <f>IFERROR(X462*I462/H462,"0")</f>
        <v>31.025000000000002</v>
      </c>
      <c r="BN462" s="75">
        <f>IFERROR(Y462*I462/H462,"0")</f>
        <v>37.229999999999997</v>
      </c>
      <c r="BO462" s="75">
        <f>IFERROR(1/J462*(X462/H462),"0")</f>
        <v>3.90625E-2</v>
      </c>
      <c r="BP462" s="75">
        <f>IFERROR(1/J462*(Y462/H462),"0")</f>
        <v>4.6875E-2</v>
      </c>
    </row>
    <row r="463" spans="1:68" ht="27" customHeight="1" x14ac:dyDescent="0.25">
      <c r="A463" s="60" t="s">
        <v>712</v>
      </c>
      <c r="B463" s="60" t="s">
        <v>713</v>
      </c>
      <c r="C463" s="34">
        <v>4301011764</v>
      </c>
      <c r="D463" s="549">
        <v>4640242181189</v>
      </c>
      <c r="E463" s="550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114</v>
      </c>
      <c r="L463" s="35"/>
      <c r="M463" s="36" t="s">
        <v>81</v>
      </c>
      <c r="N463" s="36"/>
      <c r="O463" s="35">
        <v>55</v>
      </c>
      <c r="P463" s="81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7"/>
      <c r="V463" s="37"/>
      <c r="W463" s="38" t="s">
        <v>70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/>
      <c r="AB463" s="66"/>
      <c r="AC463" s="529" t="s">
        <v>705</v>
      </c>
      <c r="AG463" s="75"/>
      <c r="AJ463" s="79"/>
      <c r="AK463" s="79">
        <v>0</v>
      </c>
      <c r="BB463" s="530" t="s">
        <v>1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3" t="s">
        <v>76</v>
      </c>
      <c r="Q464" s="564"/>
      <c r="R464" s="564"/>
      <c r="S464" s="564"/>
      <c r="T464" s="564"/>
      <c r="U464" s="564"/>
      <c r="V464" s="565"/>
      <c r="W464" s="40" t="s">
        <v>77</v>
      </c>
      <c r="X464" s="41">
        <f>IFERROR(X460/H460,"0")+IFERROR(X461/H461,"0")+IFERROR(X462/H462,"0")+IFERROR(X463/H463,"0")</f>
        <v>2.5</v>
      </c>
      <c r="Y464" s="41">
        <f>IFERROR(Y460/H460,"0")+IFERROR(Y461/H461,"0")+IFERROR(Y462/H462,"0")+IFERROR(Y463/H463,"0")</f>
        <v>3</v>
      </c>
      <c r="Z464" s="41">
        <f>IFERROR(IF(Z460="",0,Z460),"0")+IFERROR(IF(Z461="",0,Z461),"0")+IFERROR(IF(Z462="",0,Z462),"0")+IFERROR(IF(Z463="",0,Z463),"0")</f>
        <v>5.6940000000000004E-2</v>
      </c>
      <c r="AA464" s="64"/>
      <c r="AB464" s="64"/>
      <c r="AC464" s="64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3" t="s">
        <v>76</v>
      </c>
      <c r="Q465" s="564"/>
      <c r="R465" s="564"/>
      <c r="S465" s="564"/>
      <c r="T465" s="564"/>
      <c r="U465" s="564"/>
      <c r="V465" s="565"/>
      <c r="W465" s="40" t="s">
        <v>70</v>
      </c>
      <c r="X465" s="41">
        <f>IFERROR(SUM(X460:X463),"0")</f>
        <v>30</v>
      </c>
      <c r="Y465" s="41">
        <f>IFERROR(SUM(Y460:Y463),"0")</f>
        <v>36</v>
      </c>
      <c r="Z465" s="40"/>
      <c r="AA465" s="64"/>
      <c r="AB465" s="64"/>
      <c r="AC465" s="64"/>
    </row>
    <row r="466" spans="1:68" ht="14.25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63"/>
      <c r="AB466" s="63"/>
      <c r="AC466" s="63"/>
    </row>
    <row r="467" spans="1:68" ht="27" customHeight="1" x14ac:dyDescent="0.25">
      <c r="A467" s="60" t="s">
        <v>714</v>
      </c>
      <c r="B467" s="60" t="s">
        <v>715</v>
      </c>
      <c r="C467" s="34">
        <v>4301020400</v>
      </c>
      <c r="D467" s="549">
        <v>4640242180519</v>
      </c>
      <c r="E467" s="550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108</v>
      </c>
      <c r="L467" s="35"/>
      <c r="M467" s="36" t="s">
        <v>110</v>
      </c>
      <c r="N467" s="36"/>
      <c r="O467" s="35">
        <v>50</v>
      </c>
      <c r="P467" s="6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7"/>
      <c r="V467" s="37"/>
      <c r="W467" s="38" t="s">
        <v>70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/>
      <c r="AB467" s="66"/>
      <c r="AC467" s="531" t="s">
        <v>716</v>
      </c>
      <c r="AG467" s="75"/>
      <c r="AJ467" s="79"/>
      <c r="AK467" s="79">
        <v>0</v>
      </c>
      <c r="BB467" s="532" t="s">
        <v>1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customHeight="1" x14ac:dyDescent="0.25">
      <c r="A468" s="60" t="s">
        <v>717</v>
      </c>
      <c r="B468" s="60" t="s">
        <v>718</v>
      </c>
      <c r="C468" s="34">
        <v>4301020260</v>
      </c>
      <c r="D468" s="549">
        <v>4640242180526</v>
      </c>
      <c r="E468" s="550"/>
      <c r="F468" s="59">
        <v>1.8</v>
      </c>
      <c r="G468" s="35">
        <v>6</v>
      </c>
      <c r="H468" s="59">
        <v>10.8</v>
      </c>
      <c r="I468" s="59">
        <v>11.21</v>
      </c>
      <c r="J468" s="35">
        <v>64</v>
      </c>
      <c r="K468" s="35" t="s">
        <v>108</v>
      </c>
      <c r="L468" s="35"/>
      <c r="M468" s="36" t="s">
        <v>110</v>
      </c>
      <c r="N468" s="36"/>
      <c r="O468" s="35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7"/>
      <c r="V468" s="37"/>
      <c r="W468" s="38" t="s">
        <v>70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IFERROR(IF(Y468=0,"",ROUNDUP(Y468/H468,0)*0.01898),"")</f>
        <v/>
      </c>
      <c r="AA468" s="65"/>
      <c r="AB468" s="66"/>
      <c r="AC468" s="533" t="s">
        <v>719</v>
      </c>
      <c r="AG468" s="75"/>
      <c r="AJ468" s="79"/>
      <c r="AK468" s="79">
        <v>0</v>
      </c>
      <c r="BB468" s="534" t="s">
        <v>1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customHeight="1" x14ac:dyDescent="0.25">
      <c r="A469" s="60" t="s">
        <v>720</v>
      </c>
      <c r="B469" s="60" t="s">
        <v>721</v>
      </c>
      <c r="C469" s="34">
        <v>4301020295</v>
      </c>
      <c r="D469" s="549">
        <v>4640242181363</v>
      </c>
      <c r="E469" s="550"/>
      <c r="F469" s="59">
        <v>0.4</v>
      </c>
      <c r="G469" s="35">
        <v>10</v>
      </c>
      <c r="H469" s="59">
        <v>4</v>
      </c>
      <c r="I469" s="59">
        <v>4.1900000000000004</v>
      </c>
      <c r="J469" s="35">
        <v>132</v>
      </c>
      <c r="K469" s="35" t="s">
        <v>114</v>
      </c>
      <c r="L469" s="35"/>
      <c r="M469" s="36" t="s">
        <v>110</v>
      </c>
      <c r="N469" s="36"/>
      <c r="O469" s="35">
        <v>50</v>
      </c>
      <c r="P469" s="68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7"/>
      <c r="V469" s="37"/>
      <c r="W469" s="38" t="s">
        <v>70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IFERROR(IF(Y469=0,"",ROUNDUP(Y469/H469,0)*0.00902),"")</f>
        <v/>
      </c>
      <c r="AA469" s="65"/>
      <c r="AB469" s="66"/>
      <c r="AC469" s="535" t="s">
        <v>722</v>
      </c>
      <c r="AG469" s="75"/>
      <c r="AJ469" s="79"/>
      <c r="AK469" s="79">
        <v>0</v>
      </c>
      <c r="BB469" s="536" t="s">
        <v>1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3" t="s">
        <v>76</v>
      </c>
      <c r="Q470" s="564"/>
      <c r="R470" s="564"/>
      <c r="S470" s="564"/>
      <c r="T470" s="564"/>
      <c r="U470" s="564"/>
      <c r="V470" s="565"/>
      <c r="W470" s="40" t="s">
        <v>77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3" t="s">
        <v>76</v>
      </c>
      <c r="Q471" s="564"/>
      <c r="R471" s="564"/>
      <c r="S471" s="564"/>
      <c r="T471" s="564"/>
      <c r="U471" s="564"/>
      <c r="V471" s="565"/>
      <c r="W471" s="40" t="s">
        <v>70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14.25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63"/>
      <c r="AB472" s="63"/>
      <c r="AC472" s="63"/>
    </row>
    <row r="473" spans="1:68" ht="27" customHeight="1" x14ac:dyDescent="0.25">
      <c r="A473" s="60" t="s">
        <v>723</v>
      </c>
      <c r="B473" s="60" t="s">
        <v>724</v>
      </c>
      <c r="C473" s="34">
        <v>4301031280</v>
      </c>
      <c r="D473" s="549">
        <v>4640242180816</v>
      </c>
      <c r="E473" s="550"/>
      <c r="F473" s="59">
        <v>0.7</v>
      </c>
      <c r="G473" s="35">
        <v>6</v>
      </c>
      <c r="H473" s="59">
        <v>4.2</v>
      </c>
      <c r="I473" s="59">
        <v>4.45</v>
      </c>
      <c r="J473" s="35">
        <v>132</v>
      </c>
      <c r="K473" s="35" t="s">
        <v>114</v>
      </c>
      <c r="L473" s="35" t="s">
        <v>115</v>
      </c>
      <c r="M473" s="36" t="s">
        <v>68</v>
      </c>
      <c r="N473" s="36"/>
      <c r="O473" s="35">
        <v>40</v>
      </c>
      <c r="P473" s="62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7"/>
      <c r="V473" s="37"/>
      <c r="W473" s="38" t="s">
        <v>70</v>
      </c>
      <c r="X473" s="56">
        <v>0</v>
      </c>
      <c r="Y473" s="53">
        <f>IFERROR(IF(X473="",0,CEILING((X473/$H473),1)*$H473),"")</f>
        <v>0</v>
      </c>
      <c r="Z473" s="39" t="str">
        <f>IFERROR(IF(Y473=0,"",ROUNDUP(Y473/H473,0)*0.00902),"")</f>
        <v/>
      </c>
      <c r="AA473" s="65"/>
      <c r="AB473" s="66"/>
      <c r="AC473" s="537" t="s">
        <v>725</v>
      </c>
      <c r="AG473" s="75"/>
      <c r="AJ473" s="79" t="s">
        <v>94</v>
      </c>
      <c r="AK473" s="79">
        <v>50.4</v>
      </c>
      <c r="BB473" s="538" t="s">
        <v>1</v>
      </c>
      <c r="BM473" s="75">
        <f>IFERROR(X473*I473/H473,"0")</f>
        <v>0</v>
      </c>
      <c r="BN473" s="75">
        <f>IFERROR(Y473*I473/H473,"0")</f>
        <v>0</v>
      </c>
      <c r="BO473" s="75">
        <f>IFERROR(1/J473*(X473/H473),"0")</f>
        <v>0</v>
      </c>
      <c r="BP473" s="75">
        <f>IFERROR(1/J473*(Y473/H473),"0")</f>
        <v>0</v>
      </c>
    </row>
    <row r="474" spans="1:68" ht="27" customHeight="1" x14ac:dyDescent="0.25">
      <c r="A474" s="60" t="s">
        <v>726</v>
      </c>
      <c r="B474" s="60" t="s">
        <v>727</v>
      </c>
      <c r="C474" s="34">
        <v>4301031244</v>
      </c>
      <c r="D474" s="549">
        <v>4640242180595</v>
      </c>
      <c r="E474" s="550"/>
      <c r="F474" s="59">
        <v>0.7</v>
      </c>
      <c r="G474" s="35">
        <v>6</v>
      </c>
      <c r="H474" s="59">
        <v>4.2</v>
      </c>
      <c r="I474" s="59">
        <v>4.45</v>
      </c>
      <c r="J474" s="35">
        <v>132</v>
      </c>
      <c r="K474" s="35" t="s">
        <v>114</v>
      </c>
      <c r="L474" s="35" t="s">
        <v>115</v>
      </c>
      <c r="M474" s="36" t="s">
        <v>68</v>
      </c>
      <c r="N474" s="36"/>
      <c r="O474" s="35">
        <v>40</v>
      </c>
      <c r="P474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7"/>
      <c r="V474" s="37"/>
      <c r="W474" s="38" t="s">
        <v>70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IFERROR(IF(Y474=0,"",ROUNDUP(Y474/H474,0)*0.00902),"")</f>
        <v/>
      </c>
      <c r="AA474" s="65"/>
      <c r="AB474" s="66"/>
      <c r="AC474" s="539" t="s">
        <v>728</v>
      </c>
      <c r="AG474" s="75"/>
      <c r="AJ474" s="79" t="s">
        <v>94</v>
      </c>
      <c r="AK474" s="79">
        <v>50.4</v>
      </c>
      <c r="BB474" s="540" t="s">
        <v>1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3" t="s">
        <v>76</v>
      </c>
      <c r="Q475" s="564"/>
      <c r="R475" s="564"/>
      <c r="S475" s="564"/>
      <c r="T475" s="564"/>
      <c r="U475" s="564"/>
      <c r="V475" s="565"/>
      <c r="W475" s="40" t="s">
        <v>77</v>
      </c>
      <c r="X475" s="41">
        <f>IFERROR(X473/H473,"0")+IFERROR(X474/H474,"0")</f>
        <v>0</v>
      </c>
      <c r="Y475" s="41">
        <f>IFERROR(Y473/H473,"0")+IFERROR(Y474/H474,"0")</f>
        <v>0</v>
      </c>
      <c r="Z475" s="41">
        <f>IFERROR(IF(Z473="",0,Z473),"0")+IFERROR(IF(Z474="",0,Z474),"0")</f>
        <v>0</v>
      </c>
      <c r="AA475" s="64"/>
      <c r="AB475" s="64"/>
      <c r="AC475" s="64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3" t="s">
        <v>76</v>
      </c>
      <c r="Q476" s="564"/>
      <c r="R476" s="564"/>
      <c r="S476" s="564"/>
      <c r="T476" s="564"/>
      <c r="U476" s="564"/>
      <c r="V476" s="565"/>
      <c r="W476" s="40" t="s">
        <v>70</v>
      </c>
      <c r="X476" s="41">
        <f>IFERROR(SUM(X473:X474),"0")</f>
        <v>0</v>
      </c>
      <c r="Y476" s="41">
        <f>IFERROR(SUM(Y473:Y474),"0")</f>
        <v>0</v>
      </c>
      <c r="Z476" s="40"/>
      <c r="AA476" s="64"/>
      <c r="AB476" s="64"/>
      <c r="AC476" s="64"/>
    </row>
    <row r="477" spans="1:68" ht="14.25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63"/>
      <c r="AB477" s="63"/>
      <c r="AC477" s="63"/>
    </row>
    <row r="478" spans="1:68" ht="27" customHeight="1" x14ac:dyDescent="0.25">
      <c r="A478" s="60" t="s">
        <v>729</v>
      </c>
      <c r="B478" s="60" t="s">
        <v>730</v>
      </c>
      <c r="C478" s="34">
        <v>4301052046</v>
      </c>
      <c r="D478" s="549">
        <v>4640242180533</v>
      </c>
      <c r="E478" s="550"/>
      <c r="F478" s="59">
        <v>1.5</v>
      </c>
      <c r="G478" s="35">
        <v>6</v>
      </c>
      <c r="H478" s="59">
        <v>9</v>
      </c>
      <c r="I478" s="59">
        <v>9.4939999999999998</v>
      </c>
      <c r="J478" s="35">
        <v>64</v>
      </c>
      <c r="K478" s="35" t="s">
        <v>108</v>
      </c>
      <c r="L478" s="35" t="s">
        <v>109</v>
      </c>
      <c r="M478" s="36" t="s">
        <v>88</v>
      </c>
      <c r="N478" s="36"/>
      <c r="O478" s="35">
        <v>45</v>
      </c>
      <c r="P478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7"/>
      <c r="V478" s="37"/>
      <c r="W478" s="38" t="s">
        <v>70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IFERROR(IF(Y478=0,"",ROUNDUP(Y478/H478,0)*0.01898),"")</f>
        <v/>
      </c>
      <c r="AA478" s="65"/>
      <c r="AB478" s="66"/>
      <c r="AC478" s="541" t="s">
        <v>731</v>
      </c>
      <c r="AG478" s="75"/>
      <c r="AJ478" s="79" t="s">
        <v>94</v>
      </c>
      <c r="AK478" s="79">
        <v>72</v>
      </c>
      <c r="BB478" s="542" t="s">
        <v>1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3" t="s">
        <v>76</v>
      </c>
      <c r="Q479" s="564"/>
      <c r="R479" s="564"/>
      <c r="S479" s="564"/>
      <c r="T479" s="564"/>
      <c r="U479" s="564"/>
      <c r="V479" s="565"/>
      <c r="W479" s="40" t="s">
        <v>77</v>
      </c>
      <c r="X479" s="41">
        <f>IFERROR(X478/H478,"0")</f>
        <v>0</v>
      </c>
      <c r="Y479" s="41">
        <f>IFERROR(Y478/H478,"0")</f>
        <v>0</v>
      </c>
      <c r="Z479" s="41">
        <f>IFERROR(IF(Z478="",0,Z478),"0")</f>
        <v>0</v>
      </c>
      <c r="AA479" s="64"/>
      <c r="AB479" s="64"/>
      <c r="AC479" s="64"/>
    </row>
    <row r="480" spans="1:68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3" t="s">
        <v>76</v>
      </c>
      <c r="Q480" s="564"/>
      <c r="R480" s="564"/>
      <c r="S480" s="564"/>
      <c r="T480" s="564"/>
      <c r="U480" s="564"/>
      <c r="V480" s="565"/>
      <c r="W480" s="40" t="s">
        <v>70</v>
      </c>
      <c r="X480" s="41">
        <f>IFERROR(SUM(X478:X478),"0")</f>
        <v>0</v>
      </c>
      <c r="Y480" s="41">
        <f>IFERROR(SUM(Y478:Y478),"0")</f>
        <v>0</v>
      </c>
      <c r="Z480" s="40"/>
      <c r="AA480" s="64"/>
      <c r="AB480" s="64"/>
      <c r="AC480" s="64"/>
    </row>
    <row r="481" spans="1:68" ht="14.25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63"/>
      <c r="AB481" s="63"/>
      <c r="AC481" s="63"/>
    </row>
    <row r="482" spans="1:68" ht="27" customHeight="1" x14ac:dyDescent="0.25">
      <c r="A482" s="60" t="s">
        <v>732</v>
      </c>
      <c r="B482" s="60" t="s">
        <v>733</v>
      </c>
      <c r="C482" s="34">
        <v>4301060491</v>
      </c>
      <c r="D482" s="549">
        <v>4640242180120</v>
      </c>
      <c r="E482" s="550"/>
      <c r="F482" s="59">
        <v>1.5</v>
      </c>
      <c r="G482" s="35">
        <v>6</v>
      </c>
      <c r="H482" s="59">
        <v>9</v>
      </c>
      <c r="I482" s="59">
        <v>9.41</v>
      </c>
      <c r="J482" s="35">
        <v>64</v>
      </c>
      <c r="K482" s="35" t="s">
        <v>108</v>
      </c>
      <c r="L482" s="35"/>
      <c r="M482" s="36" t="s">
        <v>81</v>
      </c>
      <c r="N482" s="36"/>
      <c r="O482" s="35">
        <v>40</v>
      </c>
      <c r="P482" s="63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7"/>
      <c r="V482" s="37"/>
      <c r="W482" s="38" t="s">
        <v>70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IFERROR(IF(Y482=0,"",ROUNDUP(Y482/H482,0)*0.01898),"")</f>
        <v/>
      </c>
      <c r="AA482" s="65"/>
      <c r="AB482" s="66"/>
      <c r="AC482" s="543" t="s">
        <v>734</v>
      </c>
      <c r="AG482" s="75"/>
      <c r="AJ482" s="79"/>
      <c r="AK482" s="79">
        <v>0</v>
      </c>
      <c r="BB482" s="544" t="s">
        <v>1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t="27" customHeight="1" x14ac:dyDescent="0.25">
      <c r="A483" s="60" t="s">
        <v>735</v>
      </c>
      <c r="B483" s="60" t="s">
        <v>736</v>
      </c>
      <c r="C483" s="34">
        <v>4301060493</v>
      </c>
      <c r="D483" s="549">
        <v>4640242180137</v>
      </c>
      <c r="E483" s="550"/>
      <c r="F483" s="59">
        <v>1.5</v>
      </c>
      <c r="G483" s="35">
        <v>6</v>
      </c>
      <c r="H483" s="59">
        <v>9</v>
      </c>
      <c r="I483" s="59">
        <v>9.41</v>
      </c>
      <c r="J483" s="35">
        <v>64</v>
      </c>
      <c r="K483" s="35" t="s">
        <v>108</v>
      </c>
      <c r="L483" s="35"/>
      <c r="M483" s="36" t="s">
        <v>81</v>
      </c>
      <c r="N483" s="36"/>
      <c r="O483" s="35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7"/>
      <c r="V483" s="37"/>
      <c r="W483" s="38" t="s">
        <v>70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IFERROR(IF(Y483=0,"",ROUNDUP(Y483/H483,0)*0.01898),"")</f>
        <v/>
      </c>
      <c r="AA483" s="65"/>
      <c r="AB483" s="66"/>
      <c r="AC483" s="545" t="s">
        <v>737</v>
      </c>
      <c r="AG483" s="75"/>
      <c r="AJ483" s="79"/>
      <c r="AK483" s="79">
        <v>0</v>
      </c>
      <c r="BB483" s="546" t="s">
        <v>1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3" t="s">
        <v>76</v>
      </c>
      <c r="Q484" s="564"/>
      <c r="R484" s="564"/>
      <c r="S484" s="564"/>
      <c r="T484" s="564"/>
      <c r="U484" s="564"/>
      <c r="V484" s="565"/>
      <c r="W484" s="40" t="s">
        <v>77</v>
      </c>
      <c r="X484" s="41">
        <f>IFERROR(X482/H482,"0")+IFERROR(X483/H483,"0")</f>
        <v>0</v>
      </c>
      <c r="Y484" s="41">
        <f>IFERROR(Y482/H482,"0")+IFERROR(Y483/H483,"0")</f>
        <v>0</v>
      </c>
      <c r="Z484" s="41">
        <f>IFERROR(IF(Z482="",0,Z482),"0")+IFERROR(IF(Z483="",0,Z483),"0")</f>
        <v>0</v>
      </c>
      <c r="AA484" s="64"/>
      <c r="AB484" s="64"/>
      <c r="AC484" s="64"/>
    </row>
    <row r="485" spans="1:68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3" t="s">
        <v>76</v>
      </c>
      <c r="Q485" s="564"/>
      <c r="R485" s="564"/>
      <c r="S485" s="564"/>
      <c r="T485" s="564"/>
      <c r="U485" s="564"/>
      <c r="V485" s="565"/>
      <c r="W485" s="40" t="s">
        <v>70</v>
      </c>
      <c r="X485" s="41">
        <f>IFERROR(SUM(X482:X483),"0")</f>
        <v>0</v>
      </c>
      <c r="Y485" s="41">
        <f>IFERROR(SUM(Y482:Y483),"0")</f>
        <v>0</v>
      </c>
      <c r="Z485" s="40"/>
      <c r="AA485" s="64"/>
      <c r="AB485" s="64"/>
      <c r="AC485" s="64"/>
    </row>
    <row r="486" spans="1:68" ht="16.5" customHeight="1" x14ac:dyDescent="0.25">
      <c r="A486" s="560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62"/>
      <c r="AB486" s="62"/>
      <c r="AC486" s="62"/>
    </row>
    <row r="487" spans="1:68" ht="14.25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63"/>
      <c r="AB487" s="63"/>
      <c r="AC487" s="63"/>
    </row>
    <row r="488" spans="1:68" ht="27" customHeight="1" x14ac:dyDescent="0.25">
      <c r="A488" s="60" t="s">
        <v>739</v>
      </c>
      <c r="B488" s="60" t="s">
        <v>740</v>
      </c>
      <c r="C488" s="34">
        <v>4301020314</v>
      </c>
      <c r="D488" s="549">
        <v>4640242180090</v>
      </c>
      <c r="E488" s="550"/>
      <c r="F488" s="59">
        <v>1.5</v>
      </c>
      <c r="G488" s="35">
        <v>8</v>
      </c>
      <c r="H488" s="59">
        <v>12</v>
      </c>
      <c r="I488" s="59">
        <v>12.41</v>
      </c>
      <c r="J488" s="35">
        <v>64</v>
      </c>
      <c r="K488" s="35" t="s">
        <v>108</v>
      </c>
      <c r="L488" s="35"/>
      <c r="M488" s="36" t="s">
        <v>110</v>
      </c>
      <c r="N488" s="36"/>
      <c r="O488" s="35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7"/>
      <c r="V488" s="37"/>
      <c r="W488" s="38" t="s">
        <v>70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IFERROR(IF(Y488=0,"",ROUNDUP(Y488/H488,0)*0.01898),"")</f>
        <v/>
      </c>
      <c r="AA488" s="65"/>
      <c r="AB488" s="66"/>
      <c r="AC488" s="547" t="s">
        <v>741</v>
      </c>
      <c r="AG488" s="75"/>
      <c r="AJ488" s="79"/>
      <c r="AK488" s="79">
        <v>0</v>
      </c>
      <c r="BB488" s="548" t="s">
        <v>1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3" t="s">
        <v>76</v>
      </c>
      <c r="Q489" s="564"/>
      <c r="R489" s="564"/>
      <c r="S489" s="564"/>
      <c r="T489" s="564"/>
      <c r="U489" s="564"/>
      <c r="V489" s="565"/>
      <c r="W489" s="40" t="s">
        <v>77</v>
      </c>
      <c r="X489" s="41">
        <f>IFERROR(X488/H488,"0")</f>
        <v>0</v>
      </c>
      <c r="Y489" s="41">
        <f>IFERROR(Y488/H488,"0")</f>
        <v>0</v>
      </c>
      <c r="Z489" s="41">
        <f>IFERROR(IF(Z488="",0,Z488),"0")</f>
        <v>0</v>
      </c>
      <c r="AA489" s="64"/>
      <c r="AB489" s="64"/>
      <c r="AC489" s="64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3" t="s">
        <v>76</v>
      </c>
      <c r="Q490" s="564"/>
      <c r="R490" s="564"/>
      <c r="S490" s="564"/>
      <c r="T490" s="564"/>
      <c r="U490" s="564"/>
      <c r="V490" s="565"/>
      <c r="W490" s="40" t="s">
        <v>70</v>
      </c>
      <c r="X490" s="41">
        <f>IFERROR(SUM(X488:X488),"0")</f>
        <v>0</v>
      </c>
      <c r="Y490" s="41">
        <f>IFERROR(SUM(Y488:Y488),"0")</f>
        <v>0</v>
      </c>
      <c r="Z490" s="40"/>
      <c r="AA490" s="64"/>
      <c r="AB490" s="64"/>
      <c r="AC490" s="64"/>
    </row>
    <row r="491" spans="1:68" ht="15" customHeight="1" x14ac:dyDescent="0.2">
      <c r="A491" s="852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86" t="s">
        <v>742</v>
      </c>
      <c r="Q491" s="672"/>
      <c r="R491" s="672"/>
      <c r="S491" s="672"/>
      <c r="T491" s="672"/>
      <c r="U491" s="672"/>
      <c r="V491" s="673"/>
      <c r="W491" s="40" t="s">
        <v>70</v>
      </c>
      <c r="X491" s="41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17929</v>
      </c>
      <c r="Y491" s="41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18093.02</v>
      </c>
      <c r="Z491" s="40"/>
      <c r="AA491" s="64"/>
      <c r="AB491" s="64"/>
      <c r="AC491" s="64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86" t="s">
        <v>743</v>
      </c>
      <c r="Q492" s="672"/>
      <c r="R492" s="672"/>
      <c r="S492" s="672"/>
      <c r="T492" s="672"/>
      <c r="U492" s="672"/>
      <c r="V492" s="673"/>
      <c r="W492" s="40" t="s">
        <v>70</v>
      </c>
      <c r="X492" s="41">
        <f>IFERROR(SUM(BM22:BM488),"0")</f>
        <v>18743.49605435026</v>
      </c>
      <c r="Y492" s="41">
        <f>IFERROR(SUM(BN22:BN488),"0")</f>
        <v>18915.281999999999</v>
      </c>
      <c r="Z492" s="40"/>
      <c r="AA492" s="64"/>
      <c r="AB492" s="64"/>
      <c r="AC492" s="64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86" t="s">
        <v>744</v>
      </c>
      <c r="Q493" s="672"/>
      <c r="R493" s="672"/>
      <c r="S493" s="672"/>
      <c r="T493" s="672"/>
      <c r="U493" s="672"/>
      <c r="V493" s="673"/>
      <c r="W493" s="40" t="s">
        <v>745</v>
      </c>
      <c r="X493" s="42">
        <f>ROUNDUP(SUM(BO22:BO488),0)</f>
        <v>29</v>
      </c>
      <c r="Y493" s="42">
        <f>ROUNDUP(SUM(BP22:BP488),0)</f>
        <v>29</v>
      </c>
      <c r="Z493" s="40"/>
      <c r="AA493" s="64"/>
      <c r="AB493" s="64"/>
      <c r="AC493" s="64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7"/>
      <c r="P494" s="686" t="s">
        <v>746</v>
      </c>
      <c r="Q494" s="672"/>
      <c r="R494" s="672"/>
      <c r="S494" s="672"/>
      <c r="T494" s="672"/>
      <c r="U494" s="672"/>
      <c r="V494" s="673"/>
      <c r="W494" s="40" t="s">
        <v>70</v>
      </c>
      <c r="X494" s="41">
        <f>GrossWeightTotal+PalletQtyTotal*25</f>
        <v>19468.49605435026</v>
      </c>
      <c r="Y494" s="41">
        <f>GrossWeightTotalR+PalletQtyTotalR*25</f>
        <v>19640.281999999999</v>
      </c>
      <c r="Z494" s="40"/>
      <c r="AA494" s="64"/>
      <c r="AB494" s="64"/>
      <c r="AC494" s="64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7"/>
      <c r="P495" s="686" t="s">
        <v>747</v>
      </c>
      <c r="Q495" s="672"/>
      <c r="R495" s="672"/>
      <c r="S495" s="672"/>
      <c r="T495" s="672"/>
      <c r="U495" s="672"/>
      <c r="V495" s="673"/>
      <c r="W495" s="40" t="s">
        <v>745</v>
      </c>
      <c r="X495" s="41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2130.0113160835094</v>
      </c>
      <c r="Y495" s="41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2152</v>
      </c>
      <c r="Z495" s="40"/>
      <c r="AA495" s="64"/>
      <c r="AB495" s="64"/>
      <c r="AC495" s="64"/>
    </row>
    <row r="496" spans="1:68" ht="14.25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7"/>
      <c r="P496" s="686" t="s">
        <v>748</v>
      </c>
      <c r="Q496" s="672"/>
      <c r="R496" s="672"/>
      <c r="S496" s="672"/>
      <c r="T496" s="672"/>
      <c r="U496" s="672"/>
      <c r="V496" s="673"/>
      <c r="W496" s="43" t="s">
        <v>749</v>
      </c>
      <c r="X496" s="40"/>
      <c r="Y496" s="40"/>
      <c r="Z496" s="40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33.769010000000002</v>
      </c>
      <c r="AA496" s="64"/>
      <c r="AB496" s="64"/>
      <c r="AC496" s="64"/>
    </row>
    <row r="497" spans="1:32" ht="13.5" customHeight="1" thickBot="1" x14ac:dyDescent="0.25"/>
    <row r="498" spans="1:32" ht="27" customHeight="1" thickTop="1" thickBot="1" x14ac:dyDescent="0.25">
      <c r="A498" s="44" t="s">
        <v>750</v>
      </c>
      <c r="B498" s="80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80" t="s">
        <v>639</v>
      </c>
      <c r="Y498" s="578" t="s">
        <v>702</v>
      </c>
      <c r="Z498" s="580"/>
      <c r="AB498" s="9"/>
      <c r="AC498" s="9"/>
      <c r="AF498" s="1"/>
    </row>
    <row r="499" spans="1:32" ht="14.25" customHeight="1" thickTop="1" x14ac:dyDescent="0.2">
      <c r="A499" s="853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1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9"/>
      <c r="AC499" s="9"/>
      <c r="AF499" s="1"/>
    </row>
    <row r="500" spans="1:32" ht="13.5" customHeight="1" thickBot="1" x14ac:dyDescent="0.25">
      <c r="A500" s="854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1"/>
      <c r="O500" s="593"/>
      <c r="P500" s="593"/>
      <c r="Q500" s="593"/>
      <c r="R500" s="593"/>
      <c r="S500" s="593"/>
      <c r="T500" s="593"/>
      <c r="U500" s="593"/>
      <c r="V500" s="593"/>
      <c r="W500" s="593"/>
      <c r="X500" s="593"/>
      <c r="Y500" s="593"/>
      <c r="Z500" s="593"/>
      <c r="AB500" s="9"/>
      <c r="AC500" s="9"/>
      <c r="AF500" s="1"/>
    </row>
    <row r="501" spans="1:32" ht="18" customHeight="1" thickTop="1" thickBot="1" x14ac:dyDescent="0.25">
      <c r="A501" s="44" t="s">
        <v>752</v>
      </c>
      <c r="B501" s="50">
        <f>IFERROR(Y22*1,"0")+IFERROR(Y23*1,"0")+IFERROR(Y27*1,"0")+IFERROR(Y28*1,"0")+IFERROR(Y29*1,"0")+IFERROR(Y30*1,"0")+IFERROR(Y31*1,"0")+IFERROR(Y35*1,"0")</f>
        <v>0</v>
      </c>
      <c r="C501" s="50">
        <f>IFERROR(Y41*1,"0")+IFERROR(Y42*1,"0")+IFERROR(Y43*1,"0")+IFERROR(Y47*1,"0")</f>
        <v>2635.2000000000003</v>
      </c>
      <c r="D501" s="50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768.80000000000007</v>
      </c>
      <c r="E501" s="50">
        <f>IFERROR(Y86*1,"0")+IFERROR(Y87*1,"0")+IFERROR(Y88*1,"0")+IFERROR(Y92*1,"0")+IFERROR(Y93*1,"0")+IFERROR(Y94*1,"0")+IFERROR(Y95*1,"0")</f>
        <v>850.5</v>
      </c>
      <c r="F501" s="50">
        <f>IFERROR(Y100*1,"0")+IFERROR(Y101*1,"0")+IFERROR(Y102*1,"0")+IFERROR(Y103*1,"0")+IFERROR(Y107*1,"0")+IFERROR(Y108*1,"0")+IFERROR(Y109*1,"0")+IFERROR(Y113*1,"0")+IFERROR(Y114*1,"0")+IFERROR(Y115*1,"0")+IFERROR(Y116*1,"0")+IFERROR(Y120*1,"0")</f>
        <v>1719.8999999999999</v>
      </c>
      <c r="G501" s="50">
        <f>IFERROR(Y125*1,"0")+IFERROR(Y126*1,"0")+IFERROR(Y130*1,"0")+IFERROR(Y131*1,"0")+IFERROR(Y135*1,"0")+IFERROR(Y136*1,"0")</f>
        <v>0</v>
      </c>
      <c r="H501" s="50">
        <f>IFERROR(Y141*1,"0")+IFERROR(Y142*1,"0")+IFERROR(Y146*1,"0")+IFERROR(Y147*1,"0")+IFERROR(Y148*1,"0")+IFERROR(Y152*1,"0")</f>
        <v>144</v>
      </c>
      <c r="I501" s="50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302.40000000000003</v>
      </c>
      <c r="J501" s="50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1579.7999999999997</v>
      </c>
      <c r="K501" s="50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50">
        <f>IFERROR(Y255*1,"0")+IFERROR(Y256*1,"0")+IFERROR(Y257*1,"0")+IFERROR(Y258*1,"0")+IFERROR(Y259*1,"0")</f>
        <v>97.2</v>
      </c>
      <c r="M501" s="50">
        <f>IFERROR(Y264*1,"0")+IFERROR(Y265*1,"0")+IFERROR(Y266*1,"0")+IFERROR(Y267*1,"0")</f>
        <v>0</v>
      </c>
      <c r="N501" s="1"/>
      <c r="O501" s="50">
        <f>IFERROR(Y272*1,"0")+IFERROR(Y273*1,"0")+IFERROR(Y274*1,"0")</f>
        <v>0</v>
      </c>
      <c r="P501" s="50">
        <f>IFERROR(Y279*1,"0")+IFERROR(Y280*1,"0")+IFERROR(Y284*1,"0")+IFERROR(Y285*1,"0")</f>
        <v>0</v>
      </c>
      <c r="Q501" s="50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607.20000000000005</v>
      </c>
      <c r="R501" s="50">
        <f>IFERROR(Y335*1,"0")+IFERROR(Y336*1,"0")+IFERROR(Y337*1,"0")</f>
        <v>111.89999999999999</v>
      </c>
      <c r="S501" s="50">
        <f>IFERROR(Y343*1,"0")+IFERROR(Y344*1,"0")+IFERROR(Y345*1,"0")+IFERROR(Y346*1,"0")+IFERROR(Y347*1,"0")+IFERROR(Y348*1,"0")+IFERROR(Y349*1,"0")+IFERROR(Y353*1,"0")+IFERROR(Y354*1,"0")+IFERROR(Y358*1,"0")+IFERROR(Y359*1,"0")+IFERROR(Y363*1,"0")</f>
        <v>5517</v>
      </c>
      <c r="T501" s="50">
        <f>IFERROR(Y368*1,"0")+IFERROR(Y369*1,"0")+IFERROR(Y373*1,"0")+IFERROR(Y374*1,"0")+IFERROR(Y378*1,"0")+IFERROR(Y379*1,"0")+IFERROR(Y380*1,"0")</f>
        <v>1132.56</v>
      </c>
      <c r="U501" s="50">
        <f>IFERROR(Y386*1,"0")+IFERROR(Y387*1,"0")+IFERROR(Y388*1,"0")+IFERROR(Y389*1,"0")+IFERROR(Y390*1,"0")+IFERROR(Y391*1,"0")+IFERROR(Y392*1,"0")+IFERROR(Y393*1,"0")+IFERROR(Y394*1,"0")+IFERROR(Y398*1,"0")+IFERROR(Y399*1,"0")</f>
        <v>356.40000000000003</v>
      </c>
      <c r="V501" s="50">
        <f>IFERROR(Y404*1,"0")+IFERROR(Y408*1,"0")+IFERROR(Y409*1,"0")+IFERROR(Y410*1,"0")+IFERROR(Y411*1,"0")</f>
        <v>270</v>
      </c>
      <c r="W501" s="50">
        <f>IFERROR(Y416*1,"0")</f>
        <v>0</v>
      </c>
      <c r="X501" s="50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1964.16</v>
      </c>
      <c r="Y501" s="50">
        <f>IFERROR(Y460*1,"0")+IFERROR(Y461*1,"0")+IFERROR(Y462*1,"0")+IFERROR(Y463*1,"0")+IFERROR(Y467*1,"0")+IFERROR(Y468*1,"0")+IFERROR(Y469*1,"0")+IFERROR(Y473*1,"0")+IFERROR(Y474*1,"0")+IFERROR(Y478*1,"0")+IFERROR(Y482*1,"0")+IFERROR(Y483*1,"0")</f>
        <v>36</v>
      </c>
      <c r="Z501" s="50">
        <f>IFERROR(Y488*1,"0")</f>
        <v>0</v>
      </c>
      <c r="AB501" s="9"/>
      <c r="AC501" s="9"/>
      <c r="AF501" s="1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P196:T196"/>
    <mergeCell ref="A185:Z185"/>
    <mergeCell ref="P287:V287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A340:Z340"/>
    <mergeCell ref="D425:E425"/>
    <mergeCell ref="D359:E359"/>
    <mergeCell ref="A486:Z486"/>
    <mergeCell ref="J9:M9"/>
    <mergeCell ref="A296:O297"/>
    <mergeCell ref="D348:E348"/>
    <mergeCell ref="P141:T141"/>
    <mergeCell ref="D62:E62"/>
    <mergeCell ref="D56:E56"/>
    <mergeCell ref="P448:T448"/>
    <mergeCell ref="P233:T233"/>
    <mergeCell ref="D347:E347"/>
    <mergeCell ref="P304:T304"/>
    <mergeCell ref="D285:E285"/>
    <mergeCell ref="D176:E176"/>
    <mergeCell ref="D114:E114"/>
    <mergeCell ref="P248:T248"/>
    <mergeCell ref="D349:E349"/>
    <mergeCell ref="H17:H18"/>
    <mergeCell ref="P388:T388"/>
    <mergeCell ref="D198:E198"/>
    <mergeCell ref="P275:V275"/>
    <mergeCell ref="P104:V104"/>
    <mergeCell ref="D427:E427"/>
    <mergeCell ref="P27:T27"/>
    <mergeCell ref="D75:E75"/>
    <mergeCell ref="P390:T390"/>
    <mergeCell ref="D61:E61"/>
    <mergeCell ref="A15:M15"/>
    <mergeCell ref="P238:T238"/>
    <mergeCell ref="D346:E346"/>
    <mergeCell ref="P229:T229"/>
    <mergeCell ref="A419:Z419"/>
    <mergeCell ref="A153:O154"/>
    <mergeCell ref="D125:E125"/>
    <mergeCell ref="P446:T446"/>
    <mergeCell ref="A66:Z66"/>
    <mergeCell ref="D181:E181"/>
    <mergeCell ref="A221:O222"/>
    <mergeCell ref="A286:O287"/>
    <mergeCell ref="D273:E273"/>
    <mergeCell ref="P252:V252"/>
    <mergeCell ref="P105:V105"/>
    <mergeCell ref="P212:T212"/>
    <mergeCell ref="D177:E177"/>
    <mergeCell ref="N17:N18"/>
    <mergeCell ref="X17:X18"/>
    <mergeCell ref="P216:V216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P484:V484"/>
    <mergeCell ref="P43:T43"/>
    <mergeCell ref="D328:E328"/>
    <mergeCell ref="P285:T285"/>
    <mergeCell ref="P65:V65"/>
    <mergeCell ref="P434:V434"/>
    <mergeCell ref="A253:Z25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F9:G9"/>
    <mergeCell ref="P53:T53"/>
    <mergeCell ref="D167:E167"/>
    <mergeCell ref="P422:T422"/>
    <mergeCell ref="D232:E232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D52:E52"/>
    <mergeCell ref="P110:V110"/>
    <mergeCell ref="D27:E2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Q12:R12"/>
    <mergeCell ref="P411:T411"/>
    <mergeCell ref="P467:T467"/>
    <mergeCell ref="D388:E388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P15:T16"/>
    <mergeCell ref="A132:O133"/>
    <mergeCell ref="A325:O326"/>
    <mergeCell ref="D116:E116"/>
    <mergeCell ref="A275:O276"/>
    <mergeCell ref="P219:T219"/>
    <mergeCell ref="D162:E162"/>
    <mergeCell ref="P23:T23"/>
    <mergeCell ref="Q9:R9"/>
    <mergeCell ref="D255:E255"/>
    <mergeCell ref="P49:V49"/>
    <mergeCell ref="P36:V36"/>
    <mergeCell ref="P465:V465"/>
    <mergeCell ref="D322:E322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A459:Z459"/>
    <mergeCell ref="P378:T378"/>
    <mergeCell ref="D324:E324"/>
    <mergeCell ref="D311:E311"/>
    <mergeCell ref="D115:E115"/>
    <mergeCell ref="P55:T55"/>
    <mergeCell ref="P417:V417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A26:Z26"/>
    <mergeCell ref="P230:T230"/>
    <mergeCell ref="P59:V59"/>
    <mergeCell ref="D211:E211"/>
    <mergeCell ref="P168:T168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A32:O33"/>
    <mergeCell ref="D290:E290"/>
    <mergeCell ref="D94:E94"/>
    <mergeCell ref="P396:V396"/>
    <mergeCell ref="A395:O396"/>
    <mergeCell ref="P259:T259"/>
    <mergeCell ref="P148:T148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D369:E369"/>
    <mergeCell ref="A182:O183"/>
    <mergeCell ref="P52:T52"/>
    <mergeCell ref="D108:E10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W17:W18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45:V45"/>
    <mergeCell ref="P266:T266"/>
    <mergeCell ref="P95:T95"/>
    <mergeCell ref="P182:V182"/>
    <mergeCell ref="D303:E303"/>
    <mergeCell ref="P453:T453"/>
    <mergeCell ref="P42:T42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A34:Z34"/>
    <mergeCell ref="D410:E410"/>
    <mergeCell ref="A270:Z270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9"/>
    </row>
    <row r="3" spans="2:8" x14ac:dyDescent="0.2">
      <c r="B3" s="51" t="s">
        <v>754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14</v>
      </c>
      <c r="C6" s="51" t="s">
        <v>755</v>
      </c>
      <c r="D6" s="51" t="s">
        <v>756</v>
      </c>
      <c r="E6" s="51"/>
    </row>
    <row r="8" spans="2:8" x14ac:dyDescent="0.2">
      <c r="B8" s="51" t="s">
        <v>19</v>
      </c>
      <c r="C8" s="51" t="s">
        <v>755</v>
      </c>
      <c r="D8" s="51"/>
      <c r="E8" s="51"/>
    </row>
    <row r="10" spans="2:8" x14ac:dyDescent="0.2">
      <c r="B10" s="51" t="s">
        <v>757</v>
      </c>
      <c r="C10" s="51"/>
      <c r="D10" s="51"/>
      <c r="E10" s="51"/>
    </row>
    <row r="11" spans="2:8" x14ac:dyDescent="0.2">
      <c r="B11" s="51" t="s">
        <v>758</v>
      </c>
      <c r="C11" s="51"/>
      <c r="D11" s="51"/>
      <c r="E11" s="51"/>
    </row>
    <row r="12" spans="2:8" x14ac:dyDescent="0.2">
      <c r="B12" s="51" t="s">
        <v>759</v>
      </c>
      <c r="C12" s="51"/>
      <c r="D12" s="51"/>
      <c r="E12" s="51"/>
    </row>
    <row r="13" spans="2:8" x14ac:dyDescent="0.2">
      <c r="B13" s="51" t="s">
        <v>760</v>
      </c>
      <c r="C13" s="51"/>
      <c r="D13" s="51"/>
      <c r="E13" s="51"/>
    </row>
    <row r="14" spans="2:8" x14ac:dyDescent="0.2">
      <c r="B14" s="51" t="s">
        <v>761</v>
      </c>
      <c r="C14" s="51"/>
      <c r="D14" s="51"/>
      <c r="E14" s="51"/>
    </row>
    <row r="15" spans="2:8" x14ac:dyDescent="0.2">
      <c r="B15" s="51" t="s">
        <v>762</v>
      </c>
      <c r="C15" s="51"/>
      <c r="D15" s="51"/>
      <c r="E15" s="51"/>
    </row>
    <row r="16" spans="2:8" x14ac:dyDescent="0.2">
      <c r="B16" s="51" t="s">
        <v>763</v>
      </c>
      <c r="C16" s="51"/>
      <c r="D16" s="51"/>
      <c r="E16" s="51"/>
    </row>
    <row r="17" spans="2:5" x14ac:dyDescent="0.2">
      <c r="B17" s="51" t="s">
        <v>764</v>
      </c>
      <c r="C17" s="51"/>
      <c r="D17" s="51"/>
      <c r="E17" s="51"/>
    </row>
    <row r="18" spans="2:5" x14ac:dyDescent="0.2">
      <c r="B18" s="51" t="s">
        <v>765</v>
      </c>
      <c r="C18" s="51"/>
      <c r="D18" s="51"/>
      <c r="E18" s="51"/>
    </row>
    <row r="19" spans="2:5" x14ac:dyDescent="0.2">
      <c r="B19" s="51" t="s">
        <v>766</v>
      </c>
      <c r="C19" s="51"/>
      <c r="D19" s="51"/>
      <c r="E19" s="51"/>
    </row>
    <row r="20" spans="2:5" x14ac:dyDescent="0.2">
      <c r="B20" s="51" t="s">
        <v>767</v>
      </c>
      <c r="C20" s="51"/>
      <c r="D20" s="51"/>
      <c r="E20" s="51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2025-12-05T19:18:19Z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