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D43F84D-CD4A-4318-9B9F-7440BE7CDF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Заказ!$F$1:$F$399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102" l="1"/>
  <c r="K6" i="102"/>
  <c r="K7" i="102"/>
  <c r="K8" i="102"/>
  <c r="K9" i="102"/>
  <c r="K10" i="102"/>
  <c r="K11" i="102"/>
  <c r="K12" i="102"/>
  <c r="K13" i="102"/>
  <c r="K14" i="102"/>
  <c r="K15" i="102"/>
  <c r="K16" i="102"/>
  <c r="K17" i="102"/>
  <c r="K18" i="102"/>
  <c r="K19" i="102"/>
  <c r="K20" i="102"/>
  <c r="K21" i="102"/>
  <c r="K22" i="102"/>
  <c r="K23" i="102"/>
  <c r="K24" i="102"/>
  <c r="K25" i="102"/>
  <c r="K26" i="102"/>
  <c r="K27" i="102"/>
  <c r="K28" i="102"/>
  <c r="K29" i="102"/>
  <c r="K30" i="102"/>
  <c r="K31" i="102"/>
  <c r="K32" i="102"/>
  <c r="K33" i="102"/>
  <c r="K34" i="102"/>
  <c r="K35" i="102"/>
  <c r="K36" i="102"/>
  <c r="K37" i="102"/>
  <c r="K38" i="102"/>
  <c r="K39" i="102"/>
  <c r="K40" i="102"/>
  <c r="K41" i="102"/>
  <c r="K42" i="102"/>
  <c r="K43" i="102"/>
  <c r="K44" i="102"/>
  <c r="K45" i="102"/>
  <c r="K46" i="102"/>
  <c r="K47" i="102"/>
  <c r="K48" i="102"/>
  <c r="K49" i="102"/>
  <c r="K50" i="102"/>
  <c r="K51" i="102"/>
  <c r="K52" i="102"/>
  <c r="K53" i="102"/>
  <c r="K54" i="102"/>
  <c r="K55" i="102"/>
  <c r="K56" i="102"/>
  <c r="K57" i="102"/>
  <c r="K58" i="102"/>
  <c r="K59" i="102"/>
  <c r="K60" i="102"/>
  <c r="K61" i="102"/>
  <c r="K62" i="102"/>
  <c r="K63" i="102"/>
  <c r="K64" i="102"/>
  <c r="K65" i="102"/>
  <c r="K66" i="102"/>
  <c r="K67" i="102"/>
  <c r="K68" i="102"/>
  <c r="K69" i="102"/>
  <c r="K70" i="102"/>
  <c r="K71" i="102"/>
  <c r="K72" i="102"/>
  <c r="K73" i="102"/>
  <c r="K74" i="102"/>
  <c r="K75" i="102"/>
  <c r="K76" i="102"/>
  <c r="K77" i="102"/>
  <c r="K78" i="102"/>
  <c r="K79" i="102"/>
  <c r="K80" i="102"/>
  <c r="K81" i="102"/>
  <c r="K82" i="102"/>
  <c r="K83" i="102"/>
  <c r="K84" i="102"/>
  <c r="K85" i="102"/>
  <c r="K86" i="102"/>
  <c r="K87" i="102"/>
  <c r="K88" i="102"/>
  <c r="K89" i="102"/>
  <c r="K90" i="102"/>
  <c r="K91" i="102"/>
  <c r="K92" i="102"/>
  <c r="K93" i="102"/>
  <c r="K94" i="102"/>
  <c r="K95" i="102"/>
  <c r="K96" i="102"/>
  <c r="K97" i="102"/>
  <c r="K98" i="102"/>
  <c r="K99" i="102"/>
  <c r="K100" i="102"/>
  <c r="K101" i="102"/>
  <c r="K102" i="102"/>
  <c r="K103" i="102"/>
  <c r="K104" i="102"/>
  <c r="K105" i="102"/>
  <c r="K106" i="102"/>
  <c r="K107" i="102"/>
  <c r="K108" i="102"/>
  <c r="K109" i="102"/>
  <c r="K110" i="102"/>
  <c r="K111" i="102"/>
  <c r="K112" i="102"/>
  <c r="K113" i="102"/>
  <c r="K114" i="102"/>
  <c r="K115" i="102"/>
  <c r="K116" i="102"/>
  <c r="K117" i="102"/>
  <c r="K118" i="102"/>
  <c r="K119" i="102"/>
  <c r="K120" i="102"/>
  <c r="K121" i="102"/>
  <c r="K122" i="102"/>
  <c r="K123" i="102"/>
  <c r="K124" i="102"/>
  <c r="K125" i="102"/>
  <c r="K126" i="102"/>
  <c r="K127" i="102"/>
  <c r="K128" i="102"/>
  <c r="K129" i="102"/>
  <c r="K130" i="102"/>
  <c r="K131" i="102"/>
  <c r="K132" i="102"/>
  <c r="K133" i="102"/>
  <c r="K134" i="102"/>
  <c r="K135" i="102"/>
  <c r="K136" i="102"/>
  <c r="K137" i="102"/>
  <c r="K138" i="102"/>
  <c r="K139" i="102"/>
  <c r="K140" i="102"/>
  <c r="K141" i="102"/>
  <c r="K142" i="102"/>
  <c r="K143" i="102"/>
  <c r="K144" i="102"/>
  <c r="K145" i="102"/>
  <c r="K146" i="102"/>
  <c r="K147" i="102"/>
  <c r="K148" i="102"/>
  <c r="K149" i="102"/>
  <c r="K150" i="102"/>
  <c r="K151" i="102"/>
  <c r="K152" i="102"/>
  <c r="K153" i="102"/>
  <c r="K154" i="102"/>
  <c r="K155" i="102"/>
  <c r="K156" i="102"/>
  <c r="K157" i="102"/>
  <c r="K158" i="102"/>
  <c r="K159" i="102"/>
  <c r="K160" i="102"/>
  <c r="K161" i="102"/>
  <c r="K162" i="102"/>
  <c r="K163" i="102"/>
  <c r="K164" i="102"/>
  <c r="K165" i="102"/>
  <c r="K166" i="102"/>
  <c r="K167" i="102"/>
  <c r="K168" i="102"/>
  <c r="K169" i="102"/>
  <c r="K170" i="102"/>
  <c r="K171" i="102"/>
  <c r="K172" i="102"/>
  <c r="K173" i="102"/>
  <c r="K174" i="102"/>
  <c r="K175" i="102"/>
  <c r="K176" i="102"/>
  <c r="K177" i="102"/>
  <c r="K4" i="102"/>
  <c r="I5" i="102"/>
  <c r="I6" i="102"/>
  <c r="I7" i="102"/>
  <c r="I8" i="102"/>
  <c r="I9" i="102"/>
  <c r="I10" i="102"/>
  <c r="I11" i="102"/>
  <c r="I12" i="102"/>
  <c r="I13" i="102"/>
  <c r="I14" i="102"/>
  <c r="I15" i="102"/>
  <c r="I16" i="102"/>
  <c r="I17" i="102"/>
  <c r="I18" i="102"/>
  <c r="I19" i="102"/>
  <c r="I20" i="102"/>
  <c r="I21" i="102"/>
  <c r="I22" i="102"/>
  <c r="I23" i="102"/>
  <c r="I24" i="102"/>
  <c r="I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I38" i="102"/>
  <c r="I39" i="102"/>
  <c r="I40" i="102"/>
  <c r="I41" i="102"/>
  <c r="I42" i="102"/>
  <c r="I43" i="102"/>
  <c r="I44" i="102"/>
  <c r="I45" i="102"/>
  <c r="I46" i="102"/>
  <c r="I47" i="102"/>
  <c r="I48" i="102"/>
  <c r="I49" i="102"/>
  <c r="I50" i="102"/>
  <c r="I51" i="102"/>
  <c r="I52" i="102"/>
  <c r="I53" i="102"/>
  <c r="I54" i="102"/>
  <c r="I55" i="102"/>
  <c r="I56" i="102"/>
  <c r="I57" i="102"/>
  <c r="I58" i="102"/>
  <c r="I59" i="102"/>
  <c r="I60" i="102"/>
  <c r="I61" i="102"/>
  <c r="I62" i="102"/>
  <c r="I63" i="102"/>
  <c r="I64" i="102"/>
  <c r="I65" i="102"/>
  <c r="I66" i="102"/>
  <c r="I67" i="102"/>
  <c r="I68" i="102"/>
  <c r="I69" i="102"/>
  <c r="I70" i="102"/>
  <c r="I71" i="102"/>
  <c r="I72" i="102"/>
  <c r="I73" i="102"/>
  <c r="I74" i="102"/>
  <c r="I75" i="102"/>
  <c r="I76" i="102"/>
  <c r="I77" i="102"/>
  <c r="I78" i="102"/>
  <c r="I79" i="102"/>
  <c r="I80" i="102"/>
  <c r="I81" i="102"/>
  <c r="I82" i="102"/>
  <c r="I83" i="102"/>
  <c r="I84" i="102"/>
  <c r="I85" i="102"/>
  <c r="I86" i="102"/>
  <c r="I87" i="102"/>
  <c r="I88" i="102"/>
  <c r="I89" i="102"/>
  <c r="I90" i="102"/>
  <c r="I91" i="102"/>
  <c r="I92" i="102"/>
  <c r="I93" i="102"/>
  <c r="I94" i="102"/>
  <c r="I95" i="102"/>
  <c r="I96" i="102"/>
  <c r="I97" i="102"/>
  <c r="I98" i="102"/>
  <c r="I99" i="102"/>
  <c r="I100" i="102"/>
  <c r="I101" i="102"/>
  <c r="I102" i="102"/>
  <c r="I103" i="102"/>
  <c r="I104" i="102"/>
  <c r="I105" i="102"/>
  <c r="I106" i="102"/>
  <c r="I107" i="102"/>
  <c r="I108" i="102"/>
  <c r="I109" i="102"/>
  <c r="I110" i="102"/>
  <c r="I111" i="102"/>
  <c r="I112" i="102"/>
  <c r="I113" i="102"/>
  <c r="I114" i="102"/>
  <c r="I115" i="102"/>
  <c r="I116" i="102"/>
  <c r="I117" i="102"/>
  <c r="I118" i="102"/>
  <c r="I119" i="102"/>
  <c r="I120" i="102"/>
  <c r="I121" i="102"/>
  <c r="I122" i="102"/>
  <c r="I123" i="102"/>
  <c r="I124" i="102"/>
  <c r="I125" i="102"/>
  <c r="I126" i="102"/>
  <c r="I127" i="102"/>
  <c r="I128" i="102"/>
  <c r="I129" i="102"/>
  <c r="I130" i="102"/>
  <c r="I131" i="102"/>
  <c r="I132" i="102"/>
  <c r="I133" i="102"/>
  <c r="I134" i="102"/>
  <c r="I135" i="102"/>
  <c r="I136" i="102"/>
  <c r="I137" i="102"/>
  <c r="I138" i="102"/>
  <c r="I139" i="102"/>
  <c r="I140" i="102"/>
  <c r="I141" i="102"/>
  <c r="I142" i="102"/>
  <c r="I143" i="102"/>
  <c r="I144" i="102"/>
  <c r="I145" i="102"/>
  <c r="I146" i="102"/>
  <c r="I147" i="102"/>
  <c r="I148" i="102"/>
  <c r="I149" i="102"/>
  <c r="I150" i="102"/>
  <c r="I151" i="102"/>
  <c r="I152" i="102"/>
  <c r="I153" i="102"/>
  <c r="I154" i="102"/>
  <c r="I155" i="102"/>
  <c r="I156" i="102"/>
  <c r="I157" i="102"/>
  <c r="I158" i="102"/>
  <c r="I159" i="102"/>
  <c r="I160" i="102"/>
  <c r="I161" i="102"/>
  <c r="I162" i="102"/>
  <c r="I163" i="102"/>
  <c r="I164" i="102"/>
  <c r="I165" i="102"/>
  <c r="I166" i="102"/>
  <c r="I167" i="102"/>
  <c r="I168" i="102"/>
  <c r="I169" i="102"/>
  <c r="I170" i="102"/>
  <c r="I171" i="102"/>
  <c r="I172" i="102"/>
  <c r="I173" i="102"/>
  <c r="I174" i="102"/>
  <c r="I175" i="102"/>
  <c r="I176" i="102"/>
  <c r="I177" i="102"/>
  <c r="I4" i="102"/>
  <c r="F355" i="102" l="1"/>
  <c r="F354" i="102"/>
  <c r="K355" i="102"/>
  <c r="K354" i="102"/>
  <c r="K233" i="102"/>
  <c r="K234" i="102"/>
  <c r="K235" i="102"/>
  <c r="K236" i="102"/>
  <c r="K237" i="102"/>
  <c r="K232" i="102"/>
  <c r="I355" i="102"/>
  <c r="I354" i="102"/>
  <c r="I233" i="102"/>
  <c r="I234" i="102"/>
  <c r="I235" i="102"/>
  <c r="I236" i="102"/>
  <c r="I237" i="102"/>
  <c r="I232" i="102"/>
  <c r="J392" i="102"/>
  <c r="H392" i="102"/>
  <c r="J357" i="102"/>
  <c r="H357" i="102"/>
  <c r="J353" i="102"/>
  <c r="H353" i="102"/>
  <c r="J347" i="102"/>
  <c r="H347" i="102"/>
  <c r="J340" i="102"/>
  <c r="H340" i="102"/>
  <c r="J318" i="102"/>
  <c r="H318" i="102"/>
  <c r="J263" i="102"/>
  <c r="H263" i="102"/>
  <c r="J178" i="102"/>
  <c r="H178" i="102"/>
  <c r="J3" i="102"/>
  <c r="H3" i="102"/>
  <c r="J398" i="102" l="1"/>
  <c r="H398" i="102"/>
  <c r="G389" i="102"/>
  <c r="I389" i="102" s="1"/>
  <c r="K389" i="102" s="1"/>
  <c r="G390" i="102"/>
  <c r="I390" i="102" s="1"/>
  <c r="K390" i="102" s="1"/>
  <c r="G391" i="102"/>
  <c r="I391" i="102" s="1"/>
  <c r="K391" i="102" s="1"/>
  <c r="F392" i="102" l="1"/>
  <c r="G397" i="102"/>
  <c r="I397" i="102" s="1"/>
  <c r="K397" i="102" s="1"/>
  <c r="G396" i="102"/>
  <c r="I396" i="102" s="1"/>
  <c r="K396" i="102" s="1"/>
  <c r="G395" i="102"/>
  <c r="I395" i="102" s="1"/>
  <c r="K395" i="102" s="1"/>
  <c r="G394" i="102"/>
  <c r="I394" i="102" s="1"/>
  <c r="K394" i="102" s="1"/>
  <c r="G393" i="102"/>
  <c r="I393" i="102" s="1"/>
  <c r="K393" i="102" l="1"/>
  <c r="K392" i="102" s="1"/>
  <c r="I392" i="102"/>
  <c r="G392" i="102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3" i="102" l="1"/>
  <c r="F340" i="102"/>
  <c r="F318" i="102"/>
  <c r="F263" i="102"/>
  <c r="F178" i="102"/>
  <c r="F398" i="102" s="1"/>
  <c r="G13" i="102"/>
  <c r="G14" i="102"/>
  <c r="G16" i="102"/>
  <c r="G17" i="102"/>
  <c r="G19" i="102"/>
  <c r="G20" i="102"/>
  <c r="G21" i="102"/>
  <c r="G22" i="102"/>
  <c r="G23" i="102"/>
  <c r="F3" i="102"/>
  <c r="F357" i="102" l="1"/>
  <c r="F347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9" i="102"/>
  <c r="I179" i="102" s="1"/>
  <c r="G180" i="102"/>
  <c r="I180" i="102" s="1"/>
  <c r="K180" i="102" s="1"/>
  <c r="G181" i="102"/>
  <c r="I181" i="102" s="1"/>
  <c r="K181" i="102" s="1"/>
  <c r="G182" i="102"/>
  <c r="I182" i="102" s="1"/>
  <c r="K182" i="102" s="1"/>
  <c r="G183" i="102"/>
  <c r="I183" i="102" s="1"/>
  <c r="K183" i="102" s="1"/>
  <c r="G184" i="102"/>
  <c r="I184" i="102" s="1"/>
  <c r="K184" i="102" s="1"/>
  <c r="G185" i="102"/>
  <c r="I185" i="102" s="1"/>
  <c r="K185" i="102" s="1"/>
  <c r="G186" i="102"/>
  <c r="I186" i="102" s="1"/>
  <c r="K186" i="102" s="1"/>
  <c r="G187" i="102"/>
  <c r="I187" i="102" s="1"/>
  <c r="K187" i="102" s="1"/>
  <c r="G188" i="102"/>
  <c r="I188" i="102" s="1"/>
  <c r="K188" i="102" s="1"/>
  <c r="G189" i="102"/>
  <c r="I189" i="102" s="1"/>
  <c r="K189" i="102" s="1"/>
  <c r="G190" i="102"/>
  <c r="I190" i="102" s="1"/>
  <c r="K190" i="102" s="1"/>
  <c r="G191" i="102"/>
  <c r="I191" i="102" s="1"/>
  <c r="K191" i="102" s="1"/>
  <c r="G192" i="102"/>
  <c r="I192" i="102" s="1"/>
  <c r="K192" i="102" s="1"/>
  <c r="G193" i="102"/>
  <c r="I193" i="102" s="1"/>
  <c r="K193" i="102" s="1"/>
  <c r="G194" i="102"/>
  <c r="I194" i="102" s="1"/>
  <c r="K194" i="102" s="1"/>
  <c r="G195" i="102"/>
  <c r="I195" i="102" s="1"/>
  <c r="K195" i="102" s="1"/>
  <c r="G196" i="102"/>
  <c r="I196" i="102" s="1"/>
  <c r="K196" i="102" s="1"/>
  <c r="G197" i="102"/>
  <c r="I197" i="102" s="1"/>
  <c r="K197" i="102" s="1"/>
  <c r="G198" i="102"/>
  <c r="I198" i="102" s="1"/>
  <c r="K198" i="102" s="1"/>
  <c r="G199" i="102"/>
  <c r="I199" i="102" s="1"/>
  <c r="K199" i="102" s="1"/>
  <c r="G200" i="102"/>
  <c r="I200" i="102" s="1"/>
  <c r="K200" i="102" s="1"/>
  <c r="G201" i="102"/>
  <c r="I201" i="102" s="1"/>
  <c r="K201" i="102" s="1"/>
  <c r="G202" i="102"/>
  <c r="I202" i="102" s="1"/>
  <c r="K202" i="102" s="1"/>
  <c r="G203" i="102"/>
  <c r="I203" i="102" s="1"/>
  <c r="K203" i="102" s="1"/>
  <c r="G204" i="102"/>
  <c r="I204" i="102" s="1"/>
  <c r="K204" i="102" s="1"/>
  <c r="G205" i="102"/>
  <c r="I205" i="102" s="1"/>
  <c r="K205" i="102" s="1"/>
  <c r="G206" i="102"/>
  <c r="I206" i="102" s="1"/>
  <c r="K206" i="102" s="1"/>
  <c r="G207" i="102"/>
  <c r="I207" i="102" s="1"/>
  <c r="K207" i="102" s="1"/>
  <c r="G208" i="102"/>
  <c r="I208" i="102" s="1"/>
  <c r="K208" i="102" s="1"/>
  <c r="G209" i="102"/>
  <c r="I209" i="102" s="1"/>
  <c r="K209" i="102" s="1"/>
  <c r="G210" i="102"/>
  <c r="I210" i="102" s="1"/>
  <c r="K210" i="102" s="1"/>
  <c r="G211" i="102"/>
  <c r="I211" i="102" s="1"/>
  <c r="K211" i="102" s="1"/>
  <c r="G212" i="102"/>
  <c r="I212" i="102" s="1"/>
  <c r="K212" i="102" s="1"/>
  <c r="G213" i="102"/>
  <c r="I213" i="102" s="1"/>
  <c r="K213" i="102" s="1"/>
  <c r="G214" i="102"/>
  <c r="I214" i="102" s="1"/>
  <c r="K214" i="102" s="1"/>
  <c r="G215" i="102"/>
  <c r="I215" i="102" s="1"/>
  <c r="K215" i="102" s="1"/>
  <c r="G216" i="102"/>
  <c r="I216" i="102" s="1"/>
  <c r="K216" i="102" s="1"/>
  <c r="G217" i="102"/>
  <c r="I217" i="102" s="1"/>
  <c r="K217" i="102" s="1"/>
  <c r="G218" i="102"/>
  <c r="I218" i="102" s="1"/>
  <c r="K218" i="102" s="1"/>
  <c r="G219" i="102"/>
  <c r="I219" i="102" s="1"/>
  <c r="K219" i="102" s="1"/>
  <c r="G220" i="102"/>
  <c r="I220" i="102" s="1"/>
  <c r="K220" i="102" s="1"/>
  <c r="G221" i="102"/>
  <c r="I221" i="102" s="1"/>
  <c r="K221" i="102" s="1"/>
  <c r="G222" i="102"/>
  <c r="I222" i="102" s="1"/>
  <c r="K222" i="102" s="1"/>
  <c r="G223" i="102"/>
  <c r="I223" i="102" s="1"/>
  <c r="K223" i="102" s="1"/>
  <c r="G224" i="102"/>
  <c r="I224" i="102" s="1"/>
  <c r="K224" i="102" s="1"/>
  <c r="G225" i="102"/>
  <c r="I225" i="102" s="1"/>
  <c r="K225" i="102" s="1"/>
  <c r="G226" i="102"/>
  <c r="I226" i="102" s="1"/>
  <c r="K226" i="102" s="1"/>
  <c r="G227" i="102"/>
  <c r="I227" i="102" s="1"/>
  <c r="K227" i="102" s="1"/>
  <c r="G228" i="102"/>
  <c r="I228" i="102" s="1"/>
  <c r="K228" i="102" s="1"/>
  <c r="G229" i="102"/>
  <c r="I229" i="102" s="1"/>
  <c r="K229" i="102" s="1"/>
  <c r="G230" i="102"/>
  <c r="I230" i="102" s="1"/>
  <c r="K230" i="102" s="1"/>
  <c r="G231" i="102"/>
  <c r="I231" i="102" s="1"/>
  <c r="K231" i="102" s="1"/>
  <c r="G232" i="102"/>
  <c r="G233" i="102"/>
  <c r="G234" i="102"/>
  <c r="G235" i="102"/>
  <c r="G236" i="102"/>
  <c r="G237" i="102"/>
  <c r="G238" i="102"/>
  <c r="I238" i="102" s="1"/>
  <c r="K238" i="102" s="1"/>
  <c r="G239" i="102"/>
  <c r="I239" i="102" s="1"/>
  <c r="K239" i="102" s="1"/>
  <c r="G240" i="102"/>
  <c r="I240" i="102" s="1"/>
  <c r="K240" i="102" s="1"/>
  <c r="G241" i="102"/>
  <c r="I241" i="102" s="1"/>
  <c r="K241" i="102" s="1"/>
  <c r="G242" i="102"/>
  <c r="I242" i="102" s="1"/>
  <c r="K242" i="102" s="1"/>
  <c r="G243" i="102"/>
  <c r="I243" i="102" s="1"/>
  <c r="K243" i="102" s="1"/>
  <c r="G244" i="102"/>
  <c r="I244" i="102" s="1"/>
  <c r="K244" i="102" s="1"/>
  <c r="G245" i="102"/>
  <c r="I245" i="102" s="1"/>
  <c r="K245" i="102" s="1"/>
  <c r="G246" i="102"/>
  <c r="I246" i="102" s="1"/>
  <c r="K246" i="102" s="1"/>
  <c r="G247" i="102"/>
  <c r="I247" i="102" s="1"/>
  <c r="K247" i="102" s="1"/>
  <c r="G248" i="102"/>
  <c r="I248" i="102" s="1"/>
  <c r="K248" i="102" s="1"/>
  <c r="G249" i="102"/>
  <c r="I249" i="102" s="1"/>
  <c r="K249" i="102" s="1"/>
  <c r="G250" i="102"/>
  <c r="I250" i="102" s="1"/>
  <c r="K250" i="102" s="1"/>
  <c r="G251" i="102"/>
  <c r="I251" i="102" s="1"/>
  <c r="K251" i="102" s="1"/>
  <c r="G252" i="102"/>
  <c r="I252" i="102" s="1"/>
  <c r="K252" i="102" s="1"/>
  <c r="G253" i="102"/>
  <c r="I253" i="102" s="1"/>
  <c r="K253" i="102" s="1"/>
  <c r="G254" i="102"/>
  <c r="I254" i="102" s="1"/>
  <c r="K254" i="102" s="1"/>
  <c r="G255" i="102"/>
  <c r="I255" i="102" s="1"/>
  <c r="K255" i="102" s="1"/>
  <c r="G256" i="102"/>
  <c r="I256" i="102" s="1"/>
  <c r="K256" i="102" s="1"/>
  <c r="G257" i="102"/>
  <c r="I257" i="102" s="1"/>
  <c r="K257" i="102" s="1"/>
  <c r="G258" i="102"/>
  <c r="I258" i="102" s="1"/>
  <c r="K258" i="102" s="1"/>
  <c r="G259" i="102"/>
  <c r="I259" i="102" s="1"/>
  <c r="K259" i="102" s="1"/>
  <c r="G260" i="102"/>
  <c r="I260" i="102" s="1"/>
  <c r="K260" i="102" s="1"/>
  <c r="G261" i="102"/>
  <c r="I261" i="102" s="1"/>
  <c r="K261" i="102" s="1"/>
  <c r="G262" i="102"/>
  <c r="I262" i="102" s="1"/>
  <c r="K262" i="102" s="1"/>
  <c r="G264" i="102"/>
  <c r="I264" i="102" s="1"/>
  <c r="G265" i="102"/>
  <c r="I265" i="102" s="1"/>
  <c r="K265" i="102" s="1"/>
  <c r="G266" i="102"/>
  <c r="I266" i="102" s="1"/>
  <c r="K266" i="102" s="1"/>
  <c r="G267" i="102"/>
  <c r="I267" i="102" s="1"/>
  <c r="K267" i="102" s="1"/>
  <c r="G268" i="102"/>
  <c r="I268" i="102" s="1"/>
  <c r="K268" i="102" s="1"/>
  <c r="G269" i="102"/>
  <c r="I269" i="102" s="1"/>
  <c r="K269" i="102" s="1"/>
  <c r="G270" i="102"/>
  <c r="I270" i="102" s="1"/>
  <c r="K270" i="102" s="1"/>
  <c r="G271" i="102"/>
  <c r="I271" i="102" s="1"/>
  <c r="K271" i="102" s="1"/>
  <c r="G272" i="102"/>
  <c r="I272" i="102" s="1"/>
  <c r="K272" i="102" s="1"/>
  <c r="G273" i="102"/>
  <c r="I273" i="102" s="1"/>
  <c r="K273" i="102" s="1"/>
  <c r="G274" i="102"/>
  <c r="I274" i="102" s="1"/>
  <c r="K274" i="102" s="1"/>
  <c r="G275" i="102"/>
  <c r="I275" i="102" s="1"/>
  <c r="K275" i="102" s="1"/>
  <c r="G276" i="102"/>
  <c r="I276" i="102" s="1"/>
  <c r="K276" i="102" s="1"/>
  <c r="G277" i="102"/>
  <c r="I277" i="102" s="1"/>
  <c r="K277" i="102" s="1"/>
  <c r="G278" i="102"/>
  <c r="I278" i="102" s="1"/>
  <c r="K278" i="102" s="1"/>
  <c r="G279" i="102"/>
  <c r="I279" i="102" s="1"/>
  <c r="K279" i="102" s="1"/>
  <c r="G280" i="102"/>
  <c r="I280" i="102" s="1"/>
  <c r="K280" i="102" s="1"/>
  <c r="G281" i="102"/>
  <c r="I281" i="102" s="1"/>
  <c r="K281" i="102" s="1"/>
  <c r="G282" i="102"/>
  <c r="I282" i="102" s="1"/>
  <c r="K282" i="102" s="1"/>
  <c r="G283" i="102"/>
  <c r="I283" i="102" s="1"/>
  <c r="K283" i="102" s="1"/>
  <c r="G284" i="102"/>
  <c r="I284" i="102" s="1"/>
  <c r="K284" i="102" s="1"/>
  <c r="G285" i="102"/>
  <c r="I285" i="102" s="1"/>
  <c r="K285" i="102" s="1"/>
  <c r="G286" i="102"/>
  <c r="I286" i="102" s="1"/>
  <c r="K286" i="102" s="1"/>
  <c r="G287" i="102"/>
  <c r="I287" i="102" s="1"/>
  <c r="K287" i="102" s="1"/>
  <c r="G288" i="102"/>
  <c r="I288" i="102" s="1"/>
  <c r="K288" i="102" s="1"/>
  <c r="G289" i="102"/>
  <c r="I289" i="102" s="1"/>
  <c r="K289" i="102" s="1"/>
  <c r="G290" i="102"/>
  <c r="I290" i="102" s="1"/>
  <c r="K290" i="102" s="1"/>
  <c r="G291" i="102"/>
  <c r="I291" i="102" s="1"/>
  <c r="K291" i="102" s="1"/>
  <c r="G292" i="102"/>
  <c r="I292" i="102" s="1"/>
  <c r="K292" i="102" s="1"/>
  <c r="G293" i="102"/>
  <c r="I293" i="102" s="1"/>
  <c r="K293" i="102" s="1"/>
  <c r="G294" i="102"/>
  <c r="I294" i="102" s="1"/>
  <c r="K294" i="102" s="1"/>
  <c r="G295" i="102"/>
  <c r="I295" i="102" s="1"/>
  <c r="K295" i="102" s="1"/>
  <c r="G296" i="102"/>
  <c r="I296" i="102" s="1"/>
  <c r="K296" i="102" s="1"/>
  <c r="G297" i="102"/>
  <c r="I297" i="102" s="1"/>
  <c r="K297" i="102" s="1"/>
  <c r="G298" i="102"/>
  <c r="I298" i="102" s="1"/>
  <c r="K298" i="102" s="1"/>
  <c r="G299" i="102"/>
  <c r="I299" i="102" s="1"/>
  <c r="K299" i="102" s="1"/>
  <c r="G300" i="102"/>
  <c r="I300" i="102" s="1"/>
  <c r="K300" i="102" s="1"/>
  <c r="G301" i="102"/>
  <c r="I301" i="102" s="1"/>
  <c r="K301" i="102" s="1"/>
  <c r="G302" i="102"/>
  <c r="I302" i="102" s="1"/>
  <c r="K302" i="102" s="1"/>
  <c r="G303" i="102"/>
  <c r="I303" i="102" s="1"/>
  <c r="K303" i="102" s="1"/>
  <c r="G304" i="102"/>
  <c r="I304" i="102" s="1"/>
  <c r="K304" i="102" s="1"/>
  <c r="G305" i="102"/>
  <c r="I305" i="102" s="1"/>
  <c r="K305" i="102" s="1"/>
  <c r="G306" i="102"/>
  <c r="I306" i="102" s="1"/>
  <c r="K306" i="102" s="1"/>
  <c r="G307" i="102"/>
  <c r="I307" i="102" s="1"/>
  <c r="K307" i="102" s="1"/>
  <c r="G308" i="102"/>
  <c r="I308" i="102" s="1"/>
  <c r="K308" i="102" s="1"/>
  <c r="G309" i="102"/>
  <c r="I309" i="102" s="1"/>
  <c r="K309" i="102" s="1"/>
  <c r="G310" i="102"/>
  <c r="I310" i="102" s="1"/>
  <c r="K310" i="102" s="1"/>
  <c r="G311" i="102"/>
  <c r="I311" i="102" s="1"/>
  <c r="K311" i="102" s="1"/>
  <c r="G312" i="102"/>
  <c r="I312" i="102" s="1"/>
  <c r="K312" i="102" s="1"/>
  <c r="G313" i="102"/>
  <c r="I313" i="102" s="1"/>
  <c r="K313" i="102" s="1"/>
  <c r="G314" i="102"/>
  <c r="I314" i="102" s="1"/>
  <c r="K314" i="102" s="1"/>
  <c r="G315" i="102"/>
  <c r="I315" i="102" s="1"/>
  <c r="K315" i="102" s="1"/>
  <c r="G316" i="102"/>
  <c r="I316" i="102" s="1"/>
  <c r="K316" i="102" s="1"/>
  <c r="G317" i="102"/>
  <c r="I317" i="102" s="1"/>
  <c r="K317" i="102" s="1"/>
  <c r="G319" i="102"/>
  <c r="I319" i="102" s="1"/>
  <c r="G320" i="102"/>
  <c r="I320" i="102" s="1"/>
  <c r="K320" i="102" s="1"/>
  <c r="G321" i="102"/>
  <c r="I321" i="102" s="1"/>
  <c r="K321" i="102" s="1"/>
  <c r="G322" i="102"/>
  <c r="I322" i="102" s="1"/>
  <c r="K322" i="102" s="1"/>
  <c r="G323" i="102"/>
  <c r="I323" i="102" s="1"/>
  <c r="K323" i="102" s="1"/>
  <c r="G324" i="102"/>
  <c r="I324" i="102" s="1"/>
  <c r="K324" i="102" s="1"/>
  <c r="G325" i="102"/>
  <c r="I325" i="102" s="1"/>
  <c r="K325" i="102" s="1"/>
  <c r="G326" i="102"/>
  <c r="I326" i="102" s="1"/>
  <c r="K326" i="102" s="1"/>
  <c r="G327" i="102"/>
  <c r="I327" i="102" s="1"/>
  <c r="K327" i="102" s="1"/>
  <c r="G328" i="102"/>
  <c r="I328" i="102" s="1"/>
  <c r="K328" i="102" s="1"/>
  <c r="G329" i="102"/>
  <c r="I329" i="102" s="1"/>
  <c r="K329" i="102" s="1"/>
  <c r="G330" i="102"/>
  <c r="I330" i="102" s="1"/>
  <c r="K330" i="102" s="1"/>
  <c r="G331" i="102"/>
  <c r="I331" i="102" s="1"/>
  <c r="K331" i="102" s="1"/>
  <c r="G332" i="102"/>
  <c r="I332" i="102" s="1"/>
  <c r="K332" i="102" s="1"/>
  <c r="G333" i="102"/>
  <c r="I333" i="102" s="1"/>
  <c r="K333" i="102" s="1"/>
  <c r="G334" i="102"/>
  <c r="I334" i="102" s="1"/>
  <c r="K334" i="102" s="1"/>
  <c r="G335" i="102"/>
  <c r="I335" i="102" s="1"/>
  <c r="K335" i="102" s="1"/>
  <c r="G336" i="102"/>
  <c r="I336" i="102" s="1"/>
  <c r="K336" i="102" s="1"/>
  <c r="G337" i="102"/>
  <c r="I337" i="102" s="1"/>
  <c r="K337" i="102" s="1"/>
  <c r="G338" i="102"/>
  <c r="I338" i="102" s="1"/>
  <c r="K338" i="102" s="1"/>
  <c r="G339" i="102"/>
  <c r="I339" i="102" s="1"/>
  <c r="K339" i="102" s="1"/>
  <c r="G341" i="102"/>
  <c r="I341" i="102" s="1"/>
  <c r="G342" i="102"/>
  <c r="I342" i="102" s="1"/>
  <c r="K342" i="102" s="1"/>
  <c r="G343" i="102"/>
  <c r="I343" i="102" s="1"/>
  <c r="K343" i="102" s="1"/>
  <c r="G344" i="102"/>
  <c r="I344" i="102" s="1"/>
  <c r="K344" i="102" s="1"/>
  <c r="G345" i="102"/>
  <c r="I345" i="102" s="1"/>
  <c r="K345" i="102" s="1"/>
  <c r="G346" i="102"/>
  <c r="I346" i="102" s="1"/>
  <c r="K346" i="102" s="1"/>
  <c r="G348" i="102"/>
  <c r="I348" i="102" s="1"/>
  <c r="G349" i="102"/>
  <c r="I349" i="102" s="1"/>
  <c r="K349" i="102" s="1"/>
  <c r="G350" i="102"/>
  <c r="I350" i="102" s="1"/>
  <c r="K350" i="102" s="1"/>
  <c r="G351" i="102"/>
  <c r="I351" i="102" s="1"/>
  <c r="K351" i="102" s="1"/>
  <c r="G352" i="102"/>
  <c r="I352" i="102" s="1"/>
  <c r="K352" i="102" s="1"/>
  <c r="G354" i="102"/>
  <c r="G355" i="102"/>
  <c r="G356" i="102"/>
  <c r="I356" i="102" s="1"/>
  <c r="K356" i="102" s="1"/>
  <c r="G358" i="102"/>
  <c r="I358" i="102" s="1"/>
  <c r="G359" i="102"/>
  <c r="I359" i="102" s="1"/>
  <c r="K359" i="102" s="1"/>
  <c r="G360" i="102"/>
  <c r="I360" i="102" s="1"/>
  <c r="K360" i="102" s="1"/>
  <c r="G361" i="102"/>
  <c r="I361" i="102" s="1"/>
  <c r="K361" i="102" s="1"/>
  <c r="G362" i="102"/>
  <c r="I362" i="102" s="1"/>
  <c r="K362" i="102" s="1"/>
  <c r="G363" i="102"/>
  <c r="I363" i="102" s="1"/>
  <c r="K363" i="102" s="1"/>
  <c r="G364" i="102"/>
  <c r="I364" i="102" s="1"/>
  <c r="K364" i="102" s="1"/>
  <c r="G365" i="102"/>
  <c r="I365" i="102" s="1"/>
  <c r="K365" i="102" s="1"/>
  <c r="G366" i="102"/>
  <c r="I366" i="102" s="1"/>
  <c r="K366" i="102" s="1"/>
  <c r="G367" i="102"/>
  <c r="I367" i="102" s="1"/>
  <c r="K367" i="102" s="1"/>
  <c r="G368" i="102"/>
  <c r="I368" i="102" s="1"/>
  <c r="K368" i="102" s="1"/>
  <c r="G369" i="102"/>
  <c r="I369" i="102" s="1"/>
  <c r="K369" i="102" s="1"/>
  <c r="G370" i="102"/>
  <c r="I370" i="102" s="1"/>
  <c r="K370" i="102" s="1"/>
  <c r="G371" i="102"/>
  <c r="I371" i="102" s="1"/>
  <c r="K371" i="102" s="1"/>
  <c r="G372" i="102"/>
  <c r="I372" i="102" s="1"/>
  <c r="K372" i="102" s="1"/>
  <c r="G373" i="102"/>
  <c r="I373" i="102" s="1"/>
  <c r="K373" i="102" s="1"/>
  <c r="G374" i="102"/>
  <c r="I374" i="102" s="1"/>
  <c r="K374" i="102" s="1"/>
  <c r="G375" i="102"/>
  <c r="I375" i="102" s="1"/>
  <c r="K375" i="102" s="1"/>
  <c r="G376" i="102"/>
  <c r="I376" i="102" s="1"/>
  <c r="K376" i="102" s="1"/>
  <c r="G377" i="102"/>
  <c r="I377" i="102" s="1"/>
  <c r="K377" i="102" s="1"/>
  <c r="G378" i="102"/>
  <c r="I378" i="102" s="1"/>
  <c r="K378" i="102" s="1"/>
  <c r="G379" i="102"/>
  <c r="I379" i="102" s="1"/>
  <c r="K379" i="102" s="1"/>
  <c r="G380" i="102"/>
  <c r="I380" i="102" s="1"/>
  <c r="K380" i="102" s="1"/>
  <c r="G381" i="102"/>
  <c r="I381" i="102" s="1"/>
  <c r="K381" i="102" s="1"/>
  <c r="G382" i="102"/>
  <c r="I382" i="102" s="1"/>
  <c r="K382" i="102" s="1"/>
  <c r="G383" i="102"/>
  <c r="I383" i="102" s="1"/>
  <c r="K383" i="102" s="1"/>
  <c r="G384" i="102"/>
  <c r="I384" i="102" s="1"/>
  <c r="K384" i="102" s="1"/>
  <c r="G385" i="102"/>
  <c r="I385" i="102" s="1"/>
  <c r="K385" i="102" s="1"/>
  <c r="G386" i="102"/>
  <c r="I386" i="102" s="1"/>
  <c r="K386" i="102" s="1"/>
  <c r="G387" i="102"/>
  <c r="I387" i="102" s="1"/>
  <c r="K387" i="102" s="1"/>
  <c r="G388" i="102"/>
  <c r="I388" i="102" s="1"/>
  <c r="K388" i="102" s="1"/>
  <c r="G4" i="102"/>
  <c r="I3" i="102" l="1"/>
  <c r="K3" i="102"/>
  <c r="K353" i="102"/>
  <c r="I353" i="102"/>
  <c r="K319" i="102"/>
  <c r="K318" i="102" s="1"/>
  <c r="I318" i="102"/>
  <c r="K264" i="102"/>
  <c r="K263" i="102" s="1"/>
  <c r="I263" i="102"/>
  <c r="K179" i="102"/>
  <c r="K178" i="102" s="1"/>
  <c r="I178" i="102"/>
  <c r="K358" i="102"/>
  <c r="K357" i="102" s="1"/>
  <c r="I357" i="102"/>
  <c r="K348" i="102"/>
  <c r="K347" i="102" s="1"/>
  <c r="I347" i="102"/>
  <c r="K341" i="102"/>
  <c r="K340" i="102" s="1"/>
  <c r="I340" i="102"/>
  <c r="G3" i="102"/>
  <c r="G353" i="102"/>
  <c r="G318" i="102"/>
  <c r="G263" i="102"/>
  <c r="G178" i="102"/>
  <c r="G340" i="102"/>
  <c r="G357" i="102"/>
  <c r="G347" i="102"/>
  <c r="AG4" i="102"/>
  <c r="AG24" i="102"/>
  <c r="AG25" i="102"/>
  <c r="AG26" i="102"/>
  <c r="AG27" i="102"/>
  <c r="AG28" i="102"/>
  <c r="AG29" i="102"/>
  <c r="AG30" i="102"/>
  <c r="AG31" i="102"/>
  <c r="AG32" i="102"/>
  <c r="AG33" i="102"/>
  <c r="AG34" i="102"/>
  <c r="AG35" i="102"/>
  <c r="AG36" i="102"/>
  <c r="AG37" i="102"/>
  <c r="AG38" i="102"/>
  <c r="AG39" i="102"/>
  <c r="AG40" i="102"/>
  <c r="AG41" i="102"/>
  <c r="AG42" i="102"/>
  <c r="AG43" i="102"/>
  <c r="AG44" i="102"/>
  <c r="AG45" i="102"/>
  <c r="AG46" i="102"/>
  <c r="AG47" i="102"/>
  <c r="AG48" i="102"/>
  <c r="AG49" i="102"/>
  <c r="AG50" i="102"/>
  <c r="AG51" i="102"/>
  <c r="AG52" i="102"/>
  <c r="AG53" i="102"/>
  <c r="AG54" i="102"/>
  <c r="AG55" i="102"/>
  <c r="AG56" i="102"/>
  <c r="AG57" i="102"/>
  <c r="AG58" i="102"/>
  <c r="AG59" i="102"/>
  <c r="AG60" i="102"/>
  <c r="AG61" i="102"/>
  <c r="AG62" i="102"/>
  <c r="AG63" i="102"/>
  <c r="AG64" i="102"/>
  <c r="AG65" i="102"/>
  <c r="AG66" i="102"/>
  <c r="AG67" i="102"/>
  <c r="AG68" i="102"/>
  <c r="AG69" i="102"/>
  <c r="AG70" i="102"/>
  <c r="AG71" i="102"/>
  <c r="AG72" i="102"/>
  <c r="AG73" i="102"/>
  <c r="AG74" i="102"/>
  <c r="AG75" i="102"/>
  <c r="AG76" i="102"/>
  <c r="AG77" i="102"/>
  <c r="AG78" i="102"/>
  <c r="AG79" i="102"/>
  <c r="AG80" i="102"/>
  <c r="AG81" i="102"/>
  <c r="AG82" i="102"/>
  <c r="AG83" i="102"/>
  <c r="AG84" i="102"/>
  <c r="AG85" i="102"/>
  <c r="AG86" i="102"/>
  <c r="AG87" i="102"/>
  <c r="AG88" i="102"/>
  <c r="AG89" i="102"/>
  <c r="AG90" i="102"/>
  <c r="AG91" i="102"/>
  <c r="AG92" i="102"/>
  <c r="AG93" i="102"/>
  <c r="AG94" i="102"/>
  <c r="AG95" i="102"/>
  <c r="AG96" i="102"/>
  <c r="AG97" i="102"/>
  <c r="AG98" i="102"/>
  <c r="AG99" i="102"/>
  <c r="AG100" i="102"/>
  <c r="AG101" i="102"/>
  <c r="AG102" i="102"/>
  <c r="AG103" i="102"/>
  <c r="AG104" i="102"/>
  <c r="AG105" i="102"/>
  <c r="AG106" i="102"/>
  <c r="AG107" i="102"/>
  <c r="AG108" i="102"/>
  <c r="AG109" i="102"/>
  <c r="AG110" i="102"/>
  <c r="AG111" i="102"/>
  <c r="AG112" i="102"/>
  <c r="AG113" i="102"/>
  <c r="AG114" i="102"/>
  <c r="AG115" i="102"/>
  <c r="AG116" i="102"/>
  <c r="AG117" i="102"/>
  <c r="AG118" i="102"/>
  <c r="AG119" i="102"/>
  <c r="AG120" i="102"/>
  <c r="AG121" i="102"/>
  <c r="AG122" i="102"/>
  <c r="AG123" i="102"/>
  <c r="AG124" i="102"/>
  <c r="AG125" i="102"/>
  <c r="AG126" i="102"/>
  <c r="AG127" i="102"/>
  <c r="AG128" i="102"/>
  <c r="AG129" i="102"/>
  <c r="AG130" i="102"/>
  <c r="AG131" i="102"/>
  <c r="AG132" i="102"/>
  <c r="AG133" i="102"/>
  <c r="AG134" i="102"/>
  <c r="AG135" i="102"/>
  <c r="AG136" i="102"/>
  <c r="AG137" i="102"/>
  <c r="AG138" i="102"/>
  <c r="AG139" i="102"/>
  <c r="AG140" i="102"/>
  <c r="AG141" i="102"/>
  <c r="AG142" i="102"/>
  <c r="AG143" i="102"/>
  <c r="AG144" i="102"/>
  <c r="AG145" i="102"/>
  <c r="AG146" i="102"/>
  <c r="AG147" i="102"/>
  <c r="AG148" i="102"/>
  <c r="AG149" i="102"/>
  <c r="AG150" i="102"/>
  <c r="AG151" i="102"/>
  <c r="AG152" i="102"/>
  <c r="AG153" i="102"/>
  <c r="AG154" i="102"/>
  <c r="AG155" i="102"/>
  <c r="AG157" i="102"/>
  <c r="AG158" i="102"/>
  <c r="AG159" i="102"/>
  <c r="AG160" i="102"/>
  <c r="AG161" i="102"/>
  <c r="AG162" i="102"/>
  <c r="AG163" i="102"/>
  <c r="AG164" i="102"/>
  <c r="AG165" i="102"/>
  <c r="AG168" i="102"/>
  <c r="AG169" i="102"/>
  <c r="AG170" i="102"/>
  <c r="AG171" i="102"/>
  <c r="AG172" i="102"/>
  <c r="AG173" i="102"/>
  <c r="AG174" i="102"/>
  <c r="AG177" i="102"/>
  <c r="AG264" i="102"/>
  <c r="AG265" i="102"/>
  <c r="AG266" i="102"/>
  <c r="AG267" i="102"/>
  <c r="AG268" i="102"/>
  <c r="AG269" i="102"/>
  <c r="AG270" i="102"/>
  <c r="AG271" i="102"/>
  <c r="AG272" i="102"/>
  <c r="AG273" i="102"/>
  <c r="AG274" i="102"/>
  <c r="AG275" i="102"/>
  <c r="AG276" i="102"/>
  <c r="AG277" i="102"/>
  <c r="AG278" i="102"/>
  <c r="AG279" i="102"/>
  <c r="AG280" i="102"/>
  <c r="AG281" i="102"/>
  <c r="AG282" i="102"/>
  <c r="AG283" i="102"/>
  <c r="AG284" i="102"/>
  <c r="AG285" i="102"/>
  <c r="AG286" i="102"/>
  <c r="AG287" i="102"/>
  <c r="AG288" i="102"/>
  <c r="AG289" i="102"/>
  <c r="AG290" i="102"/>
  <c r="AG291" i="102"/>
  <c r="AG292" i="102"/>
  <c r="AG293" i="102"/>
  <c r="AG294" i="102"/>
  <c r="AG295" i="102"/>
  <c r="AG296" i="102"/>
  <c r="AG297" i="102"/>
  <c r="AG298" i="102"/>
  <c r="AG299" i="102"/>
  <c r="AG300" i="102"/>
  <c r="AG301" i="102"/>
  <c r="AG302" i="102"/>
  <c r="AG303" i="102"/>
  <c r="AG304" i="102"/>
  <c r="AG305" i="102"/>
  <c r="AG306" i="102"/>
  <c r="AG307" i="102"/>
  <c r="AG308" i="102"/>
  <c r="AG309" i="102"/>
  <c r="AG310" i="102"/>
  <c r="AG311" i="102"/>
  <c r="AG312" i="102"/>
  <c r="AG313" i="102"/>
  <c r="AG319" i="102"/>
  <c r="AG320" i="102"/>
  <c r="AG321" i="102"/>
  <c r="AG322" i="102"/>
  <c r="AG323" i="102"/>
  <c r="AG324" i="102"/>
  <c r="AG325" i="102"/>
  <c r="AG326" i="102"/>
  <c r="AG327" i="102"/>
  <c r="AG328" i="102"/>
  <c r="AG329" i="102"/>
  <c r="AG330" i="102"/>
  <c r="AG331" i="102"/>
  <c r="AG332" i="102"/>
  <c r="AG333" i="102"/>
  <c r="AG334" i="102"/>
  <c r="AG335" i="102"/>
  <c r="AG336" i="102"/>
  <c r="AG339" i="102"/>
  <c r="AG341" i="102"/>
  <c r="AG342" i="102"/>
  <c r="AG343" i="102"/>
  <c r="AG344" i="102"/>
  <c r="AG345" i="102"/>
  <c r="AG346" i="102"/>
  <c r="AG348" i="102"/>
  <c r="AG349" i="102"/>
  <c r="AG350" i="102"/>
  <c r="AG351" i="102"/>
  <c r="AG352" i="102"/>
  <c r="AG354" i="102"/>
  <c r="AG355" i="102"/>
  <c r="AG358" i="102"/>
  <c r="AG360" i="102"/>
  <c r="AG361" i="102"/>
  <c r="AG362" i="102"/>
  <c r="AG363" i="102"/>
  <c r="AG364" i="102"/>
  <c r="AG365" i="102"/>
  <c r="AG366" i="102"/>
  <c r="AG367" i="102"/>
  <c r="AG368" i="102"/>
  <c r="AG369" i="102"/>
  <c r="AG370" i="102"/>
  <c r="AG371" i="102"/>
  <c r="AG372" i="102"/>
  <c r="AG373" i="102"/>
  <c r="AG374" i="102"/>
  <c r="AG375" i="102"/>
  <c r="AG376" i="102"/>
  <c r="AG377" i="102"/>
  <c r="AG378" i="102"/>
  <c r="AG379" i="102"/>
  <c r="AG380" i="102"/>
  <c r="AG381" i="102"/>
  <c r="AG382" i="102"/>
  <c r="AG383" i="102"/>
  <c r="AG384" i="102"/>
  <c r="AG385" i="102"/>
  <c r="AG386" i="102"/>
  <c r="AG387" i="102"/>
  <c r="AG388" i="102"/>
  <c r="AG391" i="102"/>
  <c r="AI313" i="102"/>
  <c r="AI177" i="102"/>
  <c r="AI174" i="102"/>
  <c r="AI173" i="102"/>
  <c r="AI172" i="102"/>
  <c r="AI171" i="102"/>
  <c r="AI170" i="102"/>
  <c r="AI169" i="102"/>
  <c r="AI168" i="102"/>
  <c r="AI165" i="102"/>
  <c r="AI164" i="102"/>
  <c r="AI163" i="102"/>
  <c r="AI162" i="102"/>
  <c r="AI161" i="102"/>
  <c r="AI160" i="102"/>
  <c r="AI159" i="102"/>
  <c r="AI158" i="102"/>
  <c r="AI157" i="102"/>
  <c r="AI155" i="102"/>
  <c r="AI154" i="102"/>
  <c r="AI153" i="102"/>
  <c r="AI152" i="102"/>
  <c r="AI151" i="102"/>
  <c r="AI150" i="102"/>
  <c r="AI149" i="102"/>
  <c r="AI148" i="102"/>
  <c r="AI147" i="102"/>
  <c r="AI146" i="102"/>
  <c r="AI145" i="102"/>
  <c r="AI144" i="102"/>
  <c r="AI143" i="102"/>
  <c r="AI142" i="102"/>
  <c r="AI141" i="102"/>
  <c r="AI140" i="102"/>
  <c r="AI139" i="102"/>
  <c r="AI138" i="102"/>
  <c r="AI137" i="102"/>
  <c r="AI136" i="102"/>
  <c r="AI135" i="102"/>
  <c r="AI134" i="102"/>
  <c r="AI133" i="102"/>
  <c r="AI132" i="102"/>
  <c r="AI131" i="102"/>
  <c r="AI130" i="102"/>
  <c r="AI129" i="102"/>
  <c r="AI128" i="102"/>
  <c r="AI127" i="102"/>
  <c r="AI126" i="102"/>
  <c r="AI125" i="102"/>
  <c r="AI124" i="102"/>
  <c r="AI123" i="102"/>
  <c r="AI122" i="102"/>
  <c r="AI121" i="102"/>
  <c r="AI120" i="102"/>
  <c r="AI119" i="102"/>
  <c r="AI118" i="102"/>
  <c r="AI117" i="102"/>
  <c r="AI116" i="102"/>
  <c r="AI115" i="102"/>
  <c r="AI114" i="102"/>
  <c r="AI113" i="102"/>
  <c r="AI112" i="102"/>
  <c r="AI111" i="102"/>
  <c r="AI110" i="102"/>
  <c r="AI109" i="102"/>
  <c r="AI108" i="102"/>
  <c r="AI107" i="102"/>
  <c r="AI106" i="102"/>
  <c r="AI105" i="102"/>
  <c r="AI104" i="102"/>
  <c r="AI103" i="102"/>
  <c r="AI102" i="102"/>
  <c r="AI101" i="102"/>
  <c r="AI100" i="102"/>
  <c r="AI99" i="102"/>
  <c r="AI98" i="102"/>
  <c r="AI97" i="102"/>
  <c r="AI96" i="102"/>
  <c r="AI95" i="102"/>
  <c r="AI94" i="102"/>
  <c r="AI93" i="102"/>
  <c r="AI92" i="102"/>
  <c r="AI91" i="102"/>
  <c r="AI90" i="102"/>
  <c r="AI89" i="102"/>
  <c r="AI88" i="102"/>
  <c r="AI87" i="102"/>
  <c r="AI86" i="102"/>
  <c r="AI85" i="102"/>
  <c r="AI84" i="102"/>
  <c r="AI83" i="102"/>
  <c r="AI82" i="102"/>
  <c r="AI81" i="102"/>
  <c r="AI80" i="102"/>
  <c r="AI79" i="102"/>
  <c r="AI78" i="102"/>
  <c r="AI77" i="102"/>
  <c r="AI76" i="102"/>
  <c r="AI75" i="102"/>
  <c r="AI74" i="102"/>
  <c r="AI73" i="102"/>
  <c r="AI72" i="102"/>
  <c r="AI71" i="102"/>
  <c r="AI70" i="102"/>
  <c r="AI69" i="102"/>
  <c r="AI68" i="102"/>
  <c r="AI67" i="102"/>
  <c r="AI66" i="102"/>
  <c r="AI65" i="102"/>
  <c r="AI64" i="102"/>
  <c r="AI63" i="102"/>
  <c r="AI62" i="102"/>
  <c r="AI61" i="102"/>
  <c r="AI60" i="102"/>
  <c r="AI59" i="102"/>
  <c r="AI58" i="102"/>
  <c r="AI57" i="102"/>
  <c r="AI56" i="102"/>
  <c r="AI55" i="102"/>
  <c r="AI54" i="102"/>
  <c r="AI53" i="102"/>
  <c r="AI52" i="102"/>
  <c r="AI51" i="102"/>
  <c r="AI50" i="102"/>
  <c r="AI49" i="102"/>
  <c r="AI48" i="102"/>
  <c r="AI47" i="102"/>
  <c r="AI46" i="102"/>
  <c r="AI45" i="102"/>
  <c r="AI44" i="102"/>
  <c r="AI43" i="102"/>
  <c r="AI42" i="102"/>
  <c r="AI41" i="102"/>
  <c r="AI40" i="102"/>
  <c r="AI39" i="102"/>
  <c r="AI38" i="102"/>
  <c r="AI37" i="102"/>
  <c r="AI36" i="102"/>
  <c r="AI35" i="102"/>
  <c r="AI34" i="102"/>
  <c r="AI33" i="102"/>
  <c r="AI32" i="102"/>
  <c r="AI31" i="102"/>
  <c r="AI30" i="102"/>
  <c r="AI29" i="102"/>
  <c r="AI28" i="102"/>
  <c r="AI27" i="102"/>
  <c r="AI26" i="102"/>
  <c r="AI25" i="102"/>
  <c r="AI24" i="102"/>
  <c r="AI391" i="102"/>
  <c r="AI388" i="102"/>
  <c r="AI387" i="102"/>
  <c r="AI386" i="102"/>
  <c r="AI385" i="102"/>
  <c r="AI384" i="102"/>
  <c r="AI383" i="102"/>
  <c r="AI382" i="102"/>
  <c r="AI381" i="102"/>
  <c r="AI380" i="102"/>
  <c r="AI379" i="102"/>
  <c r="AI378" i="102"/>
  <c r="AI377" i="102"/>
  <c r="AI376" i="102"/>
  <c r="AI375" i="102"/>
  <c r="AI374" i="102"/>
  <c r="AI373" i="102"/>
  <c r="AI372" i="102"/>
  <c r="AI371" i="102"/>
  <c r="AI370" i="102"/>
  <c r="AI369" i="102"/>
  <c r="AI368" i="102"/>
  <c r="AI367" i="102"/>
  <c r="AI366" i="102"/>
  <c r="AI365" i="102"/>
  <c r="AI364" i="102"/>
  <c r="AI363" i="102"/>
  <c r="AI362" i="102"/>
  <c r="AI361" i="102"/>
  <c r="AI360" i="102"/>
  <c r="AI358" i="102"/>
  <c r="AI355" i="102"/>
  <c r="AI354" i="102"/>
  <c r="AI352" i="102"/>
  <c r="AI351" i="102"/>
  <c r="AI350" i="102"/>
  <c r="AI349" i="102"/>
  <c r="AI348" i="102"/>
  <c r="AI346" i="102"/>
  <c r="AI345" i="102"/>
  <c r="AI344" i="102"/>
  <c r="AI343" i="102"/>
  <c r="AI342" i="102"/>
  <c r="AI341" i="102"/>
  <c r="AI339" i="102"/>
  <c r="AI336" i="102"/>
  <c r="AI335" i="102"/>
  <c r="AI334" i="102"/>
  <c r="AI333" i="102"/>
  <c r="AI332" i="102"/>
  <c r="AI331" i="102"/>
  <c r="AI330" i="102"/>
  <c r="AI329" i="102"/>
  <c r="AI328" i="102"/>
  <c r="AI327" i="102"/>
  <c r="AI326" i="102"/>
  <c r="AI325" i="102"/>
  <c r="AI324" i="102"/>
  <c r="AI323" i="102"/>
  <c r="AI322" i="102"/>
  <c r="AI321" i="102"/>
  <c r="AI320" i="102"/>
  <c r="AI319" i="102"/>
  <c r="AI312" i="102"/>
  <c r="AI311" i="102"/>
  <c r="AI310" i="102"/>
  <c r="AI309" i="102"/>
  <c r="AI308" i="102"/>
  <c r="AI307" i="102"/>
  <c r="AI306" i="102"/>
  <c r="AI305" i="102"/>
  <c r="AI304" i="102"/>
  <c r="AI303" i="102"/>
  <c r="AI302" i="102"/>
  <c r="AI301" i="102"/>
  <c r="AI300" i="102"/>
  <c r="AI299" i="102"/>
  <c r="AI298" i="102"/>
  <c r="AI297" i="102"/>
  <c r="AI296" i="102"/>
  <c r="AI295" i="102"/>
  <c r="AI294" i="102"/>
  <c r="AI293" i="102"/>
  <c r="AI292" i="102"/>
  <c r="AI291" i="102"/>
  <c r="AI290" i="102"/>
  <c r="AI289" i="102"/>
  <c r="AI288" i="102"/>
  <c r="AI287" i="102"/>
  <c r="AI286" i="102"/>
  <c r="AI285" i="102"/>
  <c r="AI284" i="102"/>
  <c r="AI283" i="102"/>
  <c r="AI282" i="102"/>
  <c r="AI281" i="102"/>
  <c r="AI280" i="102"/>
  <c r="AI279" i="102"/>
  <c r="AI278" i="102"/>
  <c r="AI277" i="102"/>
  <c r="AI276" i="102"/>
  <c r="AI275" i="102"/>
  <c r="AI274" i="102"/>
  <c r="AI273" i="102"/>
  <c r="AI272" i="102"/>
  <c r="AI271" i="102"/>
  <c r="AI270" i="102"/>
  <c r="AI269" i="102"/>
  <c r="AI268" i="102"/>
  <c r="AI267" i="102"/>
  <c r="AI266" i="102"/>
  <c r="AI265" i="102"/>
  <c r="AI264" i="102"/>
  <c r="AI262" i="102"/>
  <c r="AI261" i="102"/>
  <c r="AI260" i="102"/>
  <c r="AI259" i="102"/>
  <c r="AI258" i="102"/>
  <c r="AI257" i="102"/>
  <c r="AI256" i="102"/>
  <c r="AI255" i="102"/>
  <c r="AI254" i="102"/>
  <c r="AI253" i="102"/>
  <c r="AI252" i="102"/>
  <c r="AI251" i="102"/>
  <c r="AI250" i="102"/>
  <c r="AI249" i="102"/>
  <c r="AI248" i="102"/>
  <c r="AI247" i="102"/>
  <c r="AI246" i="102"/>
  <c r="AI245" i="102"/>
  <c r="AI244" i="102"/>
  <c r="AI243" i="102"/>
  <c r="AI242" i="102"/>
  <c r="AI241" i="102"/>
  <c r="AI240" i="102"/>
  <c r="AI239" i="102"/>
  <c r="AI238" i="102"/>
  <c r="AI237" i="102"/>
  <c r="AI236" i="102"/>
  <c r="AI235" i="102"/>
  <c r="AI234" i="102"/>
  <c r="AI233" i="102"/>
  <c r="AI232" i="102"/>
  <c r="AI231" i="102"/>
  <c r="AI230" i="102"/>
  <c r="AI229" i="102"/>
  <c r="AI228" i="102"/>
  <c r="AI227" i="102"/>
  <c r="AI226" i="102"/>
  <c r="AI225" i="102"/>
  <c r="AI224" i="102"/>
  <c r="AI223" i="102"/>
  <c r="AI222" i="102"/>
  <c r="AI221" i="102"/>
  <c r="AI220" i="102"/>
  <c r="AI219" i="102"/>
  <c r="AI218" i="102"/>
  <c r="AI217" i="102"/>
  <c r="AI216" i="102"/>
  <c r="AI215" i="102"/>
  <c r="AI214" i="102"/>
  <c r="AI213" i="102"/>
  <c r="AI212" i="102"/>
  <c r="AI211" i="102"/>
  <c r="AI210" i="102"/>
  <c r="AI209" i="102"/>
  <c r="AI208" i="102"/>
  <c r="AI207" i="102"/>
  <c r="AI206" i="102"/>
  <c r="AI205" i="102"/>
  <c r="AI204" i="102"/>
  <c r="AI203" i="102"/>
  <c r="AI202" i="102"/>
  <c r="AI201" i="102"/>
  <c r="AI200" i="102"/>
  <c r="AI199" i="102"/>
  <c r="AI198" i="102"/>
  <c r="AI197" i="102"/>
  <c r="AI196" i="102"/>
  <c r="AI195" i="102"/>
  <c r="AI194" i="102"/>
  <c r="AI193" i="102"/>
  <c r="AI192" i="102"/>
  <c r="AI191" i="102"/>
  <c r="AI190" i="102"/>
  <c r="AI189" i="102"/>
  <c r="AI188" i="102"/>
  <c r="AI187" i="102"/>
  <c r="AI186" i="102"/>
  <c r="AI185" i="102"/>
  <c r="AI184" i="102"/>
  <c r="AI183" i="102"/>
  <c r="AI182" i="102"/>
  <c r="AI181" i="102"/>
  <c r="AI180" i="102"/>
  <c r="AI179" i="102"/>
  <c r="AI4" i="102"/>
  <c r="G398" i="102" l="1"/>
  <c r="I398" i="102"/>
  <c r="K398" i="102"/>
  <c r="AI353" i="102"/>
  <c r="AI340" i="102"/>
  <c r="AI178" i="102"/>
  <c r="AI318" i="102"/>
  <c r="AG347" i="102"/>
  <c r="AG318" i="102"/>
  <c r="AI347" i="102"/>
  <c r="AG357" i="102"/>
  <c r="AG353" i="102"/>
  <c r="AG340" i="102"/>
  <c r="AG263" i="102"/>
  <c r="AG3" i="102"/>
  <c r="AI263" i="102"/>
  <c r="AI357" i="102"/>
  <c r="AI3" i="102"/>
  <c r="AG179" i="102" l="1"/>
  <c r="AG248" i="102"/>
  <c r="AG211" i="102"/>
  <c r="AG260" i="102"/>
  <c r="AG183" i="102"/>
  <c r="AG249" i="102"/>
  <c r="AG205" i="102"/>
  <c r="AG241" i="102"/>
  <c r="AG234" i="102"/>
  <c r="AG208" i="102"/>
  <c r="AG259" i="102"/>
  <c r="AG194" i="102"/>
  <c r="AG202" i="102"/>
  <c r="AG229" i="102"/>
  <c r="AG233" i="102"/>
  <c r="AG207" i="102"/>
  <c r="AG188" i="102"/>
  <c r="AG244" i="102"/>
  <c r="AG213" i="102"/>
  <c r="AG190" i="102"/>
  <c r="AG240" i="102"/>
  <c r="AG198" i="102"/>
  <c r="AG186" i="102"/>
  <c r="AG235" i="102"/>
  <c r="AG184" i="102"/>
  <c r="AG181" i="102"/>
  <c r="AG246" i="102"/>
  <c r="AG210" i="102"/>
  <c r="AG237" i="102"/>
  <c r="AG201" i="102"/>
  <c r="AG256" i="102"/>
  <c r="AG200" i="102"/>
  <c r="AG180" i="102"/>
  <c r="AG255" i="102"/>
  <c r="AG262" i="102"/>
  <c r="AG226" i="102"/>
  <c r="AG187" i="102"/>
  <c r="AG221" i="102"/>
  <c r="AG223" i="102"/>
  <c r="AG227" i="102"/>
  <c r="AG253" i="102"/>
  <c r="AG224" i="102"/>
  <c r="AG212" i="102"/>
  <c r="AG236" i="102"/>
  <c r="AG230" i="102"/>
  <c r="AG197" i="102"/>
  <c r="AG218" i="102"/>
  <c r="AG258" i="102"/>
  <c r="AG251" i="102"/>
  <c r="AG225" i="102"/>
  <c r="AG192" i="102"/>
  <c r="AG193" i="102"/>
  <c r="AG214" i="102"/>
  <c r="AG182" i="102"/>
  <c r="AG252" i="102"/>
  <c r="AG238" i="102"/>
  <c r="AG250" i="102"/>
  <c r="AG254" i="102"/>
  <c r="AG239" i="102"/>
  <c r="AG216" i="102"/>
  <c r="AG261" i="102"/>
  <c r="AG203" i="102"/>
  <c r="AG257" i="102"/>
  <c r="AG220" i="102"/>
  <c r="AG215" i="102"/>
  <c r="AG232" i="102"/>
  <c r="AG199" i="102"/>
  <c r="AG247" i="102"/>
  <c r="AG219" i="102"/>
  <c r="AG189" i="102"/>
  <c r="AG228" i="102"/>
  <c r="AG243" i="102"/>
  <c r="AG222" i="102"/>
  <c r="AG185" i="102"/>
  <c r="AG204" i="102"/>
  <c r="AG242" i="102"/>
  <c r="AG231" i="102"/>
  <c r="AG245" i="102"/>
  <c r="AG209" i="102"/>
  <c r="AG195" i="102"/>
  <c r="AG191" i="102"/>
  <c r="AG196" i="102"/>
  <c r="AG206" i="102"/>
  <c r="AG217" i="102"/>
  <c r="AG178" i="102" l="1"/>
</calcChain>
</file>

<file path=xl/sharedStrings.xml><?xml version="1.0" encoding="utf-8"?>
<sst xmlns="http://schemas.openxmlformats.org/spreadsheetml/2006/main" count="696" uniqueCount="692">
  <si>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</si>
  <si>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</si>
  <si>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</si>
  <si>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</si>
  <si>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</si>
  <si>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</si>
  <si>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</si>
  <si>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</si>
  <si>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</si>
  <si>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</si>
  <si>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</si>
  <si>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</si>
  <si>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</si>
  <si>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</si>
  <si>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</si>
  <si>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</si>
  <si>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</si>
  <si>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</si>
  <si>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</si>
  <si>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</si>
  <si>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</si>
  <si>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</si>
  <si>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</si>
  <si>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</si>
  <si>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</si>
  <si>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</si>
  <si>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</si>
  <si>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</si>
  <si>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</si>
  <si>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</si>
  <si>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</si>
  <si>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</si>
  <si>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</si>
  <si>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</si>
  <si>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</si>
  <si>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</si>
  <si>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</si>
  <si>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</si>
  <si>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</si>
  <si>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</si>
  <si>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</si>
  <si>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</si>
  <si>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</si>
  <si>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</si>
  <si>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</si>
  <si>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</si>
  <si>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</si>
  <si>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</si>
  <si>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</si>
  <si>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</si>
  <si>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</si>
  <si>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</si>
  <si>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</si>
  <si>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</si>
  <si>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</si>
  <si>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</si>
  <si>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</si>
  <si>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</si>
  <si>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</si>
  <si>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</si>
  <si>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</si>
  <si>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</si>
  <si>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</si>
  <si>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</si>
  <si>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</si>
  <si>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</si>
  <si>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</si>
  <si>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</si>
  <si>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</si>
  <si>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</si>
  <si>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</si>
  <si>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</si>
  <si>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</si>
  <si>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</si>
  <si>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</si>
  <si>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</si>
  <si>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</si>
  <si>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</si>
  <si>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</si>
  <si>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</si>
  <si>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</si>
  <si>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</si>
  <si>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</si>
  <si>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</si>
  <si>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</si>
  <si>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</si>
  <si>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</si>
  <si>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</si>
  <si>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</si>
  <si>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</si>
  <si>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</si>
  <si>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</si>
  <si>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</si>
  <si>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</si>
  <si>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</si>
  <si>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</si>
  <si>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</si>
  <si>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</si>
  <si>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</si>
  <si>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</si>
  <si>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</si>
  <si>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</si>
  <si>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</si>
  <si>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</si>
  <si>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</si>
  <si>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</si>
  <si>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</si>
  <si>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</si>
  <si>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</si>
  <si>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</si>
  <si>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</si>
  <si>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</si>
  <si>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</si>
  <si>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</si>
  <si>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</si>
  <si>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</si>
  <si>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</si>
  <si>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</si>
  <si>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</si>
  <si>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</si>
  <si>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</si>
  <si>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</si>
  <si>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</si>
  <si>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</si>
  <si>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</si>
  <si>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</si>
  <si>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</si>
  <si>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</si>
  <si>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</si>
  <si>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</si>
  <si>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</si>
  <si>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</si>
  <si>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</si>
  <si>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</si>
  <si>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</si>
  <si>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</si>
  <si>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</si>
  <si>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</si>
  <si>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</si>
  <si>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</si>
  <si>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</si>
  <si>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</si>
  <si>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</si>
  <si>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</si>
  <si>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</si>
  <si>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</si>
  <si>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</si>
  <si>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</si>
  <si>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</si>
  <si>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</si>
  <si>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</si>
  <si>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</si>
  <si>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</si>
  <si>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</si>
  <si>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</si>
  <si>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</si>
  <si>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</si>
  <si>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</si>
  <si>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</si>
  <si>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</si>
  <si>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</si>
  <si>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</si>
  <si>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</si>
  <si>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</si>
  <si>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</si>
  <si>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</si>
  <si>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</si>
  <si>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</si>
  <si>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</si>
  <si>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</si>
  <si>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</si>
  <si>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</si>
  <si>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</si>
  <si>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</si>
  <si>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</si>
  <si>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</si>
  <si>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</si>
  <si>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</si>
  <si>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</si>
  <si>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</si>
  <si>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</si>
  <si>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</si>
  <si>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</si>
  <si>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</si>
  <si>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</si>
  <si>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</si>
  <si>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</si>
  <si>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</si>
  <si>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</si>
  <si>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</si>
  <si>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</si>
  <si>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</si>
  <si>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</si>
  <si>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</si>
  <si>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</si>
  <si>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</si>
  <si>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</si>
  <si>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</si>
  <si>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</si>
  <si>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</si>
  <si>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</si>
  <si>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</si>
  <si>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</si>
  <si>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</si>
  <si>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</si>
  <si>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</si>
  <si>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</si>
  <si>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</si>
  <si>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</si>
  <si>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</si>
  <si>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</si>
  <si>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</si>
  <si>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</si>
  <si>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</si>
  <si>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</si>
  <si>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</si>
  <si>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</si>
  <si>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</si>
  <si>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</si>
  <si>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</si>
  <si>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</si>
  <si>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</si>
  <si>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</si>
  <si>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</si>
  <si>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</si>
  <si>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</si>
  <si>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</si>
  <si>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</si>
  <si>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</si>
  <si>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</si>
  <si>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</si>
  <si>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</si>
  <si>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</si>
  <si>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</si>
  <si>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</si>
  <si>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</si>
  <si>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</si>
  <si>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</si>
  <si>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</si>
  <si>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</si>
  <si>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</si>
  <si>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</si>
  <si>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</si>
  <si>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</si>
  <si>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</si>
  <si>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</si>
  <si>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</si>
  <si>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</si>
  <si>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</si>
  <si>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</si>
  <si>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</si>
  <si>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</si>
  <si>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</si>
  <si>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</si>
  <si>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</si>
  <si>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</si>
  <si>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</si>
  <si>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</si>
  <si>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</si>
  <si>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</si>
  <si>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</si>
  <si>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</si>
  <si>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</si>
  <si>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</si>
  <si>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</si>
  <si>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</si>
  <si>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</si>
  <si>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</si>
  <si>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</si>
  <si>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</si>
  <si>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</si>
  <si>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</si>
  <si>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</si>
  <si>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</si>
  <si>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</si>
  <si>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</si>
  <si>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</si>
  <si>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</si>
  <si>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</si>
  <si>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</si>
  <si>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</si>
  <si>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</si>
  <si>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</si>
  <si>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</si>
  <si>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</si>
  <si>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</si>
  <si>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</si>
  <si>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</si>
  <si>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</si>
  <si>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</si>
  <si>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</si>
  <si>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</si>
  <si>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</si>
  <si>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</si>
  <si>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</si>
  <si>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</si>
  <si>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</si>
  <si>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</si>
  <si>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</si>
  <si>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</si>
  <si>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</si>
  <si>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</si>
  <si>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</si>
  <si>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</si>
  <si>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</si>
  <si>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</si>
  <si>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</si>
  <si>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</si>
  <si>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</si>
  <si>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</si>
  <si>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</si>
  <si>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</si>
  <si>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</si>
  <si>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</si>
  <si>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</si>
  <si>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</si>
  <si>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</si>
  <si>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</si>
  <si>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</si>
  <si>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</si>
  <si>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</si>
  <si>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</si>
  <si>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</si>
  <si>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</si>
  <si>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</si>
  <si>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</si>
  <si>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</si>
  <si>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</si>
  <si>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</si>
  <si>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</si>
  <si>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</si>
  <si>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</si>
  <si>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</si>
  <si>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</si>
  <si>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</si>
  <si>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</si>
  <si>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</si>
  <si>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</si>
  <si>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</si>
  <si>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</si>
  <si>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</si>
  <si>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</si>
  <si>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</si>
  <si>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</si>
  <si>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</si>
  <si>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</si>
  <si>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</si>
  <si>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</si>
  <si>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</si>
  <si>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</si>
  <si>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</si>
  <si>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</si>
  <si>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</si>
  <si>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</si>
  <si>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</si>
  <si>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</si>
  <si>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</si>
  <si>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</si>
  <si>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</si>
  <si>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</si>
  <si>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</si>
  <si>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</si>
  <si>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</si>
  <si>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</si>
  <si>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</si>
  <si>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</si>
  <si>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</si>
  <si>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</si>
  <si>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</si>
  <si>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</si>
  <si>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</si>
  <si>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</si>
  <si>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</si>
  <si>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</si>
  <si>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</si>
  <si>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</si>
  <si>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</si>
  <si>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</si>
  <si>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</si>
  <si>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</si>
  <si>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</si>
  <si>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</si>
  <si>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</si>
  <si>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</si>
  <si>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</si>
  <si>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</si>
  <si>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</si>
  <si>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</si>
  <si>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</si>
  <si>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</si>
  <si>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</si>
  <si>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</si>
  <si>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</si>
  <si>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</si>
  <si>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</si>
  <si>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</si>
  <si>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</si>
  <si>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</si>
  <si>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</si>
  <si>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</si>
  <si>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</si>
  <si>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</si>
  <si>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</si>
  <si>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</si>
  <si>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</si>
  <si>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</si>
  <si>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</si>
  <si>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</si>
  <si>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</si>
  <si>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</si>
  <si>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</si>
  <si>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</si>
  <si>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</si>
  <si>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</si>
  <si>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</si>
  <si>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</si>
  <si>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</si>
  <si>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</si>
  <si>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</si>
  <si>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</si>
  <si>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</si>
  <si>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</si>
  <si>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</si>
  <si>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</si>
  <si>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</si>
  <si>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</si>
  <si>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</si>
  <si>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</si>
  <si>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</si>
  <si>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</si>
  <si>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</si>
  <si>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</si>
  <si>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</si>
  <si>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</si>
  <si>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</si>
  <si>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</si>
  <si>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</si>
  <si>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</si>
  <si>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</si>
  <si>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</si>
  <si>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</si>
  <si>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</si>
  <si>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</si>
  <si>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</si>
  <si>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</si>
  <si>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</si>
  <si>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</si>
  <si>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</si>
  <si>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</si>
  <si>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</si>
  <si>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</si>
  <si>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</si>
  <si>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</si>
  <si>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</si>
  <si>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</si>
  <si>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</si>
  <si>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</si>
  <si>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</si>
  <si>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</si>
  <si>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</si>
  <si>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</si>
  <si>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</si>
  <si>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</si>
  <si>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</si>
  <si>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</si>
  <si>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</si>
  <si>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</si>
  <si>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</si>
  <si>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</si>
  <si>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</si>
  <si>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</si>
  <si>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</si>
  <si>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</si>
  <si>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</si>
  <si>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</si>
  <si>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</si>
  <si>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</si>
  <si>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</si>
  <si>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</si>
  <si>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</si>
  <si>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</si>
  <si>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</si>
  <si>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</si>
  <si>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</si>
  <si>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</si>
  <si>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</si>
  <si>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</si>
  <si>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</si>
  <si>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</si>
  <si>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</si>
  <si>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</si>
  <si>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</si>
  <si>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</si>
  <si>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</si>
  <si>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</si>
  <si>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</si>
  <si>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</si>
  <si>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</si>
  <si>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</si>
  <si>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</si>
  <si>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</si>
  <si>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</si>
  <si>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</si>
  <si>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</si>
  <si>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</si>
  <si>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</si>
  <si>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</si>
  <si>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</si>
  <si>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</si>
  <si>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</si>
  <si>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</si>
  <si>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</si>
  <si>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</si>
  <si>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</si>
  <si>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</si>
  <si>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</si>
  <si>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</si>
  <si>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</si>
  <si>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</si>
  <si>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</si>
  <si>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</si>
  <si>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</si>
  <si>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</si>
  <si>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</si>
  <si>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</si>
  <si>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</si>
  <si>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</si>
  <si>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</si>
  <si>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</si>
  <si>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</si>
  <si>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</si>
  <si>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</si>
  <si>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</si>
  <si>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</si>
  <si>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</si>
  <si>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</si>
  <si>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</si>
  <si>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</si>
  <si>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</si>
  <si>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</si>
  <si>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</si>
  <si>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</si>
  <si>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</si>
  <si>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</si>
  <si>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</si>
  <si>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</si>
  <si>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</si>
  <si>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</si>
  <si>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</si>
  <si>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</si>
  <si>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</si>
  <si>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</si>
  <si>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</si>
  <si>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</si>
  <si>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</si>
  <si>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</si>
  <si>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</si>
  <si>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</si>
  <si>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</si>
  <si>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</si>
  <si>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</si>
  <si>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</si>
  <si>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</si>
  <si>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</si>
  <si>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</si>
  <si>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</si>
  <si>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</si>
  <si>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</si>
  <si>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</si>
  <si>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</si>
  <si>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</si>
  <si>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</si>
  <si>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</si>
  <si>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</si>
  <si>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</si>
  <si>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</si>
  <si>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</si>
  <si>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</si>
  <si>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</si>
  <si>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</si>
  <si>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</si>
  <si>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</si>
  <si>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</si>
  <si>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</si>
  <si>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</si>
  <si>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</si>
  <si>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</si>
  <si>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</si>
  <si>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</si>
  <si>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</si>
  <si>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</si>
  <si>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</si>
  <si>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</si>
  <si>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</si>
  <si>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</si>
  <si>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</si>
  <si>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</si>
  <si>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</si>
  <si>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</si>
  <si>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</si>
  <si>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</si>
  <si>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</si>
  <si>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</si>
  <si>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</si>
  <si>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</si>
  <si>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</si>
  <si>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</si>
  <si>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</si>
  <si>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</si>
  <si>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</si>
  <si>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</si>
  <si>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</si>
  <si>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</si>
  <si>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</si>
  <si>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</si>
  <si>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</si>
  <si>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</si>
  <si>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</si>
  <si>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</si>
  <si>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</si>
  <si>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</si>
  <si>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</si>
  <si>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</si>
  <si>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</si>
  <si>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</si>
  <si>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</si>
  <si>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</si>
  <si>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</si>
  <si>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</si>
  <si>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</si>
  <si>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</si>
  <si>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</si>
  <si>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</si>
  <si>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</si>
  <si>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</si>
  <si>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</si>
  <si>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</si>
  <si>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</si>
  <si>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</si>
  <si>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</si>
  <si>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</si>
  <si>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</si>
  <si>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</si>
  <si>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</si>
  <si>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</si>
  <si>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</si>
  <si>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</si>
  <si>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</si>
  <si>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</si>
  <si>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</si>
  <si>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</si>
  <si>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</si>
  <si>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</si>
  <si>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</si>
  <si>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</si>
  <si>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</si>
  <si>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</si>
  <si>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</si>
  <si>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</si>
  <si>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</si>
  <si>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</si>
  <si>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</si>
  <si>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</si>
  <si>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</si>
  <si>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</si>
  <si>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</si>
  <si>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</si>
  <si>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</si>
  <si>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</si>
  <si>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</si>
  <si>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</si>
  <si>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</si>
  <si>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</si>
  <si>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</si>
  <si>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</si>
  <si>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</si>
  <si>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</si>
  <si>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</si>
  <si>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</si>
  <si>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</si>
  <si>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</si>
  <si>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</si>
  <si>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</si>
  <si>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</si>
  <si>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 xml:space="preserve">Заказ Патяки 19.01.26. </t>
  </si>
  <si>
    <t>Заказ Ф1</t>
  </si>
  <si>
    <t>Заказ,кг Ф1</t>
  </si>
  <si>
    <t>Заказ Ф2</t>
  </si>
  <si>
    <t>Заказ,кг Ф2</t>
  </si>
  <si>
    <t>Ф1</t>
  </si>
  <si>
    <t>Ф2</t>
  </si>
  <si>
    <t>Общий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</si>
</sst>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9"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  <xf numFmtId="0" fontId="4" fillId="12" borderId="13" xfId="1" applyFont="1" applyFill="1" applyBorder="1" applyAlignment="1">
      <alignment horizontal="center" vertical="center"/>
    </xf>
    <xf numFmtId="1" fontId="4" fillId="12" borderId="5" xfId="0" applyNumberFormat="1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1" fontId="4" fillId="12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3" borderId="13" xfId="1" applyFont="1" applyFill="1" applyBorder="1" applyAlignment="1">
      <alignment horizontal="center" vertical="center"/>
    </xf>
    <xf numFmtId="1" fontId="4" fillId="13" borderId="5" xfId="0" applyNumberFormat="1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1" fontId="4" fillId="13" borderId="4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2" borderId="18" xfId="0" applyFill="1" applyBorder="1" applyAlignment="1">
      <alignment vertical="top" wrapText="1" indent="2"/>
    </xf>
  </cellXfs>
  <cellStyles count="2">
    <cellStyle name="Обычный" xfId="0" builtinId="0"/>
    <cellStyle name="УровеньСтрок_1" xfId="1" builtinId="1" iLevel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I399"/>
  <sheetViews>
    <sheetView tabSelected="1" zoomScale="80" zoomScaleNormal="80" workbookViewId="0">
      <selection activeCell="A178" sqref="A178:XFD398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2.8554687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20.140625" style="2" hidden="1" customWidth="1"/>
    <col min="9" max="9" width="16" style="2" hidden="1" customWidth="1"/>
    <col min="10" max="10" width="20.140625" style="2" hidden="1" customWidth="1"/>
    <col min="11" max="11" width="16" style="2" hidden="1" customWidth="1"/>
    <col min="12" max="12" width="10.7109375" style="2" customWidth="1"/>
    <col min="13" max="27" width="9.140625" style="2"/>
    <col min="28" max="29" width="9.140625" style="3"/>
    <col min="30" max="30" width="9.140625" style="2"/>
    <col min="31" max="35" width="9.140625" style="2" hidden="1" customWidth="1"/>
  </cols>
  <sheetData>
    <row r="1" spans="1:35" ht="24" thickBot="1" x14ac:dyDescent="0.3">
      <c r="C1" s="114" t="s">
        <v>684</v>
      </c>
      <c r="F1" s="1" t="s">
        <v>691</v>
      </c>
      <c r="G1" s="127"/>
      <c r="H1" s="1" t="s">
        <v>689</v>
      </c>
      <c r="I1" s="127"/>
      <c r="J1" s="1" t="s">
        <v>690</v>
      </c>
      <c r="K1" s="127"/>
    </row>
    <row r="2" spans="1:35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37" t="s">
        <v>685</v>
      </c>
      <c r="I2" s="38" t="s">
        <v>686</v>
      </c>
      <c r="J2" s="37" t="s">
        <v>687</v>
      </c>
      <c r="K2" s="38" t="s">
        <v>688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5"/>
      <c r="AE2" s="25" t="s">
        <v>1</v>
      </c>
      <c r="AF2" s="20"/>
      <c r="AG2" s="25" t="s">
        <v>189</v>
      </c>
      <c r="AH2" s="20"/>
      <c r="AI2" s="26" t="s">
        <v>190</v>
      </c>
    </row>
    <row r="3" spans="1:35" s="4" customFormat="1" ht="19.5" thickBot="1" x14ac:dyDescent="0.3">
      <c r="B3" s="72"/>
      <c r="C3" s="33" t="s">
        <v>2</v>
      </c>
      <c r="D3" s="33"/>
      <c r="E3" s="23"/>
      <c r="F3" s="23">
        <f>SUM(F4:F177)</f>
        <v>7352</v>
      </c>
      <c r="G3" s="27">
        <f>SUM(G4:G177)</f>
        <v>5760.2</v>
      </c>
      <c r="H3" s="23">
        <f>SUM(H4:H177)</f>
        <v>1184</v>
      </c>
      <c r="I3" s="27">
        <f>SUM(I4:I177)</f>
        <v>1168.4000000000001</v>
      </c>
      <c r="J3" s="23">
        <f>SUM(J4:J177)</f>
        <v>6168</v>
      </c>
      <c r="K3" s="27">
        <f>SUM(K4:K177)</f>
        <v>4591.7999999999993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8"/>
      <c r="AC3" s="8"/>
      <c r="AD3" s="7"/>
      <c r="AE3" s="18"/>
      <c r="AF3" s="21"/>
      <c r="AG3" s="19">
        <f>SUM(AG4:AG177)</f>
        <v>86.149499999999989</v>
      </c>
      <c r="AH3" s="21"/>
      <c r="AI3" s="19" t="e">
        <f>SUM(AI4:AI177)</f>
        <v>#REF!</v>
      </c>
    </row>
    <row r="4" spans="1:35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>
        <v>0</v>
      </c>
      <c r="G4" s="22">
        <f>F4*E4</f>
        <v>0</v>
      </c>
      <c r="H4" s="14"/>
      <c r="I4" s="22">
        <f>H4*E4</f>
        <v>0</v>
      </c>
      <c r="J4" s="14"/>
      <c r="K4" s="22">
        <f>J4*E4</f>
        <v>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0"/>
      <c r="AD4" s="9"/>
      <c r="AE4" s="15">
        <v>1</v>
      </c>
      <c r="AF4" s="9"/>
      <c r="AG4" s="15">
        <f>AE4*E4</f>
        <v>1</v>
      </c>
      <c r="AH4" s="9"/>
      <c r="AI4" s="15" t="e">
        <f>AE4*#REF!</f>
        <v>#REF!</v>
      </c>
    </row>
    <row r="5" spans="1:35" ht="18.75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>
        <v>60</v>
      </c>
      <c r="G5" s="22">
        <f t="shared" ref="G5:G9" si="0">F5*E5</f>
        <v>60</v>
      </c>
      <c r="H5" s="14">
        <v>30</v>
      </c>
      <c r="I5" s="22">
        <f t="shared" ref="I5:I68" si="1">H5*E5</f>
        <v>30</v>
      </c>
      <c r="J5" s="14">
        <v>30</v>
      </c>
      <c r="K5" s="22">
        <f t="shared" ref="K5:K68" si="2">J5*E5</f>
        <v>30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0"/>
      <c r="AD5" s="9"/>
      <c r="AE5" s="15"/>
      <c r="AF5" s="9"/>
      <c r="AG5" s="15"/>
      <c r="AH5" s="9"/>
      <c r="AI5" s="15"/>
    </row>
    <row r="6" spans="1:35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>
        <v>0</v>
      </c>
      <c r="G6" s="22">
        <f t="shared" si="0"/>
        <v>0</v>
      </c>
      <c r="H6" s="14"/>
      <c r="I6" s="22">
        <f t="shared" si="1"/>
        <v>0</v>
      </c>
      <c r="J6" s="14"/>
      <c r="K6" s="22">
        <f t="shared" si="2"/>
        <v>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0"/>
      <c r="AD6" s="9"/>
      <c r="AE6" s="15"/>
      <c r="AF6" s="9"/>
      <c r="AG6" s="15"/>
      <c r="AH6" s="9"/>
      <c r="AI6" s="15"/>
    </row>
    <row r="7" spans="1:35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>
        <v>0</v>
      </c>
      <c r="G7" s="22">
        <f t="shared" si="0"/>
        <v>0</v>
      </c>
      <c r="H7" s="14"/>
      <c r="I7" s="22">
        <f t="shared" si="1"/>
        <v>0</v>
      </c>
      <c r="J7" s="14"/>
      <c r="K7" s="22">
        <f t="shared" si="2"/>
        <v>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0"/>
      <c r="AD7" s="9"/>
      <c r="AE7" s="15"/>
      <c r="AF7" s="9"/>
      <c r="AG7" s="15"/>
      <c r="AH7" s="9"/>
      <c r="AI7" s="15"/>
    </row>
    <row r="8" spans="1:35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>
        <v>0</v>
      </c>
      <c r="G8" s="22">
        <f t="shared" si="0"/>
        <v>0</v>
      </c>
      <c r="H8" s="14"/>
      <c r="I8" s="22">
        <f t="shared" si="1"/>
        <v>0</v>
      </c>
      <c r="J8" s="14"/>
      <c r="K8" s="22">
        <f t="shared" si="2"/>
        <v>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0"/>
      <c r="AD8" s="9"/>
      <c r="AE8" s="15"/>
      <c r="AF8" s="9"/>
      <c r="AG8" s="15"/>
      <c r="AH8" s="9"/>
      <c r="AI8" s="15"/>
    </row>
    <row r="9" spans="1:35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>
        <v>0</v>
      </c>
      <c r="G9" s="22">
        <f t="shared" si="0"/>
        <v>0</v>
      </c>
      <c r="H9" s="14"/>
      <c r="I9" s="22">
        <f t="shared" si="1"/>
        <v>0</v>
      </c>
      <c r="J9" s="14"/>
      <c r="K9" s="22">
        <f t="shared" si="2"/>
        <v>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0"/>
      <c r="AD9" s="9"/>
      <c r="AE9" s="15"/>
      <c r="AF9" s="9"/>
      <c r="AG9" s="15"/>
      <c r="AH9" s="9"/>
      <c r="AI9" s="15"/>
    </row>
    <row r="10" spans="1:35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50</v>
      </c>
      <c r="G10" s="22">
        <f t="shared" ref="G10:G12" si="3">F10*E10</f>
        <v>50</v>
      </c>
      <c r="H10" s="14"/>
      <c r="I10" s="22">
        <f t="shared" si="1"/>
        <v>0</v>
      </c>
      <c r="J10" s="14">
        <v>50</v>
      </c>
      <c r="K10" s="22">
        <f t="shared" si="2"/>
        <v>50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0"/>
      <c r="AD10" s="9"/>
      <c r="AE10" s="15"/>
      <c r="AF10" s="9"/>
      <c r="AG10" s="15"/>
      <c r="AH10" s="9"/>
      <c r="AI10" s="15"/>
    </row>
    <row r="11" spans="1:35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>
        <v>0</v>
      </c>
      <c r="G11" s="22">
        <f t="shared" si="3"/>
        <v>0</v>
      </c>
      <c r="H11" s="14"/>
      <c r="I11" s="22">
        <f t="shared" si="1"/>
        <v>0</v>
      </c>
      <c r="J11" s="14"/>
      <c r="K11" s="22">
        <f t="shared" si="2"/>
        <v>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9"/>
      <c r="AE11" s="15"/>
      <c r="AF11" s="9"/>
      <c r="AG11" s="15"/>
      <c r="AH11" s="9"/>
      <c r="AI11" s="15"/>
    </row>
    <row r="12" spans="1:35" ht="16.5" hidden="1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>
        <v>0</v>
      </c>
      <c r="G12" s="22">
        <f t="shared" si="3"/>
        <v>0</v>
      </c>
      <c r="H12" s="14"/>
      <c r="I12" s="22">
        <f t="shared" si="1"/>
        <v>0</v>
      </c>
      <c r="J12" s="14"/>
      <c r="K12" s="22">
        <f t="shared" si="2"/>
        <v>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0"/>
      <c r="AD12" s="9"/>
      <c r="AE12" s="15"/>
      <c r="AF12" s="9"/>
      <c r="AG12" s="15"/>
      <c r="AH12" s="9"/>
      <c r="AI12" s="15"/>
    </row>
    <row r="13" spans="1:35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1000</v>
      </c>
      <c r="G13" s="22">
        <f t="shared" ref="G13:G23" si="4">F13*E13</f>
        <v>1000</v>
      </c>
      <c r="H13" s="14"/>
      <c r="I13" s="22">
        <f t="shared" si="1"/>
        <v>0</v>
      </c>
      <c r="J13" s="14">
        <v>1000</v>
      </c>
      <c r="K13" s="22">
        <f t="shared" si="2"/>
        <v>1000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0"/>
      <c r="AD13" s="9"/>
      <c r="AE13" s="15"/>
      <c r="AF13" s="9"/>
      <c r="AG13" s="15"/>
      <c r="AH13" s="9"/>
      <c r="AI13" s="15"/>
    </row>
    <row r="14" spans="1:35" ht="16.5" hidden="1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0</v>
      </c>
      <c r="G14" s="22">
        <f t="shared" si="4"/>
        <v>0</v>
      </c>
      <c r="H14" s="14"/>
      <c r="I14" s="22">
        <f t="shared" si="1"/>
        <v>0</v>
      </c>
      <c r="J14" s="14"/>
      <c r="K14" s="22">
        <f t="shared" si="2"/>
        <v>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9"/>
      <c r="AE14" s="15"/>
      <c r="AF14" s="9"/>
      <c r="AG14" s="15"/>
      <c r="AH14" s="9"/>
      <c r="AI14" s="15"/>
    </row>
    <row r="15" spans="1:35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>
        <v>0</v>
      </c>
      <c r="G15" s="22">
        <f t="shared" si="4"/>
        <v>0</v>
      </c>
      <c r="H15" s="14"/>
      <c r="I15" s="22">
        <f t="shared" si="1"/>
        <v>0</v>
      </c>
      <c r="J15" s="14"/>
      <c r="K15" s="22">
        <f t="shared" si="2"/>
        <v>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0"/>
      <c r="AD15" s="9"/>
      <c r="AE15" s="15"/>
      <c r="AF15" s="9"/>
      <c r="AG15" s="15"/>
      <c r="AH15" s="9"/>
      <c r="AI15" s="15"/>
    </row>
    <row r="16" spans="1:35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>
        <v>0</v>
      </c>
      <c r="G16" s="22">
        <f t="shared" si="4"/>
        <v>0</v>
      </c>
      <c r="H16" s="14"/>
      <c r="I16" s="22">
        <f t="shared" si="1"/>
        <v>0</v>
      </c>
      <c r="J16" s="14"/>
      <c r="K16" s="22">
        <f t="shared" si="2"/>
        <v>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0"/>
      <c r="AD16" s="9"/>
      <c r="AE16" s="15"/>
      <c r="AF16" s="9"/>
      <c r="AG16" s="15"/>
      <c r="AH16" s="9"/>
      <c r="AI16" s="15"/>
    </row>
    <row r="17" spans="1:35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>
        <v>0</v>
      </c>
      <c r="G17" s="22">
        <f t="shared" si="4"/>
        <v>0</v>
      </c>
      <c r="H17" s="14"/>
      <c r="I17" s="22">
        <f t="shared" si="1"/>
        <v>0</v>
      </c>
      <c r="J17" s="14"/>
      <c r="K17" s="22">
        <f t="shared" si="2"/>
        <v>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9"/>
      <c r="AE17" s="15"/>
      <c r="AF17" s="9"/>
      <c r="AG17" s="15"/>
      <c r="AH17" s="9"/>
      <c r="AI17" s="15"/>
    </row>
    <row r="18" spans="1:35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>
        <v>0</v>
      </c>
      <c r="G18" s="22">
        <f t="shared" si="4"/>
        <v>0</v>
      </c>
      <c r="H18" s="14"/>
      <c r="I18" s="22">
        <f t="shared" si="1"/>
        <v>0</v>
      </c>
      <c r="J18" s="14"/>
      <c r="K18" s="22">
        <f t="shared" si="2"/>
        <v>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9"/>
      <c r="AE18" s="15"/>
      <c r="AF18" s="9"/>
      <c r="AG18" s="15"/>
      <c r="AH18" s="9"/>
      <c r="AI18" s="15"/>
    </row>
    <row r="19" spans="1:35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>
        <v>0</v>
      </c>
      <c r="G19" s="22">
        <f t="shared" si="4"/>
        <v>0</v>
      </c>
      <c r="H19" s="14"/>
      <c r="I19" s="22">
        <f t="shared" si="1"/>
        <v>0</v>
      </c>
      <c r="J19" s="14"/>
      <c r="K19" s="22">
        <f t="shared" si="2"/>
        <v>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9"/>
      <c r="AE19" s="15"/>
      <c r="AF19" s="9"/>
      <c r="AG19" s="15"/>
      <c r="AH19" s="9"/>
      <c r="AI19" s="15"/>
    </row>
    <row r="20" spans="1:35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>
        <v>0</v>
      </c>
      <c r="G20" s="22">
        <f t="shared" si="4"/>
        <v>0</v>
      </c>
      <c r="H20" s="14"/>
      <c r="I20" s="22">
        <f t="shared" si="1"/>
        <v>0</v>
      </c>
      <c r="J20" s="14"/>
      <c r="K20" s="22">
        <f t="shared" si="2"/>
        <v>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10"/>
      <c r="AD20" s="9"/>
      <c r="AE20" s="15"/>
      <c r="AF20" s="9"/>
      <c r="AG20" s="15"/>
      <c r="AH20" s="9"/>
      <c r="AI20" s="15"/>
    </row>
    <row r="21" spans="1:35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>
        <v>0</v>
      </c>
      <c r="G21" s="22">
        <f t="shared" si="4"/>
        <v>0</v>
      </c>
      <c r="H21" s="14"/>
      <c r="I21" s="22">
        <f t="shared" si="1"/>
        <v>0</v>
      </c>
      <c r="J21" s="14"/>
      <c r="K21" s="22">
        <f t="shared" si="2"/>
        <v>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10"/>
      <c r="AD21" s="9"/>
      <c r="AE21" s="15"/>
      <c r="AF21" s="9"/>
      <c r="AG21" s="15"/>
      <c r="AH21" s="9"/>
      <c r="AI21" s="15"/>
    </row>
    <row r="22" spans="1:35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>
        <v>0</v>
      </c>
      <c r="G22" s="22">
        <f t="shared" si="4"/>
        <v>0</v>
      </c>
      <c r="H22" s="14"/>
      <c r="I22" s="22">
        <f t="shared" si="1"/>
        <v>0</v>
      </c>
      <c r="J22" s="14"/>
      <c r="K22" s="22">
        <f t="shared" si="2"/>
        <v>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9"/>
      <c r="AE22" s="15"/>
      <c r="AF22" s="9"/>
      <c r="AG22" s="15"/>
      <c r="AH22" s="9"/>
      <c r="AI22" s="15"/>
    </row>
    <row r="23" spans="1:35" ht="16.5" hidden="1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>
        <v>0</v>
      </c>
      <c r="G23" s="22">
        <f t="shared" si="4"/>
        <v>0</v>
      </c>
      <c r="H23" s="14"/>
      <c r="I23" s="22">
        <f t="shared" si="1"/>
        <v>0</v>
      </c>
      <c r="J23" s="14"/>
      <c r="K23" s="22">
        <f t="shared" si="2"/>
        <v>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10"/>
      <c r="AD23" s="9"/>
      <c r="AE23" s="15"/>
      <c r="AF23" s="9"/>
      <c r="AG23" s="15"/>
      <c r="AH23" s="9"/>
      <c r="AI23" s="15"/>
    </row>
    <row r="24" spans="1:35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>
        <v>0</v>
      </c>
      <c r="G24" s="22">
        <f t="shared" ref="G24:G87" si="5">F24*E24</f>
        <v>0</v>
      </c>
      <c r="H24" s="14"/>
      <c r="I24" s="22">
        <f t="shared" si="1"/>
        <v>0</v>
      </c>
      <c r="J24" s="14"/>
      <c r="K24" s="22">
        <f t="shared" si="2"/>
        <v>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10"/>
      <c r="AD24" s="9"/>
      <c r="AE24" s="15">
        <v>1</v>
      </c>
      <c r="AF24" s="9"/>
      <c r="AG24" s="15">
        <f t="shared" ref="AG24:AG55" si="6">AE24*E24</f>
        <v>1</v>
      </c>
      <c r="AH24" s="9"/>
      <c r="AI24" s="15" t="e">
        <f>AE24*#REF!</f>
        <v>#REF!</v>
      </c>
    </row>
    <row r="25" spans="1:35" ht="16.5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>
        <v>50</v>
      </c>
      <c r="G25" s="22">
        <f t="shared" si="5"/>
        <v>50</v>
      </c>
      <c r="H25" s="14">
        <v>50</v>
      </c>
      <c r="I25" s="22">
        <f t="shared" si="1"/>
        <v>50</v>
      </c>
      <c r="J25" s="14"/>
      <c r="K25" s="22">
        <f t="shared" si="2"/>
        <v>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10"/>
      <c r="AD25" s="9"/>
      <c r="AE25" s="15">
        <v>1</v>
      </c>
      <c r="AF25" s="9"/>
      <c r="AG25" s="15">
        <f t="shared" si="6"/>
        <v>1</v>
      </c>
      <c r="AH25" s="9"/>
      <c r="AI25" s="15" t="e">
        <f>AE25*#REF!</f>
        <v>#REF!</v>
      </c>
    </row>
    <row r="26" spans="1:35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>
        <v>0</v>
      </c>
      <c r="G26" s="22">
        <f t="shared" si="5"/>
        <v>0</v>
      </c>
      <c r="H26" s="14"/>
      <c r="I26" s="22">
        <f t="shared" si="1"/>
        <v>0</v>
      </c>
      <c r="J26" s="14"/>
      <c r="K26" s="22">
        <f t="shared" si="2"/>
        <v>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10"/>
      <c r="AD26" s="9"/>
      <c r="AE26" s="15">
        <v>1</v>
      </c>
      <c r="AF26" s="9"/>
      <c r="AG26" s="15">
        <f t="shared" si="6"/>
        <v>1</v>
      </c>
      <c r="AH26" s="9"/>
      <c r="AI26" s="15" t="e">
        <f>AE26*#REF!</f>
        <v>#REF!</v>
      </c>
    </row>
    <row r="27" spans="1:35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>
        <v>0</v>
      </c>
      <c r="G27" s="22">
        <f t="shared" si="5"/>
        <v>0</v>
      </c>
      <c r="H27" s="14"/>
      <c r="I27" s="22">
        <f t="shared" si="1"/>
        <v>0</v>
      </c>
      <c r="J27" s="14"/>
      <c r="K27" s="22">
        <f t="shared" si="2"/>
        <v>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10"/>
      <c r="AD27" s="9"/>
      <c r="AE27" s="15">
        <v>1</v>
      </c>
      <c r="AF27" s="9"/>
      <c r="AG27" s="15">
        <f t="shared" si="6"/>
        <v>1</v>
      </c>
      <c r="AH27" s="9"/>
      <c r="AI27" s="15" t="e">
        <f>AE27*#REF!</f>
        <v>#REF!</v>
      </c>
    </row>
    <row r="28" spans="1:35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>
        <v>0</v>
      </c>
      <c r="G28" s="22">
        <f t="shared" si="5"/>
        <v>0</v>
      </c>
      <c r="H28" s="14"/>
      <c r="I28" s="22">
        <f t="shared" si="1"/>
        <v>0</v>
      </c>
      <c r="J28" s="14"/>
      <c r="K28" s="22">
        <f t="shared" si="2"/>
        <v>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9"/>
      <c r="AE28" s="15">
        <v>1</v>
      </c>
      <c r="AF28" s="9"/>
      <c r="AG28" s="15">
        <f t="shared" si="6"/>
        <v>1</v>
      </c>
      <c r="AH28" s="9"/>
      <c r="AI28" s="15" t="e">
        <f>AE28*#REF!</f>
        <v>#REF!</v>
      </c>
    </row>
    <row r="29" spans="1:35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>
        <v>0</v>
      </c>
      <c r="G29" s="22">
        <f t="shared" si="5"/>
        <v>0</v>
      </c>
      <c r="H29" s="14"/>
      <c r="I29" s="22">
        <f t="shared" si="1"/>
        <v>0</v>
      </c>
      <c r="J29" s="14"/>
      <c r="K29" s="22">
        <f t="shared" si="2"/>
        <v>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10"/>
      <c r="AD29" s="9"/>
      <c r="AE29" s="15">
        <v>1</v>
      </c>
      <c r="AF29" s="9"/>
      <c r="AG29" s="15">
        <f t="shared" si="6"/>
        <v>1</v>
      </c>
      <c r="AH29" s="9"/>
      <c r="AI29" s="15" t="e">
        <f>AE29*#REF!</f>
        <v>#REF!</v>
      </c>
    </row>
    <row r="30" spans="1:35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>
        <v>0</v>
      </c>
      <c r="G30" s="22">
        <f t="shared" si="5"/>
        <v>0</v>
      </c>
      <c r="H30" s="14"/>
      <c r="I30" s="22">
        <f t="shared" si="1"/>
        <v>0</v>
      </c>
      <c r="J30" s="14"/>
      <c r="K30" s="22">
        <f t="shared" si="2"/>
        <v>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9"/>
      <c r="AE30" s="15">
        <v>1</v>
      </c>
      <c r="AF30" s="9"/>
      <c r="AG30" s="15">
        <f t="shared" si="6"/>
        <v>1</v>
      </c>
      <c r="AH30" s="9"/>
      <c r="AI30" s="15" t="e">
        <f>AE30*#REF!</f>
        <v>#REF!</v>
      </c>
    </row>
    <row r="31" spans="1:35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100</v>
      </c>
      <c r="G31" s="22">
        <f t="shared" si="5"/>
        <v>100</v>
      </c>
      <c r="H31" s="14">
        <v>50</v>
      </c>
      <c r="I31" s="22">
        <f t="shared" si="1"/>
        <v>50</v>
      </c>
      <c r="J31" s="14">
        <v>50</v>
      </c>
      <c r="K31" s="22">
        <f t="shared" si="2"/>
        <v>50</v>
      </c>
      <c r="L31" s="9"/>
      <c r="M31" s="9"/>
      <c r="N31" s="128"/>
      <c r="O31" s="128"/>
      <c r="P31" s="128"/>
      <c r="Q31" s="128"/>
      <c r="R31" s="128"/>
      <c r="S31" s="128"/>
      <c r="T31" s="128"/>
      <c r="U31" s="128"/>
      <c r="V31" s="128"/>
      <c r="W31" s="9"/>
      <c r="X31" s="9"/>
      <c r="Y31" s="9"/>
      <c r="Z31" s="9"/>
      <c r="AA31" s="9"/>
      <c r="AB31" s="10"/>
      <c r="AC31" s="10"/>
      <c r="AD31" s="9"/>
      <c r="AE31" s="15">
        <v>1</v>
      </c>
      <c r="AF31" s="9"/>
      <c r="AG31" s="15">
        <f t="shared" si="6"/>
        <v>1</v>
      </c>
      <c r="AH31" s="9"/>
      <c r="AI31" s="15" t="e">
        <f>AE31*#REF!</f>
        <v>#REF!</v>
      </c>
    </row>
    <row r="32" spans="1:35" ht="16.5" hidden="1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0</v>
      </c>
      <c r="G32" s="22">
        <f t="shared" si="5"/>
        <v>0</v>
      </c>
      <c r="H32" s="14"/>
      <c r="I32" s="22">
        <f t="shared" si="1"/>
        <v>0</v>
      </c>
      <c r="J32" s="14"/>
      <c r="K32" s="22">
        <f t="shared" si="2"/>
        <v>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10"/>
      <c r="AD32" s="9"/>
      <c r="AE32" s="15">
        <v>1</v>
      </c>
      <c r="AF32" s="9"/>
      <c r="AG32" s="15">
        <f t="shared" si="6"/>
        <v>1</v>
      </c>
      <c r="AH32" s="9"/>
      <c r="AI32" s="15" t="e">
        <f>AE32*#REF!</f>
        <v>#REF!</v>
      </c>
    </row>
    <row r="33" spans="1:35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>
        <v>0</v>
      </c>
      <c r="G33" s="22">
        <f t="shared" si="5"/>
        <v>0</v>
      </c>
      <c r="H33" s="14"/>
      <c r="I33" s="22">
        <f t="shared" si="1"/>
        <v>0</v>
      </c>
      <c r="J33" s="14"/>
      <c r="K33" s="22">
        <f t="shared" si="2"/>
        <v>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10"/>
      <c r="AD33" s="9"/>
      <c r="AE33" s="15">
        <v>1</v>
      </c>
      <c r="AF33" s="9"/>
      <c r="AG33" s="15">
        <f t="shared" si="6"/>
        <v>1</v>
      </c>
      <c r="AH33" s="9"/>
      <c r="AI33" s="15" t="e">
        <f>AE33*#REF!</f>
        <v>#REF!</v>
      </c>
    </row>
    <row r="34" spans="1:35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>
        <v>0</v>
      </c>
      <c r="G34" s="22">
        <f t="shared" si="5"/>
        <v>0</v>
      </c>
      <c r="H34" s="14"/>
      <c r="I34" s="22">
        <f t="shared" si="1"/>
        <v>0</v>
      </c>
      <c r="J34" s="14"/>
      <c r="K34" s="22">
        <f t="shared" si="2"/>
        <v>0</v>
      </c>
      <c r="L34" s="9"/>
      <c r="M34" s="9"/>
      <c r="N34" s="128"/>
      <c r="O34" s="128"/>
      <c r="P34" s="128"/>
      <c r="Q34" s="128"/>
      <c r="R34" s="128"/>
      <c r="S34" s="128"/>
      <c r="T34" s="128"/>
      <c r="U34" s="128"/>
      <c r="V34" s="128"/>
      <c r="W34" s="9"/>
      <c r="X34" s="9"/>
      <c r="Y34" s="9"/>
      <c r="Z34" s="9"/>
      <c r="AA34" s="9"/>
      <c r="AB34" s="10"/>
      <c r="AC34" s="10"/>
      <c r="AD34" s="9"/>
      <c r="AE34" s="15">
        <v>0.5</v>
      </c>
      <c r="AF34" s="9"/>
      <c r="AG34" s="15">
        <f t="shared" si="6"/>
        <v>0.25</v>
      </c>
      <c r="AH34" s="9"/>
      <c r="AI34" s="15" t="e">
        <f>AE34*#REF!</f>
        <v>#REF!</v>
      </c>
    </row>
    <row r="35" spans="1:35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>
        <v>0</v>
      </c>
      <c r="G35" s="22">
        <f t="shared" si="5"/>
        <v>0</v>
      </c>
      <c r="H35" s="14"/>
      <c r="I35" s="22">
        <f t="shared" si="1"/>
        <v>0</v>
      </c>
      <c r="J35" s="14"/>
      <c r="K35" s="22">
        <f t="shared" si="2"/>
        <v>0</v>
      </c>
      <c r="L35" s="9"/>
      <c r="M35" s="9"/>
      <c r="N35" s="128"/>
      <c r="O35" s="128"/>
      <c r="P35" s="128"/>
      <c r="Q35" s="128"/>
      <c r="R35" s="128"/>
      <c r="S35" s="128"/>
      <c r="T35" s="128"/>
      <c r="U35" s="128"/>
      <c r="V35" s="128"/>
      <c r="W35" s="9"/>
      <c r="X35" s="9"/>
      <c r="Y35" s="9"/>
      <c r="Z35" s="9"/>
      <c r="AA35" s="9"/>
      <c r="AB35" s="10"/>
      <c r="AC35" s="10"/>
      <c r="AD35" s="9"/>
      <c r="AE35" s="15">
        <v>0.45</v>
      </c>
      <c r="AF35" s="9"/>
      <c r="AG35" s="15">
        <f t="shared" si="6"/>
        <v>0.20250000000000001</v>
      </c>
      <c r="AH35" s="9"/>
      <c r="AI35" s="15" t="e">
        <f>AE35*#REF!</f>
        <v>#REF!</v>
      </c>
    </row>
    <row r="36" spans="1:35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>
        <v>0</v>
      </c>
      <c r="G36" s="22">
        <f t="shared" si="5"/>
        <v>0</v>
      </c>
      <c r="H36" s="14"/>
      <c r="I36" s="22">
        <f t="shared" si="1"/>
        <v>0</v>
      </c>
      <c r="J36" s="14"/>
      <c r="K36" s="22">
        <f t="shared" si="2"/>
        <v>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10"/>
      <c r="AD36" s="9"/>
      <c r="AE36" s="15">
        <v>0.5</v>
      </c>
      <c r="AF36" s="9"/>
      <c r="AG36" s="15">
        <f t="shared" si="6"/>
        <v>0.25</v>
      </c>
      <c r="AH36" s="9"/>
      <c r="AI36" s="15" t="e">
        <f>AE36*#REF!</f>
        <v>#REF!</v>
      </c>
    </row>
    <row r="37" spans="1:35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>
        <v>0</v>
      </c>
      <c r="G37" s="22">
        <f t="shared" si="5"/>
        <v>0</v>
      </c>
      <c r="H37" s="14"/>
      <c r="I37" s="22">
        <f t="shared" si="1"/>
        <v>0</v>
      </c>
      <c r="J37" s="14"/>
      <c r="K37" s="22">
        <f t="shared" si="2"/>
        <v>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10"/>
      <c r="AD37" s="9"/>
      <c r="AE37" s="15">
        <v>0.4</v>
      </c>
      <c r="AF37" s="9"/>
      <c r="AG37" s="15">
        <f t="shared" si="6"/>
        <v>0.16000000000000003</v>
      </c>
      <c r="AH37" s="9"/>
      <c r="AI37" s="15" t="e">
        <f>AE37*#REF!</f>
        <v>#REF!</v>
      </c>
    </row>
    <row r="38" spans="1:35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>
        <v>0</v>
      </c>
      <c r="G38" s="22">
        <f t="shared" si="5"/>
        <v>0</v>
      </c>
      <c r="H38" s="14"/>
      <c r="I38" s="22">
        <f t="shared" si="1"/>
        <v>0</v>
      </c>
      <c r="J38" s="14"/>
      <c r="K38" s="22">
        <f t="shared" si="2"/>
        <v>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10"/>
      <c r="AD38" s="9"/>
      <c r="AE38" s="15">
        <v>0.5</v>
      </c>
      <c r="AF38" s="9"/>
      <c r="AG38" s="15">
        <f t="shared" si="6"/>
        <v>0.25</v>
      </c>
      <c r="AH38" s="9"/>
      <c r="AI38" s="15" t="e">
        <f>AE38*#REF!</f>
        <v>#REF!</v>
      </c>
    </row>
    <row r="39" spans="1:35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>
        <v>0</v>
      </c>
      <c r="G39" s="22">
        <f t="shared" si="5"/>
        <v>0</v>
      </c>
      <c r="H39" s="14"/>
      <c r="I39" s="22">
        <f t="shared" si="1"/>
        <v>0</v>
      </c>
      <c r="J39" s="14"/>
      <c r="K39" s="22">
        <f t="shared" si="2"/>
        <v>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10"/>
      <c r="AD39" s="9"/>
      <c r="AE39" s="15">
        <v>0.35</v>
      </c>
      <c r="AF39" s="9"/>
      <c r="AG39" s="15">
        <f t="shared" si="6"/>
        <v>0.12249999999999998</v>
      </c>
      <c r="AH39" s="9"/>
      <c r="AI39" s="15" t="e">
        <f>AE39*#REF!</f>
        <v>#REF!</v>
      </c>
    </row>
    <row r="40" spans="1:35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>
        <v>0</v>
      </c>
      <c r="G40" s="22">
        <f t="shared" si="5"/>
        <v>0</v>
      </c>
      <c r="H40" s="14"/>
      <c r="I40" s="22">
        <f t="shared" si="1"/>
        <v>0</v>
      </c>
      <c r="J40" s="14"/>
      <c r="K40" s="22">
        <f t="shared" si="2"/>
        <v>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10"/>
      <c r="AD40" s="9"/>
      <c r="AE40" s="15">
        <v>0.35</v>
      </c>
      <c r="AF40" s="9"/>
      <c r="AG40" s="15">
        <f t="shared" si="6"/>
        <v>0.12249999999999998</v>
      </c>
      <c r="AH40" s="9"/>
      <c r="AI40" s="15" t="e">
        <f>AE40*#REF!</f>
        <v>#REF!</v>
      </c>
    </row>
    <row r="41" spans="1:35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>
        <v>0</v>
      </c>
      <c r="G41" s="22">
        <f t="shared" si="5"/>
        <v>0</v>
      </c>
      <c r="H41" s="14"/>
      <c r="I41" s="22">
        <f t="shared" si="1"/>
        <v>0</v>
      </c>
      <c r="J41" s="14"/>
      <c r="K41" s="22">
        <f t="shared" si="2"/>
        <v>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10"/>
      <c r="AD41" s="9"/>
      <c r="AE41" s="15">
        <v>0.45</v>
      </c>
      <c r="AF41" s="9"/>
      <c r="AG41" s="15">
        <f t="shared" si="6"/>
        <v>0.20250000000000001</v>
      </c>
      <c r="AH41" s="9"/>
      <c r="AI41" s="15" t="e">
        <f>AE41*#REF!</f>
        <v>#REF!</v>
      </c>
    </row>
    <row r="42" spans="1:35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>
        <v>0</v>
      </c>
      <c r="G42" s="22">
        <f t="shared" si="5"/>
        <v>0</v>
      </c>
      <c r="H42" s="14"/>
      <c r="I42" s="22">
        <f t="shared" si="1"/>
        <v>0</v>
      </c>
      <c r="J42" s="14"/>
      <c r="K42" s="22">
        <f t="shared" si="2"/>
        <v>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10"/>
      <c r="AD42" s="9"/>
      <c r="AE42" s="15">
        <v>0.5</v>
      </c>
      <c r="AF42" s="9"/>
      <c r="AG42" s="15">
        <f t="shared" si="6"/>
        <v>0.25</v>
      </c>
      <c r="AH42" s="9"/>
      <c r="AI42" s="15" t="e">
        <f>AE42*#REF!</f>
        <v>#REF!</v>
      </c>
    </row>
    <row r="43" spans="1:35" ht="16.5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>
        <v>60</v>
      </c>
      <c r="G43" s="22">
        <f t="shared" si="5"/>
        <v>27</v>
      </c>
      <c r="H43" s="14"/>
      <c r="I43" s="22">
        <f t="shared" si="1"/>
        <v>0</v>
      </c>
      <c r="J43" s="14">
        <v>60</v>
      </c>
      <c r="K43" s="22">
        <f t="shared" si="2"/>
        <v>27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0"/>
      <c r="AC43" s="10"/>
      <c r="AD43" s="9"/>
      <c r="AE43" s="15">
        <v>0.45</v>
      </c>
      <c r="AF43" s="9"/>
      <c r="AG43" s="15">
        <f t="shared" si="6"/>
        <v>0.20250000000000001</v>
      </c>
      <c r="AH43" s="9"/>
      <c r="AI43" s="15" t="e">
        <f>AE43*#REF!</f>
        <v>#REF!</v>
      </c>
    </row>
    <row r="44" spans="1:35" ht="16.5" hidden="1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>
        <v>0</v>
      </c>
      <c r="G44" s="22">
        <f t="shared" si="5"/>
        <v>0</v>
      </c>
      <c r="H44" s="14"/>
      <c r="I44" s="22">
        <f t="shared" si="1"/>
        <v>0</v>
      </c>
      <c r="J44" s="14"/>
      <c r="K44" s="22">
        <f t="shared" si="2"/>
        <v>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  <c r="AC44" s="10"/>
      <c r="AD44" s="9"/>
      <c r="AE44" s="15">
        <v>0.45</v>
      </c>
      <c r="AF44" s="9"/>
      <c r="AG44" s="15">
        <f t="shared" si="6"/>
        <v>0.20250000000000001</v>
      </c>
      <c r="AH44" s="9"/>
      <c r="AI44" s="15" t="e">
        <f>AE44*#REF!</f>
        <v>#REF!</v>
      </c>
    </row>
    <row r="45" spans="1:35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>
        <v>0</v>
      </c>
      <c r="G45" s="22">
        <f t="shared" si="5"/>
        <v>0</v>
      </c>
      <c r="H45" s="14"/>
      <c r="I45" s="22">
        <f t="shared" si="1"/>
        <v>0</v>
      </c>
      <c r="J45" s="14"/>
      <c r="K45" s="22">
        <f t="shared" si="2"/>
        <v>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0"/>
      <c r="AC45" s="10"/>
      <c r="AD45" s="9"/>
      <c r="AE45" s="15">
        <v>0.5</v>
      </c>
      <c r="AF45" s="9"/>
      <c r="AG45" s="15">
        <f t="shared" si="6"/>
        <v>0.25</v>
      </c>
      <c r="AH45" s="9"/>
      <c r="AI45" s="15" t="e">
        <f>AE45*#REF!</f>
        <v>#REF!</v>
      </c>
    </row>
    <row r="46" spans="1:35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>
        <v>0</v>
      </c>
      <c r="G46" s="22">
        <f t="shared" si="5"/>
        <v>0</v>
      </c>
      <c r="H46" s="14"/>
      <c r="I46" s="22">
        <f t="shared" si="1"/>
        <v>0</v>
      </c>
      <c r="J46" s="14"/>
      <c r="K46" s="22">
        <f t="shared" si="2"/>
        <v>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10"/>
      <c r="AD46" s="9"/>
      <c r="AE46" s="15">
        <v>0.35</v>
      </c>
      <c r="AF46" s="9"/>
      <c r="AG46" s="15">
        <f t="shared" si="6"/>
        <v>0.12249999999999998</v>
      </c>
      <c r="AH46" s="9"/>
      <c r="AI46" s="15" t="e">
        <f>AE46*#REF!</f>
        <v>#REF!</v>
      </c>
    </row>
    <row r="47" spans="1:35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>
        <v>0</v>
      </c>
      <c r="G47" s="22">
        <f t="shared" si="5"/>
        <v>0</v>
      </c>
      <c r="H47" s="14"/>
      <c r="I47" s="22">
        <f t="shared" si="1"/>
        <v>0</v>
      </c>
      <c r="J47" s="14"/>
      <c r="K47" s="22">
        <f t="shared" si="2"/>
        <v>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10"/>
      <c r="AD47" s="9"/>
      <c r="AE47" s="15">
        <v>0.35</v>
      </c>
      <c r="AF47" s="9"/>
      <c r="AG47" s="15">
        <f t="shared" si="6"/>
        <v>0.12249999999999998</v>
      </c>
      <c r="AH47" s="9"/>
      <c r="AI47" s="15" t="e">
        <f>AE47*#REF!</f>
        <v>#REF!</v>
      </c>
    </row>
    <row r="48" spans="1:35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>
        <v>0</v>
      </c>
      <c r="G48" s="22">
        <f t="shared" si="5"/>
        <v>0</v>
      </c>
      <c r="H48" s="14"/>
      <c r="I48" s="22">
        <f t="shared" si="1"/>
        <v>0</v>
      </c>
      <c r="J48" s="14"/>
      <c r="K48" s="22">
        <f t="shared" si="2"/>
        <v>0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10"/>
      <c r="AD48" s="9"/>
      <c r="AE48" s="15">
        <v>0.4</v>
      </c>
      <c r="AF48" s="9"/>
      <c r="AG48" s="15">
        <f t="shared" si="6"/>
        <v>0.16000000000000003</v>
      </c>
      <c r="AH48" s="9"/>
      <c r="AI48" s="15" t="e">
        <f>AE48*#REF!</f>
        <v>#REF!</v>
      </c>
    </row>
    <row r="49" spans="1:35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>
        <v>0</v>
      </c>
      <c r="G49" s="22">
        <f t="shared" si="5"/>
        <v>0</v>
      </c>
      <c r="H49" s="14"/>
      <c r="I49" s="22">
        <f t="shared" si="1"/>
        <v>0</v>
      </c>
      <c r="J49" s="14"/>
      <c r="K49" s="22">
        <f t="shared" si="2"/>
        <v>0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10"/>
      <c r="AD49" s="9"/>
      <c r="AE49" s="15">
        <v>0.43</v>
      </c>
      <c r="AF49" s="9"/>
      <c r="AG49" s="15">
        <f t="shared" si="6"/>
        <v>0.18489999999999998</v>
      </c>
      <c r="AH49" s="9"/>
      <c r="AI49" s="15" t="e">
        <f>AE49*#REF!</f>
        <v>#REF!</v>
      </c>
    </row>
    <row r="50" spans="1:35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>
        <v>0</v>
      </c>
      <c r="G50" s="22">
        <f t="shared" si="5"/>
        <v>0</v>
      </c>
      <c r="H50" s="14"/>
      <c r="I50" s="22">
        <f t="shared" si="1"/>
        <v>0</v>
      </c>
      <c r="J50" s="14"/>
      <c r="K50" s="22">
        <f t="shared" si="2"/>
        <v>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10"/>
      <c r="AD50" s="9"/>
      <c r="AE50" s="15">
        <v>0.4</v>
      </c>
      <c r="AF50" s="9"/>
      <c r="AG50" s="15">
        <f t="shared" si="6"/>
        <v>0.16000000000000003</v>
      </c>
      <c r="AH50" s="9"/>
      <c r="AI50" s="15" t="e">
        <f>AE50*#REF!</f>
        <v>#REF!</v>
      </c>
    </row>
    <row r="51" spans="1:35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>
        <v>0</v>
      </c>
      <c r="G51" s="22">
        <f t="shared" si="5"/>
        <v>0</v>
      </c>
      <c r="H51" s="14"/>
      <c r="I51" s="22">
        <f t="shared" si="1"/>
        <v>0</v>
      </c>
      <c r="J51" s="14"/>
      <c r="K51" s="22">
        <f t="shared" si="2"/>
        <v>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10"/>
      <c r="AD51" s="9"/>
      <c r="AE51" s="15">
        <v>0.17</v>
      </c>
      <c r="AF51" s="9"/>
      <c r="AG51" s="15">
        <f t="shared" si="6"/>
        <v>2.8900000000000006E-2</v>
      </c>
      <c r="AH51" s="9"/>
      <c r="AI51" s="15" t="e">
        <f>AE51*#REF!</f>
        <v>#REF!</v>
      </c>
    </row>
    <row r="52" spans="1:35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>
        <v>0</v>
      </c>
      <c r="G52" s="22">
        <f t="shared" si="5"/>
        <v>0</v>
      </c>
      <c r="H52" s="14"/>
      <c r="I52" s="22">
        <f t="shared" si="1"/>
        <v>0</v>
      </c>
      <c r="J52" s="14"/>
      <c r="K52" s="22">
        <f t="shared" si="2"/>
        <v>0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10"/>
      <c r="AD52" s="9"/>
      <c r="AE52" s="15">
        <v>0.4</v>
      </c>
      <c r="AF52" s="9"/>
      <c r="AG52" s="15">
        <f t="shared" si="6"/>
        <v>0.16000000000000003</v>
      </c>
      <c r="AH52" s="9"/>
      <c r="AI52" s="15" t="e">
        <f>AE52*#REF!</f>
        <v>#REF!</v>
      </c>
    </row>
    <row r="53" spans="1:35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>
        <v>0</v>
      </c>
      <c r="G53" s="22">
        <f t="shared" si="5"/>
        <v>0</v>
      </c>
      <c r="H53" s="14"/>
      <c r="I53" s="22">
        <f t="shared" si="1"/>
        <v>0</v>
      </c>
      <c r="J53" s="14"/>
      <c r="K53" s="22">
        <f t="shared" si="2"/>
        <v>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  <c r="AC53" s="10"/>
      <c r="AD53" s="9"/>
      <c r="AE53" s="15">
        <v>0.4</v>
      </c>
      <c r="AF53" s="9"/>
      <c r="AG53" s="15">
        <f t="shared" si="6"/>
        <v>0.16000000000000003</v>
      </c>
      <c r="AH53" s="9"/>
      <c r="AI53" s="15" t="e">
        <f>AE53*#REF!</f>
        <v>#REF!</v>
      </c>
    </row>
    <row r="54" spans="1:35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>
        <v>0</v>
      </c>
      <c r="G54" s="22">
        <f t="shared" si="5"/>
        <v>0</v>
      </c>
      <c r="H54" s="14"/>
      <c r="I54" s="22">
        <f t="shared" si="1"/>
        <v>0</v>
      </c>
      <c r="J54" s="14"/>
      <c r="K54" s="22">
        <f t="shared" si="2"/>
        <v>0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10"/>
      <c r="AD54" s="9"/>
      <c r="AE54" s="15">
        <v>0.5</v>
      </c>
      <c r="AF54" s="9"/>
      <c r="AG54" s="15">
        <f t="shared" si="6"/>
        <v>0.25</v>
      </c>
      <c r="AH54" s="9"/>
      <c r="AI54" s="15" t="e">
        <f>AE54*#REF!</f>
        <v>#REF!</v>
      </c>
    </row>
    <row r="55" spans="1:35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>
        <v>0</v>
      </c>
      <c r="G55" s="22">
        <f t="shared" si="5"/>
        <v>0</v>
      </c>
      <c r="H55" s="14"/>
      <c r="I55" s="22">
        <f t="shared" si="1"/>
        <v>0</v>
      </c>
      <c r="J55" s="14"/>
      <c r="K55" s="22">
        <f t="shared" si="2"/>
        <v>0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10"/>
      <c r="AD55" s="9"/>
      <c r="AE55" s="15">
        <v>0.5</v>
      </c>
      <c r="AF55" s="9"/>
      <c r="AG55" s="15">
        <f t="shared" si="6"/>
        <v>0.25</v>
      </c>
      <c r="AH55" s="9"/>
      <c r="AI55" s="15" t="e">
        <f>AE55*#REF!</f>
        <v>#REF!</v>
      </c>
    </row>
    <row r="56" spans="1:35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>
        <v>0</v>
      </c>
      <c r="G56" s="22">
        <f t="shared" si="5"/>
        <v>0</v>
      </c>
      <c r="H56" s="14"/>
      <c r="I56" s="22">
        <f t="shared" si="1"/>
        <v>0</v>
      </c>
      <c r="J56" s="14"/>
      <c r="K56" s="22">
        <f t="shared" si="2"/>
        <v>0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10"/>
      <c r="AD56" s="9"/>
      <c r="AE56" s="15">
        <v>0.5</v>
      </c>
      <c r="AF56" s="9"/>
      <c r="AG56" s="15">
        <f t="shared" ref="AG56:AG87" si="7">AE56*E56</f>
        <v>0.25</v>
      </c>
      <c r="AH56" s="9"/>
      <c r="AI56" s="15" t="e">
        <f>AE56*#REF!</f>
        <v>#REF!</v>
      </c>
    </row>
    <row r="57" spans="1:35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>
        <v>0</v>
      </c>
      <c r="G57" s="22">
        <f t="shared" si="5"/>
        <v>0</v>
      </c>
      <c r="H57" s="14"/>
      <c r="I57" s="22">
        <f t="shared" si="1"/>
        <v>0</v>
      </c>
      <c r="J57" s="14"/>
      <c r="K57" s="22">
        <f t="shared" si="2"/>
        <v>0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10"/>
      <c r="AD57" s="9"/>
      <c r="AE57" s="15">
        <v>0.3</v>
      </c>
      <c r="AF57" s="9"/>
      <c r="AG57" s="15">
        <f t="shared" si="7"/>
        <v>0.09</v>
      </c>
      <c r="AH57" s="9"/>
      <c r="AI57" s="15" t="e">
        <f>AE57*#REF!</f>
        <v>#REF!</v>
      </c>
    </row>
    <row r="58" spans="1:35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>
        <v>0</v>
      </c>
      <c r="G58" s="22">
        <f t="shared" si="5"/>
        <v>0</v>
      </c>
      <c r="H58" s="14"/>
      <c r="I58" s="22">
        <f t="shared" si="1"/>
        <v>0</v>
      </c>
      <c r="J58" s="14"/>
      <c r="K58" s="22">
        <f t="shared" si="2"/>
        <v>0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10"/>
      <c r="AD58" s="9"/>
      <c r="AE58" s="15">
        <v>0.4</v>
      </c>
      <c r="AF58" s="9"/>
      <c r="AG58" s="15">
        <f t="shared" si="7"/>
        <v>0.16000000000000003</v>
      </c>
      <c r="AH58" s="9"/>
      <c r="AI58" s="15" t="e">
        <f>AE58*#REF!</f>
        <v>#REF!</v>
      </c>
    </row>
    <row r="59" spans="1:35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>
        <v>0</v>
      </c>
      <c r="G59" s="22">
        <f t="shared" si="5"/>
        <v>0</v>
      </c>
      <c r="H59" s="14"/>
      <c r="I59" s="22">
        <f t="shared" si="1"/>
        <v>0</v>
      </c>
      <c r="J59" s="14"/>
      <c r="K59" s="22">
        <f t="shared" si="2"/>
        <v>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10"/>
      <c r="AD59" s="9"/>
      <c r="AE59" s="15">
        <v>0.5</v>
      </c>
      <c r="AF59" s="9"/>
      <c r="AG59" s="15">
        <f t="shared" si="7"/>
        <v>0.25</v>
      </c>
      <c r="AH59" s="9"/>
      <c r="AI59" s="15" t="e">
        <f>AE59*#REF!</f>
        <v>#REF!</v>
      </c>
    </row>
    <row r="60" spans="1:35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>
        <v>0</v>
      </c>
      <c r="G60" s="22">
        <f t="shared" si="5"/>
        <v>0</v>
      </c>
      <c r="H60" s="14"/>
      <c r="I60" s="22">
        <f t="shared" si="1"/>
        <v>0</v>
      </c>
      <c r="J60" s="14"/>
      <c r="K60" s="22">
        <f t="shared" si="2"/>
        <v>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10"/>
      <c r="AD60" s="9"/>
      <c r="AE60" s="15">
        <v>0.5</v>
      </c>
      <c r="AF60" s="9"/>
      <c r="AG60" s="15">
        <f t="shared" si="7"/>
        <v>0.25</v>
      </c>
      <c r="AH60" s="9"/>
      <c r="AI60" s="15" t="e">
        <f>AE60*#REF!</f>
        <v>#REF!</v>
      </c>
    </row>
    <row r="61" spans="1:35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>
        <v>0</v>
      </c>
      <c r="G61" s="22">
        <f t="shared" si="5"/>
        <v>0</v>
      </c>
      <c r="H61" s="14"/>
      <c r="I61" s="22">
        <f t="shared" si="1"/>
        <v>0</v>
      </c>
      <c r="J61" s="14"/>
      <c r="K61" s="22">
        <f t="shared" si="2"/>
        <v>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10"/>
      <c r="AD61" s="9"/>
      <c r="AE61" s="15">
        <v>0.35</v>
      </c>
      <c r="AF61" s="9"/>
      <c r="AG61" s="15">
        <f t="shared" si="7"/>
        <v>0.12249999999999998</v>
      </c>
      <c r="AH61" s="9"/>
      <c r="AI61" s="15" t="e">
        <f>AE61*#REF!</f>
        <v>#REF!</v>
      </c>
    </row>
    <row r="62" spans="1:35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>
        <v>0</v>
      </c>
      <c r="G62" s="22">
        <f t="shared" si="5"/>
        <v>0</v>
      </c>
      <c r="H62" s="14"/>
      <c r="I62" s="22">
        <f t="shared" si="1"/>
        <v>0</v>
      </c>
      <c r="J62" s="14"/>
      <c r="K62" s="22">
        <f t="shared" si="2"/>
        <v>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10"/>
      <c r="AD62" s="9"/>
      <c r="AE62" s="15">
        <v>0.5</v>
      </c>
      <c r="AF62" s="9"/>
      <c r="AG62" s="15">
        <f t="shared" si="7"/>
        <v>0.25</v>
      </c>
      <c r="AH62" s="9"/>
      <c r="AI62" s="15" t="e">
        <f>AE62*#REF!</f>
        <v>#REF!</v>
      </c>
    </row>
    <row r="63" spans="1:35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>
        <v>0</v>
      </c>
      <c r="G63" s="22">
        <f t="shared" si="5"/>
        <v>0</v>
      </c>
      <c r="H63" s="14"/>
      <c r="I63" s="22">
        <f t="shared" si="1"/>
        <v>0</v>
      </c>
      <c r="J63" s="14"/>
      <c r="K63" s="22">
        <f t="shared" si="2"/>
        <v>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10"/>
      <c r="AD63" s="9"/>
      <c r="AE63" s="15">
        <v>0.5</v>
      </c>
      <c r="AF63" s="9"/>
      <c r="AG63" s="15">
        <f t="shared" si="7"/>
        <v>0.25</v>
      </c>
      <c r="AH63" s="9"/>
      <c r="AI63" s="15" t="e">
        <f>AE63*#REF!</f>
        <v>#REF!</v>
      </c>
    </row>
    <row r="64" spans="1:35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>
        <v>0</v>
      </c>
      <c r="G64" s="22">
        <f t="shared" si="5"/>
        <v>0</v>
      </c>
      <c r="H64" s="14"/>
      <c r="I64" s="22">
        <f t="shared" si="1"/>
        <v>0</v>
      </c>
      <c r="J64" s="14"/>
      <c r="K64" s="22">
        <f t="shared" si="2"/>
        <v>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10"/>
      <c r="AD64" s="9"/>
      <c r="AE64" s="15">
        <v>0.35</v>
      </c>
      <c r="AF64" s="9"/>
      <c r="AG64" s="15">
        <f t="shared" si="7"/>
        <v>0.12249999999999998</v>
      </c>
      <c r="AH64" s="9"/>
      <c r="AI64" s="15" t="e">
        <f>AE64*#REF!</f>
        <v>#REF!</v>
      </c>
    </row>
    <row r="65" spans="2:35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>
        <v>0</v>
      </c>
      <c r="G65" s="22">
        <f t="shared" si="5"/>
        <v>0</v>
      </c>
      <c r="H65" s="14"/>
      <c r="I65" s="22">
        <f t="shared" si="1"/>
        <v>0</v>
      </c>
      <c r="J65" s="14"/>
      <c r="K65" s="22">
        <f t="shared" si="2"/>
        <v>0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10"/>
      <c r="AD65" s="9"/>
      <c r="AE65" s="15">
        <v>0.35</v>
      </c>
      <c r="AF65" s="9"/>
      <c r="AG65" s="15">
        <f t="shared" si="7"/>
        <v>0.12249999999999998</v>
      </c>
      <c r="AH65" s="9"/>
      <c r="AI65" s="15" t="e">
        <f>AE65*#REF!</f>
        <v>#REF!</v>
      </c>
    </row>
    <row r="66" spans="2:35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>
        <v>0</v>
      </c>
      <c r="G66" s="22">
        <f t="shared" si="5"/>
        <v>0</v>
      </c>
      <c r="H66" s="14"/>
      <c r="I66" s="22">
        <f t="shared" si="1"/>
        <v>0</v>
      </c>
      <c r="J66" s="14"/>
      <c r="K66" s="22">
        <f t="shared" si="2"/>
        <v>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10"/>
      <c r="AD66" s="9"/>
      <c r="AE66" s="15">
        <v>0.35</v>
      </c>
      <c r="AF66" s="9"/>
      <c r="AG66" s="15">
        <f t="shared" si="7"/>
        <v>0.12249999999999998</v>
      </c>
      <c r="AH66" s="9"/>
      <c r="AI66" s="15" t="e">
        <f>AE66*#REF!</f>
        <v>#REF!</v>
      </c>
    </row>
    <row r="67" spans="2:35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>
        <v>0</v>
      </c>
      <c r="G67" s="22">
        <f t="shared" si="5"/>
        <v>0</v>
      </c>
      <c r="H67" s="14"/>
      <c r="I67" s="22">
        <f t="shared" si="1"/>
        <v>0</v>
      </c>
      <c r="J67" s="14"/>
      <c r="K67" s="22">
        <f t="shared" si="2"/>
        <v>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10"/>
      <c r="AD67" s="9"/>
      <c r="AE67" s="15">
        <v>0.35</v>
      </c>
      <c r="AF67" s="9"/>
      <c r="AG67" s="15">
        <f t="shared" si="7"/>
        <v>0.12249999999999998</v>
      </c>
      <c r="AH67" s="9"/>
      <c r="AI67" s="15" t="e">
        <f>AE67*#REF!</f>
        <v>#REF!</v>
      </c>
    </row>
    <row r="68" spans="2:35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>
        <v>0</v>
      </c>
      <c r="G68" s="22">
        <f t="shared" si="5"/>
        <v>0</v>
      </c>
      <c r="H68" s="14"/>
      <c r="I68" s="22">
        <f t="shared" si="1"/>
        <v>0</v>
      </c>
      <c r="J68" s="14"/>
      <c r="K68" s="22">
        <f t="shared" si="2"/>
        <v>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10"/>
      <c r="AD68" s="9"/>
      <c r="AE68" s="15">
        <v>0.4</v>
      </c>
      <c r="AF68" s="9"/>
      <c r="AG68" s="15">
        <f t="shared" si="7"/>
        <v>0.16000000000000003</v>
      </c>
      <c r="AH68" s="9"/>
      <c r="AI68" s="15" t="e">
        <f>AE68*#REF!</f>
        <v>#REF!</v>
      </c>
    </row>
    <row r="69" spans="2:35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>
        <v>0</v>
      </c>
      <c r="G69" s="22">
        <f t="shared" si="5"/>
        <v>0</v>
      </c>
      <c r="H69" s="14"/>
      <c r="I69" s="22">
        <f t="shared" ref="I69:I132" si="8">H69*E69</f>
        <v>0</v>
      </c>
      <c r="J69" s="14"/>
      <c r="K69" s="22">
        <f t="shared" ref="K69:K132" si="9">J69*E69</f>
        <v>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10"/>
      <c r="AD69" s="9"/>
      <c r="AE69" s="15">
        <v>0.17</v>
      </c>
      <c r="AF69" s="9"/>
      <c r="AG69" s="15">
        <f t="shared" si="7"/>
        <v>2.8900000000000006E-2</v>
      </c>
      <c r="AH69" s="9"/>
      <c r="AI69" s="15" t="e">
        <f>AE69*#REF!</f>
        <v>#REF!</v>
      </c>
    </row>
    <row r="70" spans="2:35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>
        <v>0</v>
      </c>
      <c r="G70" s="22">
        <f t="shared" si="5"/>
        <v>0</v>
      </c>
      <c r="H70" s="14"/>
      <c r="I70" s="22">
        <f t="shared" si="8"/>
        <v>0</v>
      </c>
      <c r="J70" s="14"/>
      <c r="K70" s="22">
        <f t="shared" si="9"/>
        <v>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10"/>
      <c r="AD70" s="9"/>
      <c r="AE70" s="15">
        <v>0.38</v>
      </c>
      <c r="AF70" s="9"/>
      <c r="AG70" s="15">
        <f t="shared" si="7"/>
        <v>0.1444</v>
      </c>
      <c r="AH70" s="9"/>
      <c r="AI70" s="15" t="e">
        <f>AE70*#REF!</f>
        <v>#REF!</v>
      </c>
    </row>
    <row r="71" spans="2:35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>
        <v>0</v>
      </c>
      <c r="G71" s="22">
        <f t="shared" si="5"/>
        <v>0</v>
      </c>
      <c r="H71" s="14"/>
      <c r="I71" s="22">
        <f t="shared" si="8"/>
        <v>0</v>
      </c>
      <c r="J71" s="14"/>
      <c r="K71" s="22">
        <f t="shared" si="9"/>
        <v>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10"/>
      <c r="AD71" s="9"/>
      <c r="AE71" s="15">
        <v>0.42</v>
      </c>
      <c r="AF71" s="9"/>
      <c r="AG71" s="15">
        <f t="shared" si="7"/>
        <v>0.14699999999999999</v>
      </c>
      <c r="AH71" s="9"/>
      <c r="AI71" s="15" t="e">
        <f>AE71*#REF!</f>
        <v>#REF!</v>
      </c>
    </row>
    <row r="72" spans="2:35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>
        <v>0</v>
      </c>
      <c r="G72" s="22">
        <f t="shared" si="5"/>
        <v>0</v>
      </c>
      <c r="H72" s="14"/>
      <c r="I72" s="22">
        <f t="shared" si="8"/>
        <v>0</v>
      </c>
      <c r="J72" s="14"/>
      <c r="K72" s="22">
        <f t="shared" si="9"/>
        <v>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10"/>
      <c r="AD72" s="9"/>
      <c r="AE72" s="15">
        <v>0.42</v>
      </c>
      <c r="AF72" s="9"/>
      <c r="AG72" s="15">
        <f t="shared" si="7"/>
        <v>0.17639999999999997</v>
      </c>
      <c r="AH72" s="9"/>
      <c r="AI72" s="15" t="e">
        <f>AE72*#REF!</f>
        <v>#REF!</v>
      </c>
    </row>
    <row r="73" spans="2:35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>
        <v>0</v>
      </c>
      <c r="G73" s="22">
        <f t="shared" si="5"/>
        <v>0</v>
      </c>
      <c r="H73" s="14"/>
      <c r="I73" s="22">
        <f t="shared" si="8"/>
        <v>0</v>
      </c>
      <c r="J73" s="14"/>
      <c r="K73" s="22">
        <f t="shared" si="9"/>
        <v>0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10"/>
      <c r="AD73" s="9"/>
      <c r="AE73" s="15">
        <v>0.42</v>
      </c>
      <c r="AF73" s="9"/>
      <c r="AG73" s="15">
        <f t="shared" si="7"/>
        <v>0.17639999999999997</v>
      </c>
      <c r="AH73" s="9"/>
      <c r="AI73" s="15" t="e">
        <f>AE73*#REF!</f>
        <v>#REF!</v>
      </c>
    </row>
    <row r="74" spans="2:35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>
        <v>0</v>
      </c>
      <c r="G74" s="22">
        <f t="shared" si="5"/>
        <v>0</v>
      </c>
      <c r="H74" s="14"/>
      <c r="I74" s="22">
        <f t="shared" si="8"/>
        <v>0</v>
      </c>
      <c r="J74" s="14"/>
      <c r="K74" s="22">
        <f t="shared" si="9"/>
        <v>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10"/>
      <c r="AD74" s="9"/>
      <c r="AE74" s="15">
        <v>0.42</v>
      </c>
      <c r="AF74" s="9"/>
      <c r="AG74" s="15">
        <f t="shared" si="7"/>
        <v>0.14699999999999999</v>
      </c>
      <c r="AH74" s="9"/>
      <c r="AI74" s="15" t="e">
        <f>AE74*#REF!</f>
        <v>#REF!</v>
      </c>
    </row>
    <row r="75" spans="2:35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>
        <v>0</v>
      </c>
      <c r="G75" s="22">
        <f t="shared" si="5"/>
        <v>0</v>
      </c>
      <c r="H75" s="14"/>
      <c r="I75" s="22">
        <f t="shared" si="8"/>
        <v>0</v>
      </c>
      <c r="J75" s="14"/>
      <c r="K75" s="22">
        <f t="shared" si="9"/>
        <v>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10"/>
      <c r="AD75" s="9"/>
      <c r="AE75" s="15">
        <v>0.6</v>
      </c>
      <c r="AF75" s="9"/>
      <c r="AG75" s="15">
        <f t="shared" si="7"/>
        <v>0.36</v>
      </c>
      <c r="AH75" s="9"/>
      <c r="AI75" s="15" t="e">
        <f>AE75*#REF!</f>
        <v>#REF!</v>
      </c>
    </row>
    <row r="76" spans="2:35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>
        <v>0</v>
      </c>
      <c r="G76" s="22">
        <f t="shared" si="5"/>
        <v>0</v>
      </c>
      <c r="H76" s="14"/>
      <c r="I76" s="22">
        <f t="shared" si="8"/>
        <v>0</v>
      </c>
      <c r="J76" s="14"/>
      <c r="K76" s="22">
        <f t="shared" si="9"/>
        <v>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10"/>
      <c r="AD76" s="9"/>
      <c r="AE76" s="15">
        <v>0.42</v>
      </c>
      <c r="AF76" s="9"/>
      <c r="AG76" s="15">
        <f t="shared" si="7"/>
        <v>0.17639999999999997</v>
      </c>
      <c r="AH76" s="9"/>
      <c r="AI76" s="15" t="e">
        <f>AE76*#REF!</f>
        <v>#REF!</v>
      </c>
    </row>
    <row r="77" spans="2:35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>
        <v>0</v>
      </c>
      <c r="G77" s="22">
        <f t="shared" si="5"/>
        <v>0</v>
      </c>
      <c r="H77" s="14"/>
      <c r="I77" s="22">
        <f t="shared" si="8"/>
        <v>0</v>
      </c>
      <c r="J77" s="14"/>
      <c r="K77" s="22">
        <f t="shared" si="9"/>
        <v>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10"/>
      <c r="AD77" s="9"/>
      <c r="AE77" s="15">
        <v>0.42</v>
      </c>
      <c r="AF77" s="9"/>
      <c r="AG77" s="15">
        <f t="shared" si="7"/>
        <v>0.17639999999999997</v>
      </c>
      <c r="AH77" s="9"/>
      <c r="AI77" s="15" t="e">
        <f>AE77*#REF!</f>
        <v>#REF!</v>
      </c>
    </row>
    <row r="78" spans="2:35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>
        <v>0</v>
      </c>
      <c r="G78" s="22">
        <f t="shared" si="5"/>
        <v>0</v>
      </c>
      <c r="H78" s="14"/>
      <c r="I78" s="22">
        <f t="shared" si="8"/>
        <v>0</v>
      </c>
      <c r="J78" s="14"/>
      <c r="K78" s="22">
        <f t="shared" si="9"/>
        <v>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10"/>
      <c r="AD78" s="9"/>
      <c r="AE78" s="15">
        <v>0.33</v>
      </c>
      <c r="AF78" s="9"/>
      <c r="AG78" s="15">
        <f t="shared" si="7"/>
        <v>0.10890000000000001</v>
      </c>
      <c r="AH78" s="9"/>
      <c r="AI78" s="15" t="e">
        <f>AE78*#REF!</f>
        <v>#REF!</v>
      </c>
    </row>
    <row r="79" spans="2:35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>
        <v>0</v>
      </c>
      <c r="G79" s="22">
        <f t="shared" si="5"/>
        <v>0</v>
      </c>
      <c r="H79" s="14"/>
      <c r="I79" s="22">
        <f t="shared" si="8"/>
        <v>0</v>
      </c>
      <c r="J79" s="14"/>
      <c r="K79" s="22">
        <f t="shared" si="9"/>
        <v>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10"/>
      <c r="AD79" s="9"/>
      <c r="AE79" s="15">
        <v>0.42</v>
      </c>
      <c r="AF79" s="9"/>
      <c r="AG79" s="15">
        <f t="shared" si="7"/>
        <v>0.17639999999999997</v>
      </c>
      <c r="AH79" s="9"/>
      <c r="AI79" s="15" t="e">
        <f>AE79*#REF!</f>
        <v>#REF!</v>
      </c>
    </row>
    <row r="80" spans="2:35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>
        <v>0</v>
      </c>
      <c r="G80" s="22">
        <f t="shared" si="5"/>
        <v>0</v>
      </c>
      <c r="H80" s="14"/>
      <c r="I80" s="22">
        <f t="shared" si="8"/>
        <v>0</v>
      </c>
      <c r="J80" s="14"/>
      <c r="K80" s="22">
        <f t="shared" si="9"/>
        <v>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10"/>
      <c r="AD80" s="9"/>
      <c r="AE80" s="15">
        <v>0.35</v>
      </c>
      <c r="AF80" s="9"/>
      <c r="AG80" s="15">
        <f t="shared" si="7"/>
        <v>0.12249999999999998</v>
      </c>
      <c r="AH80" s="9"/>
      <c r="AI80" s="15" t="e">
        <f>AE80*#REF!</f>
        <v>#REF!</v>
      </c>
    </row>
    <row r="81" spans="1:35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>
        <v>0</v>
      </c>
      <c r="G81" s="22">
        <f t="shared" si="5"/>
        <v>0</v>
      </c>
      <c r="H81" s="14"/>
      <c r="I81" s="22">
        <f t="shared" si="8"/>
        <v>0</v>
      </c>
      <c r="J81" s="14"/>
      <c r="K81" s="22">
        <f t="shared" si="9"/>
        <v>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10"/>
      <c r="AD81" s="9"/>
      <c r="AE81" s="15">
        <v>0.35</v>
      </c>
      <c r="AF81" s="9"/>
      <c r="AG81" s="15">
        <f t="shared" si="7"/>
        <v>0.12249999999999998</v>
      </c>
      <c r="AH81" s="9"/>
      <c r="AI81" s="15" t="e">
        <f>AE81*#REF!</f>
        <v>#REF!</v>
      </c>
    </row>
    <row r="82" spans="1:35" ht="16.5" hidden="1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>
        <v>0</v>
      </c>
      <c r="G82" s="22">
        <f t="shared" si="5"/>
        <v>0</v>
      </c>
      <c r="H82" s="14"/>
      <c r="I82" s="22">
        <f t="shared" si="8"/>
        <v>0</v>
      </c>
      <c r="J82" s="14"/>
      <c r="K82" s="22">
        <f t="shared" si="9"/>
        <v>0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10"/>
      <c r="AD82" s="9"/>
      <c r="AE82" s="15">
        <v>0.35</v>
      </c>
      <c r="AF82" s="9"/>
      <c r="AG82" s="15">
        <f t="shared" si="7"/>
        <v>0.12249999999999998</v>
      </c>
      <c r="AH82" s="9"/>
      <c r="AI82" s="15" t="e">
        <f>AE82*#REF!</f>
        <v>#REF!</v>
      </c>
    </row>
    <row r="83" spans="1:35" ht="16.5" hidden="1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>
        <v>0</v>
      </c>
      <c r="G83" s="22">
        <f t="shared" si="5"/>
        <v>0</v>
      </c>
      <c r="H83" s="14"/>
      <c r="I83" s="22">
        <f t="shared" si="8"/>
        <v>0</v>
      </c>
      <c r="J83" s="14"/>
      <c r="K83" s="22">
        <f t="shared" si="9"/>
        <v>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10"/>
      <c r="AD83" s="9"/>
      <c r="AE83" s="15">
        <v>0.35</v>
      </c>
      <c r="AF83" s="9"/>
      <c r="AG83" s="15">
        <f t="shared" si="7"/>
        <v>0.12249999999999998</v>
      </c>
      <c r="AH83" s="9"/>
      <c r="AI83" s="15" t="e">
        <f>AE83*#REF!</f>
        <v>#REF!</v>
      </c>
    </row>
    <row r="84" spans="1:35" ht="16.5" hidden="1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>
        <v>0</v>
      </c>
      <c r="G84" s="22">
        <f t="shared" si="5"/>
        <v>0</v>
      </c>
      <c r="H84" s="14"/>
      <c r="I84" s="22">
        <f t="shared" si="8"/>
        <v>0</v>
      </c>
      <c r="J84" s="14"/>
      <c r="K84" s="22">
        <f t="shared" si="9"/>
        <v>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10"/>
      <c r="AD84" s="9"/>
      <c r="AE84" s="15">
        <v>1</v>
      </c>
      <c r="AF84" s="9"/>
      <c r="AG84" s="15">
        <f t="shared" si="7"/>
        <v>1</v>
      </c>
      <c r="AH84" s="9"/>
      <c r="AI84" s="15" t="e">
        <f>AE84*#REF!</f>
        <v>#REF!</v>
      </c>
    </row>
    <row r="85" spans="1:35" ht="16.5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>
        <v>1000</v>
      </c>
      <c r="G85" s="22">
        <f t="shared" si="5"/>
        <v>1000</v>
      </c>
      <c r="H85" s="14">
        <v>1000</v>
      </c>
      <c r="I85" s="22">
        <f t="shared" si="8"/>
        <v>1000</v>
      </c>
      <c r="J85" s="14"/>
      <c r="K85" s="22">
        <f t="shared" si="9"/>
        <v>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10"/>
      <c r="AD85" s="9"/>
      <c r="AE85" s="15">
        <v>1</v>
      </c>
      <c r="AF85" s="9"/>
      <c r="AG85" s="15">
        <f t="shared" si="7"/>
        <v>1</v>
      </c>
      <c r="AH85" s="9"/>
      <c r="AI85" s="15" t="e">
        <f>AE85*#REF!</f>
        <v>#REF!</v>
      </c>
    </row>
    <row r="86" spans="1:35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>
        <v>0</v>
      </c>
      <c r="G86" s="22">
        <f t="shared" si="5"/>
        <v>0</v>
      </c>
      <c r="H86" s="14"/>
      <c r="I86" s="22">
        <f t="shared" si="8"/>
        <v>0</v>
      </c>
      <c r="J86" s="14"/>
      <c r="K86" s="22">
        <f t="shared" si="9"/>
        <v>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10"/>
      <c r="AD86" s="9"/>
      <c r="AE86" s="15">
        <v>1</v>
      </c>
      <c r="AF86" s="9"/>
      <c r="AG86" s="15">
        <f t="shared" si="7"/>
        <v>1</v>
      </c>
      <c r="AH86" s="9"/>
      <c r="AI86" s="15" t="e">
        <f>AE86*#REF!</f>
        <v>#REF!</v>
      </c>
    </row>
    <row r="87" spans="1:35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>
        <v>0</v>
      </c>
      <c r="G87" s="22">
        <f t="shared" si="5"/>
        <v>0</v>
      </c>
      <c r="H87" s="14"/>
      <c r="I87" s="22">
        <f t="shared" si="8"/>
        <v>0</v>
      </c>
      <c r="J87" s="14"/>
      <c r="K87" s="22">
        <f t="shared" si="9"/>
        <v>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10"/>
      <c r="AD87" s="9"/>
      <c r="AE87" s="15">
        <v>1</v>
      </c>
      <c r="AF87" s="9"/>
      <c r="AG87" s="15">
        <f t="shared" si="7"/>
        <v>1</v>
      </c>
      <c r="AH87" s="9"/>
      <c r="AI87" s="15" t="e">
        <f>AE87*#REF!</f>
        <v>#REF!</v>
      </c>
    </row>
    <row r="88" spans="1:35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>
        <v>0</v>
      </c>
      <c r="G88" s="22">
        <f t="shared" ref="G88:G150" si="10">F88*E88</f>
        <v>0</v>
      </c>
      <c r="H88" s="14"/>
      <c r="I88" s="22">
        <f t="shared" si="8"/>
        <v>0</v>
      </c>
      <c r="J88" s="14"/>
      <c r="K88" s="22">
        <f t="shared" si="9"/>
        <v>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10"/>
      <c r="AD88" s="9"/>
      <c r="AE88" s="15">
        <v>1</v>
      </c>
      <c r="AF88" s="9"/>
      <c r="AG88" s="15">
        <f t="shared" ref="AG88:AG122" si="11">AE88*E88</f>
        <v>1</v>
      </c>
      <c r="AH88" s="9"/>
      <c r="AI88" s="15" t="e">
        <f>AE88*#REF!</f>
        <v>#REF!</v>
      </c>
    </row>
    <row r="89" spans="1:35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>
        <v>0</v>
      </c>
      <c r="G89" s="22">
        <f t="shared" si="10"/>
        <v>0</v>
      </c>
      <c r="H89" s="14"/>
      <c r="I89" s="22">
        <f t="shared" si="8"/>
        <v>0</v>
      </c>
      <c r="J89" s="14"/>
      <c r="K89" s="22">
        <f t="shared" si="9"/>
        <v>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10"/>
      <c r="AD89" s="9"/>
      <c r="AE89" s="15">
        <v>1</v>
      </c>
      <c r="AF89" s="9"/>
      <c r="AG89" s="15">
        <f t="shared" si="11"/>
        <v>1</v>
      </c>
      <c r="AH89" s="9"/>
      <c r="AI89" s="15" t="e">
        <f>AE89*#REF!</f>
        <v>#REF!</v>
      </c>
    </row>
    <row r="90" spans="1:35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>
        <v>0</v>
      </c>
      <c r="G90" s="22">
        <f t="shared" si="10"/>
        <v>0</v>
      </c>
      <c r="H90" s="14"/>
      <c r="I90" s="22">
        <f t="shared" si="8"/>
        <v>0</v>
      </c>
      <c r="J90" s="14"/>
      <c r="K90" s="22">
        <f t="shared" si="9"/>
        <v>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10"/>
      <c r="AD90" s="9"/>
      <c r="AE90" s="15">
        <v>1</v>
      </c>
      <c r="AF90" s="9"/>
      <c r="AG90" s="15">
        <f t="shared" si="11"/>
        <v>1</v>
      </c>
      <c r="AH90" s="9"/>
      <c r="AI90" s="15" t="e">
        <f>AE90*#REF!</f>
        <v>#REF!</v>
      </c>
    </row>
    <row r="91" spans="1:35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>
        <v>0</v>
      </c>
      <c r="G91" s="22">
        <f t="shared" si="10"/>
        <v>0</v>
      </c>
      <c r="H91" s="14"/>
      <c r="I91" s="22">
        <f t="shared" si="8"/>
        <v>0</v>
      </c>
      <c r="J91" s="14"/>
      <c r="K91" s="22">
        <f t="shared" si="9"/>
        <v>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10"/>
      <c r="AD91" s="9"/>
      <c r="AE91" s="15">
        <v>1</v>
      </c>
      <c r="AF91" s="9"/>
      <c r="AG91" s="15">
        <f t="shared" si="11"/>
        <v>1</v>
      </c>
      <c r="AH91" s="9"/>
      <c r="AI91" s="15" t="e">
        <f>AE91*#REF!</f>
        <v>#REF!</v>
      </c>
    </row>
    <row r="92" spans="1:35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>
        <v>0</v>
      </c>
      <c r="G92" s="22">
        <f t="shared" si="10"/>
        <v>0</v>
      </c>
      <c r="H92" s="14"/>
      <c r="I92" s="22">
        <f t="shared" si="8"/>
        <v>0</v>
      </c>
      <c r="J92" s="14"/>
      <c r="K92" s="22">
        <f t="shared" si="9"/>
        <v>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10"/>
      <c r="AD92" s="9"/>
      <c r="AE92" s="15">
        <v>1</v>
      </c>
      <c r="AF92" s="9"/>
      <c r="AG92" s="15">
        <f t="shared" si="11"/>
        <v>1</v>
      </c>
      <c r="AH92" s="9"/>
      <c r="AI92" s="15" t="e">
        <f>AE92*#REF!</f>
        <v>#REF!</v>
      </c>
    </row>
    <row r="93" spans="1:35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>
        <v>0</v>
      </c>
      <c r="G93" s="22">
        <f t="shared" si="10"/>
        <v>0</v>
      </c>
      <c r="H93" s="14"/>
      <c r="I93" s="22">
        <f t="shared" si="8"/>
        <v>0</v>
      </c>
      <c r="J93" s="14"/>
      <c r="K93" s="22">
        <f t="shared" si="9"/>
        <v>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10"/>
      <c r="AD93" s="9"/>
      <c r="AE93" s="15">
        <v>1</v>
      </c>
      <c r="AF93" s="9"/>
      <c r="AG93" s="15">
        <f t="shared" si="11"/>
        <v>1</v>
      </c>
      <c r="AH93" s="9"/>
      <c r="AI93" s="15" t="e">
        <f>AE93*#REF!</f>
        <v>#REF!</v>
      </c>
    </row>
    <row r="94" spans="1:35" ht="16.5" hidden="1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>
        <v>0</v>
      </c>
      <c r="G94" s="22">
        <f t="shared" si="10"/>
        <v>0</v>
      </c>
      <c r="H94" s="14"/>
      <c r="I94" s="22">
        <f t="shared" si="8"/>
        <v>0</v>
      </c>
      <c r="J94" s="14"/>
      <c r="K94" s="22">
        <f t="shared" si="9"/>
        <v>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10"/>
      <c r="AD94" s="9"/>
      <c r="AE94" s="15">
        <v>1</v>
      </c>
      <c r="AF94" s="9"/>
      <c r="AG94" s="15">
        <f t="shared" si="11"/>
        <v>1</v>
      </c>
      <c r="AH94" s="9"/>
      <c r="AI94" s="15" t="e">
        <f>AE94*#REF!</f>
        <v>#REF!</v>
      </c>
    </row>
    <row r="95" spans="1:35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>
        <v>0</v>
      </c>
      <c r="G95" s="22">
        <f t="shared" si="10"/>
        <v>0</v>
      </c>
      <c r="H95" s="14"/>
      <c r="I95" s="22">
        <f t="shared" si="8"/>
        <v>0</v>
      </c>
      <c r="J95" s="14"/>
      <c r="K95" s="22">
        <f t="shared" si="9"/>
        <v>0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10"/>
      <c r="AD95" s="9"/>
      <c r="AE95" s="15">
        <v>1</v>
      </c>
      <c r="AF95" s="9"/>
      <c r="AG95" s="15">
        <f t="shared" si="11"/>
        <v>1</v>
      </c>
      <c r="AH95" s="9"/>
      <c r="AI95" s="15" t="e">
        <f>AE95*#REF!</f>
        <v>#REF!</v>
      </c>
    </row>
    <row r="96" spans="1:35" ht="16.5" hidden="1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0</v>
      </c>
      <c r="G96" s="22">
        <f t="shared" si="10"/>
        <v>0</v>
      </c>
      <c r="H96" s="14"/>
      <c r="I96" s="22">
        <f t="shared" si="8"/>
        <v>0</v>
      </c>
      <c r="J96" s="14"/>
      <c r="K96" s="22">
        <f t="shared" si="9"/>
        <v>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10"/>
      <c r="AD96" s="9"/>
      <c r="AE96" s="15">
        <v>1</v>
      </c>
      <c r="AF96" s="9"/>
      <c r="AG96" s="15">
        <f t="shared" si="11"/>
        <v>1</v>
      </c>
      <c r="AH96" s="9"/>
      <c r="AI96" s="15" t="e">
        <f>AE96*#REF!</f>
        <v>#REF!</v>
      </c>
    </row>
    <row r="97" spans="1:35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>
        <v>0</v>
      </c>
      <c r="G97" s="22">
        <f t="shared" si="10"/>
        <v>0</v>
      </c>
      <c r="H97" s="14"/>
      <c r="I97" s="22">
        <f t="shared" si="8"/>
        <v>0</v>
      </c>
      <c r="J97" s="14"/>
      <c r="K97" s="22">
        <f t="shared" si="9"/>
        <v>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10"/>
      <c r="AD97" s="9"/>
      <c r="AE97" s="15">
        <v>1</v>
      </c>
      <c r="AF97" s="9"/>
      <c r="AG97" s="15">
        <f t="shared" si="11"/>
        <v>1</v>
      </c>
      <c r="AH97" s="9"/>
      <c r="AI97" s="15" t="e">
        <f>AE97*#REF!</f>
        <v>#REF!</v>
      </c>
    </row>
    <row r="98" spans="1:35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>
        <v>0</v>
      </c>
      <c r="G98" s="22">
        <f t="shared" si="10"/>
        <v>0</v>
      </c>
      <c r="H98" s="14"/>
      <c r="I98" s="22">
        <f t="shared" si="8"/>
        <v>0</v>
      </c>
      <c r="J98" s="14"/>
      <c r="K98" s="22">
        <f t="shared" si="9"/>
        <v>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10"/>
      <c r="AD98" s="9"/>
      <c r="AE98" s="15">
        <v>1</v>
      </c>
      <c r="AF98" s="9"/>
      <c r="AG98" s="15">
        <f t="shared" si="11"/>
        <v>1</v>
      </c>
      <c r="AH98" s="9"/>
      <c r="AI98" s="15" t="e">
        <f>AE98*#REF!</f>
        <v>#REF!</v>
      </c>
    </row>
    <row r="99" spans="1:35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>
        <v>0</v>
      </c>
      <c r="G99" s="22">
        <f t="shared" si="10"/>
        <v>0</v>
      </c>
      <c r="H99" s="14"/>
      <c r="I99" s="22">
        <f t="shared" si="8"/>
        <v>0</v>
      </c>
      <c r="J99" s="14"/>
      <c r="K99" s="22">
        <f t="shared" si="9"/>
        <v>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10"/>
      <c r="AD99" s="9"/>
      <c r="AE99" s="15">
        <v>1</v>
      </c>
      <c r="AF99" s="9"/>
      <c r="AG99" s="15">
        <f t="shared" si="11"/>
        <v>1</v>
      </c>
      <c r="AH99" s="9"/>
      <c r="AI99" s="15" t="e">
        <f>AE99*#REF!</f>
        <v>#REF!</v>
      </c>
    </row>
    <row r="100" spans="1:35" ht="16.5" hidden="1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>
        <v>0</v>
      </c>
      <c r="G100" s="22">
        <f t="shared" si="10"/>
        <v>0</v>
      </c>
      <c r="H100" s="14"/>
      <c r="I100" s="22">
        <f t="shared" si="8"/>
        <v>0</v>
      </c>
      <c r="J100" s="14"/>
      <c r="K100" s="22">
        <f t="shared" si="9"/>
        <v>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10"/>
      <c r="AD100" s="9"/>
      <c r="AE100" s="15">
        <v>1</v>
      </c>
      <c r="AF100" s="9"/>
      <c r="AG100" s="15">
        <f t="shared" si="11"/>
        <v>1</v>
      </c>
      <c r="AH100" s="9"/>
      <c r="AI100" s="15" t="e">
        <f>AE100*#REF!</f>
        <v>#REF!</v>
      </c>
    </row>
    <row r="101" spans="1:35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>
        <v>0</v>
      </c>
      <c r="G101" s="22">
        <f t="shared" si="10"/>
        <v>0</v>
      </c>
      <c r="H101" s="14"/>
      <c r="I101" s="22">
        <f t="shared" si="8"/>
        <v>0</v>
      </c>
      <c r="J101" s="14"/>
      <c r="K101" s="22">
        <f t="shared" si="9"/>
        <v>0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10"/>
      <c r="AD101" s="9"/>
      <c r="AE101" s="15">
        <v>1</v>
      </c>
      <c r="AF101" s="9"/>
      <c r="AG101" s="15">
        <f t="shared" si="11"/>
        <v>1</v>
      </c>
      <c r="AH101" s="9"/>
      <c r="AI101" s="15" t="e">
        <f>AE101*#REF!</f>
        <v>#REF!</v>
      </c>
    </row>
    <row r="102" spans="1:35" ht="16.5" hidden="1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>
        <v>0</v>
      </c>
      <c r="G102" s="22">
        <f t="shared" si="10"/>
        <v>0</v>
      </c>
      <c r="H102" s="14"/>
      <c r="I102" s="22">
        <f t="shared" si="8"/>
        <v>0</v>
      </c>
      <c r="J102" s="14"/>
      <c r="K102" s="22">
        <f t="shared" si="9"/>
        <v>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10"/>
      <c r="AD102" s="9"/>
      <c r="AE102" s="15">
        <v>1</v>
      </c>
      <c r="AF102" s="9"/>
      <c r="AG102" s="15">
        <f t="shared" si="11"/>
        <v>1</v>
      </c>
      <c r="AH102" s="9"/>
      <c r="AI102" s="15" t="e">
        <f>AE102*#REF!</f>
        <v>#REF!</v>
      </c>
    </row>
    <row r="103" spans="1:35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>
        <v>0</v>
      </c>
      <c r="G103" s="22">
        <f t="shared" si="10"/>
        <v>0</v>
      </c>
      <c r="H103" s="14"/>
      <c r="I103" s="22">
        <f t="shared" si="8"/>
        <v>0</v>
      </c>
      <c r="J103" s="14"/>
      <c r="K103" s="22">
        <f t="shared" si="9"/>
        <v>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10"/>
      <c r="AD103" s="9"/>
      <c r="AE103" s="15">
        <v>1</v>
      </c>
      <c r="AF103" s="9"/>
      <c r="AG103" s="15">
        <f t="shared" si="11"/>
        <v>1</v>
      </c>
      <c r="AH103" s="9"/>
      <c r="AI103" s="15" t="e">
        <f>AE103*#REF!</f>
        <v>#REF!</v>
      </c>
    </row>
    <row r="104" spans="1:35" ht="16.5" hidden="1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>
        <v>0</v>
      </c>
      <c r="G104" s="22">
        <f t="shared" si="10"/>
        <v>0</v>
      </c>
      <c r="H104" s="14"/>
      <c r="I104" s="22">
        <f t="shared" si="8"/>
        <v>0</v>
      </c>
      <c r="J104" s="14"/>
      <c r="K104" s="22">
        <f t="shared" si="9"/>
        <v>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10"/>
      <c r="AD104" s="9"/>
      <c r="AE104" s="15">
        <v>1</v>
      </c>
      <c r="AF104" s="9"/>
      <c r="AG104" s="15">
        <f t="shared" si="11"/>
        <v>1</v>
      </c>
      <c r="AH104" s="9"/>
      <c r="AI104" s="15" t="e">
        <f>AE104*#REF!</f>
        <v>#REF!</v>
      </c>
    </row>
    <row r="105" spans="1:35" ht="16.5" hidden="1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>
        <v>0</v>
      </c>
      <c r="G105" s="22">
        <f t="shared" si="10"/>
        <v>0</v>
      </c>
      <c r="H105" s="14"/>
      <c r="I105" s="22">
        <f t="shared" si="8"/>
        <v>0</v>
      </c>
      <c r="J105" s="14"/>
      <c r="K105" s="22">
        <f t="shared" si="9"/>
        <v>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10"/>
      <c r="AD105" s="9"/>
      <c r="AE105" s="15">
        <v>1</v>
      </c>
      <c r="AF105" s="9"/>
      <c r="AG105" s="15">
        <f t="shared" si="11"/>
        <v>1</v>
      </c>
      <c r="AH105" s="9"/>
      <c r="AI105" s="15" t="e">
        <f>AE105*#REF!</f>
        <v>#REF!</v>
      </c>
    </row>
    <row r="106" spans="1:35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>
        <v>0</v>
      </c>
      <c r="G106" s="22">
        <f t="shared" si="10"/>
        <v>0</v>
      </c>
      <c r="H106" s="14"/>
      <c r="I106" s="22">
        <f t="shared" si="8"/>
        <v>0</v>
      </c>
      <c r="J106" s="14"/>
      <c r="K106" s="22">
        <f t="shared" si="9"/>
        <v>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10"/>
      <c r="AD106" s="9"/>
      <c r="AE106" s="15">
        <v>1</v>
      </c>
      <c r="AF106" s="9"/>
      <c r="AG106" s="15">
        <f t="shared" si="11"/>
        <v>1</v>
      </c>
      <c r="AH106" s="9"/>
      <c r="AI106" s="15" t="e">
        <f>AE106*#REF!</f>
        <v>#REF!</v>
      </c>
    </row>
    <row r="107" spans="1:35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>
        <v>0</v>
      </c>
      <c r="G107" s="22">
        <f t="shared" si="10"/>
        <v>0</v>
      </c>
      <c r="H107" s="14"/>
      <c r="I107" s="22">
        <f t="shared" si="8"/>
        <v>0</v>
      </c>
      <c r="J107" s="14"/>
      <c r="K107" s="22">
        <f t="shared" si="9"/>
        <v>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10"/>
      <c r="AD107" s="9"/>
      <c r="AE107" s="15">
        <v>1</v>
      </c>
      <c r="AF107" s="9"/>
      <c r="AG107" s="15">
        <f t="shared" si="11"/>
        <v>1</v>
      </c>
      <c r="AH107" s="9"/>
      <c r="AI107" s="15" t="e">
        <f>AE107*#REF!</f>
        <v>#REF!</v>
      </c>
    </row>
    <row r="108" spans="1:35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>
        <v>0</v>
      </c>
      <c r="G108" s="22">
        <f t="shared" si="10"/>
        <v>0</v>
      </c>
      <c r="H108" s="14"/>
      <c r="I108" s="22">
        <f t="shared" si="8"/>
        <v>0</v>
      </c>
      <c r="J108" s="14"/>
      <c r="K108" s="22">
        <f t="shared" si="9"/>
        <v>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10"/>
      <c r="AD108" s="9"/>
      <c r="AE108" s="15">
        <v>1</v>
      </c>
      <c r="AF108" s="9"/>
      <c r="AG108" s="15">
        <f t="shared" si="11"/>
        <v>1</v>
      </c>
      <c r="AH108" s="9"/>
      <c r="AI108" s="15" t="e">
        <f>AE108*#REF!</f>
        <v>#REF!</v>
      </c>
    </row>
    <row r="109" spans="1:35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80</v>
      </c>
      <c r="G109" s="22">
        <f t="shared" si="10"/>
        <v>80</v>
      </c>
      <c r="H109" s="14"/>
      <c r="I109" s="22">
        <f t="shared" si="8"/>
        <v>0</v>
      </c>
      <c r="J109" s="14">
        <v>80</v>
      </c>
      <c r="K109" s="22">
        <f t="shared" si="9"/>
        <v>80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10"/>
      <c r="AD109" s="9"/>
      <c r="AE109" s="15">
        <v>1</v>
      </c>
      <c r="AF109" s="9"/>
      <c r="AG109" s="15">
        <f t="shared" si="11"/>
        <v>1</v>
      </c>
      <c r="AH109" s="9"/>
      <c r="AI109" s="15" t="e">
        <f>AE109*#REF!</f>
        <v>#REF!</v>
      </c>
    </row>
    <row r="110" spans="1:35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400</v>
      </c>
      <c r="G110" s="22">
        <f t="shared" si="10"/>
        <v>400</v>
      </c>
      <c r="H110" s="14"/>
      <c r="I110" s="22">
        <f t="shared" si="8"/>
        <v>0</v>
      </c>
      <c r="J110" s="14">
        <v>400</v>
      </c>
      <c r="K110" s="22">
        <f t="shared" si="9"/>
        <v>400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10"/>
      <c r="AD110" s="9"/>
      <c r="AE110" s="15">
        <v>1</v>
      </c>
      <c r="AF110" s="9"/>
      <c r="AG110" s="15">
        <f t="shared" si="11"/>
        <v>1</v>
      </c>
      <c r="AH110" s="9"/>
      <c r="AI110" s="15" t="e">
        <f>AE110*#REF!</f>
        <v>#REF!</v>
      </c>
    </row>
    <row r="111" spans="1:35" ht="16.5" hidden="1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0</v>
      </c>
      <c r="G111" s="22">
        <f t="shared" si="10"/>
        <v>0</v>
      </c>
      <c r="H111" s="14"/>
      <c r="I111" s="22">
        <f t="shared" si="8"/>
        <v>0</v>
      </c>
      <c r="J111" s="14"/>
      <c r="K111" s="22">
        <f t="shared" si="9"/>
        <v>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10"/>
      <c r="AD111" s="9"/>
      <c r="AE111" s="15">
        <v>1</v>
      </c>
      <c r="AF111" s="9"/>
      <c r="AG111" s="15">
        <f t="shared" si="11"/>
        <v>1</v>
      </c>
      <c r="AH111" s="9"/>
      <c r="AI111" s="15" t="e">
        <f>AE111*#REF!</f>
        <v>#REF!</v>
      </c>
    </row>
    <row r="112" spans="1:35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>
        <v>0</v>
      </c>
      <c r="G112" s="22">
        <f t="shared" si="10"/>
        <v>0</v>
      </c>
      <c r="H112" s="14"/>
      <c r="I112" s="22">
        <f t="shared" si="8"/>
        <v>0</v>
      </c>
      <c r="J112" s="14"/>
      <c r="K112" s="22">
        <f t="shared" si="9"/>
        <v>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10"/>
      <c r="AD112" s="9"/>
      <c r="AE112" s="15">
        <v>1</v>
      </c>
      <c r="AF112" s="9"/>
      <c r="AG112" s="15">
        <f t="shared" si="11"/>
        <v>1</v>
      </c>
      <c r="AH112" s="9"/>
      <c r="AI112" s="15" t="e">
        <f>AE112*#REF!</f>
        <v>#REF!</v>
      </c>
    </row>
    <row r="113" spans="1:35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>
        <v>0</v>
      </c>
      <c r="G113" s="22">
        <f t="shared" si="10"/>
        <v>0</v>
      </c>
      <c r="H113" s="14"/>
      <c r="I113" s="22">
        <f t="shared" si="8"/>
        <v>0</v>
      </c>
      <c r="J113" s="14"/>
      <c r="K113" s="22">
        <f t="shared" si="9"/>
        <v>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10"/>
      <c r="AD113" s="9"/>
      <c r="AE113" s="15">
        <v>1</v>
      </c>
      <c r="AF113" s="9"/>
      <c r="AG113" s="15">
        <f t="shared" si="11"/>
        <v>1</v>
      </c>
      <c r="AH113" s="9"/>
      <c r="AI113" s="15" t="e">
        <f>AE113*#REF!</f>
        <v>#REF!</v>
      </c>
    </row>
    <row r="114" spans="1:35" ht="16.5" hidden="1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0</v>
      </c>
      <c r="G114" s="22">
        <f t="shared" si="10"/>
        <v>0</v>
      </c>
      <c r="H114" s="14"/>
      <c r="I114" s="22">
        <f t="shared" si="8"/>
        <v>0</v>
      </c>
      <c r="J114" s="14"/>
      <c r="K114" s="22">
        <f t="shared" si="9"/>
        <v>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10"/>
      <c r="AD114" s="9"/>
      <c r="AE114" s="15">
        <v>1</v>
      </c>
      <c r="AF114" s="9"/>
      <c r="AG114" s="15">
        <f t="shared" si="11"/>
        <v>1</v>
      </c>
      <c r="AH114" s="9"/>
      <c r="AI114" s="15" t="e">
        <f>AE114*#REF!</f>
        <v>#REF!</v>
      </c>
    </row>
    <row r="115" spans="1:35" ht="16.5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>
        <v>60</v>
      </c>
      <c r="G115" s="22">
        <f t="shared" si="10"/>
        <v>60</v>
      </c>
      <c r="H115" s="14"/>
      <c r="I115" s="22">
        <f t="shared" si="8"/>
        <v>0</v>
      </c>
      <c r="J115" s="14">
        <v>60</v>
      </c>
      <c r="K115" s="22">
        <f t="shared" si="9"/>
        <v>60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10"/>
      <c r="AD115" s="9"/>
      <c r="AE115" s="15">
        <v>1</v>
      </c>
      <c r="AF115" s="9"/>
      <c r="AG115" s="15">
        <f t="shared" si="11"/>
        <v>1</v>
      </c>
      <c r="AH115" s="9"/>
      <c r="AI115" s="15" t="e">
        <f>AE115*#REF!</f>
        <v>#REF!</v>
      </c>
    </row>
    <row r="116" spans="1:35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>
        <v>0</v>
      </c>
      <c r="G116" s="22">
        <f t="shared" si="10"/>
        <v>0</v>
      </c>
      <c r="H116" s="14"/>
      <c r="I116" s="22">
        <f t="shared" si="8"/>
        <v>0</v>
      </c>
      <c r="J116" s="14"/>
      <c r="K116" s="22">
        <f t="shared" si="9"/>
        <v>0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10"/>
      <c r="AD116" s="9"/>
      <c r="AE116" s="15">
        <v>1</v>
      </c>
      <c r="AF116" s="9"/>
      <c r="AG116" s="15">
        <f t="shared" si="11"/>
        <v>1</v>
      </c>
      <c r="AH116" s="9"/>
      <c r="AI116" s="15" t="e">
        <f>AE116*#REF!</f>
        <v>#REF!</v>
      </c>
    </row>
    <row r="117" spans="1:35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>
        <v>0</v>
      </c>
      <c r="G117" s="22">
        <f t="shared" si="10"/>
        <v>0</v>
      </c>
      <c r="H117" s="14"/>
      <c r="I117" s="22">
        <f t="shared" si="8"/>
        <v>0</v>
      </c>
      <c r="J117" s="14"/>
      <c r="K117" s="22">
        <f t="shared" si="9"/>
        <v>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10"/>
      <c r="AD117" s="9"/>
      <c r="AE117" s="15">
        <v>1</v>
      </c>
      <c r="AF117" s="9"/>
      <c r="AG117" s="15">
        <f t="shared" si="11"/>
        <v>1</v>
      </c>
      <c r="AH117" s="9"/>
      <c r="AI117" s="15" t="e">
        <f>AE117*#REF!</f>
        <v>#REF!</v>
      </c>
    </row>
    <row r="118" spans="1:35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>
        <v>0</v>
      </c>
      <c r="G118" s="22">
        <f t="shared" si="10"/>
        <v>0</v>
      </c>
      <c r="H118" s="14"/>
      <c r="I118" s="22">
        <f t="shared" si="8"/>
        <v>0</v>
      </c>
      <c r="J118" s="14"/>
      <c r="K118" s="22">
        <f t="shared" si="9"/>
        <v>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10"/>
      <c r="AD118" s="9"/>
      <c r="AE118" s="15">
        <v>1</v>
      </c>
      <c r="AF118" s="9"/>
      <c r="AG118" s="15">
        <f t="shared" si="11"/>
        <v>1</v>
      </c>
      <c r="AH118" s="9"/>
      <c r="AI118" s="15" t="e">
        <f>AE118*#REF!</f>
        <v>#REF!</v>
      </c>
    </row>
    <row r="119" spans="1:35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40</v>
      </c>
      <c r="G119" s="22">
        <f t="shared" si="10"/>
        <v>40</v>
      </c>
      <c r="H119" s="14"/>
      <c r="I119" s="22">
        <f t="shared" si="8"/>
        <v>0</v>
      </c>
      <c r="J119" s="14">
        <v>40</v>
      </c>
      <c r="K119" s="22">
        <f t="shared" si="9"/>
        <v>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10"/>
      <c r="AD119" s="9"/>
      <c r="AE119" s="15">
        <v>1</v>
      </c>
      <c r="AF119" s="9"/>
      <c r="AG119" s="15">
        <f t="shared" si="11"/>
        <v>1</v>
      </c>
      <c r="AH119" s="9"/>
      <c r="AI119" s="15" t="e">
        <f>AE119*#REF!</f>
        <v>#REF!</v>
      </c>
    </row>
    <row r="120" spans="1:35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>
        <v>0</v>
      </c>
      <c r="G120" s="22">
        <f t="shared" si="10"/>
        <v>0</v>
      </c>
      <c r="H120" s="14"/>
      <c r="I120" s="22">
        <f t="shared" si="8"/>
        <v>0</v>
      </c>
      <c r="J120" s="14"/>
      <c r="K120" s="22">
        <f t="shared" si="9"/>
        <v>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10"/>
      <c r="AD120" s="9"/>
      <c r="AE120" s="15">
        <v>1</v>
      </c>
      <c r="AF120" s="9"/>
      <c r="AG120" s="15">
        <f t="shared" si="11"/>
        <v>1</v>
      </c>
      <c r="AH120" s="9"/>
      <c r="AI120" s="15" t="e">
        <f>AE120*#REF!</f>
        <v>#REF!</v>
      </c>
    </row>
    <row r="121" spans="1:35" ht="16.5" hidden="1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>
        <v>0</v>
      </c>
      <c r="G121" s="22">
        <f t="shared" si="10"/>
        <v>0</v>
      </c>
      <c r="H121" s="14"/>
      <c r="I121" s="22">
        <f t="shared" si="8"/>
        <v>0</v>
      </c>
      <c r="J121" s="14"/>
      <c r="K121" s="22">
        <f t="shared" si="9"/>
        <v>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10"/>
      <c r="AD121" s="9"/>
      <c r="AE121" s="15">
        <v>1</v>
      </c>
      <c r="AF121" s="9"/>
      <c r="AG121" s="15">
        <f t="shared" si="11"/>
        <v>1</v>
      </c>
      <c r="AH121" s="9"/>
      <c r="AI121" s="15" t="e">
        <f>AE121*#REF!</f>
        <v>#REF!</v>
      </c>
    </row>
    <row r="122" spans="1:35" ht="16.5" hidden="1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>
        <v>0</v>
      </c>
      <c r="G122" s="22">
        <f t="shared" si="10"/>
        <v>0</v>
      </c>
      <c r="H122" s="14"/>
      <c r="I122" s="22">
        <f t="shared" si="8"/>
        <v>0</v>
      </c>
      <c r="J122" s="14"/>
      <c r="K122" s="22">
        <f t="shared" si="9"/>
        <v>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10"/>
      <c r="AD122" s="9"/>
      <c r="AE122" s="15">
        <v>1</v>
      </c>
      <c r="AF122" s="9"/>
      <c r="AG122" s="15">
        <f t="shared" si="11"/>
        <v>1</v>
      </c>
      <c r="AH122" s="9"/>
      <c r="AI122" s="15" t="e">
        <f>AE122*#REF!</f>
        <v>#REF!</v>
      </c>
    </row>
    <row r="123" spans="1:35" ht="16.5" hidden="1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>
        <v>0</v>
      </c>
      <c r="G123" s="22">
        <f t="shared" si="10"/>
        <v>0</v>
      </c>
      <c r="H123" s="14"/>
      <c r="I123" s="22">
        <f t="shared" si="8"/>
        <v>0</v>
      </c>
      <c r="J123" s="14"/>
      <c r="K123" s="22">
        <f t="shared" si="9"/>
        <v>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10"/>
      <c r="AD123" s="9"/>
      <c r="AE123" s="15">
        <v>1</v>
      </c>
      <c r="AF123" s="9"/>
      <c r="AG123" s="15">
        <f t="shared" ref="AG123:AG155" si="12">AE123*E123</f>
        <v>1</v>
      </c>
      <c r="AH123" s="9"/>
      <c r="AI123" s="15" t="e">
        <f>AE123*#REF!</f>
        <v>#REF!</v>
      </c>
    </row>
    <row r="124" spans="1:35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>
        <v>0</v>
      </c>
      <c r="G124" s="22">
        <f t="shared" si="10"/>
        <v>0</v>
      </c>
      <c r="H124" s="14"/>
      <c r="I124" s="22">
        <f t="shared" si="8"/>
        <v>0</v>
      </c>
      <c r="J124" s="14"/>
      <c r="K124" s="22">
        <f t="shared" si="9"/>
        <v>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10"/>
      <c r="AD124" s="9"/>
      <c r="AE124" s="15">
        <v>1</v>
      </c>
      <c r="AF124" s="9"/>
      <c r="AG124" s="15">
        <f t="shared" si="12"/>
        <v>1</v>
      </c>
      <c r="AH124" s="9"/>
      <c r="AI124" s="15" t="e">
        <f>AE124*#REF!</f>
        <v>#REF!</v>
      </c>
    </row>
    <row r="125" spans="1:35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>
        <v>0</v>
      </c>
      <c r="G125" s="22">
        <f t="shared" si="10"/>
        <v>0</v>
      </c>
      <c r="H125" s="14"/>
      <c r="I125" s="22">
        <f t="shared" si="8"/>
        <v>0</v>
      </c>
      <c r="J125" s="14"/>
      <c r="K125" s="22">
        <f t="shared" si="9"/>
        <v>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10"/>
      <c r="AD125" s="9"/>
      <c r="AE125" s="15">
        <v>1</v>
      </c>
      <c r="AF125" s="9"/>
      <c r="AG125" s="15">
        <f t="shared" si="12"/>
        <v>1</v>
      </c>
      <c r="AH125" s="9"/>
      <c r="AI125" s="15" t="e">
        <f>AE125*#REF!</f>
        <v>#REF!</v>
      </c>
    </row>
    <row r="126" spans="1:35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>
        <v>0</v>
      </c>
      <c r="G126" s="22">
        <f t="shared" si="10"/>
        <v>0</v>
      </c>
      <c r="H126" s="14"/>
      <c r="I126" s="22">
        <f t="shared" si="8"/>
        <v>0</v>
      </c>
      <c r="J126" s="14"/>
      <c r="K126" s="22">
        <f t="shared" si="9"/>
        <v>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10"/>
      <c r="AD126" s="9"/>
      <c r="AE126" s="15">
        <v>0.35</v>
      </c>
      <c r="AF126" s="9"/>
      <c r="AG126" s="15">
        <f t="shared" si="12"/>
        <v>0.12249999999999998</v>
      </c>
      <c r="AH126" s="9"/>
      <c r="AI126" s="15" t="e">
        <f>AE126*#REF!</f>
        <v>#REF!</v>
      </c>
    </row>
    <row r="127" spans="1:35" ht="16.5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>
        <v>480</v>
      </c>
      <c r="G127" s="22">
        <f t="shared" si="10"/>
        <v>192</v>
      </c>
      <c r="H127" s="14"/>
      <c r="I127" s="22">
        <f t="shared" si="8"/>
        <v>0</v>
      </c>
      <c r="J127" s="14">
        <v>480</v>
      </c>
      <c r="K127" s="22">
        <f t="shared" si="9"/>
        <v>192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10"/>
      <c r="AD127" s="9"/>
      <c r="AE127" s="15">
        <v>0.4</v>
      </c>
      <c r="AF127" s="9"/>
      <c r="AG127" s="15">
        <f t="shared" si="12"/>
        <v>0.16000000000000003</v>
      </c>
      <c r="AH127" s="9"/>
      <c r="AI127" s="15" t="e">
        <f>AE127*#REF!</f>
        <v>#REF!</v>
      </c>
    </row>
    <row r="128" spans="1:35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>
        <v>0</v>
      </c>
      <c r="G128" s="22">
        <f t="shared" si="10"/>
        <v>0</v>
      </c>
      <c r="H128" s="14"/>
      <c r="I128" s="22">
        <f t="shared" si="8"/>
        <v>0</v>
      </c>
      <c r="J128" s="14"/>
      <c r="K128" s="22">
        <f t="shared" si="9"/>
        <v>0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10"/>
      <c r="AD128" s="9"/>
      <c r="AE128" s="15">
        <v>0.35</v>
      </c>
      <c r="AF128" s="9"/>
      <c r="AG128" s="15">
        <f t="shared" si="12"/>
        <v>0.12249999999999998</v>
      </c>
      <c r="AH128" s="9"/>
      <c r="AI128" s="15" t="e">
        <f>AE128*#REF!</f>
        <v>#REF!</v>
      </c>
    </row>
    <row r="129" spans="2:35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480</v>
      </c>
      <c r="G129" s="22">
        <f t="shared" si="10"/>
        <v>192</v>
      </c>
      <c r="H129" s="14"/>
      <c r="I129" s="22">
        <f t="shared" si="8"/>
        <v>0</v>
      </c>
      <c r="J129" s="14">
        <v>480</v>
      </c>
      <c r="K129" s="22">
        <f t="shared" si="9"/>
        <v>192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10"/>
      <c r="AD129" s="9"/>
      <c r="AE129" s="15">
        <v>0.4</v>
      </c>
      <c r="AF129" s="9"/>
      <c r="AG129" s="15">
        <f t="shared" si="12"/>
        <v>0.16000000000000003</v>
      </c>
      <c r="AH129" s="9"/>
      <c r="AI129" s="15" t="e">
        <f>AE129*#REF!</f>
        <v>#REF!</v>
      </c>
    </row>
    <row r="130" spans="2:35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>
        <v>0</v>
      </c>
      <c r="G130" s="22">
        <f t="shared" si="10"/>
        <v>0</v>
      </c>
      <c r="H130" s="14"/>
      <c r="I130" s="22">
        <f t="shared" si="8"/>
        <v>0</v>
      </c>
      <c r="J130" s="14"/>
      <c r="K130" s="22">
        <f t="shared" si="9"/>
        <v>0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10"/>
      <c r="AD130" s="9"/>
      <c r="AE130" s="15">
        <v>0.4</v>
      </c>
      <c r="AF130" s="9"/>
      <c r="AG130" s="15">
        <f t="shared" si="12"/>
        <v>0.16000000000000003</v>
      </c>
      <c r="AH130" s="9"/>
      <c r="AI130" s="15" t="e">
        <f>AE130*#REF!</f>
        <v>#REF!</v>
      </c>
    </row>
    <row r="131" spans="2:35" ht="16.5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>
        <v>24</v>
      </c>
      <c r="G131" s="22">
        <f t="shared" si="10"/>
        <v>8.3999999999999986</v>
      </c>
      <c r="H131" s="14">
        <v>24</v>
      </c>
      <c r="I131" s="22">
        <f t="shared" si="8"/>
        <v>8.3999999999999986</v>
      </c>
      <c r="J131" s="14"/>
      <c r="K131" s="22">
        <f t="shared" si="9"/>
        <v>0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10"/>
      <c r="AD131" s="9"/>
      <c r="AE131" s="15">
        <v>0.35</v>
      </c>
      <c r="AF131" s="9"/>
      <c r="AG131" s="15">
        <f t="shared" si="12"/>
        <v>0.12249999999999998</v>
      </c>
      <c r="AH131" s="9"/>
      <c r="AI131" s="15" t="e">
        <f>AE131*#REF!</f>
        <v>#REF!</v>
      </c>
    </row>
    <row r="132" spans="2:35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20</v>
      </c>
      <c r="G132" s="22">
        <f t="shared" si="10"/>
        <v>20</v>
      </c>
      <c r="H132" s="14"/>
      <c r="I132" s="22">
        <f t="shared" si="8"/>
        <v>0</v>
      </c>
      <c r="J132" s="14">
        <v>20</v>
      </c>
      <c r="K132" s="22">
        <f t="shared" si="9"/>
        <v>20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10"/>
      <c r="AD132" s="9"/>
      <c r="AE132" s="15">
        <v>1</v>
      </c>
      <c r="AF132" s="9"/>
      <c r="AG132" s="15">
        <f t="shared" si="12"/>
        <v>1</v>
      </c>
      <c r="AH132" s="9"/>
      <c r="AI132" s="15" t="e">
        <f>AE132*#REF!</f>
        <v>#REF!</v>
      </c>
    </row>
    <row r="133" spans="2:35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>
        <v>0</v>
      </c>
      <c r="G133" s="22">
        <f t="shared" si="10"/>
        <v>0</v>
      </c>
      <c r="H133" s="14"/>
      <c r="I133" s="22">
        <f t="shared" ref="I133:I177" si="13">H133*E133</f>
        <v>0</v>
      </c>
      <c r="J133" s="14"/>
      <c r="K133" s="22">
        <f t="shared" ref="K133:K177" si="14">J133*E133</f>
        <v>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10"/>
      <c r="AD133" s="9"/>
      <c r="AE133" s="15">
        <v>0.35</v>
      </c>
      <c r="AF133" s="9"/>
      <c r="AG133" s="15">
        <f t="shared" si="12"/>
        <v>0.12249999999999998</v>
      </c>
      <c r="AH133" s="9"/>
      <c r="AI133" s="15" t="e">
        <f>AE133*#REF!</f>
        <v>#REF!</v>
      </c>
    </row>
    <row r="134" spans="2:35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>
        <v>0</v>
      </c>
      <c r="G134" s="22">
        <f t="shared" si="10"/>
        <v>0</v>
      </c>
      <c r="H134" s="14"/>
      <c r="I134" s="22">
        <f t="shared" si="13"/>
        <v>0</v>
      </c>
      <c r="J134" s="14"/>
      <c r="K134" s="22">
        <f t="shared" si="14"/>
        <v>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10"/>
      <c r="AD134" s="9"/>
      <c r="AE134" s="15">
        <v>0.4</v>
      </c>
      <c r="AF134" s="9"/>
      <c r="AG134" s="15">
        <f t="shared" si="12"/>
        <v>0.16000000000000003</v>
      </c>
      <c r="AH134" s="9"/>
      <c r="AI134" s="15" t="e">
        <f>AE134*#REF!</f>
        <v>#REF!</v>
      </c>
    </row>
    <row r="135" spans="2:35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>
        <v>0</v>
      </c>
      <c r="G135" s="22">
        <f t="shared" si="10"/>
        <v>0</v>
      </c>
      <c r="H135" s="14"/>
      <c r="I135" s="22">
        <f t="shared" si="13"/>
        <v>0</v>
      </c>
      <c r="J135" s="14"/>
      <c r="K135" s="22">
        <f t="shared" si="14"/>
        <v>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10"/>
      <c r="AD135" s="9"/>
      <c r="AE135" s="15">
        <v>1</v>
      </c>
      <c r="AF135" s="9"/>
      <c r="AG135" s="15">
        <f t="shared" si="12"/>
        <v>1</v>
      </c>
      <c r="AH135" s="9"/>
      <c r="AI135" s="15" t="e">
        <f>AE135*#REF!</f>
        <v>#REF!</v>
      </c>
    </row>
    <row r="136" spans="2:35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>
        <v>0</v>
      </c>
      <c r="G136" s="22">
        <f t="shared" si="10"/>
        <v>0</v>
      </c>
      <c r="H136" s="14"/>
      <c r="I136" s="22">
        <f t="shared" si="13"/>
        <v>0</v>
      </c>
      <c r="J136" s="14"/>
      <c r="K136" s="22">
        <f t="shared" si="14"/>
        <v>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10"/>
      <c r="AD136" s="9"/>
      <c r="AE136" s="15">
        <v>0.35</v>
      </c>
      <c r="AF136" s="9"/>
      <c r="AG136" s="15">
        <f t="shared" si="12"/>
        <v>0.12249999999999998</v>
      </c>
      <c r="AH136" s="9"/>
      <c r="AI136" s="15" t="e">
        <f>AE136*#REF!</f>
        <v>#REF!</v>
      </c>
    </row>
    <row r="137" spans="2:35" ht="16.5" hidden="1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0</v>
      </c>
      <c r="G137" s="22">
        <f t="shared" si="10"/>
        <v>0</v>
      </c>
      <c r="H137" s="14"/>
      <c r="I137" s="22">
        <f t="shared" si="13"/>
        <v>0</v>
      </c>
      <c r="J137" s="14"/>
      <c r="K137" s="22">
        <f t="shared" si="14"/>
        <v>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10"/>
      <c r="AD137" s="9"/>
      <c r="AE137" s="15">
        <v>0.35</v>
      </c>
      <c r="AF137" s="9"/>
      <c r="AG137" s="15">
        <f t="shared" si="12"/>
        <v>0.35</v>
      </c>
      <c r="AH137" s="9"/>
      <c r="AI137" s="15" t="e">
        <f>AE137*#REF!</f>
        <v>#REF!</v>
      </c>
    </row>
    <row r="138" spans="2:35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>
        <v>0</v>
      </c>
      <c r="G138" s="22">
        <f t="shared" si="10"/>
        <v>0</v>
      </c>
      <c r="H138" s="14"/>
      <c r="I138" s="22">
        <f t="shared" si="13"/>
        <v>0</v>
      </c>
      <c r="J138" s="14"/>
      <c r="K138" s="22">
        <f t="shared" si="14"/>
        <v>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10"/>
      <c r="AD138" s="9"/>
      <c r="AE138" s="15">
        <v>0.35</v>
      </c>
      <c r="AF138" s="9"/>
      <c r="AG138" s="15">
        <f t="shared" si="12"/>
        <v>0.12249999999999998</v>
      </c>
      <c r="AH138" s="9"/>
      <c r="AI138" s="15" t="e">
        <f>AE138*#REF!</f>
        <v>#REF!</v>
      </c>
    </row>
    <row r="139" spans="2:35" ht="16.5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>
        <v>100</v>
      </c>
      <c r="G139" s="22">
        <f t="shared" si="10"/>
        <v>100</v>
      </c>
      <c r="H139" s="14"/>
      <c r="I139" s="22">
        <f t="shared" si="13"/>
        <v>0</v>
      </c>
      <c r="J139" s="14">
        <v>100</v>
      </c>
      <c r="K139" s="22">
        <f t="shared" si="14"/>
        <v>100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10"/>
      <c r="AD139" s="9"/>
      <c r="AE139" s="15">
        <v>1</v>
      </c>
      <c r="AF139" s="9"/>
      <c r="AG139" s="15">
        <f t="shared" si="12"/>
        <v>1</v>
      </c>
      <c r="AH139" s="9"/>
      <c r="AI139" s="15" t="e">
        <f>AE139*#REF!</f>
        <v>#REF!</v>
      </c>
    </row>
    <row r="140" spans="2:35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>
        <v>0</v>
      </c>
      <c r="G140" s="22">
        <f t="shared" si="10"/>
        <v>0</v>
      </c>
      <c r="H140" s="14"/>
      <c r="I140" s="22">
        <f t="shared" si="13"/>
        <v>0</v>
      </c>
      <c r="J140" s="14"/>
      <c r="K140" s="22">
        <f t="shared" si="14"/>
        <v>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10"/>
      <c r="AD140" s="9"/>
      <c r="AE140" s="15">
        <v>0.4</v>
      </c>
      <c r="AF140" s="9"/>
      <c r="AG140" s="15">
        <f t="shared" si="12"/>
        <v>0.16000000000000003</v>
      </c>
      <c r="AH140" s="9"/>
      <c r="AI140" s="15" t="e">
        <f>AE140*#REF!</f>
        <v>#REF!</v>
      </c>
    </row>
    <row r="141" spans="2:35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>
        <v>0</v>
      </c>
      <c r="G141" s="22">
        <f t="shared" si="10"/>
        <v>0</v>
      </c>
      <c r="H141" s="14"/>
      <c r="I141" s="22">
        <f t="shared" si="13"/>
        <v>0</v>
      </c>
      <c r="J141" s="14"/>
      <c r="K141" s="22">
        <f t="shared" si="14"/>
        <v>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10"/>
      <c r="AD141" s="9"/>
      <c r="AE141" s="15">
        <v>0.4</v>
      </c>
      <c r="AF141" s="9"/>
      <c r="AG141" s="15">
        <f t="shared" si="12"/>
        <v>0.16000000000000003</v>
      </c>
      <c r="AH141" s="9"/>
      <c r="AI141" s="15" t="e">
        <f>AE141*#REF!</f>
        <v>#REF!</v>
      </c>
    </row>
    <row r="142" spans="2:35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>
        <v>0</v>
      </c>
      <c r="G142" s="22">
        <f t="shared" si="10"/>
        <v>0</v>
      </c>
      <c r="H142" s="14"/>
      <c r="I142" s="22">
        <f t="shared" si="13"/>
        <v>0</v>
      </c>
      <c r="J142" s="14"/>
      <c r="K142" s="22">
        <f t="shared" si="14"/>
        <v>0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10"/>
      <c r="AD142" s="9"/>
      <c r="AE142" s="15">
        <v>0.4</v>
      </c>
      <c r="AF142" s="9"/>
      <c r="AG142" s="15">
        <f t="shared" si="12"/>
        <v>0.16000000000000003</v>
      </c>
      <c r="AH142" s="9"/>
      <c r="AI142" s="15" t="e">
        <f>AE142*#REF!</f>
        <v>#REF!</v>
      </c>
    </row>
    <row r="143" spans="2:35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15</v>
      </c>
      <c r="G143" s="22">
        <f t="shared" si="10"/>
        <v>15</v>
      </c>
      <c r="H143" s="14">
        <v>15</v>
      </c>
      <c r="I143" s="22">
        <f t="shared" si="13"/>
        <v>15</v>
      </c>
      <c r="J143" s="14"/>
      <c r="K143" s="22">
        <f t="shared" si="14"/>
        <v>0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10"/>
      <c r="AD143" s="9"/>
      <c r="AE143" s="15">
        <v>1</v>
      </c>
      <c r="AF143" s="9"/>
      <c r="AG143" s="15">
        <f t="shared" si="12"/>
        <v>1</v>
      </c>
      <c r="AH143" s="9"/>
      <c r="AI143" s="15" t="e">
        <f>AE143*#REF!</f>
        <v>#REF!</v>
      </c>
    </row>
    <row r="144" spans="2:35" ht="16.5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>
        <v>45</v>
      </c>
      <c r="G144" s="22">
        <f t="shared" si="10"/>
        <v>45</v>
      </c>
      <c r="H144" s="14">
        <v>15</v>
      </c>
      <c r="I144" s="22">
        <f t="shared" si="13"/>
        <v>15</v>
      </c>
      <c r="J144" s="14">
        <v>30</v>
      </c>
      <c r="K144" s="22">
        <f t="shared" si="14"/>
        <v>30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10"/>
      <c r="AD144" s="9"/>
      <c r="AE144" s="15">
        <v>1</v>
      </c>
      <c r="AF144" s="9"/>
      <c r="AG144" s="15">
        <f t="shared" si="12"/>
        <v>1</v>
      </c>
      <c r="AH144" s="9"/>
      <c r="AI144" s="15" t="e">
        <f>AE144*#REF!</f>
        <v>#REF!</v>
      </c>
    </row>
    <row r="145" spans="2:35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>
        <v>0</v>
      </c>
      <c r="G145" s="22">
        <f t="shared" si="10"/>
        <v>0</v>
      </c>
      <c r="H145" s="14"/>
      <c r="I145" s="22">
        <f t="shared" si="13"/>
        <v>0</v>
      </c>
      <c r="J145" s="14"/>
      <c r="K145" s="22">
        <f t="shared" si="14"/>
        <v>0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10"/>
      <c r="AD145" s="9"/>
      <c r="AE145" s="15">
        <v>0.35</v>
      </c>
      <c r="AF145" s="9"/>
      <c r="AG145" s="15">
        <f t="shared" si="12"/>
        <v>0.12249999999999998</v>
      </c>
      <c r="AH145" s="9"/>
      <c r="AI145" s="15" t="e">
        <f>AE145*#REF!</f>
        <v>#REF!</v>
      </c>
    </row>
    <row r="146" spans="2:35" ht="16.5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>
        <v>24</v>
      </c>
      <c r="G146" s="22">
        <f t="shared" si="10"/>
        <v>8.3999999999999986</v>
      </c>
      <c r="H146" s="14"/>
      <c r="I146" s="22">
        <f t="shared" si="13"/>
        <v>0</v>
      </c>
      <c r="J146" s="14">
        <v>24</v>
      </c>
      <c r="K146" s="22">
        <f t="shared" si="14"/>
        <v>8.3999999999999986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10"/>
      <c r="AD146" s="9"/>
      <c r="AE146" s="15">
        <v>0.35</v>
      </c>
      <c r="AF146" s="9"/>
      <c r="AG146" s="15">
        <f t="shared" si="12"/>
        <v>0.12249999999999998</v>
      </c>
      <c r="AH146" s="9"/>
      <c r="AI146" s="15" t="e">
        <f>AE146*#REF!</f>
        <v>#REF!</v>
      </c>
    </row>
    <row r="147" spans="2:35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480</v>
      </c>
      <c r="G147" s="22">
        <f t="shared" si="10"/>
        <v>192</v>
      </c>
      <c r="H147" s="14"/>
      <c r="I147" s="22">
        <f t="shared" si="13"/>
        <v>0</v>
      </c>
      <c r="J147" s="14">
        <v>480</v>
      </c>
      <c r="K147" s="22">
        <f t="shared" si="14"/>
        <v>192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10"/>
      <c r="AD147" s="9"/>
      <c r="AE147" s="15">
        <v>0.4</v>
      </c>
      <c r="AF147" s="9"/>
      <c r="AG147" s="15">
        <f t="shared" si="12"/>
        <v>0.16000000000000003</v>
      </c>
      <c r="AH147" s="9"/>
      <c r="AI147" s="15" t="e">
        <f>AE147*#REF!</f>
        <v>#REF!</v>
      </c>
    </row>
    <row r="148" spans="2:35" ht="16.5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>
        <v>30</v>
      </c>
      <c r="G148" s="22">
        <f t="shared" si="10"/>
        <v>30</v>
      </c>
      <c r="H148" s="14"/>
      <c r="I148" s="22">
        <f t="shared" si="13"/>
        <v>0</v>
      </c>
      <c r="J148" s="14">
        <v>30</v>
      </c>
      <c r="K148" s="22">
        <f t="shared" si="14"/>
        <v>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10"/>
      <c r="AD148" s="9"/>
      <c r="AE148" s="15">
        <v>1</v>
      </c>
      <c r="AF148" s="9"/>
      <c r="AG148" s="15">
        <f t="shared" si="12"/>
        <v>1</v>
      </c>
      <c r="AH148" s="9"/>
      <c r="AI148" s="15" t="e">
        <f>AE148*#REF!</f>
        <v>#REF!</v>
      </c>
    </row>
    <row r="149" spans="2:35" ht="16.5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>
        <v>150</v>
      </c>
      <c r="G149" s="22">
        <f t="shared" si="10"/>
        <v>150</v>
      </c>
      <c r="H149" s="14"/>
      <c r="I149" s="22">
        <f t="shared" si="13"/>
        <v>0</v>
      </c>
      <c r="J149" s="14">
        <v>150</v>
      </c>
      <c r="K149" s="22">
        <f t="shared" si="14"/>
        <v>150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10"/>
      <c r="AD149" s="9"/>
      <c r="AE149" s="15">
        <v>1</v>
      </c>
      <c r="AF149" s="9"/>
      <c r="AG149" s="15">
        <f t="shared" si="12"/>
        <v>1</v>
      </c>
      <c r="AH149" s="9"/>
      <c r="AI149" s="15" t="e">
        <f>AE149*#REF!</f>
        <v>#REF!</v>
      </c>
    </row>
    <row r="150" spans="2:35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>
        <v>0</v>
      </c>
      <c r="G150" s="22">
        <f t="shared" si="10"/>
        <v>0</v>
      </c>
      <c r="H150" s="14"/>
      <c r="I150" s="22">
        <f t="shared" si="13"/>
        <v>0</v>
      </c>
      <c r="J150" s="14"/>
      <c r="K150" s="22">
        <f t="shared" si="14"/>
        <v>0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10"/>
      <c r="AD150" s="9"/>
      <c r="AE150" s="15">
        <v>1</v>
      </c>
      <c r="AF150" s="9"/>
      <c r="AG150" s="15">
        <f t="shared" si="12"/>
        <v>1</v>
      </c>
      <c r="AH150" s="9"/>
      <c r="AI150" s="15" t="e">
        <f>AE150*#REF!</f>
        <v>#REF!</v>
      </c>
    </row>
    <row r="151" spans="2:35" ht="16.5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>
        <v>100</v>
      </c>
      <c r="G151" s="22">
        <f t="shared" ref="G151:G216" si="15">F151*E151</f>
        <v>100</v>
      </c>
      <c r="H151" s="14"/>
      <c r="I151" s="22">
        <f t="shared" si="13"/>
        <v>0</v>
      </c>
      <c r="J151" s="14">
        <v>100</v>
      </c>
      <c r="K151" s="22">
        <f t="shared" si="14"/>
        <v>100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10"/>
      <c r="AD151" s="9"/>
      <c r="AE151" s="15">
        <v>1</v>
      </c>
      <c r="AF151" s="9"/>
      <c r="AG151" s="15">
        <f t="shared" si="12"/>
        <v>1</v>
      </c>
      <c r="AH151" s="9"/>
      <c r="AI151" s="15" t="e">
        <f>AE151*#REF!</f>
        <v>#REF!</v>
      </c>
    </row>
    <row r="152" spans="2:35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1000</v>
      </c>
      <c r="G152" s="22">
        <f t="shared" si="15"/>
        <v>1000</v>
      </c>
      <c r="H152" s="14"/>
      <c r="I152" s="22">
        <f t="shared" si="13"/>
        <v>0</v>
      </c>
      <c r="J152" s="14">
        <v>1000</v>
      </c>
      <c r="K152" s="22">
        <f t="shared" si="14"/>
        <v>1000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10"/>
      <c r="AD152" s="9"/>
      <c r="AE152" s="15">
        <v>1</v>
      </c>
      <c r="AF152" s="9"/>
      <c r="AG152" s="15">
        <f t="shared" si="12"/>
        <v>1</v>
      </c>
      <c r="AH152" s="9"/>
      <c r="AI152" s="15" t="e">
        <f>AE152*#REF!</f>
        <v>#REF!</v>
      </c>
    </row>
    <row r="153" spans="2:35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>
        <v>0</v>
      </c>
      <c r="G153" s="22">
        <f t="shared" si="15"/>
        <v>0</v>
      </c>
      <c r="H153" s="14"/>
      <c r="I153" s="22">
        <f t="shared" si="13"/>
        <v>0</v>
      </c>
      <c r="J153" s="14"/>
      <c r="K153" s="22">
        <f t="shared" si="14"/>
        <v>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10"/>
      <c r="AD153" s="9"/>
      <c r="AE153" s="15">
        <v>0.45</v>
      </c>
      <c r="AF153" s="9"/>
      <c r="AG153" s="15">
        <f t="shared" si="12"/>
        <v>0.20250000000000001</v>
      </c>
      <c r="AH153" s="9"/>
      <c r="AI153" s="15" t="e">
        <f>AE153*#REF!</f>
        <v>#REF!</v>
      </c>
    </row>
    <row r="154" spans="2:35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>
        <v>0</v>
      </c>
      <c r="G154" s="22">
        <f t="shared" si="15"/>
        <v>0</v>
      </c>
      <c r="H154" s="14"/>
      <c r="I154" s="22">
        <f t="shared" si="13"/>
        <v>0</v>
      </c>
      <c r="J154" s="14"/>
      <c r="K154" s="22">
        <f t="shared" si="14"/>
        <v>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10"/>
      <c r="AD154" s="9"/>
      <c r="AE154" s="15">
        <v>1</v>
      </c>
      <c r="AF154" s="9"/>
      <c r="AG154" s="15">
        <f t="shared" si="12"/>
        <v>1</v>
      </c>
      <c r="AH154" s="9"/>
      <c r="AI154" s="15" t="e">
        <f>AE154*#REF!</f>
        <v>#REF!</v>
      </c>
    </row>
    <row r="155" spans="2:35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50</v>
      </c>
      <c r="G155" s="22">
        <f t="shared" si="15"/>
        <v>50</v>
      </c>
      <c r="H155" s="14"/>
      <c r="I155" s="22">
        <f t="shared" si="13"/>
        <v>0</v>
      </c>
      <c r="J155" s="14">
        <v>50</v>
      </c>
      <c r="K155" s="22">
        <f t="shared" si="14"/>
        <v>50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10"/>
      <c r="AD155" s="9"/>
      <c r="AE155" s="15">
        <v>1</v>
      </c>
      <c r="AF155" s="9"/>
      <c r="AG155" s="15">
        <f t="shared" si="12"/>
        <v>1</v>
      </c>
      <c r="AH155" s="9"/>
      <c r="AI155" s="15" t="e">
        <f>AE155*#REF!</f>
        <v>#REF!</v>
      </c>
    </row>
    <row r="156" spans="2:35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>
        <v>0</v>
      </c>
      <c r="G156" s="22">
        <f t="shared" si="15"/>
        <v>0</v>
      </c>
      <c r="H156" s="14"/>
      <c r="I156" s="22">
        <f t="shared" si="13"/>
        <v>0</v>
      </c>
      <c r="J156" s="14"/>
      <c r="K156" s="22">
        <f t="shared" si="14"/>
        <v>0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10"/>
      <c r="AD156" s="9"/>
      <c r="AE156" s="15"/>
      <c r="AF156" s="9"/>
      <c r="AG156" s="15"/>
      <c r="AH156" s="9"/>
      <c r="AI156" s="15"/>
    </row>
    <row r="157" spans="2:35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>
        <v>0</v>
      </c>
      <c r="G157" s="22">
        <f t="shared" si="15"/>
        <v>0</v>
      </c>
      <c r="H157" s="14"/>
      <c r="I157" s="22">
        <f t="shared" si="13"/>
        <v>0</v>
      </c>
      <c r="J157" s="14"/>
      <c r="K157" s="22">
        <f t="shared" si="14"/>
        <v>0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10"/>
      <c r="AD157" s="9"/>
      <c r="AE157" s="15">
        <v>0.45</v>
      </c>
      <c r="AF157" s="9"/>
      <c r="AG157" s="15">
        <f t="shared" ref="AG157:AG165" si="16">AE157*E157</f>
        <v>0.20250000000000001</v>
      </c>
      <c r="AH157" s="9"/>
      <c r="AI157" s="15" t="e">
        <f>AE157*#REF!</f>
        <v>#REF!</v>
      </c>
    </row>
    <row r="158" spans="2:35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>
        <v>0</v>
      </c>
      <c r="G158" s="22">
        <f t="shared" si="15"/>
        <v>0</v>
      </c>
      <c r="H158" s="14"/>
      <c r="I158" s="22">
        <f t="shared" si="13"/>
        <v>0</v>
      </c>
      <c r="J158" s="14"/>
      <c r="K158" s="22">
        <f t="shared" si="14"/>
        <v>0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10"/>
      <c r="AD158" s="9"/>
      <c r="AE158" s="15">
        <v>0.45</v>
      </c>
      <c r="AF158" s="9"/>
      <c r="AG158" s="15">
        <f t="shared" si="16"/>
        <v>0.20250000000000001</v>
      </c>
      <c r="AH158" s="9"/>
      <c r="AI158" s="15" t="e">
        <f>AE158*#REF!</f>
        <v>#REF!</v>
      </c>
    </row>
    <row r="159" spans="2:35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>
        <v>0</v>
      </c>
      <c r="G159" s="22">
        <f t="shared" si="15"/>
        <v>0</v>
      </c>
      <c r="H159" s="14"/>
      <c r="I159" s="22">
        <f t="shared" si="13"/>
        <v>0</v>
      </c>
      <c r="J159" s="14"/>
      <c r="K159" s="22">
        <f t="shared" si="14"/>
        <v>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10"/>
      <c r="AD159" s="9"/>
      <c r="AE159" s="15">
        <v>1</v>
      </c>
      <c r="AF159" s="9"/>
      <c r="AG159" s="15">
        <f t="shared" si="16"/>
        <v>1</v>
      </c>
      <c r="AH159" s="9"/>
      <c r="AI159" s="15" t="e">
        <f>AE159*#REF!</f>
        <v>#REF!</v>
      </c>
    </row>
    <row r="160" spans="2:35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>
        <v>0</v>
      </c>
      <c r="G160" s="22">
        <f t="shared" si="15"/>
        <v>0</v>
      </c>
      <c r="H160" s="14"/>
      <c r="I160" s="22">
        <f t="shared" si="13"/>
        <v>0</v>
      </c>
      <c r="J160" s="14"/>
      <c r="K160" s="22">
        <f t="shared" si="14"/>
        <v>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10"/>
      <c r="AD160" s="9"/>
      <c r="AE160" s="15">
        <v>1</v>
      </c>
      <c r="AF160" s="9"/>
      <c r="AG160" s="15">
        <f t="shared" si="16"/>
        <v>1</v>
      </c>
      <c r="AH160" s="9"/>
      <c r="AI160" s="15" t="e">
        <f>AE160*#REF!</f>
        <v>#REF!</v>
      </c>
    </row>
    <row r="161" spans="2:35" ht="16.5" hidden="1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0</v>
      </c>
      <c r="G161" s="22">
        <f t="shared" si="15"/>
        <v>0</v>
      </c>
      <c r="H161" s="14"/>
      <c r="I161" s="22">
        <f t="shared" si="13"/>
        <v>0</v>
      </c>
      <c r="J161" s="14"/>
      <c r="K161" s="22">
        <f t="shared" si="14"/>
        <v>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10"/>
      <c r="AD161" s="9"/>
      <c r="AE161" s="15">
        <v>0.4</v>
      </c>
      <c r="AF161" s="9"/>
      <c r="AG161" s="15">
        <f t="shared" si="16"/>
        <v>0.16000000000000003</v>
      </c>
      <c r="AH161" s="9"/>
      <c r="AI161" s="15" t="e">
        <f>AE161*#REF!</f>
        <v>#REF!</v>
      </c>
    </row>
    <row r="162" spans="2:35" ht="16.5" hidden="1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0</v>
      </c>
      <c r="G162" s="22">
        <f t="shared" si="15"/>
        <v>0</v>
      </c>
      <c r="H162" s="14"/>
      <c r="I162" s="22">
        <f t="shared" si="13"/>
        <v>0</v>
      </c>
      <c r="J162" s="14"/>
      <c r="K162" s="22">
        <f t="shared" si="14"/>
        <v>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10"/>
      <c r="AD162" s="9"/>
      <c r="AE162" s="15">
        <v>0.4</v>
      </c>
      <c r="AF162" s="9"/>
      <c r="AG162" s="15">
        <f t="shared" si="16"/>
        <v>0.16000000000000003</v>
      </c>
      <c r="AH162" s="9"/>
      <c r="AI162" s="15" t="e">
        <f>AE162*#REF!</f>
        <v>#REF!</v>
      </c>
    </row>
    <row r="163" spans="2:35" ht="16.5" hidden="1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>
        <v>0</v>
      </c>
      <c r="G163" s="22">
        <f t="shared" si="15"/>
        <v>0</v>
      </c>
      <c r="H163" s="14"/>
      <c r="I163" s="22">
        <f t="shared" si="13"/>
        <v>0</v>
      </c>
      <c r="J163" s="14"/>
      <c r="K163" s="22">
        <f t="shared" si="14"/>
        <v>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10"/>
      <c r="AD163" s="9"/>
      <c r="AE163" s="15">
        <v>1</v>
      </c>
      <c r="AF163" s="9"/>
      <c r="AG163" s="15">
        <f t="shared" si="16"/>
        <v>1</v>
      </c>
      <c r="AH163" s="9"/>
      <c r="AI163" s="15" t="e">
        <f>AE163*#REF!</f>
        <v>#REF!</v>
      </c>
    </row>
    <row r="164" spans="2:35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>
        <v>0</v>
      </c>
      <c r="G164" s="22">
        <f t="shared" si="15"/>
        <v>0</v>
      </c>
      <c r="H164" s="14"/>
      <c r="I164" s="22">
        <f t="shared" si="13"/>
        <v>0</v>
      </c>
      <c r="J164" s="14"/>
      <c r="K164" s="22">
        <f t="shared" si="14"/>
        <v>0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10"/>
      <c r="AD164" s="9"/>
      <c r="AE164" s="15">
        <v>1</v>
      </c>
      <c r="AF164" s="9"/>
      <c r="AG164" s="15">
        <f t="shared" si="16"/>
        <v>1</v>
      </c>
      <c r="AH164" s="9"/>
      <c r="AI164" s="15" t="e">
        <f>AE164*#REF!</f>
        <v>#REF!</v>
      </c>
    </row>
    <row r="165" spans="2:35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>
        <v>0</v>
      </c>
      <c r="G165" s="22">
        <f t="shared" si="15"/>
        <v>0</v>
      </c>
      <c r="H165" s="14"/>
      <c r="I165" s="22">
        <f t="shared" si="13"/>
        <v>0</v>
      </c>
      <c r="J165" s="14"/>
      <c r="K165" s="22">
        <f t="shared" si="14"/>
        <v>0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10"/>
      <c r="AD165" s="9"/>
      <c r="AE165" s="15">
        <v>1</v>
      </c>
      <c r="AF165" s="9"/>
      <c r="AG165" s="15">
        <f t="shared" si="16"/>
        <v>1</v>
      </c>
      <c r="AH165" s="9"/>
      <c r="AI165" s="15" t="e">
        <f>AE165*#REF!</f>
        <v>#REF!</v>
      </c>
    </row>
    <row r="166" spans="2:35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>
        <v>0</v>
      </c>
      <c r="G166" s="22">
        <f t="shared" si="15"/>
        <v>0</v>
      </c>
      <c r="H166" s="14"/>
      <c r="I166" s="22">
        <f t="shared" si="13"/>
        <v>0</v>
      </c>
      <c r="J166" s="14"/>
      <c r="K166" s="22">
        <f t="shared" si="14"/>
        <v>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10"/>
      <c r="AD166" s="9"/>
      <c r="AE166" s="15"/>
      <c r="AF166" s="9"/>
      <c r="AG166" s="15"/>
      <c r="AH166" s="9"/>
      <c r="AI166" s="15"/>
    </row>
    <row r="167" spans="2:35" ht="16.5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>
        <v>100</v>
      </c>
      <c r="G167" s="22">
        <f t="shared" si="15"/>
        <v>100</v>
      </c>
      <c r="H167" s="14"/>
      <c r="I167" s="22">
        <f t="shared" si="13"/>
        <v>0</v>
      </c>
      <c r="J167" s="14">
        <v>100</v>
      </c>
      <c r="K167" s="22">
        <f t="shared" si="14"/>
        <v>100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10"/>
      <c r="AD167" s="9"/>
      <c r="AE167" s="15"/>
      <c r="AF167" s="9"/>
      <c r="AG167" s="15"/>
      <c r="AH167" s="9"/>
      <c r="AI167" s="15"/>
    </row>
    <row r="168" spans="2:35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>
        <v>0</v>
      </c>
      <c r="G168" s="22">
        <f t="shared" si="15"/>
        <v>0</v>
      </c>
      <c r="H168" s="14"/>
      <c r="I168" s="22">
        <f t="shared" si="13"/>
        <v>0</v>
      </c>
      <c r="J168" s="14"/>
      <c r="K168" s="22">
        <f t="shared" si="14"/>
        <v>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10"/>
      <c r="AD168" s="9"/>
      <c r="AE168" s="15">
        <v>1</v>
      </c>
      <c r="AF168" s="9"/>
      <c r="AG168" s="15">
        <f t="shared" ref="AG168:AG174" si="17">AE168*E168</f>
        <v>1</v>
      </c>
      <c r="AH168" s="9"/>
      <c r="AI168" s="15" t="e">
        <f>AE168*#REF!</f>
        <v>#REF!</v>
      </c>
    </row>
    <row r="169" spans="2:35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480</v>
      </c>
      <c r="G169" s="22">
        <f t="shared" si="15"/>
        <v>192</v>
      </c>
      <c r="H169" s="14"/>
      <c r="I169" s="22">
        <f t="shared" si="13"/>
        <v>0</v>
      </c>
      <c r="J169" s="14">
        <v>480</v>
      </c>
      <c r="K169" s="22">
        <f t="shared" si="14"/>
        <v>192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10"/>
      <c r="AD169" s="9"/>
      <c r="AE169" s="15">
        <v>0.5</v>
      </c>
      <c r="AF169" s="9"/>
      <c r="AG169" s="15">
        <f t="shared" si="17"/>
        <v>0.2</v>
      </c>
      <c r="AH169" s="9"/>
      <c r="AI169" s="15" t="e">
        <f>AE169*#REF!</f>
        <v>#REF!</v>
      </c>
    </row>
    <row r="170" spans="2:35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>
        <v>0</v>
      </c>
      <c r="G170" s="22">
        <f t="shared" si="15"/>
        <v>0</v>
      </c>
      <c r="H170" s="14"/>
      <c r="I170" s="22">
        <f t="shared" si="13"/>
        <v>0</v>
      </c>
      <c r="J170" s="14"/>
      <c r="K170" s="22">
        <f t="shared" si="14"/>
        <v>0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10"/>
      <c r="AD170" s="9"/>
      <c r="AE170" s="15">
        <v>1</v>
      </c>
      <c r="AF170" s="9"/>
      <c r="AG170" s="15">
        <f t="shared" si="17"/>
        <v>1</v>
      </c>
      <c r="AH170" s="9"/>
      <c r="AI170" s="15" t="e">
        <f>AE170*#REF!</f>
        <v>#REF!</v>
      </c>
    </row>
    <row r="171" spans="2:35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600</v>
      </c>
      <c r="G171" s="22">
        <f t="shared" si="15"/>
        <v>240</v>
      </c>
      <c r="H171" s="14"/>
      <c r="I171" s="22">
        <f t="shared" si="13"/>
        <v>0</v>
      </c>
      <c r="J171" s="14">
        <v>600</v>
      </c>
      <c r="K171" s="22">
        <f t="shared" si="14"/>
        <v>240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10"/>
      <c r="AD171" s="9"/>
      <c r="AE171" s="15">
        <v>1</v>
      </c>
      <c r="AF171" s="9"/>
      <c r="AG171" s="15">
        <f t="shared" si="17"/>
        <v>0.4</v>
      </c>
      <c r="AH171" s="9"/>
      <c r="AI171" s="15" t="e">
        <f>AE171*#REF!</f>
        <v>#REF!</v>
      </c>
    </row>
    <row r="172" spans="2:35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>
        <v>0</v>
      </c>
      <c r="G172" s="22">
        <f t="shared" si="15"/>
        <v>0</v>
      </c>
      <c r="H172" s="14"/>
      <c r="I172" s="22">
        <f t="shared" si="13"/>
        <v>0</v>
      </c>
      <c r="J172" s="14"/>
      <c r="K172" s="22">
        <f t="shared" si="14"/>
        <v>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10"/>
      <c r="AD172" s="9"/>
      <c r="AE172" s="15">
        <v>0.35</v>
      </c>
      <c r="AF172" s="9"/>
      <c r="AG172" s="15">
        <f t="shared" si="17"/>
        <v>0.12249999999999998</v>
      </c>
      <c r="AH172" s="9"/>
      <c r="AI172" s="15" t="e">
        <f>AE172*#REF!</f>
        <v>#REF!</v>
      </c>
    </row>
    <row r="173" spans="2:35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>
        <v>0</v>
      </c>
      <c r="G173" s="22">
        <f t="shared" si="15"/>
        <v>0</v>
      </c>
      <c r="H173" s="14"/>
      <c r="I173" s="22">
        <f t="shared" si="13"/>
        <v>0</v>
      </c>
      <c r="J173" s="14"/>
      <c r="K173" s="22">
        <f t="shared" si="14"/>
        <v>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10"/>
      <c r="AD173" s="9"/>
      <c r="AE173" s="15">
        <v>0.35</v>
      </c>
      <c r="AF173" s="9"/>
      <c r="AG173" s="15">
        <f t="shared" si="17"/>
        <v>0.12249999999999998</v>
      </c>
      <c r="AH173" s="9"/>
      <c r="AI173" s="15" t="e">
        <f>AE173*#REF!</f>
        <v>#REF!</v>
      </c>
    </row>
    <row r="174" spans="2:35" ht="16.5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>
        <v>24</v>
      </c>
      <c r="G174" s="22">
        <f t="shared" si="15"/>
        <v>8.3999999999999986</v>
      </c>
      <c r="H174" s="14"/>
      <c r="I174" s="22">
        <f t="shared" si="13"/>
        <v>0</v>
      </c>
      <c r="J174" s="14">
        <v>24</v>
      </c>
      <c r="K174" s="22">
        <f t="shared" si="14"/>
        <v>8.3999999999999986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10"/>
      <c r="AD174" s="9"/>
      <c r="AE174" s="15">
        <v>0.35</v>
      </c>
      <c r="AF174" s="9"/>
      <c r="AG174" s="15">
        <f t="shared" si="17"/>
        <v>0.12249999999999998</v>
      </c>
      <c r="AH174" s="9"/>
      <c r="AI174" s="15" t="e">
        <f>AE174*#REF!</f>
        <v>#REF!</v>
      </c>
    </row>
    <row r="175" spans="2:35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50</v>
      </c>
      <c r="G175" s="22">
        <f t="shared" si="15"/>
        <v>50</v>
      </c>
      <c r="H175" s="14"/>
      <c r="I175" s="22">
        <f t="shared" si="13"/>
        <v>0</v>
      </c>
      <c r="J175" s="14">
        <v>50</v>
      </c>
      <c r="K175" s="22">
        <f t="shared" si="14"/>
        <v>50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10"/>
      <c r="AD175" s="9"/>
      <c r="AE175" s="15"/>
      <c r="AF175" s="9"/>
      <c r="AG175" s="15"/>
      <c r="AH175" s="9"/>
      <c r="AI175" s="15"/>
    </row>
    <row r="176" spans="2:35" ht="16.5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>
        <v>100</v>
      </c>
      <c r="G176" s="22">
        <f t="shared" si="15"/>
        <v>100</v>
      </c>
      <c r="H176" s="14"/>
      <c r="I176" s="22">
        <f t="shared" si="13"/>
        <v>0</v>
      </c>
      <c r="J176" s="14">
        <v>100</v>
      </c>
      <c r="K176" s="22">
        <f t="shared" si="14"/>
        <v>100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10"/>
      <c r="AD176" s="9"/>
      <c r="AE176" s="15"/>
      <c r="AF176" s="9"/>
      <c r="AG176" s="15"/>
      <c r="AH176" s="9"/>
      <c r="AI176" s="15"/>
    </row>
    <row r="177" spans="2:35" ht="16.5" customHeight="1" outlineLevel="1" thickBot="1" x14ac:dyDescent="0.3">
      <c r="B177" s="71" t="s">
        <v>424</v>
      </c>
      <c r="C177" s="63" t="s">
        <v>632</v>
      </c>
      <c r="D177" s="65">
        <v>2945</v>
      </c>
      <c r="E177" s="40">
        <v>1</v>
      </c>
      <c r="F177" s="14">
        <v>100</v>
      </c>
      <c r="G177" s="29">
        <f t="shared" si="15"/>
        <v>100</v>
      </c>
      <c r="H177" s="14"/>
      <c r="I177" s="22">
        <f t="shared" si="13"/>
        <v>0</v>
      </c>
      <c r="J177" s="14">
        <v>100</v>
      </c>
      <c r="K177" s="22">
        <f t="shared" si="14"/>
        <v>100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10"/>
      <c r="AD177" s="9"/>
      <c r="AE177" s="15">
        <v>1</v>
      </c>
      <c r="AF177" s="9"/>
      <c r="AG177" s="15">
        <f>AE177*E177</f>
        <v>1</v>
      </c>
      <c r="AH177" s="9"/>
      <c r="AI177" s="15" t="e">
        <f>AE177*#REF!</f>
        <v>#REF!</v>
      </c>
    </row>
    <row r="178" spans="2:35" s="4" customFormat="1" ht="19.5" hidden="1" collapsed="1" thickBot="1" x14ac:dyDescent="0.3">
      <c r="B178" s="71"/>
      <c r="C178" s="33" t="s">
        <v>188</v>
      </c>
      <c r="D178" s="66"/>
      <c r="E178" s="39"/>
      <c r="F178" s="23">
        <f>SUM(F179:F262)</f>
        <v>940</v>
      </c>
      <c r="G178" s="47">
        <f>SUM(G179:G262)</f>
        <v>640</v>
      </c>
      <c r="H178" s="23">
        <f t="shared" ref="H178:K178" si="18">SUM(H179:H262)</f>
        <v>324</v>
      </c>
      <c r="I178" s="47">
        <f t="shared" si="18"/>
        <v>223.2</v>
      </c>
      <c r="J178" s="23">
        <f t="shared" si="18"/>
        <v>616</v>
      </c>
      <c r="K178" s="47">
        <f t="shared" si="18"/>
        <v>416.79999999999995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8"/>
      <c r="AC178" s="8"/>
      <c r="AD178" s="7"/>
      <c r="AE178" s="18"/>
      <c r="AF178" s="21"/>
      <c r="AG178" s="19">
        <f>SUM(AG179:AG262)</f>
        <v>38.277825000000021</v>
      </c>
      <c r="AH178" s="21"/>
      <c r="AI178" s="19" t="e">
        <f>SUM(AI179:AI262)</f>
        <v>#REF!</v>
      </c>
    </row>
    <row r="179" spans="2:35" ht="16.5" hidden="1" customHeight="1" outlineLevel="1" x14ac:dyDescent="0.25">
      <c r="B179" s="71" t="s">
        <v>537</v>
      </c>
      <c r="C179" s="41" t="s">
        <v>98</v>
      </c>
      <c r="D179" s="104"/>
      <c r="E179" s="44">
        <v>0.3</v>
      </c>
      <c r="F179" s="48"/>
      <c r="G179" s="28">
        <f t="shared" si="15"/>
        <v>0</v>
      </c>
      <c r="H179" s="48"/>
      <c r="I179" s="28">
        <f t="shared" ref="I179:I245" si="19">H179*G179</f>
        <v>0</v>
      </c>
      <c r="J179" s="48"/>
      <c r="K179" s="28">
        <f t="shared" ref="K179:K245" si="20">J179*I179</f>
        <v>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10"/>
      <c r="AD179" s="9"/>
      <c r="AE179" s="12">
        <v>0.3</v>
      </c>
      <c r="AF179" s="13"/>
      <c r="AG179" s="12">
        <f t="shared" ref="AG179:AG210" si="21">AE179*E179</f>
        <v>0.09</v>
      </c>
      <c r="AH179" s="13"/>
      <c r="AI179" s="12" t="e">
        <f>AE179*#REF!</f>
        <v>#REF!</v>
      </c>
    </row>
    <row r="180" spans="2:35" ht="16.5" hidden="1" customHeight="1" outlineLevel="1" x14ac:dyDescent="0.25">
      <c r="B180" s="71" t="s">
        <v>425</v>
      </c>
      <c r="C180" s="35" t="s">
        <v>99</v>
      </c>
      <c r="D180" s="105"/>
      <c r="E180" s="45">
        <v>1</v>
      </c>
      <c r="F180" s="49"/>
      <c r="G180" s="22">
        <f t="shared" si="15"/>
        <v>0</v>
      </c>
      <c r="H180" s="49"/>
      <c r="I180" s="22">
        <f t="shared" si="19"/>
        <v>0</v>
      </c>
      <c r="J180" s="49"/>
      <c r="K180" s="22">
        <f t="shared" si="20"/>
        <v>0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10"/>
      <c r="AD180" s="9"/>
      <c r="AE180" s="15">
        <v>1</v>
      </c>
      <c r="AF180" s="9"/>
      <c r="AG180" s="15">
        <f t="shared" si="21"/>
        <v>1</v>
      </c>
      <c r="AH180" s="9"/>
      <c r="AI180" s="15" t="e">
        <f>AE180*#REF!</f>
        <v>#REF!</v>
      </c>
    </row>
    <row r="181" spans="2:35" ht="16.5" hidden="1" customHeight="1" outlineLevel="1" x14ac:dyDescent="0.25">
      <c r="B181" s="71" t="s">
        <v>426</v>
      </c>
      <c r="C181" s="35" t="s">
        <v>100</v>
      </c>
      <c r="D181" s="105"/>
      <c r="E181" s="45">
        <v>1</v>
      </c>
      <c r="F181" s="49"/>
      <c r="G181" s="22">
        <f t="shared" si="15"/>
        <v>0</v>
      </c>
      <c r="H181" s="49"/>
      <c r="I181" s="22">
        <f t="shared" si="19"/>
        <v>0</v>
      </c>
      <c r="J181" s="49"/>
      <c r="K181" s="22">
        <f t="shared" si="20"/>
        <v>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10"/>
      <c r="AD181" s="9"/>
      <c r="AE181" s="15">
        <v>1</v>
      </c>
      <c r="AF181" s="9"/>
      <c r="AG181" s="15">
        <f t="shared" si="21"/>
        <v>1</v>
      </c>
      <c r="AH181" s="9"/>
      <c r="AI181" s="15" t="e">
        <f>AE181*#REF!</f>
        <v>#REF!</v>
      </c>
    </row>
    <row r="182" spans="2:35" ht="16.5" hidden="1" customHeight="1" outlineLevel="1" x14ac:dyDescent="0.25">
      <c r="B182" s="71" t="s">
        <v>427</v>
      </c>
      <c r="C182" s="35" t="s">
        <v>101</v>
      </c>
      <c r="D182" s="105"/>
      <c r="E182" s="45">
        <v>1</v>
      </c>
      <c r="F182" s="49"/>
      <c r="G182" s="22">
        <f t="shared" si="15"/>
        <v>0</v>
      </c>
      <c r="H182" s="49"/>
      <c r="I182" s="22">
        <f t="shared" si="19"/>
        <v>0</v>
      </c>
      <c r="J182" s="49"/>
      <c r="K182" s="22">
        <f t="shared" si="20"/>
        <v>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10"/>
      <c r="AD182" s="9"/>
      <c r="AE182" s="15">
        <v>1</v>
      </c>
      <c r="AF182" s="9"/>
      <c r="AG182" s="15">
        <f t="shared" si="21"/>
        <v>1</v>
      </c>
      <c r="AH182" s="9"/>
      <c r="AI182" s="15" t="e">
        <f>AE182*#REF!</f>
        <v>#REF!</v>
      </c>
    </row>
    <row r="183" spans="2:35" ht="16.5" hidden="1" customHeight="1" outlineLevel="1" x14ac:dyDescent="0.25">
      <c r="B183" s="71" t="s">
        <v>538</v>
      </c>
      <c r="C183" s="35" t="s">
        <v>102</v>
      </c>
      <c r="D183" s="105"/>
      <c r="E183" s="45">
        <v>0.35</v>
      </c>
      <c r="F183" s="49"/>
      <c r="G183" s="22">
        <f t="shared" si="15"/>
        <v>0</v>
      </c>
      <c r="H183" s="49"/>
      <c r="I183" s="22">
        <f t="shared" si="19"/>
        <v>0</v>
      </c>
      <c r="J183" s="49"/>
      <c r="K183" s="22">
        <f t="shared" si="20"/>
        <v>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10"/>
      <c r="AD183" s="9"/>
      <c r="AE183" s="15">
        <v>0.35</v>
      </c>
      <c r="AF183" s="9"/>
      <c r="AG183" s="15">
        <f t="shared" si="21"/>
        <v>0.12249999999999998</v>
      </c>
      <c r="AH183" s="9"/>
      <c r="AI183" s="15" t="e">
        <f>AE183*#REF!</f>
        <v>#REF!</v>
      </c>
    </row>
    <row r="184" spans="2:35" ht="16.5" hidden="1" customHeight="1" outlineLevel="1" x14ac:dyDescent="0.25">
      <c r="B184" s="71" t="s">
        <v>539</v>
      </c>
      <c r="C184" s="35" t="s">
        <v>103</v>
      </c>
      <c r="D184" s="105"/>
      <c r="E184" s="45">
        <v>0.3</v>
      </c>
      <c r="F184" s="49"/>
      <c r="G184" s="22">
        <f t="shared" si="15"/>
        <v>0</v>
      </c>
      <c r="H184" s="49"/>
      <c r="I184" s="22">
        <f t="shared" si="19"/>
        <v>0</v>
      </c>
      <c r="J184" s="49"/>
      <c r="K184" s="22">
        <f t="shared" si="20"/>
        <v>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10"/>
      <c r="AD184" s="9"/>
      <c r="AE184" s="15">
        <v>0.3</v>
      </c>
      <c r="AF184" s="9"/>
      <c r="AG184" s="15">
        <f t="shared" si="21"/>
        <v>0.09</v>
      </c>
      <c r="AH184" s="9"/>
      <c r="AI184" s="15" t="e">
        <f>AE184*#REF!</f>
        <v>#REF!</v>
      </c>
    </row>
    <row r="185" spans="2:35" ht="16.5" hidden="1" customHeight="1" outlineLevel="1" x14ac:dyDescent="0.25">
      <c r="B185" s="71" t="s">
        <v>540</v>
      </c>
      <c r="C185" s="35" t="s">
        <v>104</v>
      </c>
      <c r="D185" s="105"/>
      <c r="E185" s="45">
        <v>0.35</v>
      </c>
      <c r="F185" s="49"/>
      <c r="G185" s="22">
        <f t="shared" si="15"/>
        <v>0</v>
      </c>
      <c r="H185" s="49"/>
      <c r="I185" s="22">
        <f t="shared" si="19"/>
        <v>0</v>
      </c>
      <c r="J185" s="49"/>
      <c r="K185" s="22">
        <f t="shared" si="20"/>
        <v>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10"/>
      <c r="AD185" s="9"/>
      <c r="AE185" s="15">
        <v>0.35</v>
      </c>
      <c r="AF185" s="9"/>
      <c r="AG185" s="15">
        <f t="shared" si="21"/>
        <v>0.12249999999999998</v>
      </c>
      <c r="AH185" s="9"/>
      <c r="AI185" s="15" t="e">
        <f>AE185*#REF!</f>
        <v>#REF!</v>
      </c>
    </row>
    <row r="186" spans="2:35" ht="16.5" hidden="1" customHeight="1" outlineLevel="1" x14ac:dyDescent="0.25">
      <c r="B186" s="71" t="s">
        <v>428</v>
      </c>
      <c r="C186" s="35" t="s">
        <v>105</v>
      </c>
      <c r="D186" s="105"/>
      <c r="E186" s="45">
        <v>1</v>
      </c>
      <c r="F186" s="49"/>
      <c r="G186" s="22">
        <f t="shared" si="15"/>
        <v>0</v>
      </c>
      <c r="H186" s="49"/>
      <c r="I186" s="22">
        <f t="shared" si="19"/>
        <v>0</v>
      </c>
      <c r="J186" s="49"/>
      <c r="K186" s="22">
        <f t="shared" si="20"/>
        <v>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10"/>
      <c r="AD186" s="9"/>
      <c r="AE186" s="15">
        <v>1</v>
      </c>
      <c r="AF186" s="9"/>
      <c r="AG186" s="15">
        <f t="shared" si="21"/>
        <v>1</v>
      </c>
      <c r="AH186" s="9"/>
      <c r="AI186" s="15" t="e">
        <f>AE186*#REF!</f>
        <v>#REF!</v>
      </c>
    </row>
    <row r="187" spans="2:35" ht="16.5" hidden="1" customHeight="1" outlineLevel="1" x14ac:dyDescent="0.25">
      <c r="B187" s="71" t="s">
        <v>541</v>
      </c>
      <c r="C187" s="35" t="s">
        <v>194</v>
      </c>
      <c r="D187" s="105"/>
      <c r="E187" s="45">
        <v>0.35</v>
      </c>
      <c r="F187" s="49"/>
      <c r="G187" s="22">
        <f t="shared" si="15"/>
        <v>0</v>
      </c>
      <c r="H187" s="49"/>
      <c r="I187" s="22">
        <f t="shared" si="19"/>
        <v>0</v>
      </c>
      <c r="J187" s="49"/>
      <c r="K187" s="22">
        <f t="shared" si="20"/>
        <v>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10"/>
      <c r="AD187" s="9"/>
      <c r="AE187" s="15">
        <v>0.35</v>
      </c>
      <c r="AF187" s="9"/>
      <c r="AG187" s="15">
        <f t="shared" si="21"/>
        <v>0.12249999999999998</v>
      </c>
      <c r="AH187" s="9"/>
      <c r="AI187" s="15" t="e">
        <f>AE187*#REF!</f>
        <v>#REF!</v>
      </c>
    </row>
    <row r="188" spans="2:35" ht="16.5" hidden="1" customHeight="1" outlineLevel="1" x14ac:dyDescent="0.25">
      <c r="B188" s="71" t="s">
        <v>542</v>
      </c>
      <c r="C188" s="35" t="s">
        <v>164</v>
      </c>
      <c r="D188" s="105"/>
      <c r="E188" s="45">
        <v>9.5000000000000001E-2</v>
      </c>
      <c r="F188" s="49"/>
      <c r="G188" s="22">
        <f t="shared" si="15"/>
        <v>0</v>
      </c>
      <c r="H188" s="49"/>
      <c r="I188" s="22">
        <f t="shared" si="19"/>
        <v>0</v>
      </c>
      <c r="J188" s="49"/>
      <c r="K188" s="22">
        <f t="shared" si="20"/>
        <v>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10"/>
      <c r="AD188" s="9"/>
      <c r="AE188" s="15">
        <v>9.5000000000000001E-2</v>
      </c>
      <c r="AF188" s="9"/>
      <c r="AG188" s="15">
        <f t="shared" si="21"/>
        <v>9.025E-3</v>
      </c>
      <c r="AH188" s="9"/>
      <c r="AI188" s="15" t="e">
        <f>AE188*#REF!</f>
        <v>#REF!</v>
      </c>
    </row>
    <row r="189" spans="2:35" ht="16.5" hidden="1" customHeight="1" outlineLevel="1" x14ac:dyDescent="0.25">
      <c r="B189" s="71" t="s">
        <v>543</v>
      </c>
      <c r="C189" s="35" t="s">
        <v>165</v>
      </c>
      <c r="D189" s="105"/>
      <c r="E189" s="45">
        <v>9.5000000000000001E-2</v>
      </c>
      <c r="F189" s="49"/>
      <c r="G189" s="22">
        <f t="shared" si="15"/>
        <v>0</v>
      </c>
      <c r="H189" s="49"/>
      <c r="I189" s="22">
        <f t="shared" si="19"/>
        <v>0</v>
      </c>
      <c r="J189" s="49"/>
      <c r="K189" s="22">
        <f t="shared" si="20"/>
        <v>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10"/>
      <c r="AD189" s="9"/>
      <c r="AE189" s="15">
        <v>9.5000000000000001E-2</v>
      </c>
      <c r="AF189" s="9"/>
      <c r="AG189" s="15">
        <f t="shared" si="21"/>
        <v>9.025E-3</v>
      </c>
      <c r="AH189" s="9"/>
      <c r="AI189" s="15" t="e">
        <f>AE189*#REF!</f>
        <v>#REF!</v>
      </c>
    </row>
    <row r="190" spans="2:35" ht="16.5" hidden="1" customHeight="1" outlineLevel="1" x14ac:dyDescent="0.25">
      <c r="B190" s="71" t="s">
        <v>544</v>
      </c>
      <c r="C190" s="35" t="s">
        <v>166</v>
      </c>
      <c r="D190" s="105"/>
      <c r="E190" s="45">
        <v>9.5000000000000001E-2</v>
      </c>
      <c r="F190" s="49"/>
      <c r="G190" s="22">
        <f t="shared" si="15"/>
        <v>0</v>
      </c>
      <c r="H190" s="49"/>
      <c r="I190" s="22">
        <f t="shared" si="19"/>
        <v>0</v>
      </c>
      <c r="J190" s="49"/>
      <c r="K190" s="22">
        <f t="shared" si="20"/>
        <v>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10"/>
      <c r="AD190" s="9"/>
      <c r="AE190" s="15">
        <v>9.5000000000000001E-2</v>
      </c>
      <c r="AF190" s="9"/>
      <c r="AG190" s="15">
        <f t="shared" si="21"/>
        <v>9.025E-3</v>
      </c>
      <c r="AH190" s="9"/>
      <c r="AI190" s="15" t="e">
        <f>AE190*#REF!</f>
        <v>#REF!</v>
      </c>
    </row>
    <row r="191" spans="2:35" ht="16.5" hidden="1" customHeight="1" outlineLevel="1" x14ac:dyDescent="0.25">
      <c r="B191" s="71" t="s">
        <v>545</v>
      </c>
      <c r="C191" s="35" t="s">
        <v>195</v>
      </c>
      <c r="D191" s="105"/>
      <c r="E191" s="45">
        <v>0.2</v>
      </c>
      <c r="F191" s="49"/>
      <c r="G191" s="22">
        <f t="shared" si="15"/>
        <v>0</v>
      </c>
      <c r="H191" s="49"/>
      <c r="I191" s="22">
        <f t="shared" si="19"/>
        <v>0</v>
      </c>
      <c r="J191" s="49"/>
      <c r="K191" s="22">
        <f t="shared" si="20"/>
        <v>0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10"/>
      <c r="AD191" s="9"/>
      <c r="AE191" s="15">
        <v>0.2</v>
      </c>
      <c r="AF191" s="9"/>
      <c r="AG191" s="15">
        <f t="shared" si="21"/>
        <v>4.0000000000000008E-2</v>
      </c>
      <c r="AH191" s="9"/>
      <c r="AI191" s="15" t="e">
        <f>AE191*#REF!</f>
        <v>#REF!</v>
      </c>
    </row>
    <row r="192" spans="2:35" ht="16.5" hidden="1" customHeight="1" outlineLevel="1" x14ac:dyDescent="0.25">
      <c r="B192" s="71" t="s">
        <v>429</v>
      </c>
      <c r="C192" s="35" t="s">
        <v>173</v>
      </c>
      <c r="D192" s="105"/>
      <c r="E192" s="45">
        <v>1</v>
      </c>
      <c r="F192" s="49"/>
      <c r="G192" s="22">
        <f t="shared" si="15"/>
        <v>0</v>
      </c>
      <c r="H192" s="49"/>
      <c r="I192" s="22">
        <f t="shared" si="19"/>
        <v>0</v>
      </c>
      <c r="J192" s="49"/>
      <c r="K192" s="22">
        <f t="shared" si="20"/>
        <v>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10"/>
      <c r="AD192" s="9"/>
      <c r="AE192" s="15">
        <v>1</v>
      </c>
      <c r="AF192" s="9"/>
      <c r="AG192" s="15">
        <f t="shared" si="21"/>
        <v>1</v>
      </c>
      <c r="AH192" s="9"/>
      <c r="AI192" s="15" t="e">
        <f>AE192*#REF!</f>
        <v>#REF!</v>
      </c>
    </row>
    <row r="193" spans="2:35" ht="16.5" hidden="1" customHeight="1" outlineLevel="1" x14ac:dyDescent="0.25">
      <c r="B193" s="71" t="s">
        <v>430</v>
      </c>
      <c r="C193" s="35" t="s">
        <v>174</v>
      </c>
      <c r="D193" s="105"/>
      <c r="E193" s="45">
        <v>1</v>
      </c>
      <c r="F193" s="49"/>
      <c r="G193" s="22">
        <f t="shared" si="15"/>
        <v>0</v>
      </c>
      <c r="H193" s="49"/>
      <c r="I193" s="22">
        <f t="shared" si="19"/>
        <v>0</v>
      </c>
      <c r="J193" s="49"/>
      <c r="K193" s="22">
        <f t="shared" si="20"/>
        <v>0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10"/>
      <c r="AD193" s="9"/>
      <c r="AE193" s="15">
        <v>1</v>
      </c>
      <c r="AF193" s="9"/>
      <c r="AG193" s="15">
        <f t="shared" si="21"/>
        <v>1</v>
      </c>
      <c r="AH193" s="9"/>
      <c r="AI193" s="15" t="e">
        <f>AE193*#REF!</f>
        <v>#REF!</v>
      </c>
    </row>
    <row r="194" spans="2:35" ht="16.5" hidden="1" customHeight="1" outlineLevel="1" x14ac:dyDescent="0.25">
      <c r="B194" s="71" t="s">
        <v>546</v>
      </c>
      <c r="C194" s="35" t="s">
        <v>175</v>
      </c>
      <c r="D194" s="105"/>
      <c r="E194" s="45">
        <v>0.3</v>
      </c>
      <c r="F194" s="49"/>
      <c r="G194" s="22">
        <f t="shared" si="15"/>
        <v>0</v>
      </c>
      <c r="H194" s="49"/>
      <c r="I194" s="22">
        <f t="shared" si="19"/>
        <v>0</v>
      </c>
      <c r="J194" s="49"/>
      <c r="K194" s="22">
        <f t="shared" si="20"/>
        <v>0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10"/>
      <c r="AD194" s="9"/>
      <c r="AE194" s="15">
        <v>0.3</v>
      </c>
      <c r="AF194" s="9"/>
      <c r="AG194" s="15">
        <f t="shared" si="21"/>
        <v>0.09</v>
      </c>
      <c r="AH194" s="9"/>
      <c r="AI194" s="15" t="e">
        <f>AE194*#REF!</f>
        <v>#REF!</v>
      </c>
    </row>
    <row r="195" spans="2:35" ht="16.5" hidden="1" customHeight="1" outlineLevel="1" x14ac:dyDescent="0.25">
      <c r="B195" s="71" t="s">
        <v>547</v>
      </c>
      <c r="C195" s="35" t="s">
        <v>176</v>
      </c>
      <c r="D195" s="105"/>
      <c r="E195" s="45">
        <v>0.2</v>
      </c>
      <c r="F195" s="49"/>
      <c r="G195" s="22">
        <f t="shared" si="15"/>
        <v>0</v>
      </c>
      <c r="H195" s="49"/>
      <c r="I195" s="22">
        <f t="shared" si="19"/>
        <v>0</v>
      </c>
      <c r="J195" s="49"/>
      <c r="K195" s="22">
        <f t="shared" si="20"/>
        <v>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10"/>
      <c r="AD195" s="9"/>
      <c r="AE195" s="15">
        <v>0.2</v>
      </c>
      <c r="AF195" s="9"/>
      <c r="AG195" s="15">
        <f t="shared" si="21"/>
        <v>4.0000000000000008E-2</v>
      </c>
      <c r="AH195" s="9"/>
      <c r="AI195" s="15" t="e">
        <f>AE195*#REF!</f>
        <v>#REF!</v>
      </c>
    </row>
    <row r="196" spans="2:35" ht="16.5" hidden="1" customHeight="1" outlineLevel="1" x14ac:dyDescent="0.25">
      <c r="B196" s="71" t="s">
        <v>548</v>
      </c>
      <c r="C196" s="35" t="s">
        <v>177</v>
      </c>
      <c r="D196" s="105"/>
      <c r="E196" s="45">
        <v>0.2</v>
      </c>
      <c r="F196" s="49"/>
      <c r="G196" s="22">
        <f t="shared" si="15"/>
        <v>0</v>
      </c>
      <c r="H196" s="49"/>
      <c r="I196" s="22">
        <f t="shared" si="19"/>
        <v>0</v>
      </c>
      <c r="J196" s="49"/>
      <c r="K196" s="22">
        <f t="shared" si="20"/>
        <v>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10"/>
      <c r="AD196" s="9"/>
      <c r="AE196" s="15">
        <v>0.2</v>
      </c>
      <c r="AF196" s="9"/>
      <c r="AG196" s="15">
        <f t="shared" si="21"/>
        <v>4.0000000000000008E-2</v>
      </c>
      <c r="AH196" s="9"/>
      <c r="AI196" s="15" t="e">
        <f>AE196*#REF!</f>
        <v>#REF!</v>
      </c>
    </row>
    <row r="197" spans="2:35" ht="16.5" hidden="1" customHeight="1" outlineLevel="1" x14ac:dyDescent="0.25">
      <c r="B197" s="71" t="s">
        <v>549</v>
      </c>
      <c r="C197" s="35" t="s">
        <v>178</v>
      </c>
      <c r="D197" s="105"/>
      <c r="E197" s="45">
        <v>0.2</v>
      </c>
      <c r="F197" s="49"/>
      <c r="G197" s="22">
        <f t="shared" si="15"/>
        <v>0</v>
      </c>
      <c r="H197" s="49"/>
      <c r="I197" s="22">
        <f t="shared" si="19"/>
        <v>0</v>
      </c>
      <c r="J197" s="49"/>
      <c r="K197" s="22">
        <f t="shared" si="20"/>
        <v>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10"/>
      <c r="AD197" s="9"/>
      <c r="AE197" s="15">
        <v>0.2</v>
      </c>
      <c r="AF197" s="9"/>
      <c r="AG197" s="15">
        <f t="shared" si="21"/>
        <v>4.0000000000000008E-2</v>
      </c>
      <c r="AH197" s="9"/>
      <c r="AI197" s="15" t="e">
        <f>AE197*#REF!</f>
        <v>#REF!</v>
      </c>
    </row>
    <row r="198" spans="2:35" ht="16.5" hidden="1" customHeight="1" outlineLevel="1" x14ac:dyDescent="0.25">
      <c r="B198" s="71" t="s">
        <v>550</v>
      </c>
      <c r="C198" s="35" t="s">
        <v>179</v>
      </c>
      <c r="D198" s="105"/>
      <c r="E198" s="45">
        <v>0.2</v>
      </c>
      <c r="F198" s="49"/>
      <c r="G198" s="22">
        <f t="shared" si="15"/>
        <v>0</v>
      </c>
      <c r="H198" s="49"/>
      <c r="I198" s="22">
        <f t="shared" si="19"/>
        <v>0</v>
      </c>
      <c r="J198" s="49"/>
      <c r="K198" s="22">
        <f t="shared" si="20"/>
        <v>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10"/>
      <c r="AD198" s="9"/>
      <c r="AE198" s="15">
        <v>0.2</v>
      </c>
      <c r="AF198" s="9"/>
      <c r="AG198" s="15">
        <f t="shared" si="21"/>
        <v>4.0000000000000008E-2</v>
      </c>
      <c r="AH198" s="9"/>
      <c r="AI198" s="15" t="e">
        <f>AE198*#REF!</f>
        <v>#REF!</v>
      </c>
    </row>
    <row r="199" spans="2:35" ht="16.5" hidden="1" customHeight="1" outlineLevel="1" x14ac:dyDescent="0.25">
      <c r="B199" s="71" t="s">
        <v>551</v>
      </c>
      <c r="C199" s="35" t="s">
        <v>180</v>
      </c>
      <c r="D199" s="105"/>
      <c r="E199" s="45">
        <v>0.25</v>
      </c>
      <c r="F199" s="49"/>
      <c r="G199" s="22">
        <f t="shared" si="15"/>
        <v>0</v>
      </c>
      <c r="H199" s="49"/>
      <c r="I199" s="22">
        <f t="shared" si="19"/>
        <v>0</v>
      </c>
      <c r="J199" s="49"/>
      <c r="K199" s="22">
        <f t="shared" si="20"/>
        <v>0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10"/>
      <c r="AD199" s="9"/>
      <c r="AE199" s="15">
        <v>0.25</v>
      </c>
      <c r="AF199" s="9"/>
      <c r="AG199" s="15">
        <f t="shared" si="21"/>
        <v>6.25E-2</v>
      </c>
      <c r="AH199" s="9"/>
      <c r="AI199" s="15" t="e">
        <f>AE199*#REF!</f>
        <v>#REF!</v>
      </c>
    </row>
    <row r="200" spans="2:35" ht="16.5" hidden="1" customHeight="1" outlineLevel="1" x14ac:dyDescent="0.25">
      <c r="B200" s="71" t="s">
        <v>431</v>
      </c>
      <c r="C200" s="35" t="s">
        <v>167</v>
      </c>
      <c r="D200" s="105"/>
      <c r="E200" s="45">
        <v>1</v>
      </c>
      <c r="F200" s="49"/>
      <c r="G200" s="22">
        <f t="shared" si="15"/>
        <v>0</v>
      </c>
      <c r="H200" s="49"/>
      <c r="I200" s="22">
        <f t="shared" si="19"/>
        <v>0</v>
      </c>
      <c r="J200" s="49"/>
      <c r="K200" s="22">
        <f t="shared" si="20"/>
        <v>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10"/>
      <c r="AD200" s="9"/>
      <c r="AE200" s="15">
        <v>1</v>
      </c>
      <c r="AF200" s="9"/>
      <c r="AG200" s="15">
        <f t="shared" si="21"/>
        <v>1</v>
      </c>
      <c r="AH200" s="9"/>
      <c r="AI200" s="15" t="e">
        <f>AE200*#REF!</f>
        <v>#REF!</v>
      </c>
    </row>
    <row r="201" spans="2:35" ht="16.5" hidden="1" customHeight="1" outlineLevel="1" x14ac:dyDescent="0.25">
      <c r="B201" s="71" t="s">
        <v>552</v>
      </c>
      <c r="C201" s="35" t="s">
        <v>168</v>
      </c>
      <c r="D201" s="105"/>
      <c r="E201" s="45">
        <v>0.3</v>
      </c>
      <c r="F201" s="49"/>
      <c r="G201" s="22">
        <f t="shared" si="15"/>
        <v>0</v>
      </c>
      <c r="H201" s="49"/>
      <c r="I201" s="22">
        <f t="shared" si="19"/>
        <v>0</v>
      </c>
      <c r="J201" s="49"/>
      <c r="K201" s="22">
        <f t="shared" si="20"/>
        <v>0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10"/>
      <c r="AD201" s="9"/>
      <c r="AE201" s="15">
        <v>0.3</v>
      </c>
      <c r="AF201" s="9"/>
      <c r="AG201" s="15">
        <f t="shared" si="21"/>
        <v>0.09</v>
      </c>
      <c r="AH201" s="9"/>
      <c r="AI201" s="15" t="e">
        <f>AE201*#REF!</f>
        <v>#REF!</v>
      </c>
    </row>
    <row r="202" spans="2:35" ht="16.5" hidden="1" customHeight="1" outlineLevel="1" x14ac:dyDescent="0.25">
      <c r="B202" s="71" t="s">
        <v>432</v>
      </c>
      <c r="C202" s="35" t="s">
        <v>181</v>
      </c>
      <c r="D202" s="105"/>
      <c r="E202" s="45">
        <v>1</v>
      </c>
      <c r="F202" s="49"/>
      <c r="G202" s="22">
        <f t="shared" si="15"/>
        <v>0</v>
      </c>
      <c r="H202" s="49"/>
      <c r="I202" s="22">
        <f t="shared" si="19"/>
        <v>0</v>
      </c>
      <c r="J202" s="49"/>
      <c r="K202" s="22">
        <f t="shared" si="20"/>
        <v>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10"/>
      <c r="AD202" s="9"/>
      <c r="AE202" s="15">
        <v>1</v>
      </c>
      <c r="AF202" s="9"/>
      <c r="AG202" s="15">
        <f t="shared" si="21"/>
        <v>1</v>
      </c>
      <c r="AH202" s="9"/>
      <c r="AI202" s="15" t="e">
        <f>AE202*#REF!</f>
        <v>#REF!</v>
      </c>
    </row>
    <row r="203" spans="2:35" ht="16.5" hidden="1" customHeight="1" outlineLevel="1" x14ac:dyDescent="0.25">
      <c r="B203" s="71" t="s">
        <v>553</v>
      </c>
      <c r="C203" s="35" t="s">
        <v>169</v>
      </c>
      <c r="D203" s="105"/>
      <c r="E203" s="45">
        <v>1</v>
      </c>
      <c r="F203" s="49"/>
      <c r="G203" s="22">
        <f t="shared" si="15"/>
        <v>0</v>
      </c>
      <c r="H203" s="49"/>
      <c r="I203" s="22">
        <f t="shared" si="19"/>
        <v>0</v>
      </c>
      <c r="J203" s="49"/>
      <c r="K203" s="22">
        <f t="shared" si="20"/>
        <v>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10"/>
      <c r="AD203" s="9"/>
      <c r="AE203" s="15">
        <v>1</v>
      </c>
      <c r="AF203" s="9"/>
      <c r="AG203" s="15">
        <f t="shared" si="21"/>
        <v>1</v>
      </c>
      <c r="AH203" s="9"/>
      <c r="AI203" s="15" t="e">
        <f>AE203*#REF!</f>
        <v>#REF!</v>
      </c>
    </row>
    <row r="204" spans="2:35" ht="16.5" hidden="1" customHeight="1" outlineLevel="1" x14ac:dyDescent="0.25">
      <c r="B204" s="71" t="s">
        <v>433</v>
      </c>
      <c r="C204" s="35" t="s">
        <v>106</v>
      </c>
      <c r="D204" s="105"/>
      <c r="E204" s="45">
        <v>1</v>
      </c>
      <c r="F204" s="49"/>
      <c r="G204" s="22">
        <f t="shared" si="15"/>
        <v>0</v>
      </c>
      <c r="H204" s="49"/>
      <c r="I204" s="22">
        <f t="shared" si="19"/>
        <v>0</v>
      </c>
      <c r="J204" s="49"/>
      <c r="K204" s="22">
        <f t="shared" si="20"/>
        <v>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10"/>
      <c r="AD204" s="9"/>
      <c r="AE204" s="15">
        <v>1</v>
      </c>
      <c r="AF204" s="9"/>
      <c r="AG204" s="15">
        <f t="shared" si="21"/>
        <v>1</v>
      </c>
      <c r="AH204" s="9"/>
      <c r="AI204" s="15" t="e">
        <f>AE204*#REF!</f>
        <v>#REF!</v>
      </c>
    </row>
    <row r="205" spans="2:35" ht="16.5" hidden="1" customHeight="1" outlineLevel="1" x14ac:dyDescent="0.25">
      <c r="B205" s="71" t="s">
        <v>554</v>
      </c>
      <c r="C205" s="35" t="s">
        <v>107</v>
      </c>
      <c r="D205" s="105"/>
      <c r="E205" s="45">
        <v>0.15</v>
      </c>
      <c r="F205" s="49"/>
      <c r="G205" s="22">
        <f t="shared" si="15"/>
        <v>0</v>
      </c>
      <c r="H205" s="49"/>
      <c r="I205" s="22">
        <f t="shared" si="19"/>
        <v>0</v>
      </c>
      <c r="J205" s="49"/>
      <c r="K205" s="22">
        <f t="shared" si="20"/>
        <v>0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10"/>
      <c r="AD205" s="9"/>
      <c r="AE205" s="15">
        <v>0.15</v>
      </c>
      <c r="AF205" s="9"/>
      <c r="AG205" s="15">
        <f t="shared" si="21"/>
        <v>2.2499999999999999E-2</v>
      </c>
      <c r="AH205" s="9"/>
      <c r="AI205" s="15" t="e">
        <f>AE205*#REF!</f>
        <v>#REF!</v>
      </c>
    </row>
    <row r="206" spans="2:35" ht="16.5" hidden="1" customHeight="1" outlineLevel="1" x14ac:dyDescent="0.25">
      <c r="B206" s="71" t="s">
        <v>555</v>
      </c>
      <c r="C206" s="35" t="s">
        <v>108</v>
      </c>
      <c r="D206" s="105"/>
      <c r="E206" s="45">
        <v>0.35</v>
      </c>
      <c r="F206" s="49"/>
      <c r="G206" s="22">
        <f t="shared" si="15"/>
        <v>0</v>
      </c>
      <c r="H206" s="49"/>
      <c r="I206" s="22">
        <f t="shared" si="19"/>
        <v>0</v>
      </c>
      <c r="J206" s="49"/>
      <c r="K206" s="22">
        <f t="shared" si="20"/>
        <v>0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10"/>
      <c r="AD206" s="9"/>
      <c r="AE206" s="15">
        <v>0.35</v>
      </c>
      <c r="AF206" s="9"/>
      <c r="AG206" s="15">
        <f t="shared" si="21"/>
        <v>0.12249999999999998</v>
      </c>
      <c r="AH206" s="9"/>
      <c r="AI206" s="15" t="e">
        <f>AE206*#REF!</f>
        <v>#REF!</v>
      </c>
    </row>
    <row r="207" spans="2:35" ht="16.5" hidden="1" customHeight="1" outlineLevel="1" x14ac:dyDescent="0.25">
      <c r="B207" s="71" t="s">
        <v>434</v>
      </c>
      <c r="C207" s="35" t="s">
        <v>109</v>
      </c>
      <c r="D207" s="105"/>
      <c r="E207" s="45">
        <v>1</v>
      </c>
      <c r="F207" s="49"/>
      <c r="G207" s="22">
        <f t="shared" si="15"/>
        <v>0</v>
      </c>
      <c r="H207" s="49"/>
      <c r="I207" s="22">
        <f t="shared" si="19"/>
        <v>0</v>
      </c>
      <c r="J207" s="49"/>
      <c r="K207" s="22">
        <f t="shared" si="20"/>
        <v>0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10"/>
      <c r="AD207" s="9"/>
      <c r="AE207" s="15">
        <v>1</v>
      </c>
      <c r="AF207" s="9"/>
      <c r="AG207" s="15">
        <f t="shared" si="21"/>
        <v>1</v>
      </c>
      <c r="AH207" s="9"/>
      <c r="AI207" s="15" t="e">
        <f>AE207*#REF!</f>
        <v>#REF!</v>
      </c>
    </row>
    <row r="208" spans="2:35" ht="16.5" hidden="1" customHeight="1" outlineLevel="1" x14ac:dyDescent="0.25">
      <c r="B208" s="71" t="s">
        <v>435</v>
      </c>
      <c r="C208" s="35" t="s">
        <v>110</v>
      </c>
      <c r="D208" s="105"/>
      <c r="E208" s="45">
        <v>1</v>
      </c>
      <c r="F208" s="49"/>
      <c r="G208" s="22">
        <f t="shared" si="15"/>
        <v>0</v>
      </c>
      <c r="H208" s="49"/>
      <c r="I208" s="22">
        <f t="shared" si="19"/>
        <v>0</v>
      </c>
      <c r="J208" s="49"/>
      <c r="K208" s="22">
        <f t="shared" si="20"/>
        <v>0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10"/>
      <c r="AD208" s="9"/>
      <c r="AE208" s="15">
        <v>1</v>
      </c>
      <c r="AF208" s="9"/>
      <c r="AG208" s="15">
        <f t="shared" si="21"/>
        <v>1</v>
      </c>
      <c r="AH208" s="9"/>
      <c r="AI208" s="15" t="e">
        <f>AE208*#REF!</f>
        <v>#REF!</v>
      </c>
    </row>
    <row r="209" spans="2:35" ht="16.5" hidden="1" customHeight="1" outlineLevel="1" x14ac:dyDescent="0.25">
      <c r="B209" s="71" t="s">
        <v>556</v>
      </c>
      <c r="C209" s="35" t="s">
        <v>111</v>
      </c>
      <c r="D209" s="105"/>
      <c r="E209" s="45">
        <v>0.35</v>
      </c>
      <c r="F209" s="49"/>
      <c r="G209" s="22">
        <f t="shared" si="15"/>
        <v>0</v>
      </c>
      <c r="H209" s="49"/>
      <c r="I209" s="22">
        <f t="shared" si="19"/>
        <v>0</v>
      </c>
      <c r="J209" s="49"/>
      <c r="K209" s="22">
        <f t="shared" si="20"/>
        <v>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10"/>
      <c r="AD209" s="9"/>
      <c r="AE209" s="15">
        <v>0.35</v>
      </c>
      <c r="AF209" s="9"/>
      <c r="AG209" s="15">
        <f t="shared" si="21"/>
        <v>0.12249999999999998</v>
      </c>
      <c r="AH209" s="9"/>
      <c r="AI209" s="15" t="e">
        <f>AE209*#REF!</f>
        <v>#REF!</v>
      </c>
    </row>
    <row r="210" spans="2:35" ht="16.5" hidden="1" customHeight="1" outlineLevel="1" x14ac:dyDescent="0.25">
      <c r="B210" s="71" t="s">
        <v>436</v>
      </c>
      <c r="C210" s="35" t="s">
        <v>319</v>
      </c>
      <c r="D210" s="105"/>
      <c r="E210" s="45">
        <v>1</v>
      </c>
      <c r="F210" s="49"/>
      <c r="G210" s="22">
        <f t="shared" si="15"/>
        <v>0</v>
      </c>
      <c r="H210" s="49"/>
      <c r="I210" s="22">
        <f t="shared" si="19"/>
        <v>0</v>
      </c>
      <c r="J210" s="49"/>
      <c r="K210" s="22">
        <f t="shared" si="20"/>
        <v>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10"/>
      <c r="AD210" s="9"/>
      <c r="AE210" s="15">
        <v>1</v>
      </c>
      <c r="AF210" s="9"/>
      <c r="AG210" s="15">
        <f t="shared" si="21"/>
        <v>1</v>
      </c>
      <c r="AH210" s="9"/>
      <c r="AI210" s="15" t="e">
        <f>AE210*#REF!</f>
        <v>#REF!</v>
      </c>
    </row>
    <row r="211" spans="2:35" ht="16.5" hidden="1" customHeight="1" outlineLevel="1" x14ac:dyDescent="0.25">
      <c r="B211" s="71" t="s">
        <v>557</v>
      </c>
      <c r="C211" s="35" t="s">
        <v>112</v>
      </c>
      <c r="D211" s="105"/>
      <c r="E211" s="45">
        <v>1</v>
      </c>
      <c r="F211" s="49"/>
      <c r="G211" s="22">
        <f t="shared" si="15"/>
        <v>0</v>
      </c>
      <c r="H211" s="49"/>
      <c r="I211" s="22">
        <f t="shared" si="19"/>
        <v>0</v>
      </c>
      <c r="J211" s="49"/>
      <c r="K211" s="22">
        <f t="shared" si="20"/>
        <v>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10"/>
      <c r="AD211" s="9"/>
      <c r="AE211" s="15">
        <v>1</v>
      </c>
      <c r="AF211" s="9"/>
      <c r="AG211" s="15">
        <f t="shared" ref="AG211:AG242" si="22">AE211*E211</f>
        <v>1</v>
      </c>
      <c r="AH211" s="9"/>
      <c r="AI211" s="15" t="e">
        <f>AE211*#REF!</f>
        <v>#REF!</v>
      </c>
    </row>
    <row r="212" spans="2:35" ht="16.5" hidden="1" customHeight="1" outlineLevel="1" x14ac:dyDescent="0.25">
      <c r="B212" s="71" t="s">
        <v>436</v>
      </c>
      <c r="C212" s="35" t="s">
        <v>113</v>
      </c>
      <c r="D212" s="105"/>
      <c r="E212" s="45">
        <v>1</v>
      </c>
      <c r="F212" s="49"/>
      <c r="G212" s="22">
        <f t="shared" si="15"/>
        <v>0</v>
      </c>
      <c r="H212" s="49"/>
      <c r="I212" s="22">
        <f t="shared" si="19"/>
        <v>0</v>
      </c>
      <c r="J212" s="49"/>
      <c r="K212" s="22">
        <f t="shared" si="20"/>
        <v>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10"/>
      <c r="AD212" s="9"/>
      <c r="AE212" s="15">
        <v>1</v>
      </c>
      <c r="AF212" s="9"/>
      <c r="AG212" s="15">
        <f t="shared" si="22"/>
        <v>1</v>
      </c>
      <c r="AH212" s="9"/>
      <c r="AI212" s="15" t="e">
        <f>AE212*#REF!</f>
        <v>#REF!</v>
      </c>
    </row>
    <row r="213" spans="2:35" ht="16.5" hidden="1" customHeight="1" outlineLevel="1" x14ac:dyDescent="0.25">
      <c r="B213" s="71" t="s">
        <v>437</v>
      </c>
      <c r="C213" s="35" t="s">
        <v>114</v>
      </c>
      <c r="D213" s="105"/>
      <c r="E213" s="45">
        <v>1</v>
      </c>
      <c r="F213" s="49"/>
      <c r="G213" s="22">
        <f t="shared" si="15"/>
        <v>0</v>
      </c>
      <c r="H213" s="49"/>
      <c r="I213" s="22">
        <f t="shared" si="19"/>
        <v>0</v>
      </c>
      <c r="J213" s="49"/>
      <c r="K213" s="22">
        <f t="shared" si="20"/>
        <v>0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10"/>
      <c r="AD213" s="9"/>
      <c r="AE213" s="15">
        <v>1</v>
      </c>
      <c r="AF213" s="9"/>
      <c r="AG213" s="15">
        <f t="shared" si="22"/>
        <v>1</v>
      </c>
      <c r="AH213" s="9"/>
      <c r="AI213" s="15" t="e">
        <f>AE213*#REF!</f>
        <v>#REF!</v>
      </c>
    </row>
    <row r="214" spans="2:35" ht="16.5" hidden="1" customHeight="1" outlineLevel="1" x14ac:dyDescent="0.25">
      <c r="B214" s="71" t="s">
        <v>438</v>
      </c>
      <c r="C214" s="35" t="s">
        <v>115</v>
      </c>
      <c r="D214" s="105"/>
      <c r="E214" s="45">
        <v>1</v>
      </c>
      <c r="F214" s="49"/>
      <c r="G214" s="22">
        <f t="shared" si="15"/>
        <v>0</v>
      </c>
      <c r="H214" s="49"/>
      <c r="I214" s="22">
        <f t="shared" si="19"/>
        <v>0</v>
      </c>
      <c r="J214" s="49"/>
      <c r="K214" s="22">
        <f t="shared" si="20"/>
        <v>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10"/>
      <c r="AD214" s="9"/>
      <c r="AE214" s="15">
        <v>1</v>
      </c>
      <c r="AF214" s="9"/>
      <c r="AG214" s="15">
        <f t="shared" si="22"/>
        <v>1</v>
      </c>
      <c r="AH214" s="9"/>
      <c r="AI214" s="15" t="e">
        <f>AE214*#REF!</f>
        <v>#REF!</v>
      </c>
    </row>
    <row r="215" spans="2:35" ht="16.5" hidden="1" customHeight="1" outlineLevel="1" x14ac:dyDescent="0.25">
      <c r="B215" s="71" t="s">
        <v>558</v>
      </c>
      <c r="C215" s="35" t="s">
        <v>116</v>
      </c>
      <c r="D215" s="105"/>
      <c r="E215" s="45">
        <v>0.35</v>
      </c>
      <c r="F215" s="49"/>
      <c r="G215" s="22">
        <f t="shared" si="15"/>
        <v>0</v>
      </c>
      <c r="H215" s="49"/>
      <c r="I215" s="22">
        <f t="shared" si="19"/>
        <v>0</v>
      </c>
      <c r="J215" s="49"/>
      <c r="K215" s="22">
        <f t="shared" si="20"/>
        <v>0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10"/>
      <c r="AD215" s="9"/>
      <c r="AE215" s="15">
        <v>0.35</v>
      </c>
      <c r="AF215" s="9"/>
      <c r="AG215" s="15">
        <f t="shared" si="22"/>
        <v>0.12249999999999998</v>
      </c>
      <c r="AH215" s="9"/>
      <c r="AI215" s="15" t="e">
        <f>AE215*#REF!</f>
        <v>#REF!</v>
      </c>
    </row>
    <row r="216" spans="2:35" ht="16.5" hidden="1" customHeight="1" outlineLevel="1" x14ac:dyDescent="0.25">
      <c r="B216" s="71" t="s">
        <v>439</v>
      </c>
      <c r="C216" s="35" t="s">
        <v>117</v>
      </c>
      <c r="D216" s="105"/>
      <c r="E216" s="45">
        <v>1</v>
      </c>
      <c r="F216" s="49"/>
      <c r="G216" s="22">
        <f t="shared" si="15"/>
        <v>0</v>
      </c>
      <c r="H216" s="49"/>
      <c r="I216" s="22">
        <f t="shared" si="19"/>
        <v>0</v>
      </c>
      <c r="J216" s="49"/>
      <c r="K216" s="22">
        <f t="shared" si="20"/>
        <v>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10"/>
      <c r="AD216" s="9"/>
      <c r="AE216" s="15">
        <v>1</v>
      </c>
      <c r="AF216" s="9"/>
      <c r="AG216" s="15">
        <f t="shared" si="22"/>
        <v>1</v>
      </c>
      <c r="AH216" s="9"/>
      <c r="AI216" s="15" t="e">
        <f>AE216*#REF!</f>
        <v>#REF!</v>
      </c>
    </row>
    <row r="217" spans="2:35" ht="16.5" hidden="1" customHeight="1" outlineLevel="1" x14ac:dyDescent="0.25">
      <c r="B217" s="71" t="s">
        <v>440</v>
      </c>
      <c r="C217" s="35" t="s">
        <v>118</v>
      </c>
      <c r="D217" s="105"/>
      <c r="E217" s="45">
        <v>1</v>
      </c>
      <c r="F217" s="49"/>
      <c r="G217" s="22">
        <f t="shared" ref="G217:G280" si="23">F217*E217</f>
        <v>0</v>
      </c>
      <c r="H217" s="49"/>
      <c r="I217" s="22">
        <f t="shared" si="19"/>
        <v>0</v>
      </c>
      <c r="J217" s="49"/>
      <c r="K217" s="22">
        <f t="shared" si="20"/>
        <v>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10"/>
      <c r="AD217" s="9"/>
      <c r="AE217" s="15">
        <v>1</v>
      </c>
      <c r="AF217" s="9"/>
      <c r="AG217" s="15">
        <f t="shared" si="22"/>
        <v>1</v>
      </c>
      <c r="AH217" s="9"/>
      <c r="AI217" s="15" t="e">
        <f>AE217*#REF!</f>
        <v>#REF!</v>
      </c>
    </row>
    <row r="218" spans="2:35" ht="16.5" hidden="1" customHeight="1" outlineLevel="1" x14ac:dyDescent="0.25">
      <c r="B218" s="71" t="s">
        <v>559</v>
      </c>
      <c r="C218" s="35" t="s">
        <v>119</v>
      </c>
      <c r="D218" s="105"/>
      <c r="E218" s="45">
        <v>1</v>
      </c>
      <c r="F218" s="49"/>
      <c r="G218" s="22">
        <f t="shared" si="23"/>
        <v>0</v>
      </c>
      <c r="H218" s="49"/>
      <c r="I218" s="22">
        <f t="shared" si="19"/>
        <v>0</v>
      </c>
      <c r="J218" s="49"/>
      <c r="K218" s="22">
        <f t="shared" si="20"/>
        <v>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10"/>
      <c r="AD218" s="9"/>
      <c r="AE218" s="15">
        <v>1</v>
      </c>
      <c r="AF218" s="9"/>
      <c r="AG218" s="15">
        <f t="shared" si="22"/>
        <v>1</v>
      </c>
      <c r="AH218" s="9"/>
      <c r="AI218" s="15" t="e">
        <f>AE218*#REF!</f>
        <v>#REF!</v>
      </c>
    </row>
    <row r="219" spans="2:35" ht="16.5" hidden="1" customHeight="1" outlineLevel="1" x14ac:dyDescent="0.25">
      <c r="B219" s="71" t="s">
        <v>560</v>
      </c>
      <c r="C219" s="35" t="s">
        <v>120</v>
      </c>
      <c r="D219" s="105"/>
      <c r="E219" s="45">
        <v>1</v>
      </c>
      <c r="F219" s="49"/>
      <c r="G219" s="22">
        <f t="shared" si="23"/>
        <v>0</v>
      </c>
      <c r="H219" s="49"/>
      <c r="I219" s="22">
        <f t="shared" si="19"/>
        <v>0</v>
      </c>
      <c r="J219" s="49"/>
      <c r="K219" s="22">
        <f t="shared" si="20"/>
        <v>0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10"/>
      <c r="AD219" s="9"/>
      <c r="AE219" s="15">
        <v>1</v>
      </c>
      <c r="AF219" s="9"/>
      <c r="AG219" s="15">
        <f t="shared" si="22"/>
        <v>1</v>
      </c>
      <c r="AH219" s="9"/>
      <c r="AI219" s="15" t="e">
        <f>AE219*#REF!</f>
        <v>#REF!</v>
      </c>
    </row>
    <row r="220" spans="2:35" ht="16.5" hidden="1" customHeight="1" outlineLevel="1" x14ac:dyDescent="0.25">
      <c r="B220" s="71" t="s">
        <v>561</v>
      </c>
      <c r="C220" s="35" t="s">
        <v>121</v>
      </c>
      <c r="D220" s="105"/>
      <c r="E220" s="45">
        <v>1</v>
      </c>
      <c r="F220" s="49"/>
      <c r="G220" s="22">
        <f t="shared" si="23"/>
        <v>0</v>
      </c>
      <c r="H220" s="49"/>
      <c r="I220" s="22">
        <f t="shared" si="19"/>
        <v>0</v>
      </c>
      <c r="J220" s="49"/>
      <c r="K220" s="22">
        <f t="shared" si="20"/>
        <v>0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10"/>
      <c r="AD220" s="9"/>
      <c r="AE220" s="15">
        <v>1</v>
      </c>
      <c r="AF220" s="9"/>
      <c r="AG220" s="15">
        <f t="shared" si="22"/>
        <v>1</v>
      </c>
      <c r="AH220" s="9"/>
      <c r="AI220" s="15" t="e">
        <f>AE220*#REF!</f>
        <v>#REF!</v>
      </c>
    </row>
    <row r="221" spans="2:35" ht="16.5" hidden="1" customHeight="1" outlineLevel="1" x14ac:dyDescent="0.25">
      <c r="B221" s="71" t="s">
        <v>562</v>
      </c>
      <c r="C221" s="35" t="s">
        <v>122</v>
      </c>
      <c r="D221" s="105"/>
      <c r="E221" s="45">
        <v>1</v>
      </c>
      <c r="F221" s="49"/>
      <c r="G221" s="22">
        <f t="shared" si="23"/>
        <v>0</v>
      </c>
      <c r="H221" s="49"/>
      <c r="I221" s="22">
        <f t="shared" si="19"/>
        <v>0</v>
      </c>
      <c r="J221" s="49"/>
      <c r="K221" s="22">
        <f t="shared" si="20"/>
        <v>0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10"/>
      <c r="AD221" s="9"/>
      <c r="AE221" s="15">
        <v>1</v>
      </c>
      <c r="AF221" s="9"/>
      <c r="AG221" s="15">
        <f t="shared" si="22"/>
        <v>1</v>
      </c>
      <c r="AH221" s="9"/>
      <c r="AI221" s="15" t="e">
        <f>AE221*#REF!</f>
        <v>#REF!</v>
      </c>
    </row>
    <row r="222" spans="2:35" ht="16.5" hidden="1" customHeight="1" outlineLevel="1" x14ac:dyDescent="0.25">
      <c r="B222" s="71" t="s">
        <v>563</v>
      </c>
      <c r="C222" s="35" t="s">
        <v>123</v>
      </c>
      <c r="D222" s="105"/>
      <c r="E222" s="45">
        <v>0.25</v>
      </c>
      <c r="F222" s="49"/>
      <c r="G222" s="22">
        <f t="shared" si="23"/>
        <v>0</v>
      </c>
      <c r="H222" s="49"/>
      <c r="I222" s="22">
        <f t="shared" si="19"/>
        <v>0</v>
      </c>
      <c r="J222" s="49"/>
      <c r="K222" s="22">
        <f t="shared" si="20"/>
        <v>0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10"/>
      <c r="AD222" s="9"/>
      <c r="AE222" s="15">
        <v>0.25</v>
      </c>
      <c r="AF222" s="9"/>
      <c r="AG222" s="15">
        <f t="shared" si="22"/>
        <v>6.25E-2</v>
      </c>
      <c r="AH222" s="9"/>
      <c r="AI222" s="15" t="e">
        <f>AE222*#REF!</f>
        <v>#REF!</v>
      </c>
    </row>
    <row r="223" spans="2:35" ht="16.5" hidden="1" customHeight="1" outlineLevel="1" x14ac:dyDescent="0.25">
      <c r="B223" s="71" t="s">
        <v>441</v>
      </c>
      <c r="C223" s="35" t="s">
        <v>124</v>
      </c>
      <c r="D223" s="105"/>
      <c r="E223" s="45">
        <v>1</v>
      </c>
      <c r="F223" s="49"/>
      <c r="G223" s="22">
        <f t="shared" si="23"/>
        <v>0</v>
      </c>
      <c r="H223" s="49"/>
      <c r="I223" s="22">
        <f t="shared" si="19"/>
        <v>0</v>
      </c>
      <c r="J223" s="49"/>
      <c r="K223" s="22">
        <f t="shared" si="20"/>
        <v>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10"/>
      <c r="AD223" s="9"/>
      <c r="AE223" s="15">
        <v>1</v>
      </c>
      <c r="AF223" s="9"/>
      <c r="AG223" s="15">
        <f t="shared" si="22"/>
        <v>1</v>
      </c>
      <c r="AH223" s="9"/>
      <c r="AI223" s="15" t="e">
        <f>AE223*#REF!</f>
        <v>#REF!</v>
      </c>
    </row>
    <row r="224" spans="2:35" ht="16.5" hidden="1" customHeight="1" outlineLevel="1" x14ac:dyDescent="0.25">
      <c r="B224" s="71" t="s">
        <v>442</v>
      </c>
      <c r="C224" s="35" t="s">
        <v>125</v>
      </c>
      <c r="D224" s="105"/>
      <c r="E224" s="45">
        <v>1</v>
      </c>
      <c r="F224" s="49"/>
      <c r="G224" s="22">
        <f t="shared" si="23"/>
        <v>0</v>
      </c>
      <c r="H224" s="49"/>
      <c r="I224" s="22">
        <f t="shared" si="19"/>
        <v>0</v>
      </c>
      <c r="J224" s="49"/>
      <c r="K224" s="22">
        <f t="shared" si="20"/>
        <v>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10"/>
      <c r="AD224" s="9"/>
      <c r="AE224" s="15">
        <v>1</v>
      </c>
      <c r="AF224" s="9"/>
      <c r="AG224" s="15">
        <f t="shared" si="22"/>
        <v>1</v>
      </c>
      <c r="AH224" s="9"/>
      <c r="AI224" s="15" t="e">
        <f>AE224*#REF!</f>
        <v>#REF!</v>
      </c>
    </row>
    <row r="225" spans="2:35" ht="16.5" hidden="1" customHeight="1" outlineLevel="1" x14ac:dyDescent="0.25">
      <c r="B225" s="71" t="s">
        <v>443</v>
      </c>
      <c r="C225" s="35" t="s">
        <v>126</v>
      </c>
      <c r="D225" s="105"/>
      <c r="E225" s="45">
        <v>1</v>
      </c>
      <c r="F225" s="49"/>
      <c r="G225" s="22">
        <f t="shared" si="23"/>
        <v>0</v>
      </c>
      <c r="H225" s="49"/>
      <c r="I225" s="22">
        <f t="shared" si="19"/>
        <v>0</v>
      </c>
      <c r="J225" s="49"/>
      <c r="K225" s="22">
        <f t="shared" si="20"/>
        <v>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10"/>
      <c r="AD225" s="9"/>
      <c r="AE225" s="15">
        <v>1</v>
      </c>
      <c r="AF225" s="9"/>
      <c r="AG225" s="15">
        <f t="shared" si="22"/>
        <v>1</v>
      </c>
      <c r="AH225" s="9"/>
      <c r="AI225" s="15" t="e">
        <f>AE225*#REF!</f>
        <v>#REF!</v>
      </c>
    </row>
    <row r="226" spans="2:35" ht="16.5" hidden="1" customHeight="1" outlineLevel="1" x14ac:dyDescent="0.25">
      <c r="B226" s="71" t="s">
        <v>444</v>
      </c>
      <c r="C226" s="35" t="s">
        <v>127</v>
      </c>
      <c r="D226" s="105"/>
      <c r="E226" s="45">
        <v>1</v>
      </c>
      <c r="F226" s="49"/>
      <c r="G226" s="22">
        <f t="shared" si="23"/>
        <v>0</v>
      </c>
      <c r="H226" s="49"/>
      <c r="I226" s="22">
        <f t="shared" si="19"/>
        <v>0</v>
      </c>
      <c r="J226" s="49"/>
      <c r="K226" s="22">
        <f t="shared" si="20"/>
        <v>0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10"/>
      <c r="AD226" s="9"/>
      <c r="AE226" s="15">
        <v>1</v>
      </c>
      <c r="AF226" s="9"/>
      <c r="AG226" s="15">
        <f t="shared" si="22"/>
        <v>1</v>
      </c>
      <c r="AH226" s="9"/>
      <c r="AI226" s="15" t="e">
        <f>AE226*#REF!</f>
        <v>#REF!</v>
      </c>
    </row>
    <row r="227" spans="2:35" ht="16.5" hidden="1" customHeight="1" outlineLevel="1" x14ac:dyDescent="0.25">
      <c r="B227" s="71" t="s">
        <v>445</v>
      </c>
      <c r="C227" s="35" t="s">
        <v>128</v>
      </c>
      <c r="D227" s="105"/>
      <c r="E227" s="45">
        <v>1</v>
      </c>
      <c r="F227" s="49"/>
      <c r="G227" s="22">
        <f t="shared" si="23"/>
        <v>0</v>
      </c>
      <c r="H227" s="49"/>
      <c r="I227" s="22">
        <f t="shared" si="19"/>
        <v>0</v>
      </c>
      <c r="J227" s="49"/>
      <c r="K227" s="22">
        <f t="shared" si="20"/>
        <v>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10"/>
      <c r="AD227" s="9"/>
      <c r="AE227" s="15">
        <v>1</v>
      </c>
      <c r="AF227" s="9"/>
      <c r="AG227" s="15">
        <f t="shared" si="22"/>
        <v>1</v>
      </c>
      <c r="AH227" s="9"/>
      <c r="AI227" s="15" t="e">
        <f>AE227*#REF!</f>
        <v>#REF!</v>
      </c>
    </row>
    <row r="228" spans="2:35" ht="16.5" hidden="1" customHeight="1" outlineLevel="1" x14ac:dyDescent="0.25">
      <c r="B228" s="71" t="s">
        <v>446</v>
      </c>
      <c r="C228" s="35" t="s">
        <v>129</v>
      </c>
      <c r="D228" s="105"/>
      <c r="E228" s="45">
        <v>1</v>
      </c>
      <c r="F228" s="49"/>
      <c r="G228" s="22">
        <f t="shared" si="23"/>
        <v>0</v>
      </c>
      <c r="H228" s="49"/>
      <c r="I228" s="22">
        <f t="shared" si="19"/>
        <v>0</v>
      </c>
      <c r="J228" s="49"/>
      <c r="K228" s="22">
        <f t="shared" si="20"/>
        <v>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10"/>
      <c r="AD228" s="9"/>
      <c r="AE228" s="15">
        <v>1</v>
      </c>
      <c r="AF228" s="9"/>
      <c r="AG228" s="15">
        <f t="shared" si="22"/>
        <v>1</v>
      </c>
      <c r="AH228" s="9"/>
      <c r="AI228" s="15" t="e">
        <f>AE228*#REF!</f>
        <v>#REF!</v>
      </c>
    </row>
    <row r="229" spans="2:35" ht="16.5" hidden="1" customHeight="1" outlineLevel="1" x14ac:dyDescent="0.25">
      <c r="C229" s="59" t="s">
        <v>317</v>
      </c>
      <c r="D229" s="106"/>
      <c r="E229" s="45">
        <v>0.1</v>
      </c>
      <c r="F229" s="49"/>
      <c r="G229" s="22">
        <f t="shared" si="23"/>
        <v>0</v>
      </c>
      <c r="H229" s="49"/>
      <c r="I229" s="22">
        <f t="shared" si="19"/>
        <v>0</v>
      </c>
      <c r="J229" s="49"/>
      <c r="K229" s="22">
        <f t="shared" si="20"/>
        <v>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10"/>
      <c r="AD229" s="9"/>
      <c r="AE229" s="15">
        <v>1</v>
      </c>
      <c r="AF229" s="9"/>
      <c r="AG229" s="15">
        <f t="shared" si="22"/>
        <v>0.1</v>
      </c>
      <c r="AH229" s="9"/>
      <c r="AI229" s="15" t="e">
        <f>AE229*#REF!</f>
        <v>#REF!</v>
      </c>
    </row>
    <row r="230" spans="2:35" ht="16.5" hidden="1" customHeight="1" outlineLevel="1" x14ac:dyDescent="0.25">
      <c r="C230" s="59" t="s">
        <v>318</v>
      </c>
      <c r="D230" s="106"/>
      <c r="E230" s="45">
        <v>0.1</v>
      </c>
      <c r="F230" s="49"/>
      <c r="G230" s="22">
        <f t="shared" si="23"/>
        <v>0</v>
      </c>
      <c r="H230" s="49"/>
      <c r="I230" s="22">
        <f t="shared" si="19"/>
        <v>0</v>
      </c>
      <c r="J230" s="49"/>
      <c r="K230" s="22">
        <f t="shared" si="20"/>
        <v>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10"/>
      <c r="AD230" s="9"/>
      <c r="AE230" s="15">
        <v>1</v>
      </c>
      <c r="AF230" s="9"/>
      <c r="AG230" s="15">
        <f t="shared" si="22"/>
        <v>0.1</v>
      </c>
      <c r="AH230" s="9"/>
      <c r="AI230" s="15" t="e">
        <f>AE230*#REF!</f>
        <v>#REF!</v>
      </c>
    </row>
    <row r="231" spans="2:35" ht="16.5" hidden="1" customHeight="1" outlineLevel="1" x14ac:dyDescent="0.25">
      <c r="C231" s="35" t="s">
        <v>185</v>
      </c>
      <c r="D231" s="105"/>
      <c r="E231" s="45">
        <v>1</v>
      </c>
      <c r="F231" s="49"/>
      <c r="G231" s="22">
        <f t="shared" si="23"/>
        <v>0</v>
      </c>
      <c r="H231" s="49"/>
      <c r="I231" s="22">
        <f t="shared" si="19"/>
        <v>0</v>
      </c>
      <c r="J231" s="49"/>
      <c r="K231" s="22">
        <f t="shared" si="20"/>
        <v>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10"/>
      <c r="AD231" s="9"/>
      <c r="AE231" s="15">
        <v>1</v>
      </c>
      <c r="AF231" s="9"/>
      <c r="AG231" s="15">
        <f t="shared" si="22"/>
        <v>1</v>
      </c>
      <c r="AH231" s="9"/>
      <c r="AI231" s="15" t="e">
        <f>AE231*#REF!</f>
        <v>#REF!</v>
      </c>
    </row>
    <row r="232" spans="2:35" ht="16.5" hidden="1" customHeight="1" outlineLevel="1" x14ac:dyDescent="0.25">
      <c r="C232" s="35" t="s">
        <v>184</v>
      </c>
      <c r="D232" s="105"/>
      <c r="E232" s="45">
        <v>0.6</v>
      </c>
      <c r="F232" s="49">
        <v>360</v>
      </c>
      <c r="G232" s="22">
        <f t="shared" si="23"/>
        <v>216</v>
      </c>
      <c r="H232" s="117">
        <v>120</v>
      </c>
      <c r="I232" s="118">
        <f>H232*E232</f>
        <v>72</v>
      </c>
      <c r="J232" s="122">
        <v>240</v>
      </c>
      <c r="K232" s="123">
        <f>J232*E232</f>
        <v>144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10"/>
      <c r="AD232" s="9"/>
      <c r="AE232" s="15">
        <v>0.6</v>
      </c>
      <c r="AF232" s="9"/>
      <c r="AG232" s="15">
        <f t="shared" si="22"/>
        <v>0.36</v>
      </c>
      <c r="AH232" s="9"/>
      <c r="AI232" s="15" t="e">
        <f>AE232*#REF!</f>
        <v>#REF!</v>
      </c>
    </row>
    <row r="233" spans="2:35" ht="16.5" hidden="1" customHeight="1" outlineLevel="1" x14ac:dyDescent="0.25">
      <c r="C233" s="35" t="s">
        <v>186</v>
      </c>
      <c r="D233" s="105"/>
      <c r="E233" s="45">
        <v>0.6</v>
      </c>
      <c r="F233" s="49">
        <v>360</v>
      </c>
      <c r="G233" s="22">
        <f t="shared" si="23"/>
        <v>216</v>
      </c>
      <c r="H233" s="117">
        <v>120</v>
      </c>
      <c r="I233" s="118">
        <f t="shared" ref="I233:I237" si="24">H233*E233</f>
        <v>72</v>
      </c>
      <c r="J233" s="122">
        <v>240</v>
      </c>
      <c r="K233" s="123">
        <f t="shared" ref="K233:K237" si="25">J233*E233</f>
        <v>144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10"/>
      <c r="AD233" s="9"/>
      <c r="AE233" s="15">
        <v>0.6</v>
      </c>
      <c r="AF233" s="9"/>
      <c r="AG233" s="15">
        <f t="shared" si="22"/>
        <v>0.36</v>
      </c>
      <c r="AH233" s="9"/>
      <c r="AI233" s="15" t="e">
        <f>AE233*#REF!</f>
        <v>#REF!</v>
      </c>
    </row>
    <row r="234" spans="2:35" ht="16.5" hidden="1" customHeight="1" outlineLevel="1" x14ac:dyDescent="0.25">
      <c r="C234" s="35" t="s">
        <v>187</v>
      </c>
      <c r="D234" s="105"/>
      <c r="E234" s="45">
        <v>1</v>
      </c>
      <c r="F234" s="49">
        <v>80</v>
      </c>
      <c r="G234" s="22">
        <f t="shared" si="23"/>
        <v>80</v>
      </c>
      <c r="H234" s="117">
        <v>30</v>
      </c>
      <c r="I234" s="118">
        <f t="shared" si="24"/>
        <v>30</v>
      </c>
      <c r="J234" s="122">
        <v>50</v>
      </c>
      <c r="K234" s="123">
        <f t="shared" si="25"/>
        <v>50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10"/>
      <c r="AD234" s="9"/>
      <c r="AE234" s="15">
        <v>1</v>
      </c>
      <c r="AF234" s="9"/>
      <c r="AG234" s="15">
        <f t="shared" si="22"/>
        <v>1</v>
      </c>
      <c r="AH234" s="9"/>
      <c r="AI234" s="15" t="e">
        <f>AE234*#REF!</f>
        <v>#REF!</v>
      </c>
    </row>
    <row r="235" spans="2:35" ht="16.5" hidden="1" customHeight="1" outlineLevel="1" x14ac:dyDescent="0.25">
      <c r="C235" s="35" t="s">
        <v>183</v>
      </c>
      <c r="D235" s="105"/>
      <c r="E235" s="45">
        <v>1</v>
      </c>
      <c r="F235" s="49">
        <v>80</v>
      </c>
      <c r="G235" s="22">
        <f t="shared" si="23"/>
        <v>80</v>
      </c>
      <c r="H235" s="117">
        <v>30</v>
      </c>
      <c r="I235" s="118">
        <f t="shared" si="24"/>
        <v>30</v>
      </c>
      <c r="J235" s="122">
        <v>50</v>
      </c>
      <c r="K235" s="123">
        <f t="shared" si="25"/>
        <v>50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10"/>
      <c r="AD235" s="9"/>
      <c r="AE235" s="15">
        <v>1</v>
      </c>
      <c r="AF235" s="9"/>
      <c r="AG235" s="15">
        <f t="shared" si="22"/>
        <v>1</v>
      </c>
      <c r="AH235" s="9"/>
      <c r="AI235" s="15" t="e">
        <f>AE235*#REF!</f>
        <v>#REF!</v>
      </c>
    </row>
    <row r="236" spans="2:35" ht="16.5" hidden="1" customHeight="1" outlineLevel="1" x14ac:dyDescent="0.25">
      <c r="B236" s="71" t="s">
        <v>564</v>
      </c>
      <c r="C236" s="35" t="s">
        <v>332</v>
      </c>
      <c r="D236" s="105"/>
      <c r="E236" s="45">
        <v>0.8</v>
      </c>
      <c r="F236" s="49">
        <v>30</v>
      </c>
      <c r="G236" s="22">
        <f t="shared" si="23"/>
        <v>24</v>
      </c>
      <c r="H236" s="117">
        <v>12</v>
      </c>
      <c r="I236" s="118">
        <f t="shared" si="24"/>
        <v>9.6000000000000014</v>
      </c>
      <c r="J236" s="122">
        <v>18</v>
      </c>
      <c r="K236" s="123">
        <f t="shared" si="25"/>
        <v>14.4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10"/>
      <c r="AD236" s="9"/>
      <c r="AE236" s="15">
        <v>9.5000000000000001E-2</v>
      </c>
      <c r="AF236" s="9"/>
      <c r="AG236" s="15">
        <f t="shared" si="22"/>
        <v>7.6000000000000012E-2</v>
      </c>
      <c r="AH236" s="9"/>
      <c r="AI236" s="15" t="e">
        <f>AE236*#REF!</f>
        <v>#REF!</v>
      </c>
    </row>
    <row r="237" spans="2:35" ht="16.5" hidden="1" customHeight="1" outlineLevel="1" thickBot="1" x14ac:dyDescent="0.3">
      <c r="B237" s="71" t="s">
        <v>565</v>
      </c>
      <c r="C237" s="35" t="s">
        <v>333</v>
      </c>
      <c r="D237" s="105"/>
      <c r="E237" s="45">
        <v>0.8</v>
      </c>
      <c r="F237" s="49">
        <v>30</v>
      </c>
      <c r="G237" s="22">
        <f t="shared" si="23"/>
        <v>24</v>
      </c>
      <c r="H237" s="117">
        <v>12</v>
      </c>
      <c r="I237" s="118">
        <f t="shared" si="24"/>
        <v>9.6000000000000014</v>
      </c>
      <c r="J237" s="122">
        <v>18</v>
      </c>
      <c r="K237" s="123">
        <f t="shared" si="25"/>
        <v>14.4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10"/>
      <c r="AD237" s="9"/>
      <c r="AE237" s="15">
        <v>9.5000000000000001E-2</v>
      </c>
      <c r="AF237" s="9"/>
      <c r="AG237" s="15">
        <f t="shared" si="22"/>
        <v>7.6000000000000012E-2</v>
      </c>
      <c r="AH237" s="9"/>
      <c r="AI237" s="15" t="e">
        <f>AE237*#REF!</f>
        <v>#REF!</v>
      </c>
    </row>
    <row r="238" spans="2:35" ht="16.5" hidden="1" customHeight="1" outlineLevel="1" x14ac:dyDescent="0.3">
      <c r="C238" s="35" t="s">
        <v>217</v>
      </c>
      <c r="D238" s="105"/>
      <c r="E238" s="45">
        <v>0.4</v>
      </c>
      <c r="F238" s="49"/>
      <c r="G238" s="22">
        <f t="shared" si="23"/>
        <v>0</v>
      </c>
      <c r="H238" s="49"/>
      <c r="I238" s="22">
        <f t="shared" si="19"/>
        <v>0</v>
      </c>
      <c r="J238" s="49"/>
      <c r="K238" s="22">
        <f t="shared" si="20"/>
        <v>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10"/>
      <c r="AD238" s="9"/>
      <c r="AE238" s="15">
        <v>0.4</v>
      </c>
      <c r="AF238" s="9"/>
      <c r="AG238" s="15">
        <f t="shared" si="22"/>
        <v>0.16000000000000003</v>
      </c>
      <c r="AH238" s="9"/>
      <c r="AI238" s="15" t="e">
        <f>AE238*#REF!</f>
        <v>#REF!</v>
      </c>
    </row>
    <row r="239" spans="2:35" ht="16.5" hidden="1" customHeight="1" outlineLevel="1" x14ac:dyDescent="0.3">
      <c r="C239" s="35" t="s">
        <v>218</v>
      </c>
      <c r="D239" s="105"/>
      <c r="E239" s="45">
        <v>0.4</v>
      </c>
      <c r="F239" s="49"/>
      <c r="G239" s="22">
        <f t="shared" si="23"/>
        <v>0</v>
      </c>
      <c r="H239" s="49"/>
      <c r="I239" s="22">
        <f t="shared" si="19"/>
        <v>0</v>
      </c>
      <c r="J239" s="49"/>
      <c r="K239" s="22">
        <f t="shared" si="20"/>
        <v>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10"/>
      <c r="AD239" s="9"/>
      <c r="AE239" s="15">
        <v>0.4</v>
      </c>
      <c r="AF239" s="9"/>
      <c r="AG239" s="15">
        <f t="shared" si="22"/>
        <v>0.16000000000000003</v>
      </c>
      <c r="AH239" s="9"/>
      <c r="AI239" s="15" t="e">
        <f>AE239*#REF!</f>
        <v>#REF!</v>
      </c>
    </row>
    <row r="240" spans="2:35" ht="16.5" hidden="1" customHeight="1" outlineLevel="1" x14ac:dyDescent="0.3">
      <c r="C240" s="35" t="s">
        <v>219</v>
      </c>
      <c r="D240" s="105"/>
      <c r="E240" s="45">
        <v>8.5000000000000006E-2</v>
      </c>
      <c r="F240" s="49"/>
      <c r="G240" s="22">
        <f t="shared" si="23"/>
        <v>0</v>
      </c>
      <c r="H240" s="49"/>
      <c r="I240" s="22">
        <f t="shared" si="19"/>
        <v>0</v>
      </c>
      <c r="J240" s="49"/>
      <c r="K240" s="22">
        <f t="shared" si="20"/>
        <v>0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10"/>
      <c r="AD240" s="9"/>
      <c r="AE240" s="15">
        <v>8.5000000000000006E-2</v>
      </c>
      <c r="AF240" s="9"/>
      <c r="AG240" s="15">
        <f t="shared" si="22"/>
        <v>7.2250000000000014E-3</v>
      </c>
      <c r="AH240" s="9"/>
      <c r="AI240" s="15" t="e">
        <f>AE240*#REF!</f>
        <v>#REF!</v>
      </c>
    </row>
    <row r="241" spans="3:35" ht="16.5" hidden="1" customHeight="1" outlineLevel="1" x14ac:dyDescent="0.3">
      <c r="C241" s="35" t="s">
        <v>220</v>
      </c>
      <c r="D241" s="105"/>
      <c r="E241" s="45">
        <v>0.3</v>
      </c>
      <c r="F241" s="49"/>
      <c r="G241" s="22">
        <f t="shared" si="23"/>
        <v>0</v>
      </c>
      <c r="H241" s="49"/>
      <c r="I241" s="22">
        <f t="shared" si="19"/>
        <v>0</v>
      </c>
      <c r="J241" s="49"/>
      <c r="K241" s="22">
        <f t="shared" si="20"/>
        <v>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10"/>
      <c r="AD241" s="9"/>
      <c r="AE241" s="15">
        <v>0.3</v>
      </c>
      <c r="AF241" s="9"/>
      <c r="AG241" s="15">
        <f t="shared" si="22"/>
        <v>0.09</v>
      </c>
      <c r="AH241" s="9"/>
      <c r="AI241" s="15" t="e">
        <f>AE241*#REF!</f>
        <v>#REF!</v>
      </c>
    </row>
    <row r="242" spans="3:35" ht="16.5" hidden="1" customHeight="1" outlineLevel="1" x14ac:dyDescent="0.3">
      <c r="C242" s="35" t="s">
        <v>221</v>
      </c>
      <c r="D242" s="105"/>
      <c r="E242" s="45">
        <v>0.3</v>
      </c>
      <c r="F242" s="49"/>
      <c r="G242" s="22">
        <f t="shared" si="23"/>
        <v>0</v>
      </c>
      <c r="H242" s="49"/>
      <c r="I242" s="22">
        <f t="shared" si="19"/>
        <v>0</v>
      </c>
      <c r="J242" s="49"/>
      <c r="K242" s="22">
        <f t="shared" si="20"/>
        <v>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10"/>
      <c r="AD242" s="9"/>
      <c r="AE242" s="15">
        <v>0.3</v>
      </c>
      <c r="AF242" s="9"/>
      <c r="AG242" s="15">
        <f t="shared" si="22"/>
        <v>0.09</v>
      </c>
      <c r="AH242" s="9"/>
      <c r="AI242" s="15" t="e">
        <f>AE242*#REF!</f>
        <v>#REF!</v>
      </c>
    </row>
    <row r="243" spans="3:35" ht="16.5" hidden="1" customHeight="1" outlineLevel="1" x14ac:dyDescent="0.3">
      <c r="C243" s="35" t="s">
        <v>212</v>
      </c>
      <c r="D243" s="105"/>
      <c r="E243" s="45">
        <v>0.28000000000000003</v>
      </c>
      <c r="F243" s="49"/>
      <c r="G243" s="22">
        <f t="shared" si="23"/>
        <v>0</v>
      </c>
      <c r="H243" s="49"/>
      <c r="I243" s="22">
        <f t="shared" si="19"/>
        <v>0</v>
      </c>
      <c r="J243" s="49"/>
      <c r="K243" s="22">
        <f t="shared" si="20"/>
        <v>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10"/>
      <c r="AD243" s="9"/>
      <c r="AE243" s="15">
        <v>0.28000000000000003</v>
      </c>
      <c r="AF243" s="9"/>
      <c r="AG243" s="15">
        <f t="shared" ref="AG243:AG262" si="26">AE243*E243</f>
        <v>7.8400000000000011E-2</v>
      </c>
      <c r="AH243" s="9"/>
      <c r="AI243" s="15" t="e">
        <f>AE243*#REF!</f>
        <v>#REF!</v>
      </c>
    </row>
    <row r="244" spans="3:35" ht="16.5" hidden="1" customHeight="1" outlineLevel="1" x14ac:dyDescent="0.3">
      <c r="C244" s="35" t="s">
        <v>213</v>
      </c>
      <c r="D244" s="105"/>
      <c r="E244" s="45">
        <v>0.3</v>
      </c>
      <c r="F244" s="49"/>
      <c r="G244" s="22">
        <f t="shared" si="23"/>
        <v>0</v>
      </c>
      <c r="H244" s="49"/>
      <c r="I244" s="22">
        <f t="shared" si="19"/>
        <v>0</v>
      </c>
      <c r="J244" s="49"/>
      <c r="K244" s="22">
        <f t="shared" si="20"/>
        <v>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10"/>
      <c r="AD244" s="9"/>
      <c r="AE244" s="15">
        <v>0.3</v>
      </c>
      <c r="AF244" s="9"/>
      <c r="AG244" s="15">
        <f t="shared" si="26"/>
        <v>0.09</v>
      </c>
      <c r="AH244" s="9"/>
      <c r="AI244" s="15" t="e">
        <f>AE244*#REF!</f>
        <v>#REF!</v>
      </c>
    </row>
    <row r="245" spans="3:35" ht="16.5" hidden="1" customHeight="1" outlineLevel="1" x14ac:dyDescent="0.3">
      <c r="C245" s="35" t="s">
        <v>214</v>
      </c>
      <c r="D245" s="105"/>
      <c r="E245" s="45">
        <v>0.21</v>
      </c>
      <c r="F245" s="49"/>
      <c r="G245" s="22">
        <f t="shared" si="23"/>
        <v>0</v>
      </c>
      <c r="H245" s="49"/>
      <c r="I245" s="22">
        <f t="shared" si="19"/>
        <v>0</v>
      </c>
      <c r="J245" s="49"/>
      <c r="K245" s="22">
        <f t="shared" si="20"/>
        <v>0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10"/>
      <c r="AD245" s="9"/>
      <c r="AE245" s="15">
        <v>0.21</v>
      </c>
      <c r="AF245" s="9"/>
      <c r="AG245" s="15">
        <f t="shared" si="26"/>
        <v>4.4099999999999993E-2</v>
      </c>
      <c r="AH245" s="9"/>
      <c r="AI245" s="15" t="e">
        <f>AE245*#REF!</f>
        <v>#REF!</v>
      </c>
    </row>
    <row r="246" spans="3:35" ht="16.5" hidden="1" customHeight="1" outlineLevel="1" x14ac:dyDescent="0.3">
      <c r="C246" s="35" t="s">
        <v>222</v>
      </c>
      <c r="D246" s="105"/>
      <c r="E246" s="45">
        <v>0.4</v>
      </c>
      <c r="F246" s="49"/>
      <c r="G246" s="22">
        <f t="shared" si="23"/>
        <v>0</v>
      </c>
      <c r="H246" s="49"/>
      <c r="I246" s="22">
        <f t="shared" ref="I246:I262" si="27">H246*G246</f>
        <v>0</v>
      </c>
      <c r="J246" s="49"/>
      <c r="K246" s="22">
        <f t="shared" ref="K246:K262" si="28">J246*I246</f>
        <v>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10"/>
      <c r="AD246" s="9"/>
      <c r="AE246" s="15">
        <v>0.4</v>
      </c>
      <c r="AF246" s="9"/>
      <c r="AG246" s="15">
        <f t="shared" si="26"/>
        <v>0.16000000000000003</v>
      </c>
      <c r="AH246" s="9"/>
      <c r="AI246" s="15" t="e">
        <f>AE246*#REF!</f>
        <v>#REF!</v>
      </c>
    </row>
    <row r="247" spans="3:35" ht="16.5" hidden="1" customHeight="1" outlineLevel="1" x14ac:dyDescent="0.3">
      <c r="C247" s="35" t="s">
        <v>223</v>
      </c>
      <c r="D247" s="105"/>
      <c r="E247" s="45">
        <v>1</v>
      </c>
      <c r="F247" s="49"/>
      <c r="G247" s="22">
        <f t="shared" si="23"/>
        <v>0</v>
      </c>
      <c r="H247" s="49"/>
      <c r="I247" s="22">
        <f t="shared" si="27"/>
        <v>0</v>
      </c>
      <c r="J247" s="49"/>
      <c r="K247" s="22">
        <f t="shared" si="28"/>
        <v>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10"/>
      <c r="AD247" s="9"/>
      <c r="AE247" s="15">
        <v>1</v>
      </c>
      <c r="AF247" s="9"/>
      <c r="AG247" s="15">
        <f t="shared" si="26"/>
        <v>1</v>
      </c>
      <c r="AH247" s="9"/>
      <c r="AI247" s="15" t="e">
        <f>AE247*#REF!</f>
        <v>#REF!</v>
      </c>
    </row>
    <row r="248" spans="3:35" ht="16.5" hidden="1" customHeight="1" outlineLevel="1" x14ac:dyDescent="0.3">
      <c r="C248" s="35" t="s">
        <v>224</v>
      </c>
      <c r="D248" s="105"/>
      <c r="E248" s="45">
        <v>0.3</v>
      </c>
      <c r="F248" s="49"/>
      <c r="G248" s="22">
        <f t="shared" si="23"/>
        <v>0</v>
      </c>
      <c r="H248" s="49"/>
      <c r="I248" s="22">
        <f t="shared" si="27"/>
        <v>0</v>
      </c>
      <c r="J248" s="49"/>
      <c r="K248" s="22">
        <f t="shared" si="28"/>
        <v>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10"/>
      <c r="AD248" s="9"/>
      <c r="AE248" s="15">
        <v>0.3</v>
      </c>
      <c r="AF248" s="9"/>
      <c r="AG248" s="15">
        <f t="shared" si="26"/>
        <v>0.09</v>
      </c>
      <c r="AH248" s="9"/>
      <c r="AI248" s="15" t="e">
        <f>AE248*#REF!</f>
        <v>#REF!</v>
      </c>
    </row>
    <row r="249" spans="3:35" ht="16.5" hidden="1" customHeight="1" outlineLevel="1" x14ac:dyDescent="0.3">
      <c r="C249" s="35" t="s">
        <v>225</v>
      </c>
      <c r="D249" s="105"/>
      <c r="E249" s="45">
        <v>8.5000000000000006E-2</v>
      </c>
      <c r="F249" s="49"/>
      <c r="G249" s="22">
        <f t="shared" si="23"/>
        <v>0</v>
      </c>
      <c r="H249" s="49"/>
      <c r="I249" s="22">
        <f t="shared" si="27"/>
        <v>0</v>
      </c>
      <c r="J249" s="49"/>
      <c r="K249" s="22">
        <f t="shared" si="28"/>
        <v>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10"/>
      <c r="AD249" s="9"/>
      <c r="AE249" s="15">
        <v>8.5000000000000006E-2</v>
      </c>
      <c r="AF249" s="9"/>
      <c r="AG249" s="15">
        <f t="shared" si="26"/>
        <v>7.2250000000000014E-3</v>
      </c>
      <c r="AH249" s="9"/>
      <c r="AI249" s="15" t="e">
        <f>AE249*#REF!</f>
        <v>#REF!</v>
      </c>
    </row>
    <row r="250" spans="3:35" ht="16.5" hidden="1" customHeight="1" outlineLevel="1" x14ac:dyDescent="0.3">
      <c r="C250" s="35" t="s">
        <v>226</v>
      </c>
      <c r="D250" s="105"/>
      <c r="E250" s="45">
        <v>0.28000000000000003</v>
      </c>
      <c r="F250" s="49"/>
      <c r="G250" s="22">
        <f t="shared" si="23"/>
        <v>0</v>
      </c>
      <c r="H250" s="49"/>
      <c r="I250" s="22">
        <f t="shared" si="27"/>
        <v>0</v>
      </c>
      <c r="J250" s="49"/>
      <c r="K250" s="22">
        <f t="shared" si="28"/>
        <v>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10"/>
      <c r="AD250" s="9"/>
      <c r="AE250" s="15">
        <v>0.28000000000000003</v>
      </c>
      <c r="AF250" s="9"/>
      <c r="AG250" s="15">
        <f t="shared" si="26"/>
        <v>7.8400000000000011E-2</v>
      </c>
      <c r="AH250" s="9"/>
      <c r="AI250" s="15" t="e">
        <f>AE250*#REF!</f>
        <v>#REF!</v>
      </c>
    </row>
    <row r="251" spans="3:35" ht="16.5" hidden="1" customHeight="1" outlineLevel="1" x14ac:dyDescent="0.3">
      <c r="C251" s="35" t="s">
        <v>227</v>
      </c>
      <c r="D251" s="105"/>
      <c r="E251" s="45">
        <v>0.3</v>
      </c>
      <c r="F251" s="49"/>
      <c r="G251" s="22">
        <f t="shared" si="23"/>
        <v>0</v>
      </c>
      <c r="H251" s="49"/>
      <c r="I251" s="22">
        <f t="shared" si="27"/>
        <v>0</v>
      </c>
      <c r="J251" s="49"/>
      <c r="K251" s="22">
        <f t="shared" si="28"/>
        <v>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10"/>
      <c r="AD251" s="9"/>
      <c r="AE251" s="15">
        <v>0.3</v>
      </c>
      <c r="AF251" s="9"/>
      <c r="AG251" s="15">
        <f t="shared" si="26"/>
        <v>0.09</v>
      </c>
      <c r="AH251" s="9"/>
      <c r="AI251" s="15" t="e">
        <f>AE251*#REF!</f>
        <v>#REF!</v>
      </c>
    </row>
    <row r="252" spans="3:35" ht="16.5" hidden="1" customHeight="1" outlineLevel="1" x14ac:dyDescent="0.3">
      <c r="C252" s="35" t="s">
        <v>215</v>
      </c>
      <c r="D252" s="105"/>
      <c r="E252" s="45">
        <v>0.21</v>
      </c>
      <c r="F252" s="49"/>
      <c r="G252" s="22">
        <f t="shared" si="23"/>
        <v>0</v>
      </c>
      <c r="H252" s="49"/>
      <c r="I252" s="22">
        <f t="shared" si="27"/>
        <v>0</v>
      </c>
      <c r="J252" s="49"/>
      <c r="K252" s="22">
        <f t="shared" si="28"/>
        <v>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10"/>
      <c r="AD252" s="9"/>
      <c r="AE252" s="15">
        <v>0.21</v>
      </c>
      <c r="AF252" s="9"/>
      <c r="AG252" s="15">
        <f t="shared" si="26"/>
        <v>4.4099999999999993E-2</v>
      </c>
      <c r="AH252" s="9"/>
      <c r="AI252" s="15" t="e">
        <f>AE252*#REF!</f>
        <v>#REF!</v>
      </c>
    </row>
    <row r="253" spans="3:35" ht="16.5" hidden="1" customHeight="1" outlineLevel="1" x14ac:dyDescent="0.3">
      <c r="C253" s="35" t="s">
        <v>228</v>
      </c>
      <c r="D253" s="105"/>
      <c r="E253" s="45">
        <v>1</v>
      </c>
      <c r="F253" s="49"/>
      <c r="G253" s="22">
        <f t="shared" si="23"/>
        <v>0</v>
      </c>
      <c r="H253" s="49"/>
      <c r="I253" s="22">
        <f t="shared" si="27"/>
        <v>0</v>
      </c>
      <c r="J253" s="49"/>
      <c r="K253" s="22">
        <f t="shared" si="28"/>
        <v>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10"/>
      <c r="AD253" s="9"/>
      <c r="AE253" s="15">
        <v>1</v>
      </c>
      <c r="AF253" s="9"/>
      <c r="AG253" s="15">
        <f t="shared" si="26"/>
        <v>1</v>
      </c>
      <c r="AH253" s="9"/>
      <c r="AI253" s="15" t="e">
        <f>AE253*#REF!</f>
        <v>#REF!</v>
      </c>
    </row>
    <row r="254" spans="3:35" ht="16.5" hidden="1" customHeight="1" outlineLevel="1" x14ac:dyDescent="0.3">
      <c r="C254" s="30" t="s">
        <v>216</v>
      </c>
      <c r="D254" s="107"/>
      <c r="E254" s="45">
        <v>0.28000000000000003</v>
      </c>
      <c r="F254" s="49"/>
      <c r="G254" s="22">
        <f t="shared" si="23"/>
        <v>0</v>
      </c>
      <c r="H254" s="49"/>
      <c r="I254" s="22">
        <f t="shared" si="27"/>
        <v>0</v>
      </c>
      <c r="J254" s="49"/>
      <c r="K254" s="22">
        <f t="shared" si="28"/>
        <v>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10"/>
      <c r="AD254" s="9"/>
      <c r="AE254" s="15">
        <v>0.28000000000000003</v>
      </c>
      <c r="AF254" s="9"/>
      <c r="AG254" s="15">
        <f t="shared" si="26"/>
        <v>7.8400000000000011E-2</v>
      </c>
      <c r="AH254" s="9"/>
      <c r="AI254" s="15" t="e">
        <f>AE254*#REF!</f>
        <v>#REF!</v>
      </c>
    </row>
    <row r="255" spans="3:35" ht="16.5" hidden="1" customHeight="1" outlineLevel="1" x14ac:dyDescent="0.3">
      <c r="C255" s="30" t="s">
        <v>211</v>
      </c>
      <c r="D255" s="107"/>
      <c r="E255" s="45">
        <v>0.3</v>
      </c>
      <c r="F255" s="49"/>
      <c r="G255" s="22">
        <f t="shared" si="23"/>
        <v>0</v>
      </c>
      <c r="H255" s="49"/>
      <c r="I255" s="22">
        <f t="shared" si="27"/>
        <v>0</v>
      </c>
      <c r="J255" s="49"/>
      <c r="K255" s="22">
        <f t="shared" si="28"/>
        <v>0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10"/>
      <c r="AD255" s="9"/>
      <c r="AE255" s="15">
        <v>0.3</v>
      </c>
      <c r="AF255" s="9"/>
      <c r="AG255" s="15">
        <f t="shared" si="26"/>
        <v>0.09</v>
      </c>
      <c r="AH255" s="9"/>
      <c r="AI255" s="15" t="e">
        <f>AE255*#REF!</f>
        <v>#REF!</v>
      </c>
    </row>
    <row r="256" spans="3:35" ht="16.5" hidden="1" customHeight="1" outlineLevel="1" x14ac:dyDescent="0.3">
      <c r="C256" s="30" t="s">
        <v>229</v>
      </c>
      <c r="D256" s="107"/>
      <c r="E256" s="45">
        <v>8.5000000000000006E-2</v>
      </c>
      <c r="F256" s="49"/>
      <c r="G256" s="22">
        <f t="shared" si="23"/>
        <v>0</v>
      </c>
      <c r="H256" s="49"/>
      <c r="I256" s="22">
        <f t="shared" si="27"/>
        <v>0</v>
      </c>
      <c r="J256" s="49"/>
      <c r="K256" s="22">
        <f t="shared" si="28"/>
        <v>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10"/>
      <c r="AD256" s="9"/>
      <c r="AE256" s="15">
        <v>8.5000000000000006E-2</v>
      </c>
      <c r="AF256" s="9"/>
      <c r="AG256" s="15">
        <f t="shared" si="26"/>
        <v>7.2250000000000014E-3</v>
      </c>
      <c r="AH256" s="9"/>
      <c r="AI256" s="15" t="e">
        <f>AE256*#REF!</f>
        <v>#REF!</v>
      </c>
    </row>
    <row r="257" spans="2:35" ht="16.5" hidden="1" customHeight="1" outlineLevel="1" x14ac:dyDescent="0.3">
      <c r="C257" s="30" t="s">
        <v>230</v>
      </c>
      <c r="D257" s="107"/>
      <c r="E257" s="45">
        <v>8.5000000000000006E-2</v>
      </c>
      <c r="F257" s="49"/>
      <c r="G257" s="22">
        <f t="shared" si="23"/>
        <v>0</v>
      </c>
      <c r="H257" s="49"/>
      <c r="I257" s="22">
        <f t="shared" si="27"/>
        <v>0</v>
      </c>
      <c r="J257" s="49"/>
      <c r="K257" s="22">
        <f t="shared" si="28"/>
        <v>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10"/>
      <c r="AD257" s="9"/>
      <c r="AE257" s="15">
        <v>8.5000000000000006E-2</v>
      </c>
      <c r="AF257" s="9"/>
      <c r="AG257" s="15">
        <f t="shared" si="26"/>
        <v>7.2250000000000014E-3</v>
      </c>
      <c r="AH257" s="9"/>
      <c r="AI257" s="15" t="e">
        <f>AE257*#REF!</f>
        <v>#REF!</v>
      </c>
    </row>
    <row r="258" spans="2:35" ht="16.5" hidden="1" customHeight="1" outlineLevel="1" x14ac:dyDescent="0.3">
      <c r="C258" s="30" t="s">
        <v>231</v>
      </c>
      <c r="D258" s="107"/>
      <c r="E258" s="45">
        <v>9.5000000000000001E-2</v>
      </c>
      <c r="F258" s="49"/>
      <c r="G258" s="22">
        <f t="shared" si="23"/>
        <v>0</v>
      </c>
      <c r="H258" s="49"/>
      <c r="I258" s="22">
        <f t="shared" si="27"/>
        <v>0</v>
      </c>
      <c r="J258" s="49"/>
      <c r="K258" s="22">
        <f t="shared" si="28"/>
        <v>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10"/>
      <c r="AD258" s="9"/>
      <c r="AE258" s="15">
        <v>9.5000000000000001E-2</v>
      </c>
      <c r="AF258" s="9"/>
      <c r="AG258" s="15">
        <f t="shared" si="26"/>
        <v>9.025E-3</v>
      </c>
      <c r="AH258" s="9"/>
      <c r="AI258" s="15" t="e">
        <f>AE258*#REF!</f>
        <v>#REF!</v>
      </c>
    </row>
    <row r="259" spans="2:35" ht="16.5" hidden="1" customHeight="1" outlineLevel="1" x14ac:dyDescent="0.3">
      <c r="C259" s="30" t="s">
        <v>232</v>
      </c>
      <c r="D259" s="107"/>
      <c r="E259" s="45">
        <v>0.25</v>
      </c>
      <c r="F259" s="49"/>
      <c r="G259" s="22">
        <f t="shared" si="23"/>
        <v>0</v>
      </c>
      <c r="H259" s="49"/>
      <c r="I259" s="22">
        <f t="shared" si="27"/>
        <v>0</v>
      </c>
      <c r="J259" s="49"/>
      <c r="K259" s="22">
        <f t="shared" si="28"/>
        <v>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10"/>
      <c r="AD259" s="9"/>
      <c r="AE259" s="15">
        <v>0.25</v>
      </c>
      <c r="AF259" s="9"/>
      <c r="AG259" s="15">
        <f t="shared" si="26"/>
        <v>6.25E-2</v>
      </c>
      <c r="AH259" s="9"/>
      <c r="AI259" s="15" t="e">
        <f>AE259*#REF!</f>
        <v>#REF!</v>
      </c>
    </row>
    <row r="260" spans="2:35" ht="16.5" hidden="1" customHeight="1" outlineLevel="1" x14ac:dyDescent="0.3">
      <c r="C260" s="30" t="s">
        <v>233</v>
      </c>
      <c r="D260" s="107"/>
      <c r="E260" s="45">
        <v>0.47</v>
      </c>
      <c r="F260" s="49"/>
      <c r="G260" s="22">
        <f t="shared" si="23"/>
        <v>0</v>
      </c>
      <c r="H260" s="49"/>
      <c r="I260" s="22">
        <f t="shared" si="27"/>
        <v>0</v>
      </c>
      <c r="J260" s="49"/>
      <c r="K260" s="22">
        <f t="shared" si="28"/>
        <v>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10"/>
      <c r="AD260" s="9"/>
      <c r="AE260" s="15">
        <v>0.47</v>
      </c>
      <c r="AF260" s="9"/>
      <c r="AG260" s="15">
        <f t="shared" si="26"/>
        <v>0.22089999999999999</v>
      </c>
      <c r="AH260" s="9"/>
      <c r="AI260" s="15" t="e">
        <f>AE260*#REF!</f>
        <v>#REF!</v>
      </c>
    </row>
    <row r="261" spans="2:35" ht="16.5" hidden="1" customHeight="1" outlineLevel="1" x14ac:dyDescent="0.3">
      <c r="C261" s="30" t="s">
        <v>234</v>
      </c>
      <c r="D261" s="107"/>
      <c r="E261" s="45">
        <v>0.25</v>
      </c>
      <c r="F261" s="49"/>
      <c r="G261" s="22">
        <f t="shared" si="23"/>
        <v>0</v>
      </c>
      <c r="H261" s="49"/>
      <c r="I261" s="22">
        <f t="shared" si="27"/>
        <v>0</v>
      </c>
      <c r="J261" s="49"/>
      <c r="K261" s="22">
        <f t="shared" si="28"/>
        <v>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10"/>
      <c r="AD261" s="9"/>
      <c r="AE261" s="15">
        <v>0.25</v>
      </c>
      <c r="AF261" s="9"/>
      <c r="AG261" s="15">
        <f t="shared" si="26"/>
        <v>6.25E-2</v>
      </c>
      <c r="AH261" s="9"/>
      <c r="AI261" s="15" t="e">
        <f>AE261*#REF!</f>
        <v>#REF!</v>
      </c>
    </row>
    <row r="262" spans="2:35" ht="16.5" hidden="1" customHeight="1" outlineLevel="1" thickBot="1" x14ac:dyDescent="0.3">
      <c r="C262" s="32" t="s">
        <v>235</v>
      </c>
      <c r="D262" s="108"/>
      <c r="E262" s="46">
        <v>9.5000000000000001E-2</v>
      </c>
      <c r="F262" s="50"/>
      <c r="G262" s="29">
        <f t="shared" si="23"/>
        <v>0</v>
      </c>
      <c r="H262" s="50"/>
      <c r="I262" s="29">
        <f t="shared" si="27"/>
        <v>0</v>
      </c>
      <c r="J262" s="50"/>
      <c r="K262" s="29">
        <f t="shared" si="28"/>
        <v>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10"/>
      <c r="AD262" s="9"/>
      <c r="AE262" s="15">
        <v>9.5000000000000001E-2</v>
      </c>
      <c r="AF262" s="9"/>
      <c r="AG262" s="15">
        <f t="shared" si="26"/>
        <v>9.025E-3</v>
      </c>
      <c r="AH262" s="9"/>
      <c r="AI262" s="15" t="e">
        <f>AE262*#REF!</f>
        <v>#REF!</v>
      </c>
    </row>
    <row r="263" spans="2:35" s="4" customFormat="1" ht="19.5" hidden="1" collapsed="1" thickBot="1" x14ac:dyDescent="0.3">
      <c r="B263" s="71"/>
      <c r="C263" s="33" t="s">
        <v>69</v>
      </c>
      <c r="D263" s="109"/>
      <c r="E263" s="23"/>
      <c r="F263" s="23">
        <f>SUM(F264:F317)</f>
        <v>0</v>
      </c>
      <c r="G263" s="47">
        <f>SUM(G264:G317)</f>
        <v>0</v>
      </c>
      <c r="H263" s="23">
        <f t="shared" ref="H263:K263" si="29">SUM(H264:H317)</f>
        <v>0</v>
      </c>
      <c r="I263" s="47">
        <f t="shared" si="29"/>
        <v>0</v>
      </c>
      <c r="J263" s="23">
        <f t="shared" si="29"/>
        <v>0</v>
      </c>
      <c r="K263" s="47">
        <f t="shared" si="29"/>
        <v>0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8"/>
      <c r="AC263" s="8"/>
      <c r="AD263" s="7"/>
      <c r="AE263" s="18"/>
      <c r="AF263" s="21"/>
      <c r="AG263" s="19">
        <f>SUM(AG264:AG313)</f>
        <v>27.049099999999996</v>
      </c>
      <c r="AH263" s="21"/>
      <c r="AI263" s="19" t="e">
        <f>SUM(AI264:AI313)</f>
        <v>#REF!</v>
      </c>
    </row>
    <row r="264" spans="2:35" ht="16.5" hidden="1" customHeight="1" outlineLevel="1" x14ac:dyDescent="0.3">
      <c r="B264" s="71" t="s">
        <v>566</v>
      </c>
      <c r="C264" s="41" t="s">
        <v>196</v>
      </c>
      <c r="D264" s="110"/>
      <c r="E264" s="51">
        <v>1</v>
      </c>
      <c r="F264" s="54"/>
      <c r="G264" s="53">
        <f t="shared" si="23"/>
        <v>0</v>
      </c>
      <c r="H264" s="54"/>
      <c r="I264" s="53">
        <f t="shared" ref="I264:I317" si="30">H264*G264</f>
        <v>0</v>
      </c>
      <c r="J264" s="54"/>
      <c r="K264" s="53">
        <f t="shared" ref="K264:K317" si="31">J264*I264</f>
        <v>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10"/>
      <c r="AD264" s="9"/>
      <c r="AE264" s="12">
        <v>1</v>
      </c>
      <c r="AF264" s="9"/>
      <c r="AG264" s="12">
        <f t="shared" ref="AG264:AG295" si="32">AE264*E264</f>
        <v>1</v>
      </c>
      <c r="AH264" s="9"/>
      <c r="AI264" s="12" t="e">
        <f>AE264*#REF!</f>
        <v>#REF!</v>
      </c>
    </row>
    <row r="265" spans="2:35" ht="16.5" hidden="1" customHeight="1" outlineLevel="1" x14ac:dyDescent="0.3">
      <c r="B265" s="71" t="s">
        <v>567</v>
      </c>
      <c r="C265" s="35" t="s">
        <v>197</v>
      </c>
      <c r="D265" s="110"/>
      <c r="E265" s="51">
        <v>0.4</v>
      </c>
      <c r="F265" s="11"/>
      <c r="G265" s="52">
        <f t="shared" si="23"/>
        <v>0</v>
      </c>
      <c r="H265" s="11"/>
      <c r="I265" s="52">
        <f t="shared" si="30"/>
        <v>0</v>
      </c>
      <c r="J265" s="11"/>
      <c r="K265" s="52">
        <f t="shared" si="31"/>
        <v>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10"/>
      <c r="AD265" s="9"/>
      <c r="AE265" s="15">
        <v>0.4</v>
      </c>
      <c r="AF265" s="9"/>
      <c r="AG265" s="15">
        <f t="shared" si="32"/>
        <v>0.16000000000000003</v>
      </c>
      <c r="AH265" s="9"/>
      <c r="AI265" s="15" t="e">
        <f>AE265*#REF!</f>
        <v>#REF!</v>
      </c>
    </row>
    <row r="266" spans="2:35" ht="16.5" hidden="1" customHeight="1" outlineLevel="1" x14ac:dyDescent="0.3">
      <c r="B266" s="71" t="s">
        <v>447</v>
      </c>
      <c r="C266" s="35" t="s">
        <v>70</v>
      </c>
      <c r="D266" s="110"/>
      <c r="E266" s="51">
        <v>1</v>
      </c>
      <c r="F266" s="11"/>
      <c r="G266" s="52">
        <f t="shared" si="23"/>
        <v>0</v>
      </c>
      <c r="H266" s="11"/>
      <c r="I266" s="52">
        <f t="shared" si="30"/>
        <v>0</v>
      </c>
      <c r="J266" s="11"/>
      <c r="K266" s="52">
        <f t="shared" si="31"/>
        <v>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10"/>
      <c r="AD266" s="9"/>
      <c r="AE266" s="15">
        <v>1</v>
      </c>
      <c r="AF266" s="9"/>
      <c r="AG266" s="15">
        <f t="shared" si="32"/>
        <v>1</v>
      </c>
      <c r="AH266" s="9"/>
      <c r="AI266" s="15" t="e">
        <f>AE266*#REF!</f>
        <v>#REF!</v>
      </c>
    </row>
    <row r="267" spans="2:35" ht="16.5" hidden="1" customHeight="1" outlineLevel="1" x14ac:dyDescent="0.3">
      <c r="B267" s="71" t="s">
        <v>448</v>
      </c>
      <c r="C267" s="35" t="s">
        <v>198</v>
      </c>
      <c r="D267" s="110"/>
      <c r="E267" s="51">
        <v>1</v>
      </c>
      <c r="F267" s="11"/>
      <c r="G267" s="52">
        <f t="shared" si="23"/>
        <v>0</v>
      </c>
      <c r="H267" s="11"/>
      <c r="I267" s="52">
        <f t="shared" si="30"/>
        <v>0</v>
      </c>
      <c r="J267" s="11"/>
      <c r="K267" s="52">
        <f t="shared" si="31"/>
        <v>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10"/>
      <c r="AD267" s="9"/>
      <c r="AE267" s="15">
        <v>1</v>
      </c>
      <c r="AF267" s="9"/>
      <c r="AG267" s="15">
        <f t="shared" si="32"/>
        <v>1</v>
      </c>
      <c r="AH267" s="9"/>
      <c r="AI267" s="15" t="e">
        <f>AE267*#REF!</f>
        <v>#REF!</v>
      </c>
    </row>
    <row r="268" spans="2:35" ht="16.5" hidden="1" customHeight="1" outlineLevel="1" x14ac:dyDescent="0.3">
      <c r="B268" s="71" t="s">
        <v>568</v>
      </c>
      <c r="C268" s="35" t="s">
        <v>71</v>
      </c>
      <c r="D268" s="110"/>
      <c r="E268" s="51">
        <v>1</v>
      </c>
      <c r="F268" s="11"/>
      <c r="G268" s="52">
        <f t="shared" si="23"/>
        <v>0</v>
      </c>
      <c r="H268" s="11"/>
      <c r="I268" s="52">
        <f t="shared" si="30"/>
        <v>0</v>
      </c>
      <c r="J268" s="11"/>
      <c r="K268" s="52">
        <f t="shared" si="31"/>
        <v>0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10"/>
      <c r="AD268" s="9"/>
      <c r="AE268" s="15">
        <v>1</v>
      </c>
      <c r="AF268" s="9"/>
      <c r="AG268" s="15">
        <f t="shared" si="32"/>
        <v>1</v>
      </c>
      <c r="AH268" s="9"/>
      <c r="AI268" s="15" t="e">
        <f>AE268*#REF!</f>
        <v>#REF!</v>
      </c>
    </row>
    <row r="269" spans="2:35" ht="16.5" hidden="1" customHeight="1" outlineLevel="1" x14ac:dyDescent="0.3">
      <c r="B269" s="71" t="s">
        <v>569</v>
      </c>
      <c r="C269" s="35" t="s">
        <v>72</v>
      </c>
      <c r="D269" s="110"/>
      <c r="E269" s="51">
        <v>1</v>
      </c>
      <c r="F269" s="11"/>
      <c r="G269" s="52">
        <f t="shared" si="23"/>
        <v>0</v>
      </c>
      <c r="H269" s="11"/>
      <c r="I269" s="52">
        <f t="shared" si="30"/>
        <v>0</v>
      </c>
      <c r="J269" s="11"/>
      <c r="K269" s="52">
        <f t="shared" si="31"/>
        <v>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10"/>
      <c r="AD269" s="9"/>
      <c r="AE269" s="15">
        <v>1</v>
      </c>
      <c r="AF269" s="9"/>
      <c r="AG269" s="15">
        <f t="shared" si="32"/>
        <v>1</v>
      </c>
      <c r="AH269" s="9"/>
      <c r="AI269" s="15" t="e">
        <f>AE269*#REF!</f>
        <v>#REF!</v>
      </c>
    </row>
    <row r="270" spans="2:35" ht="16.5" hidden="1" customHeight="1" outlineLevel="1" x14ac:dyDescent="0.3">
      <c r="B270" s="71" t="s">
        <v>449</v>
      </c>
      <c r="C270" s="35" t="s">
        <v>73</v>
      </c>
      <c r="D270" s="110"/>
      <c r="E270" s="51">
        <v>1</v>
      </c>
      <c r="F270" s="11"/>
      <c r="G270" s="52">
        <f t="shared" si="23"/>
        <v>0</v>
      </c>
      <c r="H270" s="11"/>
      <c r="I270" s="52">
        <f t="shared" si="30"/>
        <v>0</v>
      </c>
      <c r="J270" s="11"/>
      <c r="K270" s="52">
        <f t="shared" si="31"/>
        <v>0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10"/>
      <c r="AD270" s="9"/>
      <c r="AE270" s="15">
        <v>1</v>
      </c>
      <c r="AF270" s="9"/>
      <c r="AG270" s="15">
        <f t="shared" si="32"/>
        <v>1</v>
      </c>
      <c r="AH270" s="9"/>
      <c r="AI270" s="15" t="e">
        <f>AE270*#REF!</f>
        <v>#REF!</v>
      </c>
    </row>
    <row r="271" spans="2:35" ht="16.5" hidden="1" customHeight="1" outlineLevel="1" x14ac:dyDescent="0.3">
      <c r="B271" s="71" t="s">
        <v>450</v>
      </c>
      <c r="C271" s="35" t="s">
        <v>74</v>
      </c>
      <c r="D271" s="110"/>
      <c r="E271" s="51">
        <v>1</v>
      </c>
      <c r="F271" s="11"/>
      <c r="G271" s="52">
        <f t="shared" si="23"/>
        <v>0</v>
      </c>
      <c r="H271" s="11"/>
      <c r="I271" s="52">
        <f t="shared" si="30"/>
        <v>0</v>
      </c>
      <c r="J271" s="11"/>
      <c r="K271" s="52">
        <f t="shared" si="31"/>
        <v>0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10"/>
      <c r="AD271" s="9"/>
      <c r="AE271" s="15">
        <v>1</v>
      </c>
      <c r="AF271" s="9"/>
      <c r="AG271" s="15">
        <f t="shared" si="32"/>
        <v>1</v>
      </c>
      <c r="AH271" s="9"/>
      <c r="AI271" s="15" t="e">
        <f>AE271*#REF!</f>
        <v>#REF!</v>
      </c>
    </row>
    <row r="272" spans="2:35" ht="16.5" hidden="1" customHeight="1" outlineLevel="1" x14ac:dyDescent="0.3">
      <c r="B272" s="71" t="s">
        <v>451</v>
      </c>
      <c r="C272" s="35" t="s">
        <v>75</v>
      </c>
      <c r="D272" s="110"/>
      <c r="E272" s="51">
        <v>1</v>
      </c>
      <c r="F272" s="11"/>
      <c r="G272" s="52">
        <f t="shared" si="23"/>
        <v>0</v>
      </c>
      <c r="H272" s="11"/>
      <c r="I272" s="52">
        <f t="shared" si="30"/>
        <v>0</v>
      </c>
      <c r="J272" s="11"/>
      <c r="K272" s="52">
        <f t="shared" si="31"/>
        <v>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10"/>
      <c r="AD272" s="9"/>
      <c r="AE272" s="15">
        <v>1</v>
      </c>
      <c r="AF272" s="9"/>
      <c r="AG272" s="15">
        <f t="shared" si="32"/>
        <v>1</v>
      </c>
      <c r="AH272" s="9"/>
      <c r="AI272" s="15" t="e">
        <f>AE272*#REF!</f>
        <v>#REF!</v>
      </c>
    </row>
    <row r="273" spans="2:35" ht="16.5" hidden="1" customHeight="1" outlineLevel="1" x14ac:dyDescent="0.3">
      <c r="B273" s="71" t="s">
        <v>452</v>
      </c>
      <c r="C273" s="35" t="s">
        <v>76</v>
      </c>
      <c r="D273" s="110"/>
      <c r="E273" s="51">
        <v>1</v>
      </c>
      <c r="F273" s="11"/>
      <c r="G273" s="52">
        <f t="shared" si="23"/>
        <v>0</v>
      </c>
      <c r="H273" s="11"/>
      <c r="I273" s="52">
        <f t="shared" si="30"/>
        <v>0</v>
      </c>
      <c r="J273" s="11"/>
      <c r="K273" s="52">
        <f t="shared" si="31"/>
        <v>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10"/>
      <c r="AD273" s="9"/>
      <c r="AE273" s="15">
        <v>1</v>
      </c>
      <c r="AF273" s="9"/>
      <c r="AG273" s="15">
        <f t="shared" si="32"/>
        <v>1</v>
      </c>
      <c r="AH273" s="9"/>
      <c r="AI273" s="15" t="e">
        <f>AE273*#REF!</f>
        <v>#REF!</v>
      </c>
    </row>
    <row r="274" spans="2:35" ht="16.5" hidden="1" customHeight="1" outlineLevel="1" x14ac:dyDescent="0.3">
      <c r="B274" s="71" t="s">
        <v>570</v>
      </c>
      <c r="C274" s="35" t="s">
        <v>199</v>
      </c>
      <c r="D274" s="110"/>
      <c r="E274" s="51">
        <v>0.25</v>
      </c>
      <c r="F274" s="11"/>
      <c r="G274" s="52">
        <f t="shared" si="23"/>
        <v>0</v>
      </c>
      <c r="H274" s="11"/>
      <c r="I274" s="52">
        <f t="shared" si="30"/>
        <v>0</v>
      </c>
      <c r="J274" s="11"/>
      <c r="K274" s="52">
        <f t="shared" si="31"/>
        <v>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10"/>
      <c r="AD274" s="9"/>
      <c r="AE274" s="15">
        <v>0.25</v>
      </c>
      <c r="AF274" s="9"/>
      <c r="AG274" s="15">
        <f t="shared" si="32"/>
        <v>6.25E-2</v>
      </c>
      <c r="AH274" s="9"/>
      <c r="AI274" s="15" t="e">
        <f>AE274*#REF!</f>
        <v>#REF!</v>
      </c>
    </row>
    <row r="275" spans="2:35" ht="16.5" hidden="1" customHeight="1" outlineLevel="1" x14ac:dyDescent="0.3">
      <c r="B275" s="71" t="s">
        <v>571</v>
      </c>
      <c r="C275" s="35" t="s">
        <v>77</v>
      </c>
      <c r="D275" s="110"/>
      <c r="E275" s="51">
        <v>0.15</v>
      </c>
      <c r="F275" s="11"/>
      <c r="G275" s="52">
        <f t="shared" si="23"/>
        <v>0</v>
      </c>
      <c r="H275" s="11"/>
      <c r="I275" s="52">
        <f t="shared" si="30"/>
        <v>0</v>
      </c>
      <c r="J275" s="11"/>
      <c r="K275" s="52">
        <f t="shared" si="31"/>
        <v>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10"/>
      <c r="AD275" s="9"/>
      <c r="AE275" s="15">
        <v>0.15</v>
      </c>
      <c r="AF275" s="9"/>
      <c r="AG275" s="15">
        <f t="shared" si="32"/>
        <v>2.2499999999999999E-2</v>
      </c>
      <c r="AH275" s="9"/>
      <c r="AI275" s="15" t="e">
        <f>AE275*#REF!</f>
        <v>#REF!</v>
      </c>
    </row>
    <row r="276" spans="2:35" ht="16.5" hidden="1" customHeight="1" outlineLevel="1" x14ac:dyDescent="0.3">
      <c r="B276" s="71" t="s">
        <v>572</v>
      </c>
      <c r="C276" s="35" t="s">
        <v>200</v>
      </c>
      <c r="D276" s="110"/>
      <c r="E276" s="51">
        <v>1</v>
      </c>
      <c r="F276" s="11"/>
      <c r="G276" s="52">
        <f t="shared" si="23"/>
        <v>0</v>
      </c>
      <c r="H276" s="11"/>
      <c r="I276" s="52">
        <f t="shared" si="30"/>
        <v>0</v>
      </c>
      <c r="J276" s="11"/>
      <c r="K276" s="52">
        <f t="shared" si="31"/>
        <v>0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10"/>
      <c r="AD276" s="9"/>
      <c r="AE276" s="15">
        <v>1</v>
      </c>
      <c r="AF276" s="9"/>
      <c r="AG276" s="15">
        <f t="shared" si="32"/>
        <v>1</v>
      </c>
      <c r="AH276" s="9"/>
      <c r="AI276" s="15" t="e">
        <f>AE276*#REF!</f>
        <v>#REF!</v>
      </c>
    </row>
    <row r="277" spans="2:35" ht="16.5" hidden="1" customHeight="1" outlineLevel="1" x14ac:dyDescent="0.3">
      <c r="B277" s="71" t="s">
        <v>453</v>
      </c>
      <c r="C277" s="35" t="s">
        <v>78</v>
      </c>
      <c r="D277" s="110"/>
      <c r="E277" s="51">
        <v>1</v>
      </c>
      <c r="F277" s="11"/>
      <c r="G277" s="52">
        <f t="shared" si="23"/>
        <v>0</v>
      </c>
      <c r="H277" s="11"/>
      <c r="I277" s="52">
        <f t="shared" si="30"/>
        <v>0</v>
      </c>
      <c r="J277" s="11"/>
      <c r="K277" s="52">
        <f t="shared" si="31"/>
        <v>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10"/>
      <c r="AD277" s="9"/>
      <c r="AE277" s="15">
        <v>1</v>
      </c>
      <c r="AF277" s="9"/>
      <c r="AG277" s="15">
        <f t="shared" si="32"/>
        <v>1</v>
      </c>
      <c r="AH277" s="9"/>
      <c r="AI277" s="15" t="e">
        <f>AE277*#REF!</f>
        <v>#REF!</v>
      </c>
    </row>
    <row r="278" spans="2:35" ht="16.5" hidden="1" customHeight="1" outlineLevel="1" x14ac:dyDescent="0.3">
      <c r="B278" s="71" t="s">
        <v>454</v>
      </c>
      <c r="C278" s="35" t="s">
        <v>172</v>
      </c>
      <c r="D278" s="110"/>
      <c r="E278" s="51">
        <v>1</v>
      </c>
      <c r="F278" s="11"/>
      <c r="G278" s="52">
        <f t="shared" si="23"/>
        <v>0</v>
      </c>
      <c r="H278" s="11"/>
      <c r="I278" s="52">
        <f t="shared" si="30"/>
        <v>0</v>
      </c>
      <c r="J278" s="11"/>
      <c r="K278" s="52">
        <f t="shared" si="31"/>
        <v>0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10"/>
      <c r="AD278" s="9"/>
      <c r="AE278" s="15">
        <v>1</v>
      </c>
      <c r="AF278" s="9"/>
      <c r="AG278" s="15">
        <f t="shared" si="32"/>
        <v>1</v>
      </c>
      <c r="AH278" s="9"/>
      <c r="AI278" s="15" t="e">
        <f>AE278*#REF!</f>
        <v>#REF!</v>
      </c>
    </row>
    <row r="279" spans="2:35" ht="16.5" hidden="1" customHeight="1" outlineLevel="1" x14ac:dyDescent="0.3">
      <c r="B279" s="71" t="s">
        <v>573</v>
      </c>
      <c r="C279" s="35" t="s">
        <v>79</v>
      </c>
      <c r="D279" s="110"/>
      <c r="E279" s="51">
        <v>0.45</v>
      </c>
      <c r="F279" s="11"/>
      <c r="G279" s="52">
        <f t="shared" si="23"/>
        <v>0</v>
      </c>
      <c r="H279" s="11"/>
      <c r="I279" s="52">
        <f t="shared" si="30"/>
        <v>0</v>
      </c>
      <c r="J279" s="11"/>
      <c r="K279" s="52">
        <f t="shared" si="31"/>
        <v>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10"/>
      <c r="AD279" s="9"/>
      <c r="AE279" s="15">
        <v>0.45</v>
      </c>
      <c r="AF279" s="9"/>
      <c r="AG279" s="15">
        <f t="shared" si="32"/>
        <v>0.20250000000000001</v>
      </c>
      <c r="AH279" s="9"/>
      <c r="AI279" s="15" t="e">
        <f>AE279*#REF!</f>
        <v>#REF!</v>
      </c>
    </row>
    <row r="280" spans="2:35" ht="16.5" hidden="1" customHeight="1" outlineLevel="1" x14ac:dyDescent="0.3">
      <c r="B280" s="71" t="s">
        <v>455</v>
      </c>
      <c r="C280" s="35" t="s">
        <v>80</v>
      </c>
      <c r="D280" s="110"/>
      <c r="E280" s="51">
        <v>1</v>
      </c>
      <c r="F280" s="11"/>
      <c r="G280" s="52">
        <f t="shared" si="23"/>
        <v>0</v>
      </c>
      <c r="H280" s="11"/>
      <c r="I280" s="52">
        <f t="shared" si="30"/>
        <v>0</v>
      </c>
      <c r="J280" s="11"/>
      <c r="K280" s="52">
        <f t="shared" si="31"/>
        <v>0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10"/>
      <c r="AD280" s="9"/>
      <c r="AE280" s="15">
        <v>1</v>
      </c>
      <c r="AF280" s="9"/>
      <c r="AG280" s="15">
        <f t="shared" si="32"/>
        <v>1</v>
      </c>
      <c r="AH280" s="9"/>
      <c r="AI280" s="15" t="e">
        <f>AE280*#REF!</f>
        <v>#REF!</v>
      </c>
    </row>
    <row r="281" spans="2:35" ht="16.5" hidden="1" customHeight="1" outlineLevel="1" x14ac:dyDescent="0.3">
      <c r="B281" s="71" t="s">
        <v>574</v>
      </c>
      <c r="C281" s="35" t="s">
        <v>81</v>
      </c>
      <c r="D281" s="110"/>
      <c r="E281" s="51">
        <v>0.25</v>
      </c>
      <c r="F281" s="11"/>
      <c r="G281" s="52">
        <f t="shared" ref="G281:G344" si="33">F281*E281</f>
        <v>0</v>
      </c>
      <c r="H281" s="11"/>
      <c r="I281" s="52">
        <f t="shared" si="30"/>
        <v>0</v>
      </c>
      <c r="J281" s="11"/>
      <c r="K281" s="52">
        <f t="shared" si="31"/>
        <v>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10"/>
      <c r="AD281" s="9"/>
      <c r="AE281" s="15">
        <v>0.25</v>
      </c>
      <c r="AF281" s="9"/>
      <c r="AG281" s="15">
        <f t="shared" si="32"/>
        <v>6.25E-2</v>
      </c>
      <c r="AH281" s="9"/>
      <c r="AI281" s="15" t="e">
        <f>AE281*#REF!</f>
        <v>#REF!</v>
      </c>
    </row>
    <row r="282" spans="2:35" ht="16.5" hidden="1" customHeight="1" outlineLevel="1" x14ac:dyDescent="0.3">
      <c r="B282" s="71" t="s">
        <v>575</v>
      </c>
      <c r="C282" s="35" t="s">
        <v>201</v>
      </c>
      <c r="D282" s="110"/>
      <c r="E282" s="51">
        <v>0.45</v>
      </c>
      <c r="F282" s="11"/>
      <c r="G282" s="52">
        <f t="shared" si="33"/>
        <v>0</v>
      </c>
      <c r="H282" s="11"/>
      <c r="I282" s="52">
        <f t="shared" si="30"/>
        <v>0</v>
      </c>
      <c r="J282" s="11"/>
      <c r="K282" s="52">
        <f t="shared" si="31"/>
        <v>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10"/>
      <c r="AD282" s="9"/>
      <c r="AE282" s="15">
        <v>0.45</v>
      </c>
      <c r="AF282" s="9"/>
      <c r="AG282" s="15">
        <f t="shared" si="32"/>
        <v>0.20250000000000001</v>
      </c>
      <c r="AH282" s="9"/>
      <c r="AI282" s="15" t="e">
        <f>AE282*#REF!</f>
        <v>#REF!</v>
      </c>
    </row>
    <row r="283" spans="2:35" ht="16.5" hidden="1" customHeight="1" outlineLevel="1" x14ac:dyDescent="0.3">
      <c r="B283" s="71" t="s">
        <v>576</v>
      </c>
      <c r="C283" s="35" t="s">
        <v>82</v>
      </c>
      <c r="D283" s="110"/>
      <c r="E283" s="51">
        <v>1</v>
      </c>
      <c r="F283" s="11"/>
      <c r="G283" s="52">
        <f t="shared" si="33"/>
        <v>0</v>
      </c>
      <c r="H283" s="11"/>
      <c r="I283" s="52">
        <f t="shared" si="30"/>
        <v>0</v>
      </c>
      <c r="J283" s="11"/>
      <c r="K283" s="52">
        <f t="shared" si="31"/>
        <v>0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10"/>
      <c r="AD283" s="9"/>
      <c r="AE283" s="15">
        <v>1</v>
      </c>
      <c r="AF283" s="9"/>
      <c r="AG283" s="15">
        <f t="shared" si="32"/>
        <v>1</v>
      </c>
      <c r="AH283" s="9"/>
      <c r="AI283" s="15" t="e">
        <f>AE283*#REF!</f>
        <v>#REF!</v>
      </c>
    </row>
    <row r="284" spans="2:35" ht="16.5" hidden="1" customHeight="1" outlineLevel="1" x14ac:dyDescent="0.3">
      <c r="B284" s="71" t="s">
        <v>577</v>
      </c>
      <c r="C284" s="35" t="s">
        <v>202</v>
      </c>
      <c r="D284" s="110"/>
      <c r="E284" s="51">
        <v>0.12</v>
      </c>
      <c r="F284" s="11"/>
      <c r="G284" s="52">
        <f t="shared" si="33"/>
        <v>0</v>
      </c>
      <c r="H284" s="11"/>
      <c r="I284" s="52">
        <f t="shared" si="30"/>
        <v>0</v>
      </c>
      <c r="J284" s="11"/>
      <c r="K284" s="52">
        <f t="shared" si="31"/>
        <v>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10"/>
      <c r="AD284" s="9"/>
      <c r="AE284" s="15">
        <v>0.12</v>
      </c>
      <c r="AF284" s="9"/>
      <c r="AG284" s="15">
        <f t="shared" si="32"/>
        <v>1.44E-2</v>
      </c>
      <c r="AH284" s="9"/>
      <c r="AI284" s="15" t="e">
        <f>AE284*#REF!</f>
        <v>#REF!</v>
      </c>
    </row>
    <row r="285" spans="2:35" ht="16.5" hidden="1" customHeight="1" outlineLevel="1" x14ac:dyDescent="0.3">
      <c r="B285" s="71" t="s">
        <v>578</v>
      </c>
      <c r="C285" s="35" t="s">
        <v>83</v>
      </c>
      <c r="D285" s="110"/>
      <c r="E285" s="51">
        <v>0.25</v>
      </c>
      <c r="F285" s="11"/>
      <c r="G285" s="52">
        <f t="shared" si="33"/>
        <v>0</v>
      </c>
      <c r="H285" s="11"/>
      <c r="I285" s="52">
        <f t="shared" si="30"/>
        <v>0</v>
      </c>
      <c r="J285" s="11"/>
      <c r="K285" s="52">
        <f t="shared" si="31"/>
        <v>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10"/>
      <c r="AD285" s="9"/>
      <c r="AE285" s="15">
        <v>0.25</v>
      </c>
      <c r="AF285" s="9"/>
      <c r="AG285" s="15">
        <f t="shared" si="32"/>
        <v>6.25E-2</v>
      </c>
      <c r="AH285" s="9"/>
      <c r="AI285" s="15" t="e">
        <f>AE285*#REF!</f>
        <v>#REF!</v>
      </c>
    </row>
    <row r="286" spans="2:35" ht="16.5" hidden="1" customHeight="1" outlineLevel="1" x14ac:dyDescent="0.3">
      <c r="B286" s="71" t="s">
        <v>456</v>
      </c>
      <c r="C286" s="35" t="s">
        <v>203</v>
      </c>
      <c r="D286" s="110"/>
      <c r="E286" s="51">
        <v>1</v>
      </c>
      <c r="F286" s="11"/>
      <c r="G286" s="52">
        <f t="shared" si="33"/>
        <v>0</v>
      </c>
      <c r="H286" s="11"/>
      <c r="I286" s="52">
        <f t="shared" si="30"/>
        <v>0</v>
      </c>
      <c r="J286" s="11"/>
      <c r="K286" s="52">
        <f t="shared" si="31"/>
        <v>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10"/>
      <c r="AD286" s="9"/>
      <c r="AE286" s="15">
        <v>1</v>
      </c>
      <c r="AF286" s="9"/>
      <c r="AG286" s="15">
        <f t="shared" si="32"/>
        <v>1</v>
      </c>
      <c r="AH286" s="9"/>
      <c r="AI286" s="15" t="e">
        <f>AE286*#REF!</f>
        <v>#REF!</v>
      </c>
    </row>
    <row r="287" spans="2:35" ht="16.5" hidden="1" customHeight="1" outlineLevel="1" x14ac:dyDescent="0.3">
      <c r="B287" s="71" t="s">
        <v>579</v>
      </c>
      <c r="C287" s="35" t="s">
        <v>84</v>
      </c>
      <c r="D287" s="110"/>
      <c r="E287" s="51">
        <v>0.1</v>
      </c>
      <c r="F287" s="11"/>
      <c r="G287" s="52">
        <f t="shared" si="33"/>
        <v>0</v>
      </c>
      <c r="H287" s="11"/>
      <c r="I287" s="52">
        <f t="shared" si="30"/>
        <v>0</v>
      </c>
      <c r="J287" s="11"/>
      <c r="K287" s="52">
        <f t="shared" si="31"/>
        <v>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10"/>
      <c r="AD287" s="9"/>
      <c r="AE287" s="15">
        <v>0.1</v>
      </c>
      <c r="AF287" s="9"/>
      <c r="AG287" s="15">
        <f t="shared" si="32"/>
        <v>1.0000000000000002E-2</v>
      </c>
      <c r="AH287" s="9"/>
      <c r="AI287" s="15" t="e">
        <f>AE287*#REF!</f>
        <v>#REF!</v>
      </c>
    </row>
    <row r="288" spans="2:35" ht="16.5" hidden="1" customHeight="1" outlineLevel="1" x14ac:dyDescent="0.3">
      <c r="B288" s="71" t="s">
        <v>580</v>
      </c>
      <c r="C288" s="35" t="s">
        <v>85</v>
      </c>
      <c r="D288" s="110"/>
      <c r="E288" s="51">
        <v>1</v>
      </c>
      <c r="F288" s="11"/>
      <c r="G288" s="52">
        <f t="shared" si="33"/>
        <v>0</v>
      </c>
      <c r="H288" s="11"/>
      <c r="I288" s="52">
        <f t="shared" si="30"/>
        <v>0</v>
      </c>
      <c r="J288" s="11"/>
      <c r="K288" s="52">
        <f t="shared" si="31"/>
        <v>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10"/>
      <c r="AD288" s="9"/>
      <c r="AE288" s="15">
        <v>1</v>
      </c>
      <c r="AF288" s="9"/>
      <c r="AG288" s="15">
        <f t="shared" si="32"/>
        <v>1</v>
      </c>
      <c r="AH288" s="9"/>
      <c r="AI288" s="15" t="e">
        <f>AE288*#REF!</f>
        <v>#REF!</v>
      </c>
    </row>
    <row r="289" spans="2:35" ht="16.5" hidden="1" customHeight="1" outlineLevel="1" x14ac:dyDescent="0.3">
      <c r="B289" s="71" t="s">
        <v>581</v>
      </c>
      <c r="C289" s="35" t="s">
        <v>204</v>
      </c>
      <c r="D289" s="110"/>
      <c r="E289" s="51">
        <v>0.45</v>
      </c>
      <c r="F289" s="11"/>
      <c r="G289" s="52">
        <f t="shared" si="33"/>
        <v>0</v>
      </c>
      <c r="H289" s="11"/>
      <c r="I289" s="52">
        <f t="shared" si="30"/>
        <v>0</v>
      </c>
      <c r="J289" s="11"/>
      <c r="K289" s="52">
        <f t="shared" si="31"/>
        <v>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10"/>
      <c r="AD289" s="9"/>
      <c r="AE289" s="15">
        <v>0.45</v>
      </c>
      <c r="AF289" s="9"/>
      <c r="AG289" s="15">
        <f t="shared" si="32"/>
        <v>0.20250000000000001</v>
      </c>
      <c r="AH289" s="9"/>
      <c r="AI289" s="15" t="e">
        <f>AE289*#REF!</f>
        <v>#REF!</v>
      </c>
    </row>
    <row r="290" spans="2:35" ht="16.5" hidden="1" customHeight="1" outlineLevel="1" x14ac:dyDescent="0.3">
      <c r="B290" s="71" t="s">
        <v>457</v>
      </c>
      <c r="C290" s="35" t="s">
        <v>86</v>
      </c>
      <c r="D290" s="110"/>
      <c r="E290" s="51">
        <v>1</v>
      </c>
      <c r="F290" s="11"/>
      <c r="G290" s="52">
        <f t="shared" si="33"/>
        <v>0</v>
      </c>
      <c r="H290" s="11"/>
      <c r="I290" s="52">
        <f t="shared" si="30"/>
        <v>0</v>
      </c>
      <c r="J290" s="11"/>
      <c r="K290" s="52">
        <f t="shared" si="31"/>
        <v>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10"/>
      <c r="AD290" s="9"/>
      <c r="AE290" s="15">
        <v>1</v>
      </c>
      <c r="AF290" s="9"/>
      <c r="AG290" s="15">
        <f t="shared" si="32"/>
        <v>1</v>
      </c>
      <c r="AH290" s="9"/>
      <c r="AI290" s="15" t="e">
        <f>AE290*#REF!</f>
        <v>#REF!</v>
      </c>
    </row>
    <row r="291" spans="2:35" ht="16.5" hidden="1" customHeight="1" outlineLevel="1" x14ac:dyDescent="0.3">
      <c r="B291" s="71" t="s">
        <v>582</v>
      </c>
      <c r="C291" s="35" t="s">
        <v>205</v>
      </c>
      <c r="D291" s="110"/>
      <c r="E291" s="51">
        <v>0.1</v>
      </c>
      <c r="F291" s="11"/>
      <c r="G291" s="52">
        <f t="shared" si="33"/>
        <v>0</v>
      </c>
      <c r="H291" s="11"/>
      <c r="I291" s="52">
        <f t="shared" si="30"/>
        <v>0</v>
      </c>
      <c r="J291" s="11"/>
      <c r="K291" s="52">
        <f t="shared" si="31"/>
        <v>0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10"/>
      <c r="AD291" s="9"/>
      <c r="AE291" s="15">
        <v>0.1</v>
      </c>
      <c r="AF291" s="9"/>
      <c r="AG291" s="15">
        <f t="shared" si="32"/>
        <v>1.0000000000000002E-2</v>
      </c>
      <c r="AH291" s="9"/>
      <c r="AI291" s="15" t="e">
        <f>AE291*#REF!</f>
        <v>#REF!</v>
      </c>
    </row>
    <row r="292" spans="2:35" ht="16.5" hidden="1" customHeight="1" outlineLevel="1" x14ac:dyDescent="0.3">
      <c r="B292" s="71" t="s">
        <v>583</v>
      </c>
      <c r="C292" s="35" t="s">
        <v>182</v>
      </c>
      <c r="D292" s="110"/>
      <c r="E292" s="51">
        <v>1</v>
      </c>
      <c r="F292" s="11"/>
      <c r="G292" s="52">
        <f t="shared" si="33"/>
        <v>0</v>
      </c>
      <c r="H292" s="11"/>
      <c r="I292" s="52">
        <f t="shared" si="30"/>
        <v>0</v>
      </c>
      <c r="J292" s="11"/>
      <c r="K292" s="52">
        <f t="shared" si="31"/>
        <v>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10"/>
      <c r="AD292" s="9"/>
      <c r="AE292" s="15">
        <v>1</v>
      </c>
      <c r="AF292" s="9"/>
      <c r="AG292" s="15">
        <f t="shared" si="32"/>
        <v>1</v>
      </c>
      <c r="AH292" s="9"/>
      <c r="AI292" s="15" t="e">
        <f>AE292*#REF!</f>
        <v>#REF!</v>
      </c>
    </row>
    <row r="293" spans="2:35" ht="16.5" hidden="1" customHeight="1" outlineLevel="1" x14ac:dyDescent="0.3">
      <c r="B293" s="71" t="s">
        <v>458</v>
      </c>
      <c r="C293" s="35" t="s">
        <v>206</v>
      </c>
      <c r="D293" s="110"/>
      <c r="E293" s="51">
        <v>1</v>
      </c>
      <c r="F293" s="11"/>
      <c r="G293" s="52">
        <f t="shared" si="33"/>
        <v>0</v>
      </c>
      <c r="H293" s="11"/>
      <c r="I293" s="52">
        <f t="shared" si="30"/>
        <v>0</v>
      </c>
      <c r="J293" s="11"/>
      <c r="K293" s="52">
        <f t="shared" si="31"/>
        <v>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10"/>
      <c r="AD293" s="9"/>
      <c r="AE293" s="15">
        <v>1</v>
      </c>
      <c r="AF293" s="9"/>
      <c r="AG293" s="15">
        <f t="shared" si="32"/>
        <v>1</v>
      </c>
      <c r="AH293" s="9"/>
      <c r="AI293" s="15" t="e">
        <f>AE293*#REF!</f>
        <v>#REF!</v>
      </c>
    </row>
    <row r="294" spans="2:35" ht="16.5" hidden="1" customHeight="1" outlineLevel="1" x14ac:dyDescent="0.3">
      <c r="B294" s="71" t="s">
        <v>459</v>
      </c>
      <c r="C294" s="35" t="s">
        <v>207</v>
      </c>
      <c r="D294" s="110"/>
      <c r="E294" s="51">
        <v>1</v>
      </c>
      <c r="F294" s="11"/>
      <c r="G294" s="52">
        <f t="shared" si="33"/>
        <v>0</v>
      </c>
      <c r="H294" s="11"/>
      <c r="I294" s="52">
        <f t="shared" si="30"/>
        <v>0</v>
      </c>
      <c r="J294" s="11"/>
      <c r="K294" s="52">
        <f t="shared" si="31"/>
        <v>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10"/>
      <c r="AD294" s="9"/>
      <c r="AE294" s="15">
        <v>1</v>
      </c>
      <c r="AF294" s="9"/>
      <c r="AG294" s="15">
        <f t="shared" si="32"/>
        <v>1</v>
      </c>
      <c r="AH294" s="9"/>
      <c r="AI294" s="15" t="e">
        <f>AE294*#REF!</f>
        <v>#REF!</v>
      </c>
    </row>
    <row r="295" spans="2:35" ht="16.5" hidden="1" customHeight="1" outlineLevel="1" x14ac:dyDescent="0.3">
      <c r="B295" s="71" t="s">
        <v>584</v>
      </c>
      <c r="C295" s="35" t="s">
        <v>208</v>
      </c>
      <c r="D295" s="110"/>
      <c r="E295" s="51">
        <v>0.4</v>
      </c>
      <c r="F295" s="11"/>
      <c r="G295" s="52">
        <f t="shared" si="33"/>
        <v>0</v>
      </c>
      <c r="H295" s="11"/>
      <c r="I295" s="52">
        <f t="shared" si="30"/>
        <v>0</v>
      </c>
      <c r="J295" s="11"/>
      <c r="K295" s="52">
        <f t="shared" si="31"/>
        <v>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10"/>
      <c r="AD295" s="9"/>
      <c r="AE295" s="15">
        <v>0.4</v>
      </c>
      <c r="AF295" s="9"/>
      <c r="AG295" s="15">
        <f t="shared" si="32"/>
        <v>0.16000000000000003</v>
      </c>
      <c r="AH295" s="9"/>
      <c r="AI295" s="15" t="e">
        <f>AE295*#REF!</f>
        <v>#REF!</v>
      </c>
    </row>
    <row r="296" spans="2:35" ht="16.5" hidden="1" customHeight="1" outlineLevel="1" x14ac:dyDescent="0.3">
      <c r="B296" s="71" t="s">
        <v>585</v>
      </c>
      <c r="C296" s="35" t="s">
        <v>87</v>
      </c>
      <c r="D296" s="110"/>
      <c r="E296" s="51">
        <v>1</v>
      </c>
      <c r="F296" s="11"/>
      <c r="G296" s="52">
        <f t="shared" si="33"/>
        <v>0</v>
      </c>
      <c r="H296" s="11"/>
      <c r="I296" s="52">
        <f t="shared" si="30"/>
        <v>0</v>
      </c>
      <c r="J296" s="11"/>
      <c r="K296" s="52">
        <f t="shared" si="31"/>
        <v>0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10"/>
      <c r="AD296" s="9"/>
      <c r="AE296" s="15">
        <v>1</v>
      </c>
      <c r="AF296" s="9"/>
      <c r="AG296" s="15">
        <f t="shared" ref="AG296:AG313" si="34">AE296*E296</f>
        <v>1</v>
      </c>
      <c r="AH296" s="9"/>
      <c r="AI296" s="15" t="e">
        <f>AE296*#REF!</f>
        <v>#REF!</v>
      </c>
    </row>
    <row r="297" spans="2:35" ht="16.5" hidden="1" customHeight="1" outlineLevel="1" x14ac:dyDescent="0.3">
      <c r="B297" s="71" t="s">
        <v>586</v>
      </c>
      <c r="C297" s="35" t="s">
        <v>88</v>
      </c>
      <c r="D297" s="110"/>
      <c r="E297" s="51">
        <v>1</v>
      </c>
      <c r="F297" s="11"/>
      <c r="G297" s="52">
        <f t="shared" si="33"/>
        <v>0</v>
      </c>
      <c r="H297" s="11"/>
      <c r="I297" s="52">
        <f t="shared" si="30"/>
        <v>0</v>
      </c>
      <c r="J297" s="11"/>
      <c r="K297" s="52">
        <f t="shared" si="31"/>
        <v>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10"/>
      <c r="AD297" s="9"/>
      <c r="AE297" s="15">
        <v>1</v>
      </c>
      <c r="AF297" s="9"/>
      <c r="AG297" s="15">
        <f t="shared" si="34"/>
        <v>1</v>
      </c>
      <c r="AH297" s="9"/>
      <c r="AI297" s="15" t="e">
        <f>AE297*#REF!</f>
        <v>#REF!</v>
      </c>
    </row>
    <row r="298" spans="2:35" ht="16.5" hidden="1" customHeight="1" outlineLevel="1" x14ac:dyDescent="0.3">
      <c r="B298" s="71" t="s">
        <v>587</v>
      </c>
      <c r="C298" s="35" t="s">
        <v>89</v>
      </c>
      <c r="D298" s="110"/>
      <c r="E298" s="51">
        <v>0.3</v>
      </c>
      <c r="F298" s="11"/>
      <c r="G298" s="52">
        <f t="shared" si="33"/>
        <v>0</v>
      </c>
      <c r="H298" s="11"/>
      <c r="I298" s="52">
        <f t="shared" si="30"/>
        <v>0</v>
      </c>
      <c r="J298" s="11"/>
      <c r="K298" s="52">
        <f t="shared" si="31"/>
        <v>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10"/>
      <c r="AD298" s="9"/>
      <c r="AE298" s="15">
        <v>0.3</v>
      </c>
      <c r="AF298" s="9"/>
      <c r="AG298" s="15">
        <f t="shared" si="34"/>
        <v>0.09</v>
      </c>
      <c r="AH298" s="9"/>
      <c r="AI298" s="15" t="e">
        <f>AE298*#REF!</f>
        <v>#REF!</v>
      </c>
    </row>
    <row r="299" spans="2:35" ht="16.5" hidden="1" customHeight="1" outlineLevel="1" x14ac:dyDescent="0.3">
      <c r="B299" s="71" t="s">
        <v>588</v>
      </c>
      <c r="C299" s="35" t="s">
        <v>90</v>
      </c>
      <c r="D299" s="110"/>
      <c r="E299" s="51">
        <v>0.4</v>
      </c>
      <c r="F299" s="11"/>
      <c r="G299" s="52">
        <f t="shared" si="33"/>
        <v>0</v>
      </c>
      <c r="H299" s="11"/>
      <c r="I299" s="52">
        <f t="shared" si="30"/>
        <v>0</v>
      </c>
      <c r="J299" s="11"/>
      <c r="K299" s="52">
        <f t="shared" si="31"/>
        <v>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10"/>
      <c r="AD299" s="9"/>
      <c r="AE299" s="15">
        <v>0.4</v>
      </c>
      <c r="AF299" s="9"/>
      <c r="AG299" s="15">
        <f t="shared" si="34"/>
        <v>0.16000000000000003</v>
      </c>
      <c r="AH299" s="9"/>
      <c r="AI299" s="15" t="e">
        <f>AE299*#REF!</f>
        <v>#REF!</v>
      </c>
    </row>
    <row r="300" spans="2:35" ht="16.5" hidden="1" customHeight="1" outlineLevel="1" x14ac:dyDescent="0.3">
      <c r="B300" s="71" t="s">
        <v>589</v>
      </c>
      <c r="C300" s="35" t="s">
        <v>91</v>
      </c>
      <c r="D300" s="110"/>
      <c r="E300" s="51">
        <v>0.4</v>
      </c>
      <c r="F300" s="11"/>
      <c r="G300" s="52">
        <f t="shared" si="33"/>
        <v>0</v>
      </c>
      <c r="H300" s="11"/>
      <c r="I300" s="52">
        <f t="shared" si="30"/>
        <v>0</v>
      </c>
      <c r="J300" s="11"/>
      <c r="K300" s="52">
        <f t="shared" si="31"/>
        <v>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10"/>
      <c r="AD300" s="9"/>
      <c r="AE300" s="15">
        <v>0.4</v>
      </c>
      <c r="AF300" s="9"/>
      <c r="AG300" s="15">
        <f t="shared" si="34"/>
        <v>0.16000000000000003</v>
      </c>
      <c r="AH300" s="9"/>
      <c r="AI300" s="15" t="e">
        <f>AE300*#REF!</f>
        <v>#REF!</v>
      </c>
    </row>
    <row r="301" spans="2:35" ht="16.5" hidden="1" customHeight="1" outlineLevel="1" x14ac:dyDescent="0.3">
      <c r="B301" s="71" t="s">
        <v>590</v>
      </c>
      <c r="C301" s="35" t="s">
        <v>92</v>
      </c>
      <c r="D301" s="110"/>
      <c r="E301" s="51">
        <v>0.4</v>
      </c>
      <c r="F301" s="11"/>
      <c r="G301" s="52">
        <f t="shared" si="33"/>
        <v>0</v>
      </c>
      <c r="H301" s="11"/>
      <c r="I301" s="52">
        <f t="shared" si="30"/>
        <v>0</v>
      </c>
      <c r="J301" s="11"/>
      <c r="K301" s="52">
        <f t="shared" si="31"/>
        <v>0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10"/>
      <c r="AD301" s="9"/>
      <c r="AE301" s="15">
        <v>0.4</v>
      </c>
      <c r="AF301" s="9"/>
      <c r="AG301" s="15">
        <f t="shared" si="34"/>
        <v>0.16000000000000003</v>
      </c>
      <c r="AH301" s="9"/>
      <c r="AI301" s="15" t="e">
        <f>AE301*#REF!</f>
        <v>#REF!</v>
      </c>
    </row>
    <row r="302" spans="2:35" ht="16.5" hidden="1" customHeight="1" outlineLevel="1" x14ac:dyDescent="0.3">
      <c r="B302" s="71" t="s">
        <v>591</v>
      </c>
      <c r="C302" s="35" t="s">
        <v>93</v>
      </c>
      <c r="D302" s="110"/>
      <c r="E302" s="51">
        <v>0.31</v>
      </c>
      <c r="F302" s="11"/>
      <c r="G302" s="52">
        <f t="shared" si="33"/>
        <v>0</v>
      </c>
      <c r="H302" s="11"/>
      <c r="I302" s="52">
        <f t="shared" si="30"/>
        <v>0</v>
      </c>
      <c r="J302" s="11"/>
      <c r="K302" s="52">
        <f t="shared" si="31"/>
        <v>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10"/>
      <c r="AD302" s="9"/>
      <c r="AE302" s="15">
        <v>0.31</v>
      </c>
      <c r="AF302" s="9"/>
      <c r="AG302" s="15">
        <f t="shared" si="34"/>
        <v>9.6100000000000005E-2</v>
      </c>
      <c r="AH302" s="9"/>
      <c r="AI302" s="15" t="e">
        <f>AE302*#REF!</f>
        <v>#REF!</v>
      </c>
    </row>
    <row r="303" spans="2:35" ht="16.5" hidden="1" customHeight="1" outlineLevel="1" x14ac:dyDescent="0.3">
      <c r="B303" s="71" t="s">
        <v>592</v>
      </c>
      <c r="C303" s="35" t="s">
        <v>94</v>
      </c>
      <c r="D303" s="110"/>
      <c r="E303" s="51">
        <v>0.35</v>
      </c>
      <c r="F303" s="11"/>
      <c r="G303" s="52">
        <f t="shared" si="33"/>
        <v>0</v>
      </c>
      <c r="H303" s="11"/>
      <c r="I303" s="52">
        <f t="shared" si="30"/>
        <v>0</v>
      </c>
      <c r="J303" s="11"/>
      <c r="K303" s="52">
        <f t="shared" si="31"/>
        <v>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10"/>
      <c r="AD303" s="9"/>
      <c r="AE303" s="15">
        <v>0.35</v>
      </c>
      <c r="AF303" s="9"/>
      <c r="AG303" s="15">
        <f t="shared" si="34"/>
        <v>0.12249999999999998</v>
      </c>
      <c r="AH303" s="9"/>
      <c r="AI303" s="15" t="e">
        <f>AE303*#REF!</f>
        <v>#REF!</v>
      </c>
    </row>
    <row r="304" spans="2:35" ht="16.5" hidden="1" customHeight="1" outlineLevel="1" x14ac:dyDescent="0.3">
      <c r="B304" s="71" t="s">
        <v>593</v>
      </c>
      <c r="C304" s="35" t="s">
        <v>95</v>
      </c>
      <c r="D304" s="110"/>
      <c r="E304" s="51">
        <v>0.28000000000000003</v>
      </c>
      <c r="F304" s="11"/>
      <c r="G304" s="52">
        <f t="shared" si="33"/>
        <v>0</v>
      </c>
      <c r="H304" s="11"/>
      <c r="I304" s="52">
        <f t="shared" si="30"/>
        <v>0</v>
      </c>
      <c r="J304" s="11"/>
      <c r="K304" s="52">
        <f t="shared" si="31"/>
        <v>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10"/>
      <c r="AD304" s="9"/>
      <c r="AE304" s="15">
        <v>0.28000000000000003</v>
      </c>
      <c r="AF304" s="9"/>
      <c r="AG304" s="15">
        <f t="shared" si="34"/>
        <v>7.8400000000000011E-2</v>
      </c>
      <c r="AH304" s="9"/>
      <c r="AI304" s="15" t="e">
        <f>AE304*#REF!</f>
        <v>#REF!</v>
      </c>
    </row>
    <row r="305" spans="2:35" ht="16.5" hidden="1" customHeight="1" outlineLevel="1" x14ac:dyDescent="0.3">
      <c r="B305" s="71" t="s">
        <v>594</v>
      </c>
      <c r="C305" s="35" t="s">
        <v>96</v>
      </c>
      <c r="D305" s="110"/>
      <c r="E305" s="51">
        <v>0.35</v>
      </c>
      <c r="F305" s="11"/>
      <c r="G305" s="52">
        <f t="shared" si="33"/>
        <v>0</v>
      </c>
      <c r="H305" s="11"/>
      <c r="I305" s="52">
        <f t="shared" si="30"/>
        <v>0</v>
      </c>
      <c r="J305" s="11"/>
      <c r="K305" s="52">
        <f t="shared" si="31"/>
        <v>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10"/>
      <c r="AD305" s="9"/>
      <c r="AE305" s="15">
        <v>0.35</v>
      </c>
      <c r="AF305" s="9"/>
      <c r="AG305" s="15">
        <f t="shared" si="34"/>
        <v>0.12249999999999998</v>
      </c>
      <c r="AH305" s="9"/>
      <c r="AI305" s="15" t="e">
        <f>AE305*#REF!</f>
        <v>#REF!</v>
      </c>
    </row>
    <row r="306" spans="2:35" ht="16.5" hidden="1" customHeight="1" outlineLevel="1" x14ac:dyDescent="0.3">
      <c r="B306" s="71" t="s">
        <v>595</v>
      </c>
      <c r="C306" s="35" t="s">
        <v>97</v>
      </c>
      <c r="D306" s="110"/>
      <c r="E306" s="51">
        <v>0.28000000000000003</v>
      </c>
      <c r="F306" s="11"/>
      <c r="G306" s="52">
        <f t="shared" si="33"/>
        <v>0</v>
      </c>
      <c r="H306" s="11"/>
      <c r="I306" s="52">
        <f t="shared" si="30"/>
        <v>0</v>
      </c>
      <c r="J306" s="11"/>
      <c r="K306" s="52">
        <f t="shared" si="31"/>
        <v>0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10"/>
      <c r="AD306" s="9"/>
      <c r="AE306" s="15">
        <v>0.28000000000000003</v>
      </c>
      <c r="AF306" s="9"/>
      <c r="AG306" s="15">
        <f t="shared" si="34"/>
        <v>7.8400000000000011E-2</v>
      </c>
      <c r="AH306" s="9"/>
      <c r="AI306" s="15" t="e">
        <f>AE306*#REF!</f>
        <v>#REF!</v>
      </c>
    </row>
    <row r="307" spans="2:35" ht="16.5" hidden="1" customHeight="1" outlineLevel="1" x14ac:dyDescent="0.3">
      <c r="B307" s="71" t="s">
        <v>596</v>
      </c>
      <c r="C307" s="35" t="s">
        <v>236</v>
      </c>
      <c r="D307" s="110"/>
      <c r="E307" s="51">
        <v>0.35</v>
      </c>
      <c r="F307" s="11"/>
      <c r="G307" s="52">
        <f t="shared" si="33"/>
        <v>0</v>
      </c>
      <c r="H307" s="11"/>
      <c r="I307" s="52">
        <f t="shared" si="30"/>
        <v>0</v>
      </c>
      <c r="J307" s="11"/>
      <c r="K307" s="52">
        <f t="shared" si="31"/>
        <v>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10"/>
      <c r="AD307" s="9"/>
      <c r="AE307" s="15">
        <v>0.35</v>
      </c>
      <c r="AF307" s="9"/>
      <c r="AG307" s="15">
        <f t="shared" si="34"/>
        <v>0.12249999999999998</v>
      </c>
      <c r="AH307" s="9"/>
      <c r="AI307" s="15" t="e">
        <f>AE307*#REF!</f>
        <v>#REF!</v>
      </c>
    </row>
    <row r="308" spans="2:35" ht="16.5" hidden="1" customHeight="1" outlineLevel="1" x14ac:dyDescent="0.3">
      <c r="B308" s="71" t="s">
        <v>460</v>
      </c>
      <c r="C308" s="35" t="s">
        <v>209</v>
      </c>
      <c r="D308" s="110"/>
      <c r="E308" s="51">
        <v>1</v>
      </c>
      <c r="F308" s="11"/>
      <c r="G308" s="52">
        <f t="shared" si="33"/>
        <v>0</v>
      </c>
      <c r="H308" s="11"/>
      <c r="I308" s="52">
        <f t="shared" si="30"/>
        <v>0</v>
      </c>
      <c r="J308" s="11"/>
      <c r="K308" s="52">
        <f t="shared" si="31"/>
        <v>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10"/>
      <c r="AD308" s="9"/>
      <c r="AE308" s="15">
        <v>1</v>
      </c>
      <c r="AF308" s="9"/>
      <c r="AG308" s="15">
        <f t="shared" si="34"/>
        <v>1</v>
      </c>
      <c r="AH308" s="9"/>
      <c r="AI308" s="15" t="e">
        <f>AE308*#REF!</f>
        <v>#REF!</v>
      </c>
    </row>
    <row r="309" spans="2:35" ht="16.5" hidden="1" customHeight="1" outlineLevel="1" x14ac:dyDescent="0.3">
      <c r="B309" s="71" t="s">
        <v>597</v>
      </c>
      <c r="C309" s="35" t="s">
        <v>170</v>
      </c>
      <c r="D309" s="110"/>
      <c r="E309" s="51">
        <v>0.28000000000000003</v>
      </c>
      <c r="F309" s="11"/>
      <c r="G309" s="52">
        <f t="shared" si="33"/>
        <v>0</v>
      </c>
      <c r="H309" s="11"/>
      <c r="I309" s="52">
        <f t="shared" si="30"/>
        <v>0</v>
      </c>
      <c r="J309" s="11"/>
      <c r="K309" s="52">
        <f t="shared" si="31"/>
        <v>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10"/>
      <c r="AD309" s="9"/>
      <c r="AE309" s="15">
        <v>0.28000000000000003</v>
      </c>
      <c r="AF309" s="9"/>
      <c r="AG309" s="15">
        <f t="shared" si="34"/>
        <v>7.8400000000000011E-2</v>
      </c>
      <c r="AH309" s="9"/>
      <c r="AI309" s="15" t="e">
        <f>AE309*#REF!</f>
        <v>#REF!</v>
      </c>
    </row>
    <row r="310" spans="2:35" ht="16.5" hidden="1" customHeight="1" outlineLevel="1" x14ac:dyDescent="0.3">
      <c r="B310" s="71" t="s">
        <v>598</v>
      </c>
      <c r="C310" s="35" t="s">
        <v>171</v>
      </c>
      <c r="D310" s="110"/>
      <c r="E310" s="51">
        <v>0.28000000000000003</v>
      </c>
      <c r="F310" s="11"/>
      <c r="G310" s="52">
        <f t="shared" si="33"/>
        <v>0</v>
      </c>
      <c r="H310" s="11"/>
      <c r="I310" s="52">
        <f t="shared" si="30"/>
        <v>0</v>
      </c>
      <c r="J310" s="11"/>
      <c r="K310" s="52">
        <f t="shared" si="31"/>
        <v>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10"/>
      <c r="AD310" s="9"/>
      <c r="AE310" s="15">
        <v>0.28000000000000003</v>
      </c>
      <c r="AF310" s="9"/>
      <c r="AG310" s="15">
        <f t="shared" si="34"/>
        <v>7.8400000000000011E-2</v>
      </c>
      <c r="AH310" s="9"/>
      <c r="AI310" s="15" t="e">
        <f>AE310*#REF!</f>
        <v>#REF!</v>
      </c>
    </row>
    <row r="311" spans="2:35" ht="16.5" hidden="1" customHeight="1" outlineLevel="1" x14ac:dyDescent="0.3">
      <c r="B311" s="71" t="s">
        <v>599</v>
      </c>
      <c r="C311" s="35" t="s">
        <v>310</v>
      </c>
      <c r="D311" s="110"/>
      <c r="E311" s="51">
        <v>0.28000000000000003</v>
      </c>
      <c r="F311" s="11"/>
      <c r="G311" s="52">
        <f t="shared" si="33"/>
        <v>0</v>
      </c>
      <c r="H311" s="11"/>
      <c r="I311" s="52">
        <f t="shared" si="30"/>
        <v>0</v>
      </c>
      <c r="J311" s="11"/>
      <c r="K311" s="52">
        <f t="shared" si="31"/>
        <v>0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10"/>
      <c r="AD311" s="9"/>
      <c r="AE311" s="15">
        <v>1</v>
      </c>
      <c r="AF311" s="9"/>
      <c r="AG311" s="15">
        <f t="shared" si="34"/>
        <v>0.28000000000000003</v>
      </c>
      <c r="AH311" s="9"/>
      <c r="AI311" s="15" t="e">
        <f>AE311*#REF!</f>
        <v>#REF!</v>
      </c>
    </row>
    <row r="312" spans="2:35" ht="16.5" hidden="1" customHeight="1" outlineLevel="1" x14ac:dyDescent="0.3">
      <c r="B312" s="71" t="s">
        <v>600</v>
      </c>
      <c r="C312" s="35" t="s">
        <v>309</v>
      </c>
      <c r="D312" s="110"/>
      <c r="E312" s="51">
        <v>0.25</v>
      </c>
      <c r="F312" s="14"/>
      <c r="G312" s="52">
        <f t="shared" si="33"/>
        <v>0</v>
      </c>
      <c r="H312" s="14"/>
      <c r="I312" s="52">
        <f t="shared" si="30"/>
        <v>0</v>
      </c>
      <c r="J312" s="14"/>
      <c r="K312" s="52">
        <f t="shared" si="31"/>
        <v>0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10"/>
      <c r="AD312" s="9"/>
      <c r="AE312" s="15">
        <v>1</v>
      </c>
      <c r="AF312" s="9"/>
      <c r="AG312" s="15">
        <f t="shared" si="34"/>
        <v>0.25</v>
      </c>
      <c r="AH312" s="9"/>
      <c r="AI312" s="15" t="e">
        <f>AE312*#REF!</f>
        <v>#REF!</v>
      </c>
    </row>
    <row r="313" spans="2:35" ht="16.5" hidden="1" customHeight="1" outlineLevel="1" x14ac:dyDescent="0.3">
      <c r="B313" s="71" t="s">
        <v>601</v>
      </c>
      <c r="C313" s="35" t="s">
        <v>237</v>
      </c>
      <c r="D313" s="110"/>
      <c r="E313" s="51">
        <v>1</v>
      </c>
      <c r="F313" s="14"/>
      <c r="G313" s="52">
        <f t="shared" si="33"/>
        <v>0</v>
      </c>
      <c r="H313" s="14"/>
      <c r="I313" s="52">
        <f t="shared" si="30"/>
        <v>0</v>
      </c>
      <c r="J313" s="14"/>
      <c r="K313" s="52">
        <f t="shared" si="31"/>
        <v>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10"/>
      <c r="AD313" s="9"/>
      <c r="AE313" s="15">
        <v>1</v>
      </c>
      <c r="AF313" s="9"/>
      <c r="AG313" s="15">
        <f t="shared" si="34"/>
        <v>1</v>
      </c>
      <c r="AH313" s="9"/>
      <c r="AI313" s="15" t="e">
        <f>AE313*#REF!</f>
        <v>#REF!</v>
      </c>
    </row>
    <row r="314" spans="2:35" ht="16.5" hidden="1" customHeight="1" outlineLevel="1" x14ac:dyDescent="0.3">
      <c r="C314" s="112" t="s">
        <v>305</v>
      </c>
      <c r="D314" s="68"/>
      <c r="E314" s="51">
        <v>1</v>
      </c>
      <c r="F314" s="14"/>
      <c r="G314" s="52">
        <f t="shared" si="33"/>
        <v>0</v>
      </c>
      <c r="H314" s="14"/>
      <c r="I314" s="52">
        <f t="shared" si="30"/>
        <v>0</v>
      </c>
      <c r="J314" s="14"/>
      <c r="K314" s="52">
        <f t="shared" si="31"/>
        <v>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10"/>
      <c r="AD314" s="9"/>
      <c r="AE314" s="36"/>
      <c r="AF314" s="9"/>
      <c r="AG314" s="15"/>
      <c r="AH314" s="9"/>
      <c r="AI314" s="15"/>
    </row>
    <row r="315" spans="2:35" ht="16.5" hidden="1" customHeight="1" outlineLevel="1" x14ac:dyDescent="0.3">
      <c r="C315" s="112" t="s">
        <v>306</v>
      </c>
      <c r="D315" s="68"/>
      <c r="E315" s="51">
        <v>1</v>
      </c>
      <c r="F315" s="14"/>
      <c r="G315" s="52">
        <f t="shared" si="33"/>
        <v>0</v>
      </c>
      <c r="H315" s="14"/>
      <c r="I315" s="52">
        <f t="shared" si="30"/>
        <v>0</v>
      </c>
      <c r="J315" s="14"/>
      <c r="K315" s="52">
        <f t="shared" si="31"/>
        <v>0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10"/>
      <c r="AD315" s="9"/>
      <c r="AE315" s="36"/>
      <c r="AF315" s="9"/>
      <c r="AG315" s="15"/>
      <c r="AH315" s="9"/>
      <c r="AI315" s="15"/>
    </row>
    <row r="316" spans="2:35" ht="16.5" hidden="1" customHeight="1" outlineLevel="1" x14ac:dyDescent="0.3">
      <c r="C316" s="112" t="s">
        <v>307</v>
      </c>
      <c r="D316" s="68"/>
      <c r="E316" s="51">
        <v>1</v>
      </c>
      <c r="F316" s="14"/>
      <c r="G316" s="52">
        <f t="shared" si="33"/>
        <v>0</v>
      </c>
      <c r="H316" s="14"/>
      <c r="I316" s="52">
        <f t="shared" si="30"/>
        <v>0</v>
      </c>
      <c r="J316" s="14"/>
      <c r="K316" s="52">
        <f t="shared" si="31"/>
        <v>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10"/>
      <c r="AD316" s="9"/>
      <c r="AE316" s="36"/>
      <c r="AF316" s="9"/>
      <c r="AG316" s="15"/>
      <c r="AH316" s="9"/>
      <c r="AI316" s="15"/>
    </row>
    <row r="317" spans="2:35" ht="16.5" hidden="1" customHeight="1" outlineLevel="1" thickBot="1" x14ac:dyDescent="0.3">
      <c r="C317" s="113" t="s">
        <v>302</v>
      </c>
      <c r="D317" s="111"/>
      <c r="E317" s="36">
        <v>1</v>
      </c>
      <c r="F317" s="55"/>
      <c r="G317" s="56">
        <f t="shared" si="33"/>
        <v>0</v>
      </c>
      <c r="H317" s="55"/>
      <c r="I317" s="56">
        <f t="shared" si="30"/>
        <v>0</v>
      </c>
      <c r="J317" s="55"/>
      <c r="K317" s="56">
        <f t="shared" si="31"/>
        <v>0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10"/>
      <c r="AD317" s="9"/>
      <c r="AE317" s="36"/>
      <c r="AF317" s="9"/>
      <c r="AG317" s="15"/>
      <c r="AH317" s="9"/>
      <c r="AI317" s="15"/>
    </row>
    <row r="318" spans="2:35" s="4" customFormat="1" ht="19.5" hidden="1" collapsed="1" thickBot="1" x14ac:dyDescent="0.3">
      <c r="B318" s="71"/>
      <c r="C318" s="33" t="s">
        <v>130</v>
      </c>
      <c r="D318" s="33"/>
      <c r="E318" s="23"/>
      <c r="F318" s="23">
        <f>SUM(F319:F339)</f>
        <v>0</v>
      </c>
      <c r="G318" s="47">
        <f>SUM(G319:G339)</f>
        <v>0</v>
      </c>
      <c r="H318" s="23">
        <f t="shared" ref="H318:K318" si="35">SUM(H319:H339)</f>
        <v>0</v>
      </c>
      <c r="I318" s="47">
        <f t="shared" si="35"/>
        <v>0</v>
      </c>
      <c r="J318" s="23">
        <f t="shared" si="35"/>
        <v>0</v>
      </c>
      <c r="K318" s="47">
        <f t="shared" si="35"/>
        <v>0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8"/>
      <c r="AC318" s="8"/>
      <c r="AD318" s="7"/>
      <c r="AE318" s="18"/>
      <c r="AF318" s="21"/>
      <c r="AG318" s="19">
        <f>SUM(AG319:AG339)</f>
        <v>10.666250000000002</v>
      </c>
      <c r="AH318" s="21"/>
      <c r="AI318" s="19" t="e">
        <f>SUM(AI319:AI339)</f>
        <v>#REF!</v>
      </c>
    </row>
    <row r="319" spans="2:35" ht="16.5" hidden="1" customHeight="1" outlineLevel="1" x14ac:dyDescent="0.3">
      <c r="C319" s="31" t="s">
        <v>131</v>
      </c>
      <c r="D319" s="65"/>
      <c r="E319" s="11">
        <v>0.75</v>
      </c>
      <c r="F319" s="11"/>
      <c r="G319" s="28">
        <f t="shared" si="33"/>
        <v>0</v>
      </c>
      <c r="H319" s="11"/>
      <c r="I319" s="28">
        <f t="shared" ref="I319:I339" si="36">H319*G319</f>
        <v>0</v>
      </c>
      <c r="J319" s="11"/>
      <c r="K319" s="28">
        <f t="shared" ref="K319:K339" si="37">J319*I319</f>
        <v>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10"/>
      <c r="AD319" s="9"/>
      <c r="AE319" s="12">
        <v>0.75</v>
      </c>
      <c r="AF319" s="9"/>
      <c r="AG319" s="12">
        <f t="shared" ref="AG319:AG336" si="38">AE319*E319</f>
        <v>0.5625</v>
      </c>
      <c r="AH319" s="9"/>
      <c r="AI319" s="12" t="e">
        <f>AE319*#REF!</f>
        <v>#REF!</v>
      </c>
    </row>
    <row r="320" spans="2:35" ht="16.5" hidden="1" customHeight="1" outlineLevel="1" x14ac:dyDescent="0.3">
      <c r="C320" s="30" t="s">
        <v>132</v>
      </c>
      <c r="D320" s="30"/>
      <c r="E320" s="14">
        <v>0.1</v>
      </c>
      <c r="F320" s="14"/>
      <c r="G320" s="22">
        <f t="shared" si="33"/>
        <v>0</v>
      </c>
      <c r="H320" s="14"/>
      <c r="I320" s="22">
        <f t="shared" si="36"/>
        <v>0</v>
      </c>
      <c r="J320" s="14"/>
      <c r="K320" s="22">
        <f t="shared" si="37"/>
        <v>0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10"/>
      <c r="AD320" s="9"/>
      <c r="AE320" s="15">
        <v>0.1</v>
      </c>
      <c r="AF320" s="9"/>
      <c r="AG320" s="15">
        <f t="shared" si="38"/>
        <v>1.0000000000000002E-2</v>
      </c>
      <c r="AH320" s="9"/>
      <c r="AI320" s="15" t="e">
        <f>AE320*#REF!</f>
        <v>#REF!</v>
      </c>
    </row>
    <row r="321" spans="3:35" ht="16.5" hidden="1" customHeight="1" outlineLevel="1" x14ac:dyDescent="0.3">
      <c r="C321" s="35" t="s">
        <v>133</v>
      </c>
      <c r="D321" s="35"/>
      <c r="E321" s="14">
        <v>1</v>
      </c>
      <c r="F321" s="14"/>
      <c r="G321" s="22">
        <f t="shared" si="33"/>
        <v>0</v>
      </c>
      <c r="H321" s="14"/>
      <c r="I321" s="22">
        <f t="shared" si="36"/>
        <v>0</v>
      </c>
      <c r="J321" s="14"/>
      <c r="K321" s="22">
        <f t="shared" si="37"/>
        <v>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10"/>
      <c r="AD321" s="9"/>
      <c r="AE321" s="15">
        <v>1</v>
      </c>
      <c r="AF321" s="9"/>
      <c r="AG321" s="15">
        <f t="shared" si="38"/>
        <v>1</v>
      </c>
      <c r="AH321" s="9"/>
      <c r="AI321" s="15" t="e">
        <f>AE321*#REF!</f>
        <v>#REF!</v>
      </c>
    </row>
    <row r="322" spans="3:35" ht="16.5" hidden="1" customHeight="1" outlineLevel="1" x14ac:dyDescent="0.3">
      <c r="C322" s="35" t="s">
        <v>134</v>
      </c>
      <c r="D322" s="35"/>
      <c r="E322" s="14">
        <v>1</v>
      </c>
      <c r="F322" s="14"/>
      <c r="G322" s="22">
        <f t="shared" si="33"/>
        <v>0</v>
      </c>
      <c r="H322" s="14"/>
      <c r="I322" s="22">
        <f t="shared" si="36"/>
        <v>0</v>
      </c>
      <c r="J322" s="14"/>
      <c r="K322" s="22">
        <f t="shared" si="37"/>
        <v>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10"/>
      <c r="AD322" s="9"/>
      <c r="AE322" s="15">
        <v>1</v>
      </c>
      <c r="AF322" s="9"/>
      <c r="AG322" s="15">
        <f t="shared" si="38"/>
        <v>1</v>
      </c>
      <c r="AH322" s="9"/>
      <c r="AI322" s="15" t="e">
        <f>AE322*#REF!</f>
        <v>#REF!</v>
      </c>
    </row>
    <row r="323" spans="3:35" ht="16.5" hidden="1" customHeight="1" outlineLevel="1" x14ac:dyDescent="0.3">
      <c r="C323" s="35" t="s">
        <v>135</v>
      </c>
      <c r="D323" s="35"/>
      <c r="E323" s="14">
        <v>0.56000000000000005</v>
      </c>
      <c r="F323" s="14"/>
      <c r="G323" s="22">
        <f t="shared" si="33"/>
        <v>0</v>
      </c>
      <c r="H323" s="14"/>
      <c r="I323" s="22">
        <f t="shared" si="36"/>
        <v>0</v>
      </c>
      <c r="J323" s="14"/>
      <c r="K323" s="22">
        <f t="shared" si="37"/>
        <v>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10"/>
      <c r="AD323" s="9"/>
      <c r="AE323" s="15">
        <v>0.56000000000000005</v>
      </c>
      <c r="AF323" s="9"/>
      <c r="AG323" s="15">
        <f t="shared" si="38"/>
        <v>0.31360000000000005</v>
      </c>
      <c r="AH323" s="9"/>
      <c r="AI323" s="15" t="e">
        <f>AE323*#REF!</f>
        <v>#REF!</v>
      </c>
    </row>
    <row r="324" spans="3:35" ht="16.5" hidden="1" customHeight="1" outlineLevel="1" x14ac:dyDescent="0.3">
      <c r="C324" s="35" t="s">
        <v>139</v>
      </c>
      <c r="D324" s="35"/>
      <c r="E324" s="14">
        <v>0.56000000000000005</v>
      </c>
      <c r="F324" s="14"/>
      <c r="G324" s="22">
        <f t="shared" si="33"/>
        <v>0</v>
      </c>
      <c r="H324" s="14"/>
      <c r="I324" s="22">
        <f t="shared" si="36"/>
        <v>0</v>
      </c>
      <c r="J324" s="14"/>
      <c r="K324" s="22">
        <f t="shared" si="37"/>
        <v>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10"/>
      <c r="AD324" s="9"/>
      <c r="AE324" s="15">
        <v>0.56000000000000005</v>
      </c>
      <c r="AF324" s="9"/>
      <c r="AG324" s="15">
        <f t="shared" si="38"/>
        <v>0.31360000000000005</v>
      </c>
      <c r="AH324" s="9"/>
      <c r="AI324" s="15" t="e">
        <f>AE324*#REF!</f>
        <v>#REF!</v>
      </c>
    </row>
    <row r="325" spans="3:35" ht="16.5" hidden="1" customHeight="1" outlineLevel="1" x14ac:dyDescent="0.3">
      <c r="C325" s="35" t="s">
        <v>136</v>
      </c>
      <c r="D325" s="35"/>
      <c r="E325" s="14">
        <v>1</v>
      </c>
      <c r="F325" s="14"/>
      <c r="G325" s="22">
        <f t="shared" si="33"/>
        <v>0</v>
      </c>
      <c r="H325" s="14"/>
      <c r="I325" s="22">
        <f t="shared" si="36"/>
        <v>0</v>
      </c>
      <c r="J325" s="14"/>
      <c r="K325" s="22">
        <f t="shared" si="37"/>
        <v>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10"/>
      <c r="AD325" s="9"/>
      <c r="AE325" s="15">
        <v>1</v>
      </c>
      <c r="AF325" s="9"/>
      <c r="AG325" s="15">
        <f t="shared" si="38"/>
        <v>1</v>
      </c>
      <c r="AH325" s="9"/>
      <c r="AI325" s="15" t="e">
        <f>AE325*#REF!</f>
        <v>#REF!</v>
      </c>
    </row>
    <row r="326" spans="3:35" ht="16.5" hidden="1" customHeight="1" outlineLevel="1" x14ac:dyDescent="0.3">
      <c r="C326" s="35" t="s">
        <v>137</v>
      </c>
      <c r="D326" s="35"/>
      <c r="E326" s="14">
        <v>1</v>
      </c>
      <c r="F326" s="14"/>
      <c r="G326" s="22">
        <f t="shared" si="33"/>
        <v>0</v>
      </c>
      <c r="H326" s="14"/>
      <c r="I326" s="22">
        <f t="shared" si="36"/>
        <v>0</v>
      </c>
      <c r="J326" s="14"/>
      <c r="K326" s="22">
        <f t="shared" si="37"/>
        <v>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10"/>
      <c r="AD326" s="9"/>
      <c r="AE326" s="15">
        <v>1</v>
      </c>
      <c r="AF326" s="9"/>
      <c r="AG326" s="15">
        <f t="shared" si="38"/>
        <v>1</v>
      </c>
      <c r="AH326" s="9"/>
      <c r="AI326" s="15" t="e">
        <f>AE326*#REF!</f>
        <v>#REF!</v>
      </c>
    </row>
    <row r="327" spans="3:35" ht="16.5" hidden="1" customHeight="1" outlineLevel="1" x14ac:dyDescent="0.3">
      <c r="C327" s="35" t="s">
        <v>138</v>
      </c>
      <c r="D327" s="35"/>
      <c r="E327" s="14">
        <v>0.56000000000000005</v>
      </c>
      <c r="F327" s="14"/>
      <c r="G327" s="22">
        <f t="shared" si="33"/>
        <v>0</v>
      </c>
      <c r="H327" s="14"/>
      <c r="I327" s="22">
        <f t="shared" si="36"/>
        <v>0</v>
      </c>
      <c r="J327" s="14"/>
      <c r="K327" s="22">
        <f t="shared" si="37"/>
        <v>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10"/>
      <c r="AD327" s="9"/>
      <c r="AE327" s="15">
        <v>0.56000000000000005</v>
      </c>
      <c r="AF327" s="9"/>
      <c r="AG327" s="15">
        <f t="shared" si="38"/>
        <v>0.31360000000000005</v>
      </c>
      <c r="AH327" s="9"/>
      <c r="AI327" s="15" t="e">
        <f>AE327*#REF!</f>
        <v>#REF!</v>
      </c>
    </row>
    <row r="328" spans="3:35" ht="16.5" hidden="1" customHeight="1" outlineLevel="1" x14ac:dyDescent="0.3">
      <c r="C328" s="35" t="s">
        <v>140</v>
      </c>
      <c r="D328" s="35"/>
      <c r="E328" s="14">
        <v>1</v>
      </c>
      <c r="F328" s="14"/>
      <c r="G328" s="22">
        <f t="shared" si="33"/>
        <v>0</v>
      </c>
      <c r="H328" s="14"/>
      <c r="I328" s="22">
        <f t="shared" si="36"/>
        <v>0</v>
      </c>
      <c r="J328" s="14"/>
      <c r="K328" s="22">
        <f t="shared" si="37"/>
        <v>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10"/>
      <c r="AD328" s="9"/>
      <c r="AE328" s="15">
        <v>1</v>
      </c>
      <c r="AF328" s="9"/>
      <c r="AG328" s="15">
        <f t="shared" si="38"/>
        <v>1</v>
      </c>
      <c r="AH328" s="9"/>
      <c r="AI328" s="15" t="e">
        <f>AE328*#REF!</f>
        <v>#REF!</v>
      </c>
    </row>
    <row r="329" spans="3:35" ht="16.5" hidden="1" customHeight="1" outlineLevel="1" x14ac:dyDescent="0.3">
      <c r="C329" s="35" t="s">
        <v>141</v>
      </c>
      <c r="D329" s="35"/>
      <c r="E329" s="14">
        <v>1</v>
      </c>
      <c r="F329" s="14"/>
      <c r="G329" s="22">
        <f t="shared" si="33"/>
        <v>0</v>
      </c>
      <c r="H329" s="14"/>
      <c r="I329" s="22">
        <f t="shared" si="36"/>
        <v>0</v>
      </c>
      <c r="J329" s="14"/>
      <c r="K329" s="22">
        <f t="shared" si="37"/>
        <v>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10"/>
      <c r="AD329" s="9"/>
      <c r="AE329" s="15">
        <v>1</v>
      </c>
      <c r="AF329" s="9"/>
      <c r="AG329" s="15">
        <f t="shared" si="38"/>
        <v>1</v>
      </c>
      <c r="AH329" s="9"/>
      <c r="AI329" s="15" t="e">
        <f>AE329*#REF!</f>
        <v>#REF!</v>
      </c>
    </row>
    <row r="330" spans="3:35" ht="16.5" hidden="1" customHeight="1" outlineLevel="1" x14ac:dyDescent="0.3">
      <c r="C330" s="42" t="s">
        <v>312</v>
      </c>
      <c r="D330" s="69"/>
      <c r="E330" s="14">
        <v>1</v>
      </c>
      <c r="F330" s="14"/>
      <c r="G330" s="22">
        <f t="shared" si="33"/>
        <v>0</v>
      </c>
      <c r="H330" s="14"/>
      <c r="I330" s="22">
        <f t="shared" si="36"/>
        <v>0</v>
      </c>
      <c r="J330" s="14"/>
      <c r="K330" s="22">
        <f t="shared" si="37"/>
        <v>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10"/>
      <c r="AD330" s="9"/>
      <c r="AE330" s="15">
        <v>1</v>
      </c>
      <c r="AF330" s="9"/>
      <c r="AG330" s="15">
        <f t="shared" si="38"/>
        <v>1</v>
      </c>
      <c r="AH330" s="9"/>
      <c r="AI330" s="15" t="e">
        <f>AE330*#REF!</f>
        <v>#REF!</v>
      </c>
    </row>
    <row r="331" spans="3:35" ht="16.5" hidden="1" customHeight="1" outlineLevel="1" x14ac:dyDescent="0.3">
      <c r="C331" s="35" t="s">
        <v>142</v>
      </c>
      <c r="D331" s="35"/>
      <c r="E331" s="14">
        <v>0.1</v>
      </c>
      <c r="F331" s="14"/>
      <c r="G331" s="22">
        <f t="shared" si="33"/>
        <v>0</v>
      </c>
      <c r="H331" s="14"/>
      <c r="I331" s="22">
        <f t="shared" si="36"/>
        <v>0</v>
      </c>
      <c r="J331" s="14"/>
      <c r="K331" s="22">
        <f t="shared" si="37"/>
        <v>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10"/>
      <c r="AD331" s="9"/>
      <c r="AE331" s="15">
        <v>0.1</v>
      </c>
      <c r="AF331" s="9"/>
      <c r="AG331" s="15">
        <f t="shared" si="38"/>
        <v>1.0000000000000002E-2</v>
      </c>
      <c r="AH331" s="9"/>
      <c r="AI331" s="15" t="e">
        <f>AE331*#REF!</f>
        <v>#REF!</v>
      </c>
    </row>
    <row r="332" spans="3:35" ht="16.5" hidden="1" customHeight="1" outlineLevel="1" x14ac:dyDescent="0.3">
      <c r="C332" s="35" t="s">
        <v>210</v>
      </c>
      <c r="D332" s="35"/>
      <c r="E332" s="14">
        <v>0.23499999999999999</v>
      </c>
      <c r="F332" s="14"/>
      <c r="G332" s="22">
        <f t="shared" si="33"/>
        <v>0</v>
      </c>
      <c r="H332" s="14"/>
      <c r="I332" s="22">
        <f t="shared" si="36"/>
        <v>0</v>
      </c>
      <c r="J332" s="14"/>
      <c r="K332" s="22">
        <f t="shared" si="37"/>
        <v>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10"/>
      <c r="AD332" s="9"/>
      <c r="AE332" s="15">
        <v>0.23499999999999999</v>
      </c>
      <c r="AF332" s="9"/>
      <c r="AG332" s="15">
        <f t="shared" si="38"/>
        <v>5.5224999999999996E-2</v>
      </c>
      <c r="AH332" s="9"/>
      <c r="AI332" s="15" t="e">
        <f>AE332*#REF!</f>
        <v>#REF!</v>
      </c>
    </row>
    <row r="333" spans="3:35" ht="16.5" hidden="1" customHeight="1" outlineLevel="1" x14ac:dyDescent="0.3">
      <c r="C333" s="35" t="s">
        <v>143</v>
      </c>
      <c r="D333" s="35"/>
      <c r="E333" s="14">
        <v>1</v>
      </c>
      <c r="F333" s="14"/>
      <c r="G333" s="22">
        <f t="shared" si="33"/>
        <v>0</v>
      </c>
      <c r="H333" s="14"/>
      <c r="I333" s="22">
        <f t="shared" si="36"/>
        <v>0</v>
      </c>
      <c r="J333" s="14"/>
      <c r="K333" s="22">
        <f t="shared" si="37"/>
        <v>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10"/>
      <c r="AD333" s="9"/>
      <c r="AE333" s="15">
        <v>1</v>
      </c>
      <c r="AF333" s="9"/>
      <c r="AG333" s="15">
        <f t="shared" si="38"/>
        <v>1</v>
      </c>
      <c r="AH333" s="9"/>
      <c r="AI333" s="15" t="e">
        <f>AE333*#REF!</f>
        <v>#REF!</v>
      </c>
    </row>
    <row r="334" spans="3:35" ht="16.5" hidden="1" customHeight="1" outlineLevel="1" x14ac:dyDescent="0.3">
      <c r="C334" s="35" t="s">
        <v>144</v>
      </c>
      <c r="D334" s="35"/>
      <c r="E334" s="14">
        <v>1</v>
      </c>
      <c r="F334" s="14"/>
      <c r="G334" s="22">
        <f t="shared" si="33"/>
        <v>0</v>
      </c>
      <c r="H334" s="14"/>
      <c r="I334" s="22">
        <f t="shared" si="36"/>
        <v>0</v>
      </c>
      <c r="J334" s="14"/>
      <c r="K334" s="22">
        <f t="shared" si="37"/>
        <v>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10"/>
      <c r="AD334" s="9"/>
      <c r="AE334" s="15">
        <v>1</v>
      </c>
      <c r="AF334" s="9"/>
      <c r="AG334" s="15">
        <f t="shared" si="38"/>
        <v>1</v>
      </c>
      <c r="AH334" s="9"/>
      <c r="AI334" s="15" t="e">
        <f>AE334*#REF!</f>
        <v>#REF!</v>
      </c>
    </row>
    <row r="335" spans="3:35" ht="16.5" hidden="1" customHeight="1" outlineLevel="1" x14ac:dyDescent="0.3">
      <c r="C335" s="35" t="s">
        <v>145</v>
      </c>
      <c r="D335" s="35"/>
      <c r="E335" s="14">
        <v>0.15</v>
      </c>
      <c r="F335" s="14"/>
      <c r="G335" s="22">
        <f t="shared" si="33"/>
        <v>0</v>
      </c>
      <c r="H335" s="14"/>
      <c r="I335" s="22">
        <f t="shared" si="36"/>
        <v>0</v>
      </c>
      <c r="J335" s="14"/>
      <c r="K335" s="22">
        <f t="shared" si="37"/>
        <v>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10"/>
      <c r="AD335" s="9"/>
      <c r="AE335" s="15">
        <v>0.15</v>
      </c>
      <c r="AF335" s="9"/>
      <c r="AG335" s="15">
        <f t="shared" si="38"/>
        <v>2.2499999999999999E-2</v>
      </c>
      <c r="AH335" s="9"/>
      <c r="AI335" s="15" t="e">
        <f>AE335*#REF!</f>
        <v>#REF!</v>
      </c>
    </row>
    <row r="336" spans="3:35" ht="16.5" hidden="1" customHeight="1" outlineLevel="1" x14ac:dyDescent="0.3">
      <c r="C336" s="35" t="s">
        <v>146</v>
      </c>
      <c r="D336" s="35"/>
      <c r="E336" s="14">
        <v>0.1</v>
      </c>
      <c r="F336" s="14"/>
      <c r="G336" s="22">
        <f t="shared" si="33"/>
        <v>0</v>
      </c>
      <c r="H336" s="14"/>
      <c r="I336" s="22">
        <f t="shared" si="36"/>
        <v>0</v>
      </c>
      <c r="J336" s="14"/>
      <c r="K336" s="22">
        <f t="shared" si="37"/>
        <v>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10"/>
      <c r="AD336" s="9"/>
      <c r="AE336" s="15">
        <v>0.1</v>
      </c>
      <c r="AF336" s="9"/>
      <c r="AG336" s="15">
        <f t="shared" si="38"/>
        <v>1.0000000000000002E-2</v>
      </c>
      <c r="AH336" s="9"/>
      <c r="AI336" s="15" t="e">
        <f>AE336*#REF!</f>
        <v>#REF!</v>
      </c>
    </row>
    <row r="337" spans="2:35" ht="16.5" hidden="1" customHeight="1" outlineLevel="1" x14ac:dyDescent="0.3">
      <c r="C337" s="42" t="s">
        <v>303</v>
      </c>
      <c r="D337" s="69"/>
      <c r="E337" s="14">
        <v>0.14000000000000001</v>
      </c>
      <c r="F337" s="16"/>
      <c r="G337" s="22">
        <f t="shared" si="33"/>
        <v>0</v>
      </c>
      <c r="H337" s="16"/>
      <c r="I337" s="22">
        <f t="shared" si="36"/>
        <v>0</v>
      </c>
      <c r="J337" s="16"/>
      <c r="K337" s="22">
        <f t="shared" si="37"/>
        <v>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10"/>
      <c r="AD337" s="9"/>
      <c r="AE337" s="15"/>
      <c r="AF337" s="9"/>
      <c r="AG337" s="15"/>
      <c r="AH337" s="9"/>
      <c r="AI337" s="15"/>
    </row>
    <row r="338" spans="2:35" ht="16.5" hidden="1" customHeight="1" outlineLevel="1" x14ac:dyDescent="0.3">
      <c r="C338" s="43" t="s">
        <v>304</v>
      </c>
      <c r="D338" s="43"/>
      <c r="E338" s="14">
        <v>0.14000000000000001</v>
      </c>
      <c r="F338" s="16"/>
      <c r="G338" s="22">
        <f t="shared" si="33"/>
        <v>0</v>
      </c>
      <c r="H338" s="16"/>
      <c r="I338" s="22">
        <f t="shared" si="36"/>
        <v>0</v>
      </c>
      <c r="J338" s="16"/>
      <c r="K338" s="22">
        <f t="shared" si="37"/>
        <v>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10"/>
      <c r="AD338" s="9"/>
      <c r="AE338" s="15"/>
      <c r="AF338" s="9"/>
      <c r="AG338" s="15"/>
      <c r="AH338" s="9"/>
      <c r="AI338" s="15"/>
    </row>
    <row r="339" spans="2:35" ht="16.5" hidden="1" customHeight="1" outlineLevel="1" thickBot="1" x14ac:dyDescent="0.3">
      <c r="C339" s="32" t="s">
        <v>147</v>
      </c>
      <c r="D339" s="67"/>
      <c r="E339" s="16">
        <v>0.23499999999999999</v>
      </c>
      <c r="F339" s="16"/>
      <c r="G339" s="29">
        <f t="shared" si="33"/>
        <v>0</v>
      </c>
      <c r="H339" s="16"/>
      <c r="I339" s="29">
        <f t="shared" si="36"/>
        <v>0</v>
      </c>
      <c r="J339" s="16"/>
      <c r="K339" s="29">
        <f t="shared" si="37"/>
        <v>0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10"/>
      <c r="AD339" s="9"/>
      <c r="AE339" s="17">
        <v>0.23499999999999999</v>
      </c>
      <c r="AF339" s="9"/>
      <c r="AG339" s="17">
        <f>AE339*E339</f>
        <v>5.5224999999999996E-2</v>
      </c>
      <c r="AH339" s="9"/>
      <c r="AI339" s="17" t="e">
        <f>AE339*#REF!</f>
        <v>#REF!</v>
      </c>
    </row>
    <row r="340" spans="2:35" s="4" customFormat="1" ht="19.5" hidden="1" collapsed="1" thickBot="1" x14ac:dyDescent="0.3">
      <c r="B340" s="71"/>
      <c r="C340" s="33" t="s">
        <v>157</v>
      </c>
      <c r="D340" s="33"/>
      <c r="E340" s="23"/>
      <c r="F340" s="23">
        <f>SUM(F341:F346)</f>
        <v>990</v>
      </c>
      <c r="G340" s="47">
        <f>SUM(G341:G346)</f>
        <v>69.300000000000011</v>
      </c>
      <c r="H340" s="23">
        <f t="shared" ref="H340:K340" si="39">SUM(H341:H346)</f>
        <v>990</v>
      </c>
      <c r="I340" s="47">
        <f t="shared" si="39"/>
        <v>11529.000000000002</v>
      </c>
      <c r="J340" s="23">
        <f t="shared" si="39"/>
        <v>990</v>
      </c>
      <c r="K340" s="47">
        <f t="shared" si="39"/>
        <v>1933470.0000000002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8"/>
      <c r="AC340" s="8"/>
      <c r="AD340" s="7"/>
      <c r="AE340" s="18"/>
      <c r="AF340" s="21"/>
      <c r="AG340" s="19">
        <f>SUM(AG341:AG346)</f>
        <v>2.9400000000000006E-2</v>
      </c>
      <c r="AH340" s="21"/>
      <c r="AI340" s="19" t="e">
        <f>SUM(AI341:AI346)</f>
        <v>#REF!</v>
      </c>
    </row>
    <row r="341" spans="2:35" ht="16.5" hidden="1" customHeight="1" outlineLevel="1" x14ac:dyDescent="0.25">
      <c r="C341" s="31" t="s">
        <v>158</v>
      </c>
      <c r="D341" s="65"/>
      <c r="E341" s="11">
        <v>7.0000000000000007E-2</v>
      </c>
      <c r="F341" s="11">
        <v>180</v>
      </c>
      <c r="G341" s="28">
        <f t="shared" si="33"/>
        <v>12.600000000000001</v>
      </c>
      <c r="H341" s="11">
        <v>180</v>
      </c>
      <c r="I341" s="28">
        <f t="shared" ref="I341:I346" si="40">H341*G341</f>
        <v>2268.0000000000005</v>
      </c>
      <c r="J341" s="11">
        <v>180</v>
      </c>
      <c r="K341" s="28">
        <f t="shared" ref="K341:K346" si="41">J341*I341</f>
        <v>408240.00000000006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10"/>
      <c r="AD341" s="9"/>
      <c r="AE341" s="12">
        <v>7.0000000000000007E-2</v>
      </c>
      <c r="AF341" s="9"/>
      <c r="AG341" s="12">
        <f t="shared" ref="AG341:AG346" si="42">AE341*E341</f>
        <v>4.9000000000000007E-3</v>
      </c>
      <c r="AH341" s="9"/>
      <c r="AI341" s="12" t="e">
        <f>AE341*#REF!</f>
        <v>#REF!</v>
      </c>
    </row>
    <row r="342" spans="2:35" ht="16.5" hidden="1" customHeight="1" outlineLevel="1" x14ac:dyDescent="0.25">
      <c r="C342" s="30" t="s">
        <v>159</v>
      </c>
      <c r="D342" s="30"/>
      <c r="E342" s="14">
        <v>7.0000000000000007E-2</v>
      </c>
      <c r="F342" s="14">
        <v>180</v>
      </c>
      <c r="G342" s="22">
        <f t="shared" si="33"/>
        <v>12.600000000000001</v>
      </c>
      <c r="H342" s="14">
        <v>180</v>
      </c>
      <c r="I342" s="22">
        <f t="shared" si="40"/>
        <v>2268.0000000000005</v>
      </c>
      <c r="J342" s="14">
        <v>180</v>
      </c>
      <c r="K342" s="22">
        <f t="shared" si="41"/>
        <v>408240.00000000006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10"/>
      <c r="AD342" s="9"/>
      <c r="AE342" s="15">
        <v>7.0000000000000007E-2</v>
      </c>
      <c r="AF342" s="9"/>
      <c r="AG342" s="15">
        <f t="shared" si="42"/>
        <v>4.9000000000000007E-3</v>
      </c>
      <c r="AH342" s="9"/>
      <c r="AI342" s="15" t="e">
        <f>AE342*#REF!</f>
        <v>#REF!</v>
      </c>
    </row>
    <row r="343" spans="2:35" ht="16.5" hidden="1" customHeight="1" outlineLevel="1" x14ac:dyDescent="0.25">
      <c r="C343" s="30" t="s">
        <v>160</v>
      </c>
      <c r="D343" s="30"/>
      <c r="E343" s="14">
        <v>7.0000000000000007E-2</v>
      </c>
      <c r="F343" s="14">
        <v>180</v>
      </c>
      <c r="G343" s="22">
        <f t="shared" si="33"/>
        <v>12.600000000000001</v>
      </c>
      <c r="H343" s="14">
        <v>180</v>
      </c>
      <c r="I343" s="22">
        <f t="shared" si="40"/>
        <v>2268.0000000000005</v>
      </c>
      <c r="J343" s="14">
        <v>180</v>
      </c>
      <c r="K343" s="22">
        <f t="shared" si="41"/>
        <v>408240.00000000006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10"/>
      <c r="AD343" s="9"/>
      <c r="AE343" s="15">
        <v>7.0000000000000007E-2</v>
      </c>
      <c r="AF343" s="9"/>
      <c r="AG343" s="15">
        <f t="shared" si="42"/>
        <v>4.9000000000000007E-3</v>
      </c>
      <c r="AH343" s="9"/>
      <c r="AI343" s="15" t="e">
        <f>AE343*#REF!</f>
        <v>#REF!</v>
      </c>
    </row>
    <row r="344" spans="2:35" ht="16.5" hidden="1" customHeight="1" outlineLevel="1" x14ac:dyDescent="0.25">
      <c r="C344" s="30" t="s">
        <v>162</v>
      </c>
      <c r="D344" s="30"/>
      <c r="E344" s="14">
        <v>7.0000000000000007E-2</v>
      </c>
      <c r="F344" s="14">
        <v>150</v>
      </c>
      <c r="G344" s="22">
        <f t="shared" si="33"/>
        <v>10.500000000000002</v>
      </c>
      <c r="H344" s="14">
        <v>150</v>
      </c>
      <c r="I344" s="22">
        <f t="shared" si="40"/>
        <v>1575.0000000000002</v>
      </c>
      <c r="J344" s="14">
        <v>150</v>
      </c>
      <c r="K344" s="22">
        <f t="shared" si="41"/>
        <v>236250.00000000003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10"/>
      <c r="AD344" s="9"/>
      <c r="AE344" s="15">
        <v>7.0000000000000007E-2</v>
      </c>
      <c r="AF344" s="9"/>
      <c r="AG344" s="15">
        <f t="shared" si="42"/>
        <v>4.9000000000000007E-3</v>
      </c>
      <c r="AH344" s="9"/>
      <c r="AI344" s="15" t="e">
        <f>AE344*#REF!</f>
        <v>#REF!</v>
      </c>
    </row>
    <row r="345" spans="2:35" ht="16.5" hidden="1" customHeight="1" outlineLevel="1" x14ac:dyDescent="0.25">
      <c r="C345" s="30" t="s">
        <v>161</v>
      </c>
      <c r="D345" s="30"/>
      <c r="E345" s="14">
        <v>7.0000000000000007E-2</v>
      </c>
      <c r="F345" s="14">
        <v>150</v>
      </c>
      <c r="G345" s="22">
        <f t="shared" ref="G345:G378" si="43">F345*E345</f>
        <v>10.500000000000002</v>
      </c>
      <c r="H345" s="14">
        <v>150</v>
      </c>
      <c r="I345" s="22">
        <f t="shared" si="40"/>
        <v>1575.0000000000002</v>
      </c>
      <c r="J345" s="14">
        <v>150</v>
      </c>
      <c r="K345" s="22">
        <f t="shared" si="41"/>
        <v>236250.00000000003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10"/>
      <c r="AD345" s="9"/>
      <c r="AE345" s="15">
        <v>7.0000000000000007E-2</v>
      </c>
      <c r="AF345" s="9"/>
      <c r="AG345" s="15">
        <f t="shared" si="42"/>
        <v>4.9000000000000007E-3</v>
      </c>
      <c r="AH345" s="9"/>
      <c r="AI345" s="15" t="e">
        <f>AE345*#REF!</f>
        <v>#REF!</v>
      </c>
    </row>
    <row r="346" spans="2:35" ht="16.5" hidden="1" customHeight="1" outlineLevel="1" thickBot="1" x14ac:dyDescent="0.3">
      <c r="C346" s="32" t="s">
        <v>163</v>
      </c>
      <c r="D346" s="67"/>
      <c r="E346" s="14">
        <v>7.0000000000000007E-2</v>
      </c>
      <c r="F346" s="16">
        <v>150</v>
      </c>
      <c r="G346" s="29">
        <f t="shared" si="43"/>
        <v>10.500000000000002</v>
      </c>
      <c r="H346" s="16">
        <v>150</v>
      </c>
      <c r="I346" s="29">
        <f t="shared" si="40"/>
        <v>1575.0000000000002</v>
      </c>
      <c r="J346" s="16">
        <v>150</v>
      </c>
      <c r="K346" s="29">
        <f t="shared" si="41"/>
        <v>236250.00000000003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10"/>
      <c r="AD346" s="9"/>
      <c r="AE346" s="17">
        <v>7.0000000000000007E-2</v>
      </c>
      <c r="AF346" s="9"/>
      <c r="AG346" s="17">
        <f t="shared" si="42"/>
        <v>4.9000000000000007E-3</v>
      </c>
      <c r="AH346" s="9"/>
      <c r="AI346" s="17" t="e">
        <f>AE346*#REF!</f>
        <v>#REF!</v>
      </c>
    </row>
    <row r="347" spans="2:35" s="4" customFormat="1" ht="19.5" hidden="1" collapsed="1" thickBot="1" x14ac:dyDescent="0.3">
      <c r="B347" s="71"/>
      <c r="C347" s="33" t="s">
        <v>148</v>
      </c>
      <c r="D347" s="33"/>
      <c r="E347" s="23"/>
      <c r="F347" s="23">
        <f>SUM(F348:F352)</f>
        <v>0</v>
      </c>
      <c r="G347" s="47">
        <f>SUM(G348:G352)</f>
        <v>0</v>
      </c>
      <c r="H347" s="23">
        <f t="shared" ref="H347:K347" si="44">SUM(H348:H352)</f>
        <v>0</v>
      </c>
      <c r="I347" s="47">
        <f t="shared" si="44"/>
        <v>0</v>
      </c>
      <c r="J347" s="23">
        <f t="shared" si="44"/>
        <v>0</v>
      </c>
      <c r="K347" s="47">
        <f t="shared" si="44"/>
        <v>0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8"/>
      <c r="AC347" s="8"/>
      <c r="AD347" s="7"/>
      <c r="AE347" s="18"/>
      <c r="AF347" s="21"/>
      <c r="AG347" s="19">
        <f>SUM(AG348:AG352)</f>
        <v>4.25</v>
      </c>
      <c r="AH347" s="21"/>
      <c r="AI347" s="19" t="e">
        <f>SUM(AI348:AI352)</f>
        <v>#REF!</v>
      </c>
    </row>
    <row r="348" spans="2:35" ht="16.5" hidden="1" customHeight="1" outlineLevel="1" x14ac:dyDescent="0.3">
      <c r="C348" s="31" t="s">
        <v>149</v>
      </c>
      <c r="D348" s="65"/>
      <c r="E348" s="11">
        <v>0.5</v>
      </c>
      <c r="F348" s="11"/>
      <c r="G348" s="28">
        <f t="shared" si="43"/>
        <v>0</v>
      </c>
      <c r="H348" s="11"/>
      <c r="I348" s="28">
        <f t="shared" ref="I348:I352" si="45">H348*G348</f>
        <v>0</v>
      </c>
      <c r="J348" s="11"/>
      <c r="K348" s="28">
        <f t="shared" ref="K348:K352" si="46">J348*I348</f>
        <v>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10"/>
      <c r="AD348" s="9"/>
      <c r="AE348" s="12">
        <v>0.5</v>
      </c>
      <c r="AF348" s="9"/>
      <c r="AG348" s="12">
        <f>AE348*E348</f>
        <v>0.25</v>
      </c>
      <c r="AH348" s="9"/>
      <c r="AI348" s="12" t="e">
        <f>AE348*#REF!</f>
        <v>#REF!</v>
      </c>
    </row>
    <row r="349" spans="2:35" ht="16.5" hidden="1" customHeight="1" outlineLevel="1" x14ac:dyDescent="0.3">
      <c r="C349" s="30" t="s">
        <v>150</v>
      </c>
      <c r="D349" s="30"/>
      <c r="E349" s="14">
        <v>1</v>
      </c>
      <c r="F349" s="14"/>
      <c r="G349" s="22">
        <f t="shared" si="43"/>
        <v>0</v>
      </c>
      <c r="H349" s="14"/>
      <c r="I349" s="22">
        <f t="shared" si="45"/>
        <v>0</v>
      </c>
      <c r="J349" s="14"/>
      <c r="K349" s="22">
        <f t="shared" si="46"/>
        <v>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10"/>
      <c r="AD349" s="9"/>
      <c r="AE349" s="15">
        <v>1</v>
      </c>
      <c r="AF349" s="9"/>
      <c r="AG349" s="15">
        <f>AE349*E349</f>
        <v>1</v>
      </c>
      <c r="AH349" s="9"/>
      <c r="AI349" s="15" t="e">
        <f>AE349*#REF!</f>
        <v>#REF!</v>
      </c>
    </row>
    <row r="350" spans="2:35" ht="16.5" hidden="1" customHeight="1" outlineLevel="1" x14ac:dyDescent="0.3">
      <c r="C350" s="30" t="s">
        <v>151</v>
      </c>
      <c r="D350" s="30"/>
      <c r="E350" s="14">
        <v>1</v>
      </c>
      <c r="F350" s="14"/>
      <c r="G350" s="22">
        <f t="shared" si="43"/>
        <v>0</v>
      </c>
      <c r="H350" s="14"/>
      <c r="I350" s="22">
        <f t="shared" si="45"/>
        <v>0</v>
      </c>
      <c r="J350" s="14"/>
      <c r="K350" s="22">
        <f t="shared" si="46"/>
        <v>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10"/>
      <c r="AD350" s="9"/>
      <c r="AE350" s="15">
        <v>1</v>
      </c>
      <c r="AF350" s="9"/>
      <c r="AG350" s="15">
        <f>AE350*E350</f>
        <v>1</v>
      </c>
      <c r="AH350" s="9"/>
      <c r="AI350" s="15" t="e">
        <f>AE350*#REF!</f>
        <v>#REF!</v>
      </c>
    </row>
    <row r="351" spans="2:35" ht="16.5" hidden="1" customHeight="1" outlineLevel="1" x14ac:dyDescent="0.3">
      <c r="C351" s="30" t="s">
        <v>152</v>
      </c>
      <c r="D351" s="30"/>
      <c r="E351" s="14">
        <v>1</v>
      </c>
      <c r="F351" s="14"/>
      <c r="G351" s="22">
        <f t="shared" si="43"/>
        <v>0</v>
      </c>
      <c r="H351" s="14"/>
      <c r="I351" s="22">
        <f t="shared" si="45"/>
        <v>0</v>
      </c>
      <c r="J351" s="14"/>
      <c r="K351" s="22">
        <f t="shared" si="46"/>
        <v>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10"/>
      <c r="AD351" s="9"/>
      <c r="AE351" s="15">
        <v>1</v>
      </c>
      <c r="AF351" s="9"/>
      <c r="AG351" s="15">
        <f>AE351*E351</f>
        <v>1</v>
      </c>
      <c r="AH351" s="9"/>
      <c r="AI351" s="15" t="e">
        <f>AE351*#REF!</f>
        <v>#REF!</v>
      </c>
    </row>
    <row r="352" spans="2:35" ht="16.5" hidden="1" customHeight="1" outlineLevel="1" thickBot="1" x14ac:dyDescent="0.3">
      <c r="C352" s="32" t="s">
        <v>153</v>
      </c>
      <c r="D352" s="67"/>
      <c r="E352" s="16">
        <v>1</v>
      </c>
      <c r="F352" s="16"/>
      <c r="G352" s="29">
        <f t="shared" si="43"/>
        <v>0</v>
      </c>
      <c r="H352" s="16"/>
      <c r="I352" s="29">
        <f t="shared" si="45"/>
        <v>0</v>
      </c>
      <c r="J352" s="16"/>
      <c r="K352" s="29">
        <f t="shared" si="46"/>
        <v>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10"/>
      <c r="AD352" s="9"/>
      <c r="AE352" s="17">
        <v>1</v>
      </c>
      <c r="AF352" s="9"/>
      <c r="AG352" s="17">
        <f>AE352*E352</f>
        <v>1</v>
      </c>
      <c r="AH352" s="9"/>
      <c r="AI352" s="17" t="e">
        <f>AE352*#REF!</f>
        <v>#REF!</v>
      </c>
    </row>
    <row r="353" spans="2:35" s="4" customFormat="1" ht="19.5" hidden="1" collapsed="1" thickBot="1" x14ac:dyDescent="0.3">
      <c r="B353" s="71"/>
      <c r="C353" s="33" t="s">
        <v>154</v>
      </c>
      <c r="D353" s="33"/>
      <c r="E353" s="23"/>
      <c r="F353" s="23">
        <f>SUM(F354:F356)</f>
        <v>1960</v>
      </c>
      <c r="G353" s="47">
        <f>SUM(G354:G356)</f>
        <v>1364.8</v>
      </c>
      <c r="H353" s="23">
        <f t="shared" ref="H353:K353" si="47">SUM(H354:H356)</f>
        <v>700</v>
      </c>
      <c r="I353" s="47">
        <f t="shared" si="47"/>
        <v>514</v>
      </c>
      <c r="J353" s="23">
        <f t="shared" si="47"/>
        <v>1260</v>
      </c>
      <c r="K353" s="47">
        <f t="shared" si="47"/>
        <v>850.8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8"/>
      <c r="AC353" s="8"/>
      <c r="AD353" s="7"/>
      <c r="AE353" s="18"/>
      <c r="AF353" s="21"/>
      <c r="AG353" s="19">
        <f>SUM(AG354:AG355)</f>
        <v>1.1444000000000001</v>
      </c>
      <c r="AH353" s="21"/>
      <c r="AI353" s="19" t="e">
        <f>SUM(AI354:AI355)</f>
        <v>#REF!</v>
      </c>
    </row>
    <row r="354" spans="2:35" ht="16.5" hidden="1" customHeight="1" outlineLevel="1" thickBot="1" x14ac:dyDescent="0.3">
      <c r="C354" s="31" t="s">
        <v>155</v>
      </c>
      <c r="D354" s="65"/>
      <c r="E354" s="11">
        <v>0.38</v>
      </c>
      <c r="F354" s="54">
        <f>H354+J354</f>
        <v>960</v>
      </c>
      <c r="G354" s="28">
        <f t="shared" si="43"/>
        <v>364.8</v>
      </c>
      <c r="H354" s="119">
        <v>300</v>
      </c>
      <c r="I354" s="120">
        <f>H354*E354</f>
        <v>114</v>
      </c>
      <c r="J354" s="124">
        <v>660</v>
      </c>
      <c r="K354" s="125">
        <f>J354*E354</f>
        <v>250.8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10"/>
      <c r="AD354" s="9"/>
      <c r="AE354" s="12">
        <v>0.38</v>
      </c>
      <c r="AF354" s="9"/>
      <c r="AG354" s="12">
        <f>AE354*E354</f>
        <v>0.1444</v>
      </c>
      <c r="AH354" s="9"/>
      <c r="AI354" s="12" t="e">
        <f>AE354*#REF!</f>
        <v>#REF!</v>
      </c>
    </row>
    <row r="355" spans="2:35" ht="16.5" hidden="1" customHeight="1" outlineLevel="1" thickBot="1" x14ac:dyDescent="0.3">
      <c r="C355" s="30" t="s">
        <v>156</v>
      </c>
      <c r="D355" s="65"/>
      <c r="E355" s="11">
        <v>1</v>
      </c>
      <c r="F355" s="54">
        <f>H355+J355</f>
        <v>1000</v>
      </c>
      <c r="G355" s="22">
        <f t="shared" si="43"/>
        <v>1000</v>
      </c>
      <c r="H355" s="121">
        <v>400</v>
      </c>
      <c r="I355" s="120">
        <f>H355*E355</f>
        <v>400</v>
      </c>
      <c r="J355" s="126">
        <v>600</v>
      </c>
      <c r="K355" s="125">
        <f>J355*E355</f>
        <v>600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10"/>
      <c r="AD355" s="9"/>
      <c r="AE355" s="15">
        <v>1</v>
      </c>
      <c r="AF355" s="9"/>
      <c r="AG355" s="15">
        <f>AE355*E355</f>
        <v>1</v>
      </c>
      <c r="AH355" s="9"/>
      <c r="AI355" s="15" t="e">
        <f>AE355*#REF!</f>
        <v>#REF!</v>
      </c>
    </row>
    <row r="356" spans="2:35" ht="16.5" hidden="1" customHeight="1" outlineLevel="1" thickBot="1" x14ac:dyDescent="0.3">
      <c r="C356" s="60" t="s">
        <v>308</v>
      </c>
      <c r="D356" s="70"/>
      <c r="E356" s="15">
        <v>0.95</v>
      </c>
      <c r="F356" s="15"/>
      <c r="G356" s="29">
        <f t="shared" si="43"/>
        <v>0</v>
      </c>
      <c r="H356" s="15"/>
      <c r="I356" s="29">
        <f t="shared" ref="I356" si="48">H356*G356</f>
        <v>0</v>
      </c>
      <c r="J356" s="15"/>
      <c r="K356" s="29">
        <f t="shared" ref="K356" si="49">J356*I356</f>
        <v>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10"/>
      <c r="AD356" s="9"/>
      <c r="AE356" s="36"/>
      <c r="AF356" s="9"/>
      <c r="AG356" s="15"/>
      <c r="AH356" s="9"/>
      <c r="AI356" s="15"/>
    </row>
    <row r="357" spans="2:35" s="4" customFormat="1" ht="19.5" hidden="1" collapsed="1" thickBot="1" x14ac:dyDescent="0.3">
      <c r="B357" s="71"/>
      <c r="C357" s="66" t="s">
        <v>633</v>
      </c>
      <c r="D357" s="66"/>
      <c r="E357" s="23"/>
      <c r="F357" s="23">
        <f>SUM(F358:F391)</f>
        <v>0</v>
      </c>
      <c r="G357" s="47">
        <f>SUM(G358:G391)</f>
        <v>0</v>
      </c>
      <c r="H357" s="23">
        <f t="shared" ref="H357:K357" si="50">SUM(H358:H391)</f>
        <v>0</v>
      </c>
      <c r="I357" s="47">
        <f t="shared" si="50"/>
        <v>0</v>
      </c>
      <c r="J357" s="23">
        <f t="shared" si="50"/>
        <v>0</v>
      </c>
      <c r="K357" s="47">
        <f t="shared" si="50"/>
        <v>0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8"/>
      <c r="AC357" s="8"/>
      <c r="AD357" s="7"/>
      <c r="AE357" s="18"/>
      <c r="AF357" s="21"/>
      <c r="AG357" s="19">
        <f>SUM(AG358:AG391)</f>
        <v>15.371749999999999</v>
      </c>
      <c r="AH357" s="21"/>
      <c r="AI357" s="19" t="e">
        <f>SUM(AI358:AI391)</f>
        <v>#REF!</v>
      </c>
    </row>
    <row r="358" spans="2:35" ht="16.5" hidden="1" customHeight="1" outlineLevel="1" x14ac:dyDescent="0.3">
      <c r="C358" s="77" t="s">
        <v>634</v>
      </c>
      <c r="D358" s="82">
        <v>8695</v>
      </c>
      <c r="E358" s="80">
        <v>0.25</v>
      </c>
      <c r="F358" s="11"/>
      <c r="G358" s="28">
        <f t="shared" si="43"/>
        <v>0</v>
      </c>
      <c r="H358" s="11"/>
      <c r="I358" s="28">
        <f t="shared" ref="I358:I391" si="51">H358*G358</f>
        <v>0</v>
      </c>
      <c r="J358" s="11"/>
      <c r="K358" s="28">
        <f t="shared" ref="K358:K391" si="52">J358*I358</f>
        <v>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10"/>
      <c r="AD358" s="9"/>
      <c r="AE358" s="12">
        <v>1</v>
      </c>
      <c r="AF358" s="9"/>
      <c r="AG358" s="12">
        <f>AE358*E358</f>
        <v>0.25</v>
      </c>
      <c r="AH358" s="9"/>
      <c r="AI358" s="12" t="e">
        <f>AE358*#REF!</f>
        <v>#REF!</v>
      </c>
    </row>
    <row r="359" spans="2:35" ht="16.5" hidden="1" customHeight="1" outlineLevel="1" x14ac:dyDescent="0.3">
      <c r="C359" s="78" t="s">
        <v>635</v>
      </c>
      <c r="D359" s="83">
        <v>8487</v>
      </c>
      <c r="E359" s="80">
        <v>1</v>
      </c>
      <c r="F359" s="11"/>
      <c r="G359" s="22">
        <f t="shared" si="43"/>
        <v>0</v>
      </c>
      <c r="H359" s="11"/>
      <c r="I359" s="22">
        <f t="shared" si="51"/>
        <v>0</v>
      </c>
      <c r="J359" s="11"/>
      <c r="K359" s="22">
        <f t="shared" si="52"/>
        <v>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10"/>
      <c r="AD359" s="9"/>
      <c r="AE359" s="15"/>
      <c r="AF359" s="9"/>
      <c r="AG359" s="15"/>
      <c r="AH359" s="9"/>
      <c r="AI359" s="15"/>
    </row>
    <row r="360" spans="2:35" ht="16.5" hidden="1" customHeight="1" outlineLevel="1" x14ac:dyDescent="0.3">
      <c r="C360" s="78" t="s">
        <v>636</v>
      </c>
      <c r="D360" s="83">
        <v>7889</v>
      </c>
      <c r="E360" s="80">
        <v>0.4</v>
      </c>
      <c r="F360" s="14"/>
      <c r="G360" s="22">
        <f t="shared" si="43"/>
        <v>0</v>
      </c>
      <c r="H360" s="14"/>
      <c r="I360" s="22">
        <f t="shared" si="51"/>
        <v>0</v>
      </c>
      <c r="J360" s="14"/>
      <c r="K360" s="22">
        <f t="shared" si="52"/>
        <v>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10"/>
      <c r="AD360" s="9"/>
      <c r="AE360" s="15">
        <v>1</v>
      </c>
      <c r="AF360" s="9"/>
      <c r="AG360" s="15">
        <f t="shared" ref="AG360:AG391" si="53">AE360*E360</f>
        <v>0.4</v>
      </c>
      <c r="AH360" s="9"/>
      <c r="AI360" s="15" t="e">
        <f>AE360*#REF!</f>
        <v>#REF!</v>
      </c>
    </row>
    <row r="361" spans="2:35" ht="16.5" hidden="1" customHeight="1" outlineLevel="1" x14ac:dyDescent="0.3">
      <c r="C361" s="78" t="s">
        <v>637</v>
      </c>
      <c r="D361" s="83">
        <v>7323</v>
      </c>
      <c r="E361" s="80">
        <v>0.4</v>
      </c>
      <c r="F361" s="14"/>
      <c r="G361" s="22">
        <f t="shared" si="43"/>
        <v>0</v>
      </c>
      <c r="H361" s="14"/>
      <c r="I361" s="22">
        <f t="shared" si="51"/>
        <v>0</v>
      </c>
      <c r="J361" s="14"/>
      <c r="K361" s="22">
        <f t="shared" si="52"/>
        <v>0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10"/>
      <c r="AD361" s="9"/>
      <c r="AE361" s="15">
        <v>1</v>
      </c>
      <c r="AF361" s="9"/>
      <c r="AG361" s="15">
        <f t="shared" si="53"/>
        <v>0.4</v>
      </c>
      <c r="AH361" s="9"/>
      <c r="AI361" s="15" t="e">
        <f>AE361*#REF!</f>
        <v>#REF!</v>
      </c>
    </row>
    <row r="362" spans="2:35" ht="16.5" hidden="1" customHeight="1" outlineLevel="1" x14ac:dyDescent="0.3">
      <c r="C362" s="78" t="s">
        <v>638</v>
      </c>
      <c r="D362" s="83">
        <v>8704</v>
      </c>
      <c r="E362" s="80">
        <v>0.4</v>
      </c>
      <c r="F362" s="14"/>
      <c r="G362" s="22">
        <f t="shared" si="43"/>
        <v>0</v>
      </c>
      <c r="H362" s="14"/>
      <c r="I362" s="22">
        <f t="shared" si="51"/>
        <v>0</v>
      </c>
      <c r="J362" s="14"/>
      <c r="K362" s="22">
        <f t="shared" si="52"/>
        <v>0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10"/>
      <c r="AD362" s="9"/>
      <c r="AE362" s="15">
        <v>1</v>
      </c>
      <c r="AF362" s="9"/>
      <c r="AG362" s="15">
        <f t="shared" si="53"/>
        <v>0.4</v>
      </c>
      <c r="AH362" s="9"/>
      <c r="AI362" s="15" t="e">
        <f>AE362*#REF!</f>
        <v>#REF!</v>
      </c>
    </row>
    <row r="363" spans="2:35" ht="16.5" hidden="1" customHeight="1" outlineLevel="1" x14ac:dyDescent="0.3">
      <c r="C363" s="78" t="s">
        <v>639</v>
      </c>
      <c r="D363" s="83">
        <v>7325</v>
      </c>
      <c r="E363" s="80">
        <v>1</v>
      </c>
      <c r="F363" s="14"/>
      <c r="G363" s="22">
        <f t="shared" si="43"/>
        <v>0</v>
      </c>
      <c r="H363" s="14"/>
      <c r="I363" s="22">
        <f t="shared" si="51"/>
        <v>0</v>
      </c>
      <c r="J363" s="14"/>
      <c r="K363" s="22">
        <f t="shared" si="52"/>
        <v>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10"/>
      <c r="AD363" s="9"/>
      <c r="AE363" s="15">
        <v>1</v>
      </c>
      <c r="AF363" s="9"/>
      <c r="AG363" s="15">
        <f t="shared" si="53"/>
        <v>1</v>
      </c>
      <c r="AH363" s="9"/>
      <c r="AI363" s="15" t="e">
        <f>AE363*#REF!</f>
        <v>#REF!</v>
      </c>
    </row>
    <row r="364" spans="2:35" ht="16.5" hidden="1" customHeight="1" outlineLevel="1" x14ac:dyDescent="0.3">
      <c r="C364" s="78" t="s">
        <v>640</v>
      </c>
      <c r="D364" s="83">
        <v>7844</v>
      </c>
      <c r="E364" s="80">
        <v>0.4</v>
      </c>
      <c r="F364" s="14"/>
      <c r="G364" s="22">
        <f t="shared" si="43"/>
        <v>0</v>
      </c>
      <c r="H364" s="14"/>
      <c r="I364" s="22">
        <f t="shared" si="51"/>
        <v>0</v>
      </c>
      <c r="J364" s="14"/>
      <c r="K364" s="22">
        <f t="shared" si="52"/>
        <v>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10"/>
      <c r="AD364" s="9"/>
      <c r="AE364" s="15">
        <v>1</v>
      </c>
      <c r="AF364" s="9"/>
      <c r="AG364" s="15">
        <f t="shared" si="53"/>
        <v>0.4</v>
      </c>
      <c r="AH364" s="9"/>
      <c r="AI364" s="15" t="e">
        <f>AE364*#REF!</f>
        <v>#REF!</v>
      </c>
    </row>
    <row r="365" spans="2:35" ht="16.5" hidden="1" customHeight="1" outlineLevel="1" x14ac:dyDescent="0.3">
      <c r="C365" s="78" t="s">
        <v>641</v>
      </c>
      <c r="D365" s="83">
        <v>4267</v>
      </c>
      <c r="E365" s="80">
        <v>1</v>
      </c>
      <c r="F365" s="14"/>
      <c r="G365" s="22">
        <f t="shared" si="43"/>
        <v>0</v>
      </c>
      <c r="H365" s="14"/>
      <c r="I365" s="22">
        <f t="shared" si="51"/>
        <v>0</v>
      </c>
      <c r="J365" s="14"/>
      <c r="K365" s="22">
        <f t="shared" si="52"/>
        <v>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10"/>
      <c r="AD365" s="9"/>
      <c r="AE365" s="15">
        <v>1</v>
      </c>
      <c r="AF365" s="9"/>
      <c r="AG365" s="15">
        <f t="shared" si="53"/>
        <v>1</v>
      </c>
      <c r="AH365" s="9"/>
      <c r="AI365" s="15" t="e">
        <f>AE365*#REF!</f>
        <v>#REF!</v>
      </c>
    </row>
    <row r="366" spans="2:35" ht="16.5" hidden="1" customHeight="1" outlineLevel="1" x14ac:dyDescent="0.3">
      <c r="C366" s="78" t="s">
        <v>642</v>
      </c>
      <c r="D366" s="83">
        <v>7930</v>
      </c>
      <c r="E366" s="80">
        <v>1</v>
      </c>
      <c r="F366" s="14"/>
      <c r="G366" s="22">
        <f t="shared" si="43"/>
        <v>0</v>
      </c>
      <c r="H366" s="14"/>
      <c r="I366" s="22">
        <f t="shared" si="51"/>
        <v>0</v>
      </c>
      <c r="J366" s="14"/>
      <c r="K366" s="22">
        <f t="shared" si="52"/>
        <v>0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10"/>
      <c r="AD366" s="9"/>
      <c r="AE366" s="15">
        <v>1</v>
      </c>
      <c r="AF366" s="9"/>
      <c r="AG366" s="15">
        <f t="shared" si="53"/>
        <v>1</v>
      </c>
      <c r="AH366" s="9"/>
      <c r="AI366" s="15" t="e">
        <f>AE366*#REF!</f>
        <v>#REF!</v>
      </c>
    </row>
    <row r="367" spans="2:35" ht="16.5" hidden="1" customHeight="1" outlineLevel="1" x14ac:dyDescent="0.3">
      <c r="C367" s="78" t="s">
        <v>643</v>
      </c>
      <c r="D367" s="83">
        <v>7902</v>
      </c>
      <c r="E367" s="80">
        <v>1</v>
      </c>
      <c r="F367" s="14"/>
      <c r="G367" s="22">
        <f t="shared" si="43"/>
        <v>0</v>
      </c>
      <c r="H367" s="14"/>
      <c r="I367" s="22">
        <f t="shared" si="51"/>
        <v>0</v>
      </c>
      <c r="J367" s="14"/>
      <c r="K367" s="22">
        <f t="shared" si="52"/>
        <v>0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10"/>
      <c r="AD367" s="9"/>
      <c r="AE367" s="15">
        <v>1</v>
      </c>
      <c r="AF367" s="9"/>
      <c r="AG367" s="15">
        <f t="shared" si="53"/>
        <v>1</v>
      </c>
      <c r="AH367" s="9"/>
      <c r="AI367" s="15" t="e">
        <f>AE367*#REF!</f>
        <v>#REF!</v>
      </c>
    </row>
    <row r="368" spans="2:35" ht="16.5" hidden="1" customHeight="1" outlineLevel="1" x14ac:dyDescent="0.3">
      <c r="C368" s="78" t="s">
        <v>644</v>
      </c>
      <c r="D368" s="83">
        <v>7903</v>
      </c>
      <c r="E368" s="80">
        <v>1</v>
      </c>
      <c r="F368" s="14"/>
      <c r="G368" s="22">
        <f t="shared" si="43"/>
        <v>0</v>
      </c>
      <c r="H368" s="14"/>
      <c r="I368" s="22">
        <f t="shared" si="51"/>
        <v>0</v>
      </c>
      <c r="J368" s="14"/>
      <c r="K368" s="22">
        <f t="shared" si="52"/>
        <v>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10"/>
      <c r="AD368" s="9"/>
      <c r="AE368" s="15">
        <v>2.9000000000000001E-2</v>
      </c>
      <c r="AF368" s="9"/>
      <c r="AG368" s="15">
        <f t="shared" si="53"/>
        <v>2.9000000000000001E-2</v>
      </c>
      <c r="AH368" s="9"/>
      <c r="AI368" s="15" t="e">
        <f>AE368*#REF!</f>
        <v>#REF!</v>
      </c>
    </row>
    <row r="369" spans="3:35" ht="16.5" hidden="1" customHeight="1" outlineLevel="1" x14ac:dyDescent="0.3">
      <c r="C369" s="78" t="s">
        <v>645</v>
      </c>
      <c r="D369" s="83">
        <v>7667</v>
      </c>
      <c r="E369" s="80">
        <v>0.3</v>
      </c>
      <c r="F369" s="14"/>
      <c r="G369" s="22">
        <f t="shared" si="43"/>
        <v>0</v>
      </c>
      <c r="H369" s="14"/>
      <c r="I369" s="22">
        <f t="shared" si="51"/>
        <v>0</v>
      </c>
      <c r="J369" s="14"/>
      <c r="K369" s="22">
        <f t="shared" si="52"/>
        <v>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10"/>
      <c r="AD369" s="9"/>
      <c r="AE369" s="15">
        <v>0.05</v>
      </c>
      <c r="AF369" s="9"/>
      <c r="AG369" s="15">
        <f t="shared" si="53"/>
        <v>1.4999999999999999E-2</v>
      </c>
      <c r="AH369" s="9"/>
      <c r="AI369" s="15" t="e">
        <f>AE369*#REF!</f>
        <v>#REF!</v>
      </c>
    </row>
    <row r="370" spans="3:35" ht="16.5" hidden="1" customHeight="1" outlineLevel="1" x14ac:dyDescent="0.3">
      <c r="C370" s="78" t="s">
        <v>646</v>
      </c>
      <c r="D370" s="83">
        <v>7365</v>
      </c>
      <c r="E370" s="80">
        <v>1</v>
      </c>
      <c r="F370" s="14"/>
      <c r="G370" s="22">
        <f t="shared" si="43"/>
        <v>0</v>
      </c>
      <c r="H370" s="14"/>
      <c r="I370" s="22">
        <f t="shared" si="51"/>
        <v>0</v>
      </c>
      <c r="J370" s="14"/>
      <c r="K370" s="22">
        <f t="shared" si="52"/>
        <v>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10"/>
      <c r="AD370" s="9"/>
      <c r="AE370" s="15">
        <v>0.03</v>
      </c>
      <c r="AF370" s="9"/>
      <c r="AG370" s="15">
        <f t="shared" si="53"/>
        <v>0.03</v>
      </c>
      <c r="AH370" s="9"/>
      <c r="AI370" s="15" t="e">
        <f>AE370*#REF!</f>
        <v>#REF!</v>
      </c>
    </row>
    <row r="371" spans="3:35" ht="16.5" hidden="1" customHeight="1" outlineLevel="1" x14ac:dyDescent="0.3">
      <c r="C371" s="78" t="s">
        <v>647</v>
      </c>
      <c r="D371" s="83">
        <v>7551</v>
      </c>
      <c r="E371" s="80">
        <v>0.68</v>
      </c>
      <c r="F371" s="14"/>
      <c r="G371" s="22">
        <f t="shared" si="43"/>
        <v>0</v>
      </c>
      <c r="H371" s="14"/>
      <c r="I371" s="22">
        <f t="shared" si="51"/>
        <v>0</v>
      </c>
      <c r="J371" s="14"/>
      <c r="K371" s="22">
        <f t="shared" si="52"/>
        <v>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10"/>
      <c r="AD371" s="9"/>
      <c r="AE371" s="15">
        <v>1</v>
      </c>
      <c r="AF371" s="9"/>
      <c r="AG371" s="15">
        <f t="shared" si="53"/>
        <v>0.68</v>
      </c>
      <c r="AH371" s="9"/>
      <c r="AI371" s="15" t="e">
        <f>AE371*#REF!</f>
        <v>#REF!</v>
      </c>
    </row>
    <row r="372" spans="3:35" ht="16.5" hidden="1" customHeight="1" outlineLevel="1" x14ac:dyDescent="0.3">
      <c r="C372" s="78" t="s">
        <v>648</v>
      </c>
      <c r="D372" s="83">
        <v>4671</v>
      </c>
      <c r="E372" s="80">
        <v>1</v>
      </c>
      <c r="F372" s="14"/>
      <c r="G372" s="22">
        <f t="shared" si="43"/>
        <v>0</v>
      </c>
      <c r="H372" s="14"/>
      <c r="I372" s="22">
        <f t="shared" si="51"/>
        <v>0</v>
      </c>
      <c r="J372" s="14"/>
      <c r="K372" s="22">
        <f t="shared" si="52"/>
        <v>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10"/>
      <c r="AD372" s="9"/>
      <c r="AE372" s="15">
        <v>1</v>
      </c>
      <c r="AF372" s="9"/>
      <c r="AG372" s="15">
        <f t="shared" si="53"/>
        <v>1</v>
      </c>
      <c r="AH372" s="9"/>
      <c r="AI372" s="15" t="e">
        <f>AE372*#REF!</f>
        <v>#REF!</v>
      </c>
    </row>
    <row r="373" spans="3:35" ht="16.5" hidden="1" customHeight="1" outlineLevel="1" x14ac:dyDescent="0.3">
      <c r="C373" s="78" t="s">
        <v>649</v>
      </c>
      <c r="D373" s="83">
        <v>8685</v>
      </c>
      <c r="E373" s="80">
        <v>0.25</v>
      </c>
      <c r="F373" s="14"/>
      <c r="G373" s="22">
        <f t="shared" si="43"/>
        <v>0</v>
      </c>
      <c r="H373" s="14"/>
      <c r="I373" s="22">
        <f t="shared" si="51"/>
        <v>0</v>
      </c>
      <c r="J373" s="14"/>
      <c r="K373" s="22">
        <f t="shared" si="52"/>
        <v>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10"/>
      <c r="AD373" s="9"/>
      <c r="AE373" s="15">
        <v>0.23499999999999999</v>
      </c>
      <c r="AF373" s="9"/>
      <c r="AG373" s="15">
        <f t="shared" si="53"/>
        <v>5.8749999999999997E-2</v>
      </c>
      <c r="AH373" s="9"/>
      <c r="AI373" s="15" t="e">
        <f>AE373*#REF!</f>
        <v>#REF!</v>
      </c>
    </row>
    <row r="374" spans="3:35" ht="16.5" hidden="1" customHeight="1" outlineLevel="1" x14ac:dyDescent="0.3">
      <c r="C374" s="78" t="s">
        <v>650</v>
      </c>
      <c r="D374" s="83">
        <v>8469</v>
      </c>
      <c r="E374" s="80">
        <v>1</v>
      </c>
      <c r="F374" s="14"/>
      <c r="G374" s="22">
        <f t="shared" si="43"/>
        <v>0</v>
      </c>
      <c r="H374" s="14"/>
      <c r="I374" s="22">
        <f t="shared" si="51"/>
        <v>0</v>
      </c>
      <c r="J374" s="14"/>
      <c r="K374" s="22">
        <f t="shared" si="52"/>
        <v>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10"/>
      <c r="AD374" s="9"/>
      <c r="AE374" s="15">
        <v>0.23200000000000001</v>
      </c>
      <c r="AF374" s="9"/>
      <c r="AG374" s="15">
        <f t="shared" si="53"/>
        <v>0.23200000000000001</v>
      </c>
      <c r="AH374" s="9"/>
      <c r="AI374" s="15" t="e">
        <f>AE374*#REF!</f>
        <v>#REF!</v>
      </c>
    </row>
    <row r="375" spans="3:35" ht="16.5" hidden="1" customHeight="1" outlineLevel="1" x14ac:dyDescent="0.3">
      <c r="C375" s="78" t="s">
        <v>651</v>
      </c>
      <c r="D375" s="83">
        <v>8701</v>
      </c>
      <c r="E375" s="80">
        <v>0.2</v>
      </c>
      <c r="F375" s="14"/>
      <c r="G375" s="22">
        <f t="shared" si="43"/>
        <v>0</v>
      </c>
      <c r="H375" s="14"/>
      <c r="I375" s="22">
        <f t="shared" si="51"/>
        <v>0</v>
      </c>
      <c r="J375" s="14"/>
      <c r="K375" s="22">
        <f t="shared" si="52"/>
        <v>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10"/>
      <c r="AD375" s="9"/>
      <c r="AE375" s="15">
        <v>1</v>
      </c>
      <c r="AF375" s="9"/>
      <c r="AG375" s="15">
        <f t="shared" si="53"/>
        <v>0.2</v>
      </c>
      <c r="AH375" s="9"/>
      <c r="AI375" s="15" t="e">
        <f>AE375*#REF!</f>
        <v>#REF!</v>
      </c>
    </row>
    <row r="376" spans="3:35" ht="16.5" hidden="1" customHeight="1" outlineLevel="1" x14ac:dyDescent="0.3">
      <c r="C376" s="78" t="s">
        <v>652</v>
      </c>
      <c r="D376" s="83">
        <v>8694</v>
      </c>
      <c r="E376" s="80">
        <v>1</v>
      </c>
      <c r="F376" s="14"/>
      <c r="G376" s="22">
        <f t="shared" si="43"/>
        <v>0</v>
      </c>
      <c r="H376" s="14"/>
      <c r="I376" s="22">
        <f t="shared" si="51"/>
        <v>0</v>
      </c>
      <c r="J376" s="14"/>
      <c r="K376" s="22">
        <f t="shared" si="52"/>
        <v>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10"/>
      <c r="AD376" s="9"/>
      <c r="AE376" s="15">
        <v>1</v>
      </c>
      <c r="AF376" s="9"/>
      <c r="AG376" s="15">
        <f t="shared" si="53"/>
        <v>1</v>
      </c>
      <c r="AH376" s="9"/>
      <c r="AI376" s="15" t="e">
        <f>AE376*#REF!</f>
        <v>#REF!</v>
      </c>
    </row>
    <row r="377" spans="3:35" ht="16.5" hidden="1" customHeight="1" outlineLevel="1" x14ac:dyDescent="0.3">
      <c r="C377" s="78" t="s">
        <v>653</v>
      </c>
      <c r="D377" s="83">
        <v>8686</v>
      </c>
      <c r="E377" s="80">
        <v>1</v>
      </c>
      <c r="F377" s="14"/>
      <c r="G377" s="22">
        <f t="shared" si="43"/>
        <v>0</v>
      </c>
      <c r="H377" s="14"/>
      <c r="I377" s="22">
        <f t="shared" si="51"/>
        <v>0</v>
      </c>
      <c r="J377" s="14"/>
      <c r="K377" s="22">
        <f t="shared" si="52"/>
        <v>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10"/>
      <c r="AD377" s="9"/>
      <c r="AE377" s="15">
        <v>1</v>
      </c>
      <c r="AF377" s="9"/>
      <c r="AG377" s="15">
        <f t="shared" si="53"/>
        <v>1</v>
      </c>
      <c r="AH377" s="9"/>
      <c r="AI377" s="15" t="e">
        <f>AE377*#REF!</f>
        <v>#REF!</v>
      </c>
    </row>
    <row r="378" spans="3:35" ht="16.5" hidden="1" customHeight="1" outlineLevel="1" x14ac:dyDescent="0.3">
      <c r="C378" s="78" t="s">
        <v>654</v>
      </c>
      <c r="D378" s="83">
        <v>8598</v>
      </c>
      <c r="E378" s="80">
        <v>0.25</v>
      </c>
      <c r="F378" s="14"/>
      <c r="G378" s="22">
        <f t="shared" si="43"/>
        <v>0</v>
      </c>
      <c r="H378" s="14"/>
      <c r="I378" s="22">
        <f t="shared" si="51"/>
        <v>0</v>
      </c>
      <c r="J378" s="14"/>
      <c r="K378" s="22">
        <f t="shared" si="52"/>
        <v>0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10"/>
      <c r="AD378" s="9"/>
      <c r="AE378" s="15">
        <v>1</v>
      </c>
      <c r="AF378" s="9"/>
      <c r="AG378" s="15">
        <f t="shared" si="53"/>
        <v>0.25</v>
      </c>
      <c r="AH378" s="9"/>
      <c r="AI378" s="15" t="e">
        <f>AE378*#REF!</f>
        <v>#REF!</v>
      </c>
    </row>
    <row r="379" spans="3:35" ht="16.5" hidden="1" customHeight="1" outlineLevel="1" x14ac:dyDescent="0.3">
      <c r="C379" s="78" t="s">
        <v>655</v>
      </c>
      <c r="D379" s="83">
        <v>8599</v>
      </c>
      <c r="E379" s="80">
        <v>0.25</v>
      </c>
      <c r="F379" s="14"/>
      <c r="G379" s="22">
        <f t="shared" ref="G379:G391" si="54">F379*E379</f>
        <v>0</v>
      </c>
      <c r="H379" s="14"/>
      <c r="I379" s="22">
        <f t="shared" si="51"/>
        <v>0</v>
      </c>
      <c r="J379" s="14"/>
      <c r="K379" s="22">
        <f t="shared" si="52"/>
        <v>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10"/>
      <c r="AD379" s="9"/>
      <c r="AE379" s="15">
        <v>1</v>
      </c>
      <c r="AF379" s="9"/>
      <c r="AG379" s="15">
        <f t="shared" si="53"/>
        <v>0.25</v>
      </c>
      <c r="AH379" s="9"/>
      <c r="AI379" s="15" t="e">
        <f>AE379*#REF!</f>
        <v>#REF!</v>
      </c>
    </row>
    <row r="380" spans="3:35" ht="16.5" hidden="1" customHeight="1" outlineLevel="1" x14ac:dyDescent="0.3">
      <c r="C380" s="78" t="s">
        <v>656</v>
      </c>
      <c r="D380" s="83">
        <v>5352</v>
      </c>
      <c r="E380" s="80">
        <v>1</v>
      </c>
      <c r="F380" s="14"/>
      <c r="G380" s="22">
        <f t="shared" si="54"/>
        <v>0</v>
      </c>
      <c r="H380" s="14"/>
      <c r="I380" s="22">
        <f t="shared" si="51"/>
        <v>0</v>
      </c>
      <c r="J380" s="14"/>
      <c r="K380" s="22">
        <f t="shared" si="52"/>
        <v>0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10"/>
      <c r="AD380" s="9"/>
      <c r="AE380" s="15">
        <v>1</v>
      </c>
      <c r="AF380" s="9"/>
      <c r="AG380" s="15">
        <f t="shared" si="53"/>
        <v>1</v>
      </c>
      <c r="AH380" s="9"/>
      <c r="AI380" s="15" t="e">
        <f>AE380*#REF!</f>
        <v>#REF!</v>
      </c>
    </row>
    <row r="381" spans="3:35" ht="16.5" hidden="1" customHeight="1" outlineLevel="1" x14ac:dyDescent="0.3">
      <c r="C381" s="78" t="s">
        <v>657</v>
      </c>
      <c r="D381" s="83">
        <v>5411</v>
      </c>
      <c r="E381" s="80">
        <v>0.25</v>
      </c>
      <c r="F381" s="14"/>
      <c r="G381" s="22">
        <f t="shared" si="54"/>
        <v>0</v>
      </c>
      <c r="H381" s="14"/>
      <c r="I381" s="22">
        <f t="shared" si="51"/>
        <v>0</v>
      </c>
      <c r="J381" s="14"/>
      <c r="K381" s="22">
        <f t="shared" si="52"/>
        <v>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10"/>
      <c r="AD381" s="9"/>
      <c r="AE381" s="15">
        <v>1</v>
      </c>
      <c r="AF381" s="9"/>
      <c r="AG381" s="15">
        <f t="shared" si="53"/>
        <v>0.25</v>
      </c>
      <c r="AH381" s="9"/>
      <c r="AI381" s="15" t="e">
        <f>AE381*#REF!</f>
        <v>#REF!</v>
      </c>
    </row>
    <row r="382" spans="3:35" ht="16.5" hidden="1" customHeight="1" outlineLevel="1" x14ac:dyDescent="0.3">
      <c r="C382" s="78" t="s">
        <v>658</v>
      </c>
      <c r="D382" s="83">
        <v>5388</v>
      </c>
      <c r="E382" s="80">
        <v>1</v>
      </c>
      <c r="F382" s="14"/>
      <c r="G382" s="22">
        <f t="shared" si="54"/>
        <v>0</v>
      </c>
      <c r="H382" s="14"/>
      <c r="I382" s="22">
        <f t="shared" si="51"/>
        <v>0</v>
      </c>
      <c r="J382" s="14"/>
      <c r="K382" s="22">
        <f t="shared" si="52"/>
        <v>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10"/>
      <c r="AD382" s="9"/>
      <c r="AE382" s="15">
        <v>0.4</v>
      </c>
      <c r="AF382" s="9"/>
      <c r="AG382" s="15">
        <f t="shared" si="53"/>
        <v>0.4</v>
      </c>
      <c r="AH382" s="9"/>
      <c r="AI382" s="15" t="e">
        <f>AE382*#REF!</f>
        <v>#REF!</v>
      </c>
    </row>
    <row r="383" spans="3:35" ht="16.5" hidden="1" customHeight="1" outlineLevel="1" x14ac:dyDescent="0.3">
      <c r="C383" s="78" t="s">
        <v>659</v>
      </c>
      <c r="D383" s="83">
        <v>5389</v>
      </c>
      <c r="E383" s="80">
        <v>0.28000000000000003</v>
      </c>
      <c r="F383" s="14"/>
      <c r="G383" s="22">
        <f t="shared" si="54"/>
        <v>0</v>
      </c>
      <c r="H383" s="14"/>
      <c r="I383" s="22">
        <f t="shared" si="51"/>
        <v>0</v>
      </c>
      <c r="J383" s="14"/>
      <c r="K383" s="22">
        <f t="shared" si="52"/>
        <v>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10"/>
      <c r="AD383" s="9"/>
      <c r="AE383" s="15">
        <v>0.7</v>
      </c>
      <c r="AF383" s="9"/>
      <c r="AG383" s="15">
        <f t="shared" si="53"/>
        <v>0.19600000000000001</v>
      </c>
      <c r="AH383" s="9"/>
      <c r="AI383" s="15" t="e">
        <f>AE383*#REF!</f>
        <v>#REF!</v>
      </c>
    </row>
    <row r="384" spans="3:35" ht="16.5" hidden="1" customHeight="1" outlineLevel="1" x14ac:dyDescent="0.3">
      <c r="C384" s="78" t="s">
        <v>660</v>
      </c>
      <c r="D384" s="83">
        <v>5453</v>
      </c>
      <c r="E384" s="80">
        <v>0.33</v>
      </c>
      <c r="F384" s="14"/>
      <c r="G384" s="22">
        <f t="shared" si="54"/>
        <v>0</v>
      </c>
      <c r="H384" s="14"/>
      <c r="I384" s="22">
        <f t="shared" si="51"/>
        <v>0</v>
      </c>
      <c r="J384" s="14"/>
      <c r="K384" s="22">
        <f t="shared" si="52"/>
        <v>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10"/>
      <c r="AD384" s="9"/>
      <c r="AE384" s="15">
        <v>0.7</v>
      </c>
      <c r="AF384" s="9"/>
      <c r="AG384" s="15">
        <f t="shared" si="53"/>
        <v>0.23099999999999998</v>
      </c>
      <c r="AH384" s="9"/>
      <c r="AI384" s="15" t="e">
        <f>AE384*#REF!</f>
        <v>#REF!</v>
      </c>
    </row>
    <row r="385" spans="2:35" ht="16.5" hidden="1" customHeight="1" outlineLevel="1" x14ac:dyDescent="0.3">
      <c r="C385" s="78" t="s">
        <v>661</v>
      </c>
      <c r="D385" s="83">
        <v>7865</v>
      </c>
      <c r="E385" s="80">
        <v>0.4</v>
      </c>
      <c r="F385" s="14"/>
      <c r="G385" s="22">
        <f t="shared" si="54"/>
        <v>0</v>
      </c>
      <c r="H385" s="14"/>
      <c r="I385" s="22">
        <f t="shared" si="51"/>
        <v>0</v>
      </c>
      <c r="J385" s="14"/>
      <c r="K385" s="22">
        <f t="shared" si="52"/>
        <v>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10"/>
      <c r="AD385" s="9"/>
      <c r="AE385" s="15">
        <v>0.5</v>
      </c>
      <c r="AF385" s="9"/>
      <c r="AG385" s="15">
        <f t="shared" si="53"/>
        <v>0.2</v>
      </c>
      <c r="AH385" s="9"/>
      <c r="AI385" s="15" t="e">
        <f>AE385*#REF!</f>
        <v>#REF!</v>
      </c>
    </row>
    <row r="386" spans="2:35" ht="16.5" hidden="1" customHeight="1" outlineLevel="1" x14ac:dyDescent="0.3">
      <c r="C386" s="78" t="s">
        <v>662</v>
      </c>
      <c r="D386" s="83">
        <v>4587</v>
      </c>
      <c r="E386" s="80">
        <v>1</v>
      </c>
      <c r="F386" s="14"/>
      <c r="G386" s="22">
        <f t="shared" si="54"/>
        <v>0</v>
      </c>
      <c r="H386" s="14"/>
      <c r="I386" s="22">
        <f t="shared" si="51"/>
        <v>0</v>
      </c>
      <c r="J386" s="14"/>
      <c r="K386" s="22">
        <f t="shared" si="52"/>
        <v>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10"/>
      <c r="AD386" s="9"/>
      <c r="AE386" s="15">
        <v>0.5</v>
      </c>
      <c r="AF386" s="9"/>
      <c r="AG386" s="15">
        <f t="shared" si="53"/>
        <v>0.5</v>
      </c>
      <c r="AH386" s="9"/>
      <c r="AI386" s="15" t="e">
        <f>AE386*#REF!</f>
        <v>#REF!</v>
      </c>
    </row>
    <row r="387" spans="2:35" ht="16.5" hidden="1" customHeight="1" outlineLevel="1" x14ac:dyDescent="0.3">
      <c r="C387" s="78" t="s">
        <v>663</v>
      </c>
      <c r="D387" s="83">
        <v>7164</v>
      </c>
      <c r="E387" s="80">
        <v>1</v>
      </c>
      <c r="F387" s="14"/>
      <c r="G387" s="22">
        <f t="shared" si="54"/>
        <v>0</v>
      </c>
      <c r="H387" s="14"/>
      <c r="I387" s="22">
        <f t="shared" si="51"/>
        <v>0</v>
      </c>
      <c r="J387" s="14"/>
      <c r="K387" s="22">
        <f t="shared" si="52"/>
        <v>0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10"/>
      <c r="AD387" s="9"/>
      <c r="AE387" s="15">
        <v>0.5</v>
      </c>
      <c r="AF387" s="9"/>
      <c r="AG387" s="15">
        <f t="shared" si="53"/>
        <v>0.5</v>
      </c>
      <c r="AH387" s="9"/>
      <c r="AI387" s="15" t="e">
        <f>AE387*#REF!</f>
        <v>#REF!</v>
      </c>
    </row>
    <row r="388" spans="2:35" ht="16.5" hidden="1" customHeight="1" outlineLevel="1" x14ac:dyDescent="0.3">
      <c r="C388" s="78" t="s">
        <v>664</v>
      </c>
      <c r="D388" s="83">
        <v>4955</v>
      </c>
      <c r="E388" s="80">
        <v>1</v>
      </c>
      <c r="F388" s="14"/>
      <c r="G388" s="22">
        <f t="shared" si="54"/>
        <v>0</v>
      </c>
      <c r="H388" s="14"/>
      <c r="I388" s="22">
        <f t="shared" si="51"/>
        <v>0</v>
      </c>
      <c r="J388" s="14"/>
      <c r="K388" s="22">
        <f t="shared" si="52"/>
        <v>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10"/>
      <c r="AD388" s="9"/>
      <c r="AE388" s="15">
        <v>0.5</v>
      </c>
      <c r="AF388" s="9"/>
      <c r="AG388" s="15">
        <f t="shared" si="53"/>
        <v>0.5</v>
      </c>
      <c r="AH388" s="9"/>
      <c r="AI388" s="15" t="e">
        <f>AE388*#REF!</f>
        <v>#REF!</v>
      </c>
    </row>
    <row r="389" spans="2:35" ht="16.5" hidden="1" customHeight="1" outlineLevel="1" x14ac:dyDescent="0.3">
      <c r="C389" s="115" t="s">
        <v>675</v>
      </c>
      <c r="D389" s="116">
        <v>5428</v>
      </c>
      <c r="E389" s="80">
        <v>1</v>
      </c>
      <c r="F389" s="14"/>
      <c r="G389" s="22">
        <f t="shared" si="54"/>
        <v>0</v>
      </c>
      <c r="H389" s="14"/>
      <c r="I389" s="22">
        <f t="shared" si="51"/>
        <v>0</v>
      </c>
      <c r="J389" s="14"/>
      <c r="K389" s="22">
        <f t="shared" si="52"/>
        <v>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10"/>
      <c r="AD389" s="9"/>
      <c r="AE389" s="15"/>
      <c r="AF389" s="9"/>
      <c r="AG389" s="15"/>
      <c r="AH389" s="9"/>
      <c r="AI389" s="15"/>
    </row>
    <row r="390" spans="2:35" ht="16.5" hidden="1" customHeight="1" outlineLevel="1" x14ac:dyDescent="0.3">
      <c r="C390" s="78" t="s">
        <v>676</v>
      </c>
      <c r="D390" s="83">
        <v>8245</v>
      </c>
      <c r="E390" s="80">
        <v>1</v>
      </c>
      <c r="F390" s="14"/>
      <c r="G390" s="22">
        <f t="shared" si="54"/>
        <v>0</v>
      </c>
      <c r="H390" s="14"/>
      <c r="I390" s="22">
        <f t="shared" si="51"/>
        <v>0</v>
      </c>
      <c r="J390" s="14"/>
      <c r="K390" s="22">
        <f t="shared" si="52"/>
        <v>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10"/>
      <c r="AD390" s="9"/>
      <c r="AE390" s="15"/>
      <c r="AF390" s="9"/>
      <c r="AG390" s="15"/>
      <c r="AH390" s="9"/>
      <c r="AI390" s="15"/>
    </row>
    <row r="391" spans="2:35" ht="16.5" hidden="1" customHeight="1" outlineLevel="1" thickBot="1" x14ac:dyDescent="0.3">
      <c r="C391" s="79" t="s">
        <v>665</v>
      </c>
      <c r="D391" s="84">
        <v>4956</v>
      </c>
      <c r="E391" s="80">
        <v>1</v>
      </c>
      <c r="F391" s="14"/>
      <c r="G391" s="22">
        <f t="shared" si="54"/>
        <v>0</v>
      </c>
      <c r="H391" s="14"/>
      <c r="I391" s="22">
        <f t="shared" si="51"/>
        <v>0</v>
      </c>
      <c r="J391" s="14"/>
      <c r="K391" s="22">
        <f t="shared" si="52"/>
        <v>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10"/>
      <c r="AD391" s="9"/>
      <c r="AE391" s="15">
        <v>1</v>
      </c>
      <c r="AF391" s="9"/>
      <c r="AG391" s="15">
        <f t="shared" si="53"/>
        <v>1</v>
      </c>
      <c r="AH391" s="9"/>
      <c r="AI391" s="15" t="e">
        <f>AE391*#REF!</f>
        <v>#REF!</v>
      </c>
    </row>
    <row r="392" spans="2:35" s="4" customFormat="1" ht="19.5" hidden="1" collapsed="1" thickBot="1" x14ac:dyDescent="0.3">
      <c r="B392" s="72"/>
      <c r="C392" s="23" t="s">
        <v>666</v>
      </c>
      <c r="D392" s="23"/>
      <c r="E392" s="23"/>
      <c r="F392" s="23">
        <f>SUM(F393:F397)</f>
        <v>0</v>
      </c>
      <c r="G392" s="27">
        <f>SUM(G393:G397)</f>
        <v>0</v>
      </c>
      <c r="H392" s="23">
        <f t="shared" ref="H392:K392" si="55">SUM(H393:H397)</f>
        <v>0</v>
      </c>
      <c r="I392" s="27">
        <f t="shared" si="55"/>
        <v>0</v>
      </c>
      <c r="J392" s="23">
        <f t="shared" si="55"/>
        <v>0</v>
      </c>
      <c r="K392" s="27">
        <f t="shared" si="55"/>
        <v>0</v>
      </c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3"/>
      <c r="AC392" s="103"/>
      <c r="AD392" s="102"/>
      <c r="AE392" s="102"/>
      <c r="AF392" s="102"/>
      <c r="AG392" s="102"/>
      <c r="AH392" s="102"/>
      <c r="AI392" s="102"/>
    </row>
    <row r="393" spans="2:35" ht="16.5" hidden="1" customHeight="1" outlineLevel="1" x14ac:dyDescent="0.3">
      <c r="C393" s="85" t="s">
        <v>667</v>
      </c>
      <c r="D393" s="88"/>
      <c r="E393" s="97">
        <v>0.25</v>
      </c>
      <c r="F393" s="93"/>
      <c r="G393" s="100">
        <f>F393*E393</f>
        <v>0</v>
      </c>
      <c r="H393" s="93"/>
      <c r="I393" s="100">
        <f t="shared" ref="I393:I397" si="56">H393*G393</f>
        <v>0</v>
      </c>
      <c r="J393" s="93"/>
      <c r="K393" s="100">
        <f t="shared" ref="K393:K397" si="57">J393*I393</f>
        <v>0</v>
      </c>
    </row>
    <row r="394" spans="2:35" ht="16.5" hidden="1" customHeight="1" outlineLevel="1" x14ac:dyDescent="0.3">
      <c r="C394" s="86" t="s">
        <v>668</v>
      </c>
      <c r="D394" s="89"/>
      <c r="E394" s="98">
        <v>0.3</v>
      </c>
      <c r="F394" s="94"/>
      <c r="G394" s="22">
        <f t="shared" ref="G394:G397" si="58">F394*E394</f>
        <v>0</v>
      </c>
      <c r="H394" s="94"/>
      <c r="I394" s="22">
        <f t="shared" si="56"/>
        <v>0</v>
      </c>
      <c r="J394" s="94"/>
      <c r="K394" s="22">
        <f t="shared" si="57"/>
        <v>0</v>
      </c>
    </row>
    <row r="395" spans="2:35" ht="16.5" hidden="1" customHeight="1" outlineLevel="1" x14ac:dyDescent="0.3">
      <c r="C395" s="86" t="s">
        <v>669</v>
      </c>
      <c r="D395" s="89"/>
      <c r="E395" s="98">
        <v>0.25</v>
      </c>
      <c r="F395" s="94"/>
      <c r="G395" s="22">
        <f t="shared" si="58"/>
        <v>0</v>
      </c>
      <c r="H395" s="94"/>
      <c r="I395" s="22">
        <f t="shared" si="56"/>
        <v>0</v>
      </c>
      <c r="J395" s="94"/>
      <c r="K395" s="22">
        <f t="shared" si="57"/>
        <v>0</v>
      </c>
    </row>
    <row r="396" spans="2:35" ht="16.5" hidden="1" customHeight="1" outlineLevel="1" x14ac:dyDescent="0.3">
      <c r="C396" s="86" t="s">
        <v>670</v>
      </c>
      <c r="D396" s="89"/>
      <c r="E396" s="98">
        <v>0.25</v>
      </c>
      <c r="F396" s="94"/>
      <c r="G396" s="22">
        <f t="shared" si="58"/>
        <v>0</v>
      </c>
      <c r="H396" s="94"/>
      <c r="I396" s="22">
        <f t="shared" si="56"/>
        <v>0</v>
      </c>
      <c r="J396" s="94"/>
      <c r="K396" s="22">
        <f t="shared" si="57"/>
        <v>0</v>
      </c>
    </row>
    <row r="397" spans="2:35" ht="16.5" hidden="1" customHeight="1" outlineLevel="1" thickBot="1" x14ac:dyDescent="0.3">
      <c r="C397" s="87" t="s">
        <v>671</v>
      </c>
      <c r="D397" s="90"/>
      <c r="E397" s="99">
        <v>0.25</v>
      </c>
      <c r="F397" s="95"/>
      <c r="G397" s="101">
        <f t="shared" si="58"/>
        <v>0</v>
      </c>
      <c r="H397" s="95"/>
      <c r="I397" s="101">
        <f t="shared" si="56"/>
        <v>0</v>
      </c>
      <c r="J397" s="95"/>
      <c r="K397" s="101">
        <f t="shared" si="57"/>
        <v>0</v>
      </c>
    </row>
    <row r="398" spans="2:35" ht="19.5" hidden="1" thickBot="1" x14ac:dyDescent="0.3">
      <c r="C398" s="96"/>
      <c r="D398" s="81"/>
      <c r="E398" s="91"/>
      <c r="F398" s="92">
        <f>F353+F178</f>
        <v>2900</v>
      </c>
      <c r="G398" s="91">
        <f>G353+G178</f>
        <v>2004.8</v>
      </c>
      <c r="H398" s="92">
        <f>H392+H357+H353+H347+H340+H318+H263+H178+H3</f>
        <v>3198</v>
      </c>
      <c r="I398" s="91">
        <f>I392+I357+I353+I347+I340+I318+I263+I178+I3</f>
        <v>13434.600000000002</v>
      </c>
      <c r="J398" s="92">
        <f>J392+J357+J353+J347+J340+J318+J263+J178+J3</f>
        <v>9034</v>
      </c>
      <c r="K398" s="91">
        <f>K392+K357+K353+K347+K340+K318+K263+K178+K3</f>
        <v>1939329.4000000004</v>
      </c>
      <c r="AE398" s="24"/>
      <c r="AF398" s="24"/>
      <c r="AG398" s="24"/>
      <c r="AH398" s="24"/>
      <c r="AI398" s="24"/>
    </row>
    <row r="399" spans="2:35" hidden="1" x14ac:dyDescent="0.25"/>
  </sheetData>
  <autoFilter ref="F1:F399" xr:uid="{8A31A8C4-DCBE-4E94-B925-0F3DC6121EBF}">
    <filterColumn colId="0">
      <filters>
        <filter val="100"/>
        <filter val="1000"/>
        <filter val="15"/>
        <filter val="150"/>
        <filter val="180"/>
        <filter val="1960"/>
        <filter val="20"/>
        <filter val="24"/>
        <filter val="2900"/>
        <filter val="30"/>
        <filter val="360"/>
        <filter val="40"/>
        <filter val="400"/>
        <filter val="45"/>
        <filter val="480"/>
        <filter val="50"/>
        <filter val="60"/>
        <filter val="600"/>
        <filter val="7352"/>
        <filter val="80"/>
        <filter val="940"/>
        <filter val="960"/>
        <filter val="990"/>
        <filter val="Заказ"/>
      </filters>
    </filterColumn>
  </autoFilter>
  <sortState xmlns:xlrd2="http://schemas.microsoft.com/office/spreadsheetml/2017/richdata2" ref="C4:G177">
    <sortCondition ref="C4"/>
  </sortState>
  <mergeCells count="6">
    <mergeCell ref="F1:G1"/>
    <mergeCell ref="N34:V34"/>
    <mergeCell ref="N35:V35"/>
    <mergeCell ref="N31:V31"/>
    <mergeCell ref="H1:I1"/>
    <mergeCell ref="J1:K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2026-01-19T11:31:15Z</dcterms:modified>
</cp:coreProperties>
</file>