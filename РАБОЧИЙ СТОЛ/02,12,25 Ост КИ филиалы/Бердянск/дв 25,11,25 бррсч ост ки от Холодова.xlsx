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филиалы и опт\2025\11,25\25,11,25 Ост КИ филиалы\"/>
    </mc:Choice>
  </mc:AlternateContent>
  <xr:revisionPtr revIDLastSave="0" documentId="13_ncr:1_{EAA33FB2-3667-418B-8343-A332F68A41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10" i="1"/>
  <c r="AL11" i="1"/>
  <c r="AL13" i="1"/>
  <c r="AL14" i="1"/>
  <c r="AL15" i="1"/>
  <c r="AL16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6" i="1"/>
  <c r="AL38" i="1"/>
  <c r="AL39" i="1"/>
  <c r="AL40" i="1"/>
  <c r="AL41" i="1"/>
  <c r="AL42" i="1"/>
  <c r="AL43" i="1"/>
  <c r="AL44" i="1"/>
  <c r="AL45" i="1"/>
  <c r="AL46" i="1"/>
  <c r="AL47" i="1"/>
  <c r="AL49" i="1"/>
  <c r="AL52" i="1"/>
  <c r="AL53" i="1"/>
  <c r="AL54" i="1"/>
  <c r="AL55" i="1"/>
  <c r="AL56" i="1"/>
  <c r="AL57" i="1"/>
  <c r="AL58" i="1"/>
  <c r="AL59" i="1"/>
  <c r="AL61" i="1"/>
  <c r="AL62" i="1"/>
  <c r="AL63" i="1"/>
  <c r="AL64" i="1"/>
  <c r="AL65" i="1"/>
  <c r="AL66" i="1"/>
  <c r="AL67" i="1"/>
  <c r="AL69" i="1"/>
  <c r="AL71" i="1"/>
  <c r="AL72" i="1"/>
  <c r="AL74" i="1"/>
  <c r="AL75" i="1"/>
  <c r="AL76" i="1"/>
  <c r="AL77" i="1"/>
  <c r="AL78" i="1"/>
  <c r="AL79" i="1"/>
  <c r="AL80" i="1"/>
  <c r="AL82" i="1"/>
  <c r="AL85" i="1"/>
  <c r="AL86" i="1"/>
  <c r="AL89" i="1"/>
  <c r="AL92" i="1"/>
  <c r="AL93" i="1"/>
  <c r="AL94" i="1"/>
  <c r="AL95" i="1"/>
  <c r="AL96" i="1"/>
  <c r="S82" i="1" l="1"/>
  <c r="S23" i="1"/>
  <c r="S12" i="1"/>
  <c r="S9" i="1"/>
  <c r="S64" i="1"/>
  <c r="U12" i="1" l="1"/>
  <c r="S15" i="1"/>
  <c r="U15" i="1" s="1"/>
  <c r="V15" i="1" s="1"/>
  <c r="AK15" i="1" s="1"/>
  <c r="S16" i="1"/>
  <c r="U16" i="1" s="1"/>
  <c r="V16" i="1" s="1"/>
  <c r="AK16" i="1" s="1"/>
  <c r="S18" i="1"/>
  <c r="U18" i="1" s="1"/>
  <c r="V18" i="1" s="1"/>
  <c r="AK18" i="1" s="1"/>
  <c r="S19" i="1"/>
  <c r="S20" i="1"/>
  <c r="U20" i="1" s="1"/>
  <c r="V20" i="1" s="1"/>
  <c r="AK20" i="1" s="1"/>
  <c r="S21" i="1"/>
  <c r="U21" i="1" s="1"/>
  <c r="V21" i="1" s="1"/>
  <c r="AK21" i="1" s="1"/>
  <c r="S24" i="1"/>
  <c r="U24" i="1" s="1"/>
  <c r="V24" i="1" s="1"/>
  <c r="AK24" i="1" s="1"/>
  <c r="S25" i="1"/>
  <c r="U25" i="1" s="1"/>
  <c r="V25" i="1" s="1"/>
  <c r="AK25" i="1" s="1"/>
  <c r="S29" i="1"/>
  <c r="U29" i="1" s="1"/>
  <c r="V29" i="1" s="1"/>
  <c r="AK29" i="1" s="1"/>
  <c r="S36" i="1"/>
  <c r="U36" i="1" s="1"/>
  <c r="V36" i="1" s="1"/>
  <c r="AK36" i="1" s="1"/>
  <c r="S38" i="1"/>
  <c r="U38" i="1" s="1"/>
  <c r="V38" i="1" s="1"/>
  <c r="AK38" i="1" s="1"/>
  <c r="S39" i="1"/>
  <c r="U39" i="1" s="1"/>
  <c r="V39" i="1" s="1"/>
  <c r="AK39" i="1" s="1"/>
  <c r="S42" i="1"/>
  <c r="U42" i="1" s="1"/>
  <c r="V42" i="1" s="1"/>
  <c r="AK42" i="1" s="1"/>
  <c r="S46" i="1"/>
  <c r="U46" i="1" s="1"/>
  <c r="V46" i="1" s="1"/>
  <c r="AK46" i="1" s="1"/>
  <c r="S47" i="1"/>
  <c r="U47" i="1" s="1"/>
  <c r="V47" i="1" s="1"/>
  <c r="AK47" i="1" s="1"/>
  <c r="S49" i="1"/>
  <c r="U49" i="1" s="1"/>
  <c r="V49" i="1" s="1"/>
  <c r="AK49" i="1" s="1"/>
  <c r="S52" i="1"/>
  <c r="U52" i="1" s="1"/>
  <c r="V52" i="1" s="1"/>
  <c r="AK52" i="1" s="1"/>
  <c r="S53" i="1"/>
  <c r="U53" i="1" s="1"/>
  <c r="V53" i="1" s="1"/>
  <c r="AK53" i="1" s="1"/>
  <c r="S57" i="1"/>
  <c r="U57" i="1" s="1"/>
  <c r="V57" i="1" s="1"/>
  <c r="AK57" i="1" s="1"/>
  <c r="S58" i="1"/>
  <c r="U58" i="1" s="1"/>
  <c r="V58" i="1" s="1"/>
  <c r="AK58" i="1" s="1"/>
  <c r="S59" i="1"/>
  <c r="U59" i="1" s="1"/>
  <c r="V59" i="1" s="1"/>
  <c r="AK59" i="1" s="1"/>
  <c r="S61" i="1"/>
  <c r="U61" i="1" s="1"/>
  <c r="V61" i="1" s="1"/>
  <c r="AK61" i="1" s="1"/>
  <c r="S62" i="1"/>
  <c r="U62" i="1" s="1"/>
  <c r="V62" i="1" s="1"/>
  <c r="AK62" i="1" s="1"/>
  <c r="S65" i="1"/>
  <c r="U65" i="1" s="1"/>
  <c r="V65" i="1" s="1"/>
  <c r="AK65" i="1" s="1"/>
  <c r="S67" i="1"/>
  <c r="U67" i="1" s="1"/>
  <c r="V67" i="1" s="1"/>
  <c r="AK67" i="1" s="1"/>
  <c r="S71" i="1"/>
  <c r="U71" i="1" s="1"/>
  <c r="V71" i="1" s="1"/>
  <c r="AK71" i="1" s="1"/>
  <c r="S72" i="1"/>
  <c r="U72" i="1" s="1"/>
  <c r="V72" i="1" s="1"/>
  <c r="AK72" i="1" s="1"/>
  <c r="S74" i="1"/>
  <c r="U74" i="1" s="1"/>
  <c r="V74" i="1" s="1"/>
  <c r="AK74" i="1" s="1"/>
  <c r="S76" i="1"/>
  <c r="U76" i="1" s="1"/>
  <c r="V76" i="1" s="1"/>
  <c r="AK76" i="1" s="1"/>
  <c r="S77" i="1"/>
  <c r="U77" i="1" s="1"/>
  <c r="V77" i="1" s="1"/>
  <c r="AK77" i="1" s="1"/>
  <c r="S79" i="1"/>
  <c r="U79" i="1" s="1"/>
  <c r="V79" i="1" s="1"/>
  <c r="AK79" i="1" s="1"/>
  <c r="S80" i="1"/>
  <c r="U80" i="1" s="1"/>
  <c r="V80" i="1" s="1"/>
  <c r="AK80" i="1" s="1"/>
  <c r="S85" i="1"/>
  <c r="U85" i="1" s="1"/>
  <c r="V85" i="1" s="1"/>
  <c r="AK85" i="1" s="1"/>
  <c r="S86" i="1"/>
  <c r="U86" i="1" s="1"/>
  <c r="V86" i="1" s="1"/>
  <c r="AK86" i="1" s="1"/>
  <c r="S89" i="1"/>
  <c r="U89" i="1" s="1"/>
  <c r="V89" i="1" s="1"/>
  <c r="AK89" i="1" s="1"/>
  <c r="S93" i="1"/>
  <c r="U93" i="1" s="1"/>
  <c r="V93" i="1" s="1"/>
  <c r="AK93" i="1" s="1"/>
  <c r="S94" i="1"/>
  <c r="U94" i="1" s="1"/>
  <c r="V94" i="1" s="1"/>
  <c r="AK94" i="1" s="1"/>
  <c r="S95" i="1"/>
  <c r="U95" i="1" s="1"/>
  <c r="V95" i="1" s="1"/>
  <c r="AK95" i="1" s="1"/>
  <c r="S96" i="1"/>
  <c r="U96" i="1" s="1"/>
  <c r="V96" i="1" s="1"/>
  <c r="AK96" i="1" s="1"/>
  <c r="U19" i="1"/>
  <c r="V19" i="1" s="1"/>
  <c r="AK19" i="1" s="1"/>
  <c r="W12" i="1" l="1"/>
  <c r="AL12" i="1" s="1"/>
  <c r="T5" i="1"/>
  <c r="X5" i="1"/>
  <c r="Q96" i="1"/>
  <c r="Z96" i="1" s="1"/>
  <c r="L96" i="1"/>
  <c r="Q95" i="1"/>
  <c r="Z95" i="1" s="1"/>
  <c r="L95" i="1"/>
  <c r="Q94" i="1"/>
  <c r="Z94" i="1" s="1"/>
  <c r="L94" i="1"/>
  <c r="Q93" i="1"/>
  <c r="Z93" i="1" s="1"/>
  <c r="L93" i="1"/>
  <c r="Q92" i="1"/>
  <c r="R92" i="1" s="1"/>
  <c r="S92" i="1" s="1"/>
  <c r="U92" i="1" s="1"/>
  <c r="L92" i="1"/>
  <c r="Q91" i="1"/>
  <c r="AA91" i="1" s="1"/>
  <c r="L91" i="1"/>
  <c r="Q90" i="1"/>
  <c r="L90" i="1"/>
  <c r="Q89" i="1"/>
  <c r="AA89" i="1" s="1"/>
  <c r="L89" i="1"/>
  <c r="Q88" i="1"/>
  <c r="AA88" i="1" s="1"/>
  <c r="L88" i="1"/>
  <c r="Q87" i="1"/>
  <c r="L87" i="1"/>
  <c r="Q86" i="1"/>
  <c r="AA86" i="1" s="1"/>
  <c r="L86" i="1"/>
  <c r="Q85" i="1"/>
  <c r="Z85" i="1" s="1"/>
  <c r="L85" i="1"/>
  <c r="Q84" i="1"/>
  <c r="AA84" i="1" s="1"/>
  <c r="L84" i="1"/>
  <c r="Q83" i="1"/>
  <c r="R83" i="1" s="1"/>
  <c r="S83" i="1" s="1"/>
  <c r="U83" i="1" s="1"/>
  <c r="L83" i="1"/>
  <c r="Q82" i="1"/>
  <c r="AA82" i="1" s="1"/>
  <c r="L82" i="1"/>
  <c r="Q81" i="1"/>
  <c r="L81" i="1"/>
  <c r="F81" i="1"/>
  <c r="F5" i="1" s="1"/>
  <c r="Q80" i="1"/>
  <c r="Z80" i="1" s="1"/>
  <c r="L80" i="1"/>
  <c r="Q79" i="1"/>
  <c r="AA79" i="1" s="1"/>
  <c r="L79" i="1"/>
  <c r="Q78" i="1"/>
  <c r="L78" i="1"/>
  <c r="Q77" i="1"/>
  <c r="AA77" i="1" s="1"/>
  <c r="L77" i="1"/>
  <c r="Q76" i="1"/>
  <c r="AA76" i="1" s="1"/>
  <c r="L76" i="1"/>
  <c r="Q75" i="1"/>
  <c r="AA75" i="1" s="1"/>
  <c r="L75" i="1"/>
  <c r="Q74" i="1"/>
  <c r="Z74" i="1" s="1"/>
  <c r="L74" i="1"/>
  <c r="Q73" i="1"/>
  <c r="R73" i="1" s="1"/>
  <c r="S73" i="1" s="1"/>
  <c r="U73" i="1" s="1"/>
  <c r="L73" i="1"/>
  <c r="Q72" i="1"/>
  <c r="AA72" i="1" s="1"/>
  <c r="L72" i="1"/>
  <c r="Q71" i="1"/>
  <c r="Z71" i="1" s="1"/>
  <c r="L71" i="1"/>
  <c r="Q70" i="1"/>
  <c r="R70" i="1" s="1"/>
  <c r="S70" i="1" s="1"/>
  <c r="U70" i="1" s="1"/>
  <c r="W70" i="1" s="1"/>
  <c r="L70" i="1"/>
  <c r="Q69" i="1"/>
  <c r="L69" i="1"/>
  <c r="Q68" i="1"/>
  <c r="R68" i="1" s="1"/>
  <c r="S68" i="1" s="1"/>
  <c r="U68" i="1" s="1"/>
  <c r="W68" i="1" s="1"/>
  <c r="L68" i="1"/>
  <c r="Q67" i="1"/>
  <c r="Z67" i="1" s="1"/>
  <c r="L67" i="1"/>
  <c r="Q66" i="1"/>
  <c r="L66" i="1"/>
  <c r="Q65" i="1"/>
  <c r="Z65" i="1" s="1"/>
  <c r="L65" i="1"/>
  <c r="Q64" i="1"/>
  <c r="L64" i="1"/>
  <c r="F64" i="1"/>
  <c r="AA64" i="1" s="1"/>
  <c r="Q63" i="1"/>
  <c r="R63" i="1" s="1"/>
  <c r="S63" i="1" s="1"/>
  <c r="U63" i="1" s="1"/>
  <c r="V63" i="1" s="1"/>
  <c r="AK63" i="1" s="1"/>
  <c r="L63" i="1"/>
  <c r="Q62" i="1"/>
  <c r="AA62" i="1" s="1"/>
  <c r="L62" i="1"/>
  <c r="Q61" i="1"/>
  <c r="AA61" i="1" s="1"/>
  <c r="L61" i="1"/>
  <c r="Q60" i="1"/>
  <c r="L60" i="1"/>
  <c r="Q59" i="1"/>
  <c r="Z59" i="1" s="1"/>
  <c r="L59" i="1"/>
  <c r="Q58" i="1"/>
  <c r="AA58" i="1" s="1"/>
  <c r="L58" i="1"/>
  <c r="Q57" i="1"/>
  <c r="Z57" i="1" s="1"/>
  <c r="L57" i="1"/>
  <c r="Q56" i="1"/>
  <c r="AA56" i="1" s="1"/>
  <c r="L56" i="1"/>
  <c r="Q55" i="1"/>
  <c r="R55" i="1" s="1"/>
  <c r="S55" i="1" s="1"/>
  <c r="U55" i="1" s="1"/>
  <c r="V55" i="1" s="1"/>
  <c r="AK55" i="1" s="1"/>
  <c r="L55" i="1"/>
  <c r="Q54" i="1"/>
  <c r="AA54" i="1" s="1"/>
  <c r="L54" i="1"/>
  <c r="Q53" i="1"/>
  <c r="AA53" i="1" s="1"/>
  <c r="L53" i="1"/>
  <c r="Q52" i="1"/>
  <c r="AA52" i="1" s="1"/>
  <c r="L52" i="1"/>
  <c r="Q51" i="1"/>
  <c r="AA51" i="1" s="1"/>
  <c r="L51" i="1"/>
  <c r="Q50" i="1"/>
  <c r="R50" i="1" s="1"/>
  <c r="S50" i="1" s="1"/>
  <c r="U50" i="1" s="1"/>
  <c r="W50" i="1" s="1"/>
  <c r="L50" i="1"/>
  <c r="Q49" i="1"/>
  <c r="Z49" i="1" s="1"/>
  <c r="L49" i="1"/>
  <c r="Q48" i="1"/>
  <c r="AA48" i="1" s="1"/>
  <c r="L48" i="1"/>
  <c r="Q47" i="1"/>
  <c r="AA47" i="1" s="1"/>
  <c r="L47" i="1"/>
  <c r="Q46" i="1"/>
  <c r="Z46" i="1" s="1"/>
  <c r="L46" i="1"/>
  <c r="Q45" i="1"/>
  <c r="R45" i="1" s="1"/>
  <c r="S45" i="1" s="1"/>
  <c r="U45" i="1" s="1"/>
  <c r="V45" i="1" s="1"/>
  <c r="AK45" i="1" s="1"/>
  <c r="L45" i="1"/>
  <c r="Q44" i="1"/>
  <c r="AA44" i="1" s="1"/>
  <c r="L44" i="1"/>
  <c r="Q43" i="1"/>
  <c r="L43" i="1"/>
  <c r="Q42" i="1"/>
  <c r="AA42" i="1" s="1"/>
  <c r="L42" i="1"/>
  <c r="Q41" i="1"/>
  <c r="AA41" i="1" s="1"/>
  <c r="L41" i="1"/>
  <c r="Q40" i="1"/>
  <c r="L40" i="1"/>
  <c r="Q39" i="1"/>
  <c r="AA39" i="1" s="1"/>
  <c r="L39" i="1"/>
  <c r="Q38" i="1"/>
  <c r="AA38" i="1" s="1"/>
  <c r="L38" i="1"/>
  <c r="Q37" i="1"/>
  <c r="AA37" i="1" s="1"/>
  <c r="L37" i="1"/>
  <c r="Q36" i="1"/>
  <c r="AA36" i="1" s="1"/>
  <c r="L36" i="1"/>
  <c r="Q35" i="1"/>
  <c r="L35" i="1"/>
  <c r="Q34" i="1"/>
  <c r="R34" i="1" s="1"/>
  <c r="S34" i="1" s="1"/>
  <c r="U34" i="1" s="1"/>
  <c r="W34" i="1" s="1"/>
  <c r="L34" i="1"/>
  <c r="Q33" i="1"/>
  <c r="L33" i="1"/>
  <c r="Q32" i="1"/>
  <c r="R32" i="1" s="1"/>
  <c r="S32" i="1" s="1"/>
  <c r="U32" i="1" s="1"/>
  <c r="L32" i="1"/>
  <c r="Q31" i="1"/>
  <c r="L31" i="1"/>
  <c r="Q30" i="1"/>
  <c r="R30" i="1" s="1"/>
  <c r="S30" i="1" s="1"/>
  <c r="U30" i="1" s="1"/>
  <c r="L30" i="1"/>
  <c r="Q29" i="1"/>
  <c r="AA29" i="1" s="1"/>
  <c r="L29" i="1"/>
  <c r="Q28" i="1"/>
  <c r="L28" i="1"/>
  <c r="Q27" i="1"/>
  <c r="R27" i="1" s="1"/>
  <c r="S27" i="1" s="1"/>
  <c r="U27" i="1" s="1"/>
  <c r="V27" i="1" s="1"/>
  <c r="AK27" i="1" s="1"/>
  <c r="L27" i="1"/>
  <c r="Q26" i="1"/>
  <c r="L26" i="1"/>
  <c r="Q25" i="1"/>
  <c r="Z25" i="1" s="1"/>
  <c r="L25" i="1"/>
  <c r="Q24" i="1"/>
  <c r="Z24" i="1" s="1"/>
  <c r="L24" i="1"/>
  <c r="Q23" i="1"/>
  <c r="R23" i="1" s="1"/>
  <c r="U23" i="1" s="1"/>
  <c r="V23" i="1" s="1"/>
  <c r="AK23" i="1" s="1"/>
  <c r="L23" i="1"/>
  <c r="Q22" i="1"/>
  <c r="L22" i="1"/>
  <c r="Q21" i="1"/>
  <c r="Z21" i="1" s="1"/>
  <c r="L21" i="1"/>
  <c r="Q20" i="1"/>
  <c r="Z20" i="1" s="1"/>
  <c r="L20" i="1"/>
  <c r="Q19" i="1"/>
  <c r="Z19" i="1" s="1"/>
  <c r="L19" i="1"/>
  <c r="Q18" i="1"/>
  <c r="AA18" i="1" s="1"/>
  <c r="L18" i="1"/>
  <c r="Q17" i="1"/>
  <c r="AA17" i="1" s="1"/>
  <c r="L17" i="1"/>
  <c r="Q16" i="1"/>
  <c r="Z16" i="1" s="1"/>
  <c r="L16" i="1"/>
  <c r="Q15" i="1"/>
  <c r="AA15" i="1" s="1"/>
  <c r="L15" i="1"/>
  <c r="Q14" i="1"/>
  <c r="L14" i="1"/>
  <c r="Q13" i="1"/>
  <c r="R13" i="1" s="1"/>
  <c r="S13" i="1" s="1"/>
  <c r="U13" i="1" s="1"/>
  <c r="V13" i="1" s="1"/>
  <c r="AK13" i="1" s="1"/>
  <c r="L13" i="1"/>
  <c r="Q12" i="1"/>
  <c r="AA12" i="1" s="1"/>
  <c r="L12" i="1"/>
  <c r="Q11" i="1"/>
  <c r="L11" i="1"/>
  <c r="Q10" i="1"/>
  <c r="R10" i="1" s="1"/>
  <c r="S10" i="1" s="1"/>
  <c r="U10" i="1" s="1"/>
  <c r="L10" i="1"/>
  <c r="Q9" i="1"/>
  <c r="AA9" i="1" s="1"/>
  <c r="L9" i="1"/>
  <c r="Q8" i="1"/>
  <c r="R8" i="1" s="1"/>
  <c r="S8" i="1" s="1"/>
  <c r="U8" i="1" s="1"/>
  <c r="L8" i="1"/>
  <c r="Q7" i="1"/>
  <c r="L7" i="1"/>
  <c r="Q6" i="1"/>
  <c r="R6" i="1" s="1"/>
  <c r="S6" i="1" s="1"/>
  <c r="U6" i="1" s="1"/>
  <c r="L6" i="1"/>
  <c r="AI5" i="1"/>
  <c r="AH5" i="1"/>
  <c r="AG5" i="1"/>
  <c r="AF5" i="1"/>
  <c r="AE5" i="1"/>
  <c r="AD5" i="1"/>
  <c r="AC5" i="1"/>
  <c r="AB5" i="1"/>
  <c r="P5" i="1"/>
  <c r="O5" i="1"/>
  <c r="N5" i="1"/>
  <c r="M5" i="1"/>
  <c r="K5" i="1"/>
  <c r="E5" i="1"/>
  <c r="Z8" i="1" l="1"/>
  <c r="V8" i="1"/>
  <c r="AK8" i="1" s="1"/>
  <c r="Z10" i="1"/>
  <c r="V10" i="1"/>
  <c r="AK10" i="1" s="1"/>
  <c r="Z30" i="1"/>
  <c r="V30" i="1"/>
  <c r="AK30" i="1" s="1"/>
  <c r="Z32" i="1"/>
  <c r="V32" i="1"/>
  <c r="AK32" i="1" s="1"/>
  <c r="Z92" i="1"/>
  <c r="V92" i="1"/>
  <c r="AK92" i="1" s="1"/>
  <c r="V12" i="1"/>
  <c r="AK12" i="1" s="1"/>
  <c r="Z34" i="1"/>
  <c r="AL34" i="1"/>
  <c r="Z50" i="1"/>
  <c r="AL50" i="1"/>
  <c r="Z68" i="1"/>
  <c r="AL68" i="1"/>
  <c r="Z70" i="1"/>
  <c r="AL70" i="1"/>
  <c r="W6" i="1"/>
  <c r="AL6" i="1" s="1"/>
  <c r="W83" i="1"/>
  <c r="AL83" i="1" s="1"/>
  <c r="W73" i="1"/>
  <c r="AL73" i="1" s="1"/>
  <c r="AA46" i="1"/>
  <c r="AA95" i="1"/>
  <c r="R64" i="1"/>
  <c r="U64" i="1" s="1"/>
  <c r="V64" i="1" s="1"/>
  <c r="AK64" i="1" s="1"/>
  <c r="Z29" i="1"/>
  <c r="AA32" i="1"/>
  <c r="R54" i="1"/>
  <c r="S54" i="1" s="1"/>
  <c r="U54" i="1" s="1"/>
  <c r="R75" i="1"/>
  <c r="S75" i="1" s="1"/>
  <c r="U75" i="1" s="1"/>
  <c r="V75" i="1" s="1"/>
  <c r="AK75" i="1" s="1"/>
  <c r="R88" i="1"/>
  <c r="S88" i="1" s="1"/>
  <c r="U88" i="1" s="1"/>
  <c r="W88" i="1" s="1"/>
  <c r="Z45" i="1"/>
  <c r="Z61" i="1"/>
  <c r="R9" i="1"/>
  <c r="U9" i="1" s="1"/>
  <c r="R41" i="1"/>
  <c r="S41" i="1" s="1"/>
  <c r="U41" i="1" s="1"/>
  <c r="V41" i="1" s="1"/>
  <c r="AK41" i="1" s="1"/>
  <c r="R48" i="1"/>
  <c r="S48" i="1" s="1"/>
  <c r="U48" i="1" s="1"/>
  <c r="AA63" i="1"/>
  <c r="AA68" i="1"/>
  <c r="AA80" i="1"/>
  <c r="R82" i="1"/>
  <c r="U82" i="1" s="1"/>
  <c r="AA93" i="1"/>
  <c r="Z6" i="1"/>
  <c r="Z63" i="1"/>
  <c r="Z53" i="1"/>
  <c r="Z39" i="1"/>
  <c r="Z27" i="1"/>
  <c r="Z89" i="1"/>
  <c r="Z83" i="1"/>
  <c r="Z79" i="1"/>
  <c r="Z77" i="1"/>
  <c r="Z73" i="1"/>
  <c r="Z55" i="1"/>
  <c r="Z47" i="1"/>
  <c r="Z23" i="1"/>
  <c r="Z15" i="1"/>
  <c r="Z13" i="1"/>
  <c r="AA23" i="1"/>
  <c r="R37" i="1"/>
  <c r="S37" i="1" s="1"/>
  <c r="U37" i="1" s="1"/>
  <c r="R44" i="1"/>
  <c r="S44" i="1" s="1"/>
  <c r="U44" i="1" s="1"/>
  <c r="V44" i="1" s="1"/>
  <c r="AK44" i="1" s="1"/>
  <c r="R51" i="1"/>
  <c r="S51" i="1" s="1"/>
  <c r="U51" i="1" s="1"/>
  <c r="W51" i="1" s="1"/>
  <c r="R56" i="1"/>
  <c r="S56" i="1" s="1"/>
  <c r="U56" i="1" s="1"/>
  <c r="V56" i="1" s="1"/>
  <c r="AK56" i="1" s="1"/>
  <c r="AA74" i="1"/>
  <c r="R84" i="1"/>
  <c r="S84" i="1" s="1"/>
  <c r="U84" i="1" s="1"/>
  <c r="R91" i="1"/>
  <c r="S91" i="1" s="1"/>
  <c r="U91" i="1" s="1"/>
  <c r="W91" i="1" s="1"/>
  <c r="AA94" i="1"/>
  <c r="AA96" i="1"/>
  <c r="Z86" i="1"/>
  <c r="Z76" i="1"/>
  <c r="Z72" i="1"/>
  <c r="Z62" i="1"/>
  <c r="Z58" i="1"/>
  <c r="Z52" i="1"/>
  <c r="Z42" i="1"/>
  <c r="Z38" i="1"/>
  <c r="Z36" i="1"/>
  <c r="Z18" i="1"/>
  <c r="Z12" i="1"/>
  <c r="AA11" i="1"/>
  <c r="R11" i="1"/>
  <c r="S11" i="1" s="1"/>
  <c r="U11" i="1" s="1"/>
  <c r="V11" i="1" s="1"/>
  <c r="AK11" i="1" s="1"/>
  <c r="AA19" i="1"/>
  <c r="AA20" i="1"/>
  <c r="AA22" i="1"/>
  <c r="R22" i="1"/>
  <c r="S22" i="1" s="1"/>
  <c r="U22" i="1" s="1"/>
  <c r="V22" i="1" s="1"/>
  <c r="AK22" i="1" s="1"/>
  <c r="AA25" i="1"/>
  <c r="AA28" i="1"/>
  <c r="R28" i="1"/>
  <c r="S28" i="1" s="1"/>
  <c r="U28" i="1" s="1"/>
  <c r="V28" i="1" s="1"/>
  <c r="AK28" i="1" s="1"/>
  <c r="R40" i="1"/>
  <c r="S40" i="1" s="1"/>
  <c r="U40" i="1" s="1"/>
  <c r="V40" i="1" s="1"/>
  <c r="AK40" i="1" s="1"/>
  <c r="AA40" i="1"/>
  <c r="R43" i="1"/>
  <c r="S43" i="1" s="1"/>
  <c r="U43" i="1" s="1"/>
  <c r="V43" i="1" s="1"/>
  <c r="AK43" i="1" s="1"/>
  <c r="AA43" i="1"/>
  <c r="AA49" i="1"/>
  <c r="AA65" i="1"/>
  <c r="AA66" i="1"/>
  <c r="R66" i="1"/>
  <c r="S66" i="1" s="1"/>
  <c r="U66" i="1" s="1"/>
  <c r="V66" i="1" s="1"/>
  <c r="AK66" i="1" s="1"/>
  <c r="AA71" i="1"/>
  <c r="Q5" i="1"/>
  <c r="AA7" i="1"/>
  <c r="R7" i="1"/>
  <c r="S7" i="1" s="1"/>
  <c r="U7" i="1" s="1"/>
  <c r="V7" i="1" s="1"/>
  <c r="AK7" i="1" s="1"/>
  <c r="AA14" i="1"/>
  <c r="R14" i="1"/>
  <c r="S14" i="1" s="1"/>
  <c r="U14" i="1" s="1"/>
  <c r="V14" i="1" s="1"/>
  <c r="AK14" i="1" s="1"/>
  <c r="AA21" i="1"/>
  <c r="AA24" i="1"/>
  <c r="AA26" i="1"/>
  <c r="R26" i="1"/>
  <c r="U26" i="1" s="1"/>
  <c r="V26" i="1" s="1"/>
  <c r="AK26" i="1" s="1"/>
  <c r="AA31" i="1"/>
  <c r="R31" i="1"/>
  <c r="S31" i="1" s="1"/>
  <c r="U31" i="1" s="1"/>
  <c r="V31" i="1" s="1"/>
  <c r="AK31" i="1" s="1"/>
  <c r="AA35" i="1"/>
  <c r="R35" i="1"/>
  <c r="S35" i="1" s="1"/>
  <c r="U35" i="1" s="1"/>
  <c r="W35" i="1" s="1"/>
  <c r="AA57" i="1"/>
  <c r="AA59" i="1"/>
  <c r="AA60" i="1"/>
  <c r="R60" i="1"/>
  <c r="S60" i="1" s="1"/>
  <c r="U60" i="1" s="1"/>
  <c r="W60" i="1" s="1"/>
  <c r="AA67" i="1"/>
  <c r="AA69" i="1"/>
  <c r="R69" i="1"/>
  <c r="S69" i="1" s="1"/>
  <c r="U69" i="1" s="1"/>
  <c r="V69" i="1" s="1"/>
  <c r="AK69" i="1" s="1"/>
  <c r="AA81" i="1"/>
  <c r="AA85" i="1"/>
  <c r="R87" i="1"/>
  <c r="S87" i="1" s="1"/>
  <c r="U87" i="1" s="1"/>
  <c r="W87" i="1" s="1"/>
  <c r="AA87" i="1"/>
  <c r="R90" i="1"/>
  <c r="S90" i="1" s="1"/>
  <c r="U90" i="1" s="1"/>
  <c r="W90" i="1" s="1"/>
  <c r="AA90" i="1"/>
  <c r="AA16" i="1"/>
  <c r="AA33" i="1"/>
  <c r="R33" i="1"/>
  <c r="S33" i="1" s="1"/>
  <c r="U33" i="1" s="1"/>
  <c r="V33" i="1" s="1"/>
  <c r="AK33" i="1" s="1"/>
  <c r="R78" i="1"/>
  <c r="S78" i="1" s="1"/>
  <c r="U78" i="1" s="1"/>
  <c r="V78" i="1" s="1"/>
  <c r="AK78" i="1" s="1"/>
  <c r="AA78" i="1"/>
  <c r="L5" i="1"/>
  <c r="AA6" i="1"/>
  <c r="AA8" i="1"/>
  <c r="AA10" i="1"/>
  <c r="AA13" i="1"/>
  <c r="R17" i="1"/>
  <c r="S17" i="1" s="1"/>
  <c r="U17" i="1" s="1"/>
  <c r="AA27" i="1"/>
  <c r="AA30" i="1"/>
  <c r="AA34" i="1"/>
  <c r="AA45" i="1"/>
  <c r="AA50" i="1"/>
  <c r="AA55" i="1"/>
  <c r="AA70" i="1"/>
  <c r="AA73" i="1"/>
  <c r="R81" i="1"/>
  <c r="S81" i="1" s="1"/>
  <c r="U81" i="1" s="1"/>
  <c r="AA83" i="1"/>
  <c r="AA92" i="1"/>
  <c r="Z41" i="1" l="1"/>
  <c r="W17" i="1"/>
  <c r="AL17" i="1" s="1"/>
  <c r="AL90" i="1"/>
  <c r="AL87" i="1"/>
  <c r="AL60" i="1"/>
  <c r="AL35" i="1"/>
  <c r="AL91" i="1"/>
  <c r="AL51" i="1"/>
  <c r="W37" i="1"/>
  <c r="AL37" i="1" s="1"/>
  <c r="Z82" i="1"/>
  <c r="V82" i="1"/>
  <c r="AK82" i="1" s="1"/>
  <c r="V70" i="1"/>
  <c r="AK70" i="1" s="1"/>
  <c r="V83" i="1"/>
  <c r="AK83" i="1" s="1"/>
  <c r="V34" i="1"/>
  <c r="AK34" i="1" s="1"/>
  <c r="W81" i="1"/>
  <c r="AL81" i="1" s="1"/>
  <c r="W84" i="1"/>
  <c r="AL84" i="1" s="1"/>
  <c r="Z75" i="1"/>
  <c r="Z54" i="1"/>
  <c r="V54" i="1"/>
  <c r="AK54" i="1" s="1"/>
  <c r="V73" i="1"/>
  <c r="AK73" i="1" s="1"/>
  <c r="V68" i="1"/>
  <c r="AK68" i="1" s="1"/>
  <c r="V50" i="1"/>
  <c r="AK50" i="1" s="1"/>
  <c r="V6" i="1"/>
  <c r="Z88" i="1"/>
  <c r="AL88" i="1"/>
  <c r="Z48" i="1"/>
  <c r="W48" i="1"/>
  <c r="AL48" i="1" s="1"/>
  <c r="W9" i="1"/>
  <c r="AL9" i="1" s="1"/>
  <c r="Z9" i="1"/>
  <c r="Z64" i="1"/>
  <c r="Z81" i="1"/>
  <c r="Z78" i="1"/>
  <c r="Z69" i="1"/>
  <c r="Z43" i="1"/>
  <c r="Z40" i="1"/>
  <c r="Z22" i="1"/>
  <c r="Z11" i="1"/>
  <c r="U5" i="1"/>
  <c r="Z84" i="1"/>
  <c r="Z56" i="1"/>
  <c r="Z44" i="1"/>
  <c r="Z17" i="1"/>
  <c r="Z33" i="1"/>
  <c r="Z90" i="1"/>
  <c r="Z87" i="1"/>
  <c r="Z60" i="1"/>
  <c r="Z35" i="1"/>
  <c r="Z31" i="1"/>
  <c r="Z26" i="1"/>
  <c r="Z14" i="1"/>
  <c r="Z7" i="1"/>
  <c r="Z66" i="1"/>
  <c r="Z28" i="1"/>
  <c r="S5" i="1"/>
  <c r="Z91" i="1"/>
  <c r="Z51" i="1"/>
  <c r="Z37" i="1"/>
  <c r="R5" i="1"/>
  <c r="V84" i="1" l="1"/>
  <c r="AK84" i="1" s="1"/>
  <c r="V81" i="1"/>
  <c r="AK81" i="1" s="1"/>
  <c r="V88" i="1"/>
  <c r="AK88" i="1" s="1"/>
  <c r="AL5" i="1"/>
  <c r="V48" i="1"/>
  <c r="AK48" i="1" s="1"/>
  <c r="W5" i="1"/>
  <c r="AK6" i="1"/>
  <c r="V9" i="1"/>
  <c r="AK9" i="1" s="1"/>
  <c r="V37" i="1"/>
  <c r="AK37" i="1" s="1"/>
  <c r="V51" i="1"/>
  <c r="AK51" i="1" s="1"/>
  <c r="V91" i="1"/>
  <c r="AK91" i="1" s="1"/>
  <c r="V35" i="1"/>
  <c r="AK35" i="1" s="1"/>
  <c r="V60" i="1"/>
  <c r="AK60" i="1" s="1"/>
  <c r="V87" i="1"/>
  <c r="AK87" i="1" s="1"/>
  <c r="V90" i="1"/>
  <c r="AK90" i="1" s="1"/>
  <c r="V17" i="1"/>
  <c r="AK17" i="1" s="1"/>
  <c r="AK5" i="1" l="1"/>
  <c r="V5" i="1"/>
</calcChain>
</file>

<file path=xl/sharedStrings.xml><?xml version="1.0" encoding="utf-8"?>
<sst xmlns="http://schemas.openxmlformats.org/spreadsheetml/2006/main" count="370" uniqueCount="161">
  <si>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</si>
  <si>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</si>
  <si>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</si>
  <si>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</si>
  <si>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</si>
  <si>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</si>
  <si>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</si>
  <si>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</si>
  <si>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</si>
  <si>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</si>
  <si>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</si>
  <si>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</si>
  <si>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</si>
  <si>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</si>
  <si>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</si>
  <si>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</si>
  <si>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</si>
  <si>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</si>
  <si>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</si>
  <si>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</si>
  <si>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</si>
  <si>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</si>
  <si>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</si>
  <si>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</si>
  <si>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23,11,</t>
  </si>
  <si>
    <t>24,11,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</si>
  <si>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</si>
  <si>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</si>
  <si>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</si>
  <si>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</si>
  <si>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</si>
  <si>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</si>
  <si>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</si>
  <si>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</si>
  <si>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</si>
  <si>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</si>
  <si>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</si>
  <si>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</si>
  <si>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</si>
  <si>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</si>
  <si>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</si>
  <si>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</si>
  <si>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</si>
  <si>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</si>
  <si>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</si>
  <si>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в матрице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</si>
  <si>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</si>
  <si>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</si>
  <si>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</si>
  <si>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</si>
  <si>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</si>
  <si>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нужно увеличить продажи!!!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</si>
  <si>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</si>
  <si>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</si>
  <si>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</si>
  <si>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5706 АРОМАТНАЯ Папа может с/к в/у 1/250 8шт.  ОСТАНКИНО</t>
  </si>
  <si>
    <t>ротация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</si>
  <si>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</si>
  <si>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</si>
  <si>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</si>
  <si>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</si>
  <si>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</si>
  <si>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</si>
  <si>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ротация - 1001016747343 СЕЙЧАС СЕЗОН ПМ вар п/о 0.4кг</t>
    </r>
  </si>
  <si>
    <t>6208 ДЫМОВИЦА ИЗ ЛОПАТКИ ПМ к/в с/н в/у 1/150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</si>
  <si>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новинка</t>
    </r>
  </si>
  <si>
    <t>6220 ГОВЯЖЬЯ папа может вар п/о  Останкино</t>
  </si>
  <si>
    <t xml:space="preserve">потребность на тт 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</si>
  <si>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</si>
  <si>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</si>
  <si>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</si>
  <si>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</si>
  <si>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</si>
  <si>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</si>
  <si>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</si>
  <si>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</si>
  <si>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</si>
  <si>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</si>
  <si>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</si>
  <si>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</si>
  <si>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</si>
  <si>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</si>
  <si>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</si>
  <si>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нужно увеличить продажи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</si>
  <si>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</si>
  <si>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</si>
  <si>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</si>
  <si>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</si>
  <si>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</si>
  <si>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</si>
  <si>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</si>
  <si>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</si>
  <si>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04,11,25 списание 266шт (сроки) / Мкд Трейд / 05,11,25 инфа от ТК (данную позицию продадим.)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</si>
  <si>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</si>
  <si>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</si>
  <si>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</si>
  <si>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</si>
  <si>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</si>
  <si>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</si>
  <si>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</si>
  <si>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</si>
  <si>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нужно увеличить продажи!!! / вывод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</si>
  <si>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</si>
  <si>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</si>
  <si>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</si>
  <si>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08,10,25 списание (26шт. / сроки)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</si>
  <si>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</si>
  <si>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</si>
  <si>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</si>
  <si>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</si>
  <si>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</si>
  <si>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</si>
  <si>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</si>
  <si>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</si>
  <si>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</si>
  <si>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вывод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</si>
  <si>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</si>
  <si>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</si>
  <si>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</si>
  <si>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</si>
  <si>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</si>
  <si>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</si>
  <si>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</si>
  <si>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</si>
  <si>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</si>
  <si>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</si>
  <si>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</si>
  <si>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</si>
  <si>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</si>
  <si>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</si>
  <si>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</si>
  <si>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</si>
  <si>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</si>
  <si>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30,08,25 списание 41 шт. (пересчет)</t>
  </si>
  <si>
    <t>7157 СЕРВЕЛАТ ЗЕРНИСТЫЙ ПМ в/к в/у_50с  Останкино</t>
  </si>
  <si>
    <t xml:space="preserve">потребность команды, остаток не актуальынй  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</si>
  <si>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</si>
  <si>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</si>
  <si>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</si>
  <si>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</si>
  <si>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</si>
  <si>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</si>
  <si>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</si>
  <si>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</si>
  <si>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</si>
  <si>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</si>
  <si>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</si>
  <si>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</si>
  <si>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</si>
  <si>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</si>
  <si>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</si>
  <si>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</si>
  <si>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</si>
  <si>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с учетом ТК</t>
  </si>
  <si>
    <t>до машины</t>
  </si>
  <si>
    <t>итого</t>
  </si>
  <si>
    <t>26,11,25 филиал обнулил / ошибка при получении продукции / Мкд Трейд / Пекарня</t>
  </si>
  <si>
    <t>заказ</t>
  </si>
  <si>
    <t>30,11,</t>
  </si>
  <si>
    <t>01,12,</t>
  </si>
  <si>
    <t>нужно увеличить продажи / ротация на 7382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</si>
</sst>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b/>
      <sz val="10"/>
      <name val="Arial"/>
      <charset val="204"/>
    </font>
    <font>
      <b/>
      <sz val="11"/>
      <color rgb="FFFF0000"/>
      <name val="Calibri"/>
      <charset val="134"/>
    </font>
    <font>
      <b/>
      <sz val="10"/>
      <color rgb="FFFF0000"/>
      <name val="Arial"/>
      <charset val="204"/>
    </font>
    <font>
      <sz val="10"/>
      <name val="Arial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4" borderId="0" xfId="1" applyNumberFormat="1" applyFill="1"/>
    <xf numFmtId="2" fontId="1" fillId="4" borderId="0" xfId="1" applyNumberFormat="1" applyFill="1"/>
    <xf numFmtId="164" fontId="3" fillId="5" borderId="0" xfId="1" applyNumberFormat="1" applyFont="1" applyFill="1"/>
    <xf numFmtId="164" fontId="4" fillId="6" borderId="0" xfId="1" applyNumberFormat="1" applyFont="1" applyFill="1"/>
    <xf numFmtId="164" fontId="1" fillId="7" borderId="0" xfId="1" applyNumberFormat="1" applyFill="1"/>
    <xf numFmtId="164" fontId="1" fillId="8" borderId="0" xfId="1" applyNumberFormat="1" applyFill="1"/>
    <xf numFmtId="164" fontId="5" fillId="2" borderId="0" xfId="1" applyNumberFormat="1" applyFont="1" applyFill="1"/>
    <xf numFmtId="164" fontId="2" fillId="9" borderId="0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6" fillId="10" borderId="0" xfId="1" applyNumberFormat="1" applyFont="1" applyFill="1"/>
    <xf numFmtId="164" fontId="7" fillId="10" borderId="0" xfId="1" applyNumberFormat="1" applyFont="1" applyFill="1"/>
    <xf numFmtId="164" fontId="7" fillId="7" borderId="0" xfId="1" applyNumberFormat="1" applyFont="1" applyFill="1"/>
    <xf numFmtId="164" fontId="7" fillId="0" borderId="0" xfId="1" applyNumberFormat="1" applyFont="1"/>
  </cellXfs>
  <cellStyles count="2">
    <cellStyle name="Arial10px" xfId="1" xr:uid="{00000000-0005-0000-0000-00003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Y14" sqref="Y14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4" width="7" customWidth="1"/>
    <col min="25" max="25" width="12.28515625" customWidth="1"/>
    <col min="26" max="27" width="5" customWidth="1"/>
    <col min="28" max="35" width="6" customWidth="1"/>
    <col min="36" max="36" width="24" customWidth="1"/>
    <col min="37" max="38" width="7" customWidth="1"/>
    <col min="39" max="54" width="3" customWidth="1"/>
  </cols>
  <sheetData>
    <row r="1" spans="1:54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13" t="s">
        <v>16</v>
      </c>
      <c r="S3" s="13" t="s">
        <v>153</v>
      </c>
      <c r="T3" s="13" t="s">
        <v>154</v>
      </c>
      <c r="U3" s="13" t="s">
        <v>155</v>
      </c>
      <c r="V3" s="13" t="s">
        <v>157</v>
      </c>
      <c r="W3" s="13" t="s">
        <v>157</v>
      </c>
      <c r="X3" s="14" t="s">
        <v>17</v>
      </c>
      <c r="Y3" s="14" t="s">
        <v>18</v>
      </c>
      <c r="Z3" s="4" t="s">
        <v>19</v>
      </c>
      <c r="AA3" s="4" t="s">
        <v>20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21</v>
      </c>
      <c r="AH3" s="4" t="s">
        <v>21</v>
      </c>
      <c r="AI3" s="4" t="s">
        <v>21</v>
      </c>
      <c r="AJ3" s="4" t="s">
        <v>22</v>
      </c>
      <c r="AK3" s="4" t="s">
        <v>23</v>
      </c>
      <c r="AL3" s="4" t="s">
        <v>23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26</v>
      </c>
      <c r="R4" s="2"/>
      <c r="S4" s="2"/>
      <c r="T4" s="2"/>
      <c r="U4" s="2"/>
      <c r="V4" s="2" t="s">
        <v>158</v>
      </c>
      <c r="W4" s="2" t="s">
        <v>159</v>
      </c>
      <c r="X4" s="2"/>
      <c r="Y4" s="2"/>
      <c r="Z4" s="2"/>
      <c r="AA4" s="2"/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/>
      <c r="AK4" s="2" t="s">
        <v>158</v>
      </c>
      <c r="AL4" s="2" t="s">
        <v>159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>
      <c r="A5" s="2"/>
      <c r="B5" s="2"/>
      <c r="C5" s="2"/>
      <c r="D5" s="2"/>
      <c r="E5" s="6">
        <f>SUM(E6:E500)</f>
        <v>8739.405999999999</v>
      </c>
      <c r="F5" s="6">
        <f>SUM(F6:F500)</f>
        <v>8885.6460000000006</v>
      </c>
      <c r="G5" s="3"/>
      <c r="H5" s="2"/>
      <c r="I5" s="2"/>
      <c r="J5" s="2"/>
      <c r="K5" s="6">
        <f t="shared" ref="K5:X5" si="0">SUM(K6:K500)</f>
        <v>9122.9940000000006</v>
      </c>
      <c r="L5" s="6">
        <f t="shared" si="0"/>
        <v>-383.58800000000002</v>
      </c>
      <c r="M5" s="6">
        <f t="shared" si="0"/>
        <v>0</v>
      </c>
      <c r="N5" s="6">
        <f t="shared" si="0"/>
        <v>0</v>
      </c>
      <c r="O5" s="6">
        <f t="shared" si="0"/>
        <v>5023</v>
      </c>
      <c r="P5" s="6">
        <f t="shared" si="0"/>
        <v>5097</v>
      </c>
      <c r="Q5" s="6">
        <f t="shared" si="0"/>
        <v>1747.8811999999994</v>
      </c>
      <c r="R5" s="6">
        <f t="shared" si="0"/>
        <v>6643.4399999999987</v>
      </c>
      <c r="S5" s="6">
        <f t="shared" si="0"/>
        <v>6835.3276000000005</v>
      </c>
      <c r="T5" s="6">
        <f t="shared" si="0"/>
        <v>0</v>
      </c>
      <c r="U5" s="6">
        <f t="shared" si="0"/>
        <v>6834</v>
      </c>
      <c r="V5" s="6">
        <f t="shared" si="0"/>
        <v>3701.590909090909</v>
      </c>
      <c r="W5" s="6">
        <f t="shared" ref="W5" si="1">SUM(W6:W500)</f>
        <v>3132.409090909091</v>
      </c>
      <c r="X5" s="6">
        <f t="shared" si="0"/>
        <v>560</v>
      </c>
      <c r="Y5" s="2"/>
      <c r="Z5" s="2"/>
      <c r="AA5" s="2"/>
      <c r="AB5" s="6">
        <f t="shared" ref="AB5:AI5" si="2">SUM(AB6:AB500)</f>
        <v>1947.201600000001</v>
      </c>
      <c r="AC5" s="6">
        <f t="shared" si="2"/>
        <v>1844.9844000000001</v>
      </c>
      <c r="AD5" s="6">
        <f t="shared" si="2"/>
        <v>1767.0598000000007</v>
      </c>
      <c r="AE5" s="6">
        <f t="shared" si="2"/>
        <v>2208.4368000000004</v>
      </c>
      <c r="AF5" s="6">
        <f t="shared" si="2"/>
        <v>2105.3669999999997</v>
      </c>
      <c r="AG5" s="6">
        <f t="shared" si="2"/>
        <v>1738.4793999999999</v>
      </c>
      <c r="AH5" s="6">
        <f t="shared" si="2"/>
        <v>2217.2184000000007</v>
      </c>
      <c r="AI5" s="6">
        <f t="shared" si="2"/>
        <v>1747.6758000000002</v>
      </c>
      <c r="AJ5" s="2"/>
      <c r="AK5" s="6">
        <f>SUM(AK6:AK500)</f>
        <v>1765.1354545454546</v>
      </c>
      <c r="AL5" s="6">
        <f>SUM(AL6:AL500)</f>
        <v>1470.4645454545455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>
      <c r="A6" s="2" t="s">
        <v>35</v>
      </c>
      <c r="B6" s="2" t="s">
        <v>36</v>
      </c>
      <c r="C6" s="2">
        <v>280</v>
      </c>
      <c r="D6" s="2">
        <v>453</v>
      </c>
      <c r="E6" s="2">
        <v>241</v>
      </c>
      <c r="F6" s="2">
        <v>242</v>
      </c>
      <c r="G6" s="3">
        <v>0.4</v>
      </c>
      <c r="H6" s="2">
        <v>60</v>
      </c>
      <c r="I6" s="2" t="s">
        <v>37</v>
      </c>
      <c r="J6" s="2"/>
      <c r="K6" s="2">
        <v>244</v>
      </c>
      <c r="L6" s="2">
        <f t="shared" ref="L6:L37" si="3">E6-K6</f>
        <v>-3</v>
      </c>
      <c r="M6" s="2"/>
      <c r="N6" s="2"/>
      <c r="O6" s="2">
        <v>120</v>
      </c>
      <c r="P6" s="2">
        <v>180</v>
      </c>
      <c r="Q6" s="2">
        <f t="shared" ref="Q6:Q37" si="4">E6/5</f>
        <v>48.2</v>
      </c>
      <c r="R6" s="15">
        <f>14*Q6-P6-O6-F6</f>
        <v>132.80000000000007</v>
      </c>
      <c r="S6" s="15">
        <f>R6</f>
        <v>132.80000000000007</v>
      </c>
      <c r="T6" s="15"/>
      <c r="U6" s="15">
        <f>ROUND(T6+S6,0)</f>
        <v>133</v>
      </c>
      <c r="V6" s="15">
        <f>U6-W6</f>
        <v>0</v>
      </c>
      <c r="W6" s="15">
        <f>U6</f>
        <v>133</v>
      </c>
      <c r="X6" s="15"/>
      <c r="Y6" s="2"/>
      <c r="Z6" s="2">
        <f>(F6+O6+P6+U6)/Q6</f>
        <v>14.004149377593361</v>
      </c>
      <c r="AA6" s="2">
        <f t="shared" ref="AA6:AA37" si="5">(F6+O6+P6)/Q6</f>
        <v>11.244813278008298</v>
      </c>
      <c r="AB6" s="2">
        <v>53.8</v>
      </c>
      <c r="AC6" s="2">
        <v>51.4</v>
      </c>
      <c r="AD6" s="2">
        <v>50.8</v>
      </c>
      <c r="AE6" s="2">
        <v>59</v>
      </c>
      <c r="AF6" s="2">
        <v>52.2</v>
      </c>
      <c r="AG6" s="2">
        <v>39.799999999999997</v>
      </c>
      <c r="AH6" s="2">
        <v>62</v>
      </c>
      <c r="AI6" s="2">
        <v>47.2</v>
      </c>
      <c r="AJ6" s="2"/>
      <c r="AK6" s="2">
        <f>G6*V6</f>
        <v>0</v>
      </c>
      <c r="AL6" s="2">
        <f>G6*W6</f>
        <v>53.2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>
      <c r="A7" s="2" t="s">
        <v>38</v>
      </c>
      <c r="B7" s="2" t="s">
        <v>39</v>
      </c>
      <c r="C7" s="2">
        <v>52.158999999999999</v>
      </c>
      <c r="D7" s="2">
        <v>4.0030000000000001</v>
      </c>
      <c r="E7" s="2">
        <v>15.935</v>
      </c>
      <c r="F7" s="2">
        <v>29.872</v>
      </c>
      <c r="G7" s="3">
        <v>1</v>
      </c>
      <c r="H7" s="2">
        <v>120</v>
      </c>
      <c r="I7" s="2" t="s">
        <v>37</v>
      </c>
      <c r="J7" s="2"/>
      <c r="K7" s="2">
        <v>13.6</v>
      </c>
      <c r="L7" s="2">
        <f t="shared" si="3"/>
        <v>2.3350000000000009</v>
      </c>
      <c r="M7" s="2"/>
      <c r="N7" s="2"/>
      <c r="O7" s="2">
        <v>0</v>
      </c>
      <c r="P7" s="2"/>
      <c r="Q7" s="2">
        <f t="shared" si="4"/>
        <v>3.1870000000000003</v>
      </c>
      <c r="R7" s="15">
        <f t="shared" ref="R7:R17" si="6">14*Q7-P7-O7-F7</f>
        <v>14.746000000000002</v>
      </c>
      <c r="S7" s="15">
        <f t="shared" ref="S7:S70" si="7">R7</f>
        <v>14.746000000000002</v>
      </c>
      <c r="T7" s="15"/>
      <c r="U7" s="15">
        <f t="shared" ref="U7:U70" si="8">ROUND(T7+S7,0)</f>
        <v>15</v>
      </c>
      <c r="V7" s="15">
        <f t="shared" ref="V7:V70" si="9">U7-W7</f>
        <v>15</v>
      </c>
      <c r="W7" s="15"/>
      <c r="X7" s="15"/>
      <c r="Y7" s="2"/>
      <c r="Z7" s="2">
        <f t="shared" ref="Z7:Z70" si="10">(F7+O7+P7+U7)/Q7</f>
        <v>14.079698776278631</v>
      </c>
      <c r="AA7" s="2">
        <f t="shared" si="5"/>
        <v>9.3730781299027282</v>
      </c>
      <c r="AB7" s="2">
        <v>2.3664000000000001</v>
      </c>
      <c r="AC7" s="2">
        <v>2.1724000000000001</v>
      </c>
      <c r="AD7" s="2">
        <v>1.843</v>
      </c>
      <c r="AE7" s="2">
        <v>6.2092000000000001</v>
      </c>
      <c r="AF7" s="2">
        <v>3.1107999999999998</v>
      </c>
      <c r="AG7" s="2">
        <v>4.1124000000000001</v>
      </c>
      <c r="AH7" s="2">
        <v>3.3555999999999999</v>
      </c>
      <c r="AI7" s="2">
        <v>2.0735999999999999</v>
      </c>
      <c r="AJ7" s="2"/>
      <c r="AK7" s="2">
        <f t="shared" ref="AK7:AK70" si="11">G7*V7</f>
        <v>15</v>
      </c>
      <c r="AL7" s="2">
        <f t="shared" ref="AL7:AL70" si="12">G7*W7</f>
        <v>0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>
      <c r="A8" s="2" t="s">
        <v>40</v>
      </c>
      <c r="B8" s="2" t="s">
        <v>36</v>
      </c>
      <c r="C8" s="2">
        <v>37</v>
      </c>
      <c r="D8" s="2">
        <v>68</v>
      </c>
      <c r="E8" s="2">
        <v>68</v>
      </c>
      <c r="F8" s="2">
        <v>27</v>
      </c>
      <c r="G8" s="3">
        <v>0.25</v>
      </c>
      <c r="H8" s="2">
        <v>120</v>
      </c>
      <c r="I8" s="2" t="s">
        <v>37</v>
      </c>
      <c r="J8" s="2"/>
      <c r="K8" s="2">
        <v>67</v>
      </c>
      <c r="L8" s="2">
        <f t="shared" si="3"/>
        <v>1</v>
      </c>
      <c r="M8" s="2"/>
      <c r="N8" s="2"/>
      <c r="O8" s="2">
        <v>50</v>
      </c>
      <c r="P8" s="2">
        <v>50</v>
      </c>
      <c r="Q8" s="2">
        <f t="shared" si="4"/>
        <v>13.6</v>
      </c>
      <c r="R8" s="15">
        <f t="shared" si="6"/>
        <v>63.400000000000006</v>
      </c>
      <c r="S8" s="15">
        <f t="shared" si="7"/>
        <v>63.400000000000006</v>
      </c>
      <c r="T8" s="15"/>
      <c r="U8" s="15">
        <f t="shared" si="8"/>
        <v>63</v>
      </c>
      <c r="V8" s="15">
        <f t="shared" si="9"/>
        <v>63</v>
      </c>
      <c r="W8" s="15"/>
      <c r="X8" s="15"/>
      <c r="Y8" s="2"/>
      <c r="Z8" s="2">
        <f t="shared" si="10"/>
        <v>13.970588235294118</v>
      </c>
      <c r="AA8" s="2">
        <f t="shared" si="5"/>
        <v>9.3382352941176467</v>
      </c>
      <c r="AB8" s="2">
        <v>11.8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 t="s">
        <v>41</v>
      </c>
      <c r="AK8" s="2">
        <f t="shared" si="11"/>
        <v>15.75</v>
      </c>
      <c r="AL8" s="2">
        <f t="shared" si="12"/>
        <v>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>
      <c r="A9" s="2" t="s">
        <v>42</v>
      </c>
      <c r="B9" s="2" t="s">
        <v>39</v>
      </c>
      <c r="C9" s="2">
        <v>295.447</v>
      </c>
      <c r="D9" s="2">
        <v>323.529</v>
      </c>
      <c r="E9" s="2">
        <v>189.833</v>
      </c>
      <c r="F9" s="2">
        <v>162.12899999999999</v>
      </c>
      <c r="G9" s="3">
        <v>1</v>
      </c>
      <c r="H9" s="2">
        <v>60</v>
      </c>
      <c r="I9" s="2" t="s">
        <v>37</v>
      </c>
      <c r="J9" s="2"/>
      <c r="K9" s="2">
        <v>178.215</v>
      </c>
      <c r="L9" s="2">
        <f t="shared" si="3"/>
        <v>11.617999999999995</v>
      </c>
      <c r="M9" s="2"/>
      <c r="N9" s="2"/>
      <c r="O9" s="2">
        <v>120</v>
      </c>
      <c r="P9" s="2">
        <v>121</v>
      </c>
      <c r="Q9" s="2">
        <f t="shared" si="4"/>
        <v>37.9666</v>
      </c>
      <c r="R9" s="15">
        <f t="shared" si="6"/>
        <v>128.40340000000006</v>
      </c>
      <c r="S9" s="15">
        <f>X9</f>
        <v>150</v>
      </c>
      <c r="T9" s="15"/>
      <c r="U9" s="15">
        <f t="shared" si="8"/>
        <v>150</v>
      </c>
      <c r="V9" s="15">
        <f t="shared" si="9"/>
        <v>0</v>
      </c>
      <c r="W9" s="15">
        <f>U9</f>
        <v>150</v>
      </c>
      <c r="X9" s="15">
        <v>150</v>
      </c>
      <c r="Y9" s="2"/>
      <c r="Z9" s="2">
        <f t="shared" si="10"/>
        <v>14.568831551943024</v>
      </c>
      <c r="AA9" s="2">
        <f t="shared" si="5"/>
        <v>10.617990549588322</v>
      </c>
      <c r="AB9" s="2">
        <v>42.933199999999999</v>
      </c>
      <c r="AC9" s="2">
        <v>37.126800000000003</v>
      </c>
      <c r="AD9" s="2">
        <v>39.812199999999997</v>
      </c>
      <c r="AE9" s="2">
        <v>44.874400000000001</v>
      </c>
      <c r="AF9" s="2">
        <v>51.76</v>
      </c>
      <c r="AG9" s="2">
        <v>39.495800000000003</v>
      </c>
      <c r="AH9" s="2">
        <v>48.458199999999998</v>
      </c>
      <c r="AI9" s="2">
        <v>42.053199999999997</v>
      </c>
      <c r="AJ9" s="2"/>
      <c r="AK9" s="2">
        <f t="shared" si="11"/>
        <v>0</v>
      </c>
      <c r="AL9" s="2">
        <f t="shared" si="12"/>
        <v>150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>
      <c r="A10" s="2" t="s">
        <v>43</v>
      </c>
      <c r="B10" s="2" t="s">
        <v>39</v>
      </c>
      <c r="C10" s="2">
        <v>13.868</v>
      </c>
      <c r="D10" s="2">
        <v>20.183</v>
      </c>
      <c r="E10" s="2">
        <v>13.4</v>
      </c>
      <c r="F10" s="2">
        <v>8.3059999999999992</v>
      </c>
      <c r="G10" s="3">
        <v>1</v>
      </c>
      <c r="H10" s="2">
        <v>120</v>
      </c>
      <c r="I10" s="2" t="s">
        <v>37</v>
      </c>
      <c r="J10" s="2"/>
      <c r="K10" s="2">
        <v>17.7</v>
      </c>
      <c r="L10" s="2">
        <f t="shared" si="3"/>
        <v>-4.2999999999999989</v>
      </c>
      <c r="M10" s="2"/>
      <c r="N10" s="2"/>
      <c r="O10" s="2">
        <v>16</v>
      </c>
      <c r="P10" s="2">
        <v>5</v>
      </c>
      <c r="Q10" s="2">
        <f t="shared" si="4"/>
        <v>2.68</v>
      </c>
      <c r="R10" s="15">
        <f t="shared" si="6"/>
        <v>8.214000000000004</v>
      </c>
      <c r="S10" s="15">
        <f t="shared" si="7"/>
        <v>8.214000000000004</v>
      </c>
      <c r="T10" s="15"/>
      <c r="U10" s="15">
        <f t="shared" si="8"/>
        <v>8</v>
      </c>
      <c r="V10" s="15">
        <f t="shared" si="9"/>
        <v>8</v>
      </c>
      <c r="W10" s="15"/>
      <c r="X10" s="15"/>
      <c r="Y10" s="2"/>
      <c r="Z10" s="2">
        <f t="shared" si="10"/>
        <v>13.920149253731342</v>
      </c>
      <c r="AA10" s="2">
        <f t="shared" si="5"/>
        <v>10.935074626865671</v>
      </c>
      <c r="AB10" s="2">
        <v>3.0956000000000001</v>
      </c>
      <c r="AC10" s="2">
        <v>2.4108000000000001</v>
      </c>
      <c r="AD10" s="2">
        <v>2.7</v>
      </c>
      <c r="AE10" s="2">
        <v>0.79400000000000004</v>
      </c>
      <c r="AF10" s="2">
        <v>4.6791999999999998</v>
      </c>
      <c r="AG10" s="2">
        <v>1.5808</v>
      </c>
      <c r="AH10" s="2">
        <v>1.9561999999999999</v>
      </c>
      <c r="AI10" s="2">
        <v>1.6894</v>
      </c>
      <c r="AJ10" s="2"/>
      <c r="AK10" s="2">
        <f t="shared" si="11"/>
        <v>8</v>
      </c>
      <c r="AL10" s="2">
        <f t="shared" si="12"/>
        <v>0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>
      <c r="A11" s="2" t="s">
        <v>44</v>
      </c>
      <c r="B11" s="2" t="s">
        <v>39</v>
      </c>
      <c r="C11" s="2">
        <v>30.888999999999999</v>
      </c>
      <c r="D11" s="2">
        <v>209.49799999999999</v>
      </c>
      <c r="E11" s="2">
        <v>51.115000000000002</v>
      </c>
      <c r="F11" s="2">
        <v>96.710999999999999</v>
      </c>
      <c r="G11" s="3">
        <v>1</v>
      </c>
      <c r="H11" s="2">
        <v>60</v>
      </c>
      <c r="I11" s="12" t="s">
        <v>45</v>
      </c>
      <c r="J11" s="2"/>
      <c r="K11" s="2">
        <v>50.1</v>
      </c>
      <c r="L11" s="2">
        <f t="shared" si="3"/>
        <v>1.0150000000000006</v>
      </c>
      <c r="M11" s="2"/>
      <c r="N11" s="2"/>
      <c r="O11" s="2">
        <v>0</v>
      </c>
      <c r="P11" s="2"/>
      <c r="Q11" s="2">
        <f t="shared" si="4"/>
        <v>10.223000000000001</v>
      </c>
      <c r="R11" s="15">
        <f t="shared" si="6"/>
        <v>46.411000000000016</v>
      </c>
      <c r="S11" s="15">
        <f t="shared" si="7"/>
        <v>46.411000000000016</v>
      </c>
      <c r="T11" s="15"/>
      <c r="U11" s="15">
        <f t="shared" si="8"/>
        <v>46</v>
      </c>
      <c r="V11" s="15">
        <f t="shared" si="9"/>
        <v>46</v>
      </c>
      <c r="W11" s="15"/>
      <c r="X11" s="15"/>
      <c r="Y11" s="2"/>
      <c r="Z11" s="2">
        <f t="shared" si="10"/>
        <v>13.959796537219994</v>
      </c>
      <c r="AA11" s="2">
        <f t="shared" si="5"/>
        <v>9.4601389024748102</v>
      </c>
      <c r="AB11" s="2">
        <v>8.0182000000000002</v>
      </c>
      <c r="AC11" s="2">
        <v>10.991199999999999</v>
      </c>
      <c r="AD11" s="2">
        <v>10.7874</v>
      </c>
      <c r="AE11" s="2">
        <v>4.8311999999999999</v>
      </c>
      <c r="AF11" s="2">
        <v>8.6864000000000008</v>
      </c>
      <c r="AG11" s="2">
        <v>1.3555999999999999</v>
      </c>
      <c r="AH11" s="2">
        <v>3.9807999999999999</v>
      </c>
      <c r="AI11" s="2">
        <v>5.9454000000000002</v>
      </c>
      <c r="AJ11" s="2"/>
      <c r="AK11" s="2">
        <f t="shared" si="11"/>
        <v>46</v>
      </c>
      <c r="AL11" s="2">
        <f t="shared" si="12"/>
        <v>0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>
      <c r="A12" s="2" t="s">
        <v>46</v>
      </c>
      <c r="B12" s="2" t="s">
        <v>39</v>
      </c>
      <c r="C12" s="2">
        <v>223.76499999999999</v>
      </c>
      <c r="D12" s="2">
        <v>121.80200000000001</v>
      </c>
      <c r="E12" s="2">
        <v>192.65299999999999</v>
      </c>
      <c r="F12" s="2">
        <v>40.938000000000002</v>
      </c>
      <c r="G12" s="3">
        <v>1</v>
      </c>
      <c r="H12" s="2">
        <v>60</v>
      </c>
      <c r="I12" s="2" t="s">
        <v>37</v>
      </c>
      <c r="J12" s="2"/>
      <c r="K12" s="2">
        <v>182.2</v>
      </c>
      <c r="L12" s="2">
        <f t="shared" si="3"/>
        <v>10.453000000000003</v>
      </c>
      <c r="M12" s="2"/>
      <c r="N12" s="2"/>
      <c r="O12" s="2">
        <v>260</v>
      </c>
      <c r="P12" s="2">
        <v>260</v>
      </c>
      <c r="Q12" s="2">
        <f t="shared" si="4"/>
        <v>38.5306</v>
      </c>
      <c r="R12" s="15"/>
      <c r="S12" s="15">
        <f>X12</f>
        <v>50</v>
      </c>
      <c r="T12" s="15"/>
      <c r="U12" s="15">
        <f t="shared" si="8"/>
        <v>50</v>
      </c>
      <c r="V12" s="15">
        <f t="shared" si="9"/>
        <v>0</v>
      </c>
      <c r="W12" s="15">
        <f>U12</f>
        <v>50</v>
      </c>
      <c r="X12" s="15">
        <v>50</v>
      </c>
      <c r="Y12" s="2"/>
      <c r="Z12" s="2">
        <f t="shared" si="10"/>
        <v>15.855917115227896</v>
      </c>
      <c r="AA12" s="2">
        <f t="shared" si="5"/>
        <v>14.558247211307377</v>
      </c>
      <c r="AB12" s="2">
        <v>54.674999999999997</v>
      </c>
      <c r="AC12" s="2">
        <v>36.8538</v>
      </c>
      <c r="AD12" s="2">
        <v>40.513800000000003</v>
      </c>
      <c r="AE12" s="2">
        <v>52.1188</v>
      </c>
      <c r="AF12" s="2">
        <v>36.526600000000002</v>
      </c>
      <c r="AG12" s="2">
        <v>40.3538</v>
      </c>
      <c r="AH12" s="2">
        <v>57.832999999999998</v>
      </c>
      <c r="AI12" s="2">
        <v>39.202399999999997</v>
      </c>
      <c r="AJ12" s="2"/>
      <c r="AK12" s="2">
        <f t="shared" si="11"/>
        <v>0</v>
      </c>
      <c r="AL12" s="2">
        <f t="shared" si="12"/>
        <v>50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>
      <c r="A13" s="2" t="s">
        <v>47</v>
      </c>
      <c r="B13" s="2" t="s">
        <v>36</v>
      </c>
      <c r="C13" s="2">
        <v>154</v>
      </c>
      <c r="D13" s="2">
        <v>71</v>
      </c>
      <c r="E13" s="2">
        <v>113</v>
      </c>
      <c r="F13" s="2">
        <v>52</v>
      </c>
      <c r="G13" s="3">
        <v>0.25</v>
      </c>
      <c r="H13" s="2">
        <v>120</v>
      </c>
      <c r="I13" s="2" t="s">
        <v>37</v>
      </c>
      <c r="J13" s="2"/>
      <c r="K13" s="2">
        <v>111</v>
      </c>
      <c r="L13" s="2">
        <f t="shared" si="3"/>
        <v>2</v>
      </c>
      <c r="M13" s="2"/>
      <c r="N13" s="2"/>
      <c r="O13" s="2">
        <v>81</v>
      </c>
      <c r="P13" s="2">
        <v>81</v>
      </c>
      <c r="Q13" s="2">
        <f t="shared" si="4"/>
        <v>22.6</v>
      </c>
      <c r="R13" s="15">
        <f t="shared" si="6"/>
        <v>102.40000000000003</v>
      </c>
      <c r="S13" s="15">
        <f t="shared" si="7"/>
        <v>102.40000000000003</v>
      </c>
      <c r="T13" s="15"/>
      <c r="U13" s="15">
        <f t="shared" si="8"/>
        <v>102</v>
      </c>
      <c r="V13" s="15">
        <f t="shared" si="9"/>
        <v>102</v>
      </c>
      <c r="W13" s="15"/>
      <c r="X13" s="15"/>
      <c r="Y13" s="2"/>
      <c r="Z13" s="2">
        <f t="shared" si="10"/>
        <v>13.982300884955752</v>
      </c>
      <c r="AA13" s="2">
        <f t="shared" si="5"/>
        <v>9.4690265486725664</v>
      </c>
      <c r="AB13" s="2">
        <v>26.2</v>
      </c>
      <c r="AC13" s="2">
        <v>22.8</v>
      </c>
      <c r="AD13" s="2">
        <v>22</v>
      </c>
      <c r="AE13" s="2">
        <v>27.199000000000002</v>
      </c>
      <c r="AF13" s="2">
        <v>19</v>
      </c>
      <c r="AG13" s="2">
        <v>20</v>
      </c>
      <c r="AH13" s="2">
        <v>21.6</v>
      </c>
      <c r="AI13" s="2">
        <v>17.2</v>
      </c>
      <c r="AJ13" s="2"/>
      <c r="AK13" s="2">
        <f t="shared" si="11"/>
        <v>25.5</v>
      </c>
      <c r="AL13" s="2">
        <f t="shared" si="12"/>
        <v>0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>
      <c r="A14" s="2" t="s">
        <v>48</v>
      </c>
      <c r="B14" s="2" t="s">
        <v>39</v>
      </c>
      <c r="C14" s="2">
        <v>163.43600000000001</v>
      </c>
      <c r="D14" s="2">
        <v>173.18299999999999</v>
      </c>
      <c r="E14" s="2">
        <v>84.912999999999997</v>
      </c>
      <c r="F14" s="2">
        <v>102.492</v>
      </c>
      <c r="G14" s="3">
        <v>1</v>
      </c>
      <c r="H14" s="2">
        <v>60</v>
      </c>
      <c r="I14" s="2" t="s">
        <v>37</v>
      </c>
      <c r="J14" s="2"/>
      <c r="K14" s="2">
        <v>77</v>
      </c>
      <c r="L14" s="2">
        <f t="shared" si="3"/>
        <v>7.9129999999999967</v>
      </c>
      <c r="M14" s="2"/>
      <c r="N14" s="2"/>
      <c r="O14" s="2">
        <v>25</v>
      </c>
      <c r="P14" s="2">
        <v>60</v>
      </c>
      <c r="Q14" s="2">
        <f t="shared" si="4"/>
        <v>16.982599999999998</v>
      </c>
      <c r="R14" s="15">
        <f t="shared" si="6"/>
        <v>50.264399999999981</v>
      </c>
      <c r="S14" s="15">
        <f t="shared" si="7"/>
        <v>50.264399999999981</v>
      </c>
      <c r="T14" s="15"/>
      <c r="U14" s="15">
        <f t="shared" si="8"/>
        <v>50</v>
      </c>
      <c r="V14" s="15">
        <f t="shared" si="9"/>
        <v>50</v>
      </c>
      <c r="W14" s="15"/>
      <c r="X14" s="15"/>
      <c r="Y14" s="2"/>
      <c r="Z14" s="2">
        <f t="shared" si="10"/>
        <v>13.98443112362065</v>
      </c>
      <c r="AA14" s="2">
        <f t="shared" si="5"/>
        <v>11.040241188039525</v>
      </c>
      <c r="AB14" s="2">
        <v>18.790800000000001</v>
      </c>
      <c r="AC14" s="2">
        <v>20.5336</v>
      </c>
      <c r="AD14" s="2">
        <v>13.9848</v>
      </c>
      <c r="AE14" s="2">
        <v>29.025600000000001</v>
      </c>
      <c r="AF14" s="2">
        <v>23.8262</v>
      </c>
      <c r="AG14" s="2">
        <v>16.108799999999999</v>
      </c>
      <c r="AH14" s="2">
        <v>23.488800000000001</v>
      </c>
      <c r="AI14" s="2">
        <v>12.8104</v>
      </c>
      <c r="AJ14" s="2"/>
      <c r="AK14" s="2">
        <f t="shared" si="11"/>
        <v>50</v>
      </c>
      <c r="AL14" s="2">
        <f t="shared" si="12"/>
        <v>0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>
      <c r="A15" s="2" t="s">
        <v>49</v>
      </c>
      <c r="B15" s="2" t="s">
        <v>36</v>
      </c>
      <c r="C15" s="2">
        <v>106</v>
      </c>
      <c r="D15" s="2">
        <v>592</v>
      </c>
      <c r="E15" s="2">
        <v>118</v>
      </c>
      <c r="F15" s="2">
        <v>388</v>
      </c>
      <c r="G15" s="3">
        <v>0.25</v>
      </c>
      <c r="H15" s="2">
        <v>120</v>
      </c>
      <c r="I15" s="2" t="s">
        <v>37</v>
      </c>
      <c r="J15" s="2"/>
      <c r="K15" s="2">
        <v>126</v>
      </c>
      <c r="L15" s="2">
        <f t="shared" si="3"/>
        <v>-8</v>
      </c>
      <c r="M15" s="2"/>
      <c r="N15" s="2"/>
      <c r="O15" s="2">
        <v>0</v>
      </c>
      <c r="P15" s="2"/>
      <c r="Q15" s="2">
        <f t="shared" si="4"/>
        <v>23.6</v>
      </c>
      <c r="R15" s="15"/>
      <c r="S15" s="15">
        <f t="shared" si="7"/>
        <v>0</v>
      </c>
      <c r="T15" s="15"/>
      <c r="U15" s="15">
        <f t="shared" si="8"/>
        <v>0</v>
      </c>
      <c r="V15" s="15">
        <f t="shared" si="9"/>
        <v>0</v>
      </c>
      <c r="W15" s="15"/>
      <c r="X15" s="15"/>
      <c r="Y15" s="2"/>
      <c r="Z15" s="2">
        <f t="shared" si="10"/>
        <v>16.440677966101696</v>
      </c>
      <c r="AA15" s="2">
        <f t="shared" si="5"/>
        <v>16.440677966101696</v>
      </c>
      <c r="AB15" s="2">
        <v>29.4</v>
      </c>
      <c r="AC15" s="2">
        <v>42.8</v>
      </c>
      <c r="AD15" s="2">
        <v>25.8</v>
      </c>
      <c r="AE15" s="2">
        <v>38.200000000000003</v>
      </c>
      <c r="AF15" s="2">
        <v>30</v>
      </c>
      <c r="AG15" s="2">
        <v>22.2</v>
      </c>
      <c r="AH15" s="2">
        <v>33.799999999999997</v>
      </c>
      <c r="AI15" s="2">
        <v>24.8</v>
      </c>
      <c r="AJ15" s="2"/>
      <c r="AK15" s="2">
        <f t="shared" si="11"/>
        <v>0</v>
      </c>
      <c r="AL15" s="2">
        <f t="shared" si="12"/>
        <v>0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>
      <c r="A16" s="2" t="s">
        <v>50</v>
      </c>
      <c r="B16" s="2" t="s">
        <v>36</v>
      </c>
      <c r="C16" s="2">
        <v>215</v>
      </c>
      <c r="D16" s="2">
        <v>6</v>
      </c>
      <c r="E16" s="2">
        <v>41</v>
      </c>
      <c r="F16" s="2">
        <v>174</v>
      </c>
      <c r="G16" s="3">
        <v>0.4</v>
      </c>
      <c r="H16" s="2">
        <v>60</v>
      </c>
      <c r="I16" s="2" t="s">
        <v>37</v>
      </c>
      <c r="J16" s="2"/>
      <c r="K16" s="2">
        <v>41</v>
      </c>
      <c r="L16" s="2">
        <f t="shared" si="3"/>
        <v>0</v>
      </c>
      <c r="M16" s="2"/>
      <c r="N16" s="2"/>
      <c r="O16" s="2">
        <v>12</v>
      </c>
      <c r="P16" s="2"/>
      <c r="Q16" s="2">
        <f t="shared" si="4"/>
        <v>8.1999999999999993</v>
      </c>
      <c r="R16" s="15"/>
      <c r="S16" s="15">
        <f t="shared" si="7"/>
        <v>0</v>
      </c>
      <c r="T16" s="15"/>
      <c r="U16" s="15">
        <f t="shared" si="8"/>
        <v>0</v>
      </c>
      <c r="V16" s="15">
        <f t="shared" si="9"/>
        <v>0</v>
      </c>
      <c r="W16" s="15"/>
      <c r="X16" s="15"/>
      <c r="Y16" s="2"/>
      <c r="Z16" s="2">
        <f t="shared" si="10"/>
        <v>22.682926829268293</v>
      </c>
      <c r="AA16" s="2">
        <f t="shared" si="5"/>
        <v>22.682926829268293</v>
      </c>
      <c r="AB16" s="2">
        <v>16</v>
      </c>
      <c r="AC16" s="2">
        <v>6.6</v>
      </c>
      <c r="AD16" s="2">
        <v>-0.4</v>
      </c>
      <c r="AE16" s="2">
        <v>34</v>
      </c>
      <c r="AF16" s="2">
        <v>15.4</v>
      </c>
      <c r="AG16" s="2">
        <v>7.8</v>
      </c>
      <c r="AH16" s="2">
        <v>20.399999999999999</v>
      </c>
      <c r="AI16" s="2">
        <v>13.8</v>
      </c>
      <c r="AJ16" s="17" t="s">
        <v>51</v>
      </c>
      <c r="AK16" s="2">
        <f t="shared" si="11"/>
        <v>0</v>
      </c>
      <c r="AL16" s="2">
        <f t="shared" si="12"/>
        <v>0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>
      <c r="A17" s="2" t="s">
        <v>52</v>
      </c>
      <c r="B17" s="2" t="s">
        <v>39</v>
      </c>
      <c r="C17" s="2">
        <v>352.04500000000002</v>
      </c>
      <c r="D17" s="2">
        <v>235.90600000000001</v>
      </c>
      <c r="E17" s="2">
        <v>164.43600000000001</v>
      </c>
      <c r="F17" s="2">
        <v>172.19200000000001</v>
      </c>
      <c r="G17" s="3">
        <v>1</v>
      </c>
      <c r="H17" s="2">
        <v>45</v>
      </c>
      <c r="I17" s="2" t="s">
        <v>37</v>
      </c>
      <c r="J17" s="2"/>
      <c r="K17" s="2">
        <v>150.19999999999999</v>
      </c>
      <c r="L17" s="2">
        <f t="shared" si="3"/>
        <v>14.236000000000018</v>
      </c>
      <c r="M17" s="2"/>
      <c r="N17" s="2"/>
      <c r="O17" s="2">
        <v>77</v>
      </c>
      <c r="P17" s="2">
        <v>100</v>
      </c>
      <c r="Q17" s="2">
        <f t="shared" si="4"/>
        <v>32.8872</v>
      </c>
      <c r="R17" s="15">
        <f t="shared" si="6"/>
        <v>111.22879999999998</v>
      </c>
      <c r="S17" s="15">
        <f t="shared" si="7"/>
        <v>111.22879999999998</v>
      </c>
      <c r="T17" s="15"/>
      <c r="U17" s="15">
        <f t="shared" si="8"/>
        <v>111</v>
      </c>
      <c r="V17" s="15">
        <f t="shared" si="9"/>
        <v>0</v>
      </c>
      <c r="W17" s="15">
        <f>U17</f>
        <v>111</v>
      </c>
      <c r="X17" s="15"/>
      <c r="Y17" s="2"/>
      <c r="Z17" s="2">
        <f t="shared" si="10"/>
        <v>13.993042885986037</v>
      </c>
      <c r="AA17" s="2">
        <f t="shared" si="5"/>
        <v>10.617869566275026</v>
      </c>
      <c r="AB17" s="2">
        <v>37.010800000000003</v>
      </c>
      <c r="AC17" s="2">
        <v>18.934000000000001</v>
      </c>
      <c r="AD17" s="2">
        <v>39.348999999999997</v>
      </c>
      <c r="AE17" s="2">
        <v>38.210999999999999</v>
      </c>
      <c r="AF17" s="2">
        <v>32.492400000000004</v>
      </c>
      <c r="AG17" s="2">
        <v>29.880199999999999</v>
      </c>
      <c r="AH17" s="2">
        <v>42.694200000000002</v>
      </c>
      <c r="AI17" s="2">
        <v>21.826000000000001</v>
      </c>
      <c r="AJ17" s="2" t="s">
        <v>53</v>
      </c>
      <c r="AK17" s="2">
        <f t="shared" si="11"/>
        <v>0</v>
      </c>
      <c r="AL17" s="2">
        <f t="shared" si="12"/>
        <v>111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>
      <c r="A18" s="2" t="s">
        <v>54</v>
      </c>
      <c r="B18" s="2" t="s">
        <v>36</v>
      </c>
      <c r="C18" s="2">
        <v>218</v>
      </c>
      <c r="D18" s="2">
        <v>4</v>
      </c>
      <c r="E18" s="2">
        <v>80</v>
      </c>
      <c r="F18" s="2">
        <v>124</v>
      </c>
      <c r="G18" s="3">
        <v>0.12</v>
      </c>
      <c r="H18" s="2">
        <v>60</v>
      </c>
      <c r="I18" s="2" t="s">
        <v>37</v>
      </c>
      <c r="J18" s="2"/>
      <c r="K18" s="2">
        <v>83</v>
      </c>
      <c r="L18" s="2">
        <f t="shared" si="3"/>
        <v>-3</v>
      </c>
      <c r="M18" s="2"/>
      <c r="N18" s="2"/>
      <c r="O18" s="2">
        <v>100</v>
      </c>
      <c r="P18" s="2">
        <v>101</v>
      </c>
      <c r="Q18" s="2">
        <f t="shared" si="4"/>
        <v>16</v>
      </c>
      <c r="R18" s="15"/>
      <c r="S18" s="15">
        <f t="shared" si="7"/>
        <v>0</v>
      </c>
      <c r="T18" s="15"/>
      <c r="U18" s="15">
        <f t="shared" si="8"/>
        <v>0</v>
      </c>
      <c r="V18" s="15">
        <f t="shared" si="9"/>
        <v>0</v>
      </c>
      <c r="W18" s="15"/>
      <c r="X18" s="15"/>
      <c r="Y18" s="2"/>
      <c r="Z18" s="2">
        <f t="shared" si="10"/>
        <v>20.3125</v>
      </c>
      <c r="AA18" s="2">
        <f t="shared" si="5"/>
        <v>20.3125</v>
      </c>
      <c r="AB18" s="2">
        <v>29.6</v>
      </c>
      <c r="AC18" s="2">
        <v>24.8</v>
      </c>
      <c r="AD18" s="2">
        <v>31.8</v>
      </c>
      <c r="AE18" s="2">
        <v>41.2</v>
      </c>
      <c r="AF18" s="2">
        <v>31</v>
      </c>
      <c r="AG18" s="2">
        <v>29.8</v>
      </c>
      <c r="AH18" s="2">
        <v>32.4</v>
      </c>
      <c r="AI18" s="2">
        <v>13.8</v>
      </c>
      <c r="AJ18" s="18" t="s">
        <v>160</v>
      </c>
      <c r="AK18" s="2">
        <f t="shared" si="11"/>
        <v>0</v>
      </c>
      <c r="AL18" s="2">
        <f t="shared" si="12"/>
        <v>0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>
      <c r="A19" s="7" t="s">
        <v>55</v>
      </c>
      <c r="B19" s="7" t="s">
        <v>36</v>
      </c>
      <c r="C19" s="7">
        <v>-2</v>
      </c>
      <c r="D19" s="7">
        <v>22</v>
      </c>
      <c r="E19" s="7">
        <v>9</v>
      </c>
      <c r="F19" s="7">
        <v>5</v>
      </c>
      <c r="G19" s="8">
        <v>0</v>
      </c>
      <c r="H19" s="7">
        <v>120</v>
      </c>
      <c r="I19" s="7" t="s">
        <v>56</v>
      </c>
      <c r="J19" s="7"/>
      <c r="K19" s="7">
        <v>15</v>
      </c>
      <c r="L19" s="7">
        <f t="shared" si="3"/>
        <v>-6</v>
      </c>
      <c r="M19" s="7"/>
      <c r="N19" s="7"/>
      <c r="O19" s="7">
        <v>0</v>
      </c>
      <c r="P19" s="7"/>
      <c r="Q19" s="7">
        <f t="shared" si="4"/>
        <v>1.8</v>
      </c>
      <c r="R19" s="16"/>
      <c r="S19" s="15">
        <f t="shared" si="7"/>
        <v>0</v>
      </c>
      <c r="T19" s="16"/>
      <c r="U19" s="15">
        <f t="shared" si="8"/>
        <v>0</v>
      </c>
      <c r="V19" s="15">
        <f t="shared" si="9"/>
        <v>0</v>
      </c>
      <c r="W19" s="15"/>
      <c r="X19" s="16"/>
      <c r="Y19" s="7"/>
      <c r="Z19" s="2">
        <f t="shared" si="10"/>
        <v>2.7777777777777777</v>
      </c>
      <c r="AA19" s="7">
        <f t="shared" si="5"/>
        <v>2.7777777777777777</v>
      </c>
      <c r="AB19" s="7">
        <v>0.4</v>
      </c>
      <c r="AC19" s="7">
        <v>-0.2</v>
      </c>
      <c r="AD19" s="7">
        <v>-0.4</v>
      </c>
      <c r="AE19" s="7">
        <v>29</v>
      </c>
      <c r="AF19" s="7">
        <v>37.200000000000003</v>
      </c>
      <c r="AG19" s="7">
        <v>32.200000000000003</v>
      </c>
      <c r="AH19" s="7">
        <v>48.4</v>
      </c>
      <c r="AI19" s="7">
        <v>27.4</v>
      </c>
      <c r="AJ19" s="7" t="s">
        <v>57</v>
      </c>
      <c r="AK19" s="2">
        <f t="shared" si="11"/>
        <v>0</v>
      </c>
      <c r="AL19" s="2">
        <f t="shared" si="12"/>
        <v>0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>
      <c r="A20" s="2" t="s">
        <v>58</v>
      </c>
      <c r="B20" s="2" t="s">
        <v>39</v>
      </c>
      <c r="C20" s="2">
        <v>0.99299999999999999</v>
      </c>
      <c r="D20" s="2">
        <v>1.4890000000000001</v>
      </c>
      <c r="E20" s="2">
        <v>0.48499999999999999</v>
      </c>
      <c r="F20" s="2">
        <v>0.496</v>
      </c>
      <c r="G20" s="3">
        <v>1</v>
      </c>
      <c r="H20" s="2">
        <v>120</v>
      </c>
      <c r="I20" s="2" t="s">
        <v>37</v>
      </c>
      <c r="J20" s="2"/>
      <c r="K20" s="2">
        <v>2.5</v>
      </c>
      <c r="L20" s="2">
        <f t="shared" si="3"/>
        <v>-2.0150000000000001</v>
      </c>
      <c r="M20" s="2"/>
      <c r="N20" s="2"/>
      <c r="O20" s="2">
        <v>28</v>
      </c>
      <c r="P20" s="2"/>
      <c r="Q20" s="2">
        <f t="shared" si="4"/>
        <v>9.7000000000000003E-2</v>
      </c>
      <c r="R20" s="15"/>
      <c r="S20" s="15">
        <f t="shared" si="7"/>
        <v>0</v>
      </c>
      <c r="T20" s="15"/>
      <c r="U20" s="15">
        <f t="shared" si="8"/>
        <v>0</v>
      </c>
      <c r="V20" s="15">
        <f t="shared" si="9"/>
        <v>0</v>
      </c>
      <c r="W20" s="15"/>
      <c r="X20" s="15"/>
      <c r="Y20" s="2"/>
      <c r="Z20" s="2">
        <f t="shared" si="10"/>
        <v>293.77319587628864</v>
      </c>
      <c r="AA20" s="2">
        <f t="shared" si="5"/>
        <v>293.77319587628864</v>
      </c>
      <c r="AB20" s="2">
        <v>2.7824</v>
      </c>
      <c r="AC20" s="2">
        <v>0.995</v>
      </c>
      <c r="AD20" s="2">
        <v>0</v>
      </c>
      <c r="AE20" s="2">
        <v>2.3534000000000002</v>
      </c>
      <c r="AF20" s="2">
        <v>1.1252</v>
      </c>
      <c r="AG20" s="2">
        <v>1.0216000000000001</v>
      </c>
      <c r="AH20" s="2">
        <v>1.1272</v>
      </c>
      <c r="AI20" s="2">
        <v>1.3086</v>
      </c>
      <c r="AJ20" s="2"/>
      <c r="AK20" s="2">
        <f t="shared" si="11"/>
        <v>0</v>
      </c>
      <c r="AL20" s="2">
        <f t="shared" si="12"/>
        <v>0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>
      <c r="A21" s="2" t="s">
        <v>59</v>
      </c>
      <c r="B21" s="2" t="s">
        <v>36</v>
      </c>
      <c r="C21" s="2">
        <v>12</v>
      </c>
      <c r="D21" s="2">
        <v>496</v>
      </c>
      <c r="E21" s="2">
        <v>54</v>
      </c>
      <c r="F21" s="2">
        <v>313</v>
      </c>
      <c r="G21" s="3">
        <v>0.4</v>
      </c>
      <c r="H21" s="2">
        <v>45</v>
      </c>
      <c r="I21" s="2" t="s">
        <v>37</v>
      </c>
      <c r="J21" s="2"/>
      <c r="K21" s="2">
        <v>82</v>
      </c>
      <c r="L21" s="2">
        <f t="shared" si="3"/>
        <v>-28</v>
      </c>
      <c r="M21" s="2"/>
      <c r="N21" s="2"/>
      <c r="O21" s="2">
        <v>0</v>
      </c>
      <c r="P21" s="2"/>
      <c r="Q21" s="2">
        <f t="shared" si="4"/>
        <v>10.8</v>
      </c>
      <c r="R21" s="15"/>
      <c r="S21" s="15">
        <f t="shared" si="7"/>
        <v>0</v>
      </c>
      <c r="T21" s="15"/>
      <c r="U21" s="15">
        <f t="shared" si="8"/>
        <v>0</v>
      </c>
      <c r="V21" s="15">
        <f t="shared" si="9"/>
        <v>0</v>
      </c>
      <c r="W21" s="15"/>
      <c r="X21" s="15"/>
      <c r="Y21" s="2"/>
      <c r="Z21" s="2">
        <f t="shared" si="10"/>
        <v>28.981481481481481</v>
      </c>
      <c r="AA21" s="2">
        <f t="shared" si="5"/>
        <v>28.981481481481481</v>
      </c>
      <c r="AB21" s="2">
        <v>14.6</v>
      </c>
      <c r="AC21" s="2">
        <v>38.200000000000003</v>
      </c>
      <c r="AD21" s="2">
        <v>18.8</v>
      </c>
      <c r="AE21" s="2">
        <v>26.6</v>
      </c>
      <c r="AF21" s="2">
        <v>26.8</v>
      </c>
      <c r="AG21" s="2">
        <v>16.2</v>
      </c>
      <c r="AH21" s="2">
        <v>20.8</v>
      </c>
      <c r="AI21" s="2">
        <v>29.8</v>
      </c>
      <c r="AJ21" s="2" t="s">
        <v>53</v>
      </c>
      <c r="AK21" s="2">
        <f t="shared" si="11"/>
        <v>0</v>
      </c>
      <c r="AL21" s="2">
        <f t="shared" si="12"/>
        <v>0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>
      <c r="A22" s="2" t="s">
        <v>60</v>
      </c>
      <c r="B22" s="2" t="s">
        <v>39</v>
      </c>
      <c r="C22" s="2">
        <v>106.91500000000001</v>
      </c>
      <c r="D22" s="2">
        <v>272.05799999999999</v>
      </c>
      <c r="E22" s="2">
        <v>101.416</v>
      </c>
      <c r="F22" s="2">
        <v>155.607</v>
      </c>
      <c r="G22" s="3">
        <v>1</v>
      </c>
      <c r="H22" s="2">
        <v>60</v>
      </c>
      <c r="I22" s="2" t="s">
        <v>37</v>
      </c>
      <c r="J22" s="2"/>
      <c r="K22" s="2">
        <v>93.4</v>
      </c>
      <c r="L22" s="2">
        <f t="shared" si="3"/>
        <v>8.0159999999999911</v>
      </c>
      <c r="M22" s="2"/>
      <c r="N22" s="2"/>
      <c r="O22" s="2">
        <v>40</v>
      </c>
      <c r="P22" s="2">
        <v>80</v>
      </c>
      <c r="Q22" s="2">
        <f t="shared" si="4"/>
        <v>20.283200000000001</v>
      </c>
      <c r="R22" s="15">
        <f t="shared" ref="R22:R35" si="13">14*Q22-P22-O22-F22</f>
        <v>8.3578000000000259</v>
      </c>
      <c r="S22" s="15">
        <f t="shared" si="7"/>
        <v>8.3578000000000259</v>
      </c>
      <c r="T22" s="15"/>
      <c r="U22" s="15">
        <f t="shared" si="8"/>
        <v>8</v>
      </c>
      <c r="V22" s="15">
        <f t="shared" si="9"/>
        <v>8</v>
      </c>
      <c r="W22" s="15"/>
      <c r="X22" s="15"/>
      <c r="Y22" s="2"/>
      <c r="Z22" s="2">
        <f t="shared" si="10"/>
        <v>13.982359785438193</v>
      </c>
      <c r="AA22" s="2">
        <f t="shared" si="5"/>
        <v>13.587944703005441</v>
      </c>
      <c r="AB22" s="2">
        <v>25.443200000000001</v>
      </c>
      <c r="AC22" s="2">
        <v>28.674199999999999</v>
      </c>
      <c r="AD22" s="2">
        <v>23.243400000000001</v>
      </c>
      <c r="AE22" s="2">
        <v>28.889800000000001</v>
      </c>
      <c r="AF22" s="2">
        <v>28.033000000000001</v>
      </c>
      <c r="AG22" s="2">
        <v>24.1966</v>
      </c>
      <c r="AH22" s="2">
        <v>24.975000000000001</v>
      </c>
      <c r="AI22" s="2">
        <v>22.484400000000001</v>
      </c>
      <c r="AJ22" s="2"/>
      <c r="AK22" s="2">
        <f t="shared" si="11"/>
        <v>8</v>
      </c>
      <c r="AL22" s="2">
        <f t="shared" si="12"/>
        <v>0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>
      <c r="A23" s="2" t="s">
        <v>61</v>
      </c>
      <c r="B23" s="2" t="s">
        <v>36</v>
      </c>
      <c r="C23" s="2">
        <v>104</v>
      </c>
      <c r="D23" s="2">
        <v>231</v>
      </c>
      <c r="E23" s="2">
        <v>122</v>
      </c>
      <c r="F23" s="2">
        <v>193</v>
      </c>
      <c r="G23" s="3">
        <v>0.22</v>
      </c>
      <c r="H23" s="2">
        <v>120</v>
      </c>
      <c r="I23" s="2" t="s">
        <v>37</v>
      </c>
      <c r="J23" s="2"/>
      <c r="K23" s="2">
        <v>122</v>
      </c>
      <c r="L23" s="2">
        <f t="shared" si="3"/>
        <v>0</v>
      </c>
      <c r="M23" s="2"/>
      <c r="N23" s="2"/>
      <c r="O23" s="2">
        <v>26</v>
      </c>
      <c r="P23" s="2"/>
      <c r="Q23" s="2">
        <f t="shared" si="4"/>
        <v>24.4</v>
      </c>
      <c r="R23" s="15">
        <f t="shared" si="13"/>
        <v>122.59999999999997</v>
      </c>
      <c r="S23" s="15">
        <f>X23</f>
        <v>150</v>
      </c>
      <c r="T23" s="15"/>
      <c r="U23" s="15">
        <f t="shared" si="8"/>
        <v>150</v>
      </c>
      <c r="V23" s="15">
        <f t="shared" si="9"/>
        <v>150</v>
      </c>
      <c r="W23" s="15"/>
      <c r="X23" s="15">
        <v>150</v>
      </c>
      <c r="Y23" s="2"/>
      <c r="Z23" s="2">
        <f t="shared" si="10"/>
        <v>15.122950819672132</v>
      </c>
      <c r="AA23" s="2">
        <f t="shared" si="5"/>
        <v>8.975409836065575</v>
      </c>
      <c r="AB23" s="2">
        <v>24.2</v>
      </c>
      <c r="AC23" s="2">
        <v>28.6</v>
      </c>
      <c r="AD23" s="2">
        <v>17.600000000000001</v>
      </c>
      <c r="AE23" s="2">
        <v>27.8</v>
      </c>
      <c r="AF23" s="2">
        <v>25.8</v>
      </c>
      <c r="AG23" s="2">
        <v>10.8</v>
      </c>
      <c r="AH23" s="2">
        <v>26</v>
      </c>
      <c r="AI23" s="2">
        <v>24.6</v>
      </c>
      <c r="AJ23" s="2"/>
      <c r="AK23" s="2">
        <f t="shared" si="11"/>
        <v>33</v>
      </c>
      <c r="AL23" s="2">
        <f t="shared" si="12"/>
        <v>0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>
      <c r="A24" s="2" t="s">
        <v>62</v>
      </c>
      <c r="B24" s="2" t="s">
        <v>36</v>
      </c>
      <c r="C24" s="2">
        <v>20</v>
      </c>
      <c r="D24" s="2"/>
      <c r="E24" s="2"/>
      <c r="F24" s="2">
        <v>19</v>
      </c>
      <c r="G24" s="3">
        <v>0.4</v>
      </c>
      <c r="H24" s="2">
        <v>60</v>
      </c>
      <c r="I24" s="2" t="s">
        <v>37</v>
      </c>
      <c r="J24" s="2"/>
      <c r="K24" s="2">
        <v>2</v>
      </c>
      <c r="L24" s="2">
        <f t="shared" si="3"/>
        <v>-2</v>
      </c>
      <c r="M24" s="2"/>
      <c r="N24" s="2"/>
      <c r="O24" s="2">
        <v>0</v>
      </c>
      <c r="P24" s="2"/>
      <c r="Q24" s="2">
        <f t="shared" si="4"/>
        <v>0</v>
      </c>
      <c r="R24" s="15"/>
      <c r="S24" s="15">
        <f t="shared" si="7"/>
        <v>0</v>
      </c>
      <c r="T24" s="15"/>
      <c r="U24" s="15">
        <f t="shared" si="8"/>
        <v>0</v>
      </c>
      <c r="V24" s="15">
        <f t="shared" si="9"/>
        <v>0</v>
      </c>
      <c r="W24" s="15"/>
      <c r="X24" s="15"/>
      <c r="Y24" s="2"/>
      <c r="Z24" s="2" t="e">
        <f t="shared" si="10"/>
        <v>#DIV/0!</v>
      </c>
      <c r="AA24" s="2" t="e">
        <f t="shared" si="5"/>
        <v>#DIV/0!</v>
      </c>
      <c r="AB24" s="2">
        <v>1.2</v>
      </c>
      <c r="AC24" s="2">
        <v>0.2</v>
      </c>
      <c r="AD24" s="2">
        <v>0</v>
      </c>
      <c r="AE24" s="2">
        <v>0.2</v>
      </c>
      <c r="AF24" s="2">
        <v>0.2</v>
      </c>
      <c r="AG24" s="2">
        <v>0.6</v>
      </c>
      <c r="AH24" s="2">
        <v>0</v>
      </c>
      <c r="AI24" s="2">
        <v>-0.6</v>
      </c>
      <c r="AJ24" s="18" t="s">
        <v>63</v>
      </c>
      <c r="AK24" s="2">
        <f t="shared" si="11"/>
        <v>0</v>
      </c>
      <c r="AL24" s="2">
        <f t="shared" si="12"/>
        <v>0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>
      <c r="A25" s="2" t="s">
        <v>64</v>
      </c>
      <c r="B25" s="2" t="s">
        <v>36</v>
      </c>
      <c r="C25" s="2">
        <v>80</v>
      </c>
      <c r="D25" s="2"/>
      <c r="E25" s="2">
        <v>8</v>
      </c>
      <c r="F25" s="2">
        <v>65</v>
      </c>
      <c r="G25" s="3">
        <v>0.15</v>
      </c>
      <c r="H25" s="2">
        <v>45</v>
      </c>
      <c r="I25" s="2" t="s">
        <v>37</v>
      </c>
      <c r="J25" s="2"/>
      <c r="K25" s="2">
        <v>9</v>
      </c>
      <c r="L25" s="2">
        <f t="shared" si="3"/>
        <v>-1</v>
      </c>
      <c r="M25" s="2"/>
      <c r="N25" s="2"/>
      <c r="O25" s="2">
        <v>0</v>
      </c>
      <c r="P25" s="2"/>
      <c r="Q25" s="2">
        <f t="shared" si="4"/>
        <v>1.6</v>
      </c>
      <c r="R25" s="15"/>
      <c r="S25" s="15">
        <f t="shared" si="7"/>
        <v>0</v>
      </c>
      <c r="T25" s="15"/>
      <c r="U25" s="15">
        <f t="shared" si="8"/>
        <v>0</v>
      </c>
      <c r="V25" s="15">
        <f t="shared" si="9"/>
        <v>0</v>
      </c>
      <c r="W25" s="15"/>
      <c r="X25" s="15"/>
      <c r="Y25" s="2"/>
      <c r="Z25" s="2">
        <f t="shared" si="10"/>
        <v>40.625</v>
      </c>
      <c r="AA25" s="2">
        <f t="shared" si="5"/>
        <v>40.625</v>
      </c>
      <c r="AB25" s="2">
        <v>0.6</v>
      </c>
      <c r="AC25" s="2">
        <v>1.6</v>
      </c>
      <c r="AD25" s="2">
        <v>2</v>
      </c>
      <c r="AE25" s="2">
        <v>1.4</v>
      </c>
      <c r="AF25" s="2">
        <v>12.2</v>
      </c>
      <c r="AG25" s="2">
        <v>0</v>
      </c>
      <c r="AH25" s="2">
        <v>0</v>
      </c>
      <c r="AI25" s="2">
        <v>0</v>
      </c>
      <c r="AJ25" s="18" t="s">
        <v>65</v>
      </c>
      <c r="AK25" s="2">
        <f t="shared" si="11"/>
        <v>0</v>
      </c>
      <c r="AL25" s="2">
        <f t="shared" si="12"/>
        <v>0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>
      <c r="A26" s="2" t="s">
        <v>66</v>
      </c>
      <c r="B26" s="2" t="s">
        <v>39</v>
      </c>
      <c r="C26" s="2">
        <v>25.638999999999999</v>
      </c>
      <c r="D26" s="2">
        <v>1.365</v>
      </c>
      <c r="E26" s="2">
        <v>25.638999999999999</v>
      </c>
      <c r="F26" s="2"/>
      <c r="G26" s="3">
        <v>1</v>
      </c>
      <c r="H26" s="2">
        <v>60</v>
      </c>
      <c r="I26" s="2" t="s">
        <v>37</v>
      </c>
      <c r="J26" s="2"/>
      <c r="K26" s="2">
        <v>41.6</v>
      </c>
      <c r="L26" s="2">
        <f t="shared" si="3"/>
        <v>-15.961000000000002</v>
      </c>
      <c r="M26" s="2"/>
      <c r="N26" s="2"/>
      <c r="O26" s="2">
        <v>33</v>
      </c>
      <c r="P26" s="2"/>
      <c r="Q26" s="2">
        <f t="shared" si="4"/>
        <v>5.1277999999999997</v>
      </c>
      <c r="R26" s="15">
        <f t="shared" si="13"/>
        <v>38.789199999999994</v>
      </c>
      <c r="S26" s="15">
        <v>120</v>
      </c>
      <c r="T26" s="15"/>
      <c r="U26" s="15">
        <f t="shared" si="8"/>
        <v>120</v>
      </c>
      <c r="V26" s="15">
        <f t="shared" si="9"/>
        <v>120</v>
      </c>
      <c r="W26" s="15"/>
      <c r="X26" s="15">
        <v>150</v>
      </c>
      <c r="Y26" s="2" t="s">
        <v>67</v>
      </c>
      <c r="Z26" s="2">
        <f t="shared" si="10"/>
        <v>29.837357151214949</v>
      </c>
      <c r="AA26" s="2">
        <f t="shared" si="5"/>
        <v>6.4355084051640086</v>
      </c>
      <c r="AB26" s="2">
        <v>4.0629999999999997</v>
      </c>
      <c r="AC26" s="2">
        <v>1.3675999999999999</v>
      </c>
      <c r="AD26" s="2">
        <v>0</v>
      </c>
      <c r="AE26" s="2">
        <v>0</v>
      </c>
      <c r="AF26" s="2">
        <v>10.441800000000001</v>
      </c>
      <c r="AG26" s="2">
        <v>0</v>
      </c>
      <c r="AH26" s="2">
        <v>0</v>
      </c>
      <c r="AI26" s="2">
        <v>0</v>
      </c>
      <c r="AJ26" s="2" t="s">
        <v>68</v>
      </c>
      <c r="AK26" s="2">
        <f t="shared" si="11"/>
        <v>120</v>
      </c>
      <c r="AL26" s="2">
        <f t="shared" si="12"/>
        <v>0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>
      <c r="A27" s="2" t="s">
        <v>69</v>
      </c>
      <c r="B27" s="2" t="s">
        <v>36</v>
      </c>
      <c r="C27" s="2">
        <v>83</v>
      </c>
      <c r="D27" s="2">
        <v>9</v>
      </c>
      <c r="E27" s="2">
        <v>49</v>
      </c>
      <c r="F27" s="2">
        <v>29</v>
      </c>
      <c r="G27" s="3">
        <v>0.09</v>
      </c>
      <c r="H27" s="2">
        <v>60</v>
      </c>
      <c r="I27" s="2" t="s">
        <v>37</v>
      </c>
      <c r="J27" s="2"/>
      <c r="K27" s="2">
        <v>51</v>
      </c>
      <c r="L27" s="2">
        <f t="shared" si="3"/>
        <v>-2</v>
      </c>
      <c r="M27" s="2"/>
      <c r="N27" s="2"/>
      <c r="O27" s="2">
        <v>27</v>
      </c>
      <c r="P27" s="2">
        <v>27</v>
      </c>
      <c r="Q27" s="2">
        <f t="shared" si="4"/>
        <v>9.8000000000000007</v>
      </c>
      <c r="R27" s="15">
        <f t="shared" si="13"/>
        <v>54.200000000000017</v>
      </c>
      <c r="S27" s="15">
        <f t="shared" si="7"/>
        <v>54.200000000000017</v>
      </c>
      <c r="T27" s="15"/>
      <c r="U27" s="15">
        <f t="shared" si="8"/>
        <v>54</v>
      </c>
      <c r="V27" s="15">
        <f t="shared" si="9"/>
        <v>54</v>
      </c>
      <c r="W27" s="15"/>
      <c r="X27" s="15"/>
      <c r="Y27" s="2"/>
      <c r="Z27" s="2">
        <f t="shared" si="10"/>
        <v>13.979591836734693</v>
      </c>
      <c r="AA27" s="2">
        <f t="shared" si="5"/>
        <v>8.4693877551020407</v>
      </c>
      <c r="AB27" s="2">
        <v>9.4</v>
      </c>
      <c r="AC27" s="2">
        <v>9</v>
      </c>
      <c r="AD27" s="2">
        <v>12.2</v>
      </c>
      <c r="AE27" s="2">
        <v>16.8</v>
      </c>
      <c r="AF27" s="2">
        <v>12</v>
      </c>
      <c r="AG27" s="2">
        <v>14.6</v>
      </c>
      <c r="AH27" s="2">
        <v>5.2</v>
      </c>
      <c r="AI27" s="2">
        <v>11</v>
      </c>
      <c r="AJ27" s="2"/>
      <c r="AK27" s="2">
        <f t="shared" si="11"/>
        <v>4.8599999999999994</v>
      </c>
      <c r="AL27" s="2">
        <f t="shared" si="12"/>
        <v>0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>
      <c r="A28" s="2" t="s">
        <v>70</v>
      </c>
      <c r="B28" s="2" t="s">
        <v>36</v>
      </c>
      <c r="C28" s="2">
        <v>57</v>
      </c>
      <c r="D28" s="2">
        <v>57</v>
      </c>
      <c r="E28" s="2">
        <v>55</v>
      </c>
      <c r="F28" s="2">
        <v>35</v>
      </c>
      <c r="G28" s="3">
        <v>0.09</v>
      </c>
      <c r="H28" s="2">
        <v>45</v>
      </c>
      <c r="I28" s="2" t="s">
        <v>37</v>
      </c>
      <c r="J28" s="2"/>
      <c r="K28" s="2">
        <v>62</v>
      </c>
      <c r="L28" s="2">
        <f t="shared" si="3"/>
        <v>-7</v>
      </c>
      <c r="M28" s="2"/>
      <c r="N28" s="2"/>
      <c r="O28" s="2">
        <v>33</v>
      </c>
      <c r="P28" s="2">
        <v>33</v>
      </c>
      <c r="Q28" s="2">
        <f t="shared" si="4"/>
        <v>11</v>
      </c>
      <c r="R28" s="15">
        <f t="shared" si="13"/>
        <v>53</v>
      </c>
      <c r="S28" s="15">
        <f t="shared" si="7"/>
        <v>53</v>
      </c>
      <c r="T28" s="15"/>
      <c r="U28" s="15">
        <f t="shared" si="8"/>
        <v>53</v>
      </c>
      <c r="V28" s="15">
        <f t="shared" si="9"/>
        <v>53</v>
      </c>
      <c r="W28" s="15"/>
      <c r="X28" s="15"/>
      <c r="Y28" s="2"/>
      <c r="Z28" s="2">
        <f t="shared" si="10"/>
        <v>14</v>
      </c>
      <c r="AA28" s="2">
        <f t="shared" si="5"/>
        <v>9.1818181818181817</v>
      </c>
      <c r="AB28" s="2">
        <v>11.8</v>
      </c>
      <c r="AC28" s="2">
        <v>12.2</v>
      </c>
      <c r="AD28" s="2">
        <v>13.4</v>
      </c>
      <c r="AE28" s="2">
        <v>15.2</v>
      </c>
      <c r="AF28" s="2">
        <v>13.8</v>
      </c>
      <c r="AG28" s="2">
        <v>10.4</v>
      </c>
      <c r="AH28" s="2">
        <v>13.6</v>
      </c>
      <c r="AI28" s="2">
        <v>7.6</v>
      </c>
      <c r="AJ28" s="2"/>
      <c r="AK28" s="2">
        <f t="shared" si="11"/>
        <v>4.7699999999999996</v>
      </c>
      <c r="AL28" s="2">
        <f t="shared" si="12"/>
        <v>0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>
      <c r="A29" s="2" t="s">
        <v>71</v>
      </c>
      <c r="B29" s="2" t="s">
        <v>36</v>
      </c>
      <c r="C29" s="2"/>
      <c r="D29" s="2">
        <v>345</v>
      </c>
      <c r="E29" s="2">
        <v>52</v>
      </c>
      <c r="F29" s="2">
        <v>266</v>
      </c>
      <c r="G29" s="3">
        <v>0.4</v>
      </c>
      <c r="H29" s="2">
        <v>60</v>
      </c>
      <c r="I29" s="2" t="s">
        <v>37</v>
      </c>
      <c r="J29" s="2"/>
      <c r="K29" s="2">
        <v>57</v>
      </c>
      <c r="L29" s="2">
        <f t="shared" si="3"/>
        <v>-5</v>
      </c>
      <c r="M29" s="2"/>
      <c r="N29" s="2"/>
      <c r="O29" s="2">
        <v>40</v>
      </c>
      <c r="P29" s="2">
        <v>60</v>
      </c>
      <c r="Q29" s="2">
        <f t="shared" si="4"/>
        <v>10.4</v>
      </c>
      <c r="R29" s="15"/>
      <c r="S29" s="15">
        <f t="shared" si="7"/>
        <v>0</v>
      </c>
      <c r="T29" s="15"/>
      <c r="U29" s="15">
        <f t="shared" si="8"/>
        <v>0</v>
      </c>
      <c r="V29" s="15">
        <f t="shared" si="9"/>
        <v>0</v>
      </c>
      <c r="W29" s="15"/>
      <c r="X29" s="15"/>
      <c r="Y29" s="2"/>
      <c r="Z29" s="2">
        <f t="shared" si="10"/>
        <v>35.192307692307693</v>
      </c>
      <c r="AA29" s="2">
        <f t="shared" si="5"/>
        <v>35.192307692307693</v>
      </c>
      <c r="AB29" s="2">
        <v>28.6</v>
      </c>
      <c r="AC29" s="2">
        <v>30.8</v>
      </c>
      <c r="AD29" s="2">
        <v>21.6</v>
      </c>
      <c r="AE29" s="2">
        <v>25</v>
      </c>
      <c r="AF29" s="2">
        <v>30.4</v>
      </c>
      <c r="AG29" s="2">
        <v>26.4</v>
      </c>
      <c r="AH29" s="2">
        <v>32.799999999999997</v>
      </c>
      <c r="AI29" s="2">
        <v>32</v>
      </c>
      <c r="AJ29" s="2"/>
      <c r="AK29" s="2">
        <f t="shared" si="11"/>
        <v>0</v>
      </c>
      <c r="AL29" s="2">
        <f t="shared" si="12"/>
        <v>0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>
      <c r="A30" s="2" t="s">
        <v>72</v>
      </c>
      <c r="B30" s="2" t="s">
        <v>36</v>
      </c>
      <c r="C30" s="2">
        <v>60</v>
      </c>
      <c r="D30" s="2">
        <v>14</v>
      </c>
      <c r="E30" s="2">
        <v>22</v>
      </c>
      <c r="F30" s="2">
        <v>48</v>
      </c>
      <c r="G30" s="3">
        <v>0.15</v>
      </c>
      <c r="H30" s="2">
        <v>45</v>
      </c>
      <c r="I30" s="2" t="s">
        <v>37</v>
      </c>
      <c r="J30" s="2"/>
      <c r="K30" s="2">
        <v>23</v>
      </c>
      <c r="L30" s="2">
        <f t="shared" si="3"/>
        <v>-1</v>
      </c>
      <c r="M30" s="2"/>
      <c r="N30" s="2"/>
      <c r="O30" s="2">
        <v>0</v>
      </c>
      <c r="P30" s="2"/>
      <c r="Q30" s="2">
        <f t="shared" si="4"/>
        <v>4.4000000000000004</v>
      </c>
      <c r="R30" s="15">
        <f t="shared" si="13"/>
        <v>13.600000000000009</v>
      </c>
      <c r="S30" s="15">
        <f t="shared" si="7"/>
        <v>13.600000000000009</v>
      </c>
      <c r="T30" s="15"/>
      <c r="U30" s="15">
        <f t="shared" si="8"/>
        <v>14</v>
      </c>
      <c r="V30" s="15">
        <f t="shared" si="9"/>
        <v>14</v>
      </c>
      <c r="W30" s="15"/>
      <c r="X30" s="15"/>
      <c r="Y30" s="2"/>
      <c r="Z30" s="2">
        <f t="shared" si="10"/>
        <v>14.09090909090909</v>
      </c>
      <c r="AA30" s="2">
        <f t="shared" si="5"/>
        <v>10.909090909090908</v>
      </c>
      <c r="AB30" s="2">
        <v>3.6</v>
      </c>
      <c r="AC30" s="2">
        <v>2</v>
      </c>
      <c r="AD30" s="2">
        <v>3.4</v>
      </c>
      <c r="AE30" s="2">
        <v>7</v>
      </c>
      <c r="AF30" s="2">
        <v>0.6</v>
      </c>
      <c r="AG30" s="2">
        <v>7</v>
      </c>
      <c r="AH30" s="2">
        <v>4.5999999999999996</v>
      </c>
      <c r="AI30" s="2">
        <v>8.4</v>
      </c>
      <c r="AJ30" s="2"/>
      <c r="AK30" s="2">
        <f t="shared" si="11"/>
        <v>2.1</v>
      </c>
      <c r="AL30" s="2">
        <f t="shared" si="12"/>
        <v>0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>
      <c r="A31" s="2" t="s">
        <v>73</v>
      </c>
      <c r="B31" s="2" t="s">
        <v>39</v>
      </c>
      <c r="C31" s="2">
        <v>90.266000000000005</v>
      </c>
      <c r="D31" s="2">
        <v>274.108</v>
      </c>
      <c r="E31" s="2">
        <v>81.796999999999997</v>
      </c>
      <c r="F31" s="2">
        <v>122.827</v>
      </c>
      <c r="G31" s="3">
        <v>1</v>
      </c>
      <c r="H31" s="2">
        <v>45</v>
      </c>
      <c r="I31" s="2" t="s">
        <v>37</v>
      </c>
      <c r="J31" s="2"/>
      <c r="K31" s="2">
        <v>78.3</v>
      </c>
      <c r="L31" s="2">
        <f t="shared" si="3"/>
        <v>3.4969999999999999</v>
      </c>
      <c r="M31" s="2"/>
      <c r="N31" s="2"/>
      <c r="O31" s="2">
        <v>31</v>
      </c>
      <c r="P31" s="2">
        <v>45</v>
      </c>
      <c r="Q31" s="2">
        <f t="shared" si="4"/>
        <v>16.359400000000001</v>
      </c>
      <c r="R31" s="15">
        <f t="shared" si="13"/>
        <v>30.204600000000028</v>
      </c>
      <c r="S31" s="15">
        <f t="shared" si="7"/>
        <v>30.204600000000028</v>
      </c>
      <c r="T31" s="15"/>
      <c r="U31" s="15">
        <f t="shared" si="8"/>
        <v>30</v>
      </c>
      <c r="V31" s="15">
        <f t="shared" si="9"/>
        <v>30</v>
      </c>
      <c r="W31" s="15"/>
      <c r="X31" s="15"/>
      <c r="Y31" s="2"/>
      <c r="Z31" s="2">
        <f t="shared" si="10"/>
        <v>13.987493428854359</v>
      </c>
      <c r="AA31" s="2">
        <f t="shared" si="5"/>
        <v>12.153685342983238</v>
      </c>
      <c r="AB31" s="2">
        <v>20.409199999999998</v>
      </c>
      <c r="AC31" s="2">
        <v>20.378799999999998</v>
      </c>
      <c r="AD31" s="2">
        <v>19.767800000000001</v>
      </c>
      <c r="AE31" s="2">
        <v>16.5824</v>
      </c>
      <c r="AF31" s="2">
        <v>17.223400000000002</v>
      </c>
      <c r="AG31" s="2">
        <v>4.9034000000000004</v>
      </c>
      <c r="AH31" s="2">
        <v>22.237200000000001</v>
      </c>
      <c r="AI31" s="2">
        <v>21.609000000000002</v>
      </c>
      <c r="AJ31" s="2"/>
      <c r="AK31" s="2">
        <f t="shared" si="11"/>
        <v>30</v>
      </c>
      <c r="AL31" s="2">
        <f t="shared" si="12"/>
        <v>0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>
      <c r="A32" s="2" t="s">
        <v>74</v>
      </c>
      <c r="B32" s="2" t="s">
        <v>36</v>
      </c>
      <c r="C32" s="2">
        <v>133</v>
      </c>
      <c r="D32" s="2">
        <v>41</v>
      </c>
      <c r="E32" s="2">
        <v>46</v>
      </c>
      <c r="F32" s="2">
        <v>92</v>
      </c>
      <c r="G32" s="3">
        <v>0.4</v>
      </c>
      <c r="H32" s="2">
        <v>60</v>
      </c>
      <c r="I32" s="2" t="s">
        <v>37</v>
      </c>
      <c r="J32" s="2"/>
      <c r="K32" s="2">
        <v>49</v>
      </c>
      <c r="L32" s="2">
        <f t="shared" si="3"/>
        <v>-3</v>
      </c>
      <c r="M32" s="2"/>
      <c r="N32" s="2"/>
      <c r="O32" s="2">
        <v>0</v>
      </c>
      <c r="P32" s="2"/>
      <c r="Q32" s="2">
        <f t="shared" si="4"/>
        <v>9.1999999999999993</v>
      </c>
      <c r="R32" s="15">
        <f t="shared" si="13"/>
        <v>36.799999999999983</v>
      </c>
      <c r="S32" s="15">
        <f t="shared" si="7"/>
        <v>36.799999999999983</v>
      </c>
      <c r="T32" s="15"/>
      <c r="U32" s="15">
        <f t="shared" si="8"/>
        <v>37</v>
      </c>
      <c r="V32" s="15">
        <f t="shared" si="9"/>
        <v>37</v>
      </c>
      <c r="W32" s="15"/>
      <c r="X32" s="15"/>
      <c r="Y32" s="2"/>
      <c r="Z32" s="2">
        <f t="shared" si="10"/>
        <v>14.021739130434783</v>
      </c>
      <c r="AA32" s="2">
        <f t="shared" si="5"/>
        <v>10</v>
      </c>
      <c r="AB32" s="2">
        <v>10.4</v>
      </c>
      <c r="AC32" s="2">
        <v>4</v>
      </c>
      <c r="AD32" s="2">
        <v>15.2</v>
      </c>
      <c r="AE32" s="2">
        <v>4.8</v>
      </c>
      <c r="AF32" s="2">
        <v>10.199999999999999</v>
      </c>
      <c r="AG32" s="2">
        <v>14.4</v>
      </c>
      <c r="AH32" s="2">
        <v>10.199999999999999</v>
      </c>
      <c r="AI32" s="2">
        <v>5.6</v>
      </c>
      <c r="AJ32" s="2" t="s">
        <v>53</v>
      </c>
      <c r="AK32" s="2">
        <f t="shared" si="11"/>
        <v>14.8</v>
      </c>
      <c r="AL32" s="2">
        <f t="shared" si="12"/>
        <v>0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>
      <c r="A33" s="2" t="s">
        <v>75</v>
      </c>
      <c r="B33" s="2" t="s">
        <v>36</v>
      </c>
      <c r="C33" s="2">
        <v>12</v>
      </c>
      <c r="D33" s="2">
        <v>101</v>
      </c>
      <c r="E33" s="2">
        <v>43</v>
      </c>
      <c r="F33" s="2">
        <v>65</v>
      </c>
      <c r="G33" s="3">
        <v>0.4</v>
      </c>
      <c r="H33" s="2">
        <v>60</v>
      </c>
      <c r="I33" s="2" t="s">
        <v>37</v>
      </c>
      <c r="J33" s="2"/>
      <c r="K33" s="2">
        <v>44</v>
      </c>
      <c r="L33" s="2">
        <f t="shared" si="3"/>
        <v>-1</v>
      </c>
      <c r="M33" s="2"/>
      <c r="N33" s="2"/>
      <c r="O33" s="2">
        <v>19</v>
      </c>
      <c r="P33" s="2"/>
      <c r="Q33" s="2">
        <f t="shared" si="4"/>
        <v>8.6</v>
      </c>
      <c r="R33" s="15">
        <f t="shared" si="13"/>
        <v>36.399999999999991</v>
      </c>
      <c r="S33" s="15">
        <f t="shared" si="7"/>
        <v>36.399999999999991</v>
      </c>
      <c r="T33" s="15"/>
      <c r="U33" s="15">
        <f t="shared" si="8"/>
        <v>36</v>
      </c>
      <c r="V33" s="15">
        <f t="shared" si="9"/>
        <v>36</v>
      </c>
      <c r="W33" s="15"/>
      <c r="X33" s="15"/>
      <c r="Y33" s="2"/>
      <c r="Z33" s="2">
        <f t="shared" si="10"/>
        <v>13.953488372093023</v>
      </c>
      <c r="AA33" s="2">
        <f t="shared" si="5"/>
        <v>9.7674418604651159</v>
      </c>
      <c r="AB33" s="2">
        <v>9</v>
      </c>
      <c r="AC33" s="2">
        <v>11</v>
      </c>
      <c r="AD33" s="2">
        <v>8</v>
      </c>
      <c r="AE33" s="2">
        <v>9.8000000000000007</v>
      </c>
      <c r="AF33" s="2">
        <v>9.6</v>
      </c>
      <c r="AG33" s="2">
        <v>2.6</v>
      </c>
      <c r="AH33" s="2">
        <v>6.8</v>
      </c>
      <c r="AI33" s="2">
        <v>13.2</v>
      </c>
      <c r="AJ33" s="2"/>
      <c r="AK33" s="2">
        <f t="shared" si="11"/>
        <v>14.4</v>
      </c>
      <c r="AL33" s="2">
        <f t="shared" si="12"/>
        <v>0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>
      <c r="A34" s="2" t="s">
        <v>76</v>
      </c>
      <c r="B34" s="2" t="s">
        <v>36</v>
      </c>
      <c r="C34" s="2">
        <v>216</v>
      </c>
      <c r="D34" s="2">
        <v>575</v>
      </c>
      <c r="E34" s="2">
        <v>276</v>
      </c>
      <c r="F34" s="2">
        <v>279</v>
      </c>
      <c r="G34" s="3">
        <v>0.4</v>
      </c>
      <c r="H34" s="2">
        <v>60</v>
      </c>
      <c r="I34" s="2" t="s">
        <v>37</v>
      </c>
      <c r="J34" s="2"/>
      <c r="K34" s="2">
        <v>280</v>
      </c>
      <c r="L34" s="2">
        <f t="shared" si="3"/>
        <v>-4</v>
      </c>
      <c r="M34" s="2"/>
      <c r="N34" s="2"/>
      <c r="O34" s="2">
        <v>114</v>
      </c>
      <c r="P34" s="2">
        <v>180</v>
      </c>
      <c r="Q34" s="2">
        <f t="shared" si="4"/>
        <v>55.2</v>
      </c>
      <c r="R34" s="15">
        <f t="shared" si="13"/>
        <v>199.80000000000007</v>
      </c>
      <c r="S34" s="15">
        <f t="shared" si="7"/>
        <v>199.80000000000007</v>
      </c>
      <c r="T34" s="15"/>
      <c r="U34" s="15">
        <f t="shared" si="8"/>
        <v>200</v>
      </c>
      <c r="V34" s="15">
        <f t="shared" si="9"/>
        <v>100</v>
      </c>
      <c r="W34" s="15">
        <f>U34/2</f>
        <v>100</v>
      </c>
      <c r="X34" s="15"/>
      <c r="Y34" s="2"/>
      <c r="Z34" s="2">
        <f t="shared" si="10"/>
        <v>14.003623188405797</v>
      </c>
      <c r="AA34" s="2">
        <f t="shared" si="5"/>
        <v>10.380434782608695</v>
      </c>
      <c r="AB34" s="2">
        <v>60</v>
      </c>
      <c r="AC34" s="2">
        <v>58</v>
      </c>
      <c r="AD34" s="2">
        <v>50</v>
      </c>
      <c r="AE34" s="2">
        <v>58.2</v>
      </c>
      <c r="AF34" s="2">
        <v>70.599999999999994</v>
      </c>
      <c r="AG34" s="2">
        <v>60.6</v>
      </c>
      <c r="AH34" s="2">
        <v>57.2</v>
      </c>
      <c r="AI34" s="2">
        <v>58</v>
      </c>
      <c r="AJ34" s="2"/>
      <c r="AK34" s="2">
        <f t="shared" si="11"/>
        <v>40</v>
      </c>
      <c r="AL34" s="2">
        <f t="shared" si="12"/>
        <v>40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>
      <c r="A35" s="2" t="s">
        <v>77</v>
      </c>
      <c r="B35" s="2" t="s">
        <v>36</v>
      </c>
      <c r="C35" s="2">
        <v>278</v>
      </c>
      <c r="D35" s="2">
        <v>239</v>
      </c>
      <c r="E35" s="2">
        <v>236</v>
      </c>
      <c r="F35" s="2">
        <v>172</v>
      </c>
      <c r="G35" s="3">
        <v>0.4</v>
      </c>
      <c r="H35" s="2">
        <v>60</v>
      </c>
      <c r="I35" s="2" t="s">
        <v>37</v>
      </c>
      <c r="J35" s="2"/>
      <c r="K35" s="2">
        <v>236</v>
      </c>
      <c r="L35" s="2">
        <f t="shared" si="3"/>
        <v>0</v>
      </c>
      <c r="M35" s="2"/>
      <c r="N35" s="2"/>
      <c r="O35" s="2">
        <v>57</v>
      </c>
      <c r="P35" s="2">
        <v>80</v>
      </c>
      <c r="Q35" s="2">
        <f t="shared" si="4"/>
        <v>47.2</v>
      </c>
      <c r="R35" s="15">
        <f t="shared" si="13"/>
        <v>351.80000000000007</v>
      </c>
      <c r="S35" s="15">
        <f t="shared" si="7"/>
        <v>351.80000000000007</v>
      </c>
      <c r="T35" s="15"/>
      <c r="U35" s="15">
        <f t="shared" si="8"/>
        <v>352</v>
      </c>
      <c r="V35" s="15">
        <f t="shared" si="9"/>
        <v>176</v>
      </c>
      <c r="W35" s="15">
        <f>U35/2</f>
        <v>176</v>
      </c>
      <c r="X35" s="15"/>
      <c r="Y35" s="2"/>
      <c r="Z35" s="2">
        <f t="shared" si="10"/>
        <v>14.004237288135592</v>
      </c>
      <c r="AA35" s="2">
        <f t="shared" si="5"/>
        <v>6.5466101694915251</v>
      </c>
      <c r="AB35" s="2">
        <v>38.6</v>
      </c>
      <c r="AC35" s="2">
        <v>43.4</v>
      </c>
      <c r="AD35" s="2">
        <v>39.799999999999997</v>
      </c>
      <c r="AE35" s="2">
        <v>53</v>
      </c>
      <c r="AF35" s="2">
        <v>39.799999999999997</v>
      </c>
      <c r="AG35" s="2">
        <v>43.6</v>
      </c>
      <c r="AH35" s="2">
        <v>22</v>
      </c>
      <c r="AI35" s="2">
        <v>41.6</v>
      </c>
      <c r="AJ35" s="2" t="s">
        <v>53</v>
      </c>
      <c r="AK35" s="2">
        <f t="shared" si="11"/>
        <v>70.400000000000006</v>
      </c>
      <c r="AL35" s="2">
        <f t="shared" si="12"/>
        <v>70.400000000000006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>
      <c r="A36" s="7" t="s">
        <v>78</v>
      </c>
      <c r="B36" s="7" t="s">
        <v>36</v>
      </c>
      <c r="C36" s="7"/>
      <c r="D36" s="7"/>
      <c r="E36" s="7"/>
      <c r="F36" s="9">
        <v>-1</v>
      </c>
      <c r="G36" s="8">
        <v>0</v>
      </c>
      <c r="H36" s="7" t="e">
        <v>#N/A</v>
      </c>
      <c r="I36" s="7" t="s">
        <v>79</v>
      </c>
      <c r="J36" s="7" t="s">
        <v>80</v>
      </c>
      <c r="K36" s="7"/>
      <c r="L36" s="7">
        <f t="shared" si="3"/>
        <v>0</v>
      </c>
      <c r="M36" s="7"/>
      <c r="N36" s="7"/>
      <c r="O36" s="7"/>
      <c r="P36" s="7"/>
      <c r="Q36" s="7">
        <f t="shared" si="4"/>
        <v>0</v>
      </c>
      <c r="R36" s="16"/>
      <c r="S36" s="15">
        <f t="shared" si="7"/>
        <v>0</v>
      </c>
      <c r="T36" s="16"/>
      <c r="U36" s="15">
        <f t="shared" si="8"/>
        <v>0</v>
      </c>
      <c r="V36" s="15">
        <f t="shared" si="9"/>
        <v>0</v>
      </c>
      <c r="W36" s="15"/>
      <c r="X36" s="16"/>
      <c r="Y36" s="7"/>
      <c r="Z36" s="2" t="e">
        <f t="shared" si="10"/>
        <v>#DIV/0!</v>
      </c>
      <c r="AA36" s="7" t="e">
        <f t="shared" si="5"/>
        <v>#DIV/0!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/>
      <c r="AK36" s="2">
        <f t="shared" si="11"/>
        <v>0</v>
      </c>
      <c r="AL36" s="2">
        <f t="shared" si="12"/>
        <v>0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>
      <c r="A37" s="2" t="s">
        <v>81</v>
      </c>
      <c r="B37" s="2" t="s">
        <v>36</v>
      </c>
      <c r="C37" s="2">
        <v>340</v>
      </c>
      <c r="D37" s="2">
        <v>496</v>
      </c>
      <c r="E37" s="2">
        <v>286</v>
      </c>
      <c r="F37" s="2">
        <v>338</v>
      </c>
      <c r="G37" s="3">
        <v>0.4</v>
      </c>
      <c r="H37" s="2">
        <v>60</v>
      </c>
      <c r="I37" s="2" t="s">
        <v>37</v>
      </c>
      <c r="J37" s="2"/>
      <c r="K37" s="2">
        <v>290</v>
      </c>
      <c r="L37" s="2">
        <f t="shared" si="3"/>
        <v>-4</v>
      </c>
      <c r="M37" s="2"/>
      <c r="N37" s="2"/>
      <c r="O37" s="2">
        <v>225</v>
      </c>
      <c r="P37" s="2">
        <v>225</v>
      </c>
      <c r="Q37" s="2">
        <f t="shared" si="4"/>
        <v>57.2</v>
      </c>
      <c r="R37" s="15">
        <f t="shared" ref="R37:R51" si="14">14*Q37-P37-O37-F37</f>
        <v>12.800000000000068</v>
      </c>
      <c r="S37" s="15">
        <f t="shared" si="7"/>
        <v>12.800000000000068</v>
      </c>
      <c r="T37" s="15"/>
      <c r="U37" s="15">
        <f t="shared" si="8"/>
        <v>13</v>
      </c>
      <c r="V37" s="15">
        <f t="shared" si="9"/>
        <v>0</v>
      </c>
      <c r="W37" s="15">
        <f>U37</f>
        <v>13</v>
      </c>
      <c r="X37" s="15"/>
      <c r="Y37" s="2"/>
      <c r="Z37" s="2">
        <f t="shared" si="10"/>
        <v>14.003496503496503</v>
      </c>
      <c r="AA37" s="2">
        <f t="shared" si="5"/>
        <v>13.776223776223775</v>
      </c>
      <c r="AB37" s="2">
        <v>72.8</v>
      </c>
      <c r="AC37" s="2">
        <v>71.8</v>
      </c>
      <c r="AD37" s="2">
        <v>66.2</v>
      </c>
      <c r="AE37" s="2">
        <v>81.2</v>
      </c>
      <c r="AF37" s="2">
        <v>78.599999999999994</v>
      </c>
      <c r="AG37" s="2">
        <v>62.2</v>
      </c>
      <c r="AH37" s="2">
        <v>80.2</v>
      </c>
      <c r="AI37" s="2">
        <v>61.8</v>
      </c>
      <c r="AJ37" s="2" t="s">
        <v>53</v>
      </c>
      <c r="AK37" s="2">
        <f t="shared" si="11"/>
        <v>0</v>
      </c>
      <c r="AL37" s="2">
        <f t="shared" si="12"/>
        <v>5.2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>
      <c r="A38" s="2" t="s">
        <v>82</v>
      </c>
      <c r="B38" s="2" t="s">
        <v>36</v>
      </c>
      <c r="C38" s="2">
        <v>55</v>
      </c>
      <c r="D38" s="2">
        <v>166</v>
      </c>
      <c r="E38" s="2">
        <v>42</v>
      </c>
      <c r="F38" s="2">
        <v>133</v>
      </c>
      <c r="G38" s="3">
        <v>0.1</v>
      </c>
      <c r="H38" s="2">
        <v>45</v>
      </c>
      <c r="I38" s="2" t="s">
        <v>37</v>
      </c>
      <c r="J38" s="2"/>
      <c r="K38" s="2">
        <v>47</v>
      </c>
      <c r="L38" s="2">
        <f t="shared" ref="L38:L69" si="15">E38-K38</f>
        <v>-5</v>
      </c>
      <c r="M38" s="2"/>
      <c r="N38" s="2"/>
      <c r="O38" s="2">
        <v>0</v>
      </c>
      <c r="P38" s="2"/>
      <c r="Q38" s="2">
        <f t="shared" ref="Q38:Q69" si="16">E38/5</f>
        <v>8.4</v>
      </c>
      <c r="R38" s="15"/>
      <c r="S38" s="15">
        <f t="shared" si="7"/>
        <v>0</v>
      </c>
      <c r="T38" s="15"/>
      <c r="U38" s="15">
        <f t="shared" si="8"/>
        <v>0</v>
      </c>
      <c r="V38" s="15">
        <f t="shared" si="9"/>
        <v>0</v>
      </c>
      <c r="W38" s="15"/>
      <c r="X38" s="15"/>
      <c r="Y38" s="2"/>
      <c r="Z38" s="2">
        <f t="shared" si="10"/>
        <v>15.833333333333332</v>
      </c>
      <c r="AA38" s="2">
        <f t="shared" ref="AA38:AA69" si="17">(F38+O38+P38)/Q38</f>
        <v>15.833333333333332</v>
      </c>
      <c r="AB38" s="2">
        <v>5.2</v>
      </c>
      <c r="AC38" s="2">
        <v>15.8</v>
      </c>
      <c r="AD38" s="2">
        <v>15</v>
      </c>
      <c r="AE38" s="2">
        <v>5.4</v>
      </c>
      <c r="AF38" s="2">
        <v>16.8</v>
      </c>
      <c r="AG38" s="2">
        <v>8</v>
      </c>
      <c r="AH38" s="2">
        <v>9.6</v>
      </c>
      <c r="AI38" s="2">
        <v>1.8</v>
      </c>
      <c r="AJ38" s="18" t="s">
        <v>83</v>
      </c>
      <c r="AK38" s="2">
        <f t="shared" si="11"/>
        <v>0</v>
      </c>
      <c r="AL38" s="2">
        <f t="shared" si="12"/>
        <v>0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>
      <c r="A39" s="2" t="s">
        <v>84</v>
      </c>
      <c r="B39" s="2" t="s">
        <v>36</v>
      </c>
      <c r="C39" s="2">
        <v>12</v>
      </c>
      <c r="D39" s="2">
        <v>266</v>
      </c>
      <c r="E39" s="2">
        <v>66</v>
      </c>
      <c r="F39" s="2">
        <v>110</v>
      </c>
      <c r="G39" s="3">
        <v>0.1</v>
      </c>
      <c r="H39" s="2">
        <v>60</v>
      </c>
      <c r="I39" s="2" t="s">
        <v>37</v>
      </c>
      <c r="J39" s="2"/>
      <c r="K39" s="2">
        <v>86</v>
      </c>
      <c r="L39" s="2">
        <f t="shared" si="15"/>
        <v>-20</v>
      </c>
      <c r="M39" s="2"/>
      <c r="N39" s="2"/>
      <c r="O39" s="2">
        <v>50</v>
      </c>
      <c r="P39" s="2">
        <v>60</v>
      </c>
      <c r="Q39" s="2">
        <f t="shared" si="16"/>
        <v>13.2</v>
      </c>
      <c r="R39" s="15"/>
      <c r="S39" s="15">
        <f t="shared" si="7"/>
        <v>0</v>
      </c>
      <c r="T39" s="15"/>
      <c r="U39" s="15">
        <f t="shared" si="8"/>
        <v>0</v>
      </c>
      <c r="V39" s="15">
        <f t="shared" si="9"/>
        <v>0</v>
      </c>
      <c r="W39" s="15"/>
      <c r="X39" s="15"/>
      <c r="Y39" s="2"/>
      <c r="Z39" s="2">
        <f t="shared" si="10"/>
        <v>16.666666666666668</v>
      </c>
      <c r="AA39" s="2">
        <f t="shared" si="17"/>
        <v>16.666666666666668</v>
      </c>
      <c r="AB39" s="2">
        <v>21.4</v>
      </c>
      <c r="AC39" s="2">
        <v>19.399999999999999</v>
      </c>
      <c r="AD39" s="2">
        <v>13.6</v>
      </c>
      <c r="AE39" s="2">
        <v>16.399999999999999</v>
      </c>
      <c r="AF39" s="2">
        <v>23.2</v>
      </c>
      <c r="AG39" s="2">
        <v>3.4</v>
      </c>
      <c r="AH39" s="2">
        <v>9.1999999999999993</v>
      </c>
      <c r="AI39" s="2">
        <v>10.199999999999999</v>
      </c>
      <c r="AJ39" s="2" t="s">
        <v>53</v>
      </c>
      <c r="AK39" s="2">
        <f t="shared" si="11"/>
        <v>0</v>
      </c>
      <c r="AL39" s="2">
        <f t="shared" si="12"/>
        <v>0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>
      <c r="A40" s="2" t="s">
        <v>85</v>
      </c>
      <c r="B40" s="2" t="s">
        <v>36</v>
      </c>
      <c r="C40" s="2">
        <v>321</v>
      </c>
      <c r="D40" s="2">
        <v>9</v>
      </c>
      <c r="E40" s="2">
        <v>142</v>
      </c>
      <c r="F40" s="2">
        <v>155</v>
      </c>
      <c r="G40" s="3">
        <v>0.1</v>
      </c>
      <c r="H40" s="2">
        <v>60</v>
      </c>
      <c r="I40" s="2" t="s">
        <v>37</v>
      </c>
      <c r="J40" s="2"/>
      <c r="K40" s="2">
        <v>140</v>
      </c>
      <c r="L40" s="2">
        <f t="shared" si="15"/>
        <v>2</v>
      </c>
      <c r="M40" s="2"/>
      <c r="N40" s="2"/>
      <c r="O40" s="2">
        <v>105</v>
      </c>
      <c r="P40" s="2">
        <v>106</v>
      </c>
      <c r="Q40" s="2">
        <f t="shared" si="16"/>
        <v>28.4</v>
      </c>
      <c r="R40" s="15">
        <f t="shared" si="14"/>
        <v>31.599999999999966</v>
      </c>
      <c r="S40" s="15">
        <f t="shared" si="7"/>
        <v>31.599999999999966</v>
      </c>
      <c r="T40" s="15"/>
      <c r="U40" s="15">
        <f t="shared" si="8"/>
        <v>32</v>
      </c>
      <c r="V40" s="15">
        <f t="shared" si="9"/>
        <v>32</v>
      </c>
      <c r="W40" s="15"/>
      <c r="X40" s="15"/>
      <c r="Y40" s="2"/>
      <c r="Z40" s="2">
        <f t="shared" si="10"/>
        <v>14.014084507042254</v>
      </c>
      <c r="AA40" s="2">
        <f t="shared" si="17"/>
        <v>12.887323943661972</v>
      </c>
      <c r="AB40" s="2">
        <v>37.6</v>
      </c>
      <c r="AC40" s="2">
        <v>21.8</v>
      </c>
      <c r="AD40" s="2">
        <v>37.4</v>
      </c>
      <c r="AE40" s="2">
        <v>48</v>
      </c>
      <c r="AF40" s="2">
        <v>18.8</v>
      </c>
      <c r="AG40" s="2">
        <v>37.799999999999997</v>
      </c>
      <c r="AH40" s="2">
        <v>51.8</v>
      </c>
      <c r="AI40" s="2">
        <v>20.399999999999999</v>
      </c>
      <c r="AJ40" s="2"/>
      <c r="AK40" s="2">
        <f t="shared" si="11"/>
        <v>3.2</v>
      </c>
      <c r="AL40" s="2">
        <f t="shared" si="12"/>
        <v>0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>
      <c r="A41" s="2" t="s">
        <v>86</v>
      </c>
      <c r="B41" s="2" t="s">
        <v>36</v>
      </c>
      <c r="C41" s="2">
        <v>125</v>
      </c>
      <c r="D41" s="2">
        <v>6</v>
      </c>
      <c r="E41" s="2">
        <v>36</v>
      </c>
      <c r="F41" s="2">
        <v>76</v>
      </c>
      <c r="G41" s="3">
        <v>0.1</v>
      </c>
      <c r="H41" s="2">
        <v>45</v>
      </c>
      <c r="I41" s="2" t="s">
        <v>37</v>
      </c>
      <c r="J41" s="2"/>
      <c r="K41" s="2">
        <v>39</v>
      </c>
      <c r="L41" s="2">
        <f t="shared" si="15"/>
        <v>-3</v>
      </c>
      <c r="M41" s="2"/>
      <c r="N41" s="2"/>
      <c r="O41" s="2">
        <v>0</v>
      </c>
      <c r="P41" s="2"/>
      <c r="Q41" s="2">
        <f t="shared" si="16"/>
        <v>7.2</v>
      </c>
      <c r="R41" s="15">
        <f t="shared" si="14"/>
        <v>24.799999999999997</v>
      </c>
      <c r="S41" s="15">
        <f t="shared" si="7"/>
        <v>24.799999999999997</v>
      </c>
      <c r="T41" s="15"/>
      <c r="U41" s="15">
        <f t="shared" si="8"/>
        <v>25</v>
      </c>
      <c r="V41" s="15">
        <f t="shared" si="9"/>
        <v>25</v>
      </c>
      <c r="W41" s="15"/>
      <c r="X41" s="15"/>
      <c r="Y41" s="2"/>
      <c r="Z41" s="2">
        <f t="shared" si="10"/>
        <v>14.027777777777777</v>
      </c>
      <c r="AA41" s="2">
        <f t="shared" si="17"/>
        <v>10.555555555555555</v>
      </c>
      <c r="AB41" s="2">
        <v>8</v>
      </c>
      <c r="AC41" s="2">
        <v>8</v>
      </c>
      <c r="AD41" s="2">
        <v>1.6</v>
      </c>
      <c r="AE41" s="2">
        <v>12</v>
      </c>
      <c r="AF41" s="2">
        <v>9</v>
      </c>
      <c r="AG41" s="2">
        <v>4.2</v>
      </c>
      <c r="AH41" s="2">
        <v>10</v>
      </c>
      <c r="AI41" s="2">
        <v>7.4</v>
      </c>
      <c r="AJ41" s="2"/>
      <c r="AK41" s="2">
        <f t="shared" si="11"/>
        <v>2.5</v>
      </c>
      <c r="AL41" s="2">
        <f t="shared" si="12"/>
        <v>0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>
      <c r="A42" s="2" t="s">
        <v>87</v>
      </c>
      <c r="B42" s="2" t="s">
        <v>36</v>
      </c>
      <c r="C42" s="2">
        <v>247</v>
      </c>
      <c r="D42" s="2">
        <v>62</v>
      </c>
      <c r="E42" s="2">
        <v>132</v>
      </c>
      <c r="F42" s="2">
        <v>105</v>
      </c>
      <c r="G42" s="3">
        <v>0.4</v>
      </c>
      <c r="H42" s="2">
        <v>45</v>
      </c>
      <c r="I42" s="2" t="s">
        <v>37</v>
      </c>
      <c r="J42" s="2"/>
      <c r="K42" s="2">
        <v>140</v>
      </c>
      <c r="L42" s="2">
        <f t="shared" si="15"/>
        <v>-8</v>
      </c>
      <c r="M42" s="2"/>
      <c r="N42" s="2"/>
      <c r="O42" s="2">
        <v>175</v>
      </c>
      <c r="P42" s="2">
        <v>175</v>
      </c>
      <c r="Q42" s="2">
        <f t="shared" si="16"/>
        <v>26.4</v>
      </c>
      <c r="R42" s="15"/>
      <c r="S42" s="15">
        <f t="shared" si="7"/>
        <v>0</v>
      </c>
      <c r="T42" s="15"/>
      <c r="U42" s="15">
        <f t="shared" si="8"/>
        <v>0</v>
      </c>
      <c r="V42" s="15">
        <f t="shared" si="9"/>
        <v>0</v>
      </c>
      <c r="W42" s="15"/>
      <c r="X42" s="15"/>
      <c r="Y42" s="2"/>
      <c r="Z42" s="2">
        <f t="shared" si="10"/>
        <v>17.234848484848484</v>
      </c>
      <c r="AA42" s="2">
        <f t="shared" si="17"/>
        <v>17.234848484848484</v>
      </c>
      <c r="AB42" s="2">
        <v>41.8</v>
      </c>
      <c r="AC42" s="2">
        <v>28.6</v>
      </c>
      <c r="AD42" s="2">
        <v>37.799999999999997</v>
      </c>
      <c r="AE42" s="2">
        <v>43.4</v>
      </c>
      <c r="AF42" s="2">
        <v>37.4</v>
      </c>
      <c r="AG42" s="2">
        <v>39.4</v>
      </c>
      <c r="AH42" s="2">
        <v>45.6</v>
      </c>
      <c r="AI42" s="2">
        <v>45.2</v>
      </c>
      <c r="AJ42" s="18" t="s">
        <v>83</v>
      </c>
      <c r="AK42" s="2">
        <f t="shared" si="11"/>
        <v>0</v>
      </c>
      <c r="AL42" s="2">
        <f t="shared" si="12"/>
        <v>0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>
      <c r="A43" s="2" t="s">
        <v>88</v>
      </c>
      <c r="B43" s="2" t="s">
        <v>39</v>
      </c>
      <c r="C43" s="2">
        <v>97.867000000000004</v>
      </c>
      <c r="D43" s="2">
        <v>213.839</v>
      </c>
      <c r="E43" s="2">
        <v>116.124</v>
      </c>
      <c r="F43" s="2">
        <v>121.44799999999999</v>
      </c>
      <c r="G43" s="3">
        <v>1</v>
      </c>
      <c r="H43" s="2">
        <v>60</v>
      </c>
      <c r="I43" s="2" t="s">
        <v>37</v>
      </c>
      <c r="J43" s="2"/>
      <c r="K43" s="2">
        <v>113.4</v>
      </c>
      <c r="L43" s="2">
        <f t="shared" si="15"/>
        <v>2.7239999999999895</v>
      </c>
      <c r="M43" s="2"/>
      <c r="N43" s="2"/>
      <c r="O43" s="2">
        <v>34</v>
      </c>
      <c r="P43" s="2">
        <v>50</v>
      </c>
      <c r="Q43" s="2">
        <f t="shared" si="16"/>
        <v>23.224799999999998</v>
      </c>
      <c r="R43" s="15">
        <f t="shared" si="14"/>
        <v>119.6992</v>
      </c>
      <c r="S43" s="15">
        <f t="shared" si="7"/>
        <v>119.6992</v>
      </c>
      <c r="T43" s="15"/>
      <c r="U43" s="15">
        <f t="shared" si="8"/>
        <v>120</v>
      </c>
      <c r="V43" s="15">
        <f t="shared" si="9"/>
        <v>120</v>
      </c>
      <c r="W43" s="15"/>
      <c r="X43" s="15"/>
      <c r="Y43" s="2"/>
      <c r="Z43" s="2">
        <f t="shared" si="10"/>
        <v>14.012951672350246</v>
      </c>
      <c r="AA43" s="2">
        <f t="shared" si="17"/>
        <v>8.8460611070924173</v>
      </c>
      <c r="AB43" s="2">
        <v>22.786999999999999</v>
      </c>
      <c r="AC43" s="2">
        <v>25.272400000000001</v>
      </c>
      <c r="AD43" s="2">
        <v>15.946400000000001</v>
      </c>
      <c r="AE43" s="2">
        <v>25.775600000000001</v>
      </c>
      <c r="AF43" s="2">
        <v>26.381</v>
      </c>
      <c r="AG43" s="2">
        <v>23.5336</v>
      </c>
      <c r="AH43" s="2">
        <v>20.29</v>
      </c>
      <c r="AI43" s="2">
        <v>25.679400000000001</v>
      </c>
      <c r="AJ43" s="2"/>
      <c r="AK43" s="2">
        <f t="shared" si="11"/>
        <v>120</v>
      </c>
      <c r="AL43" s="2">
        <f t="shared" si="12"/>
        <v>0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>
      <c r="A44" s="2" t="s">
        <v>89</v>
      </c>
      <c r="B44" s="2" t="s">
        <v>39</v>
      </c>
      <c r="C44" s="2">
        <v>79.611000000000004</v>
      </c>
      <c r="D44" s="2">
        <v>165.56899999999999</v>
      </c>
      <c r="E44" s="2">
        <v>68.902000000000001</v>
      </c>
      <c r="F44" s="2">
        <v>109.57299999999999</v>
      </c>
      <c r="G44" s="3">
        <v>1</v>
      </c>
      <c r="H44" s="2">
        <v>45</v>
      </c>
      <c r="I44" s="2" t="s">
        <v>37</v>
      </c>
      <c r="J44" s="2"/>
      <c r="K44" s="2">
        <v>72.099999999999994</v>
      </c>
      <c r="L44" s="2">
        <f t="shared" si="15"/>
        <v>-3.1979999999999933</v>
      </c>
      <c r="M44" s="2"/>
      <c r="N44" s="2"/>
      <c r="O44" s="2">
        <v>28</v>
      </c>
      <c r="P44" s="2"/>
      <c r="Q44" s="2">
        <f t="shared" si="16"/>
        <v>13.7804</v>
      </c>
      <c r="R44" s="15">
        <f t="shared" si="14"/>
        <v>55.35260000000001</v>
      </c>
      <c r="S44" s="15">
        <f t="shared" si="7"/>
        <v>55.35260000000001</v>
      </c>
      <c r="T44" s="15"/>
      <c r="U44" s="15">
        <f t="shared" si="8"/>
        <v>55</v>
      </c>
      <c r="V44" s="15">
        <f t="shared" si="9"/>
        <v>55</v>
      </c>
      <c r="W44" s="15"/>
      <c r="X44" s="15"/>
      <c r="Y44" s="2"/>
      <c r="Z44" s="2">
        <f t="shared" si="10"/>
        <v>13.9744129343125</v>
      </c>
      <c r="AA44" s="2">
        <f t="shared" si="17"/>
        <v>9.9832370613334867</v>
      </c>
      <c r="AB44" s="2">
        <v>13.893800000000001</v>
      </c>
      <c r="AC44" s="2">
        <v>17.712599999999998</v>
      </c>
      <c r="AD44" s="2">
        <v>13.060600000000001</v>
      </c>
      <c r="AE44" s="2">
        <v>22.100200000000001</v>
      </c>
      <c r="AF44" s="2">
        <v>13.937200000000001</v>
      </c>
      <c r="AG44" s="2">
        <v>16.47</v>
      </c>
      <c r="AH44" s="2">
        <v>17.4876</v>
      </c>
      <c r="AI44" s="2">
        <v>10.4306</v>
      </c>
      <c r="AJ44" s="2"/>
      <c r="AK44" s="2">
        <f t="shared" si="11"/>
        <v>55</v>
      </c>
      <c r="AL44" s="2">
        <f t="shared" si="12"/>
        <v>0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>
      <c r="A45" s="2" t="s">
        <v>90</v>
      </c>
      <c r="B45" s="2" t="s">
        <v>39</v>
      </c>
      <c r="C45" s="2">
        <v>55.301000000000002</v>
      </c>
      <c r="D45" s="2">
        <v>33.468000000000004</v>
      </c>
      <c r="E45" s="2">
        <v>31.175999999999998</v>
      </c>
      <c r="F45" s="2">
        <v>20.326000000000001</v>
      </c>
      <c r="G45" s="3">
        <v>1</v>
      </c>
      <c r="H45" s="2">
        <v>45</v>
      </c>
      <c r="I45" s="2" t="s">
        <v>37</v>
      </c>
      <c r="J45" s="2"/>
      <c r="K45" s="2">
        <v>32.000999999999998</v>
      </c>
      <c r="L45" s="2">
        <f t="shared" si="15"/>
        <v>-0.82499999999999929</v>
      </c>
      <c r="M45" s="2"/>
      <c r="N45" s="2"/>
      <c r="O45" s="2">
        <v>20</v>
      </c>
      <c r="P45" s="2"/>
      <c r="Q45" s="2">
        <f t="shared" si="16"/>
        <v>6.2351999999999999</v>
      </c>
      <c r="R45" s="15">
        <f t="shared" si="14"/>
        <v>46.966799999999999</v>
      </c>
      <c r="S45" s="15">
        <f t="shared" si="7"/>
        <v>46.966799999999999</v>
      </c>
      <c r="T45" s="15"/>
      <c r="U45" s="15">
        <f t="shared" si="8"/>
        <v>47</v>
      </c>
      <c r="V45" s="15">
        <f t="shared" si="9"/>
        <v>47</v>
      </c>
      <c r="W45" s="15"/>
      <c r="X45" s="15"/>
      <c r="Y45" s="2"/>
      <c r="Z45" s="2">
        <f t="shared" si="10"/>
        <v>14.005324608673337</v>
      </c>
      <c r="AA45" s="2">
        <f t="shared" si="17"/>
        <v>6.4674749807544263</v>
      </c>
      <c r="AB45" s="2">
        <v>1.7210000000000001</v>
      </c>
      <c r="AC45" s="2">
        <v>2.6888000000000001</v>
      </c>
      <c r="AD45" s="2">
        <v>7.0826000000000002</v>
      </c>
      <c r="AE45" s="2">
        <v>1.7756000000000001</v>
      </c>
      <c r="AF45" s="2">
        <v>7.7679999999999998</v>
      </c>
      <c r="AG45" s="2">
        <v>6.891</v>
      </c>
      <c r="AH45" s="2">
        <v>6.8150000000000004</v>
      </c>
      <c r="AI45" s="2">
        <v>7.7458</v>
      </c>
      <c r="AJ45" s="2"/>
      <c r="AK45" s="2">
        <f t="shared" si="11"/>
        <v>47</v>
      </c>
      <c r="AL45" s="2">
        <f t="shared" si="12"/>
        <v>0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>
      <c r="A46" s="2" t="s">
        <v>91</v>
      </c>
      <c r="B46" s="2" t="s">
        <v>36</v>
      </c>
      <c r="C46" s="2"/>
      <c r="D46" s="2">
        <v>16</v>
      </c>
      <c r="E46" s="2">
        <v>-1</v>
      </c>
      <c r="F46" s="2">
        <v>16</v>
      </c>
      <c r="G46" s="3">
        <v>0.35</v>
      </c>
      <c r="H46" s="2">
        <v>45</v>
      </c>
      <c r="I46" s="2" t="s">
        <v>37</v>
      </c>
      <c r="J46" s="2"/>
      <c r="K46" s="2"/>
      <c r="L46" s="2">
        <f t="shared" si="15"/>
        <v>-1</v>
      </c>
      <c r="M46" s="2"/>
      <c r="N46" s="2"/>
      <c r="O46" s="2">
        <v>24</v>
      </c>
      <c r="P46" s="2"/>
      <c r="Q46" s="2">
        <f t="shared" si="16"/>
        <v>-0.2</v>
      </c>
      <c r="R46" s="15"/>
      <c r="S46" s="15">
        <f t="shared" si="7"/>
        <v>0</v>
      </c>
      <c r="T46" s="15"/>
      <c r="U46" s="15">
        <f t="shared" si="8"/>
        <v>0</v>
      </c>
      <c r="V46" s="15">
        <f t="shared" si="9"/>
        <v>0</v>
      </c>
      <c r="W46" s="15"/>
      <c r="X46" s="15"/>
      <c r="Y46" s="2"/>
      <c r="Z46" s="2">
        <f t="shared" si="10"/>
        <v>-200</v>
      </c>
      <c r="AA46" s="2">
        <f t="shared" si="17"/>
        <v>-200</v>
      </c>
      <c r="AB46" s="2">
        <v>-0.4</v>
      </c>
      <c r="AC46" s="2">
        <v>-2</v>
      </c>
      <c r="AD46" s="2">
        <v>-1.6</v>
      </c>
      <c r="AE46" s="2">
        <v>-3.6</v>
      </c>
      <c r="AF46" s="2">
        <v>2.2000000000000002</v>
      </c>
      <c r="AG46" s="2">
        <v>33</v>
      </c>
      <c r="AH46" s="2">
        <v>2.6</v>
      </c>
      <c r="AI46" s="2">
        <v>5.8</v>
      </c>
      <c r="AJ46" s="2" t="s">
        <v>92</v>
      </c>
      <c r="AK46" s="2">
        <f t="shared" si="11"/>
        <v>0</v>
      </c>
      <c r="AL46" s="2">
        <f t="shared" si="12"/>
        <v>0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>
      <c r="A47" s="2" t="s">
        <v>93</v>
      </c>
      <c r="B47" s="2" t="s">
        <v>39</v>
      </c>
      <c r="C47" s="2">
        <v>89.271000000000001</v>
      </c>
      <c r="D47" s="2">
        <v>138.37700000000001</v>
      </c>
      <c r="E47" s="2">
        <v>59.591999999999999</v>
      </c>
      <c r="F47" s="2">
        <v>71.903999999999996</v>
      </c>
      <c r="G47" s="3">
        <v>1</v>
      </c>
      <c r="H47" s="2">
        <v>45</v>
      </c>
      <c r="I47" s="2" t="s">
        <v>37</v>
      </c>
      <c r="J47" s="2"/>
      <c r="K47" s="2">
        <v>60</v>
      </c>
      <c r="L47" s="2">
        <f t="shared" si="15"/>
        <v>-0.40800000000000125</v>
      </c>
      <c r="M47" s="2"/>
      <c r="N47" s="2"/>
      <c r="O47" s="2">
        <v>59</v>
      </c>
      <c r="P47" s="2">
        <v>60</v>
      </c>
      <c r="Q47" s="2">
        <f t="shared" si="16"/>
        <v>11.9184</v>
      </c>
      <c r="R47" s="15"/>
      <c r="S47" s="15">
        <f t="shared" si="7"/>
        <v>0</v>
      </c>
      <c r="T47" s="15"/>
      <c r="U47" s="15">
        <f t="shared" si="8"/>
        <v>0</v>
      </c>
      <c r="V47" s="15">
        <f t="shared" si="9"/>
        <v>0</v>
      </c>
      <c r="W47" s="15"/>
      <c r="X47" s="15"/>
      <c r="Y47" s="2"/>
      <c r="Z47" s="2">
        <f t="shared" si="10"/>
        <v>16.017586253188348</v>
      </c>
      <c r="AA47" s="2">
        <f t="shared" si="17"/>
        <v>16.017586253188348</v>
      </c>
      <c r="AB47" s="2">
        <v>17.409400000000002</v>
      </c>
      <c r="AC47" s="2">
        <v>15.7852</v>
      </c>
      <c r="AD47" s="2">
        <v>15.443</v>
      </c>
      <c r="AE47" s="2">
        <v>24.122599999999998</v>
      </c>
      <c r="AF47" s="2">
        <v>6.5064000000000002</v>
      </c>
      <c r="AG47" s="2">
        <v>4.9715999999999996</v>
      </c>
      <c r="AH47" s="2">
        <v>14.5192</v>
      </c>
      <c r="AI47" s="2">
        <v>6.1082000000000001</v>
      </c>
      <c r="AJ47" s="2" t="s">
        <v>53</v>
      </c>
      <c r="AK47" s="2">
        <f t="shared" si="11"/>
        <v>0</v>
      </c>
      <c r="AL47" s="2">
        <f t="shared" si="12"/>
        <v>0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>
      <c r="A48" s="2" t="s">
        <v>94</v>
      </c>
      <c r="B48" s="2" t="s">
        <v>36</v>
      </c>
      <c r="C48" s="2">
        <v>158</v>
      </c>
      <c r="D48" s="2">
        <v>288</v>
      </c>
      <c r="E48" s="2">
        <v>153</v>
      </c>
      <c r="F48" s="2">
        <v>139</v>
      </c>
      <c r="G48" s="3">
        <v>0.3</v>
      </c>
      <c r="H48" s="2">
        <v>45</v>
      </c>
      <c r="I48" s="2" t="s">
        <v>37</v>
      </c>
      <c r="J48" s="2"/>
      <c r="K48" s="2">
        <v>157</v>
      </c>
      <c r="L48" s="2">
        <f t="shared" si="15"/>
        <v>-4</v>
      </c>
      <c r="M48" s="2"/>
      <c r="N48" s="2"/>
      <c r="O48" s="2">
        <v>142</v>
      </c>
      <c r="P48" s="2">
        <v>142</v>
      </c>
      <c r="Q48" s="2">
        <f t="shared" si="16"/>
        <v>30.6</v>
      </c>
      <c r="R48" s="15">
        <f t="shared" si="14"/>
        <v>5.4000000000000341</v>
      </c>
      <c r="S48" s="15">
        <f t="shared" si="7"/>
        <v>5.4000000000000341</v>
      </c>
      <c r="T48" s="15"/>
      <c r="U48" s="15">
        <f t="shared" si="8"/>
        <v>5</v>
      </c>
      <c r="V48" s="15">
        <f t="shared" si="9"/>
        <v>0</v>
      </c>
      <c r="W48" s="15">
        <f>U48</f>
        <v>5</v>
      </c>
      <c r="X48" s="15"/>
      <c r="Y48" s="2"/>
      <c r="Z48" s="2">
        <f t="shared" si="10"/>
        <v>13.986928104575163</v>
      </c>
      <c r="AA48" s="2">
        <f t="shared" si="17"/>
        <v>13.823529411764705</v>
      </c>
      <c r="AB48" s="2">
        <v>40.799999999999997</v>
      </c>
      <c r="AC48" s="2">
        <v>33.4</v>
      </c>
      <c r="AD48" s="2">
        <v>15.2</v>
      </c>
      <c r="AE48" s="2">
        <v>43.4</v>
      </c>
      <c r="AF48" s="2">
        <v>36</v>
      </c>
      <c r="AG48" s="2">
        <v>7.8</v>
      </c>
      <c r="AH48" s="2">
        <v>42.2</v>
      </c>
      <c r="AI48" s="2">
        <v>38.799999999999997</v>
      </c>
      <c r="AJ48" s="2"/>
      <c r="AK48" s="2">
        <f t="shared" si="11"/>
        <v>0</v>
      </c>
      <c r="AL48" s="2">
        <f t="shared" si="12"/>
        <v>1.5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>
      <c r="A49" s="2" t="s">
        <v>95</v>
      </c>
      <c r="B49" s="2" t="s">
        <v>39</v>
      </c>
      <c r="C49" s="2">
        <v>14.247</v>
      </c>
      <c r="D49" s="2">
        <v>22.812999999999999</v>
      </c>
      <c r="E49" s="2">
        <v>12.484999999999999</v>
      </c>
      <c r="F49" s="2">
        <v>7.7430000000000003</v>
      </c>
      <c r="G49" s="3">
        <v>1</v>
      </c>
      <c r="H49" s="2">
        <v>45</v>
      </c>
      <c r="I49" s="2" t="s">
        <v>37</v>
      </c>
      <c r="J49" s="2"/>
      <c r="K49" s="2">
        <v>12</v>
      </c>
      <c r="L49" s="2">
        <f t="shared" si="15"/>
        <v>0.48499999999999943</v>
      </c>
      <c r="M49" s="2"/>
      <c r="N49" s="2"/>
      <c r="O49" s="2">
        <v>34</v>
      </c>
      <c r="P49" s="2"/>
      <c r="Q49" s="2">
        <f t="shared" si="16"/>
        <v>2.4969999999999999</v>
      </c>
      <c r="R49" s="15"/>
      <c r="S49" s="15">
        <f t="shared" si="7"/>
        <v>0</v>
      </c>
      <c r="T49" s="15"/>
      <c r="U49" s="15">
        <f t="shared" si="8"/>
        <v>0</v>
      </c>
      <c r="V49" s="15">
        <f t="shared" si="9"/>
        <v>0</v>
      </c>
      <c r="W49" s="15"/>
      <c r="X49" s="15"/>
      <c r="Y49" s="2"/>
      <c r="Z49" s="2">
        <f t="shared" si="10"/>
        <v>16.717260712855428</v>
      </c>
      <c r="AA49" s="2">
        <f t="shared" si="17"/>
        <v>16.717260712855428</v>
      </c>
      <c r="AB49" s="2">
        <v>3.5853999999999999</v>
      </c>
      <c r="AC49" s="2">
        <v>2.3755999999999999</v>
      </c>
      <c r="AD49" s="2">
        <v>2.8252000000000002</v>
      </c>
      <c r="AE49" s="2">
        <v>5.2755999999999998</v>
      </c>
      <c r="AF49" s="2">
        <v>1.2165999999999999</v>
      </c>
      <c r="AG49" s="2">
        <v>2.4748000000000001</v>
      </c>
      <c r="AH49" s="2">
        <v>4.5792000000000002</v>
      </c>
      <c r="AI49" s="2">
        <v>3.2469999999999999</v>
      </c>
      <c r="AJ49" s="2"/>
      <c r="AK49" s="2">
        <f t="shared" si="11"/>
        <v>0</v>
      </c>
      <c r="AL49" s="2">
        <f t="shared" si="12"/>
        <v>0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>
      <c r="A50" s="2" t="s">
        <v>96</v>
      </c>
      <c r="B50" s="2" t="s">
        <v>36</v>
      </c>
      <c r="C50" s="2">
        <v>338</v>
      </c>
      <c r="D50" s="2">
        <v>900</v>
      </c>
      <c r="E50" s="2">
        <v>390</v>
      </c>
      <c r="F50" s="2">
        <v>503</v>
      </c>
      <c r="G50" s="3">
        <v>0.35</v>
      </c>
      <c r="H50" s="2">
        <v>45</v>
      </c>
      <c r="I50" s="2" t="s">
        <v>37</v>
      </c>
      <c r="J50" s="2"/>
      <c r="K50" s="2">
        <v>415</v>
      </c>
      <c r="L50" s="2">
        <f t="shared" si="15"/>
        <v>-25</v>
      </c>
      <c r="M50" s="2"/>
      <c r="N50" s="2"/>
      <c r="O50" s="2">
        <v>127</v>
      </c>
      <c r="P50" s="2">
        <v>127</v>
      </c>
      <c r="Q50" s="2">
        <f t="shared" si="16"/>
        <v>78</v>
      </c>
      <c r="R50" s="15">
        <f t="shared" si="14"/>
        <v>335</v>
      </c>
      <c r="S50" s="15">
        <f t="shared" si="7"/>
        <v>335</v>
      </c>
      <c r="T50" s="15"/>
      <c r="U50" s="15">
        <f t="shared" si="8"/>
        <v>335</v>
      </c>
      <c r="V50" s="15">
        <f t="shared" si="9"/>
        <v>167.5</v>
      </c>
      <c r="W50" s="15">
        <f t="shared" ref="W50" si="18">U50/2</f>
        <v>167.5</v>
      </c>
      <c r="X50" s="15"/>
      <c r="Y50" s="2"/>
      <c r="Z50" s="2">
        <f t="shared" si="10"/>
        <v>14</v>
      </c>
      <c r="AA50" s="2">
        <f t="shared" si="17"/>
        <v>9.7051282051282044</v>
      </c>
      <c r="AB50" s="2">
        <v>83.8</v>
      </c>
      <c r="AC50" s="2">
        <v>92</v>
      </c>
      <c r="AD50" s="2">
        <v>77.2</v>
      </c>
      <c r="AE50" s="2">
        <v>83.2</v>
      </c>
      <c r="AF50" s="2">
        <v>77.8</v>
      </c>
      <c r="AG50" s="2">
        <v>67.400000000000006</v>
      </c>
      <c r="AH50" s="2">
        <v>90</v>
      </c>
      <c r="AI50" s="2">
        <v>65.8</v>
      </c>
      <c r="AJ50" s="2" t="s">
        <v>97</v>
      </c>
      <c r="AK50" s="2">
        <f t="shared" si="11"/>
        <v>58.624999999999993</v>
      </c>
      <c r="AL50" s="2">
        <f t="shared" si="12"/>
        <v>58.624999999999993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>
      <c r="A51" s="2" t="s">
        <v>98</v>
      </c>
      <c r="B51" s="2" t="s">
        <v>36</v>
      </c>
      <c r="C51" s="2">
        <v>374</v>
      </c>
      <c r="D51" s="2">
        <v>23</v>
      </c>
      <c r="E51" s="2">
        <v>339</v>
      </c>
      <c r="F51" s="2">
        <v>1</v>
      </c>
      <c r="G51" s="3">
        <v>0.41</v>
      </c>
      <c r="H51" s="2">
        <v>45</v>
      </c>
      <c r="I51" s="2" t="s">
        <v>37</v>
      </c>
      <c r="J51" s="2"/>
      <c r="K51" s="2">
        <v>394</v>
      </c>
      <c r="L51" s="2">
        <f t="shared" si="15"/>
        <v>-55</v>
      </c>
      <c r="M51" s="2"/>
      <c r="N51" s="2"/>
      <c r="O51" s="2">
        <v>153</v>
      </c>
      <c r="P51" s="2">
        <v>154</v>
      </c>
      <c r="Q51" s="2">
        <f t="shared" si="16"/>
        <v>67.8</v>
      </c>
      <c r="R51" s="15">
        <f t="shared" si="14"/>
        <v>641.19999999999993</v>
      </c>
      <c r="S51" s="15">
        <f t="shared" si="7"/>
        <v>641.19999999999993</v>
      </c>
      <c r="T51" s="15"/>
      <c r="U51" s="15">
        <f t="shared" si="8"/>
        <v>641</v>
      </c>
      <c r="V51" s="15">
        <f t="shared" si="9"/>
        <v>349.63636363636368</v>
      </c>
      <c r="W51" s="15">
        <f>U51/2.2</f>
        <v>291.36363636363632</v>
      </c>
      <c r="X51" s="15"/>
      <c r="Y51" s="2"/>
      <c r="Z51" s="2">
        <f t="shared" si="10"/>
        <v>13.997050147492626</v>
      </c>
      <c r="AA51" s="2">
        <f t="shared" si="17"/>
        <v>4.5427728613569327</v>
      </c>
      <c r="AB51" s="2">
        <v>46.8</v>
      </c>
      <c r="AC51" s="2">
        <v>41.8</v>
      </c>
      <c r="AD51" s="2">
        <v>69.599999999999994</v>
      </c>
      <c r="AE51" s="2">
        <v>36.4</v>
      </c>
      <c r="AF51" s="2">
        <v>49.6</v>
      </c>
      <c r="AG51" s="2">
        <v>46.6</v>
      </c>
      <c r="AH51" s="2">
        <v>90</v>
      </c>
      <c r="AI51" s="2">
        <v>50.4</v>
      </c>
      <c r="AJ51" s="2"/>
      <c r="AK51" s="2">
        <f t="shared" si="11"/>
        <v>143.35090909090911</v>
      </c>
      <c r="AL51" s="2">
        <f t="shared" si="12"/>
        <v>119.45909090909089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>
      <c r="A52" s="2" t="s">
        <v>99</v>
      </c>
      <c r="B52" s="2" t="s">
        <v>36</v>
      </c>
      <c r="C52" s="2">
        <v>37</v>
      </c>
      <c r="D52" s="2">
        <v>310</v>
      </c>
      <c r="E52" s="2">
        <v>65</v>
      </c>
      <c r="F52" s="2">
        <v>189</v>
      </c>
      <c r="G52" s="3">
        <v>0.41</v>
      </c>
      <c r="H52" s="2">
        <v>45</v>
      </c>
      <c r="I52" s="2" t="s">
        <v>37</v>
      </c>
      <c r="J52" s="2"/>
      <c r="K52" s="2">
        <v>67</v>
      </c>
      <c r="L52" s="2">
        <f t="shared" si="15"/>
        <v>-2</v>
      </c>
      <c r="M52" s="2"/>
      <c r="N52" s="2"/>
      <c r="O52" s="2">
        <v>11</v>
      </c>
      <c r="P52" s="2"/>
      <c r="Q52" s="2">
        <f t="shared" si="16"/>
        <v>13</v>
      </c>
      <c r="R52" s="15"/>
      <c r="S52" s="15">
        <f t="shared" si="7"/>
        <v>0</v>
      </c>
      <c r="T52" s="15"/>
      <c r="U52" s="15">
        <f t="shared" si="8"/>
        <v>0</v>
      </c>
      <c r="V52" s="15">
        <f t="shared" si="9"/>
        <v>0</v>
      </c>
      <c r="W52" s="15"/>
      <c r="X52" s="15"/>
      <c r="Y52" s="2"/>
      <c r="Z52" s="2">
        <f t="shared" si="10"/>
        <v>15.384615384615385</v>
      </c>
      <c r="AA52" s="2">
        <f t="shared" si="17"/>
        <v>15.384615384615385</v>
      </c>
      <c r="AB52" s="2">
        <v>19</v>
      </c>
      <c r="AC52" s="2">
        <v>25.4</v>
      </c>
      <c r="AD52" s="2">
        <v>4.4000000000000004</v>
      </c>
      <c r="AE52" s="2">
        <v>3</v>
      </c>
      <c r="AF52" s="2">
        <v>31.4</v>
      </c>
      <c r="AG52" s="2">
        <v>1.4</v>
      </c>
      <c r="AH52" s="2">
        <v>9.8000000000000007</v>
      </c>
      <c r="AI52" s="2">
        <v>20</v>
      </c>
      <c r="AJ52" s="2"/>
      <c r="AK52" s="2">
        <f t="shared" si="11"/>
        <v>0</v>
      </c>
      <c r="AL52" s="2">
        <f t="shared" si="12"/>
        <v>0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>
      <c r="A53" s="7" t="s">
        <v>100</v>
      </c>
      <c r="B53" s="7" t="s">
        <v>39</v>
      </c>
      <c r="C53" s="7">
        <v>16.449000000000002</v>
      </c>
      <c r="D53" s="7"/>
      <c r="E53" s="7"/>
      <c r="F53" s="7">
        <v>16.449000000000002</v>
      </c>
      <c r="G53" s="8">
        <v>0</v>
      </c>
      <c r="H53" s="7">
        <v>30</v>
      </c>
      <c r="I53" s="7" t="s">
        <v>79</v>
      </c>
      <c r="J53" s="7"/>
      <c r="K53" s="7"/>
      <c r="L53" s="7">
        <f t="shared" si="15"/>
        <v>0</v>
      </c>
      <c r="M53" s="7"/>
      <c r="N53" s="7"/>
      <c r="O53" s="7">
        <v>0</v>
      </c>
      <c r="P53" s="7"/>
      <c r="Q53" s="7">
        <f t="shared" si="16"/>
        <v>0</v>
      </c>
      <c r="R53" s="16"/>
      <c r="S53" s="15">
        <f t="shared" si="7"/>
        <v>0</v>
      </c>
      <c r="T53" s="16"/>
      <c r="U53" s="15">
        <f t="shared" si="8"/>
        <v>0</v>
      </c>
      <c r="V53" s="15">
        <f t="shared" si="9"/>
        <v>0</v>
      </c>
      <c r="W53" s="15"/>
      <c r="X53" s="16"/>
      <c r="Y53" s="7"/>
      <c r="Z53" s="2" t="e">
        <f t="shared" si="10"/>
        <v>#DIV/0!</v>
      </c>
      <c r="AA53" s="7" t="e">
        <f t="shared" si="17"/>
        <v>#DIV/0!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18" t="s">
        <v>101</v>
      </c>
      <c r="AK53" s="2">
        <f t="shared" si="11"/>
        <v>0</v>
      </c>
      <c r="AL53" s="2">
        <f t="shared" si="12"/>
        <v>0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>
      <c r="A54" s="2" t="s">
        <v>102</v>
      </c>
      <c r="B54" s="2" t="s">
        <v>36</v>
      </c>
      <c r="C54" s="2">
        <v>105</v>
      </c>
      <c r="D54" s="2">
        <v>127</v>
      </c>
      <c r="E54" s="2">
        <v>105</v>
      </c>
      <c r="F54" s="2">
        <v>45</v>
      </c>
      <c r="G54" s="3">
        <v>0.36</v>
      </c>
      <c r="H54" s="2">
        <v>45</v>
      </c>
      <c r="I54" s="2" t="s">
        <v>37</v>
      </c>
      <c r="J54" s="2"/>
      <c r="K54" s="2">
        <v>112</v>
      </c>
      <c r="L54" s="2">
        <f t="shared" si="15"/>
        <v>-7</v>
      </c>
      <c r="M54" s="2"/>
      <c r="N54" s="2"/>
      <c r="O54" s="2">
        <v>105</v>
      </c>
      <c r="P54" s="2">
        <v>105</v>
      </c>
      <c r="Q54" s="2">
        <f t="shared" si="16"/>
        <v>21</v>
      </c>
      <c r="R54" s="15">
        <f t="shared" ref="R54:R56" si="19">14*Q54-P54-O54-F54</f>
        <v>39</v>
      </c>
      <c r="S54" s="15">
        <f t="shared" si="7"/>
        <v>39</v>
      </c>
      <c r="T54" s="15"/>
      <c r="U54" s="15">
        <f t="shared" si="8"/>
        <v>39</v>
      </c>
      <c r="V54" s="15">
        <f t="shared" si="9"/>
        <v>39</v>
      </c>
      <c r="W54" s="15"/>
      <c r="X54" s="15"/>
      <c r="Y54" s="2"/>
      <c r="Z54" s="2">
        <f t="shared" si="10"/>
        <v>14</v>
      </c>
      <c r="AA54" s="2">
        <f t="shared" si="17"/>
        <v>12.142857142857142</v>
      </c>
      <c r="AB54" s="2">
        <v>26.6</v>
      </c>
      <c r="AC54" s="2">
        <v>21.6</v>
      </c>
      <c r="AD54" s="2">
        <v>20</v>
      </c>
      <c r="AE54" s="2">
        <v>38.200000000000003</v>
      </c>
      <c r="AF54" s="2">
        <v>16</v>
      </c>
      <c r="AG54" s="2">
        <v>27.4</v>
      </c>
      <c r="AH54" s="2">
        <v>32.6</v>
      </c>
      <c r="AI54" s="2">
        <v>23.6</v>
      </c>
      <c r="AJ54" s="2" t="s">
        <v>53</v>
      </c>
      <c r="AK54" s="2">
        <f t="shared" si="11"/>
        <v>14.04</v>
      </c>
      <c r="AL54" s="2">
        <f t="shared" si="12"/>
        <v>0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>
      <c r="A55" s="2" t="s">
        <v>103</v>
      </c>
      <c r="B55" s="2" t="s">
        <v>36</v>
      </c>
      <c r="C55" s="2">
        <v>17</v>
      </c>
      <c r="D55" s="2"/>
      <c r="E55" s="2">
        <v>14</v>
      </c>
      <c r="F55" s="2">
        <v>1</v>
      </c>
      <c r="G55" s="3">
        <v>0.33</v>
      </c>
      <c r="H55" s="2">
        <v>45</v>
      </c>
      <c r="I55" s="2" t="s">
        <v>37</v>
      </c>
      <c r="J55" s="2"/>
      <c r="K55" s="2">
        <v>16</v>
      </c>
      <c r="L55" s="2">
        <f t="shared" si="15"/>
        <v>-2</v>
      </c>
      <c r="M55" s="2"/>
      <c r="N55" s="2"/>
      <c r="O55" s="2">
        <v>8</v>
      </c>
      <c r="P55" s="2"/>
      <c r="Q55" s="2">
        <f t="shared" si="16"/>
        <v>2.8</v>
      </c>
      <c r="R55" s="15">
        <f>12*Q55-P55-O55-F55</f>
        <v>24.599999999999994</v>
      </c>
      <c r="S55" s="15">
        <f t="shared" si="7"/>
        <v>24.599999999999994</v>
      </c>
      <c r="T55" s="15"/>
      <c r="U55" s="15">
        <f t="shared" si="8"/>
        <v>25</v>
      </c>
      <c r="V55" s="15">
        <f t="shared" si="9"/>
        <v>25</v>
      </c>
      <c r="W55" s="15"/>
      <c r="X55" s="15"/>
      <c r="Y55" s="2"/>
      <c r="Z55" s="2">
        <f t="shared" si="10"/>
        <v>12.142857142857144</v>
      </c>
      <c r="AA55" s="2">
        <f t="shared" si="17"/>
        <v>3.2142857142857144</v>
      </c>
      <c r="AB55" s="2">
        <v>1.8</v>
      </c>
      <c r="AC55" s="2">
        <v>0.4</v>
      </c>
      <c r="AD55" s="2">
        <v>0.8</v>
      </c>
      <c r="AE55" s="2">
        <v>3.6</v>
      </c>
      <c r="AF55" s="2">
        <v>1.2</v>
      </c>
      <c r="AG55" s="2">
        <v>2</v>
      </c>
      <c r="AH55" s="2">
        <v>3.4</v>
      </c>
      <c r="AI55" s="2">
        <v>5.6</v>
      </c>
      <c r="AJ55" s="2"/>
      <c r="AK55" s="2">
        <f t="shared" si="11"/>
        <v>8.25</v>
      </c>
      <c r="AL55" s="2">
        <f t="shared" si="12"/>
        <v>0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>
      <c r="A56" s="2" t="s">
        <v>104</v>
      </c>
      <c r="B56" s="2" t="s">
        <v>36</v>
      </c>
      <c r="C56" s="2">
        <v>15</v>
      </c>
      <c r="D56" s="2"/>
      <c r="E56" s="2">
        <v>6</v>
      </c>
      <c r="F56" s="2">
        <v>9</v>
      </c>
      <c r="G56" s="3">
        <v>0.33</v>
      </c>
      <c r="H56" s="2">
        <v>45</v>
      </c>
      <c r="I56" s="2" t="s">
        <v>37</v>
      </c>
      <c r="J56" s="2"/>
      <c r="K56" s="2">
        <v>6</v>
      </c>
      <c r="L56" s="2">
        <f t="shared" si="15"/>
        <v>0</v>
      </c>
      <c r="M56" s="2"/>
      <c r="N56" s="2"/>
      <c r="O56" s="2">
        <v>0</v>
      </c>
      <c r="P56" s="2"/>
      <c r="Q56" s="2">
        <f t="shared" si="16"/>
        <v>1.2</v>
      </c>
      <c r="R56" s="15">
        <f t="shared" si="19"/>
        <v>7.8000000000000007</v>
      </c>
      <c r="S56" s="15">
        <f t="shared" si="7"/>
        <v>7.8000000000000007</v>
      </c>
      <c r="T56" s="15"/>
      <c r="U56" s="15">
        <f t="shared" si="8"/>
        <v>8</v>
      </c>
      <c r="V56" s="15">
        <f t="shared" si="9"/>
        <v>8</v>
      </c>
      <c r="W56" s="15"/>
      <c r="X56" s="15"/>
      <c r="Y56" s="2"/>
      <c r="Z56" s="2">
        <f t="shared" si="10"/>
        <v>14.166666666666668</v>
      </c>
      <c r="AA56" s="2">
        <f t="shared" si="17"/>
        <v>7.5</v>
      </c>
      <c r="AB56" s="2">
        <v>0.4</v>
      </c>
      <c r="AC56" s="2">
        <v>0.6</v>
      </c>
      <c r="AD56" s="2">
        <v>0.8</v>
      </c>
      <c r="AE56" s="2">
        <v>0</v>
      </c>
      <c r="AF56" s="2">
        <v>0</v>
      </c>
      <c r="AG56" s="2">
        <v>0</v>
      </c>
      <c r="AH56" s="2">
        <v>-0.2</v>
      </c>
      <c r="AI56" s="2">
        <v>0.2</v>
      </c>
      <c r="AJ56" s="2" t="s">
        <v>105</v>
      </c>
      <c r="AK56" s="2">
        <f t="shared" si="11"/>
        <v>2.64</v>
      </c>
      <c r="AL56" s="2">
        <f t="shared" si="12"/>
        <v>0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>
      <c r="A57" s="2" t="s">
        <v>106</v>
      </c>
      <c r="B57" s="2" t="s">
        <v>36</v>
      </c>
      <c r="C57" s="2">
        <v>73</v>
      </c>
      <c r="D57" s="2">
        <v>10</v>
      </c>
      <c r="E57" s="2">
        <v>22</v>
      </c>
      <c r="F57" s="2">
        <v>44</v>
      </c>
      <c r="G57" s="3">
        <v>0.33</v>
      </c>
      <c r="H57" s="2">
        <v>45</v>
      </c>
      <c r="I57" s="2" t="s">
        <v>37</v>
      </c>
      <c r="J57" s="2"/>
      <c r="K57" s="2">
        <v>37</v>
      </c>
      <c r="L57" s="2">
        <f t="shared" si="15"/>
        <v>-15</v>
      </c>
      <c r="M57" s="2"/>
      <c r="N57" s="2"/>
      <c r="O57" s="2">
        <v>51</v>
      </c>
      <c r="P57" s="2">
        <v>52</v>
      </c>
      <c r="Q57" s="2">
        <f t="shared" si="16"/>
        <v>4.4000000000000004</v>
      </c>
      <c r="R57" s="15"/>
      <c r="S57" s="15">
        <f t="shared" si="7"/>
        <v>0</v>
      </c>
      <c r="T57" s="15"/>
      <c r="U57" s="15">
        <f t="shared" si="8"/>
        <v>0</v>
      </c>
      <c r="V57" s="15">
        <f t="shared" si="9"/>
        <v>0</v>
      </c>
      <c r="W57" s="15"/>
      <c r="X57" s="15"/>
      <c r="Y57" s="2"/>
      <c r="Z57" s="2">
        <f t="shared" si="10"/>
        <v>33.409090909090907</v>
      </c>
      <c r="AA57" s="2">
        <f t="shared" si="17"/>
        <v>33.409090909090907</v>
      </c>
      <c r="AB57" s="2">
        <v>12.4</v>
      </c>
      <c r="AC57" s="2">
        <v>4.4000000000000004</v>
      </c>
      <c r="AD57" s="2">
        <v>1.6</v>
      </c>
      <c r="AE57" s="2">
        <v>19.600000000000001</v>
      </c>
      <c r="AF57" s="2">
        <v>13.4</v>
      </c>
      <c r="AG57" s="2">
        <v>14</v>
      </c>
      <c r="AH57" s="2">
        <v>27.4</v>
      </c>
      <c r="AI57" s="2">
        <v>13.2</v>
      </c>
      <c r="AJ57" s="17" t="s">
        <v>51</v>
      </c>
      <c r="AK57" s="2">
        <f t="shared" si="11"/>
        <v>0</v>
      </c>
      <c r="AL57" s="2">
        <f t="shared" si="12"/>
        <v>0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>
      <c r="A58" s="2" t="s">
        <v>107</v>
      </c>
      <c r="B58" s="2" t="s">
        <v>36</v>
      </c>
      <c r="C58" s="2">
        <v>20</v>
      </c>
      <c r="D58" s="2">
        <v>16</v>
      </c>
      <c r="E58" s="2">
        <v>10</v>
      </c>
      <c r="F58" s="2">
        <v>15</v>
      </c>
      <c r="G58" s="3">
        <v>0.33</v>
      </c>
      <c r="H58" s="2">
        <v>45</v>
      </c>
      <c r="I58" s="2" t="s">
        <v>37</v>
      </c>
      <c r="J58" s="2"/>
      <c r="K58" s="2">
        <v>11</v>
      </c>
      <c r="L58" s="2">
        <f t="shared" si="15"/>
        <v>-1</v>
      </c>
      <c r="M58" s="2"/>
      <c r="N58" s="2"/>
      <c r="O58" s="2">
        <v>0</v>
      </c>
      <c r="P58" s="2"/>
      <c r="Q58" s="2">
        <f t="shared" si="16"/>
        <v>2</v>
      </c>
      <c r="R58" s="15">
        <v>16</v>
      </c>
      <c r="S58" s="15">
        <f t="shared" si="7"/>
        <v>16</v>
      </c>
      <c r="T58" s="15"/>
      <c r="U58" s="15">
        <f t="shared" si="8"/>
        <v>16</v>
      </c>
      <c r="V58" s="15">
        <f t="shared" si="9"/>
        <v>16</v>
      </c>
      <c r="W58" s="15"/>
      <c r="X58" s="15"/>
      <c r="Y58" s="2"/>
      <c r="Z58" s="2">
        <f t="shared" si="10"/>
        <v>15.5</v>
      </c>
      <c r="AA58" s="2">
        <f t="shared" si="17"/>
        <v>7.5</v>
      </c>
      <c r="AB58" s="2">
        <v>0.4</v>
      </c>
      <c r="AC58" s="2">
        <v>2.6</v>
      </c>
      <c r="AD58" s="2">
        <v>1.4</v>
      </c>
      <c r="AE58" s="2">
        <v>2.8</v>
      </c>
      <c r="AF58" s="2">
        <v>1.4</v>
      </c>
      <c r="AG58" s="2">
        <v>2.8</v>
      </c>
      <c r="AH58" s="2">
        <v>2.6</v>
      </c>
      <c r="AI58" s="2">
        <v>2</v>
      </c>
      <c r="AJ58" s="2" t="s">
        <v>53</v>
      </c>
      <c r="AK58" s="2">
        <f t="shared" si="11"/>
        <v>5.28</v>
      </c>
      <c r="AL58" s="2">
        <f t="shared" si="12"/>
        <v>0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>
      <c r="A59" s="7" t="s">
        <v>108</v>
      </c>
      <c r="B59" s="7" t="s">
        <v>36</v>
      </c>
      <c r="C59" s="7"/>
      <c r="D59" s="7">
        <v>8</v>
      </c>
      <c r="E59" s="7">
        <v>-1</v>
      </c>
      <c r="F59" s="7"/>
      <c r="G59" s="8">
        <v>0</v>
      </c>
      <c r="H59" s="7" t="e">
        <v>#N/A</v>
      </c>
      <c r="I59" s="7" t="s">
        <v>79</v>
      </c>
      <c r="J59" s="7"/>
      <c r="K59" s="7">
        <v>20</v>
      </c>
      <c r="L59" s="7">
        <f t="shared" si="15"/>
        <v>-21</v>
      </c>
      <c r="M59" s="7"/>
      <c r="N59" s="7"/>
      <c r="O59" s="7"/>
      <c r="P59" s="7"/>
      <c r="Q59" s="7">
        <f t="shared" si="16"/>
        <v>-0.2</v>
      </c>
      <c r="R59" s="16"/>
      <c r="S59" s="15">
        <f t="shared" si="7"/>
        <v>0</v>
      </c>
      <c r="T59" s="16"/>
      <c r="U59" s="15">
        <f t="shared" si="8"/>
        <v>0</v>
      </c>
      <c r="V59" s="15">
        <f t="shared" si="9"/>
        <v>0</v>
      </c>
      <c r="W59" s="15"/>
      <c r="X59" s="16"/>
      <c r="Y59" s="7"/>
      <c r="Z59" s="2">
        <f t="shared" si="10"/>
        <v>0</v>
      </c>
      <c r="AA59" s="7">
        <f t="shared" si="17"/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/>
      <c r="AK59" s="2">
        <f t="shared" si="11"/>
        <v>0</v>
      </c>
      <c r="AL59" s="2">
        <f t="shared" si="12"/>
        <v>0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>
      <c r="A60" s="2" t="s">
        <v>109</v>
      </c>
      <c r="B60" s="2" t="s">
        <v>39</v>
      </c>
      <c r="C60" s="2">
        <v>122.30800000000001</v>
      </c>
      <c r="D60" s="2">
        <v>653.61800000000005</v>
      </c>
      <c r="E60" s="2">
        <v>179.31100000000001</v>
      </c>
      <c r="F60" s="2">
        <v>224.01</v>
      </c>
      <c r="G60" s="3">
        <v>1</v>
      </c>
      <c r="H60" s="2">
        <v>45</v>
      </c>
      <c r="I60" s="2" t="s">
        <v>37</v>
      </c>
      <c r="J60" s="2"/>
      <c r="K60" s="2">
        <v>176</v>
      </c>
      <c r="L60" s="2">
        <f t="shared" si="15"/>
        <v>3.311000000000007</v>
      </c>
      <c r="M60" s="2"/>
      <c r="N60" s="2"/>
      <c r="O60" s="2">
        <v>15</v>
      </c>
      <c r="P60" s="2"/>
      <c r="Q60" s="2">
        <f t="shared" si="16"/>
        <v>35.862200000000001</v>
      </c>
      <c r="R60" s="15">
        <f t="shared" ref="R60:R63" si="20">14*Q60-P60-O60-F60</f>
        <v>263.06080000000003</v>
      </c>
      <c r="S60" s="15">
        <f t="shared" si="7"/>
        <v>263.06080000000003</v>
      </c>
      <c r="T60" s="15"/>
      <c r="U60" s="15">
        <f t="shared" si="8"/>
        <v>263</v>
      </c>
      <c r="V60" s="15">
        <f t="shared" si="9"/>
        <v>143.45454545454547</v>
      </c>
      <c r="W60" s="15">
        <f>U60/2.2</f>
        <v>119.54545454545453</v>
      </c>
      <c r="X60" s="15"/>
      <c r="Y60" s="2"/>
      <c r="Z60" s="2">
        <f t="shared" si="10"/>
        <v>13.998304621579267</v>
      </c>
      <c r="AA60" s="2">
        <f t="shared" si="17"/>
        <v>6.6646775713704116</v>
      </c>
      <c r="AB60" s="2">
        <v>30.038399999999999</v>
      </c>
      <c r="AC60" s="2">
        <v>40.593800000000002</v>
      </c>
      <c r="AD60" s="2">
        <v>28.529599999999999</v>
      </c>
      <c r="AE60" s="2">
        <v>38.642800000000001</v>
      </c>
      <c r="AF60" s="2">
        <v>30.709800000000001</v>
      </c>
      <c r="AG60" s="2">
        <v>39.011000000000003</v>
      </c>
      <c r="AH60" s="2">
        <v>40.2378</v>
      </c>
      <c r="AI60" s="2">
        <v>37.677399999999999</v>
      </c>
      <c r="AJ60" s="2"/>
      <c r="AK60" s="2">
        <f t="shared" si="11"/>
        <v>143.45454545454547</v>
      </c>
      <c r="AL60" s="2">
        <f t="shared" si="12"/>
        <v>119.54545454545453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>
      <c r="A61" s="2" t="s">
        <v>110</v>
      </c>
      <c r="B61" s="2" t="s">
        <v>39</v>
      </c>
      <c r="C61" s="2">
        <v>30.614000000000001</v>
      </c>
      <c r="D61" s="2"/>
      <c r="E61" s="2">
        <v>0.32900000000000001</v>
      </c>
      <c r="F61" s="2">
        <v>30.285</v>
      </c>
      <c r="G61" s="3">
        <v>1</v>
      </c>
      <c r="H61" s="2">
        <v>30</v>
      </c>
      <c r="I61" s="2" t="s">
        <v>37</v>
      </c>
      <c r="J61" s="2"/>
      <c r="K61" s="2">
        <v>0.3</v>
      </c>
      <c r="L61" s="2">
        <f t="shared" si="15"/>
        <v>2.9000000000000026E-2</v>
      </c>
      <c r="M61" s="2"/>
      <c r="N61" s="2"/>
      <c r="O61" s="2">
        <v>0</v>
      </c>
      <c r="P61" s="2"/>
      <c r="Q61" s="2">
        <f t="shared" si="16"/>
        <v>6.5799999999999997E-2</v>
      </c>
      <c r="R61" s="15"/>
      <c r="S61" s="15">
        <f t="shared" si="7"/>
        <v>0</v>
      </c>
      <c r="T61" s="15"/>
      <c r="U61" s="15">
        <f t="shared" si="8"/>
        <v>0</v>
      </c>
      <c r="V61" s="15">
        <f t="shared" si="9"/>
        <v>0</v>
      </c>
      <c r="W61" s="15"/>
      <c r="X61" s="15"/>
      <c r="Y61" s="2"/>
      <c r="Z61" s="2">
        <f t="shared" si="10"/>
        <v>460.258358662614</v>
      </c>
      <c r="AA61" s="2">
        <f t="shared" si="17"/>
        <v>460.258358662614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18" t="s">
        <v>65</v>
      </c>
      <c r="AK61" s="2">
        <f t="shared" si="11"/>
        <v>0</v>
      </c>
      <c r="AL61" s="2">
        <f t="shared" si="12"/>
        <v>0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>
      <c r="A62" s="2" t="s">
        <v>111</v>
      </c>
      <c r="B62" s="2" t="s">
        <v>36</v>
      </c>
      <c r="C62" s="2">
        <v>34</v>
      </c>
      <c r="D62" s="2">
        <v>1</v>
      </c>
      <c r="E62" s="2">
        <v>1</v>
      </c>
      <c r="F62" s="2">
        <v>28</v>
      </c>
      <c r="G62" s="3">
        <v>0.1</v>
      </c>
      <c r="H62" s="2">
        <v>60</v>
      </c>
      <c r="I62" s="2" t="s">
        <v>37</v>
      </c>
      <c r="J62" s="2"/>
      <c r="K62" s="2">
        <v>4</v>
      </c>
      <c r="L62" s="2">
        <f t="shared" si="15"/>
        <v>-3</v>
      </c>
      <c r="M62" s="2"/>
      <c r="N62" s="2"/>
      <c r="O62" s="2">
        <v>17</v>
      </c>
      <c r="P62" s="2"/>
      <c r="Q62" s="2">
        <f t="shared" si="16"/>
        <v>0.2</v>
      </c>
      <c r="R62" s="15"/>
      <c r="S62" s="15">
        <f t="shared" si="7"/>
        <v>0</v>
      </c>
      <c r="T62" s="15"/>
      <c r="U62" s="15">
        <f t="shared" si="8"/>
        <v>0</v>
      </c>
      <c r="V62" s="15">
        <f t="shared" si="9"/>
        <v>0</v>
      </c>
      <c r="W62" s="15"/>
      <c r="X62" s="15"/>
      <c r="Y62" s="2"/>
      <c r="Z62" s="2">
        <f t="shared" si="10"/>
        <v>225</v>
      </c>
      <c r="AA62" s="2">
        <f t="shared" si="17"/>
        <v>225</v>
      </c>
      <c r="AB62" s="2">
        <v>3.6</v>
      </c>
      <c r="AC62" s="2">
        <v>0.4</v>
      </c>
      <c r="AD62" s="2">
        <v>2.8</v>
      </c>
      <c r="AE62" s="2">
        <v>1</v>
      </c>
      <c r="AF62" s="2">
        <v>6.8</v>
      </c>
      <c r="AG62" s="2">
        <v>3</v>
      </c>
      <c r="AH62" s="2">
        <v>1</v>
      </c>
      <c r="AI62" s="2">
        <v>1</v>
      </c>
      <c r="AJ62" s="17" t="s">
        <v>51</v>
      </c>
      <c r="AK62" s="2">
        <f t="shared" si="11"/>
        <v>0</v>
      </c>
      <c r="AL62" s="2">
        <f t="shared" si="12"/>
        <v>0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>
      <c r="A63" s="2" t="s">
        <v>112</v>
      </c>
      <c r="B63" s="2" t="s">
        <v>36</v>
      </c>
      <c r="C63" s="2">
        <v>90</v>
      </c>
      <c r="D63" s="2">
        <v>76</v>
      </c>
      <c r="E63" s="2">
        <v>48</v>
      </c>
      <c r="F63" s="2">
        <v>55</v>
      </c>
      <c r="G63" s="3">
        <v>0.4</v>
      </c>
      <c r="H63" s="2">
        <v>45</v>
      </c>
      <c r="I63" s="2" t="s">
        <v>37</v>
      </c>
      <c r="J63" s="2"/>
      <c r="K63" s="2">
        <v>51</v>
      </c>
      <c r="L63" s="2">
        <f t="shared" si="15"/>
        <v>-3</v>
      </c>
      <c r="M63" s="2"/>
      <c r="N63" s="2"/>
      <c r="O63" s="2">
        <v>16</v>
      </c>
      <c r="P63" s="2"/>
      <c r="Q63" s="2">
        <f t="shared" si="16"/>
        <v>9.6</v>
      </c>
      <c r="R63" s="15">
        <f t="shared" si="20"/>
        <v>63.400000000000006</v>
      </c>
      <c r="S63" s="15">
        <f t="shared" si="7"/>
        <v>63.400000000000006</v>
      </c>
      <c r="T63" s="15"/>
      <c r="U63" s="15">
        <f t="shared" si="8"/>
        <v>63</v>
      </c>
      <c r="V63" s="15">
        <f t="shared" si="9"/>
        <v>63</v>
      </c>
      <c r="W63" s="15"/>
      <c r="X63" s="15"/>
      <c r="Y63" s="2"/>
      <c r="Z63" s="2">
        <f t="shared" si="10"/>
        <v>13.958333333333334</v>
      </c>
      <c r="AA63" s="2">
        <f t="shared" si="17"/>
        <v>7.3958333333333339</v>
      </c>
      <c r="AB63" s="2">
        <v>7.4</v>
      </c>
      <c r="AC63" s="2">
        <v>8.4</v>
      </c>
      <c r="AD63" s="2">
        <v>12.4</v>
      </c>
      <c r="AE63" s="2">
        <v>9.8000000000000007</v>
      </c>
      <c r="AF63" s="2">
        <v>5.6</v>
      </c>
      <c r="AG63" s="2">
        <v>13.4</v>
      </c>
      <c r="AH63" s="2">
        <v>4.8</v>
      </c>
      <c r="AI63" s="2">
        <v>7</v>
      </c>
      <c r="AJ63" s="2"/>
      <c r="AK63" s="2">
        <f t="shared" si="11"/>
        <v>25.200000000000003</v>
      </c>
      <c r="AL63" s="2">
        <f t="shared" si="12"/>
        <v>0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>
      <c r="A64" s="10" t="s">
        <v>113</v>
      </c>
      <c r="B64" s="2" t="s">
        <v>39</v>
      </c>
      <c r="C64" s="2">
        <v>25.395</v>
      </c>
      <c r="D64" s="10">
        <v>189.11</v>
      </c>
      <c r="E64" s="2">
        <v>22.533000000000001</v>
      </c>
      <c r="F64" s="11">
        <f>191.972-(189-18)</f>
        <v>20.972000000000008</v>
      </c>
      <c r="G64" s="3">
        <v>1</v>
      </c>
      <c r="H64" s="2">
        <v>60</v>
      </c>
      <c r="I64" s="2" t="s">
        <v>37</v>
      </c>
      <c r="J64" s="2"/>
      <c r="K64" s="2">
        <v>23.6</v>
      </c>
      <c r="L64" s="2">
        <f t="shared" si="15"/>
        <v>-1.0670000000000002</v>
      </c>
      <c r="M64" s="2"/>
      <c r="N64" s="2"/>
      <c r="O64" s="2">
        <v>0</v>
      </c>
      <c r="P64" s="2"/>
      <c r="Q64" s="2">
        <f t="shared" si="16"/>
        <v>4.5066000000000006</v>
      </c>
      <c r="R64" s="15">
        <f>13*Q64-P64-O64-F64</f>
        <v>37.613799999999998</v>
      </c>
      <c r="S64" s="15">
        <f>X64</f>
        <v>0</v>
      </c>
      <c r="T64" s="15"/>
      <c r="U64" s="15">
        <f t="shared" si="8"/>
        <v>0</v>
      </c>
      <c r="V64" s="15">
        <f t="shared" si="9"/>
        <v>0</v>
      </c>
      <c r="W64" s="15"/>
      <c r="X64" s="15">
        <v>0</v>
      </c>
      <c r="Y64" s="2"/>
      <c r="Z64" s="2">
        <f t="shared" si="10"/>
        <v>4.6536191363777579</v>
      </c>
      <c r="AA64" s="2">
        <f t="shared" si="17"/>
        <v>4.6536191363777579</v>
      </c>
      <c r="AB64" s="2">
        <v>2.5417999999999998</v>
      </c>
      <c r="AC64" s="2">
        <v>4.1840000000000002</v>
      </c>
      <c r="AD64" s="2">
        <v>2.6591999999999998</v>
      </c>
      <c r="AE64" s="2">
        <v>3.8010000000000002</v>
      </c>
      <c r="AF64" s="2">
        <v>6.5679999999999996</v>
      </c>
      <c r="AG64" s="2">
        <v>1.212</v>
      </c>
      <c r="AH64" s="2">
        <v>5.819</v>
      </c>
      <c r="AI64" s="2">
        <v>4.9130000000000003</v>
      </c>
      <c r="AJ64" s="19" t="s">
        <v>156</v>
      </c>
      <c r="AK64" s="2">
        <f t="shared" si="11"/>
        <v>0</v>
      </c>
      <c r="AL64" s="2">
        <f t="shared" si="12"/>
        <v>0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>
      <c r="A65" s="7" t="s">
        <v>114</v>
      </c>
      <c r="B65" s="7" t="s">
        <v>39</v>
      </c>
      <c r="C65" s="7">
        <v>4.2409999999999997</v>
      </c>
      <c r="D65" s="7"/>
      <c r="E65" s="7"/>
      <c r="F65" s="7">
        <v>4.2409999999999997</v>
      </c>
      <c r="G65" s="8">
        <v>0</v>
      </c>
      <c r="H65" s="7">
        <v>90</v>
      </c>
      <c r="I65" s="7" t="s">
        <v>79</v>
      </c>
      <c r="J65" s="7"/>
      <c r="K65" s="7"/>
      <c r="L65" s="7">
        <f t="shared" si="15"/>
        <v>0</v>
      </c>
      <c r="M65" s="7"/>
      <c r="N65" s="7"/>
      <c r="O65" s="7">
        <v>0</v>
      </c>
      <c r="P65" s="7"/>
      <c r="Q65" s="7">
        <f t="shared" si="16"/>
        <v>0</v>
      </c>
      <c r="R65" s="16"/>
      <c r="S65" s="15">
        <f t="shared" si="7"/>
        <v>0</v>
      </c>
      <c r="T65" s="16"/>
      <c r="U65" s="15">
        <f t="shared" si="8"/>
        <v>0</v>
      </c>
      <c r="V65" s="15">
        <f t="shared" si="9"/>
        <v>0</v>
      </c>
      <c r="W65" s="15"/>
      <c r="X65" s="16"/>
      <c r="Y65" s="7"/>
      <c r="Z65" s="2" t="e">
        <f t="shared" si="10"/>
        <v>#DIV/0!</v>
      </c>
      <c r="AA65" s="7" t="e">
        <f t="shared" si="17"/>
        <v>#DIV/0!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 t="s">
        <v>115</v>
      </c>
      <c r="AK65" s="2">
        <f t="shared" si="11"/>
        <v>0</v>
      </c>
      <c r="AL65" s="2">
        <f t="shared" si="12"/>
        <v>0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>
      <c r="A66" s="2" t="s">
        <v>116</v>
      </c>
      <c r="B66" s="2" t="s">
        <v>36</v>
      </c>
      <c r="C66" s="2">
        <v>42</v>
      </c>
      <c r="D66" s="2">
        <v>277</v>
      </c>
      <c r="E66" s="2">
        <v>57</v>
      </c>
      <c r="F66" s="2">
        <v>112</v>
      </c>
      <c r="G66" s="3">
        <v>0.25</v>
      </c>
      <c r="H66" s="2">
        <v>120</v>
      </c>
      <c r="I66" s="2" t="s">
        <v>37</v>
      </c>
      <c r="J66" s="2"/>
      <c r="K66" s="2">
        <v>57</v>
      </c>
      <c r="L66" s="2">
        <f t="shared" si="15"/>
        <v>0</v>
      </c>
      <c r="M66" s="2"/>
      <c r="N66" s="2"/>
      <c r="O66" s="2">
        <v>21</v>
      </c>
      <c r="P66" s="2"/>
      <c r="Q66" s="2">
        <f t="shared" si="16"/>
        <v>11.4</v>
      </c>
      <c r="R66" s="15">
        <f t="shared" ref="R66:R70" si="21">14*Q66-P66-O66-F66</f>
        <v>26.599999999999994</v>
      </c>
      <c r="S66" s="15">
        <f t="shared" si="7"/>
        <v>26.599999999999994</v>
      </c>
      <c r="T66" s="15"/>
      <c r="U66" s="15">
        <f t="shared" si="8"/>
        <v>27</v>
      </c>
      <c r="V66" s="15">
        <f t="shared" si="9"/>
        <v>27</v>
      </c>
      <c r="W66" s="15"/>
      <c r="X66" s="15"/>
      <c r="Y66" s="2"/>
      <c r="Z66" s="2">
        <f t="shared" si="10"/>
        <v>14.035087719298245</v>
      </c>
      <c r="AA66" s="2">
        <f t="shared" si="17"/>
        <v>11.666666666666666</v>
      </c>
      <c r="AB66" s="2">
        <v>14.2</v>
      </c>
      <c r="AC66" s="2">
        <v>18.2</v>
      </c>
      <c r="AD66" s="2">
        <v>14.4</v>
      </c>
      <c r="AE66" s="2">
        <v>13.2</v>
      </c>
      <c r="AF66" s="2">
        <v>18.600000000000001</v>
      </c>
      <c r="AG66" s="2">
        <v>11</v>
      </c>
      <c r="AH66" s="2">
        <v>3</v>
      </c>
      <c r="AI66" s="2">
        <v>0</v>
      </c>
      <c r="AJ66" s="2" t="s">
        <v>68</v>
      </c>
      <c r="AK66" s="2">
        <f t="shared" si="11"/>
        <v>6.75</v>
      </c>
      <c r="AL66" s="2">
        <f t="shared" si="12"/>
        <v>0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>
      <c r="A67" s="2" t="s">
        <v>117</v>
      </c>
      <c r="B67" s="2" t="s">
        <v>39</v>
      </c>
      <c r="C67" s="2">
        <v>8.0000000000000002E-3</v>
      </c>
      <c r="D67" s="2">
        <v>47.862000000000002</v>
      </c>
      <c r="E67" s="2">
        <v>1.04</v>
      </c>
      <c r="F67" s="2">
        <v>45.835000000000001</v>
      </c>
      <c r="G67" s="3">
        <v>1</v>
      </c>
      <c r="H67" s="2">
        <v>45</v>
      </c>
      <c r="I67" s="2" t="s">
        <v>37</v>
      </c>
      <c r="J67" s="2"/>
      <c r="K67" s="2">
        <v>1</v>
      </c>
      <c r="L67" s="2">
        <f t="shared" si="15"/>
        <v>4.0000000000000036E-2</v>
      </c>
      <c r="M67" s="2"/>
      <c r="N67" s="2"/>
      <c r="O67" s="2">
        <v>0</v>
      </c>
      <c r="P67" s="2"/>
      <c r="Q67" s="2">
        <f t="shared" si="16"/>
        <v>0.20800000000000002</v>
      </c>
      <c r="R67" s="15"/>
      <c r="S67" s="15">
        <f t="shared" si="7"/>
        <v>0</v>
      </c>
      <c r="T67" s="15"/>
      <c r="U67" s="15">
        <f t="shared" si="8"/>
        <v>0</v>
      </c>
      <c r="V67" s="15">
        <f t="shared" si="9"/>
        <v>0</v>
      </c>
      <c r="W67" s="15"/>
      <c r="X67" s="15"/>
      <c r="Y67" s="2"/>
      <c r="Z67" s="2">
        <f t="shared" si="10"/>
        <v>220.36057692307691</v>
      </c>
      <c r="AA67" s="2">
        <f t="shared" si="17"/>
        <v>220.36057692307691</v>
      </c>
      <c r="AB67" s="2">
        <v>0.76339999999999997</v>
      </c>
      <c r="AC67" s="2">
        <v>4.7972000000000001</v>
      </c>
      <c r="AD67" s="2">
        <v>1.4456</v>
      </c>
      <c r="AE67" s="2">
        <v>2.1696</v>
      </c>
      <c r="AF67" s="2">
        <v>2.21</v>
      </c>
      <c r="AG67" s="2">
        <v>2.3235999999999999</v>
      </c>
      <c r="AH67" s="2">
        <v>1.9046000000000001</v>
      </c>
      <c r="AI67" s="2">
        <v>2.927</v>
      </c>
      <c r="AJ67" s="2"/>
      <c r="AK67" s="2">
        <f t="shared" si="11"/>
        <v>0</v>
      </c>
      <c r="AL67" s="2">
        <f t="shared" si="12"/>
        <v>0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>
      <c r="A68" s="2" t="s">
        <v>118</v>
      </c>
      <c r="B68" s="2" t="s">
        <v>36</v>
      </c>
      <c r="C68" s="2">
        <v>677</v>
      </c>
      <c r="D68" s="2">
        <v>412</v>
      </c>
      <c r="E68" s="2">
        <v>606</v>
      </c>
      <c r="F68" s="2">
        <v>195</v>
      </c>
      <c r="G68" s="3">
        <v>0.41</v>
      </c>
      <c r="H68" s="2">
        <v>50</v>
      </c>
      <c r="I68" s="2" t="s">
        <v>37</v>
      </c>
      <c r="J68" s="2"/>
      <c r="K68" s="2">
        <v>616</v>
      </c>
      <c r="L68" s="2">
        <f t="shared" si="15"/>
        <v>-10</v>
      </c>
      <c r="M68" s="2"/>
      <c r="N68" s="2"/>
      <c r="O68" s="2">
        <v>450</v>
      </c>
      <c r="P68" s="2">
        <v>450</v>
      </c>
      <c r="Q68" s="2">
        <f t="shared" si="16"/>
        <v>121.2</v>
      </c>
      <c r="R68" s="15">
        <f t="shared" si="21"/>
        <v>601.79999999999995</v>
      </c>
      <c r="S68" s="15">
        <f t="shared" si="7"/>
        <v>601.79999999999995</v>
      </c>
      <c r="T68" s="15"/>
      <c r="U68" s="15">
        <f t="shared" si="8"/>
        <v>602</v>
      </c>
      <c r="V68" s="15">
        <f t="shared" si="9"/>
        <v>301</v>
      </c>
      <c r="W68" s="15">
        <f t="shared" ref="W68" si="22">U68/2</f>
        <v>301</v>
      </c>
      <c r="X68" s="15"/>
      <c r="Y68" s="2"/>
      <c r="Z68" s="2">
        <f t="shared" si="10"/>
        <v>14.001650165016502</v>
      </c>
      <c r="AA68" s="2">
        <f t="shared" si="17"/>
        <v>9.0346534653465351</v>
      </c>
      <c r="AB68" s="2">
        <v>115</v>
      </c>
      <c r="AC68" s="2">
        <v>101</v>
      </c>
      <c r="AD68" s="2">
        <v>108</v>
      </c>
      <c r="AE68" s="2">
        <v>130.4</v>
      </c>
      <c r="AF68" s="2">
        <v>128</v>
      </c>
      <c r="AG68" s="2">
        <v>126.2</v>
      </c>
      <c r="AH68" s="2">
        <v>122</v>
      </c>
      <c r="AI68" s="2">
        <v>106.4</v>
      </c>
      <c r="AJ68" s="2"/>
      <c r="AK68" s="2">
        <f t="shared" si="11"/>
        <v>123.41</v>
      </c>
      <c r="AL68" s="2">
        <f t="shared" si="12"/>
        <v>123.41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>
      <c r="A69" s="2" t="s">
        <v>119</v>
      </c>
      <c r="B69" s="2" t="s">
        <v>39</v>
      </c>
      <c r="C69" s="2">
        <v>61.893000000000001</v>
      </c>
      <c r="D69" s="2">
        <v>244.54900000000001</v>
      </c>
      <c r="E69" s="2">
        <v>96.021000000000001</v>
      </c>
      <c r="F69" s="2">
        <v>84.503</v>
      </c>
      <c r="G69" s="3">
        <v>1</v>
      </c>
      <c r="H69" s="2">
        <v>50</v>
      </c>
      <c r="I69" s="2" t="s">
        <v>37</v>
      </c>
      <c r="J69" s="2"/>
      <c r="K69" s="2">
        <v>93</v>
      </c>
      <c r="L69" s="2">
        <f t="shared" si="15"/>
        <v>3.0210000000000008</v>
      </c>
      <c r="M69" s="2"/>
      <c r="N69" s="2"/>
      <c r="O69" s="2">
        <v>64</v>
      </c>
      <c r="P69" s="2">
        <v>65</v>
      </c>
      <c r="Q69" s="2">
        <f t="shared" si="16"/>
        <v>19.2042</v>
      </c>
      <c r="R69" s="15">
        <f t="shared" si="21"/>
        <v>55.355799999999974</v>
      </c>
      <c r="S69" s="15">
        <f t="shared" si="7"/>
        <v>55.355799999999974</v>
      </c>
      <c r="T69" s="15"/>
      <c r="U69" s="15">
        <f t="shared" si="8"/>
        <v>55</v>
      </c>
      <c r="V69" s="15">
        <f t="shared" si="9"/>
        <v>55</v>
      </c>
      <c r="W69" s="15"/>
      <c r="X69" s="15"/>
      <c r="Y69" s="2"/>
      <c r="Z69" s="2">
        <f t="shared" si="10"/>
        <v>13.981472802824381</v>
      </c>
      <c r="AA69" s="2">
        <f t="shared" si="17"/>
        <v>11.117515960050405</v>
      </c>
      <c r="AB69" s="2">
        <v>22.319400000000002</v>
      </c>
      <c r="AC69" s="2">
        <v>21.602599999999999</v>
      </c>
      <c r="AD69" s="2">
        <v>19.901</v>
      </c>
      <c r="AE69" s="2">
        <v>22.6404</v>
      </c>
      <c r="AF69" s="2">
        <v>21.871200000000002</v>
      </c>
      <c r="AG69" s="2">
        <v>21.9284</v>
      </c>
      <c r="AH69" s="2">
        <v>24.188800000000001</v>
      </c>
      <c r="AI69" s="2">
        <v>14.865399999999999</v>
      </c>
      <c r="AJ69" s="2"/>
      <c r="AK69" s="2">
        <f t="shared" si="11"/>
        <v>55</v>
      </c>
      <c r="AL69" s="2">
        <f t="shared" si="12"/>
        <v>0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>
      <c r="A70" s="2" t="s">
        <v>120</v>
      </c>
      <c r="B70" s="2" t="s">
        <v>36</v>
      </c>
      <c r="C70" s="2">
        <v>274</v>
      </c>
      <c r="D70" s="2">
        <v>287</v>
      </c>
      <c r="E70" s="2">
        <v>166</v>
      </c>
      <c r="F70" s="2">
        <v>236</v>
      </c>
      <c r="G70" s="3">
        <v>0.35</v>
      </c>
      <c r="H70" s="2">
        <v>50</v>
      </c>
      <c r="I70" s="2" t="s">
        <v>37</v>
      </c>
      <c r="J70" s="2"/>
      <c r="K70" s="2">
        <v>168</v>
      </c>
      <c r="L70" s="2">
        <f t="shared" ref="L70:L96" si="23">E70-K70</f>
        <v>-2</v>
      </c>
      <c r="M70" s="2"/>
      <c r="N70" s="2"/>
      <c r="O70" s="2">
        <v>0</v>
      </c>
      <c r="P70" s="2"/>
      <c r="Q70" s="2">
        <f t="shared" ref="Q70:Q96" si="24">E70/5</f>
        <v>33.200000000000003</v>
      </c>
      <c r="R70" s="15">
        <f t="shared" si="21"/>
        <v>228.80000000000007</v>
      </c>
      <c r="S70" s="15">
        <f t="shared" si="7"/>
        <v>228.80000000000007</v>
      </c>
      <c r="T70" s="15"/>
      <c r="U70" s="15">
        <f t="shared" si="8"/>
        <v>229</v>
      </c>
      <c r="V70" s="15">
        <f t="shared" si="9"/>
        <v>114.5</v>
      </c>
      <c r="W70" s="15">
        <f t="shared" ref="W70" si="25">U70/2</f>
        <v>114.5</v>
      </c>
      <c r="X70" s="15"/>
      <c r="Y70" s="2"/>
      <c r="Z70" s="2">
        <f t="shared" si="10"/>
        <v>14.006024096385541</v>
      </c>
      <c r="AA70" s="2">
        <f t="shared" ref="AA70:AA96" si="26">(F70+O70+P70)/Q70</f>
        <v>7.1084337349397586</v>
      </c>
      <c r="AB70" s="2">
        <v>26.2</v>
      </c>
      <c r="AC70" s="2">
        <v>39.4</v>
      </c>
      <c r="AD70" s="2">
        <v>27.8</v>
      </c>
      <c r="AE70" s="2">
        <v>49.8</v>
      </c>
      <c r="AF70" s="2">
        <v>27.6</v>
      </c>
      <c r="AG70" s="2">
        <v>41.6</v>
      </c>
      <c r="AH70" s="2">
        <v>42.2</v>
      </c>
      <c r="AI70" s="2">
        <v>21.8</v>
      </c>
      <c r="AJ70" s="2"/>
      <c r="AK70" s="2">
        <f t="shared" si="11"/>
        <v>40.074999999999996</v>
      </c>
      <c r="AL70" s="2">
        <f t="shared" si="12"/>
        <v>40.074999999999996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>
      <c r="A71" s="2" t="s">
        <v>121</v>
      </c>
      <c r="B71" s="2" t="s">
        <v>39</v>
      </c>
      <c r="C71" s="2">
        <v>20.061</v>
      </c>
      <c r="D71" s="2">
        <v>5.3999999999999999E-2</v>
      </c>
      <c r="E71" s="2">
        <v>3.0350000000000001</v>
      </c>
      <c r="F71" s="2">
        <v>15.515000000000001</v>
      </c>
      <c r="G71" s="3">
        <v>1</v>
      </c>
      <c r="H71" s="2">
        <v>50</v>
      </c>
      <c r="I71" s="2" t="s">
        <v>37</v>
      </c>
      <c r="J71" s="2"/>
      <c r="K71" s="2">
        <v>4</v>
      </c>
      <c r="L71" s="2">
        <f t="shared" si="23"/>
        <v>-0.96499999999999986</v>
      </c>
      <c r="M71" s="2"/>
      <c r="N71" s="2"/>
      <c r="O71" s="2">
        <v>0</v>
      </c>
      <c r="P71" s="2"/>
      <c r="Q71" s="2">
        <f t="shared" si="24"/>
        <v>0.60699999999999998</v>
      </c>
      <c r="R71" s="15"/>
      <c r="S71" s="15">
        <f t="shared" ref="S71:S96" si="27">R71</f>
        <v>0</v>
      </c>
      <c r="T71" s="15"/>
      <c r="U71" s="15">
        <f t="shared" ref="U71:U96" si="28">ROUND(T71+S71,0)</f>
        <v>0</v>
      </c>
      <c r="V71" s="15">
        <f t="shared" ref="V71:V96" si="29">U71-W71</f>
        <v>0</v>
      </c>
      <c r="W71" s="15"/>
      <c r="X71" s="15"/>
      <c r="Y71" s="2"/>
      <c r="Z71" s="2">
        <f t="shared" ref="Z71:Z96" si="30">(F71+O71+P71+U71)/Q71</f>
        <v>25.560131795716639</v>
      </c>
      <c r="AA71" s="2">
        <f t="shared" si="26"/>
        <v>25.560131795716639</v>
      </c>
      <c r="AB71" s="2">
        <v>1.5376000000000001</v>
      </c>
      <c r="AC71" s="2">
        <v>0.30819999999999997</v>
      </c>
      <c r="AD71" s="2">
        <v>0.93479999999999996</v>
      </c>
      <c r="AE71" s="2">
        <v>0</v>
      </c>
      <c r="AF71" s="2">
        <v>0.31459999999999999</v>
      </c>
      <c r="AG71" s="2">
        <v>3.1534</v>
      </c>
      <c r="AH71" s="2">
        <v>1.2587999999999999</v>
      </c>
      <c r="AI71" s="2">
        <v>0.62360000000000004</v>
      </c>
      <c r="AJ71" s="17" t="s">
        <v>51</v>
      </c>
      <c r="AK71" s="2">
        <f t="shared" ref="AK71:AK96" si="31">G71*V71</f>
        <v>0</v>
      </c>
      <c r="AL71" s="2">
        <f t="shared" ref="AL71:AL96" si="32">G71*W71</f>
        <v>0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>
      <c r="A72" s="7" t="s">
        <v>122</v>
      </c>
      <c r="B72" s="7" t="s">
        <v>36</v>
      </c>
      <c r="C72" s="7">
        <v>54</v>
      </c>
      <c r="D72" s="7">
        <v>3</v>
      </c>
      <c r="E72" s="7">
        <v>55</v>
      </c>
      <c r="F72" s="7">
        <v>-1</v>
      </c>
      <c r="G72" s="8">
        <v>0</v>
      </c>
      <c r="H72" s="7">
        <v>50</v>
      </c>
      <c r="I72" s="7" t="s">
        <v>56</v>
      </c>
      <c r="J72" s="7"/>
      <c r="K72" s="7">
        <v>56</v>
      </c>
      <c r="L72" s="7">
        <f t="shared" si="23"/>
        <v>-1</v>
      </c>
      <c r="M72" s="7"/>
      <c r="N72" s="7"/>
      <c r="O72" s="7">
        <v>0</v>
      </c>
      <c r="P72" s="7"/>
      <c r="Q72" s="7">
        <f t="shared" si="24"/>
        <v>11</v>
      </c>
      <c r="R72" s="16"/>
      <c r="S72" s="15">
        <f t="shared" si="27"/>
        <v>0</v>
      </c>
      <c r="T72" s="16"/>
      <c r="U72" s="15">
        <f t="shared" si="28"/>
        <v>0</v>
      </c>
      <c r="V72" s="15">
        <f t="shared" si="29"/>
        <v>0</v>
      </c>
      <c r="W72" s="15"/>
      <c r="X72" s="16"/>
      <c r="Y72" s="7"/>
      <c r="Z72" s="2">
        <f t="shared" si="30"/>
        <v>-9.0909090909090912E-2</v>
      </c>
      <c r="AA72" s="7">
        <f t="shared" si="26"/>
        <v>-9.0909090909090912E-2</v>
      </c>
      <c r="AB72" s="7">
        <v>73.400000000000006</v>
      </c>
      <c r="AC72" s="7">
        <v>85.4</v>
      </c>
      <c r="AD72" s="7">
        <v>94.6</v>
      </c>
      <c r="AE72" s="7">
        <v>116.2</v>
      </c>
      <c r="AF72" s="7">
        <v>93.6</v>
      </c>
      <c r="AG72" s="7">
        <v>72.2</v>
      </c>
      <c r="AH72" s="7">
        <v>112.6</v>
      </c>
      <c r="AI72" s="7">
        <v>96.2</v>
      </c>
      <c r="AJ72" s="7" t="s">
        <v>123</v>
      </c>
      <c r="AK72" s="2">
        <f t="shared" si="31"/>
        <v>0</v>
      </c>
      <c r="AL72" s="2">
        <f t="shared" si="32"/>
        <v>0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>
      <c r="A73" s="2" t="s">
        <v>124</v>
      </c>
      <c r="B73" s="2" t="s">
        <v>36</v>
      </c>
      <c r="C73" s="2">
        <v>766</v>
      </c>
      <c r="D73" s="2">
        <v>721</v>
      </c>
      <c r="E73" s="2">
        <v>514</v>
      </c>
      <c r="F73" s="2">
        <v>462</v>
      </c>
      <c r="G73" s="3">
        <v>0.41</v>
      </c>
      <c r="H73" s="2">
        <v>50</v>
      </c>
      <c r="I73" s="2" t="s">
        <v>37</v>
      </c>
      <c r="J73" s="2"/>
      <c r="K73" s="2">
        <v>532</v>
      </c>
      <c r="L73" s="2">
        <f t="shared" si="23"/>
        <v>-18</v>
      </c>
      <c r="M73" s="2"/>
      <c r="N73" s="2"/>
      <c r="O73" s="2">
        <v>300</v>
      </c>
      <c r="P73" s="2">
        <v>420</v>
      </c>
      <c r="Q73" s="2">
        <f t="shared" si="24"/>
        <v>102.8</v>
      </c>
      <c r="R73" s="15">
        <f t="shared" ref="R73:R92" si="33">14*Q73-P73-O73-F73</f>
        <v>257.20000000000005</v>
      </c>
      <c r="S73" s="15">
        <f t="shared" si="27"/>
        <v>257.20000000000005</v>
      </c>
      <c r="T73" s="15"/>
      <c r="U73" s="15">
        <f t="shared" si="28"/>
        <v>257</v>
      </c>
      <c r="V73" s="15">
        <f t="shared" si="29"/>
        <v>0</v>
      </c>
      <c r="W73" s="15">
        <f>U73</f>
        <v>257</v>
      </c>
      <c r="X73" s="15"/>
      <c r="Y73" s="2"/>
      <c r="Z73" s="2">
        <f t="shared" si="30"/>
        <v>13.998054474708171</v>
      </c>
      <c r="AA73" s="2">
        <f t="shared" si="26"/>
        <v>11.498054474708171</v>
      </c>
      <c r="AB73" s="2">
        <v>105.6</v>
      </c>
      <c r="AC73" s="2">
        <v>106.6</v>
      </c>
      <c r="AD73" s="2">
        <v>113</v>
      </c>
      <c r="AE73" s="2">
        <v>118</v>
      </c>
      <c r="AF73" s="2">
        <v>129</v>
      </c>
      <c r="AG73" s="2">
        <v>101.8</v>
      </c>
      <c r="AH73" s="2">
        <v>142.19999999999999</v>
      </c>
      <c r="AI73" s="2">
        <v>103.4</v>
      </c>
      <c r="AJ73" s="2"/>
      <c r="AK73" s="2">
        <f t="shared" si="31"/>
        <v>0</v>
      </c>
      <c r="AL73" s="2">
        <f t="shared" si="32"/>
        <v>105.36999999999999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>
      <c r="A74" s="2" t="s">
        <v>125</v>
      </c>
      <c r="B74" s="2" t="s">
        <v>39</v>
      </c>
      <c r="C74" s="2">
        <v>32.673000000000002</v>
      </c>
      <c r="D74" s="2">
        <v>6.32</v>
      </c>
      <c r="E74" s="2">
        <v>29.228999999999999</v>
      </c>
      <c r="F74" s="2">
        <v>1.5289999999999999</v>
      </c>
      <c r="G74" s="3">
        <v>1</v>
      </c>
      <c r="H74" s="2">
        <v>50</v>
      </c>
      <c r="I74" s="2" t="s">
        <v>37</v>
      </c>
      <c r="J74" s="2"/>
      <c r="K74" s="2">
        <v>31.3</v>
      </c>
      <c r="L74" s="2">
        <f t="shared" si="23"/>
        <v>-2.0710000000000015</v>
      </c>
      <c r="M74" s="2"/>
      <c r="N74" s="2"/>
      <c r="O74" s="2">
        <v>64</v>
      </c>
      <c r="P74" s="2">
        <v>64</v>
      </c>
      <c r="Q74" s="2">
        <f t="shared" si="24"/>
        <v>5.8457999999999997</v>
      </c>
      <c r="R74" s="15"/>
      <c r="S74" s="15">
        <f t="shared" si="27"/>
        <v>0</v>
      </c>
      <c r="T74" s="15"/>
      <c r="U74" s="15">
        <f t="shared" si="28"/>
        <v>0</v>
      </c>
      <c r="V74" s="15">
        <f t="shared" si="29"/>
        <v>0</v>
      </c>
      <c r="W74" s="15"/>
      <c r="X74" s="15"/>
      <c r="Y74" s="2"/>
      <c r="Z74" s="2">
        <f t="shared" si="30"/>
        <v>22.157617434739471</v>
      </c>
      <c r="AA74" s="2">
        <f t="shared" si="26"/>
        <v>22.157617434739471</v>
      </c>
      <c r="AB74" s="2">
        <v>14.3338</v>
      </c>
      <c r="AC74" s="2">
        <v>5.3175999999999997</v>
      </c>
      <c r="AD74" s="2">
        <v>9.1166</v>
      </c>
      <c r="AE74" s="2">
        <v>13.212199999999999</v>
      </c>
      <c r="AF74" s="2">
        <v>6.9032</v>
      </c>
      <c r="AG74" s="2">
        <v>9.7669999999999995</v>
      </c>
      <c r="AH74" s="2">
        <v>14.1866</v>
      </c>
      <c r="AI74" s="2">
        <v>10.6784</v>
      </c>
      <c r="AJ74" s="2"/>
      <c r="AK74" s="2">
        <f t="shared" si="31"/>
        <v>0</v>
      </c>
      <c r="AL74" s="2">
        <f t="shared" si="32"/>
        <v>0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>
      <c r="A75" s="2" t="s">
        <v>126</v>
      </c>
      <c r="B75" s="2" t="s">
        <v>36</v>
      </c>
      <c r="C75" s="2">
        <v>94</v>
      </c>
      <c r="D75" s="2">
        <v>7</v>
      </c>
      <c r="E75" s="2">
        <v>51</v>
      </c>
      <c r="F75" s="2">
        <v>43</v>
      </c>
      <c r="G75" s="3">
        <v>0.3</v>
      </c>
      <c r="H75" s="2">
        <v>50</v>
      </c>
      <c r="I75" s="2" t="s">
        <v>37</v>
      </c>
      <c r="J75" s="2"/>
      <c r="K75" s="2">
        <v>55</v>
      </c>
      <c r="L75" s="2">
        <f t="shared" si="23"/>
        <v>-4</v>
      </c>
      <c r="M75" s="2"/>
      <c r="N75" s="2"/>
      <c r="O75" s="2">
        <v>0</v>
      </c>
      <c r="P75" s="2"/>
      <c r="Q75" s="2">
        <f t="shared" si="24"/>
        <v>10.199999999999999</v>
      </c>
      <c r="R75" s="15">
        <f>13*Q75-P75-O75-F75</f>
        <v>89.6</v>
      </c>
      <c r="S75" s="15">
        <f t="shared" si="27"/>
        <v>89.6</v>
      </c>
      <c r="T75" s="15"/>
      <c r="U75" s="15">
        <f t="shared" si="28"/>
        <v>90</v>
      </c>
      <c r="V75" s="15">
        <f t="shared" si="29"/>
        <v>90</v>
      </c>
      <c r="W75" s="15"/>
      <c r="X75" s="15"/>
      <c r="Y75" s="2"/>
      <c r="Z75" s="2">
        <f t="shared" si="30"/>
        <v>13.039215686274511</v>
      </c>
      <c r="AA75" s="2">
        <f t="shared" si="26"/>
        <v>4.215686274509804</v>
      </c>
      <c r="AB75" s="2">
        <v>6</v>
      </c>
      <c r="AC75" s="2">
        <v>8.8000000000000007</v>
      </c>
      <c r="AD75" s="2">
        <v>12.4</v>
      </c>
      <c r="AE75" s="2">
        <v>8.1999999999999993</v>
      </c>
      <c r="AF75" s="2">
        <v>13.2</v>
      </c>
      <c r="AG75" s="2">
        <v>12.4</v>
      </c>
      <c r="AH75" s="2">
        <v>8.6</v>
      </c>
      <c r="AI75" s="2">
        <v>-0.6</v>
      </c>
      <c r="AJ75" s="2" t="s">
        <v>127</v>
      </c>
      <c r="AK75" s="2">
        <f t="shared" si="31"/>
        <v>27</v>
      </c>
      <c r="AL75" s="2">
        <f t="shared" si="32"/>
        <v>0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>
      <c r="A76" s="2" t="s">
        <v>128</v>
      </c>
      <c r="B76" s="2" t="s">
        <v>36</v>
      </c>
      <c r="C76" s="2">
        <v>18</v>
      </c>
      <c r="D76" s="2">
        <v>61</v>
      </c>
      <c r="E76" s="2">
        <v>16</v>
      </c>
      <c r="F76" s="2">
        <v>56</v>
      </c>
      <c r="G76" s="3">
        <v>0.14000000000000001</v>
      </c>
      <c r="H76" s="2">
        <v>50</v>
      </c>
      <c r="I76" s="2" t="s">
        <v>37</v>
      </c>
      <c r="J76" s="2"/>
      <c r="K76" s="2">
        <v>20</v>
      </c>
      <c r="L76" s="2">
        <f t="shared" si="23"/>
        <v>-4</v>
      </c>
      <c r="M76" s="2"/>
      <c r="N76" s="2"/>
      <c r="O76" s="2">
        <v>0</v>
      </c>
      <c r="P76" s="2"/>
      <c r="Q76" s="2">
        <f t="shared" si="24"/>
        <v>3.2</v>
      </c>
      <c r="R76" s="15"/>
      <c r="S76" s="15">
        <f t="shared" si="27"/>
        <v>0</v>
      </c>
      <c r="T76" s="15"/>
      <c r="U76" s="15">
        <f t="shared" si="28"/>
        <v>0</v>
      </c>
      <c r="V76" s="15">
        <f t="shared" si="29"/>
        <v>0</v>
      </c>
      <c r="W76" s="15"/>
      <c r="X76" s="15"/>
      <c r="Y76" s="2"/>
      <c r="Z76" s="2">
        <f t="shared" si="30"/>
        <v>17.5</v>
      </c>
      <c r="AA76" s="2">
        <f t="shared" si="26"/>
        <v>17.5</v>
      </c>
      <c r="AB76" s="2">
        <v>-0.2</v>
      </c>
      <c r="AC76" s="2">
        <v>5.8</v>
      </c>
      <c r="AD76" s="2">
        <v>2.4</v>
      </c>
      <c r="AE76" s="2">
        <v>5.8</v>
      </c>
      <c r="AF76" s="2">
        <v>8.4</v>
      </c>
      <c r="AG76" s="2">
        <v>6.8</v>
      </c>
      <c r="AH76" s="2">
        <v>4.4000000000000004</v>
      </c>
      <c r="AI76" s="2">
        <v>6.8</v>
      </c>
      <c r="AJ76" s="2"/>
      <c r="AK76" s="2">
        <f t="shared" si="31"/>
        <v>0</v>
      </c>
      <c r="AL76" s="2">
        <f t="shared" si="32"/>
        <v>0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>
      <c r="A77" s="2" t="s">
        <v>129</v>
      </c>
      <c r="B77" s="2" t="s">
        <v>36</v>
      </c>
      <c r="C77" s="2">
        <v>62</v>
      </c>
      <c r="D77" s="2">
        <v>27</v>
      </c>
      <c r="E77" s="2">
        <v>8</v>
      </c>
      <c r="F77" s="2">
        <v>46</v>
      </c>
      <c r="G77" s="3">
        <v>0.18</v>
      </c>
      <c r="H77" s="2">
        <v>50</v>
      </c>
      <c r="I77" s="2" t="s">
        <v>37</v>
      </c>
      <c r="J77" s="2"/>
      <c r="K77" s="2">
        <v>24</v>
      </c>
      <c r="L77" s="2">
        <f t="shared" si="23"/>
        <v>-16</v>
      </c>
      <c r="M77" s="2"/>
      <c r="N77" s="2"/>
      <c r="O77" s="2">
        <v>67</v>
      </c>
      <c r="P77" s="2">
        <v>67</v>
      </c>
      <c r="Q77" s="2">
        <f t="shared" si="24"/>
        <v>1.6</v>
      </c>
      <c r="R77" s="15"/>
      <c r="S77" s="15">
        <f t="shared" si="27"/>
        <v>0</v>
      </c>
      <c r="T77" s="15"/>
      <c r="U77" s="15">
        <f t="shared" si="28"/>
        <v>0</v>
      </c>
      <c r="V77" s="15">
        <f t="shared" si="29"/>
        <v>0</v>
      </c>
      <c r="W77" s="15"/>
      <c r="X77" s="15"/>
      <c r="Y77" s="2"/>
      <c r="Z77" s="2">
        <f t="shared" si="30"/>
        <v>112.5</v>
      </c>
      <c r="AA77" s="2">
        <f t="shared" si="26"/>
        <v>112.5</v>
      </c>
      <c r="AB77" s="2">
        <v>14.2</v>
      </c>
      <c r="AC77" s="2">
        <v>11</v>
      </c>
      <c r="AD77" s="2">
        <v>15.2</v>
      </c>
      <c r="AE77" s="2">
        <v>18.8</v>
      </c>
      <c r="AF77" s="2">
        <v>22.6</v>
      </c>
      <c r="AG77" s="2">
        <v>8</v>
      </c>
      <c r="AH77" s="2">
        <v>23.2</v>
      </c>
      <c r="AI77" s="2">
        <v>12.8</v>
      </c>
      <c r="AJ77" s="17" t="s">
        <v>51</v>
      </c>
      <c r="AK77" s="2">
        <f t="shared" si="31"/>
        <v>0</v>
      </c>
      <c r="AL77" s="2">
        <f t="shared" si="32"/>
        <v>0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>
      <c r="A78" s="2" t="s">
        <v>130</v>
      </c>
      <c r="B78" s="2" t="s">
        <v>39</v>
      </c>
      <c r="C78" s="2">
        <v>28.911999999999999</v>
      </c>
      <c r="D78" s="2">
        <v>10.083</v>
      </c>
      <c r="E78" s="2">
        <v>28.923999999999999</v>
      </c>
      <c r="F78" s="2"/>
      <c r="G78" s="3">
        <v>1</v>
      </c>
      <c r="H78" s="2">
        <v>45</v>
      </c>
      <c r="I78" s="2" t="s">
        <v>37</v>
      </c>
      <c r="J78" s="2"/>
      <c r="K78" s="2">
        <v>29.52</v>
      </c>
      <c r="L78" s="2">
        <f t="shared" si="23"/>
        <v>-0.59600000000000009</v>
      </c>
      <c r="M78" s="2"/>
      <c r="N78" s="2"/>
      <c r="O78" s="2">
        <v>50</v>
      </c>
      <c r="P78" s="2"/>
      <c r="Q78" s="2">
        <f t="shared" si="24"/>
        <v>5.7847999999999997</v>
      </c>
      <c r="R78" s="15">
        <f t="shared" si="33"/>
        <v>30.987200000000001</v>
      </c>
      <c r="S78" s="15">
        <f t="shared" si="27"/>
        <v>30.987200000000001</v>
      </c>
      <c r="T78" s="15"/>
      <c r="U78" s="15">
        <f t="shared" si="28"/>
        <v>31</v>
      </c>
      <c r="V78" s="15">
        <f t="shared" si="29"/>
        <v>31</v>
      </c>
      <c r="W78" s="15"/>
      <c r="X78" s="15"/>
      <c r="Y78" s="2"/>
      <c r="Z78" s="2">
        <f t="shared" si="30"/>
        <v>14.002212695339511</v>
      </c>
      <c r="AA78" s="2">
        <f t="shared" si="26"/>
        <v>8.6433411699626603</v>
      </c>
      <c r="AB78" s="2">
        <v>5.4001999999999999</v>
      </c>
      <c r="AC78" s="2">
        <v>3.7056</v>
      </c>
      <c r="AD78" s="2">
        <v>5.2458</v>
      </c>
      <c r="AE78" s="2">
        <v>5.1138000000000003</v>
      </c>
      <c r="AF78" s="2">
        <v>0.16800000000000001</v>
      </c>
      <c r="AG78" s="2">
        <v>3.0457999999999998</v>
      </c>
      <c r="AH78" s="2">
        <v>4.7384000000000004</v>
      </c>
      <c r="AI78" s="2">
        <v>1.3360000000000001</v>
      </c>
      <c r="AJ78" s="2"/>
      <c r="AK78" s="2">
        <f t="shared" si="31"/>
        <v>31</v>
      </c>
      <c r="AL78" s="2">
        <f t="shared" si="32"/>
        <v>0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>
      <c r="A79" s="2" t="s">
        <v>131</v>
      </c>
      <c r="B79" s="2" t="s">
        <v>36</v>
      </c>
      <c r="C79" s="2">
        <v>19</v>
      </c>
      <c r="D79" s="2"/>
      <c r="E79" s="2">
        <v>3</v>
      </c>
      <c r="F79" s="2">
        <v>15</v>
      </c>
      <c r="G79" s="3">
        <v>0.22</v>
      </c>
      <c r="H79" s="2">
        <v>120</v>
      </c>
      <c r="I79" s="2" t="s">
        <v>37</v>
      </c>
      <c r="J79" s="2"/>
      <c r="K79" s="2">
        <v>3</v>
      </c>
      <c r="L79" s="2">
        <f t="shared" si="23"/>
        <v>0</v>
      </c>
      <c r="M79" s="2"/>
      <c r="N79" s="2"/>
      <c r="O79" s="2">
        <v>0</v>
      </c>
      <c r="P79" s="2"/>
      <c r="Q79" s="2">
        <f t="shared" si="24"/>
        <v>0.6</v>
      </c>
      <c r="R79" s="15"/>
      <c r="S79" s="15">
        <f t="shared" si="27"/>
        <v>0</v>
      </c>
      <c r="T79" s="15"/>
      <c r="U79" s="15">
        <f t="shared" si="28"/>
        <v>0</v>
      </c>
      <c r="V79" s="15">
        <f t="shared" si="29"/>
        <v>0</v>
      </c>
      <c r="W79" s="15"/>
      <c r="X79" s="15"/>
      <c r="Y79" s="2"/>
      <c r="Z79" s="2">
        <f t="shared" si="30"/>
        <v>25</v>
      </c>
      <c r="AA79" s="2">
        <f t="shared" si="26"/>
        <v>25</v>
      </c>
      <c r="AB79" s="2">
        <v>0.4</v>
      </c>
      <c r="AC79" s="2">
        <v>2</v>
      </c>
      <c r="AD79" s="2">
        <v>0</v>
      </c>
      <c r="AE79" s="2">
        <v>0</v>
      </c>
      <c r="AF79" s="2">
        <v>0</v>
      </c>
      <c r="AG79" s="2">
        <v>0</v>
      </c>
      <c r="AH79" s="2">
        <v>-0.6</v>
      </c>
      <c r="AI79" s="2">
        <v>0</v>
      </c>
      <c r="AJ79" s="17" t="s">
        <v>51</v>
      </c>
      <c r="AK79" s="2">
        <f t="shared" si="31"/>
        <v>0</v>
      </c>
      <c r="AL79" s="2">
        <f t="shared" si="32"/>
        <v>0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>
      <c r="A80" s="2" t="s">
        <v>132</v>
      </c>
      <c r="B80" s="2" t="s">
        <v>36</v>
      </c>
      <c r="C80" s="2">
        <v>1</v>
      </c>
      <c r="D80" s="2">
        <v>6</v>
      </c>
      <c r="E80" s="2"/>
      <c r="F80" s="2">
        <v>7</v>
      </c>
      <c r="G80" s="3">
        <v>0.84</v>
      </c>
      <c r="H80" s="2">
        <v>50</v>
      </c>
      <c r="I80" s="2" t="s">
        <v>37</v>
      </c>
      <c r="J80" s="2"/>
      <c r="K80" s="2"/>
      <c r="L80" s="2">
        <f t="shared" si="23"/>
        <v>0</v>
      </c>
      <c r="M80" s="2"/>
      <c r="N80" s="2"/>
      <c r="O80" s="2">
        <v>8</v>
      </c>
      <c r="P80" s="2"/>
      <c r="Q80" s="2">
        <f t="shared" si="24"/>
        <v>0</v>
      </c>
      <c r="R80" s="15"/>
      <c r="S80" s="15">
        <f t="shared" si="27"/>
        <v>0</v>
      </c>
      <c r="T80" s="15"/>
      <c r="U80" s="15">
        <f t="shared" si="28"/>
        <v>0</v>
      </c>
      <c r="V80" s="15">
        <f t="shared" si="29"/>
        <v>0</v>
      </c>
      <c r="W80" s="15"/>
      <c r="X80" s="15"/>
      <c r="Y80" s="2"/>
      <c r="Z80" s="2" t="e">
        <f t="shared" si="30"/>
        <v>#DIV/0!</v>
      </c>
      <c r="AA80" s="2" t="e">
        <f t="shared" si="26"/>
        <v>#DIV/0!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 t="s">
        <v>133</v>
      </c>
      <c r="AK80" s="2">
        <f t="shared" si="31"/>
        <v>0</v>
      </c>
      <c r="AL80" s="2">
        <f t="shared" si="32"/>
        <v>0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>
      <c r="A81" s="2" t="s">
        <v>80</v>
      </c>
      <c r="B81" s="2" t="s">
        <v>36</v>
      </c>
      <c r="C81" s="2">
        <v>204</v>
      </c>
      <c r="D81" s="2">
        <v>694</v>
      </c>
      <c r="E81" s="2">
        <v>316</v>
      </c>
      <c r="F81" s="9">
        <f>335+F36</f>
        <v>334</v>
      </c>
      <c r="G81" s="3">
        <v>0.35</v>
      </c>
      <c r="H81" s="2">
        <v>50</v>
      </c>
      <c r="I81" s="2" t="s">
        <v>37</v>
      </c>
      <c r="J81" s="2"/>
      <c r="K81" s="2">
        <v>324</v>
      </c>
      <c r="L81" s="2">
        <f t="shared" si="23"/>
        <v>-8</v>
      </c>
      <c r="M81" s="2"/>
      <c r="N81" s="2"/>
      <c r="O81" s="2">
        <v>177</v>
      </c>
      <c r="P81" s="2">
        <v>220</v>
      </c>
      <c r="Q81" s="2">
        <f t="shared" si="24"/>
        <v>63.2</v>
      </c>
      <c r="R81" s="15">
        <f t="shared" si="33"/>
        <v>153.80000000000007</v>
      </c>
      <c r="S81" s="15">
        <f t="shared" si="27"/>
        <v>153.80000000000007</v>
      </c>
      <c r="T81" s="15"/>
      <c r="U81" s="15">
        <f t="shared" si="28"/>
        <v>154</v>
      </c>
      <c r="V81" s="15">
        <f t="shared" si="29"/>
        <v>0</v>
      </c>
      <c r="W81" s="15">
        <f>U81</f>
        <v>154</v>
      </c>
      <c r="X81" s="15"/>
      <c r="Y81" s="2"/>
      <c r="Z81" s="2">
        <f t="shared" si="30"/>
        <v>14.003164556962025</v>
      </c>
      <c r="AA81" s="2">
        <f t="shared" si="26"/>
        <v>11.566455696202532</v>
      </c>
      <c r="AB81" s="2">
        <v>75.2</v>
      </c>
      <c r="AC81" s="2">
        <v>69.599999999999994</v>
      </c>
      <c r="AD81" s="2">
        <v>60.2</v>
      </c>
      <c r="AE81" s="2">
        <v>80.599999999999994</v>
      </c>
      <c r="AF81" s="2">
        <v>76.8</v>
      </c>
      <c r="AG81" s="2">
        <v>31.6</v>
      </c>
      <c r="AH81" s="2">
        <v>68.400000000000006</v>
      </c>
      <c r="AI81" s="2">
        <v>63.2</v>
      </c>
      <c r="AJ81" s="2"/>
      <c r="AK81" s="2">
        <f t="shared" si="31"/>
        <v>0</v>
      </c>
      <c r="AL81" s="2">
        <f t="shared" si="32"/>
        <v>53.9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>
      <c r="A82" s="2" t="s">
        <v>134</v>
      </c>
      <c r="B82" s="2" t="s">
        <v>39</v>
      </c>
      <c r="C82" s="2">
        <v>-6.4000000000000001E-2</v>
      </c>
      <c r="D82" s="2">
        <v>17.065000000000001</v>
      </c>
      <c r="E82" s="2">
        <v>9.2100000000000009</v>
      </c>
      <c r="F82" s="2">
        <v>7.0819999999999999</v>
      </c>
      <c r="G82" s="3">
        <v>1</v>
      </c>
      <c r="H82" s="2">
        <v>50</v>
      </c>
      <c r="I82" s="2" t="s">
        <v>37</v>
      </c>
      <c r="J82" s="2"/>
      <c r="K82" s="2">
        <v>9.1999999999999993</v>
      </c>
      <c r="L82" s="2">
        <f t="shared" si="23"/>
        <v>1.0000000000001563E-2</v>
      </c>
      <c r="M82" s="2"/>
      <c r="N82" s="2"/>
      <c r="O82" s="2">
        <v>8</v>
      </c>
      <c r="P82" s="2"/>
      <c r="Q82" s="2">
        <f t="shared" si="24"/>
        <v>1.8420000000000001</v>
      </c>
      <c r="R82" s="15">
        <f t="shared" si="33"/>
        <v>10.706</v>
      </c>
      <c r="S82" s="15">
        <f>X82</f>
        <v>60</v>
      </c>
      <c r="T82" s="15"/>
      <c r="U82" s="15">
        <f t="shared" si="28"/>
        <v>60</v>
      </c>
      <c r="V82" s="15">
        <f t="shared" si="29"/>
        <v>60</v>
      </c>
      <c r="W82" s="15"/>
      <c r="X82" s="15">
        <v>60</v>
      </c>
      <c r="Y82" s="2" t="s">
        <v>135</v>
      </c>
      <c r="Z82" s="2">
        <f t="shared" si="30"/>
        <v>40.761129207383277</v>
      </c>
      <c r="AA82" s="2">
        <f t="shared" si="26"/>
        <v>8.1878393051031484</v>
      </c>
      <c r="AB82" s="2">
        <v>0.28179999999999999</v>
      </c>
      <c r="AC82" s="2">
        <v>1.9588000000000001</v>
      </c>
      <c r="AD82" s="2">
        <v>0</v>
      </c>
      <c r="AE82" s="2">
        <v>0</v>
      </c>
      <c r="AF82" s="2">
        <v>11.215</v>
      </c>
      <c r="AG82" s="2">
        <v>0</v>
      </c>
      <c r="AH82" s="2">
        <v>0</v>
      </c>
      <c r="AI82" s="2">
        <v>0</v>
      </c>
      <c r="AJ82" s="2" t="s">
        <v>68</v>
      </c>
      <c r="AK82" s="2">
        <f t="shared" si="31"/>
        <v>60</v>
      </c>
      <c r="AL82" s="2">
        <f t="shared" si="32"/>
        <v>0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>
      <c r="A83" s="2" t="s">
        <v>136</v>
      </c>
      <c r="B83" s="2" t="s">
        <v>39</v>
      </c>
      <c r="C83" s="2">
        <v>244.33699999999999</v>
      </c>
      <c r="D83" s="2">
        <v>190.41900000000001</v>
      </c>
      <c r="E83" s="2">
        <v>161.66200000000001</v>
      </c>
      <c r="F83" s="2">
        <v>159.77500000000001</v>
      </c>
      <c r="G83" s="3">
        <v>1</v>
      </c>
      <c r="H83" s="2">
        <v>50</v>
      </c>
      <c r="I83" s="2" t="s">
        <v>37</v>
      </c>
      <c r="J83" s="2"/>
      <c r="K83" s="2">
        <v>155.958</v>
      </c>
      <c r="L83" s="2">
        <f t="shared" si="23"/>
        <v>5.7040000000000077</v>
      </c>
      <c r="M83" s="2"/>
      <c r="N83" s="2"/>
      <c r="O83" s="2">
        <v>116</v>
      </c>
      <c r="P83" s="2">
        <v>117</v>
      </c>
      <c r="Q83" s="2">
        <f t="shared" si="24"/>
        <v>32.3324</v>
      </c>
      <c r="R83" s="15">
        <f t="shared" si="33"/>
        <v>59.878599999999977</v>
      </c>
      <c r="S83" s="15">
        <f t="shared" si="27"/>
        <v>59.878599999999977</v>
      </c>
      <c r="T83" s="15"/>
      <c r="U83" s="15">
        <f t="shared" si="28"/>
        <v>60</v>
      </c>
      <c r="V83" s="15">
        <f t="shared" si="29"/>
        <v>0</v>
      </c>
      <c r="W83" s="15">
        <f t="shared" ref="W83:W84" si="34">U83</f>
        <v>60</v>
      </c>
      <c r="X83" s="15"/>
      <c r="Y83" s="2"/>
      <c r="Z83" s="2">
        <f t="shared" si="30"/>
        <v>14.003754747559723</v>
      </c>
      <c r="AA83" s="2">
        <f t="shared" si="26"/>
        <v>12.148031077185733</v>
      </c>
      <c r="AB83" s="2">
        <v>40.936799999999998</v>
      </c>
      <c r="AC83" s="2">
        <v>39.648600000000002</v>
      </c>
      <c r="AD83" s="2">
        <v>38.468000000000004</v>
      </c>
      <c r="AE83" s="2">
        <v>36.918599999999998</v>
      </c>
      <c r="AF83" s="2">
        <v>47.893000000000001</v>
      </c>
      <c r="AG83" s="2">
        <v>32.088200000000001</v>
      </c>
      <c r="AH83" s="2">
        <v>49.487200000000001</v>
      </c>
      <c r="AI83" s="2">
        <v>37.441600000000001</v>
      </c>
      <c r="AJ83" s="2"/>
      <c r="AK83" s="2">
        <f t="shared" si="31"/>
        <v>0</v>
      </c>
      <c r="AL83" s="2">
        <f t="shared" si="32"/>
        <v>60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>
      <c r="A84" s="2" t="s">
        <v>137</v>
      </c>
      <c r="B84" s="2" t="s">
        <v>36</v>
      </c>
      <c r="C84" s="2">
        <v>599</v>
      </c>
      <c r="D84" s="2">
        <v>147</v>
      </c>
      <c r="E84" s="2">
        <v>379</v>
      </c>
      <c r="F84" s="2">
        <v>205</v>
      </c>
      <c r="G84" s="3">
        <v>0.35</v>
      </c>
      <c r="H84" s="2">
        <v>50</v>
      </c>
      <c r="I84" s="2" t="s">
        <v>37</v>
      </c>
      <c r="J84" s="2"/>
      <c r="K84" s="2">
        <v>397</v>
      </c>
      <c r="L84" s="2">
        <f t="shared" si="23"/>
        <v>-18</v>
      </c>
      <c r="M84" s="2"/>
      <c r="N84" s="2"/>
      <c r="O84" s="2">
        <v>360</v>
      </c>
      <c r="P84" s="2">
        <v>360</v>
      </c>
      <c r="Q84" s="2">
        <f t="shared" si="24"/>
        <v>75.8</v>
      </c>
      <c r="R84" s="15">
        <f t="shared" si="33"/>
        <v>136.20000000000005</v>
      </c>
      <c r="S84" s="15">
        <f t="shared" si="27"/>
        <v>136.20000000000005</v>
      </c>
      <c r="T84" s="15"/>
      <c r="U84" s="15">
        <f t="shared" si="28"/>
        <v>136</v>
      </c>
      <c r="V84" s="15">
        <f t="shared" si="29"/>
        <v>0</v>
      </c>
      <c r="W84" s="15">
        <f t="shared" si="34"/>
        <v>136</v>
      </c>
      <c r="X84" s="15"/>
      <c r="Y84" s="2"/>
      <c r="Z84" s="2">
        <f t="shared" si="30"/>
        <v>13.997361477572561</v>
      </c>
      <c r="AA84" s="2">
        <f t="shared" si="26"/>
        <v>12.203166226912929</v>
      </c>
      <c r="AB84" s="2">
        <v>90.2</v>
      </c>
      <c r="AC84" s="2">
        <v>77.400000000000006</v>
      </c>
      <c r="AD84" s="2">
        <v>90.8</v>
      </c>
      <c r="AE84" s="2">
        <v>96.2</v>
      </c>
      <c r="AF84" s="2">
        <v>81</v>
      </c>
      <c r="AG84" s="2">
        <v>80.400000000000006</v>
      </c>
      <c r="AH84" s="2">
        <v>120.2</v>
      </c>
      <c r="AI84" s="2">
        <v>68.599999999999994</v>
      </c>
      <c r="AJ84" s="2"/>
      <c r="AK84" s="2">
        <f t="shared" si="31"/>
        <v>0</v>
      </c>
      <c r="AL84" s="2">
        <f t="shared" si="32"/>
        <v>47.599999999999994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>
      <c r="A85" s="2" t="s">
        <v>138</v>
      </c>
      <c r="B85" s="2" t="s">
        <v>36</v>
      </c>
      <c r="C85" s="2">
        <v>6</v>
      </c>
      <c r="D85" s="2">
        <v>65</v>
      </c>
      <c r="E85" s="2">
        <v>14</v>
      </c>
      <c r="F85" s="2">
        <v>48</v>
      </c>
      <c r="G85" s="3">
        <v>0.3</v>
      </c>
      <c r="H85" s="2">
        <v>50</v>
      </c>
      <c r="I85" s="2" t="s">
        <v>37</v>
      </c>
      <c r="J85" s="2"/>
      <c r="K85" s="2">
        <v>17</v>
      </c>
      <c r="L85" s="2">
        <f t="shared" si="23"/>
        <v>-3</v>
      </c>
      <c r="M85" s="2"/>
      <c r="N85" s="2"/>
      <c r="O85" s="2">
        <v>31</v>
      </c>
      <c r="P85" s="2"/>
      <c r="Q85" s="2">
        <f t="shared" si="24"/>
        <v>2.8</v>
      </c>
      <c r="R85" s="15"/>
      <c r="S85" s="15">
        <f t="shared" si="27"/>
        <v>0</v>
      </c>
      <c r="T85" s="15"/>
      <c r="U85" s="15">
        <f t="shared" si="28"/>
        <v>0</v>
      </c>
      <c r="V85" s="15">
        <f t="shared" si="29"/>
        <v>0</v>
      </c>
      <c r="W85" s="15"/>
      <c r="X85" s="15"/>
      <c r="Y85" s="2"/>
      <c r="Z85" s="2">
        <f t="shared" si="30"/>
        <v>28.214285714285715</v>
      </c>
      <c r="AA85" s="2">
        <f t="shared" si="26"/>
        <v>28.214285714285715</v>
      </c>
      <c r="AB85" s="2">
        <v>7.2</v>
      </c>
      <c r="AC85" s="2">
        <v>7.8</v>
      </c>
      <c r="AD85" s="2">
        <v>6.4</v>
      </c>
      <c r="AE85" s="2">
        <v>7.6</v>
      </c>
      <c r="AF85" s="2">
        <v>7.4</v>
      </c>
      <c r="AG85" s="2">
        <v>2.2000000000000002</v>
      </c>
      <c r="AH85" s="2">
        <v>8.6</v>
      </c>
      <c r="AI85" s="2">
        <v>10</v>
      </c>
      <c r="AJ85" s="2"/>
      <c r="AK85" s="2">
        <f t="shared" si="31"/>
        <v>0</v>
      </c>
      <c r="AL85" s="2">
        <f t="shared" si="32"/>
        <v>0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>
      <c r="A86" s="2" t="s">
        <v>139</v>
      </c>
      <c r="B86" s="2" t="s">
        <v>36</v>
      </c>
      <c r="C86" s="2">
        <v>8</v>
      </c>
      <c r="D86" s="2">
        <v>34</v>
      </c>
      <c r="E86" s="2">
        <v>7</v>
      </c>
      <c r="F86" s="2">
        <v>32</v>
      </c>
      <c r="G86" s="3">
        <v>0.3</v>
      </c>
      <c r="H86" s="2">
        <v>60</v>
      </c>
      <c r="I86" s="2" t="s">
        <v>37</v>
      </c>
      <c r="J86" s="2"/>
      <c r="K86" s="2">
        <v>8</v>
      </c>
      <c r="L86" s="2">
        <f t="shared" si="23"/>
        <v>-1</v>
      </c>
      <c r="M86" s="2"/>
      <c r="N86" s="2"/>
      <c r="O86" s="2">
        <v>0</v>
      </c>
      <c r="P86" s="2"/>
      <c r="Q86" s="2">
        <f t="shared" si="24"/>
        <v>1.4</v>
      </c>
      <c r="R86" s="15"/>
      <c r="S86" s="15">
        <f t="shared" si="27"/>
        <v>0</v>
      </c>
      <c r="T86" s="15"/>
      <c r="U86" s="15">
        <f t="shared" si="28"/>
        <v>0</v>
      </c>
      <c r="V86" s="15">
        <f t="shared" si="29"/>
        <v>0</v>
      </c>
      <c r="W86" s="15"/>
      <c r="X86" s="15"/>
      <c r="Y86" s="2"/>
      <c r="Z86" s="2">
        <f t="shared" si="30"/>
        <v>22.857142857142858</v>
      </c>
      <c r="AA86" s="2">
        <f t="shared" si="26"/>
        <v>22.857142857142858</v>
      </c>
      <c r="AB86" s="2">
        <v>3</v>
      </c>
      <c r="AC86" s="2">
        <v>4.2</v>
      </c>
      <c r="AD86" s="2">
        <v>2.8</v>
      </c>
      <c r="AE86" s="2">
        <v>4.4000000000000004</v>
      </c>
      <c r="AF86" s="2">
        <v>4.8</v>
      </c>
      <c r="AG86" s="2">
        <v>3</v>
      </c>
      <c r="AH86" s="2">
        <v>5</v>
      </c>
      <c r="AI86" s="2">
        <v>7</v>
      </c>
      <c r="AJ86" s="2"/>
      <c r="AK86" s="2">
        <f t="shared" si="31"/>
        <v>0</v>
      </c>
      <c r="AL86" s="2">
        <f t="shared" si="32"/>
        <v>0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>
      <c r="A87" s="2" t="s">
        <v>140</v>
      </c>
      <c r="B87" s="2" t="s">
        <v>36</v>
      </c>
      <c r="C87" s="2">
        <v>284</v>
      </c>
      <c r="D87" s="2">
        <v>71</v>
      </c>
      <c r="E87" s="2">
        <v>209</v>
      </c>
      <c r="F87" s="2">
        <v>57</v>
      </c>
      <c r="G87" s="3">
        <v>0.28000000000000003</v>
      </c>
      <c r="H87" s="2">
        <v>50</v>
      </c>
      <c r="I87" s="2" t="s">
        <v>37</v>
      </c>
      <c r="J87" s="2"/>
      <c r="K87" s="2">
        <v>244</v>
      </c>
      <c r="L87" s="2">
        <f t="shared" si="23"/>
        <v>-35</v>
      </c>
      <c r="M87" s="2"/>
      <c r="N87" s="2"/>
      <c r="O87" s="2">
        <v>122</v>
      </c>
      <c r="P87" s="2">
        <v>122</v>
      </c>
      <c r="Q87" s="2">
        <f t="shared" si="24"/>
        <v>41.8</v>
      </c>
      <c r="R87" s="15">
        <f t="shared" si="33"/>
        <v>284.19999999999993</v>
      </c>
      <c r="S87" s="15">
        <f t="shared" si="27"/>
        <v>284.19999999999993</v>
      </c>
      <c r="T87" s="15"/>
      <c r="U87" s="15">
        <f t="shared" si="28"/>
        <v>284</v>
      </c>
      <c r="V87" s="15">
        <f t="shared" si="29"/>
        <v>142</v>
      </c>
      <c r="W87" s="15">
        <f t="shared" ref="W87:W90" si="35">U87/2</f>
        <v>142</v>
      </c>
      <c r="X87" s="15"/>
      <c r="Y87" s="2"/>
      <c r="Z87" s="2">
        <f t="shared" si="30"/>
        <v>13.995215311004786</v>
      </c>
      <c r="AA87" s="2">
        <f t="shared" si="26"/>
        <v>7.2009569377990434</v>
      </c>
      <c r="AB87" s="2">
        <v>39.200000000000003</v>
      </c>
      <c r="AC87" s="2">
        <v>36.799999999999997</v>
      </c>
      <c r="AD87" s="2">
        <v>43.2</v>
      </c>
      <c r="AE87" s="2">
        <v>51</v>
      </c>
      <c r="AF87" s="2">
        <v>52.4</v>
      </c>
      <c r="AG87" s="2">
        <v>52</v>
      </c>
      <c r="AH87" s="2">
        <v>54.4</v>
      </c>
      <c r="AI87" s="2">
        <v>46.4</v>
      </c>
      <c r="AJ87" s="2"/>
      <c r="AK87" s="2">
        <f t="shared" si="31"/>
        <v>39.760000000000005</v>
      </c>
      <c r="AL87" s="2">
        <f t="shared" si="32"/>
        <v>39.760000000000005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>
      <c r="A88" s="2" t="s">
        <v>141</v>
      </c>
      <c r="B88" s="2" t="s">
        <v>36</v>
      </c>
      <c r="C88" s="2">
        <v>273</v>
      </c>
      <c r="D88" s="2">
        <v>571</v>
      </c>
      <c r="E88" s="2">
        <v>383</v>
      </c>
      <c r="F88" s="2">
        <v>370</v>
      </c>
      <c r="G88" s="3">
        <v>0.28000000000000003</v>
      </c>
      <c r="H88" s="2">
        <v>45</v>
      </c>
      <c r="I88" s="2" t="s">
        <v>37</v>
      </c>
      <c r="J88" s="2"/>
      <c r="K88" s="2">
        <v>398</v>
      </c>
      <c r="L88" s="2">
        <f t="shared" si="23"/>
        <v>-15</v>
      </c>
      <c r="M88" s="2"/>
      <c r="N88" s="2"/>
      <c r="O88" s="2">
        <v>108</v>
      </c>
      <c r="P88" s="2">
        <v>180</v>
      </c>
      <c r="Q88" s="2">
        <f t="shared" si="24"/>
        <v>76.599999999999994</v>
      </c>
      <c r="R88" s="15">
        <f t="shared" si="33"/>
        <v>414.39999999999986</v>
      </c>
      <c r="S88" s="15">
        <f t="shared" si="27"/>
        <v>414.39999999999986</v>
      </c>
      <c r="T88" s="15"/>
      <c r="U88" s="15">
        <f t="shared" si="28"/>
        <v>414</v>
      </c>
      <c r="V88" s="15">
        <f t="shared" si="29"/>
        <v>207</v>
      </c>
      <c r="W88" s="15">
        <f t="shared" si="35"/>
        <v>207</v>
      </c>
      <c r="X88" s="15"/>
      <c r="Y88" s="2"/>
      <c r="Z88" s="2">
        <f t="shared" si="30"/>
        <v>13.994778067885118</v>
      </c>
      <c r="AA88" s="2">
        <f t="shared" si="26"/>
        <v>8.5900783289817237</v>
      </c>
      <c r="AB88" s="2">
        <v>74.400000000000006</v>
      </c>
      <c r="AC88" s="2">
        <v>76.599999999999994</v>
      </c>
      <c r="AD88" s="2">
        <v>61.2</v>
      </c>
      <c r="AE88" s="2">
        <v>85.8</v>
      </c>
      <c r="AF88" s="2">
        <v>78.2</v>
      </c>
      <c r="AG88" s="2">
        <v>68.8</v>
      </c>
      <c r="AH88" s="2">
        <v>77.400000000000006</v>
      </c>
      <c r="AI88" s="2">
        <v>50.2</v>
      </c>
      <c r="AJ88" s="2"/>
      <c r="AK88" s="2">
        <f t="shared" si="31"/>
        <v>57.960000000000008</v>
      </c>
      <c r="AL88" s="2">
        <f t="shared" si="32"/>
        <v>57.960000000000008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>
      <c r="A89" s="2" t="s">
        <v>142</v>
      </c>
      <c r="B89" s="2" t="s">
        <v>36</v>
      </c>
      <c r="C89" s="2">
        <v>48</v>
      </c>
      <c r="D89" s="2">
        <v>14</v>
      </c>
      <c r="E89" s="2">
        <v>34</v>
      </c>
      <c r="F89" s="2">
        <v>2</v>
      </c>
      <c r="G89" s="3">
        <v>0.28000000000000003</v>
      </c>
      <c r="H89" s="2">
        <v>45</v>
      </c>
      <c r="I89" s="2" t="s">
        <v>37</v>
      </c>
      <c r="J89" s="2"/>
      <c r="K89" s="2">
        <v>70</v>
      </c>
      <c r="L89" s="2">
        <f t="shared" si="23"/>
        <v>-36</v>
      </c>
      <c r="M89" s="2"/>
      <c r="N89" s="2"/>
      <c r="O89" s="2">
        <v>57</v>
      </c>
      <c r="P89" s="2">
        <v>58</v>
      </c>
      <c r="Q89" s="2">
        <f t="shared" si="24"/>
        <v>6.8</v>
      </c>
      <c r="R89" s="15"/>
      <c r="S89" s="15">
        <f t="shared" si="27"/>
        <v>0</v>
      </c>
      <c r="T89" s="15"/>
      <c r="U89" s="15">
        <f t="shared" si="28"/>
        <v>0</v>
      </c>
      <c r="V89" s="15">
        <f t="shared" si="29"/>
        <v>0</v>
      </c>
      <c r="W89" s="15"/>
      <c r="X89" s="15"/>
      <c r="Y89" s="2"/>
      <c r="Z89" s="2">
        <f t="shared" si="30"/>
        <v>17.205882352941178</v>
      </c>
      <c r="AA89" s="2">
        <f t="shared" si="26"/>
        <v>17.205882352941178</v>
      </c>
      <c r="AB89" s="2">
        <v>13.4</v>
      </c>
      <c r="AC89" s="2">
        <v>5</v>
      </c>
      <c r="AD89" s="2">
        <v>7.4</v>
      </c>
      <c r="AE89" s="2">
        <v>19.600000000000001</v>
      </c>
      <c r="AF89" s="2">
        <v>21</v>
      </c>
      <c r="AG89" s="2">
        <v>17.399999999999999</v>
      </c>
      <c r="AH89" s="2">
        <v>18.399999999999999</v>
      </c>
      <c r="AI89" s="2">
        <v>14.2</v>
      </c>
      <c r="AJ89" s="2"/>
      <c r="AK89" s="2">
        <f t="shared" si="31"/>
        <v>0</v>
      </c>
      <c r="AL89" s="2">
        <f t="shared" si="32"/>
        <v>0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>
      <c r="A90" s="2" t="s">
        <v>143</v>
      </c>
      <c r="B90" s="2" t="s">
        <v>36</v>
      </c>
      <c r="C90" s="2">
        <v>272</v>
      </c>
      <c r="D90" s="2">
        <v>32</v>
      </c>
      <c r="E90" s="2">
        <v>268</v>
      </c>
      <c r="F90" s="2">
        <v>1</v>
      </c>
      <c r="G90" s="3">
        <v>0.28000000000000003</v>
      </c>
      <c r="H90" s="2">
        <v>45</v>
      </c>
      <c r="I90" s="2" t="s">
        <v>37</v>
      </c>
      <c r="J90" s="2"/>
      <c r="K90" s="2">
        <v>273</v>
      </c>
      <c r="L90" s="2">
        <f t="shared" si="23"/>
        <v>-5</v>
      </c>
      <c r="M90" s="2"/>
      <c r="N90" s="2"/>
      <c r="O90" s="2">
        <v>255</v>
      </c>
      <c r="P90" s="2">
        <v>255</v>
      </c>
      <c r="Q90" s="2">
        <f t="shared" si="24"/>
        <v>53.6</v>
      </c>
      <c r="R90" s="15">
        <f t="shared" si="33"/>
        <v>239.39999999999998</v>
      </c>
      <c r="S90" s="15">
        <f t="shared" si="27"/>
        <v>239.39999999999998</v>
      </c>
      <c r="T90" s="15"/>
      <c r="U90" s="15">
        <f t="shared" si="28"/>
        <v>239</v>
      </c>
      <c r="V90" s="15">
        <f t="shared" si="29"/>
        <v>119.5</v>
      </c>
      <c r="W90" s="15">
        <f t="shared" si="35"/>
        <v>119.5</v>
      </c>
      <c r="X90" s="15"/>
      <c r="Y90" s="2"/>
      <c r="Z90" s="2">
        <f t="shared" si="30"/>
        <v>13.992537313432836</v>
      </c>
      <c r="AA90" s="2">
        <f t="shared" si="26"/>
        <v>9.5335820895522385</v>
      </c>
      <c r="AB90" s="2">
        <v>50.4</v>
      </c>
      <c r="AC90" s="2">
        <v>29.4</v>
      </c>
      <c r="AD90" s="2">
        <v>44</v>
      </c>
      <c r="AE90" s="2">
        <v>53.8</v>
      </c>
      <c r="AF90" s="2">
        <v>53</v>
      </c>
      <c r="AG90" s="2">
        <v>40</v>
      </c>
      <c r="AH90" s="2">
        <v>42.4</v>
      </c>
      <c r="AI90" s="2">
        <v>49.2</v>
      </c>
      <c r="AJ90" s="2"/>
      <c r="AK90" s="2">
        <f t="shared" si="31"/>
        <v>33.46</v>
      </c>
      <c r="AL90" s="2">
        <f t="shared" si="32"/>
        <v>33.46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>
      <c r="A91" s="2" t="s">
        <v>144</v>
      </c>
      <c r="B91" s="2" t="s">
        <v>36</v>
      </c>
      <c r="C91" s="2">
        <v>589</v>
      </c>
      <c r="D91" s="2">
        <v>53</v>
      </c>
      <c r="E91" s="2">
        <v>383</v>
      </c>
      <c r="F91" s="2">
        <v>204</v>
      </c>
      <c r="G91" s="3">
        <v>0.4</v>
      </c>
      <c r="H91" s="2">
        <v>50</v>
      </c>
      <c r="I91" s="2" t="s">
        <v>37</v>
      </c>
      <c r="J91" s="2"/>
      <c r="K91" s="2">
        <v>382</v>
      </c>
      <c r="L91" s="2">
        <f t="shared" si="23"/>
        <v>1</v>
      </c>
      <c r="M91" s="2"/>
      <c r="N91" s="2"/>
      <c r="O91" s="2">
        <v>0</v>
      </c>
      <c r="P91" s="2"/>
      <c r="Q91" s="2">
        <f t="shared" si="24"/>
        <v>76.599999999999994</v>
      </c>
      <c r="R91" s="15">
        <f>12*Q91-P91-O91-F91</f>
        <v>715.19999999999993</v>
      </c>
      <c r="S91" s="15">
        <f t="shared" si="27"/>
        <v>715.19999999999993</v>
      </c>
      <c r="T91" s="15"/>
      <c r="U91" s="15">
        <f t="shared" si="28"/>
        <v>715</v>
      </c>
      <c r="V91" s="15">
        <f t="shared" si="29"/>
        <v>390</v>
      </c>
      <c r="W91" s="15">
        <f>U91/2.2</f>
        <v>325</v>
      </c>
      <c r="X91" s="15"/>
      <c r="Y91" s="2"/>
      <c r="Z91" s="2">
        <f t="shared" si="30"/>
        <v>11.997389033942559</v>
      </c>
      <c r="AA91" s="2">
        <f t="shared" si="26"/>
        <v>2.6631853785900783</v>
      </c>
      <c r="AB91" s="2">
        <v>21.4</v>
      </c>
      <c r="AC91" s="2">
        <v>0.4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0" t="s">
        <v>145</v>
      </c>
      <c r="AK91" s="2">
        <f t="shared" si="31"/>
        <v>156</v>
      </c>
      <c r="AL91" s="2">
        <f t="shared" si="32"/>
        <v>130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>
      <c r="A92" s="2" t="s">
        <v>146</v>
      </c>
      <c r="B92" s="2" t="s">
        <v>36</v>
      </c>
      <c r="C92" s="2">
        <v>15</v>
      </c>
      <c r="D92" s="2">
        <v>7</v>
      </c>
      <c r="E92" s="2">
        <v>7</v>
      </c>
      <c r="F92" s="2">
        <v>8</v>
      </c>
      <c r="G92" s="3">
        <v>0.3</v>
      </c>
      <c r="H92" s="2">
        <v>50</v>
      </c>
      <c r="I92" s="2" t="s">
        <v>37</v>
      </c>
      <c r="J92" s="2"/>
      <c r="K92" s="2">
        <v>7</v>
      </c>
      <c r="L92" s="2">
        <f t="shared" si="23"/>
        <v>0</v>
      </c>
      <c r="M92" s="2"/>
      <c r="N92" s="2"/>
      <c r="O92" s="2">
        <v>0</v>
      </c>
      <c r="P92" s="2"/>
      <c r="Q92" s="2">
        <f t="shared" si="24"/>
        <v>1.4</v>
      </c>
      <c r="R92" s="15">
        <f t="shared" si="33"/>
        <v>11.599999999999998</v>
      </c>
      <c r="S92" s="15">
        <f t="shared" si="27"/>
        <v>11.599999999999998</v>
      </c>
      <c r="T92" s="15"/>
      <c r="U92" s="15">
        <f t="shared" si="28"/>
        <v>12</v>
      </c>
      <c r="V92" s="15">
        <f t="shared" si="29"/>
        <v>12</v>
      </c>
      <c r="W92" s="15"/>
      <c r="X92" s="15"/>
      <c r="Y92" s="2"/>
      <c r="Z92" s="2">
        <f t="shared" si="30"/>
        <v>14.285714285714286</v>
      </c>
      <c r="AA92" s="2">
        <f t="shared" si="26"/>
        <v>5.7142857142857144</v>
      </c>
      <c r="AB92" s="2">
        <v>0.4</v>
      </c>
      <c r="AC92" s="2">
        <v>1.8</v>
      </c>
      <c r="AD92" s="2">
        <v>1</v>
      </c>
      <c r="AE92" s="2">
        <v>1.4</v>
      </c>
      <c r="AF92" s="2">
        <v>1.6</v>
      </c>
      <c r="AG92" s="2">
        <v>1</v>
      </c>
      <c r="AH92" s="2">
        <v>0.6</v>
      </c>
      <c r="AI92" s="2">
        <v>-0.8</v>
      </c>
      <c r="AJ92" s="2" t="s">
        <v>147</v>
      </c>
      <c r="AK92" s="2">
        <f t="shared" si="31"/>
        <v>3.5999999999999996</v>
      </c>
      <c r="AL92" s="2">
        <f t="shared" si="32"/>
        <v>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>
      <c r="A93" s="2" t="s">
        <v>148</v>
      </c>
      <c r="B93" s="2" t="s">
        <v>36</v>
      </c>
      <c r="C93" s="2">
        <v>8</v>
      </c>
      <c r="D93" s="2">
        <v>2</v>
      </c>
      <c r="E93" s="2"/>
      <c r="F93" s="2">
        <v>6</v>
      </c>
      <c r="G93" s="3">
        <v>0.33</v>
      </c>
      <c r="H93" s="2">
        <v>30</v>
      </c>
      <c r="I93" s="2" t="s">
        <v>37</v>
      </c>
      <c r="J93" s="2"/>
      <c r="K93" s="2">
        <v>2</v>
      </c>
      <c r="L93" s="2">
        <f t="shared" si="23"/>
        <v>-2</v>
      </c>
      <c r="M93" s="2"/>
      <c r="N93" s="2"/>
      <c r="O93" s="2">
        <v>15</v>
      </c>
      <c r="P93" s="2"/>
      <c r="Q93" s="2">
        <f t="shared" si="24"/>
        <v>0</v>
      </c>
      <c r="R93" s="15"/>
      <c r="S93" s="15">
        <f t="shared" si="27"/>
        <v>0</v>
      </c>
      <c r="T93" s="15"/>
      <c r="U93" s="15">
        <f t="shared" si="28"/>
        <v>0</v>
      </c>
      <c r="V93" s="15">
        <f t="shared" si="29"/>
        <v>0</v>
      </c>
      <c r="W93" s="15"/>
      <c r="X93" s="15"/>
      <c r="Y93" s="2"/>
      <c r="Z93" s="2" t="e">
        <f t="shared" si="30"/>
        <v>#DIV/0!</v>
      </c>
      <c r="AA93" s="2" t="e">
        <f t="shared" si="26"/>
        <v>#DIV/0!</v>
      </c>
      <c r="AB93" s="2">
        <v>1.6</v>
      </c>
      <c r="AC93" s="2">
        <v>0</v>
      </c>
      <c r="AD93" s="2">
        <v>0.4</v>
      </c>
      <c r="AE93" s="2">
        <v>1</v>
      </c>
      <c r="AF93" s="2">
        <v>-0.2</v>
      </c>
      <c r="AG93" s="2">
        <v>-0.6</v>
      </c>
      <c r="AH93" s="2">
        <v>-1.8</v>
      </c>
      <c r="AI93" s="2">
        <v>2.6</v>
      </c>
      <c r="AJ93" s="2" t="s">
        <v>149</v>
      </c>
      <c r="AK93" s="2">
        <f t="shared" si="31"/>
        <v>0</v>
      </c>
      <c r="AL93" s="2">
        <f t="shared" si="32"/>
        <v>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>
      <c r="A94" s="2" t="s">
        <v>150</v>
      </c>
      <c r="B94" s="2" t="s">
        <v>39</v>
      </c>
      <c r="C94" s="2">
        <v>18.408999999999999</v>
      </c>
      <c r="D94" s="2">
        <v>1.2E-2</v>
      </c>
      <c r="E94" s="2">
        <v>4.2110000000000003</v>
      </c>
      <c r="F94" s="2">
        <v>13.885999999999999</v>
      </c>
      <c r="G94" s="3">
        <v>1</v>
      </c>
      <c r="H94" s="2">
        <v>30</v>
      </c>
      <c r="I94" s="2" t="s">
        <v>37</v>
      </c>
      <c r="J94" s="2"/>
      <c r="K94" s="2">
        <v>3.8</v>
      </c>
      <c r="L94" s="2">
        <f t="shared" si="23"/>
        <v>0.41100000000000048</v>
      </c>
      <c r="M94" s="2"/>
      <c r="N94" s="2"/>
      <c r="O94" s="2">
        <v>5</v>
      </c>
      <c r="P94" s="2"/>
      <c r="Q94" s="2">
        <f t="shared" si="24"/>
        <v>0.84220000000000006</v>
      </c>
      <c r="R94" s="15"/>
      <c r="S94" s="15">
        <f t="shared" si="27"/>
        <v>0</v>
      </c>
      <c r="T94" s="15"/>
      <c r="U94" s="15">
        <f t="shared" si="28"/>
        <v>0</v>
      </c>
      <c r="V94" s="15">
        <f t="shared" si="29"/>
        <v>0</v>
      </c>
      <c r="W94" s="15"/>
      <c r="X94" s="15"/>
      <c r="Y94" s="2"/>
      <c r="Z94" s="2">
        <f t="shared" si="30"/>
        <v>22.424602232248869</v>
      </c>
      <c r="AA94" s="2">
        <f t="shared" si="26"/>
        <v>22.424602232248869</v>
      </c>
      <c r="AB94" s="2">
        <v>1.6639999999999999</v>
      </c>
      <c r="AC94" s="2">
        <v>0.79520000000000002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18" t="s">
        <v>65</v>
      </c>
      <c r="AK94" s="2">
        <f t="shared" si="31"/>
        <v>0</v>
      </c>
      <c r="AL94" s="2">
        <f t="shared" si="32"/>
        <v>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>
      <c r="A95" s="2" t="s">
        <v>151</v>
      </c>
      <c r="B95" s="2" t="s">
        <v>36</v>
      </c>
      <c r="C95" s="2">
        <v>24</v>
      </c>
      <c r="D95" s="2">
        <v>56</v>
      </c>
      <c r="E95" s="2">
        <v>27</v>
      </c>
      <c r="F95" s="2">
        <v>49</v>
      </c>
      <c r="G95" s="3">
        <v>0.28000000000000003</v>
      </c>
      <c r="H95" s="2">
        <v>50</v>
      </c>
      <c r="I95" s="2" t="s">
        <v>37</v>
      </c>
      <c r="J95" s="2"/>
      <c r="K95" s="2">
        <v>29</v>
      </c>
      <c r="L95" s="2">
        <f t="shared" si="23"/>
        <v>-2</v>
      </c>
      <c r="M95" s="2"/>
      <c r="N95" s="2"/>
      <c r="O95" s="2">
        <v>29</v>
      </c>
      <c r="P95" s="2"/>
      <c r="Q95" s="2">
        <f t="shared" si="24"/>
        <v>5.4</v>
      </c>
      <c r="R95" s="15"/>
      <c r="S95" s="15">
        <f t="shared" si="27"/>
        <v>0</v>
      </c>
      <c r="T95" s="15"/>
      <c r="U95" s="15">
        <f t="shared" si="28"/>
        <v>0</v>
      </c>
      <c r="V95" s="15">
        <f t="shared" si="29"/>
        <v>0</v>
      </c>
      <c r="W95" s="15"/>
      <c r="X95" s="15"/>
      <c r="Y95" s="2"/>
      <c r="Z95" s="2">
        <f t="shared" si="30"/>
        <v>14.444444444444443</v>
      </c>
      <c r="AA95" s="2">
        <f t="shared" si="26"/>
        <v>14.444444444444443</v>
      </c>
      <c r="AB95" s="2">
        <v>8</v>
      </c>
      <c r="AC95" s="2">
        <v>8.8000000000000007</v>
      </c>
      <c r="AD95" s="2">
        <v>1</v>
      </c>
      <c r="AE95" s="2">
        <v>2</v>
      </c>
      <c r="AF95" s="2">
        <v>12.2</v>
      </c>
      <c r="AG95" s="2">
        <v>0</v>
      </c>
      <c r="AH95" s="2">
        <v>0</v>
      </c>
      <c r="AI95" s="2">
        <v>0</v>
      </c>
      <c r="AJ95" s="2" t="s">
        <v>68</v>
      </c>
      <c r="AK95" s="2">
        <f t="shared" si="31"/>
        <v>0</v>
      </c>
      <c r="AL95" s="2">
        <f t="shared" si="32"/>
        <v>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>
      <c r="A96" s="2" t="s">
        <v>152</v>
      </c>
      <c r="B96" s="2" t="s">
        <v>36</v>
      </c>
      <c r="C96" s="2">
        <v>6</v>
      </c>
      <c r="D96" s="2"/>
      <c r="E96" s="2">
        <v>3</v>
      </c>
      <c r="F96" s="2">
        <v>3</v>
      </c>
      <c r="G96" s="3">
        <v>0.28000000000000003</v>
      </c>
      <c r="H96" s="2">
        <v>50</v>
      </c>
      <c r="I96" s="2" t="s">
        <v>37</v>
      </c>
      <c r="J96" s="2"/>
      <c r="K96" s="2">
        <v>3</v>
      </c>
      <c r="L96" s="2">
        <f t="shared" si="23"/>
        <v>0</v>
      </c>
      <c r="M96" s="2"/>
      <c r="N96" s="2"/>
      <c r="O96" s="2">
        <v>8</v>
      </c>
      <c r="P96" s="2"/>
      <c r="Q96" s="2">
        <f t="shared" si="24"/>
        <v>0.6</v>
      </c>
      <c r="R96" s="15"/>
      <c r="S96" s="15">
        <f t="shared" si="27"/>
        <v>0</v>
      </c>
      <c r="T96" s="15"/>
      <c r="U96" s="15">
        <f t="shared" si="28"/>
        <v>0</v>
      </c>
      <c r="V96" s="15">
        <f t="shared" si="29"/>
        <v>0</v>
      </c>
      <c r="W96" s="15"/>
      <c r="X96" s="15"/>
      <c r="Y96" s="2"/>
      <c r="Z96" s="2">
        <f t="shared" si="30"/>
        <v>18.333333333333336</v>
      </c>
      <c r="AA96" s="2">
        <f t="shared" si="26"/>
        <v>18.333333333333336</v>
      </c>
      <c r="AB96" s="2">
        <v>0.6</v>
      </c>
      <c r="AC96" s="2">
        <v>0.2</v>
      </c>
      <c r="AD96" s="2">
        <v>0.4</v>
      </c>
      <c r="AE96" s="2">
        <v>1</v>
      </c>
      <c r="AF96" s="2">
        <v>12.6</v>
      </c>
      <c r="AG96" s="2">
        <v>0</v>
      </c>
      <c r="AH96" s="2">
        <v>0</v>
      </c>
      <c r="AI96" s="2">
        <v>0</v>
      </c>
      <c r="AJ96" s="2" t="s">
        <v>68</v>
      </c>
      <c r="AK96" s="2">
        <f t="shared" si="31"/>
        <v>0</v>
      </c>
      <c r="AL96" s="2">
        <f t="shared" si="32"/>
        <v>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spans="1:54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spans="1:54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spans="1:54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spans="1:54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spans="1:54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spans="1:54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spans="1:54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spans="1:54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spans="1:54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spans="1:54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spans="1:54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spans="1:54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spans="1:54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spans="1:54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spans="1:54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spans="1:54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spans="1:54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spans="1:54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spans="1:54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spans="1:54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spans="1:54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spans="1:54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spans="1:54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spans="1:54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spans="1:54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spans="1:54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spans="1:54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spans="1:54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spans="1:54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spans="1:54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spans="1:54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spans="1:54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spans="1:54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spans="1:54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spans="1:54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spans="1:54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spans="1:54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spans="1:54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spans="1:54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spans="1:54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spans="1:54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spans="1:54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spans="1:54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spans="1:54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spans="1:54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spans="1:54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spans="1:54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spans="1:54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spans="1:54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spans="1:54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spans="1:54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spans="1:54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spans="1:54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spans="1:54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spans="1:54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spans="1:54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spans="1:54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spans="1:54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spans="1:54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spans="1:54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spans="1:54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spans="1:54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spans="1:54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spans="1:54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spans="1:54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spans="1:54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spans="1:54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spans="1:54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spans="1:54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spans="1:54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spans="1:54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spans="1:54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spans="1:54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spans="1:54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spans="1:54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spans="1:54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spans="1:54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spans="1:54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spans="1:54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spans="1:54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spans="1:54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spans="1:54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spans="1:54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spans="1:54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spans="1:54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spans="1:54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spans="1:54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spans="1:54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spans="1:54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spans="1:54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spans="1:54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spans="1:54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spans="1:54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spans="1:54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spans="1:54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spans="1:54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spans="1:54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spans="1:54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spans="1:54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spans="1:54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spans="1:54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spans="1:54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spans="1:54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spans="1:54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spans="1:54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spans="1:54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spans="1:54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spans="1:54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spans="1:54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spans="1:54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spans="1:54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spans="1:54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spans="1:54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spans="1:54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spans="1:54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spans="1:54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spans="1:54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spans="1:54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spans="1:54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spans="1:54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spans="1:54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spans="1:54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spans="1:54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spans="1:54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spans="1:54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spans="1:54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spans="1:54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spans="1:54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spans="1:54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spans="1:54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spans="1:54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spans="1:54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spans="1:54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spans="1:54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spans="1:54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spans="1:54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spans="1:54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spans="1:54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spans="1:54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spans="1:54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spans="1:54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spans="1:54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spans="1:54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spans="1:54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spans="1:54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spans="1:54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spans="1:54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spans="1:54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spans="1:54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spans="1:54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spans="1:54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spans="1:54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spans="1:54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spans="1:54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spans="1:54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spans="1:54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spans="1:54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spans="1:54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spans="1:54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spans="1:54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spans="1:54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spans="1:54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spans="1:54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spans="1:54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spans="1:54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spans="1:54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spans="1:54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spans="1:54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spans="1:54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spans="1:54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54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54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spans="1:54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spans="1:54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spans="1:54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spans="1:54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spans="1:54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spans="1:54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spans="1:54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spans="1:54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spans="1:54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spans="1:54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spans="1:54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spans="1:54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spans="1:54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spans="1:54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spans="1:54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spans="1:54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spans="1:54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spans="1:54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spans="1:54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spans="1:54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spans="1:54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spans="1:54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spans="1:54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spans="1:54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spans="1:54">
      <c r="A497" s="2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spans="1:54">
      <c r="A498" s="2"/>
      <c r="B498" s="2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spans="1:54">
      <c r="A499" s="2"/>
      <c r="B499" s="2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spans="1:54">
      <c r="A500" s="2"/>
      <c r="B500" s="2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</sheetData>
  <autoFilter ref="A3:AK96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2025-11-25T09:55:00Z</dcterms:created>
  <dcterms:modified xsi:type="dcterms:W3CDTF">2025-12-01T12:19:24Z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CB3C9EB8A1BD4864AFBCCC8B1516CC84_12</vt:lpwstr>
  </property>
  <property fmtid="{D5CDD505-2E9C-101B-9397-08002B2CF9AE}" pid="3" name="KSOProductBuildVer">
    <vt:lpwstr>1049-12.2.0.23155</vt:lpwstr>
  </property>
</Properties>
</file>