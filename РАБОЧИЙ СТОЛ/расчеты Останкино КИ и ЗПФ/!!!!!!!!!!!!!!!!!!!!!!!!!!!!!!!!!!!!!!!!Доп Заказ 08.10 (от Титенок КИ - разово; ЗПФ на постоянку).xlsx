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 codeName="ЭтаКнига"/>
  <xr:revisionPtr revIDLastSave="0" documentId="13_ncr:1_{22413EA8-0287-4C17-B976-B674DB7502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Новое время" sheetId="9" r:id="rId1"/>
    <sheet name="Заказы" sheetId="10" r:id="rId2"/>
  </sheets>
  <definedNames>
    <definedName name="_xlnm._FilterDatabase" localSheetId="1" hidden="1">Заказы!$A$4:$Z$184</definedName>
    <definedName name="_xlnm._FilterDatabase" localSheetId="0" hidden="1">'Новое время'!$A$7:$AB$20</definedName>
    <definedName name="_xlnm.Print_Area" localSheetId="0">'Новое время'!$A$1:$G$27</definedName>
  </definedNames>
  <calcPr calcId="18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8" i="9" l="1"/>
  <c r="S17" i="9"/>
  <c r="S16" i="9"/>
  <c r="S15" i="9"/>
  <c r="S14" i="9"/>
  <c r="S13" i="9"/>
  <c r="S10" i="9"/>
  <c r="S9" i="9"/>
  <c r="S8" i="9"/>
  <c r="H20" i="9" l="1"/>
  <c r="I20" i="9"/>
  <c r="J20" i="9"/>
  <c r="G20" i="9"/>
  <c r="H11" i="9"/>
  <c r="I11" i="9"/>
  <c r="J11" i="9"/>
  <c r="G11" i="9"/>
  <c r="L19" i="9" l="1"/>
  <c r="O19" i="9" l="1"/>
  <c r="P19" i="9"/>
  <c r="Q19" i="9" l="1"/>
  <c r="P7" i="9"/>
  <c r="M19" i="9" l="1"/>
  <c r="N19" i="9" s="1"/>
  <c r="L7" i="9"/>
  <c r="R19" i="9"/>
  <c r="M7" i="9" l="1"/>
  <c r="N7" i="9" s="1"/>
  <c r="N4" i="9" s="1"/>
  <c r="Q7" i="9"/>
  <c r="R7" i="9" s="1"/>
  <c r="R4" i="9" s="1"/>
  <c r="Q21" i="9"/>
  <c r="Q22" i="9" s="1"/>
  <c r="M21" i="9"/>
  <c r="M22" i="9" s="1"/>
  <c r="Q7" i="10" l="1"/>
  <c r="R7" i="10" s="1"/>
  <c r="Q8" i="10"/>
  <c r="R8" i="10" s="1"/>
  <c r="Q9" i="10"/>
  <c r="R9" i="10" s="1"/>
  <c r="Q10" i="10"/>
  <c r="R10" i="10" s="1"/>
  <c r="Q11" i="10"/>
  <c r="R11" i="10" s="1"/>
  <c r="Q12" i="10"/>
  <c r="R12" i="10" s="1"/>
  <c r="Q13" i="10"/>
  <c r="R13" i="10" s="1"/>
  <c r="Q14" i="10"/>
  <c r="R14" i="10" s="1"/>
  <c r="Q15" i="10"/>
  <c r="R15" i="10" s="1"/>
  <c r="Q16" i="10"/>
  <c r="R16" i="10" s="1"/>
  <c r="Q17" i="10"/>
  <c r="R17" i="10" s="1"/>
  <c r="Q18" i="10"/>
  <c r="R18" i="10" s="1"/>
  <c r="Q19" i="10"/>
  <c r="R19" i="10" s="1"/>
  <c r="Q20" i="10"/>
  <c r="R20" i="10" s="1"/>
  <c r="Q21" i="10"/>
  <c r="R21" i="10" s="1"/>
  <c r="Q22" i="10"/>
  <c r="R22" i="10" s="1"/>
  <c r="Q23" i="10"/>
  <c r="R23" i="10" s="1"/>
  <c r="Q24" i="10"/>
  <c r="R24" i="10" s="1"/>
  <c r="Q25" i="10"/>
  <c r="R25" i="10" s="1"/>
  <c r="Q26" i="10"/>
  <c r="R26" i="10" s="1"/>
  <c r="Q27" i="10"/>
  <c r="R27" i="10" s="1"/>
  <c r="Q28" i="10"/>
  <c r="R28" i="10" s="1"/>
  <c r="Q29" i="10"/>
  <c r="R29" i="10" s="1"/>
  <c r="Q30" i="10"/>
  <c r="R30" i="10" s="1"/>
  <c r="Q32" i="10"/>
  <c r="R32" i="10" s="1"/>
  <c r="Q33" i="10"/>
  <c r="R33" i="10" s="1"/>
  <c r="Q34" i="10"/>
  <c r="R34" i="10" s="1"/>
  <c r="Q35" i="10"/>
  <c r="R35" i="10" s="1"/>
  <c r="Q36" i="10"/>
  <c r="R36" i="10" s="1"/>
  <c r="Q37" i="10"/>
  <c r="R37" i="10" s="1"/>
  <c r="Q38" i="10"/>
  <c r="R38" i="10" s="1"/>
  <c r="Q39" i="10"/>
  <c r="R39" i="10" s="1"/>
  <c r="Q40" i="10"/>
  <c r="R40" i="10" s="1"/>
  <c r="Q41" i="10"/>
  <c r="R41" i="10" s="1"/>
  <c r="Q42" i="10"/>
  <c r="R42" i="10" s="1"/>
  <c r="Q43" i="10"/>
  <c r="R43" i="10" s="1"/>
  <c r="Q44" i="10"/>
  <c r="R44" i="10" s="1"/>
  <c r="Q46" i="10"/>
  <c r="R46" i="10" s="1"/>
  <c r="Q47" i="10"/>
  <c r="R47" i="10" s="1"/>
  <c r="Q48" i="10"/>
  <c r="R48" i="10" s="1"/>
  <c r="Q49" i="10"/>
  <c r="R49" i="10" s="1"/>
  <c r="Q50" i="10"/>
  <c r="R50" i="10" s="1"/>
  <c r="Q52" i="10"/>
  <c r="R52" i="10" s="1"/>
  <c r="Q54" i="10"/>
  <c r="R54" i="10" s="1"/>
  <c r="Q55" i="10"/>
  <c r="R55" i="10" s="1"/>
  <c r="Q56" i="10"/>
  <c r="R56" i="10" s="1"/>
  <c r="Q57" i="10"/>
  <c r="R57" i="10" s="1"/>
  <c r="Q58" i="10"/>
  <c r="R58" i="10" s="1"/>
  <c r="Q59" i="10"/>
  <c r="R59" i="10" s="1"/>
  <c r="Q60" i="10"/>
  <c r="R60" i="10" s="1"/>
  <c r="Q61" i="10"/>
  <c r="R61" i="10" s="1"/>
  <c r="Q62" i="10"/>
  <c r="R62" i="10" s="1"/>
  <c r="Q63" i="10"/>
  <c r="R63" i="10" s="1"/>
  <c r="Q64" i="10"/>
  <c r="R64" i="10" s="1"/>
  <c r="Q65" i="10"/>
  <c r="R65" i="10" s="1"/>
  <c r="Q66" i="10"/>
  <c r="R66" i="10" s="1"/>
  <c r="Q67" i="10"/>
  <c r="R67" i="10" s="1"/>
  <c r="Q68" i="10"/>
  <c r="R68" i="10" s="1"/>
  <c r="Q69" i="10"/>
  <c r="R69" i="10" s="1"/>
  <c r="Q70" i="10"/>
  <c r="R70" i="10" s="1"/>
  <c r="Q71" i="10"/>
  <c r="R71" i="10" s="1"/>
  <c r="Q72" i="10"/>
  <c r="R72" i="10" s="1"/>
  <c r="Q73" i="10"/>
  <c r="R73" i="10" s="1"/>
  <c r="Q74" i="10"/>
  <c r="R74" i="10" s="1"/>
  <c r="Q75" i="10"/>
  <c r="R75" i="10" s="1"/>
  <c r="Q76" i="10"/>
  <c r="R76" i="10" s="1"/>
  <c r="Q77" i="10"/>
  <c r="R77" i="10" s="1"/>
  <c r="Q78" i="10"/>
  <c r="R78" i="10" s="1"/>
  <c r="Q79" i="10"/>
  <c r="R79" i="10" s="1"/>
  <c r="Q80" i="10"/>
  <c r="R80" i="10" s="1"/>
  <c r="Q81" i="10"/>
  <c r="R81" i="10" s="1"/>
  <c r="Q83" i="10"/>
  <c r="R83" i="10" s="1"/>
  <c r="Q84" i="10"/>
  <c r="R84" i="10" s="1"/>
  <c r="Q86" i="10"/>
  <c r="R86" i="10" s="1"/>
  <c r="Q87" i="10"/>
  <c r="R87" i="10" s="1"/>
  <c r="Q88" i="10"/>
  <c r="R88" i="10" s="1"/>
  <c r="Q89" i="10"/>
  <c r="R89" i="10" s="1"/>
  <c r="Q90" i="10"/>
  <c r="R90" i="10" s="1"/>
  <c r="Q91" i="10"/>
  <c r="R91" i="10" s="1"/>
  <c r="Q92" i="10"/>
  <c r="R92" i="10" s="1"/>
  <c r="Q93" i="10"/>
  <c r="R93" i="10" s="1"/>
  <c r="Q95" i="10"/>
  <c r="R95" i="10" s="1"/>
  <c r="Q96" i="10"/>
  <c r="R96" i="10" s="1"/>
  <c r="Q97" i="10"/>
  <c r="R97" i="10" s="1"/>
  <c r="Q98" i="10"/>
  <c r="R98" i="10" s="1"/>
  <c r="Q99" i="10"/>
  <c r="R99" i="10" s="1"/>
  <c r="Q100" i="10"/>
  <c r="R100" i="10" s="1"/>
  <c r="Q101" i="10"/>
  <c r="R101" i="10" s="1"/>
  <c r="Q103" i="10"/>
  <c r="R103" i="10" s="1"/>
  <c r="Q104" i="10"/>
  <c r="R104" i="10" s="1"/>
  <c r="Q105" i="10"/>
  <c r="R105" i="10" s="1"/>
  <c r="Q106" i="10"/>
  <c r="R106" i="10" s="1"/>
  <c r="Q107" i="10"/>
  <c r="R107" i="10" s="1"/>
  <c r="Q108" i="10"/>
  <c r="R108" i="10" s="1"/>
  <c r="Q109" i="10"/>
  <c r="R109" i="10" s="1"/>
  <c r="Q110" i="10"/>
  <c r="R110" i="10" s="1"/>
  <c r="Q111" i="10"/>
  <c r="R111" i="10" s="1"/>
  <c r="Q112" i="10"/>
  <c r="R112" i="10" s="1"/>
  <c r="Q113" i="10"/>
  <c r="R113" i="10" s="1"/>
  <c r="Q114" i="10"/>
  <c r="R114" i="10" s="1"/>
  <c r="Q115" i="10"/>
  <c r="R115" i="10" s="1"/>
  <c r="Q116" i="10"/>
  <c r="R116" i="10" s="1"/>
  <c r="Q117" i="10"/>
  <c r="R117" i="10" s="1"/>
  <c r="Q118" i="10"/>
  <c r="R118" i="10" s="1"/>
  <c r="Q119" i="10"/>
  <c r="R119" i="10" s="1"/>
  <c r="Q120" i="10"/>
  <c r="R120" i="10" s="1"/>
  <c r="Q121" i="10"/>
  <c r="R121" i="10" s="1"/>
  <c r="Q122" i="10"/>
  <c r="R122" i="10" s="1"/>
  <c r="Q123" i="10"/>
  <c r="R123" i="10" s="1"/>
  <c r="Q124" i="10"/>
  <c r="R124" i="10" s="1"/>
  <c r="Q126" i="10"/>
  <c r="R126" i="10" s="1"/>
  <c r="Q127" i="10"/>
  <c r="R127" i="10" s="1"/>
  <c r="Q128" i="10"/>
  <c r="R128" i="10" s="1"/>
  <c r="Q129" i="10"/>
  <c r="R129" i="10" s="1"/>
  <c r="Q130" i="10"/>
  <c r="R130" i="10" s="1"/>
  <c r="Q131" i="10"/>
  <c r="R131" i="10" s="1"/>
  <c r="Q132" i="10"/>
  <c r="R132" i="10" s="1"/>
  <c r="Q134" i="10"/>
  <c r="R134" i="10" s="1"/>
  <c r="Q135" i="10"/>
  <c r="R135" i="10" s="1"/>
  <c r="Q136" i="10"/>
  <c r="R136" i="10" s="1"/>
  <c r="Q137" i="10"/>
  <c r="R137" i="10" s="1"/>
  <c r="Q138" i="10"/>
  <c r="R138" i="10" s="1"/>
  <c r="Q139" i="10"/>
  <c r="R139" i="10" s="1"/>
  <c r="Q140" i="10"/>
  <c r="R140" i="10" s="1"/>
  <c r="Q141" i="10"/>
  <c r="R141" i="10" s="1"/>
  <c r="Q142" i="10"/>
  <c r="R142" i="10" s="1"/>
  <c r="Q143" i="10"/>
  <c r="R143" i="10" s="1"/>
  <c r="Q144" i="10"/>
  <c r="R144" i="10" s="1"/>
  <c r="Q145" i="10"/>
  <c r="R145" i="10" s="1"/>
  <c r="Q146" i="10"/>
  <c r="R146" i="10" s="1"/>
  <c r="Q147" i="10"/>
  <c r="R147" i="10" s="1"/>
  <c r="Q148" i="10"/>
  <c r="R148" i="10" s="1"/>
  <c r="Q149" i="10"/>
  <c r="R149" i="10" s="1"/>
  <c r="Q150" i="10"/>
  <c r="R150" i="10" s="1"/>
  <c r="Q151" i="10"/>
  <c r="R151" i="10" s="1"/>
  <c r="Q152" i="10"/>
  <c r="R152" i="10" s="1"/>
  <c r="Q153" i="10"/>
  <c r="R153" i="10" s="1"/>
  <c r="Q154" i="10"/>
  <c r="R154" i="10" s="1"/>
  <c r="Q155" i="10"/>
  <c r="R155" i="10" s="1"/>
  <c r="Q156" i="10"/>
  <c r="R156" i="10" s="1"/>
  <c r="Q157" i="10"/>
  <c r="R157" i="10" s="1"/>
  <c r="Q158" i="10"/>
  <c r="R158" i="10" s="1"/>
  <c r="Q159" i="10"/>
  <c r="R159" i="10" s="1"/>
  <c r="Q160" i="10"/>
  <c r="R160" i="10" s="1"/>
  <c r="Q161" i="10"/>
  <c r="R161" i="10" s="1"/>
  <c r="Q162" i="10"/>
  <c r="R162" i="10" s="1"/>
  <c r="Q163" i="10"/>
  <c r="R163" i="10" s="1"/>
  <c r="Q164" i="10"/>
  <c r="R164" i="10" s="1"/>
  <c r="Q165" i="10"/>
  <c r="R165" i="10" s="1"/>
  <c r="Q166" i="10"/>
  <c r="R166" i="10" s="1"/>
  <c r="Q167" i="10"/>
  <c r="R167" i="10" s="1"/>
  <c r="Q168" i="10"/>
  <c r="R168" i="10" s="1"/>
  <c r="Q170" i="10"/>
  <c r="R170" i="10" s="1"/>
  <c r="Q171" i="10"/>
  <c r="R171" i="10" s="1"/>
  <c r="Q172" i="10"/>
  <c r="R172" i="10" s="1"/>
  <c r="Q173" i="10"/>
  <c r="R173" i="10" s="1"/>
  <c r="Q174" i="10"/>
  <c r="R174" i="10" s="1"/>
  <c r="Q175" i="10"/>
  <c r="R175" i="10" s="1"/>
  <c r="Q176" i="10"/>
  <c r="R176" i="10" s="1"/>
  <c r="Q177" i="10"/>
  <c r="R177" i="10" s="1"/>
  <c r="Q178" i="10"/>
  <c r="R178" i="10" s="1"/>
  <c r="Q179" i="10"/>
  <c r="R179" i="10" s="1"/>
  <c r="Q181" i="10"/>
  <c r="R181" i="10" s="1"/>
  <c r="Q183" i="10"/>
  <c r="R183" i="10" s="1"/>
  <c r="Q184" i="10"/>
  <c r="R184" i="10" s="1"/>
  <c r="Q6" i="10"/>
  <c r="R6" i="10" s="1"/>
  <c r="K6" i="10"/>
  <c r="L9" i="10" l="1"/>
  <c r="L11" i="10"/>
  <c r="L16" i="10"/>
  <c r="L21" i="10"/>
  <c r="L22" i="10"/>
  <c r="L24" i="10"/>
  <c r="L27" i="10"/>
  <c r="L32" i="10"/>
  <c r="L39" i="10"/>
  <c r="L41" i="10"/>
  <c r="L50" i="10"/>
  <c r="L52" i="10"/>
  <c r="L57" i="10"/>
  <c r="L60" i="10"/>
  <c r="L72" i="10"/>
  <c r="L73" i="10"/>
  <c r="L78" i="10"/>
  <c r="L80" i="10"/>
  <c r="L81" i="10"/>
  <c r="L84" i="10"/>
  <c r="L89" i="10"/>
  <c r="L91" i="10"/>
  <c r="L99" i="10"/>
  <c r="L101" i="10"/>
  <c r="L103" i="10"/>
  <c r="L111" i="10"/>
  <c r="L113" i="10"/>
  <c r="L114" i="10"/>
  <c r="L116" i="10"/>
  <c r="L117" i="10"/>
  <c r="L118" i="10"/>
  <c r="L119" i="10"/>
  <c r="L120" i="10"/>
  <c r="L121" i="10"/>
  <c r="L124" i="10"/>
  <c r="L130" i="10"/>
  <c r="L132" i="10"/>
  <c r="L137" i="10"/>
  <c r="L139" i="10"/>
  <c r="L140" i="10"/>
  <c r="L144" i="10"/>
  <c r="L152" i="10"/>
  <c r="L157" i="10"/>
  <c r="L158" i="10"/>
  <c r="L163" i="10"/>
  <c r="L165" i="10"/>
  <c r="L166" i="10"/>
  <c r="L168" i="10"/>
  <c r="L173" i="10"/>
  <c r="L183" i="10"/>
  <c r="Z4" i="10" l="1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K93" i="10"/>
  <c r="L93" i="10" s="1"/>
  <c r="K95" i="10"/>
  <c r="L95" i="10" s="1"/>
  <c r="K15" i="10"/>
  <c r="L15" i="10" s="1"/>
  <c r="K19" i="10"/>
  <c r="L19" i="10" s="1"/>
  <c r="K42" i="10"/>
  <c r="L42" i="10" s="1"/>
  <c r="K46" i="10"/>
  <c r="L46" i="10" s="1"/>
  <c r="K66" i="10"/>
  <c r="L66" i="10" s="1"/>
  <c r="K69" i="10"/>
  <c r="L69" i="10" s="1"/>
  <c r="K98" i="10"/>
  <c r="L98" i="10" s="1"/>
  <c r="K128" i="10"/>
  <c r="L128" i="10" s="1"/>
  <c r="K129" i="10"/>
  <c r="L129" i="10" s="1"/>
  <c r="K151" i="10"/>
  <c r="L151" i="10" s="1"/>
  <c r="K153" i="10"/>
  <c r="L153" i="10" s="1"/>
  <c r="K176" i="10"/>
  <c r="L176" i="10" s="1"/>
  <c r="K177" i="10"/>
  <c r="L177" i="10" s="1"/>
  <c r="K178" i="10" l="1"/>
  <c r="L178" i="10" s="1"/>
  <c r="K154" i="10"/>
  <c r="L154" i="10" s="1"/>
  <c r="K131" i="10"/>
  <c r="L131" i="10" s="1"/>
  <c r="K100" i="10"/>
  <c r="L100" i="10" s="1"/>
  <c r="K71" i="10"/>
  <c r="K48" i="10"/>
  <c r="L48" i="10" s="1"/>
  <c r="K23" i="10"/>
  <c r="L23" i="10" s="1"/>
  <c r="K179" i="10"/>
  <c r="L179" i="10" s="1"/>
  <c r="K155" i="10"/>
  <c r="L155" i="10" s="1"/>
  <c r="K134" i="10"/>
  <c r="L134" i="10" s="1"/>
  <c r="K104" i="10"/>
  <c r="L104" i="10" s="1"/>
  <c r="K68" i="10"/>
  <c r="L68" i="10" s="1"/>
  <c r="K44" i="10"/>
  <c r="L44" i="10" s="1"/>
  <c r="K18" i="10"/>
  <c r="L18" i="10" s="1"/>
  <c r="K175" i="10"/>
  <c r="L175" i="10" s="1"/>
  <c r="K150" i="10"/>
  <c r="L150" i="10" s="1"/>
  <c r="K127" i="10"/>
  <c r="L127" i="10" s="1"/>
  <c r="K90" i="10"/>
  <c r="L90" i="10" s="1"/>
  <c r="K96" i="10"/>
  <c r="L96" i="10" s="1"/>
  <c r="K40" i="10"/>
  <c r="L40" i="10" s="1"/>
  <c r="K37" i="10"/>
  <c r="L37" i="10" s="1"/>
  <c r="K12" i="10"/>
  <c r="L12" i="10" s="1"/>
  <c r="K164" i="10"/>
  <c r="L164" i="10" s="1"/>
  <c r="K143" i="10"/>
  <c r="L143" i="10" s="1"/>
  <c r="K110" i="10"/>
  <c r="L110" i="10" s="1"/>
  <c r="K75" i="10"/>
  <c r="L75" i="10" s="1"/>
  <c r="K14" i="10"/>
  <c r="L14" i="10" s="1"/>
  <c r="K63" i="10"/>
  <c r="L63" i="10" s="1"/>
  <c r="K55" i="10"/>
  <c r="L55" i="10" s="1"/>
  <c r="K29" i="10"/>
  <c r="L29" i="10" s="1"/>
  <c r="K65" i="10"/>
  <c r="L65" i="10" s="1"/>
  <c r="K106" i="10"/>
  <c r="L106" i="10" s="1"/>
  <c r="K67" i="10"/>
  <c r="L67" i="10" s="1"/>
  <c r="K43" i="10"/>
  <c r="L43" i="10" s="1"/>
  <c r="K17" i="10"/>
  <c r="L17" i="10" s="1"/>
  <c r="K64" i="10"/>
  <c r="L64" i="10" s="1"/>
  <c r="K38" i="10"/>
  <c r="L38" i="10" s="1"/>
  <c r="K13" i="10"/>
  <c r="L13" i="10" s="1"/>
  <c r="K92" i="10"/>
  <c r="L92" i="10" s="1"/>
  <c r="K172" i="10"/>
  <c r="L172" i="10" s="1"/>
  <c r="K148" i="10"/>
  <c r="L148" i="10" s="1"/>
  <c r="K123" i="10"/>
  <c r="L123" i="10" s="1"/>
  <c r="K88" i="10"/>
  <c r="L88" i="10" s="1"/>
  <c r="K62" i="10"/>
  <c r="L62" i="10" s="1"/>
  <c r="K36" i="10"/>
  <c r="L36" i="10" s="1"/>
  <c r="K10" i="10"/>
  <c r="L10" i="10" s="1"/>
  <c r="K171" i="10"/>
  <c r="L171" i="10" s="1"/>
  <c r="K147" i="10"/>
  <c r="L147" i="10" s="1"/>
  <c r="K122" i="10"/>
  <c r="L122" i="10" s="1"/>
  <c r="K87" i="10"/>
  <c r="L87" i="10" s="1"/>
  <c r="K61" i="10"/>
  <c r="L61" i="10" s="1"/>
  <c r="K35" i="10"/>
  <c r="L35" i="10" s="1"/>
  <c r="K8" i="10"/>
  <c r="L8" i="10" s="1"/>
  <c r="K126" i="10"/>
  <c r="L126" i="10" s="1"/>
  <c r="K170" i="10"/>
  <c r="L170" i="10" s="1"/>
  <c r="K146" i="10"/>
  <c r="L146" i="10" s="1"/>
  <c r="K115" i="10"/>
  <c r="L115" i="10" s="1"/>
  <c r="K86" i="10"/>
  <c r="L86" i="10" s="1"/>
  <c r="K59" i="10"/>
  <c r="L59" i="10" s="1"/>
  <c r="K34" i="10"/>
  <c r="L34" i="10" s="1"/>
  <c r="K7" i="10"/>
  <c r="L7" i="10" s="1"/>
  <c r="K145" i="10"/>
  <c r="L145" i="10" s="1"/>
  <c r="K112" i="10"/>
  <c r="L112" i="10" s="1"/>
  <c r="K83" i="10"/>
  <c r="L83" i="10" s="1"/>
  <c r="K58" i="10"/>
  <c r="L58" i="10" s="1"/>
  <c r="K33" i="10"/>
  <c r="L33" i="10" s="1"/>
  <c r="K149" i="10"/>
  <c r="L149" i="10" s="1"/>
  <c r="K56" i="10"/>
  <c r="L56" i="10" s="1"/>
  <c r="K30" i="10"/>
  <c r="L30" i="10" s="1"/>
  <c r="K162" i="10"/>
  <c r="L162" i="10" s="1"/>
  <c r="K142" i="10"/>
  <c r="L142" i="10" s="1"/>
  <c r="K109" i="10"/>
  <c r="L109" i="10" s="1"/>
  <c r="K174" i="10"/>
  <c r="L174" i="10" s="1"/>
  <c r="K167" i="10"/>
  <c r="L167" i="10" s="1"/>
  <c r="K76" i="10"/>
  <c r="L76" i="10" s="1"/>
  <c r="K161" i="10"/>
  <c r="L161" i="10" s="1"/>
  <c r="K141" i="10"/>
  <c r="L141" i="10" s="1"/>
  <c r="K108" i="10"/>
  <c r="L108" i="10" s="1"/>
  <c r="K74" i="10"/>
  <c r="L74" i="10" s="1"/>
  <c r="K54" i="10"/>
  <c r="L54" i="10" s="1"/>
  <c r="K28" i="10"/>
  <c r="L28" i="10" s="1"/>
  <c r="K160" i="10"/>
  <c r="L160" i="10" s="1"/>
  <c r="K107" i="10"/>
  <c r="L107" i="10" s="1"/>
  <c r="L6" i="10"/>
  <c r="K159" i="10"/>
  <c r="L159" i="10" s="1"/>
  <c r="K136" i="10"/>
  <c r="L136" i="10" s="1"/>
  <c r="K70" i="10"/>
  <c r="L70" i="10" s="1"/>
  <c r="K47" i="10"/>
  <c r="L47" i="10" s="1"/>
  <c r="K20" i="10"/>
  <c r="L20" i="10" s="1"/>
  <c r="K97" i="10"/>
  <c r="L97" i="10" s="1"/>
  <c r="K138" i="10"/>
  <c r="K181" i="10"/>
  <c r="L181" i="10" s="1"/>
  <c r="K156" i="10"/>
  <c r="L156" i="10" s="1"/>
  <c r="K135" i="10"/>
  <c r="K105" i="10"/>
  <c r="L105" i="10" s="1"/>
  <c r="J4" i="10"/>
  <c r="I4" i="10"/>
  <c r="H4" i="10"/>
  <c r="G4" i="10"/>
  <c r="L4" i="10" l="1"/>
  <c r="K4" i="10"/>
</calcChain>
</file>

<file path=xl/sharedStrings.xml><?xml version="1.0" encoding="utf-8"?>
<sst xmlns="http://schemas.openxmlformats.org/spreadsheetml/2006/main" count="438" uniqueCount="239">
  <si>
    <t>Наименование</t>
  </si>
  <si>
    <t>Вес един.</t>
  </si>
  <si>
    <t>ЕИ</t>
  </si>
  <si>
    <t>Вареные колбасы</t>
  </si>
  <si>
    <t>Копченые колбасы</t>
  </si>
  <si>
    <t>Ветчины</t>
  </si>
  <si>
    <t>Длинный код</t>
  </si>
  <si>
    <t>КГ</t>
  </si>
  <si>
    <t>ШТ</t>
  </si>
  <si>
    <t>МОЛОЧНЫЕ ГОСТ сос ц/о мгс 0.4кг 7шт.</t>
  </si>
  <si>
    <t>МЯСНЫЕ Папа может сос п/о в/у 0.4кг_45с</t>
  </si>
  <si>
    <t>СЕРВЕЛАТ ФИНСКИЙ в/к в/у_45с</t>
  </si>
  <si>
    <t>МЯСНЫЕ Папа может сос п/о мгс 1.5*3</t>
  </si>
  <si>
    <t>СОЧНЫЙ ГРИЛЬ ПМ сос п/о мгс 0.41кг 8шт.</t>
  </si>
  <si>
    <t>СЕРВЕЛАТ ЕВРОПЕЙСКИЙ в/к в/у 0.33кг 8шт.</t>
  </si>
  <si>
    <t>ВЕТЧ.МЯСНАЯ Папа может п/о 0.4кг 8шт.</t>
  </si>
  <si>
    <t>РУБЛЕНЫЕ сос ц/о мгс 0.36кг 6шт.</t>
  </si>
  <si>
    <t>СЛИВОЧНЫЕ сос ц/о мгс 0.41кг 8шт.</t>
  </si>
  <si>
    <t>ПОСОЛЬСКАЯ Папа может с/к в/у</t>
  </si>
  <si>
    <t>ЭКСТРА Папа может с/к в/у_Л</t>
  </si>
  <si>
    <t>ФИЛЕЙНАЯ Папа может вар п/о 0.4кг</t>
  </si>
  <si>
    <t>БАВАРСКИЕ ПМ сос ц/о мгс 0.35кг 8шт.</t>
  </si>
  <si>
    <t>С СЫРОМ Папа может сос ц/о мгс 0.4кг 6шт</t>
  </si>
  <si>
    <t>СОЧНЫЙ ГРИЛЬ ПМ сос п/о мгс 1.5*4_Маяк</t>
  </si>
  <si>
    <t>ВЕТЧ.С ИНДЕЙКОЙ Папа может п/о 400*6</t>
  </si>
  <si>
    <t>МЯСНОЕ АССОРТИ к/з с/н мгс 1/90 10шт.</t>
  </si>
  <si>
    <t>ДОМАШНИЙ РЕЦЕПТ Коровино вар п/о</t>
  </si>
  <si>
    <t>СЛИВОЧНЫЕ сос ц/о мгс 1*4</t>
  </si>
  <si>
    <t>ВЕТЧ.МЯСНАЯ Папа может п/о</t>
  </si>
  <si>
    <t>ДОМАШНИЙ РЕЦЕПТ СО ШПИК.Коровино вар п/о</t>
  </si>
  <si>
    <t>ШПИКАЧКИ СОЧНЫЕ ПМ сар б/о мгс 1*3_45с</t>
  </si>
  <si>
    <t>МОЛОЧНАЯ Папа может вар п/о</t>
  </si>
  <si>
    <t>ЭКСТРА Папа может вар п/о</t>
  </si>
  <si>
    <t>СВИНИНА МАДЕРА с/к с/н в/у 1/100 10шт.</t>
  </si>
  <si>
    <t>МЯСНАЯ СО ШПИКОМ Папа может вар п/о</t>
  </si>
  <si>
    <t>МЯСНАЯ Папа может вар п/о 0.4кг 8шт.</t>
  </si>
  <si>
    <t>РУБЛЕНЫЕ сос ц/о мгс 1*4</t>
  </si>
  <si>
    <t>ОХОТНИЧЬЯ Папа может с/к в/у 1/220 8шт.</t>
  </si>
  <si>
    <t>СЕРВЕЛАТ ФИНСКИЙ ПМ в/к в/у 0.35кг 8шт.</t>
  </si>
  <si>
    <t>МЯСНЫЕ Папа может сар б/о мгс 1*3_О_45с</t>
  </si>
  <si>
    <t>МЯСНАЯ Папа может вар п/о</t>
  </si>
  <si>
    <t>МОЛОЧНЫЕ КЛАССИЧЕСКИЕ сос п/о мгс 2*4_С</t>
  </si>
  <si>
    <t>МОЛОЧНЫЕ ГОСТ сос ц/о мгс 1*4</t>
  </si>
  <si>
    <t>САЛЯМИ ИТАЛЬЯНСКАЯ с/к в/у 1/250*8_120с</t>
  </si>
  <si>
    <t>ЭКСТРА Папа может с/к в/у 1/250 8шт.</t>
  </si>
  <si>
    <t>САЛЯМИ ИТАЛЬЯНСКАЯ с/к в/у</t>
  </si>
  <si>
    <t>ФИЛЕЙНАЯ Папа может вар п/о</t>
  </si>
  <si>
    <t>Сосиски</t>
  </si>
  <si>
    <t>Нарезка с/к колбас</t>
  </si>
  <si>
    <t>С/к колбасы</t>
  </si>
  <si>
    <t>Нарезка копченостей</t>
  </si>
  <si>
    <t>Нарезка в/к колбас</t>
  </si>
  <si>
    <t>Копчености в/к</t>
  </si>
  <si>
    <t>Сардельки</t>
  </si>
  <si>
    <t>ВЕТЧ.МРАМОРНАЯ в/у срез 0.3кг 6шт_45с</t>
  </si>
  <si>
    <t>СЕРВЕЛАТ КРЕМЛЕВСКИЙ в/к в/у 0.33кг 8шт.</t>
  </si>
  <si>
    <t>ДЫМОВИЦА ИЗ ЛОПАТКИ ПМ к/в с/н в/у 1/150</t>
  </si>
  <si>
    <t>НЕАПОЛИТАНСКИЙ ДУЭТ с/к с/н мгс 1/90</t>
  </si>
  <si>
    <t>ИТАЛЬЯНСКОЕ АССОРТИ с/в с/н мгс 1/90</t>
  </si>
  <si>
    <t>ВЕТЧ.НЕЖНАЯ Коровино п/о_Маяк</t>
  </si>
  <si>
    <t>РЕБРЫШКИ к/в в/у_30c</t>
  </si>
  <si>
    <t>С ГОВЯДИНОЙ ОРИГИН. сар б/о мгс 1*3_45с</t>
  </si>
  <si>
    <t>БУРГУНДИЯ Папа может с/к в/у 1/250 8шт.</t>
  </si>
  <si>
    <t>БЕКОН Останкино с/к с/н в/у 1/180_50с</t>
  </si>
  <si>
    <t>КЛАССИЧЕСКИЕ Папа может сар б/о мгс 1*3</t>
  </si>
  <si>
    <t>СЛИВОЧНЫЕ ПМ сос п/о мгс 0.41кг 10шт_50с</t>
  </si>
  <si>
    <t>СОЧНЫЕ ПМ сос п/о мгс 0.41кг 10шт_50с</t>
  </si>
  <si>
    <t>СОЧНЫЕ ПМ сос п/о мгс 1.5*4_А_50с</t>
  </si>
  <si>
    <t>МОЛОЧ.ПРЕМИУМ ПМ сос п/о мгс 0.6кг_50с</t>
  </si>
  <si>
    <t>МОЛОЧ.ПРЕМИУМ ПМ сос п/о мгс 1.5*4_О_50с</t>
  </si>
  <si>
    <t>МОЛОЧНЫЕ КЛАССИЧЕСКИЕ сос п/о в/у 0.3кг</t>
  </si>
  <si>
    <t>МОЛОЧ.ПРЕМИУМ ПМ сос п/о в/у 1/350_50с</t>
  </si>
  <si>
    <t>ВЕТЧ.ФИРМЕННАЯ С ИНДЕЙКОЙ п/о</t>
  </si>
  <si>
    <t xml:space="preserve">ВЕТЧ.ИЗ ЛОПАТКИ Папа может п/о_HRC </t>
  </si>
  <si>
    <t>СВИНИНА ПО-ДОМ. к/в мл/к в/у 0.3кг_50с</t>
  </si>
  <si>
    <t>БАЛЫКОВАЯ Коровино п/к в/у 0.84кг_50с</t>
  </si>
  <si>
    <t>СЕРВЕЛАТ ЗЕРНИСТЫЙ ПМ в/к в/у 0.35кг_50с</t>
  </si>
  <si>
    <t>СЕРВЕЛАТ ОХОТНИЧИЙ ПМ в/к в/у_50с</t>
  </si>
  <si>
    <t>СЕРВЕЛАТ ОХОТНИЧИЙ ПМ в/к в/у 0.35кг_50с</t>
  </si>
  <si>
    <t>ЧЕСНОЧНАЯ ПМ п/к в/у 0.35кг 8шт_50с</t>
  </si>
  <si>
    <t>ДОКТОРСКАЯ ГОСТ Папа может вар п/о</t>
  </si>
  <si>
    <t>СЕРВЕЛАТ ЗЕРНИСТЫЙ ПМ в/к в/у_50с</t>
  </si>
  <si>
    <t>САЛЯМИ ИТАЛЬЯНСКАЯ с/к в/у 1/150_60с</t>
  </si>
  <si>
    <t>ПРАЗДНИЧНАЯ с/к в/с дек.спец.мгс</t>
  </si>
  <si>
    <t>САЛЯМИ Папа может с/к в/у 1/250 8шт.</t>
  </si>
  <si>
    <t>СЕРВЕЛАТ ЕВРОПЕЙСКИЙ в/к в/у 0.84кг</t>
  </si>
  <si>
    <t>ВЕТЧ.МРАМОРНАЯ в/у_45с</t>
  </si>
  <si>
    <t>ГРУДИНКА ПРЕМИУМ к/в мл/к в/у 0.3кг_50с</t>
  </si>
  <si>
    <t>САЛЬЧИЧОН Останкино с/к в/у 1/220 8шт.</t>
  </si>
  <si>
    <t>БОЯNСКАЯ ПМ п/к в/у 0.28кг 8шт_209к</t>
  </si>
  <si>
    <t>БАЛЫКОВАЯ ПМ п/к в/у 0.31кг 8шт_209к</t>
  </si>
  <si>
    <t>СЕРВЕЛАТ КАРЕЛЬСКИЙ в/к в/у 0.28кг_209к</t>
  </si>
  <si>
    <t>САЛЯМИ Папа может п/к в/у 0.28кг_209к</t>
  </si>
  <si>
    <t>СЕРВЕЛАТ ОРЕХОВЫЙ в/к в/у 0.31кг_209к</t>
  </si>
  <si>
    <t>СЕРВЕЛАТ ШВАРЦЕР ПМ в/к в/у 0.28кг_209к</t>
  </si>
  <si>
    <t>ДЛЯ ДЕТЕЙ сос п/о мгс 0.33кг 6шт.</t>
  </si>
  <si>
    <t>СЛИВОЧНЫЕ ПМ сос п/о мгс 0.3кг 7шт.</t>
  </si>
  <si>
    <t>БАЛЫК И ШЕЙКА с/в с/н мгс 1/90 8шт.</t>
  </si>
  <si>
    <t>ДОКТОРСКАЯ ПРЕМИУМ вар п/о 0.4кг 8шт.</t>
  </si>
  <si>
    <t>БРАУНШВЕЙГСКАЯ ГОСТ с/к в/у 1/220 8шт.</t>
  </si>
  <si>
    <t>Ср.цена</t>
  </si>
  <si>
    <t>Примечания</t>
  </si>
  <si>
    <t>ФИЛЕЙНЫЕ Папа Может сос ц/о мгс 0.4кг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</si>
  <si>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</si>
  <si>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</si>
  <si>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</si>
  <si>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МЯСНЫЕ С ГОВЯДИНОЙ ПМ сос п/о мгс 1.5*4</t>
  </si>
  <si>
    <t>КЛАССИЧЕСКАЯ ПМ вар п/о 0.3кг 8шт_209к</t>
  </si>
  <si>
    <t>КОРЕЙКА ПО-ОСТ.к/в в/с с/н в/у 1/150_45с</t>
  </si>
  <si>
    <t>БЕКОН Папа может с/к с/н в/у 1/140_50с</t>
  </si>
  <si>
    <t>МОЛОЧНЫЕ ПМ сос п/о мгс 0.41кг 10шт.</t>
  </si>
  <si>
    <t>С ГОВЯДИНОЙ ПМ сар б/о мгс 0.4кг_45с</t>
  </si>
  <si>
    <t>АРОМАТНАЯ с/к в/у 1/250 8шт.</t>
  </si>
  <si>
    <t>ГОВЯЖЬЯ Папа может вар п/о</t>
  </si>
  <si>
    <t>БОЯРСКАЯ ПМ п/к в/у 0.28кг_СНГ</t>
  </si>
  <si>
    <t>СЕРВЕЛАТ ОХОТНИЧИЙ ПМ в/к в/у 0.28кг_СНГ</t>
  </si>
  <si>
    <t>МЯСНЫЕ С ГОВЯД.ПМ сос п/о мгс 0.4кг 6шт.</t>
  </si>
  <si>
    <t>МЯСНАЯ СО ШПИКОМ ПМ вар п/о 0.4кг 8шт.</t>
  </si>
  <si>
    <t>ДОКТОРСКАЯ ПРЕМИУМ вар п/о(п)</t>
  </si>
  <si>
    <t>СЕЙЧАС СЕЗОН ПМ вар п/о 0.4кг</t>
  </si>
  <si>
    <t>ЧОРИЗО Останкино с/к в/у 1/220 8шт.</t>
  </si>
  <si>
    <t>АРОМАТНАЯ с/к в/у_А</t>
  </si>
  <si>
    <t>САЛЯМИ МЕЛКОЗЕРНЕНАЯ с/к в/у 1/120 8шт.</t>
  </si>
  <si>
    <t>САН-РЕМО Останкино с/в в/у 1/220 8шт.</t>
  </si>
  <si>
    <t>АССОРТИ СЫРОКОПЧЕНЫХ КОЛБАС Коровино в/у</t>
  </si>
  <si>
    <t>НАБОР ДЛЯ ПИЦЦЫ Папа Может с/к в/у</t>
  </si>
  <si>
    <t>ВЕТЧ.С ИНДЕЙКОЙ ПМ в/у срез 0.3кг 6шт.</t>
  </si>
  <si>
    <t>ЧИКЕН КАРРИ Папа может сос п/о мгс 1/330</t>
  </si>
  <si>
    <t>С ИНДЕЙКОЙ Папа может вар п/о 0.4кг 8шт.</t>
  </si>
  <si>
    <t>СЛИВОЧНЫЕ ПМ сос п/о мгс 1.5*4_А_50с</t>
  </si>
  <si>
    <t>ФИЛЕЙНЫЕ Папа может сос ц/о мгс 1.5*2</t>
  </si>
  <si>
    <t>САЛЯМИ ФИНСКАЯ Папа может с/к в/у 1/150</t>
  </si>
  <si>
    <t>БЛИНЧ.С КУРИНЫМ МЯСОМ пл.1/350 зам. (6209)</t>
  </si>
  <si>
    <t>БЛИНЧ.С МЯСОМ пл.1/350 зам. (6168)</t>
  </si>
  <si>
    <t>БЛИНЧ.КРУГЛЫЕ С САД.ЯБЛОК.1/420 зам_ПОСТ (5579)</t>
  </si>
  <si>
    <t>БЛИНЧ.КРУГЛЫЕ С ГРУШЕЙ пл.1/420 зам (5897)</t>
  </si>
  <si>
    <t>БЛИНЧ.КРУГЛЫЕ С ВЕТЧ.И СЫР.ПМ 1/300 зам. (6148)</t>
  </si>
  <si>
    <t>БЛИНЧ.КРУГЛЫЕ С ПЕЧЕНЬЮ ПМ 1/300 зам. (6149)</t>
  </si>
  <si>
    <t>БЛИНЧ.КРУГЛЫЕ С ТВОРОГОМ ПМ 1/300 зам. (6202)</t>
  </si>
  <si>
    <t>БЛИНЧ.КРУГЛЫЕ С САД.ЯБЛОК.пл.1/300 зам. (6819)</t>
  </si>
  <si>
    <t>БЛИНЧ.КРУГЛЫЕ С МЯСОМ 4.5кг зам_ФМ</t>
  </si>
  <si>
    <t>БЛИНЧ.КРУГЛЫЕ С ТВОРОГОМ 4.5кг зам_ФМ</t>
  </si>
  <si>
    <t>SKU</t>
  </si>
  <si>
    <t>Блины</t>
  </si>
  <si>
    <t>БАРСЕЛОНА ПМ с/к в/у 1/150</t>
  </si>
  <si>
    <t>ХОТ-ДОГ Папа может сос б/о в/у 1/320 8шт</t>
  </si>
  <si>
    <t>ШПИКАЧКИ СОЧНЫЕ С БЕК. п/о мгс 0.3кг_60с</t>
  </si>
  <si>
    <t>ШПИКАЧКИ СОЧНЫЕ ПМ сар б/о мгс 0.4кг_45с</t>
  </si>
  <si>
    <t>ГОВЯЖЬЯ Папа может вар п/о 0.4кг 6шт.</t>
  </si>
  <si>
    <t>ДОКТОРСКАЯ ГОСТ Останкино вар п/о 0.35кг</t>
  </si>
  <si>
    <t>ДОКТОРСКАЯ ПО-ОСТАНКИНСКИ вар б/о в/у</t>
  </si>
  <si>
    <t>РУССКАЯ ПО-ОСТАНКИНСКИ вар б/о в/у</t>
  </si>
  <si>
    <t>ДОКТОРСКАЯ ГОСТ Останкино вар п/о</t>
  </si>
  <si>
    <t xml:space="preserve">ВЕТЧ.КЛАССИЧЕСКАЯ в/у 0.6кг 8шт. </t>
  </si>
  <si>
    <t xml:space="preserve">ДЛЯ ДЕТЕЙ Папа может сос п/о мгс 0.33кг </t>
  </si>
  <si>
    <t>БРЕСТСКИЕ сос п/о в/у 0.3кг 8шт.</t>
  </si>
  <si>
    <t>Пельмени/Вареники</t>
  </si>
  <si>
    <t>СОЧНЫЕ СО СЛ.МАСЛ.ПМ пельм пл.0.7кг зам.</t>
  </si>
  <si>
    <t>БАЛЫКОВАЯ Останкино в/к в/у</t>
  </si>
  <si>
    <t>БАЛЫКОВАЯ Останкино в/к в/у 0.33кг 8шт.</t>
  </si>
  <si>
    <t>ЭКСТРА Папа может вар п/о 0.4кг 8шт_195к</t>
  </si>
  <si>
    <t xml:space="preserve">СЕРВЕЛАТ ШВЕЙЦАРСК.в/к с/н в/у 1/100_Л11 </t>
  </si>
  <si>
    <t>СЕРВЕЛАТ БАВАРСКИЙ в/к с/н в/у 1/100_Л11</t>
  </si>
  <si>
    <t>БАЛЫК с/к с/н в/у 1/100 10шт_Л11</t>
  </si>
  <si>
    <t>ЭКСТРА Папа может с/к с/н в/у 1/100_Л10</t>
  </si>
  <si>
    <t>БРАУНШВЕЙГСКАЯ с/к с/н мгс 1/100_Л10</t>
  </si>
  <si>
    <t>СЫРРРВЕЛАТ Папа может в/к в/у 0.28кг 8шт</t>
  </si>
  <si>
    <t>АРОМАТНАЯ с/к с/н в/у 1/100 10шт_Л10 (7613)</t>
  </si>
  <si>
    <t>САЛО СОЛЕНОЕ С ЧЕРНЫМ ПЕРЦЕМ мл/к в/у</t>
  </si>
  <si>
    <t>Ротация кода 6268</t>
  </si>
  <si>
    <t>Ротация кода 6324</t>
  </si>
  <si>
    <t>Ротация кода 4555</t>
  </si>
  <si>
    <t>Ротация кода 6353</t>
  </si>
  <si>
    <t>Ротация кода 5246</t>
  </si>
  <si>
    <t>Ротация кода 5247</t>
  </si>
  <si>
    <t>Ротация кода 7131</t>
  </si>
  <si>
    <t>Ротация кода 6793</t>
  </si>
  <si>
    <t>Ротация кода 6459</t>
  </si>
  <si>
    <t>Ротация кода 7474</t>
  </si>
  <si>
    <t>Ротация кода 7288</t>
  </si>
  <si>
    <t>Ротация кода 6454</t>
  </si>
  <si>
    <t>Ротация кода 6453</t>
  </si>
  <si>
    <t>Ротация кода 5677</t>
  </si>
  <si>
    <t>ХОЧУ ВЕТЧ. ИЗ СВИН.ОТРУБА с/н мгс 1/100</t>
  </si>
  <si>
    <t>ХОЧУ ВЕТЧ. МРАМОР. ПМ с/н мгс 1/100_Л11</t>
  </si>
  <si>
    <t>КЛАССИКА ПМ сос п/о мгс 0.5кг 10шт.</t>
  </si>
  <si>
    <t>Закрытие с 27.07.26</t>
  </si>
  <si>
    <t>Ротация кода 7284</t>
  </si>
  <si>
    <t>С ИНДЕЙКОЙ ПМ сос ц/о в/у 1/270 8шт.</t>
  </si>
  <si>
    <t>ВЕТЧ.РУБЛЕНАЯ ПМ в/у срез 0.3кг 6шт.</t>
  </si>
  <si>
    <t>Прочая продукция</t>
  </si>
  <si>
    <t>РИЕТ МЯСНОЙ С ГРИБАМИ ПМ п/о 1/150</t>
  </si>
  <si>
    <t>СЕРВЕЛАТ КРЕМЛЕВСКИЙ в/к в/у 0.84кг</t>
  </si>
  <si>
    <t xml:space="preserve">ДЛЯ ДЕТЕЙ Папа может сос п/о мгс 0.264кг </t>
  </si>
  <si>
    <t>Закрытие с 24.07.26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</si>
  <si>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</si>
  <si>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</si>
  <si>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</si>
  <si>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ср.знач</t>
  </si>
  <si>
    <t>33,34 нед.</t>
  </si>
  <si>
    <t>29.06–05.07</t>
  </si>
  <si>
    <t>06.07–12.07</t>
  </si>
  <si>
    <t>13.07–19.07</t>
  </si>
  <si>
    <t>20.07–26.07</t>
  </si>
  <si>
    <t>(27-30 нед.)</t>
  </si>
  <si>
    <t>ЛЮБИТЕЛЬСКАЯ ОСТАНКИНСКАЯ вар ц/о в/у</t>
  </si>
  <si>
    <t>ТЕЛЯЧЬЯ ГОСТ Останкино вар н/о в/у</t>
  </si>
  <si>
    <t>КАРБОНAД ДОМАШНИЙ ПМ к/в кр/к в/у</t>
  </si>
  <si>
    <t>260856498051 (с 17.08 по 30.09)</t>
  </si>
  <si>
    <t xml:space="preserve">СЕРВЕЛАТ КОПЧ.НА БУКЕ в/к в/у 0.35кг_50с </t>
  </si>
  <si>
    <t>260856546408 (с 18.08 по 30.09)</t>
  </si>
  <si>
    <t>Консервы мясные</t>
  </si>
  <si>
    <t>КОНСЕРВЫ МЯС.ГОВЯДИНА ТУШ. В/С 338г_ЧЗ</t>
  </si>
  <si>
    <t>КОНСЕРВЫ МЯС.СВИНИНА ТУШ. В/С 325г_ЧЗ</t>
  </si>
  <si>
    <t>КРАКОВСКАЯ ГОСТ п/к н/о мгс 0.3кг</t>
  </si>
  <si>
    <t>ср.знач.</t>
  </si>
  <si>
    <t>(30-34 нед.)</t>
  </si>
  <si>
    <t>37,38 нед.</t>
  </si>
  <si>
    <t>План. Объем, ОКТЯБРЬ, кг</t>
  </si>
  <si>
    <t xml:space="preserve"> Планируемый ТО, ОКТЯБРЬ</t>
  </si>
  <si>
    <t>Факт Объем, Сентябрь, кг</t>
  </si>
  <si>
    <t xml:space="preserve"> ТО, Сентябрь</t>
  </si>
  <si>
    <t>акция +6%</t>
  </si>
  <si>
    <t>МЯСНЫЕ ПРЕМИУМ пельм кор.0.4кг зам. (7224)</t>
  </si>
  <si>
    <t>ОСТАНКИНСКИЕ пельм пл. 0.7кг 10шт.зам.(7085)</t>
  </si>
  <si>
    <t>ОСТАНКИНСКИЕ пельм кор.0.5кг зам_NEW (6824)</t>
  </si>
  <si>
    <t>СОЧНЫЕ Папа Может пельм пл.0.42кг зам. (7212)</t>
  </si>
  <si>
    <t>СОЧНЫЕ Папа Может пельм пл.0.7кг зам. (7214)</t>
  </si>
  <si>
    <t>СОЧНЫЕ Папа Может пельм 4кг зам. (7375)</t>
  </si>
  <si>
    <t>С КАРТОФ.И ГРИБ.вареники пл.0.42кг зам. (7049)</t>
  </si>
  <si>
    <t>ЧАЙНАЯ Останкино вар н/о мгс 1*3</t>
  </si>
  <si>
    <t>Новинка</t>
  </si>
  <si>
    <t>Донецк</t>
  </si>
  <si>
    <t>Бердянск</t>
  </si>
  <si>
    <t>Мелитополь</t>
  </si>
  <si>
    <t>Мариуполь</t>
  </si>
  <si>
    <t>заказ</t>
  </si>
  <si>
    <t>ЗПФ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</si>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</sst>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₽_-;\-* #,##0.00\ _₽_-;_-* &quot;-&quot;??\ _₽_-;_-@_-"/>
    <numFmt numFmtId="165" formatCode="_-* #,##0_-;\-* #,##0_-;_-* &quot;-&quot;??_-;_-@_-"/>
    <numFmt numFmtId="166" formatCode="_-* #,##0\ _₽_-;\-* #,##0\ _₽_-;_-* &quot;-&quot;??\ _₽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Arial"/>
      <family val="2"/>
      <charset val="204"/>
    </font>
    <font>
      <sz val="16"/>
      <color theme="1"/>
      <name val="Arial"/>
      <family val="2"/>
      <charset val="204"/>
    </font>
    <font>
      <b/>
      <sz val="16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b/>
      <sz val="18"/>
      <color rgb="FFFF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color theme="9" tint="-0.249977111117893"/>
      <name val="Calibri"/>
      <family val="2"/>
      <charset val="204"/>
      <scheme val="minor"/>
    </font>
    <font>
      <b/>
      <i/>
      <sz val="16"/>
      <name val="Calibri"/>
      <family val="2"/>
      <charset val="204"/>
      <scheme val="minor"/>
    </font>
    <font>
      <i/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i/>
      <sz val="20"/>
      <color theme="1"/>
      <name val="Calibri"/>
      <family val="2"/>
      <scheme val="minor"/>
    </font>
    <font>
      <i/>
      <sz val="20"/>
      <color theme="1"/>
      <name val="Arial"/>
      <family val="2"/>
      <charset val="204"/>
    </font>
    <font>
      <b/>
      <i/>
      <sz val="20"/>
      <color indexed="8"/>
      <name val="Arial"/>
      <family val="2"/>
      <charset val="204"/>
    </font>
    <font>
      <b/>
      <i/>
      <sz val="18"/>
      <color indexed="8"/>
      <name val="Arial"/>
      <family val="2"/>
      <charset val="204"/>
    </font>
    <font>
      <i/>
      <sz val="18"/>
      <color theme="1"/>
      <name val="Calibri"/>
      <family val="2"/>
      <scheme val="minor"/>
    </font>
    <font>
      <i/>
      <sz val="18"/>
      <color theme="1"/>
      <name val="Arial"/>
      <family val="2"/>
      <charset val="204"/>
    </font>
    <font>
      <b/>
      <i/>
      <sz val="18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6"/>
      <color theme="1"/>
      <name val="Arial"/>
      <family val="2"/>
      <charset val="204"/>
    </font>
    <font>
      <sz val="16"/>
      <color rgb="FFFF0000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  <charset val="204"/>
    </font>
    <font>
      <b/>
      <sz val="20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2" fillId="0" borderId="0"/>
    <xf numFmtId="0" fontId="9" fillId="0" borderId="0"/>
    <xf numFmtId="0" fontId="1" fillId="0" borderId="0"/>
    <xf numFmtId="0" fontId="9" fillId="0" borderId="0"/>
  </cellStyleXfs>
  <cellXfs count="160">
    <xf numFmtId="0" fontId="0" fillId="0" borderId="0" xfId="0"/>
    <xf numFmtId="0" fontId="5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1" fillId="0" borderId="0" xfId="0" applyFont="1"/>
    <xf numFmtId="0" fontId="12" fillId="2" borderId="1" xfId="0" applyFont="1" applyFill="1" applyBorder="1" applyAlignment="1">
      <alignment horizontal="left" vertical="center"/>
    </xf>
    <xf numFmtId="1" fontId="12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vertical="center"/>
    </xf>
    <xf numFmtId="1" fontId="16" fillId="0" borderId="0" xfId="0" applyNumberFormat="1" applyFont="1" applyAlignment="1">
      <alignment horizontal="center" vertical="center"/>
    </xf>
    <xf numFmtId="2" fontId="16" fillId="0" borderId="0" xfId="1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12" fillId="0" borderId="1" xfId="1" applyNumberFormat="1" applyFont="1" applyFill="1" applyBorder="1" applyAlignment="1">
      <alignment horizontal="center" vertical="center"/>
    </xf>
    <xf numFmtId="2" fontId="12" fillId="2" borderId="1" xfId="1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2" fontId="18" fillId="0" borderId="1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1" fontId="17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4" fillId="0" borderId="0" xfId="0" applyFont="1"/>
    <xf numFmtId="0" fontId="26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165" fontId="19" fillId="2" borderId="1" xfId="1" applyNumberFormat="1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1" fillId="5" borderId="0" xfId="0" applyFont="1" applyFill="1"/>
    <xf numFmtId="164" fontId="14" fillId="0" borderId="0" xfId="0" applyNumberFormat="1" applyFont="1"/>
    <xf numFmtId="0" fontId="17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3" fontId="18" fillId="2" borderId="1" xfId="0" applyNumberFormat="1" applyFont="1" applyFill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4" fontId="18" fillId="0" borderId="1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/>
    </xf>
    <xf numFmtId="3" fontId="11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4" fontId="18" fillId="6" borderId="1" xfId="0" applyNumberFormat="1" applyFont="1" applyFill="1" applyBorder="1" applyAlignment="1">
      <alignment horizontal="center" vertical="center"/>
    </xf>
    <xf numFmtId="1" fontId="18" fillId="0" borderId="1" xfId="0" applyNumberFormat="1" applyFont="1" applyBorder="1" applyAlignment="1">
      <alignment horizontal="left" vertical="center"/>
    </xf>
    <xf numFmtId="2" fontId="12" fillId="0" borderId="2" xfId="1" applyNumberFormat="1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/>
    </xf>
    <xf numFmtId="0" fontId="26" fillId="2" borderId="8" xfId="0" applyFont="1" applyFill="1" applyBorder="1" applyAlignment="1">
      <alignment horizontal="center" vertical="center"/>
    </xf>
    <xf numFmtId="1" fontId="21" fillId="2" borderId="8" xfId="0" applyNumberFormat="1" applyFont="1" applyFill="1" applyBorder="1" applyAlignment="1">
      <alignment horizontal="center" vertical="center"/>
    </xf>
    <xf numFmtId="2" fontId="22" fillId="2" borderId="8" xfId="1" applyNumberFormat="1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/>
    </xf>
    <xf numFmtId="2" fontId="23" fillId="4" borderId="10" xfId="1" applyNumberFormat="1" applyFont="1" applyFill="1" applyBorder="1" applyAlignment="1">
      <alignment horizontal="center" vertical="center"/>
    </xf>
    <xf numFmtId="49" fontId="23" fillId="8" borderId="10" xfId="2" applyNumberFormat="1" applyFont="1" applyFill="1" applyBorder="1" applyAlignment="1">
      <alignment horizontal="center" vertical="center"/>
    </xf>
    <xf numFmtId="3" fontId="11" fillId="4" borderId="10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1" fontId="12" fillId="2" borderId="2" xfId="0" applyNumberFormat="1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2" fontId="12" fillId="2" borderId="2" xfId="1" applyNumberFormat="1" applyFont="1" applyFill="1" applyBorder="1" applyAlignment="1">
      <alignment horizontal="center" vertical="center"/>
    </xf>
    <xf numFmtId="1" fontId="17" fillId="0" borderId="1" xfId="0" applyNumberFormat="1" applyFont="1" applyBorder="1" applyAlignment="1">
      <alignment horizontal="left" vertical="center"/>
    </xf>
    <xf numFmtId="4" fontId="18" fillId="7" borderId="12" xfId="0" applyNumberFormat="1" applyFont="1" applyFill="1" applyBorder="1" applyAlignment="1">
      <alignment horizontal="center" vertical="center"/>
    </xf>
    <xf numFmtId="1" fontId="17" fillId="5" borderId="1" xfId="0" applyNumberFormat="1" applyFont="1" applyFill="1" applyBorder="1" applyAlignment="1">
      <alignment horizontal="left" vertical="center"/>
    </xf>
    <xf numFmtId="1" fontId="12" fillId="3" borderId="1" xfId="0" applyNumberFormat="1" applyFont="1" applyFill="1" applyBorder="1" applyAlignment="1">
      <alignment horizontal="left" vertical="center"/>
    </xf>
    <xf numFmtId="0" fontId="1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17" fillId="0" borderId="1" xfId="0" applyFont="1" applyBorder="1"/>
    <xf numFmtId="0" fontId="0" fillId="0" borderId="1" xfId="0" applyBorder="1"/>
    <xf numFmtId="1" fontId="17" fillId="0" borderId="1" xfId="0" applyNumberFormat="1" applyFont="1" applyBorder="1"/>
    <xf numFmtId="166" fontId="18" fillId="7" borderId="10" xfId="0" applyNumberFormat="1" applyFont="1" applyFill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0" fontId="12" fillId="9" borderId="1" xfId="0" applyFont="1" applyFill="1" applyBorder="1" applyAlignment="1">
      <alignment horizontal="left" vertical="center"/>
    </xf>
    <xf numFmtId="1" fontId="12" fillId="9" borderId="1" xfId="0" applyNumberFormat="1" applyFont="1" applyFill="1" applyBorder="1" applyAlignment="1">
      <alignment horizontal="left" vertical="center"/>
    </xf>
    <xf numFmtId="164" fontId="27" fillId="0" borderId="0" xfId="0" applyNumberFormat="1" applyFont="1" applyAlignment="1">
      <alignment horizontal="center"/>
    </xf>
    <xf numFmtId="4" fontId="18" fillId="2" borderId="1" xfId="0" applyNumberFormat="1" applyFont="1" applyFill="1" applyBorder="1" applyAlignment="1">
      <alignment horizontal="center" vertical="center"/>
    </xf>
    <xf numFmtId="3" fontId="11" fillId="0" borderId="0" xfId="0" applyNumberFormat="1" applyFont="1"/>
    <xf numFmtId="0" fontId="18" fillId="6" borderId="1" xfId="0" applyFont="1" applyFill="1" applyBorder="1" applyAlignment="1">
      <alignment horizontal="left" vertical="center"/>
    </xf>
    <xf numFmtId="1" fontId="18" fillId="6" borderId="1" xfId="0" applyNumberFormat="1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1" fontId="12" fillId="10" borderId="1" xfId="0" applyNumberFormat="1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/>
    </xf>
    <xf numFmtId="2" fontId="11" fillId="0" borderId="0" xfId="0" applyNumberFormat="1" applyFont="1" applyAlignment="1">
      <alignment horizontal="center" vertical="center" wrapText="1"/>
    </xf>
    <xf numFmtId="2" fontId="29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 wrapText="1"/>
    </xf>
    <xf numFmtId="1" fontId="17" fillId="0" borderId="0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4" fillId="0" borderId="0" xfId="0" applyNumberFormat="1" applyFont="1"/>
    <xf numFmtId="0" fontId="11" fillId="0" borderId="0" xfId="0" applyFont="1" applyAlignment="1">
      <alignment horizontal="left"/>
    </xf>
    <xf numFmtId="4" fontId="11" fillId="0" borderId="0" xfId="0" applyNumberFormat="1" applyFont="1"/>
    <xf numFmtId="0" fontId="31" fillId="0" borderId="0" xfId="0" applyFont="1" applyAlignment="1">
      <alignment horizontal="center" vertical="center"/>
    </xf>
    <xf numFmtId="9" fontId="14" fillId="0" borderId="0" xfId="2" applyFont="1"/>
    <xf numFmtId="4" fontId="27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/>
    </xf>
    <xf numFmtId="164" fontId="27" fillId="2" borderId="1" xfId="0" applyNumberFormat="1" applyFont="1" applyFill="1" applyBorder="1"/>
    <xf numFmtId="164" fontId="11" fillId="2" borderId="1" xfId="0" applyNumberFormat="1" applyFont="1" applyFill="1" applyBorder="1"/>
    <xf numFmtId="10" fontId="27" fillId="2" borderId="1" xfId="2" applyNumberFormat="1" applyFont="1" applyFill="1" applyBorder="1"/>
    <xf numFmtId="1" fontId="12" fillId="11" borderId="1" xfId="0" applyNumberFormat="1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0" fontId="14" fillId="0" borderId="0" xfId="2" applyNumberFormat="1" applyFont="1"/>
    <xf numFmtId="1" fontId="28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5" fontId="27" fillId="0" borderId="1" xfId="1" applyNumberFormat="1" applyFont="1" applyFill="1" applyBorder="1" applyAlignment="1">
      <alignment horizontal="center" vertical="center"/>
    </xf>
    <xf numFmtId="165" fontId="19" fillId="0" borderId="1" xfId="1" applyNumberFormat="1" applyFont="1" applyFill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" fontId="33" fillId="0" borderId="0" xfId="0" applyNumberFormat="1" applyFont="1" applyAlignment="1">
      <alignment vertical="center" wrapText="1"/>
    </xf>
    <xf numFmtId="1" fontId="27" fillId="0" borderId="1" xfId="0" applyNumberFormat="1" applyFont="1" applyBorder="1"/>
    <xf numFmtId="1" fontId="27" fillId="0" borderId="1" xfId="2" applyNumberFormat="1" applyFont="1" applyFill="1" applyBorder="1"/>
    <xf numFmtId="1" fontId="11" fillId="0" borderId="1" xfId="0" applyNumberFormat="1" applyFont="1" applyBorder="1"/>
    <xf numFmtId="1" fontId="19" fillId="0" borderId="1" xfId="1" applyNumberFormat="1" applyFont="1" applyFill="1" applyBorder="1" applyAlignment="1">
      <alignment horizontal="right" vertical="center"/>
    </xf>
    <xf numFmtId="165" fontId="19" fillId="7" borderId="1" xfId="1" applyNumberFormat="1" applyFont="1" applyFill="1" applyBorder="1" applyAlignment="1">
      <alignment horizontal="center" vertical="center"/>
    </xf>
    <xf numFmtId="1" fontId="27" fillId="12" borderId="1" xfId="0" applyNumberFormat="1" applyFont="1" applyFill="1" applyBorder="1"/>
    <xf numFmtId="165" fontId="19" fillId="7" borderId="14" xfId="1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left" vertical="center"/>
    </xf>
    <xf numFmtId="1" fontId="12" fillId="11" borderId="2" xfId="0" applyNumberFormat="1" applyFont="1" applyFill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/>
    </xf>
    <xf numFmtId="0" fontId="35" fillId="3" borderId="8" xfId="0" applyFont="1" applyFill="1" applyBorder="1" applyAlignment="1">
      <alignment horizontal="center" vertical="center"/>
    </xf>
    <xf numFmtId="1" fontId="11" fillId="0" borderId="8" xfId="0" applyNumberFormat="1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2" fontId="11" fillId="0" borderId="8" xfId="1" applyNumberFormat="1" applyFont="1" applyFill="1" applyBorder="1" applyAlignment="1">
      <alignment horizontal="center" vertical="center"/>
    </xf>
    <xf numFmtId="165" fontId="27" fillId="7" borderId="1" xfId="0" applyNumberFormat="1" applyFont="1" applyFill="1" applyBorder="1"/>
    <xf numFmtId="166" fontId="17" fillId="0" borderId="4" xfId="0" applyNumberFormat="1" applyFont="1" applyBorder="1" applyAlignment="1">
      <alignment horizontal="center" vertical="center" wrapText="1"/>
    </xf>
    <xf numFmtId="166" fontId="17" fillId="0" borderId="13" xfId="0" applyNumberFormat="1" applyFont="1" applyBorder="1" applyAlignment="1">
      <alignment horizontal="center" vertical="center" wrapText="1"/>
    </xf>
    <xf numFmtId="164" fontId="17" fillId="0" borderId="5" xfId="0" applyNumberFormat="1" applyFont="1" applyBorder="1" applyAlignment="1">
      <alignment horizontal="center" vertical="center" wrapText="1"/>
    </xf>
    <xf numFmtId="164" fontId="17" fillId="0" borderId="11" xfId="0" applyNumberFormat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34" fillId="8" borderId="5" xfId="0" applyNumberFormat="1" applyFont="1" applyFill="1" applyBorder="1" applyAlignment="1">
      <alignment horizontal="center" vertical="center" wrapText="1"/>
    </xf>
    <xf numFmtId="1" fontId="34" fillId="8" borderId="11" xfId="0" applyNumberFormat="1" applyFont="1" applyFill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1" fontId="13" fillId="0" borderId="7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2" fontId="13" fillId="0" borderId="3" xfId="1" applyNumberFormat="1" applyFont="1" applyFill="1" applyBorder="1" applyAlignment="1">
      <alignment horizontal="center" vertical="center" wrapText="1"/>
    </xf>
    <xf numFmtId="2" fontId="13" fillId="0" borderId="0" xfId="1" applyNumberFormat="1" applyFont="1" applyFill="1" applyBorder="1" applyAlignment="1">
      <alignment horizontal="center" vertical="center" wrapText="1"/>
    </xf>
  </cellXfs>
  <cellStyles count="12">
    <cellStyle name="Обычный" xfId="0" builtinId="0"/>
    <cellStyle name="Обычный 2" xfId="7" xr:uid="{00000000-0005-0000-0000-000001000000}"/>
    <cellStyle name="Обычный 2 2" xfId="11" xr:uid="{00000000-0005-0000-0000-000002000000}"/>
    <cellStyle name="Обычный 3" xfId="3" xr:uid="{00000000-0005-0000-0000-000003000000}"/>
    <cellStyle name="Обычный 4" xfId="8" xr:uid="{00000000-0005-0000-0000-000004000000}"/>
    <cellStyle name="Обычный 5" xfId="9" xr:uid="{00000000-0005-0000-0000-000005000000}"/>
    <cellStyle name="Обычный 6" xfId="10" xr:uid="{00000000-0005-0000-0000-000006000000}"/>
    <cellStyle name="Процентный" xfId="2" builtinId="5"/>
    <cellStyle name="Процентный 2" xfId="4" xr:uid="{00000000-0005-0000-0000-000008000000}"/>
    <cellStyle name="Финансовый" xfId="1" builtinId="3"/>
    <cellStyle name="Финансовый 2" xfId="6" xr:uid="{00000000-0005-0000-0000-00000A000000}"/>
    <cellStyle name="Финансовый 3" xfId="5" xr:uid="{00000000-0005-0000-0000-00000B000000}"/>
  </cellStyles>
  <dxfs count="38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CCCCFF"/>
      <color rgb="FFFFCCFF"/>
      <color rgb="FF99FF99"/>
      <color rgb="FFFF9999"/>
      <color rgb="FFCCFFFF"/>
      <color rgb="FF00FFFF"/>
      <color rgb="FFDB17DB"/>
      <color rgb="FF704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">
    <pageSetUpPr fitToPage="1"/>
  </sheetPr>
  <dimension ref="A1:V41"/>
  <sheetViews>
    <sheetView tabSelected="1" zoomScale="55" zoomScaleNormal="55" zoomScaleSheetLayoutView="40" workbookViewId="0">
      <pane xSplit="6" ySplit="7" topLeftCell="G8" activePane="bottomRight" state="frozen"/>
      <selection pane="topRight" activeCell="G1" sqref="G1"/>
      <selection pane="bottomLeft" activeCell="A9" sqref="A9"/>
      <selection pane="bottomRight" activeCell="U12" sqref="U12"/>
    </sheetView>
  </sheetViews>
  <sheetFormatPr defaultColWidth="8.7109375" defaultRowHeight="21" x14ac:dyDescent="0.35"/>
  <cols>
    <col min="1" max="1" width="12" style="30" customWidth="1"/>
    <col min="2" max="2" width="25.7109375" style="4" customWidth="1"/>
    <col min="3" max="3" width="72.7109375" style="4" customWidth="1"/>
    <col min="4" max="4" width="26.7109375" style="4" customWidth="1"/>
    <col min="5" max="5" width="12.42578125" style="3" customWidth="1"/>
    <col min="6" max="6" width="12" style="2" customWidth="1"/>
    <col min="7" max="7" width="25.42578125" style="35" customWidth="1"/>
    <col min="8" max="8" width="19.42578125" style="106" customWidth="1"/>
    <col min="9" max="9" width="21.28515625" style="39" customWidth="1"/>
    <col min="10" max="10" width="20.28515625" style="106" customWidth="1"/>
    <col min="11" max="11" width="8.28515625" style="45" customWidth="1"/>
    <col min="12" max="12" width="22" style="4" hidden="1" customWidth="1"/>
    <col min="13" max="13" width="25.7109375" style="4" hidden="1" customWidth="1"/>
    <col min="14" max="14" width="20.42578125" style="4" hidden="1" customWidth="1"/>
    <col min="15" max="15" width="21" style="4" hidden="1" customWidth="1"/>
    <col min="16" max="16" width="22" style="4" hidden="1" customWidth="1"/>
    <col min="17" max="17" width="25.7109375" style="4" hidden="1" customWidth="1"/>
    <col min="18" max="18" width="20.42578125" style="4" hidden="1" customWidth="1"/>
    <col min="19" max="22" width="21.7109375" style="4" customWidth="1"/>
    <col min="23" max="16384" width="8.7109375" style="4"/>
  </cols>
  <sheetData>
    <row r="1" spans="1:22" ht="21.6" customHeight="1" x14ac:dyDescent="0.35">
      <c r="A1" s="18"/>
      <c r="B1" s="18"/>
      <c r="C1" s="117"/>
      <c r="D1" s="113"/>
      <c r="E1" s="118"/>
      <c r="F1" s="119"/>
      <c r="G1" s="113"/>
      <c r="H1" s="1"/>
      <c r="I1" s="1"/>
      <c r="J1" s="1"/>
    </row>
    <row r="2" spans="1:22" x14ac:dyDescent="0.35">
      <c r="A2" s="23"/>
      <c r="B2" s="23"/>
      <c r="C2" s="120"/>
      <c r="D2" s="120"/>
      <c r="E2" s="23"/>
      <c r="F2" s="149"/>
      <c r="G2" s="149"/>
      <c r="H2" s="149"/>
      <c r="I2" s="98"/>
      <c r="J2" s="98"/>
      <c r="L2" s="82"/>
      <c r="M2" s="86"/>
      <c r="N2" s="83"/>
      <c r="P2" s="82"/>
      <c r="Q2" s="86"/>
      <c r="R2" s="83"/>
    </row>
    <row r="3" spans="1:22" ht="23.25" x14ac:dyDescent="0.35">
      <c r="A3" s="6"/>
      <c r="B3" s="6"/>
      <c r="C3" s="47"/>
      <c r="D3" s="47"/>
      <c r="E3" s="23"/>
      <c r="F3" s="119"/>
      <c r="G3" s="114"/>
      <c r="H3" s="121"/>
      <c r="I3" s="16"/>
      <c r="J3" s="105"/>
      <c r="L3" s="88"/>
      <c r="N3" s="4">
        <v>321</v>
      </c>
      <c r="P3" s="88"/>
      <c r="R3" s="4">
        <v>321</v>
      </c>
    </row>
    <row r="4" spans="1:22" ht="21.75" thickBot="1" x14ac:dyDescent="0.4">
      <c r="A4" s="23"/>
      <c r="B4" s="23"/>
      <c r="C4" s="7"/>
      <c r="D4" s="7"/>
      <c r="E4" s="8"/>
      <c r="F4" s="9"/>
      <c r="G4" s="34"/>
      <c r="H4" s="1"/>
      <c r="I4" s="102"/>
      <c r="J4" s="1"/>
      <c r="N4" s="101" t="e">
        <f>N3-N7</f>
        <v>#REF!</v>
      </c>
      <c r="R4" s="104" t="e">
        <f>R3-R7</f>
        <v>#REF!</v>
      </c>
    </row>
    <row r="5" spans="1:22" ht="48" customHeight="1" x14ac:dyDescent="0.35">
      <c r="A5" s="152" t="s">
        <v>142</v>
      </c>
      <c r="B5" s="154" t="s">
        <v>6</v>
      </c>
      <c r="C5" s="156" t="s">
        <v>0</v>
      </c>
      <c r="D5" s="156" t="s">
        <v>101</v>
      </c>
      <c r="E5" s="156" t="s">
        <v>2</v>
      </c>
      <c r="F5" s="158" t="s">
        <v>1</v>
      </c>
      <c r="G5" s="150" t="s">
        <v>232</v>
      </c>
      <c r="H5" s="150" t="s">
        <v>233</v>
      </c>
      <c r="I5" s="150" t="s">
        <v>234</v>
      </c>
      <c r="J5" s="150" t="s">
        <v>235</v>
      </c>
      <c r="K5" s="96"/>
      <c r="L5" s="142" t="s">
        <v>220</v>
      </c>
      <c r="M5" s="138" t="s">
        <v>221</v>
      </c>
      <c r="N5" s="140" t="s">
        <v>100</v>
      </c>
      <c r="P5" s="142" t="s">
        <v>218</v>
      </c>
      <c r="Q5" s="138" t="s">
        <v>219</v>
      </c>
      <c r="R5" s="140" t="s">
        <v>100</v>
      </c>
    </row>
    <row r="6" spans="1:22" ht="139.9" customHeight="1" thickBot="1" x14ac:dyDescent="0.4">
      <c r="A6" s="153"/>
      <c r="B6" s="155"/>
      <c r="C6" s="157"/>
      <c r="D6" s="157"/>
      <c r="E6" s="157"/>
      <c r="F6" s="159"/>
      <c r="G6" s="151"/>
      <c r="H6" s="151"/>
      <c r="I6" s="151"/>
      <c r="J6" s="151"/>
      <c r="K6" s="94"/>
      <c r="L6" s="143"/>
      <c r="M6" s="139"/>
      <c r="N6" s="141"/>
      <c r="O6" s="4" t="s">
        <v>222</v>
      </c>
      <c r="P6" s="143"/>
      <c r="Q6" s="139"/>
      <c r="R6" s="141"/>
    </row>
    <row r="7" spans="1:22" customFormat="1" ht="42.6" customHeight="1" thickBot="1" x14ac:dyDescent="0.4">
      <c r="A7" s="56"/>
      <c r="B7" s="57"/>
      <c r="C7" s="57"/>
      <c r="D7" s="57"/>
      <c r="E7" s="57"/>
      <c r="F7" s="58"/>
      <c r="G7" s="59" t="s">
        <v>236</v>
      </c>
      <c r="H7" s="59" t="s">
        <v>236</v>
      </c>
      <c r="I7" s="59" t="s">
        <v>236</v>
      </c>
      <c r="J7" s="59" t="s">
        <v>236</v>
      </c>
      <c r="K7" s="95"/>
      <c r="L7" s="60" t="e">
        <f>#REF!+#REF!+#REF!+#REF!+#REF!+#REF!+#REF!+#REF!+#REF!+#REF!+#REF!+L19+#REF!+#REF!</f>
        <v>#REF!</v>
      </c>
      <c r="M7" s="81" t="e">
        <f>#REF!+#REF!+#REF!+#REF!+#REF!+#REF!+#REF!+#REF!+#REF!+#REF!+#REF!+M19+#REF!+#REF!</f>
        <v>#REF!</v>
      </c>
      <c r="N7" s="72" t="e">
        <f>M7/L7</f>
        <v>#REF!</v>
      </c>
      <c r="P7" s="60" t="e">
        <f>#REF!+#REF!+#REF!+#REF!+#REF!+#REF!+#REF!+#REF!+#REF!+#REF!+#REF!+P19+#REF!+#REF!</f>
        <v>#REF!</v>
      </c>
      <c r="Q7" s="81" t="e">
        <f>#REF!+#REF!+#REF!+#REF!+#REF!+#REF!+#REF!+#REF!+#REF!+#REF!+#REF!+Q19+#REF!+#REF!</f>
        <v>#REF!</v>
      </c>
      <c r="R7" s="72" t="e">
        <f>Q7/P7</f>
        <v>#REF!</v>
      </c>
    </row>
    <row r="8" spans="1:22" s="27" customFormat="1" ht="32.65" customHeight="1" x14ac:dyDescent="0.35">
      <c r="A8" s="10">
        <v>7512</v>
      </c>
      <c r="B8" s="12">
        <v>1001016997512</v>
      </c>
      <c r="C8" s="111" t="s">
        <v>230</v>
      </c>
      <c r="D8" s="110" t="s">
        <v>231</v>
      </c>
      <c r="E8" s="10" t="s">
        <v>7</v>
      </c>
      <c r="F8" s="14">
        <v>1</v>
      </c>
      <c r="G8" s="116">
        <v>50</v>
      </c>
      <c r="H8" s="116">
        <v>50</v>
      </c>
      <c r="I8" s="116">
        <v>50</v>
      </c>
      <c r="J8" s="123">
        <v>50</v>
      </c>
      <c r="K8" s="97"/>
      <c r="L8" s="46"/>
      <c r="M8" s="42"/>
      <c r="N8" s="41"/>
      <c r="O8" s="36"/>
      <c r="P8" s="46"/>
      <c r="Q8" s="42"/>
      <c r="R8" s="41"/>
      <c r="S8" s="103" t="str">
        <f>RIGHT(B8,4)&amp;" "&amp;C8</f>
        <v>7512 ЧАЙНАЯ Останкино вар н/о мгс 1*3</v>
      </c>
      <c r="T8" s="36"/>
      <c r="U8" s="112"/>
      <c r="V8" s="99"/>
    </row>
    <row r="9" spans="1:22" s="27" customFormat="1" ht="32.65" customHeight="1" x14ac:dyDescent="0.35">
      <c r="A9" s="10">
        <v>6764</v>
      </c>
      <c r="B9" s="12">
        <v>1001020846764</v>
      </c>
      <c r="C9" s="110" t="s">
        <v>27</v>
      </c>
      <c r="D9" s="110" t="s">
        <v>231</v>
      </c>
      <c r="E9" s="10" t="s">
        <v>7</v>
      </c>
      <c r="F9" s="14">
        <v>1</v>
      </c>
      <c r="G9" s="116">
        <v>40</v>
      </c>
      <c r="H9" s="122">
        <v>50</v>
      </c>
      <c r="I9" s="125">
        <v>50</v>
      </c>
      <c r="J9" s="123">
        <v>40</v>
      </c>
      <c r="K9" s="97"/>
      <c r="L9" s="46"/>
      <c r="M9" s="42"/>
      <c r="N9" s="41"/>
      <c r="O9" s="36"/>
      <c r="P9" s="46"/>
      <c r="Q9" s="42"/>
      <c r="R9" s="41"/>
      <c r="S9" s="103" t="str">
        <f t="shared" ref="S9:S10" si="0">RIGHT(B9,4)&amp;" "&amp;C9</f>
        <v>6764 СЛИВОЧНЫЕ сос ц/о мгс 1*4</v>
      </c>
      <c r="T9" s="36"/>
      <c r="U9" s="112"/>
      <c r="V9" s="99"/>
    </row>
    <row r="10" spans="1:22" s="27" customFormat="1" ht="32.65" customHeight="1" thickBot="1" x14ac:dyDescent="0.4">
      <c r="A10" s="61">
        <v>7224</v>
      </c>
      <c r="B10" s="62">
        <v>1002116517224</v>
      </c>
      <c r="C10" s="129" t="s">
        <v>223</v>
      </c>
      <c r="D10" s="130" t="s">
        <v>231</v>
      </c>
      <c r="E10" s="61" t="s">
        <v>8</v>
      </c>
      <c r="F10" s="50">
        <v>0.4</v>
      </c>
      <c r="G10" s="116">
        <v>60</v>
      </c>
      <c r="H10" s="122">
        <v>70</v>
      </c>
      <c r="I10" s="127">
        <v>70</v>
      </c>
      <c r="J10" s="123">
        <v>50</v>
      </c>
      <c r="K10" s="97"/>
      <c r="L10" s="46"/>
      <c r="M10" s="42"/>
      <c r="N10" s="41"/>
      <c r="O10" s="36"/>
      <c r="P10" s="46"/>
      <c r="Q10" s="42"/>
      <c r="R10" s="41"/>
      <c r="S10" s="103" t="str">
        <f t="shared" si="0"/>
        <v>7224 МЯСНЫЕ ПРЕМИУМ пельм кор.0.4кг зам. (7224)</v>
      </c>
      <c r="T10" s="36"/>
      <c r="U10" s="112"/>
      <c r="V10" s="99"/>
    </row>
    <row r="11" spans="1:22" s="27" customFormat="1" ht="32.65" customHeight="1" thickBot="1" x14ac:dyDescent="0.4">
      <c r="A11" s="144" t="s">
        <v>238</v>
      </c>
      <c r="B11" s="145"/>
      <c r="C11" s="145"/>
      <c r="D11" s="145"/>
      <c r="E11" s="145"/>
      <c r="F11" s="146"/>
      <c r="G11" s="128">
        <f>G8+G9+G10</f>
        <v>150</v>
      </c>
      <c r="H11" s="126">
        <f>H8+H9+H10</f>
        <v>170</v>
      </c>
      <c r="I11" s="126">
        <f>I8+I9+I10</f>
        <v>170</v>
      </c>
      <c r="J11" s="126">
        <f>J8+J9+J10</f>
        <v>140</v>
      </c>
      <c r="K11" s="97"/>
      <c r="L11" s="46"/>
      <c r="M11" s="42"/>
      <c r="N11" s="41"/>
      <c r="O11" s="36"/>
      <c r="P11" s="46"/>
      <c r="Q11" s="42"/>
      <c r="R11" s="41"/>
      <c r="S11" s="103"/>
      <c r="T11" s="36"/>
      <c r="U11" s="112"/>
      <c r="V11" s="99"/>
    </row>
    <row r="12" spans="1:22" s="27" customFormat="1" ht="176.65" customHeight="1" x14ac:dyDescent="0.35">
      <c r="A12" s="131"/>
      <c r="B12" s="132"/>
      <c r="C12" s="133" t="s">
        <v>237</v>
      </c>
      <c r="D12" s="134"/>
      <c r="E12" s="135"/>
      <c r="F12" s="136"/>
      <c r="G12" s="115"/>
      <c r="H12" s="122"/>
      <c r="I12" s="124"/>
      <c r="J12" s="123"/>
      <c r="K12" s="97"/>
      <c r="L12" s="46"/>
      <c r="M12" s="42"/>
      <c r="N12" s="41"/>
      <c r="O12" s="36"/>
      <c r="P12" s="46"/>
      <c r="Q12" s="42"/>
      <c r="R12" s="41"/>
      <c r="S12" s="103"/>
      <c r="T12" s="36"/>
      <c r="U12" s="112"/>
      <c r="V12" s="99"/>
    </row>
    <row r="13" spans="1:22" s="27" customFormat="1" ht="32.65" customHeight="1" x14ac:dyDescent="0.35">
      <c r="A13" s="10">
        <v>7085</v>
      </c>
      <c r="B13" s="12">
        <v>1002112607085</v>
      </c>
      <c r="C13" s="111" t="s">
        <v>224</v>
      </c>
      <c r="D13" s="110" t="s">
        <v>231</v>
      </c>
      <c r="E13" s="10" t="s">
        <v>8</v>
      </c>
      <c r="F13" s="14">
        <v>0.7</v>
      </c>
      <c r="G13" s="116">
        <v>50</v>
      </c>
      <c r="H13" s="116">
        <v>70</v>
      </c>
      <c r="I13" s="116">
        <v>70</v>
      </c>
      <c r="J13" s="116">
        <v>70</v>
      </c>
      <c r="K13" s="97"/>
      <c r="L13" s="46"/>
      <c r="M13" s="42"/>
      <c r="N13" s="41"/>
      <c r="O13" s="36"/>
      <c r="P13" s="46"/>
      <c r="Q13" s="42"/>
      <c r="R13" s="41"/>
      <c r="S13" s="103" t="str">
        <f t="shared" ref="S13:S18" si="1">RIGHT(B13,4)&amp;" "&amp;C13</f>
        <v>7085 ОСТАНКИНСКИЕ пельм пл. 0.7кг 10шт.зам.(7085)</v>
      </c>
      <c r="T13" s="36"/>
      <c r="U13" s="112"/>
      <c r="V13" s="99"/>
    </row>
    <row r="14" spans="1:22" s="27" customFormat="1" ht="32.65" customHeight="1" x14ac:dyDescent="0.35">
      <c r="A14" s="10">
        <v>6824</v>
      </c>
      <c r="B14" s="12">
        <v>1002112606824</v>
      </c>
      <c r="C14" s="111" t="s">
        <v>225</v>
      </c>
      <c r="D14" s="110" t="s">
        <v>231</v>
      </c>
      <c r="E14" s="10" t="s">
        <v>8</v>
      </c>
      <c r="F14" s="14">
        <v>0.5</v>
      </c>
      <c r="G14" s="116">
        <v>60</v>
      </c>
      <c r="H14" s="116">
        <v>50</v>
      </c>
      <c r="I14" s="116">
        <v>50</v>
      </c>
      <c r="J14" s="116">
        <v>50</v>
      </c>
      <c r="K14" s="97"/>
      <c r="L14" s="46"/>
      <c r="M14" s="42"/>
      <c r="N14" s="41"/>
      <c r="O14" s="36"/>
      <c r="P14" s="46"/>
      <c r="Q14" s="42"/>
      <c r="R14" s="41"/>
      <c r="S14" s="103" t="str">
        <f t="shared" si="1"/>
        <v>6824 ОСТАНКИНСКИЕ пельм кор.0.5кг зам_NEW (6824)</v>
      </c>
      <c r="T14" s="36"/>
      <c r="U14" s="112"/>
      <c r="V14" s="99"/>
    </row>
    <row r="15" spans="1:22" s="27" customFormat="1" ht="32.65" customHeight="1" x14ac:dyDescent="0.35">
      <c r="A15" s="10">
        <v>7212</v>
      </c>
      <c r="B15" s="12">
        <v>1002112857212</v>
      </c>
      <c r="C15" s="111" t="s">
        <v>226</v>
      </c>
      <c r="D15" s="110" t="s">
        <v>231</v>
      </c>
      <c r="E15" s="10" t="s">
        <v>8</v>
      </c>
      <c r="F15" s="14">
        <v>0.42</v>
      </c>
      <c r="G15" s="116">
        <v>60</v>
      </c>
      <c r="H15" s="116">
        <v>70</v>
      </c>
      <c r="I15" s="116">
        <v>70</v>
      </c>
      <c r="J15" s="116">
        <v>70</v>
      </c>
      <c r="K15" s="97"/>
      <c r="L15" s="46"/>
      <c r="M15" s="42"/>
      <c r="N15" s="41"/>
      <c r="O15" s="36"/>
      <c r="P15" s="46"/>
      <c r="Q15" s="42"/>
      <c r="R15" s="41"/>
      <c r="S15" s="103" t="str">
        <f t="shared" si="1"/>
        <v>7212 СОЧНЫЕ Папа Может пельм пл.0.42кг зам. (7212)</v>
      </c>
      <c r="T15" s="36"/>
      <c r="U15" s="112"/>
      <c r="V15" s="99"/>
    </row>
    <row r="16" spans="1:22" s="27" customFormat="1" ht="32.65" customHeight="1" x14ac:dyDescent="0.35">
      <c r="A16" s="10">
        <v>7214</v>
      </c>
      <c r="B16" s="12">
        <v>1002112857214</v>
      </c>
      <c r="C16" s="111" t="s">
        <v>227</v>
      </c>
      <c r="D16" s="110" t="s">
        <v>231</v>
      </c>
      <c r="E16" s="10" t="s">
        <v>8</v>
      </c>
      <c r="F16" s="14">
        <v>0.7</v>
      </c>
      <c r="G16" s="116">
        <v>50</v>
      </c>
      <c r="H16" s="116">
        <v>50</v>
      </c>
      <c r="I16" s="116">
        <v>50</v>
      </c>
      <c r="J16" s="116">
        <v>50</v>
      </c>
      <c r="K16" s="97"/>
      <c r="L16" s="46"/>
      <c r="M16" s="42"/>
      <c r="N16" s="41"/>
      <c r="O16" s="36"/>
      <c r="P16" s="46"/>
      <c r="Q16" s="42"/>
      <c r="R16" s="41"/>
      <c r="S16" s="103" t="str">
        <f t="shared" si="1"/>
        <v>7214 СОЧНЫЕ Папа Может пельм пл.0.7кг зам. (7214)</v>
      </c>
      <c r="T16" s="36"/>
      <c r="U16" s="112"/>
      <c r="V16" s="99"/>
    </row>
    <row r="17" spans="1:22" s="27" customFormat="1" ht="32.65" customHeight="1" x14ac:dyDescent="0.35">
      <c r="A17" s="10">
        <v>7375</v>
      </c>
      <c r="B17" s="12">
        <v>1002112857375</v>
      </c>
      <c r="C17" s="111" t="s">
        <v>228</v>
      </c>
      <c r="D17" s="110" t="s">
        <v>231</v>
      </c>
      <c r="E17" s="10" t="s">
        <v>7</v>
      </c>
      <c r="F17" s="14">
        <v>1</v>
      </c>
      <c r="G17" s="116">
        <v>40</v>
      </c>
      <c r="H17" s="116">
        <v>40</v>
      </c>
      <c r="I17" s="116">
        <v>40</v>
      </c>
      <c r="J17" s="116">
        <v>40</v>
      </c>
      <c r="K17" s="97"/>
      <c r="L17" s="46"/>
      <c r="M17" s="42"/>
      <c r="N17" s="41"/>
      <c r="O17" s="36"/>
      <c r="P17" s="46"/>
      <c r="Q17" s="42"/>
      <c r="R17" s="41"/>
      <c r="S17" s="103" t="str">
        <f t="shared" si="1"/>
        <v>7375 СОЧНЫЕ Папа Может пельм 4кг зам. (7375)</v>
      </c>
      <c r="T17" s="36"/>
      <c r="U17" s="112"/>
      <c r="V17" s="99"/>
    </row>
    <row r="18" spans="1:22" s="27" customFormat="1" ht="32.65" customHeight="1" x14ac:dyDescent="0.35">
      <c r="A18" s="10">
        <v>7049</v>
      </c>
      <c r="B18" s="12">
        <v>1002151787049</v>
      </c>
      <c r="C18" s="111" t="s">
        <v>229</v>
      </c>
      <c r="D18" s="110" t="s">
        <v>231</v>
      </c>
      <c r="E18" s="10" t="s">
        <v>8</v>
      </c>
      <c r="F18" s="14">
        <v>0.7</v>
      </c>
      <c r="G18" s="116">
        <v>60</v>
      </c>
      <c r="H18" s="116">
        <v>70</v>
      </c>
      <c r="I18" s="116">
        <v>70</v>
      </c>
      <c r="J18" s="116">
        <v>70</v>
      </c>
      <c r="K18" s="97"/>
      <c r="L18" s="46"/>
      <c r="M18" s="42"/>
      <c r="N18" s="41"/>
      <c r="O18" s="36"/>
      <c r="P18" s="46"/>
      <c r="Q18" s="42"/>
      <c r="R18" s="41"/>
      <c r="S18" s="103" t="str">
        <f t="shared" si="1"/>
        <v>7049 С КАРТОФ.И ГРИБ.вареники пл.0.42кг зам. (7049)</v>
      </c>
      <c r="T18" s="36"/>
      <c r="U18" s="112"/>
      <c r="V18" s="99"/>
    </row>
    <row r="19" spans="1:22" s="27" customFormat="1" ht="32.65" customHeight="1" thickBot="1" x14ac:dyDescent="0.4">
      <c r="A19" s="5"/>
      <c r="B19" s="11"/>
      <c r="C19" s="28" t="s">
        <v>211</v>
      </c>
      <c r="D19" s="28"/>
      <c r="E19" s="29"/>
      <c r="F19" s="15"/>
      <c r="G19" s="33"/>
      <c r="H19" s="107"/>
      <c r="I19" s="108"/>
      <c r="J19" s="109"/>
      <c r="K19" s="97"/>
      <c r="L19" s="40" t="e">
        <f>SUM(#REF!)</f>
        <v>#REF!</v>
      </c>
      <c r="M19" s="87" t="e">
        <f>SUM(#REF!)</f>
        <v>#REF!</v>
      </c>
      <c r="N19" s="48" t="e">
        <f>M19/L19</f>
        <v>#REF!</v>
      </c>
      <c r="O19" s="36" t="e">
        <f>#REF!*1.06</f>
        <v>#REF!</v>
      </c>
      <c r="P19" s="40" t="e">
        <f>SUM(#REF!)</f>
        <v>#REF!</v>
      </c>
      <c r="Q19" s="87" t="e">
        <f>SUM(#REF!)</f>
        <v>#REF!</v>
      </c>
      <c r="R19" s="48" t="e">
        <f>Q19/P19</f>
        <v>#REF!</v>
      </c>
      <c r="S19" s="103"/>
      <c r="T19" s="36"/>
      <c r="U19" s="112"/>
      <c r="V19" s="99"/>
    </row>
    <row r="20" spans="1:22" ht="36.6" customHeight="1" thickBot="1" x14ac:dyDescent="0.4">
      <c r="A20" s="147" t="s">
        <v>238</v>
      </c>
      <c r="B20" s="148"/>
      <c r="C20" s="148"/>
      <c r="D20" s="148"/>
      <c r="E20" s="148"/>
      <c r="F20" s="148"/>
      <c r="G20" s="137">
        <f>G13+G14+G15+G16+G17+G18</f>
        <v>320</v>
      </c>
      <c r="H20" s="137">
        <f t="shared" ref="H20:J20" si="2">H13+H14+H15+H16+H17+H18</f>
        <v>350</v>
      </c>
      <c r="I20" s="137">
        <f t="shared" si="2"/>
        <v>350</v>
      </c>
      <c r="J20" s="137">
        <f t="shared" si="2"/>
        <v>350</v>
      </c>
    </row>
    <row r="21" spans="1:22" x14ac:dyDescent="0.35">
      <c r="A21" s="17"/>
      <c r="G21" s="4"/>
      <c r="M21" s="44" t="e">
        <f>#REF!+#REF!+#REF!+#REF!+#REF!+#REF!+#REF!+#REF!+#REF!+#REF!+#REF!+M19+#REF!+#REF!</f>
        <v>#REF!</v>
      </c>
      <c r="N21" s="43"/>
      <c r="Q21" s="44" t="e">
        <f>#REF!+#REF!+#REF!+#REF!+#REF!+#REF!+#REF!+#REF!+#REF!+#REF!+#REF!+Q19+#REF!+#REF!</f>
        <v>#REF!</v>
      </c>
      <c r="R21" s="43"/>
    </row>
    <row r="22" spans="1:22" x14ac:dyDescent="0.35">
      <c r="A22" s="22"/>
      <c r="G22" s="4"/>
      <c r="M22" s="45" t="e">
        <f>M21/L7</f>
        <v>#REF!</v>
      </c>
      <c r="Q22" s="45" t="e">
        <f>Q21/P7</f>
        <v>#REF!</v>
      </c>
    </row>
    <row r="23" spans="1:22" x14ac:dyDescent="0.35">
      <c r="A23" s="22"/>
      <c r="G23" s="4"/>
    </row>
    <row r="24" spans="1:22" x14ac:dyDescent="0.35">
      <c r="A24" s="22"/>
      <c r="G24" s="4"/>
      <c r="K24" s="100"/>
    </row>
    <row r="25" spans="1:22" x14ac:dyDescent="0.35">
      <c r="A25" s="22"/>
      <c r="G25" s="4"/>
      <c r="K25" s="100"/>
    </row>
    <row r="26" spans="1:22" x14ac:dyDescent="0.35">
      <c r="A26" s="22"/>
      <c r="G26" s="4"/>
      <c r="K26" s="100"/>
    </row>
    <row r="27" spans="1:22" x14ac:dyDescent="0.35">
      <c r="A27" s="22"/>
      <c r="G27" s="4"/>
      <c r="K27" s="100"/>
    </row>
    <row r="28" spans="1:22" x14ac:dyDescent="0.35">
      <c r="G28" s="4"/>
    </row>
    <row r="29" spans="1:22" x14ac:dyDescent="0.35">
      <c r="G29" s="4"/>
    </row>
    <row r="30" spans="1:22" x14ac:dyDescent="0.35">
      <c r="G30" s="4"/>
    </row>
    <row r="31" spans="1:22" x14ac:dyDescent="0.35">
      <c r="G31" s="4"/>
    </row>
    <row r="32" spans="1:22" x14ac:dyDescent="0.35">
      <c r="G32" s="4"/>
    </row>
    <row r="33" spans="7:7" x14ac:dyDescent="0.35">
      <c r="G33" s="4"/>
    </row>
    <row r="34" spans="7:7" x14ac:dyDescent="0.35">
      <c r="G34" s="4"/>
    </row>
    <row r="35" spans="7:7" x14ac:dyDescent="0.35">
      <c r="G35" s="4"/>
    </row>
    <row r="36" spans="7:7" x14ac:dyDescent="0.35">
      <c r="G36" s="4"/>
    </row>
    <row r="37" spans="7:7" x14ac:dyDescent="0.35">
      <c r="G37" s="4"/>
    </row>
    <row r="38" spans="7:7" x14ac:dyDescent="0.35">
      <c r="G38" s="4"/>
    </row>
    <row r="39" spans="7:7" x14ac:dyDescent="0.35">
      <c r="G39" s="4"/>
    </row>
    <row r="40" spans="7:7" x14ac:dyDescent="0.35">
      <c r="G40" s="4"/>
    </row>
    <row r="41" spans="7:7" x14ac:dyDescent="0.35">
      <c r="G41" s="4"/>
    </row>
  </sheetData>
  <autoFilter ref="A7:AB20" xr:uid="{00000000-0009-0000-0000-000000000000}"/>
  <sortState xmlns:xlrd2="http://schemas.microsoft.com/office/spreadsheetml/2017/richdata2" ref="A7:AD30">
    <sortCondition ref="C9"/>
  </sortState>
  <mergeCells count="19">
    <mergeCell ref="A11:F11"/>
    <mergeCell ref="A20:F20"/>
    <mergeCell ref="F2:H2"/>
    <mergeCell ref="J5:J6"/>
    <mergeCell ref="L5:L6"/>
    <mergeCell ref="I5:I6"/>
    <mergeCell ref="A5:A6"/>
    <mergeCell ref="B5:B6"/>
    <mergeCell ref="C5:C6"/>
    <mergeCell ref="F5:F6"/>
    <mergeCell ref="E5:E6"/>
    <mergeCell ref="D5:D6"/>
    <mergeCell ref="H5:H6"/>
    <mergeCell ref="G5:G6"/>
    <mergeCell ref="M5:M6"/>
    <mergeCell ref="N5:N6"/>
    <mergeCell ref="P5:P6"/>
    <mergeCell ref="Q5:Q6"/>
    <mergeCell ref="R5:R6"/>
  </mergeCells>
  <conditionalFormatting sqref="A5">
    <cfRule type="duplicateValues" dxfId="388" priority="1018"/>
  </conditionalFormatting>
  <conditionalFormatting sqref="A5:A7">
    <cfRule type="duplicateValues" dxfId="387" priority="1015"/>
    <cfRule type="duplicateValues" dxfId="386" priority="1016"/>
    <cfRule type="duplicateValues" dxfId="385" priority="1017"/>
  </conditionalFormatting>
  <conditionalFormatting sqref="A10:A17">
    <cfRule type="duplicateValues" dxfId="384" priority="7"/>
    <cfRule type="duplicateValues" dxfId="383" priority="8"/>
    <cfRule type="duplicateValues" dxfId="382" priority="9"/>
    <cfRule type="duplicateValues" dxfId="381" priority="10"/>
  </conditionalFormatting>
  <conditionalFormatting sqref="A18">
    <cfRule type="duplicateValues" dxfId="380" priority="13325"/>
    <cfRule type="duplicateValues" dxfId="379" priority="13326"/>
    <cfRule type="duplicateValues" dxfId="378" priority="13327"/>
  </conditionalFormatting>
  <conditionalFormatting sqref="A19">
    <cfRule type="duplicateValues" dxfId="377" priority="272"/>
    <cfRule type="duplicateValues" dxfId="376" priority="273"/>
    <cfRule type="duplicateValues" dxfId="375" priority="274"/>
    <cfRule type="duplicateValues" dxfId="374" priority="275"/>
    <cfRule type="duplicateValues" dxfId="373" priority="276"/>
  </conditionalFormatting>
  <conditionalFormatting sqref="A20:A27">
    <cfRule type="duplicateValues" dxfId="372" priority="777"/>
  </conditionalFormatting>
  <conditionalFormatting sqref="A20:A1048576 A1:A7">
    <cfRule type="duplicateValues" dxfId="371" priority="775"/>
    <cfRule type="duplicateValues" dxfId="370" priority="776"/>
  </conditionalFormatting>
  <conditionalFormatting sqref="A28:A1048576 A1:A4">
    <cfRule type="duplicateValues" dxfId="369" priority="8865"/>
  </conditionalFormatting>
  <conditionalFormatting sqref="I19 I12">
    <cfRule type="cellIs" dxfId="368" priority="11" operator="greaterThan">
      <formula>0</formula>
    </cfRule>
    <cfRule type="cellIs" dxfId="367" priority="12" operator="lessThan">
      <formula>0</formula>
    </cfRule>
  </conditionalFormatting>
  <conditionalFormatting sqref="A9">
    <cfRule type="duplicateValues" dxfId="366" priority="13337"/>
    <cfRule type="duplicateValues" dxfId="365" priority="13338"/>
    <cfRule type="duplicateValues" dxfId="364" priority="13339"/>
  </conditionalFormatting>
  <conditionalFormatting sqref="A1:A4">
    <cfRule type="duplicateValues" dxfId="363" priority="13340"/>
  </conditionalFormatting>
  <conditionalFormatting sqref="A8">
    <cfRule type="duplicateValues" dxfId="362" priority="13341"/>
    <cfRule type="duplicateValues" dxfId="361" priority="13342"/>
    <cfRule type="duplicateValues" dxfId="360" priority="13343"/>
    <cfRule type="duplicateValues" dxfId="359" priority="13344"/>
    <cfRule type="duplicateValues" dxfId="358" priority="13345"/>
    <cfRule type="duplicateValues" dxfId="357" priority="13346"/>
    <cfRule type="duplicateValues" dxfId="356" priority="13347"/>
    <cfRule type="duplicateValues" dxfId="355" priority="13348"/>
    <cfRule type="duplicateValues" dxfId="354" priority="13349"/>
    <cfRule type="duplicateValues" dxfId="353" priority="13350"/>
    <cfRule type="duplicateValues" dxfId="352" priority="13351"/>
  </conditionalFormatting>
  <dataValidations count="1">
    <dataValidation type="textLength" operator="lessThanOrEqual" allowBlank="1" showInputMessage="1" showErrorMessage="1" sqref="C9" xr:uid="{00000000-0002-0000-0000-000000000000}">
      <formula1>40</formula1>
    </dataValidation>
  </dataValidations>
  <pageMargins left="0.7" right="0.7" top="0.75" bottom="0.75" header="0.3" footer="0.3"/>
  <pageSetup paperSize="9" scale="3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4"/>
  <sheetViews>
    <sheetView zoomScale="40" zoomScaleNormal="40" workbookViewId="0">
      <pane xSplit="6" ySplit="4" topLeftCell="G143" activePane="bottomRight" state="frozen"/>
      <selection pane="topRight" activeCell="G1" sqref="G1"/>
      <selection pane="bottomLeft" activeCell="A5" sqref="A5"/>
      <selection pane="bottomRight" activeCell="A153" sqref="A153:XFD153"/>
    </sheetView>
  </sheetViews>
  <sheetFormatPr defaultRowHeight="15" x14ac:dyDescent="0.25"/>
  <cols>
    <col min="2" max="2" width="22.28515625" hidden="1" customWidth="1"/>
    <col min="3" max="3" width="73.5703125" bestFit="1" customWidth="1"/>
    <col min="4" max="4" width="27.5703125" bestFit="1" customWidth="1"/>
    <col min="7" max="28" width="17.7109375" customWidth="1"/>
  </cols>
  <sheetData>
    <row r="1" spans="1:26" ht="15.75" thickBot="1" x14ac:dyDescent="0.3"/>
    <row r="2" spans="1:26" ht="21" x14ac:dyDescent="0.35">
      <c r="A2" s="152" t="s">
        <v>142</v>
      </c>
      <c r="B2" s="154" t="s">
        <v>6</v>
      </c>
      <c r="C2" s="156" t="s">
        <v>0</v>
      </c>
      <c r="D2" s="156" t="s">
        <v>101</v>
      </c>
      <c r="E2" s="156" t="s">
        <v>2</v>
      </c>
      <c r="F2" s="158" t="s">
        <v>1</v>
      </c>
      <c r="G2" s="75">
        <v>27</v>
      </c>
      <c r="H2" s="75">
        <v>28</v>
      </c>
      <c r="I2" s="75">
        <v>29</v>
      </c>
      <c r="J2" s="75">
        <v>30</v>
      </c>
      <c r="K2" s="75" t="s">
        <v>198</v>
      </c>
      <c r="L2" s="75" t="s">
        <v>199</v>
      </c>
      <c r="M2" s="75">
        <v>31</v>
      </c>
      <c r="N2" s="75">
        <v>32</v>
      </c>
      <c r="O2" s="75">
        <v>33</v>
      </c>
      <c r="P2" s="75">
        <v>34</v>
      </c>
      <c r="Q2" s="75" t="s">
        <v>215</v>
      </c>
      <c r="R2" s="75" t="s">
        <v>217</v>
      </c>
      <c r="S2" s="75"/>
      <c r="T2" s="75"/>
      <c r="U2" s="75"/>
      <c r="V2" s="75"/>
      <c r="W2" s="76"/>
      <c r="X2" s="76"/>
      <c r="Y2" s="76"/>
      <c r="Z2" s="76"/>
    </row>
    <row r="3" spans="1:26" ht="21.75" thickBot="1" x14ac:dyDescent="0.4">
      <c r="A3" s="153"/>
      <c r="B3" s="155"/>
      <c r="C3" s="157"/>
      <c r="D3" s="157"/>
      <c r="E3" s="157"/>
      <c r="F3" s="159"/>
      <c r="G3" s="75" t="s">
        <v>200</v>
      </c>
      <c r="H3" s="75" t="s">
        <v>201</v>
      </c>
      <c r="I3" s="75" t="s">
        <v>202</v>
      </c>
      <c r="J3" s="75" t="s">
        <v>203</v>
      </c>
      <c r="K3" s="75" t="s">
        <v>204</v>
      </c>
      <c r="L3" s="75"/>
      <c r="M3" s="75"/>
      <c r="N3" s="75"/>
      <c r="O3" s="75"/>
      <c r="P3" s="75"/>
      <c r="Q3" s="75" t="s">
        <v>216</v>
      </c>
      <c r="R3" s="75"/>
      <c r="S3" s="75"/>
      <c r="T3" s="75"/>
      <c r="U3" s="75"/>
      <c r="V3" s="75"/>
      <c r="W3" s="76"/>
      <c r="X3" s="76"/>
      <c r="Y3" s="76"/>
      <c r="Z3" s="76"/>
    </row>
    <row r="4" spans="1:26" ht="24" thickBot="1" x14ac:dyDescent="0.4">
      <c r="A4" s="56"/>
      <c r="B4" s="57"/>
      <c r="C4" s="57"/>
      <c r="D4" s="57"/>
      <c r="E4" s="57"/>
      <c r="F4" s="58"/>
      <c r="G4" s="75">
        <f t="shared" ref="G4:Z4" si="0">SUM(G6:G183)</f>
        <v>12476</v>
      </c>
      <c r="H4" s="75">
        <f t="shared" si="0"/>
        <v>21619</v>
      </c>
      <c r="I4" s="75">
        <f t="shared" si="0"/>
        <v>20191</v>
      </c>
      <c r="J4" s="75">
        <f t="shared" si="0"/>
        <v>7959</v>
      </c>
      <c r="K4" s="77">
        <f t="shared" si="0"/>
        <v>15575</v>
      </c>
      <c r="L4" s="77">
        <f t="shared" si="0"/>
        <v>15945</v>
      </c>
      <c r="M4" s="75">
        <f t="shared" si="0"/>
        <v>40833</v>
      </c>
      <c r="N4" s="75">
        <f t="shared" si="0"/>
        <v>12326</v>
      </c>
      <c r="O4" s="75">
        <f t="shared" si="0"/>
        <v>17817</v>
      </c>
      <c r="P4" s="75">
        <f t="shared" si="0"/>
        <v>12910</v>
      </c>
      <c r="Q4" s="75">
        <f t="shared" si="0"/>
        <v>18408.55</v>
      </c>
      <c r="R4" s="75">
        <f t="shared" si="0"/>
        <v>18436</v>
      </c>
      <c r="S4" s="75">
        <f t="shared" si="0"/>
        <v>0</v>
      </c>
      <c r="T4" s="75">
        <f t="shared" si="0"/>
        <v>0</v>
      </c>
      <c r="U4" s="75">
        <f t="shared" si="0"/>
        <v>0</v>
      </c>
      <c r="V4" s="75">
        <f t="shared" si="0"/>
        <v>0</v>
      </c>
      <c r="W4" s="75">
        <f t="shared" si="0"/>
        <v>0</v>
      </c>
      <c r="X4" s="75">
        <f t="shared" si="0"/>
        <v>0</v>
      </c>
      <c r="Y4" s="75">
        <f t="shared" si="0"/>
        <v>0</v>
      </c>
      <c r="Z4" s="75">
        <f t="shared" si="0"/>
        <v>0</v>
      </c>
    </row>
    <row r="5" spans="1:26" ht="26.25" x14ac:dyDescent="0.35">
      <c r="A5" s="51"/>
      <c r="B5" s="52"/>
      <c r="C5" s="53" t="s">
        <v>3</v>
      </c>
      <c r="D5" s="53"/>
      <c r="E5" s="54"/>
      <c r="F5" s="55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9"/>
      <c r="X5" s="79"/>
      <c r="Y5" s="79"/>
      <c r="Z5" s="79"/>
    </row>
    <row r="6" spans="1:26" ht="21" x14ac:dyDescent="0.35">
      <c r="A6" s="10">
        <v>7523</v>
      </c>
      <c r="B6" s="19">
        <v>1001012427523</v>
      </c>
      <c r="C6" s="13" t="s">
        <v>148</v>
      </c>
      <c r="D6" s="64" t="s">
        <v>169</v>
      </c>
      <c r="E6" s="20" t="s">
        <v>8</v>
      </c>
      <c r="F6" s="21">
        <v>0.4</v>
      </c>
      <c r="G6" s="78">
        <v>82</v>
      </c>
      <c r="H6" s="78">
        <v>58</v>
      </c>
      <c r="I6" s="78">
        <v>190</v>
      </c>
      <c r="J6" s="78">
        <v>2</v>
      </c>
      <c r="K6" s="80">
        <f>AVERAGE(G6:J6)</f>
        <v>83</v>
      </c>
      <c r="L6" s="80">
        <f>K6/2/F6</f>
        <v>104</v>
      </c>
      <c r="M6" s="78">
        <v>180</v>
      </c>
      <c r="N6" s="78">
        <v>89</v>
      </c>
      <c r="O6" s="78">
        <v>118</v>
      </c>
      <c r="P6" s="78">
        <v>113</v>
      </c>
      <c r="Q6" s="78">
        <f>AVERAGE(M6:P6,J6)</f>
        <v>100.4</v>
      </c>
      <c r="R6" s="80">
        <f>Q6/2/F6</f>
        <v>126</v>
      </c>
      <c r="S6" s="78"/>
      <c r="T6" s="78"/>
      <c r="U6" s="78"/>
      <c r="V6" s="78"/>
      <c r="W6" s="79"/>
      <c r="X6" s="79"/>
      <c r="Y6" s="79"/>
      <c r="Z6" s="79"/>
    </row>
    <row r="7" spans="1:26" ht="21" x14ac:dyDescent="0.35">
      <c r="A7" s="10">
        <v>6220</v>
      </c>
      <c r="B7" s="19">
        <v>1001012426220</v>
      </c>
      <c r="C7" s="13" t="s">
        <v>113</v>
      </c>
      <c r="D7" s="13"/>
      <c r="E7" s="20" t="s">
        <v>7</v>
      </c>
      <c r="F7" s="21">
        <v>1</v>
      </c>
      <c r="G7" s="78">
        <v>12</v>
      </c>
      <c r="H7" s="78">
        <v>454</v>
      </c>
      <c r="I7" s="78">
        <v>512</v>
      </c>
      <c r="J7" s="78">
        <v>163</v>
      </c>
      <c r="K7" s="80">
        <f t="shared" ref="K7:K71" si="1">AVERAGE(G7:J7)</f>
        <v>285</v>
      </c>
      <c r="L7" s="80">
        <f t="shared" ref="L7:L73" si="2">K7/2/F7</f>
        <v>143</v>
      </c>
      <c r="M7" s="78">
        <v>759</v>
      </c>
      <c r="N7" s="78">
        <v>292</v>
      </c>
      <c r="O7" s="78">
        <v>482</v>
      </c>
      <c r="P7" s="78">
        <v>355</v>
      </c>
      <c r="Q7" s="78">
        <f t="shared" ref="Q7:Q70" si="3">AVERAGE(M7:P7,J7)</f>
        <v>410.2</v>
      </c>
      <c r="R7" s="80">
        <f t="shared" ref="R7:R70" si="4">Q7/2/F7</f>
        <v>205</v>
      </c>
      <c r="S7" s="78"/>
      <c r="T7" s="78"/>
      <c r="U7" s="78"/>
      <c r="V7" s="78"/>
      <c r="W7" s="79"/>
      <c r="X7" s="79"/>
      <c r="Y7" s="79"/>
      <c r="Z7" s="79"/>
    </row>
    <row r="8" spans="1:26" ht="21" x14ac:dyDescent="0.35">
      <c r="A8" s="10">
        <v>7539</v>
      </c>
      <c r="B8" s="12">
        <v>1001010017539</v>
      </c>
      <c r="C8" s="13" t="s">
        <v>149</v>
      </c>
      <c r="D8" s="64" t="s">
        <v>170</v>
      </c>
      <c r="E8" s="10" t="s">
        <v>8</v>
      </c>
      <c r="F8" s="14">
        <v>0.35</v>
      </c>
      <c r="G8" s="78">
        <v>17</v>
      </c>
      <c r="H8" s="78">
        <v>28</v>
      </c>
      <c r="I8" s="78">
        <v>0</v>
      </c>
      <c r="J8" s="78">
        <v>6</v>
      </c>
      <c r="K8" s="80">
        <f t="shared" si="1"/>
        <v>13</v>
      </c>
      <c r="L8" s="80">
        <f t="shared" si="2"/>
        <v>19</v>
      </c>
      <c r="M8" s="78">
        <v>87</v>
      </c>
      <c r="N8" s="78">
        <v>8</v>
      </c>
      <c r="O8" s="78">
        <v>50</v>
      </c>
      <c r="P8" s="78">
        <v>0</v>
      </c>
      <c r="Q8" s="78">
        <f t="shared" si="3"/>
        <v>30.2</v>
      </c>
      <c r="R8" s="80">
        <f t="shared" si="4"/>
        <v>43</v>
      </c>
      <c r="S8" s="78"/>
      <c r="T8" s="78"/>
      <c r="U8" s="78"/>
      <c r="V8" s="78"/>
      <c r="W8" s="79"/>
      <c r="X8" s="79"/>
      <c r="Y8" s="79"/>
      <c r="Z8" s="79"/>
    </row>
    <row r="9" spans="1:26" ht="21" x14ac:dyDescent="0.35">
      <c r="A9" s="10">
        <v>7536</v>
      </c>
      <c r="B9" s="31">
        <v>1001010017536</v>
      </c>
      <c r="C9" s="32" t="s">
        <v>152</v>
      </c>
      <c r="D9" s="64" t="s">
        <v>171</v>
      </c>
      <c r="E9" s="10" t="s">
        <v>7</v>
      </c>
      <c r="F9" s="14">
        <v>1</v>
      </c>
      <c r="G9" s="78"/>
      <c r="H9" s="78"/>
      <c r="I9" s="78"/>
      <c r="J9" s="78"/>
      <c r="K9" s="80"/>
      <c r="L9" s="80">
        <f t="shared" si="2"/>
        <v>0</v>
      </c>
      <c r="M9" s="78">
        <v>0</v>
      </c>
      <c r="N9" s="78">
        <v>0</v>
      </c>
      <c r="O9" s="78">
        <v>0</v>
      </c>
      <c r="P9" s="78">
        <v>20</v>
      </c>
      <c r="Q9" s="78">
        <f t="shared" si="3"/>
        <v>5</v>
      </c>
      <c r="R9" s="80">
        <f t="shared" si="4"/>
        <v>3</v>
      </c>
      <c r="S9" s="78"/>
      <c r="T9" s="78"/>
      <c r="U9" s="78"/>
      <c r="V9" s="78"/>
      <c r="W9" s="79"/>
      <c r="X9" s="79"/>
      <c r="Y9" s="79"/>
      <c r="Z9" s="79"/>
    </row>
    <row r="10" spans="1:26" ht="21" x14ac:dyDescent="0.35">
      <c r="A10" s="10">
        <v>6861</v>
      </c>
      <c r="B10" s="12">
        <v>1001015646861</v>
      </c>
      <c r="C10" s="13" t="s">
        <v>26</v>
      </c>
      <c r="D10" s="13"/>
      <c r="E10" s="10" t="s">
        <v>7</v>
      </c>
      <c r="F10" s="14">
        <v>1</v>
      </c>
      <c r="G10" s="78">
        <v>0</v>
      </c>
      <c r="H10" s="78">
        <v>39</v>
      </c>
      <c r="I10" s="78">
        <v>4</v>
      </c>
      <c r="J10" s="78">
        <v>27</v>
      </c>
      <c r="K10" s="80">
        <f t="shared" si="1"/>
        <v>18</v>
      </c>
      <c r="L10" s="80">
        <f t="shared" si="2"/>
        <v>9</v>
      </c>
      <c r="M10" s="78">
        <v>19</v>
      </c>
      <c r="N10" s="78">
        <v>8</v>
      </c>
      <c r="O10" s="78">
        <v>20</v>
      </c>
      <c r="P10" s="78">
        <v>35</v>
      </c>
      <c r="Q10" s="78">
        <f t="shared" si="3"/>
        <v>21.8</v>
      </c>
      <c r="R10" s="80">
        <f t="shared" si="4"/>
        <v>11</v>
      </c>
      <c r="S10" s="78"/>
      <c r="T10" s="78"/>
      <c r="U10" s="78"/>
      <c r="V10" s="78"/>
      <c r="W10" s="79"/>
      <c r="X10" s="79"/>
      <c r="Y10" s="79"/>
      <c r="Z10" s="79"/>
    </row>
    <row r="11" spans="1:26" ht="21" x14ac:dyDescent="0.35">
      <c r="A11" s="10">
        <v>6862</v>
      </c>
      <c r="B11" s="12">
        <v>1001015706862</v>
      </c>
      <c r="C11" s="13" t="s">
        <v>29</v>
      </c>
      <c r="D11" s="13"/>
      <c r="E11" s="10" t="s">
        <v>7</v>
      </c>
      <c r="F11" s="14">
        <v>1</v>
      </c>
      <c r="G11" s="78"/>
      <c r="H11" s="78"/>
      <c r="I11" s="78"/>
      <c r="J11" s="78"/>
      <c r="K11" s="80"/>
      <c r="L11" s="80">
        <f t="shared" si="2"/>
        <v>0</v>
      </c>
      <c r="M11" s="78">
        <v>0</v>
      </c>
      <c r="N11" s="78">
        <v>0</v>
      </c>
      <c r="O11" s="78">
        <v>0</v>
      </c>
      <c r="P11" s="78">
        <v>0</v>
      </c>
      <c r="Q11" s="78">
        <f t="shared" si="3"/>
        <v>0</v>
      </c>
      <c r="R11" s="80">
        <f t="shared" si="4"/>
        <v>0</v>
      </c>
      <c r="S11" s="78"/>
      <c r="T11" s="78"/>
      <c r="U11" s="78"/>
      <c r="V11" s="78"/>
      <c r="W11" s="79"/>
      <c r="X11" s="79"/>
      <c r="Y11" s="79"/>
      <c r="Z11" s="79"/>
    </row>
    <row r="12" spans="1:26" ht="21" x14ac:dyDescent="0.35">
      <c r="A12" s="10">
        <v>6498</v>
      </c>
      <c r="B12" s="12">
        <v>1001012456498</v>
      </c>
      <c r="C12" s="13" t="s">
        <v>31</v>
      </c>
      <c r="D12" s="13"/>
      <c r="E12" s="10" t="s">
        <v>7</v>
      </c>
      <c r="F12" s="14">
        <v>1</v>
      </c>
      <c r="G12" s="78">
        <v>255</v>
      </c>
      <c r="H12" s="78">
        <v>590</v>
      </c>
      <c r="I12" s="78">
        <v>0</v>
      </c>
      <c r="J12" s="78">
        <v>250</v>
      </c>
      <c r="K12" s="80">
        <f t="shared" si="1"/>
        <v>274</v>
      </c>
      <c r="L12" s="80">
        <f t="shared" si="2"/>
        <v>137</v>
      </c>
      <c r="M12" s="78">
        <v>891</v>
      </c>
      <c r="N12" s="78">
        <v>112</v>
      </c>
      <c r="O12" s="78">
        <v>40</v>
      </c>
      <c r="P12" s="78">
        <v>297</v>
      </c>
      <c r="Q12" s="78">
        <f t="shared" si="3"/>
        <v>318</v>
      </c>
      <c r="R12" s="80">
        <f t="shared" si="4"/>
        <v>159</v>
      </c>
      <c r="S12" s="78"/>
      <c r="T12" s="78"/>
      <c r="U12" s="78"/>
      <c r="V12" s="78"/>
      <c r="W12" s="79"/>
      <c r="X12" s="79"/>
      <c r="Y12" s="79"/>
      <c r="Z12" s="79"/>
    </row>
    <row r="13" spans="1:26" ht="21" x14ac:dyDescent="0.35">
      <c r="A13" s="10">
        <v>4063</v>
      </c>
      <c r="B13" s="12">
        <v>1001012484063</v>
      </c>
      <c r="C13" s="13" t="s">
        <v>40</v>
      </c>
      <c r="D13" s="13"/>
      <c r="E13" s="10" t="s">
        <v>7</v>
      </c>
      <c r="F13" s="14">
        <v>1</v>
      </c>
      <c r="G13" s="78">
        <v>312</v>
      </c>
      <c r="H13" s="78">
        <v>1548</v>
      </c>
      <c r="I13" s="78">
        <v>1531</v>
      </c>
      <c r="J13" s="78">
        <v>605</v>
      </c>
      <c r="K13" s="80">
        <f t="shared" si="1"/>
        <v>999</v>
      </c>
      <c r="L13" s="80">
        <f t="shared" si="2"/>
        <v>500</v>
      </c>
      <c r="M13" s="78">
        <v>3325</v>
      </c>
      <c r="N13" s="78">
        <v>246</v>
      </c>
      <c r="O13" s="78">
        <v>1025</v>
      </c>
      <c r="P13" s="78">
        <v>1552</v>
      </c>
      <c r="Q13" s="78">
        <f t="shared" si="3"/>
        <v>1350.6</v>
      </c>
      <c r="R13" s="80">
        <f t="shared" si="4"/>
        <v>675</v>
      </c>
      <c r="S13" s="78"/>
      <c r="T13" s="78"/>
      <c r="U13" s="78"/>
      <c r="V13" s="78"/>
      <c r="W13" s="79"/>
      <c r="X13" s="79"/>
      <c r="Y13" s="79"/>
      <c r="Z13" s="79"/>
    </row>
    <row r="14" spans="1:26" ht="21" x14ac:dyDescent="0.35">
      <c r="A14" s="10">
        <v>6333</v>
      </c>
      <c r="B14" s="12">
        <v>1001012486333</v>
      </c>
      <c r="C14" s="13" t="s">
        <v>35</v>
      </c>
      <c r="D14" s="13"/>
      <c r="E14" s="10" t="s">
        <v>8</v>
      </c>
      <c r="F14" s="14">
        <v>0.4</v>
      </c>
      <c r="G14" s="78">
        <v>301</v>
      </c>
      <c r="H14" s="78">
        <v>627</v>
      </c>
      <c r="I14" s="78">
        <v>736</v>
      </c>
      <c r="J14" s="78">
        <v>512</v>
      </c>
      <c r="K14" s="80">
        <f t="shared" si="1"/>
        <v>544</v>
      </c>
      <c r="L14" s="80">
        <f t="shared" si="2"/>
        <v>680</v>
      </c>
      <c r="M14" s="78">
        <v>746</v>
      </c>
      <c r="N14" s="78">
        <v>858</v>
      </c>
      <c r="O14" s="78">
        <v>259</v>
      </c>
      <c r="P14" s="78">
        <v>288</v>
      </c>
      <c r="Q14" s="78">
        <f t="shared" si="3"/>
        <v>532.6</v>
      </c>
      <c r="R14" s="80">
        <f t="shared" si="4"/>
        <v>666</v>
      </c>
      <c r="S14" s="78"/>
      <c r="T14" s="78"/>
      <c r="U14" s="78"/>
      <c r="V14" s="78"/>
      <c r="W14" s="79"/>
      <c r="X14" s="79"/>
      <c r="Y14" s="79"/>
      <c r="Z14" s="79"/>
    </row>
    <row r="15" spans="1:26" ht="21" x14ac:dyDescent="0.35">
      <c r="A15" s="10">
        <v>4574</v>
      </c>
      <c r="B15" s="12">
        <v>1001012634574</v>
      </c>
      <c r="C15" s="13" t="s">
        <v>34</v>
      </c>
      <c r="D15" s="13"/>
      <c r="E15" s="10" t="s">
        <v>7</v>
      </c>
      <c r="F15" s="14">
        <v>1</v>
      </c>
      <c r="G15" s="78">
        <v>49</v>
      </c>
      <c r="H15" s="78">
        <v>206</v>
      </c>
      <c r="I15" s="78">
        <v>52</v>
      </c>
      <c r="J15" s="78">
        <v>0</v>
      </c>
      <c r="K15" s="80">
        <f t="shared" si="1"/>
        <v>77</v>
      </c>
      <c r="L15" s="80">
        <f t="shared" si="2"/>
        <v>39</v>
      </c>
      <c r="M15" s="78">
        <v>170</v>
      </c>
      <c r="N15" s="78">
        <v>102</v>
      </c>
      <c r="O15" s="78">
        <v>260</v>
      </c>
      <c r="P15" s="78">
        <v>0</v>
      </c>
      <c r="Q15" s="78">
        <f t="shared" si="3"/>
        <v>106.4</v>
      </c>
      <c r="R15" s="80">
        <f t="shared" si="4"/>
        <v>53</v>
      </c>
      <c r="S15" s="78"/>
      <c r="T15" s="78"/>
      <c r="U15" s="78"/>
      <c r="V15" s="78"/>
      <c r="W15" s="79"/>
      <c r="X15" s="79"/>
      <c r="Y15" s="79"/>
      <c r="Z15" s="79"/>
    </row>
    <row r="16" spans="1:26" ht="21" x14ac:dyDescent="0.35">
      <c r="A16" s="10">
        <v>7334</v>
      </c>
      <c r="B16" s="12">
        <v>1001012637334</v>
      </c>
      <c r="C16" s="13" t="s">
        <v>117</v>
      </c>
      <c r="D16" s="13"/>
      <c r="E16" s="10" t="s">
        <v>8</v>
      </c>
      <c r="F16" s="14">
        <v>0.4</v>
      </c>
      <c r="G16" s="78"/>
      <c r="H16" s="78"/>
      <c r="I16" s="78"/>
      <c r="J16" s="78"/>
      <c r="K16" s="80"/>
      <c r="L16" s="80">
        <f t="shared" si="2"/>
        <v>0</v>
      </c>
      <c r="M16" s="78">
        <v>0</v>
      </c>
      <c r="N16" s="78">
        <v>0</v>
      </c>
      <c r="O16" s="78">
        <v>0</v>
      </c>
      <c r="P16" s="78">
        <v>0</v>
      </c>
      <c r="Q16" s="78">
        <f t="shared" si="3"/>
        <v>0</v>
      </c>
      <c r="R16" s="80">
        <f t="shared" si="4"/>
        <v>0</v>
      </c>
      <c r="S16" s="78"/>
      <c r="T16" s="78"/>
      <c r="U16" s="78"/>
      <c r="V16" s="78"/>
      <c r="W16" s="79"/>
      <c r="X16" s="79"/>
      <c r="Y16" s="79"/>
      <c r="Z16" s="79"/>
    </row>
    <row r="17" spans="1:26" ht="21" x14ac:dyDescent="0.35">
      <c r="A17" s="10">
        <v>4813</v>
      </c>
      <c r="B17" s="12">
        <v>1001012564813</v>
      </c>
      <c r="C17" s="13" t="s">
        <v>46</v>
      </c>
      <c r="D17" s="13"/>
      <c r="E17" s="10" t="s">
        <v>7</v>
      </c>
      <c r="F17" s="14">
        <v>1</v>
      </c>
      <c r="G17" s="78">
        <v>316</v>
      </c>
      <c r="H17" s="78">
        <v>827</v>
      </c>
      <c r="I17" s="78">
        <v>679</v>
      </c>
      <c r="J17" s="78">
        <v>701</v>
      </c>
      <c r="K17" s="80">
        <f t="shared" si="1"/>
        <v>631</v>
      </c>
      <c r="L17" s="80">
        <f t="shared" si="2"/>
        <v>316</v>
      </c>
      <c r="M17" s="78">
        <v>1344</v>
      </c>
      <c r="N17" s="78">
        <v>162</v>
      </c>
      <c r="O17" s="78">
        <v>866</v>
      </c>
      <c r="P17" s="78">
        <v>470</v>
      </c>
      <c r="Q17" s="78">
        <f t="shared" si="3"/>
        <v>708.6</v>
      </c>
      <c r="R17" s="80">
        <f t="shared" si="4"/>
        <v>354</v>
      </c>
      <c r="S17" s="78"/>
      <c r="T17" s="78"/>
      <c r="U17" s="78"/>
      <c r="V17" s="78"/>
      <c r="W17" s="79"/>
      <c r="X17" s="79"/>
      <c r="Y17" s="79"/>
      <c r="Z17" s="79"/>
    </row>
    <row r="18" spans="1:26" ht="21" x14ac:dyDescent="0.35">
      <c r="A18" s="10">
        <v>6392</v>
      </c>
      <c r="B18" s="12">
        <v>1001012566392</v>
      </c>
      <c r="C18" s="13" t="s">
        <v>20</v>
      </c>
      <c r="D18" s="13"/>
      <c r="E18" s="10" t="s">
        <v>8</v>
      </c>
      <c r="F18" s="14">
        <v>0.4</v>
      </c>
      <c r="G18" s="78">
        <v>326</v>
      </c>
      <c r="H18" s="78">
        <v>768</v>
      </c>
      <c r="I18" s="78">
        <v>653</v>
      </c>
      <c r="J18" s="78">
        <v>0</v>
      </c>
      <c r="K18" s="80">
        <f t="shared" si="1"/>
        <v>437</v>
      </c>
      <c r="L18" s="80">
        <f t="shared" si="2"/>
        <v>546</v>
      </c>
      <c r="M18" s="78">
        <v>1040</v>
      </c>
      <c r="N18" s="78">
        <v>598</v>
      </c>
      <c r="O18" s="78">
        <v>266</v>
      </c>
      <c r="P18" s="78">
        <v>387</v>
      </c>
      <c r="Q18" s="78">
        <f t="shared" si="3"/>
        <v>458.2</v>
      </c>
      <c r="R18" s="80">
        <f t="shared" si="4"/>
        <v>573</v>
      </c>
      <c r="S18" s="78"/>
      <c r="T18" s="78"/>
      <c r="U18" s="78"/>
      <c r="V18" s="78"/>
      <c r="W18" s="79"/>
      <c r="X18" s="79"/>
      <c r="Y18" s="79"/>
      <c r="Z18" s="79"/>
    </row>
    <row r="19" spans="1:26" ht="21" x14ac:dyDescent="0.35">
      <c r="A19" s="10">
        <v>5851</v>
      </c>
      <c r="B19" s="12">
        <v>1001012505851</v>
      </c>
      <c r="C19" s="13" t="s">
        <v>32</v>
      </c>
      <c r="D19" s="13"/>
      <c r="E19" s="10" t="s">
        <v>7</v>
      </c>
      <c r="F19" s="14">
        <v>1</v>
      </c>
      <c r="G19" s="78">
        <v>212</v>
      </c>
      <c r="H19" s="78">
        <v>267</v>
      </c>
      <c r="I19" s="78">
        <v>466</v>
      </c>
      <c r="J19" s="78">
        <v>138</v>
      </c>
      <c r="K19" s="80">
        <f t="shared" si="1"/>
        <v>271</v>
      </c>
      <c r="L19" s="80">
        <f t="shared" si="2"/>
        <v>136</v>
      </c>
      <c r="M19" s="78">
        <v>1243</v>
      </c>
      <c r="N19" s="78">
        <v>84</v>
      </c>
      <c r="O19" s="78">
        <v>125</v>
      </c>
      <c r="P19" s="78">
        <v>424</v>
      </c>
      <c r="Q19" s="78">
        <f t="shared" si="3"/>
        <v>402.8</v>
      </c>
      <c r="R19" s="80">
        <f t="shared" si="4"/>
        <v>201</v>
      </c>
      <c r="S19" s="78"/>
      <c r="T19" s="78"/>
      <c r="U19" s="78"/>
      <c r="V19" s="78"/>
      <c r="W19" s="79"/>
      <c r="X19" s="79"/>
      <c r="Y19" s="79"/>
      <c r="Z19" s="79"/>
    </row>
    <row r="20" spans="1:26" ht="21" x14ac:dyDescent="0.35">
      <c r="A20" s="10">
        <v>7632</v>
      </c>
      <c r="B20" s="12">
        <v>1001012507632</v>
      </c>
      <c r="C20" s="13" t="s">
        <v>160</v>
      </c>
      <c r="D20" s="64" t="s">
        <v>172</v>
      </c>
      <c r="E20" s="10" t="s">
        <v>8</v>
      </c>
      <c r="F20" s="14">
        <v>0.4</v>
      </c>
      <c r="G20" s="78">
        <v>224</v>
      </c>
      <c r="H20" s="78">
        <v>560</v>
      </c>
      <c r="I20" s="78">
        <v>426</v>
      </c>
      <c r="J20" s="78">
        <v>13</v>
      </c>
      <c r="K20" s="80">
        <f t="shared" si="1"/>
        <v>306</v>
      </c>
      <c r="L20" s="80">
        <f t="shared" si="2"/>
        <v>383</v>
      </c>
      <c r="M20" s="78">
        <v>317</v>
      </c>
      <c r="N20" s="78">
        <v>307</v>
      </c>
      <c r="O20" s="78">
        <v>189</v>
      </c>
      <c r="P20" s="78">
        <v>138</v>
      </c>
      <c r="Q20" s="78">
        <f t="shared" si="3"/>
        <v>192.8</v>
      </c>
      <c r="R20" s="80">
        <f t="shared" si="4"/>
        <v>241</v>
      </c>
      <c r="S20" s="78"/>
      <c r="T20" s="78"/>
      <c r="U20" s="78"/>
      <c r="V20" s="78"/>
      <c r="W20" s="79"/>
      <c r="X20" s="79"/>
      <c r="Y20" s="79"/>
      <c r="Z20" s="79"/>
    </row>
    <row r="21" spans="1:26" ht="21" x14ac:dyDescent="0.35">
      <c r="A21" s="10">
        <v>4561</v>
      </c>
      <c r="B21" s="12">
        <v>1001010014561</v>
      </c>
      <c r="C21" s="13" t="s">
        <v>80</v>
      </c>
      <c r="D21" s="13"/>
      <c r="E21" s="10" t="s">
        <v>7</v>
      </c>
      <c r="F21" s="14">
        <v>1</v>
      </c>
      <c r="G21" s="78"/>
      <c r="H21" s="78"/>
      <c r="I21" s="78"/>
      <c r="J21" s="78"/>
      <c r="K21" s="80"/>
      <c r="L21" s="80">
        <f t="shared" si="2"/>
        <v>0</v>
      </c>
      <c r="M21" s="78">
        <v>0</v>
      </c>
      <c r="N21" s="78">
        <v>0</v>
      </c>
      <c r="O21" s="78">
        <v>0</v>
      </c>
      <c r="P21" s="78">
        <v>0</v>
      </c>
      <c r="Q21" s="78">
        <f t="shared" si="3"/>
        <v>0</v>
      </c>
      <c r="R21" s="80">
        <f t="shared" si="4"/>
        <v>0</v>
      </c>
      <c r="S21" s="78"/>
      <c r="T21" s="78"/>
      <c r="U21" s="78"/>
      <c r="V21" s="78"/>
      <c r="W21" s="79"/>
      <c r="X21" s="79"/>
      <c r="Y21" s="79"/>
      <c r="Z21" s="79"/>
    </row>
    <row r="22" spans="1:26" ht="21" x14ac:dyDescent="0.35">
      <c r="A22" s="10">
        <v>7555</v>
      </c>
      <c r="B22" s="12">
        <v>1001012497555</v>
      </c>
      <c r="C22" s="13" t="s">
        <v>150</v>
      </c>
      <c r="D22" s="64" t="s">
        <v>173</v>
      </c>
      <c r="E22" s="10" t="s">
        <v>7</v>
      </c>
      <c r="F22" s="14">
        <v>1</v>
      </c>
      <c r="G22" s="78"/>
      <c r="H22" s="78"/>
      <c r="I22" s="78"/>
      <c r="J22" s="78"/>
      <c r="K22" s="80"/>
      <c r="L22" s="80">
        <f t="shared" si="2"/>
        <v>0</v>
      </c>
      <c r="M22" s="78">
        <v>0</v>
      </c>
      <c r="N22" s="78">
        <v>0</v>
      </c>
      <c r="O22" s="78">
        <v>0</v>
      </c>
      <c r="P22" s="78">
        <v>0</v>
      </c>
      <c r="Q22" s="78">
        <f t="shared" si="3"/>
        <v>0</v>
      </c>
      <c r="R22" s="80">
        <f t="shared" si="4"/>
        <v>0</v>
      </c>
      <c r="S22" s="78"/>
      <c r="T22" s="78"/>
      <c r="U22" s="78"/>
      <c r="V22" s="78"/>
      <c r="W22" s="79"/>
      <c r="X22" s="79"/>
      <c r="Y22" s="79"/>
      <c r="Z22" s="79"/>
    </row>
    <row r="23" spans="1:26" ht="21" x14ac:dyDescent="0.35">
      <c r="A23" s="10">
        <v>6325</v>
      </c>
      <c r="B23" s="12">
        <v>1001010106325</v>
      </c>
      <c r="C23" s="13" t="s">
        <v>98</v>
      </c>
      <c r="D23" s="13"/>
      <c r="E23" s="10" t="s">
        <v>8</v>
      </c>
      <c r="F23" s="14">
        <v>0.4</v>
      </c>
      <c r="G23" s="78">
        <v>90</v>
      </c>
      <c r="H23" s="78">
        <v>80</v>
      </c>
      <c r="I23" s="78">
        <v>96</v>
      </c>
      <c r="J23" s="78">
        <v>13</v>
      </c>
      <c r="K23" s="80">
        <f t="shared" si="1"/>
        <v>70</v>
      </c>
      <c r="L23" s="80">
        <f t="shared" si="2"/>
        <v>88</v>
      </c>
      <c r="M23" s="78">
        <v>144</v>
      </c>
      <c r="N23" s="78">
        <v>147</v>
      </c>
      <c r="O23" s="78">
        <v>83</v>
      </c>
      <c r="P23" s="78">
        <v>0</v>
      </c>
      <c r="Q23" s="78">
        <f t="shared" si="3"/>
        <v>77.400000000000006</v>
      </c>
      <c r="R23" s="80">
        <f t="shared" si="4"/>
        <v>97</v>
      </c>
      <c r="S23" s="78"/>
      <c r="T23" s="78"/>
      <c r="U23" s="78"/>
      <c r="V23" s="78"/>
      <c r="W23" s="79"/>
      <c r="X23" s="79"/>
      <c r="Y23" s="79"/>
      <c r="Z23" s="79"/>
    </row>
    <row r="24" spans="1:26" ht="21" x14ac:dyDescent="0.35">
      <c r="A24" s="10">
        <v>7556</v>
      </c>
      <c r="B24" s="12">
        <v>1001017597556</v>
      </c>
      <c r="C24" s="13" t="s">
        <v>151</v>
      </c>
      <c r="D24" s="64" t="s">
        <v>174</v>
      </c>
      <c r="E24" s="10" t="s">
        <v>7</v>
      </c>
      <c r="F24" s="14">
        <v>1</v>
      </c>
      <c r="G24" s="78"/>
      <c r="H24" s="78"/>
      <c r="I24" s="78"/>
      <c r="J24" s="78"/>
      <c r="K24" s="80"/>
      <c r="L24" s="80">
        <f t="shared" si="2"/>
        <v>0</v>
      </c>
      <c r="M24" s="78">
        <v>0</v>
      </c>
      <c r="N24" s="78">
        <v>0</v>
      </c>
      <c r="O24" s="78">
        <v>0</v>
      </c>
      <c r="P24" s="78">
        <v>0</v>
      </c>
      <c r="Q24" s="78">
        <f t="shared" si="3"/>
        <v>0</v>
      </c>
      <c r="R24" s="80">
        <f t="shared" si="4"/>
        <v>0</v>
      </c>
      <c r="S24" s="78"/>
      <c r="T24" s="78"/>
      <c r="U24" s="78"/>
      <c r="V24" s="78"/>
      <c r="W24" s="79"/>
      <c r="X24" s="79"/>
      <c r="Y24" s="79"/>
      <c r="Z24" s="79"/>
    </row>
    <row r="25" spans="1:26" ht="21" x14ac:dyDescent="0.35">
      <c r="A25" s="10">
        <v>7514</v>
      </c>
      <c r="B25" s="12">
        <v>1001017557514</v>
      </c>
      <c r="C25" s="84" t="s">
        <v>205</v>
      </c>
      <c r="D25" s="85" t="s">
        <v>208</v>
      </c>
      <c r="E25" s="10" t="s">
        <v>7</v>
      </c>
      <c r="F25" s="14">
        <v>1</v>
      </c>
      <c r="G25" s="78"/>
      <c r="H25" s="78"/>
      <c r="I25" s="78"/>
      <c r="J25" s="78"/>
      <c r="K25" s="80"/>
      <c r="L25" s="80"/>
      <c r="M25" s="78">
        <v>0</v>
      </c>
      <c r="N25" s="78">
        <v>0</v>
      </c>
      <c r="O25" s="78">
        <v>0</v>
      </c>
      <c r="P25" s="78">
        <v>20</v>
      </c>
      <c r="Q25" s="78">
        <f t="shared" si="3"/>
        <v>5</v>
      </c>
      <c r="R25" s="80">
        <f t="shared" si="4"/>
        <v>3</v>
      </c>
      <c r="S25" s="78"/>
      <c r="T25" s="78"/>
      <c r="U25" s="78"/>
      <c r="V25" s="78"/>
      <c r="W25" s="79"/>
      <c r="X25" s="79"/>
      <c r="Y25" s="79"/>
      <c r="Z25" s="79"/>
    </row>
    <row r="26" spans="1:26" ht="21" x14ac:dyDescent="0.35">
      <c r="A26" s="10">
        <v>7518</v>
      </c>
      <c r="B26" s="12">
        <v>1001017567518</v>
      </c>
      <c r="C26" s="84" t="s">
        <v>206</v>
      </c>
      <c r="D26" s="85" t="s">
        <v>208</v>
      </c>
      <c r="E26" s="10" t="s">
        <v>7</v>
      </c>
      <c r="F26" s="14">
        <v>1</v>
      </c>
      <c r="G26" s="78"/>
      <c r="H26" s="78"/>
      <c r="I26" s="78"/>
      <c r="J26" s="78"/>
      <c r="K26" s="80"/>
      <c r="L26" s="80"/>
      <c r="M26" s="78">
        <v>0</v>
      </c>
      <c r="N26" s="78">
        <v>0</v>
      </c>
      <c r="O26" s="78">
        <v>0</v>
      </c>
      <c r="P26" s="78">
        <v>8</v>
      </c>
      <c r="Q26" s="78">
        <f t="shared" si="3"/>
        <v>2</v>
      </c>
      <c r="R26" s="80">
        <f t="shared" si="4"/>
        <v>1</v>
      </c>
      <c r="S26" s="78"/>
      <c r="T26" s="78"/>
      <c r="U26" s="78"/>
      <c r="V26" s="78"/>
      <c r="W26" s="79"/>
      <c r="X26" s="79"/>
      <c r="Y26" s="79"/>
      <c r="Z26" s="79"/>
    </row>
    <row r="27" spans="1:26" ht="21" x14ac:dyDescent="0.35">
      <c r="A27" s="10">
        <v>8014</v>
      </c>
      <c r="B27" s="12">
        <v>1001010108014</v>
      </c>
      <c r="C27" s="13" t="s">
        <v>118</v>
      </c>
      <c r="D27" s="13"/>
      <c r="E27" s="10" t="s">
        <v>7</v>
      </c>
      <c r="F27" s="14">
        <v>1</v>
      </c>
      <c r="G27" s="78"/>
      <c r="H27" s="78"/>
      <c r="I27" s="78"/>
      <c r="J27" s="78"/>
      <c r="K27" s="80"/>
      <c r="L27" s="80">
        <f t="shared" si="2"/>
        <v>0</v>
      </c>
      <c r="M27" s="78">
        <v>0</v>
      </c>
      <c r="N27" s="78">
        <v>0</v>
      </c>
      <c r="O27" s="78">
        <v>0</v>
      </c>
      <c r="P27" s="78">
        <v>0</v>
      </c>
      <c r="Q27" s="78">
        <f t="shared" si="3"/>
        <v>0</v>
      </c>
      <c r="R27" s="80">
        <f t="shared" si="4"/>
        <v>0</v>
      </c>
      <c r="S27" s="78"/>
      <c r="T27" s="78"/>
      <c r="U27" s="78"/>
      <c r="V27" s="78"/>
      <c r="W27" s="79"/>
      <c r="X27" s="79"/>
      <c r="Y27" s="79"/>
      <c r="Z27" s="79"/>
    </row>
    <row r="28" spans="1:26" ht="21" x14ac:dyDescent="0.35">
      <c r="A28" s="10">
        <v>7343</v>
      </c>
      <c r="B28" s="12">
        <v>1001016747343</v>
      </c>
      <c r="C28" s="13" t="s">
        <v>119</v>
      </c>
      <c r="D28" s="13"/>
      <c r="E28" s="10" t="s">
        <v>8</v>
      </c>
      <c r="F28" s="14">
        <v>0.4</v>
      </c>
      <c r="G28" s="78">
        <v>0</v>
      </c>
      <c r="H28" s="78">
        <v>13</v>
      </c>
      <c r="I28" s="78">
        <v>0</v>
      </c>
      <c r="J28" s="78">
        <v>0</v>
      </c>
      <c r="K28" s="80">
        <f t="shared" si="1"/>
        <v>3</v>
      </c>
      <c r="L28" s="80">
        <f t="shared" si="2"/>
        <v>4</v>
      </c>
      <c r="M28" s="78">
        <v>0</v>
      </c>
      <c r="N28" s="78">
        <v>0</v>
      </c>
      <c r="O28" s="78">
        <v>0</v>
      </c>
      <c r="P28" s="78">
        <v>0</v>
      </c>
      <c r="Q28" s="78">
        <f t="shared" si="3"/>
        <v>0</v>
      </c>
      <c r="R28" s="80">
        <f t="shared" si="4"/>
        <v>0</v>
      </c>
      <c r="S28" s="78"/>
      <c r="T28" s="78"/>
      <c r="U28" s="78"/>
      <c r="V28" s="78"/>
      <c r="W28" s="79"/>
      <c r="X28" s="79"/>
      <c r="Y28" s="79"/>
      <c r="Z28" s="79"/>
    </row>
    <row r="29" spans="1:26" ht="21" x14ac:dyDescent="0.35">
      <c r="A29" s="10">
        <v>6797</v>
      </c>
      <c r="B29" s="12">
        <v>1001015026797</v>
      </c>
      <c r="C29" s="13" t="s">
        <v>128</v>
      </c>
      <c r="D29" s="13"/>
      <c r="E29" s="10" t="s">
        <v>8</v>
      </c>
      <c r="F29" s="14">
        <v>0.4</v>
      </c>
      <c r="G29" s="78">
        <v>19</v>
      </c>
      <c r="H29" s="78">
        <v>109</v>
      </c>
      <c r="I29" s="78">
        <v>208</v>
      </c>
      <c r="J29" s="78">
        <v>74</v>
      </c>
      <c r="K29" s="80">
        <f t="shared" si="1"/>
        <v>103</v>
      </c>
      <c r="L29" s="80">
        <f t="shared" si="2"/>
        <v>129</v>
      </c>
      <c r="M29" s="78">
        <v>320</v>
      </c>
      <c r="N29" s="78">
        <v>0</v>
      </c>
      <c r="O29" s="78">
        <v>157</v>
      </c>
      <c r="P29" s="78">
        <v>51</v>
      </c>
      <c r="Q29" s="78">
        <f t="shared" si="3"/>
        <v>120.4</v>
      </c>
      <c r="R29" s="80">
        <f t="shared" si="4"/>
        <v>151</v>
      </c>
      <c r="S29" s="78"/>
      <c r="T29" s="78"/>
      <c r="U29" s="78"/>
      <c r="V29" s="78"/>
      <c r="W29" s="79"/>
      <c r="X29" s="79"/>
      <c r="Y29" s="79"/>
      <c r="Z29" s="79"/>
    </row>
    <row r="30" spans="1:26" ht="21" x14ac:dyDescent="0.35">
      <c r="A30" s="10">
        <v>7231</v>
      </c>
      <c r="B30" s="12">
        <v>1001013957231</v>
      </c>
      <c r="C30" s="13" t="s">
        <v>107</v>
      </c>
      <c r="D30" s="13"/>
      <c r="E30" s="10" t="s">
        <v>8</v>
      </c>
      <c r="F30" s="14">
        <v>0.3</v>
      </c>
      <c r="G30" s="78">
        <v>34</v>
      </c>
      <c r="H30" s="78">
        <v>50</v>
      </c>
      <c r="I30" s="78">
        <v>14</v>
      </c>
      <c r="J30" s="78">
        <v>5</v>
      </c>
      <c r="K30" s="80">
        <f t="shared" si="1"/>
        <v>26</v>
      </c>
      <c r="L30" s="80">
        <f t="shared" si="2"/>
        <v>43</v>
      </c>
      <c r="M30" s="78">
        <v>79</v>
      </c>
      <c r="N30" s="78">
        <v>22</v>
      </c>
      <c r="O30" s="78">
        <v>60</v>
      </c>
      <c r="P30" s="78">
        <v>17</v>
      </c>
      <c r="Q30" s="78">
        <f t="shared" si="3"/>
        <v>36.6</v>
      </c>
      <c r="R30" s="80">
        <f t="shared" si="4"/>
        <v>61</v>
      </c>
      <c r="S30" s="78"/>
      <c r="T30" s="78"/>
      <c r="U30" s="78"/>
      <c r="V30" s="78"/>
      <c r="W30" s="79"/>
      <c r="X30" s="79"/>
      <c r="Y30" s="79"/>
      <c r="Z30" s="79"/>
    </row>
    <row r="31" spans="1:26" ht="23.25" x14ac:dyDescent="0.35">
      <c r="A31" s="11"/>
      <c r="B31" s="11"/>
      <c r="C31" s="28" t="s">
        <v>5</v>
      </c>
      <c r="D31" s="28"/>
      <c r="E31" s="29"/>
      <c r="F31" s="15"/>
      <c r="G31" s="78"/>
      <c r="H31" s="78"/>
      <c r="I31" s="78"/>
      <c r="J31" s="78"/>
      <c r="K31" s="80"/>
      <c r="L31" s="80"/>
      <c r="M31" s="78"/>
      <c r="N31" s="78"/>
      <c r="O31" s="78"/>
      <c r="P31" s="78"/>
      <c r="Q31" s="78"/>
      <c r="R31" s="80"/>
      <c r="S31" s="78"/>
      <c r="T31" s="78"/>
      <c r="U31" s="78"/>
      <c r="V31" s="78"/>
      <c r="W31" s="79"/>
      <c r="X31" s="79"/>
      <c r="Y31" s="79"/>
      <c r="Z31" s="79"/>
    </row>
    <row r="32" spans="1:26" ht="21" x14ac:dyDescent="0.35">
      <c r="A32" s="12">
        <v>4584</v>
      </c>
      <c r="B32" s="12">
        <v>1001092674584</v>
      </c>
      <c r="C32" s="24" t="s">
        <v>73</v>
      </c>
      <c r="D32" s="24"/>
      <c r="E32" s="10" t="s">
        <v>7</v>
      </c>
      <c r="F32" s="14">
        <v>1</v>
      </c>
      <c r="G32" s="78"/>
      <c r="H32" s="78"/>
      <c r="I32" s="78"/>
      <c r="J32" s="78"/>
      <c r="K32" s="80"/>
      <c r="L32" s="80">
        <f t="shared" si="2"/>
        <v>0</v>
      </c>
      <c r="M32" s="78">
        <v>0</v>
      </c>
      <c r="N32" s="78">
        <v>0</v>
      </c>
      <c r="O32" s="78">
        <v>0</v>
      </c>
      <c r="P32" s="78">
        <v>0</v>
      </c>
      <c r="Q32" s="78">
        <f t="shared" si="3"/>
        <v>0</v>
      </c>
      <c r="R32" s="80">
        <f t="shared" si="4"/>
        <v>0</v>
      </c>
      <c r="S32" s="78"/>
      <c r="T32" s="78"/>
      <c r="U32" s="78"/>
      <c r="V32" s="78"/>
      <c r="W32" s="79"/>
      <c r="X32" s="79"/>
      <c r="Y32" s="79"/>
      <c r="Z32" s="79"/>
    </row>
    <row r="33" spans="1:26" ht="21" x14ac:dyDescent="0.35">
      <c r="A33" s="10">
        <v>6495</v>
      </c>
      <c r="B33" s="12">
        <v>1001092436495</v>
      </c>
      <c r="C33" s="24" t="s">
        <v>54</v>
      </c>
      <c r="D33" s="24"/>
      <c r="E33" s="10" t="s">
        <v>8</v>
      </c>
      <c r="F33" s="14">
        <v>0.3</v>
      </c>
      <c r="G33" s="78">
        <v>65</v>
      </c>
      <c r="H33" s="78">
        <v>0</v>
      </c>
      <c r="I33" s="78">
        <v>92</v>
      </c>
      <c r="J33" s="78">
        <v>31</v>
      </c>
      <c r="K33" s="80">
        <f t="shared" si="1"/>
        <v>47</v>
      </c>
      <c r="L33" s="80">
        <f t="shared" si="2"/>
        <v>78</v>
      </c>
      <c r="M33" s="78">
        <v>104</v>
      </c>
      <c r="N33" s="78">
        <v>52</v>
      </c>
      <c r="O33" s="78">
        <v>43</v>
      </c>
      <c r="P33" s="78">
        <v>103</v>
      </c>
      <c r="Q33" s="78">
        <f t="shared" si="3"/>
        <v>66.599999999999994</v>
      </c>
      <c r="R33" s="80">
        <f t="shared" si="4"/>
        <v>111</v>
      </c>
      <c r="S33" s="78"/>
      <c r="T33" s="78"/>
      <c r="U33" s="78"/>
      <c r="V33" s="78"/>
      <c r="W33" s="79"/>
      <c r="X33" s="79"/>
      <c r="Y33" s="79"/>
      <c r="Z33" s="79"/>
    </row>
    <row r="34" spans="1:26" ht="21" x14ac:dyDescent="0.35">
      <c r="A34" s="37">
        <v>6470</v>
      </c>
      <c r="B34" s="31">
        <v>1001092436470</v>
      </c>
      <c r="C34" s="32" t="s">
        <v>86</v>
      </c>
      <c r="D34" s="32"/>
      <c r="E34" s="10" t="s">
        <v>7</v>
      </c>
      <c r="F34" s="14">
        <v>1</v>
      </c>
      <c r="G34" s="78">
        <v>43</v>
      </c>
      <c r="H34" s="78">
        <v>29</v>
      </c>
      <c r="I34" s="78">
        <v>25</v>
      </c>
      <c r="J34" s="78">
        <v>0</v>
      </c>
      <c r="K34" s="80">
        <f t="shared" si="1"/>
        <v>24</v>
      </c>
      <c r="L34" s="80">
        <f t="shared" si="2"/>
        <v>12</v>
      </c>
      <c r="M34" s="78">
        <v>0</v>
      </c>
      <c r="N34" s="78">
        <v>0</v>
      </c>
      <c r="O34" s="78">
        <v>0</v>
      </c>
      <c r="P34" s="78">
        <v>0</v>
      </c>
      <c r="Q34" s="78">
        <f t="shared" si="3"/>
        <v>0</v>
      </c>
      <c r="R34" s="80">
        <f t="shared" si="4"/>
        <v>0</v>
      </c>
      <c r="S34" s="78"/>
      <c r="T34" s="78"/>
      <c r="U34" s="78"/>
      <c r="V34" s="78"/>
      <c r="W34" s="79"/>
      <c r="X34" s="79"/>
      <c r="Y34" s="79"/>
      <c r="Z34" s="79"/>
    </row>
    <row r="35" spans="1:26" ht="21" x14ac:dyDescent="0.35">
      <c r="A35" s="10">
        <v>5452</v>
      </c>
      <c r="B35" s="12">
        <v>1001092485452</v>
      </c>
      <c r="C35" s="24" t="s">
        <v>28</v>
      </c>
      <c r="D35" s="24"/>
      <c r="E35" s="10" t="s">
        <v>7</v>
      </c>
      <c r="F35" s="14">
        <v>1</v>
      </c>
      <c r="G35" s="78">
        <v>0</v>
      </c>
      <c r="H35" s="78">
        <v>288</v>
      </c>
      <c r="I35" s="78">
        <v>0</v>
      </c>
      <c r="J35" s="78">
        <v>16</v>
      </c>
      <c r="K35" s="80">
        <f t="shared" si="1"/>
        <v>76</v>
      </c>
      <c r="L35" s="80">
        <f t="shared" si="2"/>
        <v>38</v>
      </c>
      <c r="M35" s="78">
        <v>86</v>
      </c>
      <c r="N35" s="78">
        <v>200</v>
      </c>
      <c r="O35" s="78">
        <v>252</v>
      </c>
      <c r="P35" s="78">
        <v>131</v>
      </c>
      <c r="Q35" s="78">
        <f t="shared" si="3"/>
        <v>137</v>
      </c>
      <c r="R35" s="80">
        <f t="shared" si="4"/>
        <v>69</v>
      </c>
      <c r="S35" s="78"/>
      <c r="T35" s="78"/>
      <c r="U35" s="78"/>
      <c r="V35" s="78"/>
      <c r="W35" s="79"/>
      <c r="X35" s="79"/>
      <c r="Y35" s="79"/>
      <c r="Z35" s="79"/>
    </row>
    <row r="36" spans="1:26" ht="21" x14ac:dyDescent="0.35">
      <c r="A36" s="10">
        <v>3215</v>
      </c>
      <c r="B36" s="12">
        <v>1001094053215</v>
      </c>
      <c r="C36" s="24" t="s">
        <v>15</v>
      </c>
      <c r="D36" s="24"/>
      <c r="E36" s="10" t="s">
        <v>8</v>
      </c>
      <c r="F36" s="14">
        <v>0.4</v>
      </c>
      <c r="G36" s="78">
        <v>157</v>
      </c>
      <c r="H36" s="78">
        <v>310</v>
      </c>
      <c r="I36" s="78">
        <v>358</v>
      </c>
      <c r="J36" s="78">
        <v>64</v>
      </c>
      <c r="K36" s="80">
        <f t="shared" si="1"/>
        <v>222</v>
      </c>
      <c r="L36" s="80">
        <f t="shared" si="2"/>
        <v>278</v>
      </c>
      <c r="M36" s="78">
        <v>586</v>
      </c>
      <c r="N36" s="78">
        <v>211</v>
      </c>
      <c r="O36" s="78">
        <v>192</v>
      </c>
      <c r="P36" s="78">
        <v>67</v>
      </c>
      <c r="Q36" s="78">
        <f t="shared" si="3"/>
        <v>224</v>
      </c>
      <c r="R36" s="80">
        <f t="shared" si="4"/>
        <v>280</v>
      </c>
      <c r="S36" s="78"/>
      <c r="T36" s="78"/>
      <c r="U36" s="78"/>
      <c r="V36" s="78"/>
      <c r="W36" s="79"/>
      <c r="X36" s="79"/>
      <c r="Y36" s="79"/>
      <c r="Z36" s="79"/>
    </row>
    <row r="37" spans="1:26" ht="21" x14ac:dyDescent="0.35">
      <c r="A37" s="12">
        <v>6866</v>
      </c>
      <c r="B37" s="12">
        <v>1001095716866</v>
      </c>
      <c r="C37" s="24" t="s">
        <v>59</v>
      </c>
      <c r="D37" s="24"/>
      <c r="E37" s="10" t="s">
        <v>7</v>
      </c>
      <c r="F37" s="14">
        <v>1</v>
      </c>
      <c r="G37" s="78">
        <v>73</v>
      </c>
      <c r="H37" s="78">
        <v>66</v>
      </c>
      <c r="I37" s="78">
        <v>48</v>
      </c>
      <c r="J37" s="78">
        <v>0</v>
      </c>
      <c r="K37" s="80">
        <f t="shared" si="1"/>
        <v>47</v>
      </c>
      <c r="L37" s="80">
        <f t="shared" si="2"/>
        <v>24</v>
      </c>
      <c r="M37" s="78">
        <v>156</v>
      </c>
      <c r="N37" s="78">
        <v>6</v>
      </c>
      <c r="O37" s="78">
        <v>78</v>
      </c>
      <c r="P37" s="78">
        <v>6</v>
      </c>
      <c r="Q37" s="78">
        <f t="shared" si="3"/>
        <v>49.2</v>
      </c>
      <c r="R37" s="80">
        <f t="shared" si="4"/>
        <v>25</v>
      </c>
      <c r="S37" s="78"/>
      <c r="T37" s="78"/>
      <c r="U37" s="78"/>
      <c r="V37" s="78"/>
      <c r="W37" s="79"/>
      <c r="X37" s="79"/>
      <c r="Y37" s="79"/>
      <c r="Z37" s="79"/>
    </row>
    <row r="38" spans="1:26" ht="21" x14ac:dyDescent="0.35">
      <c r="A38" s="10">
        <v>5495</v>
      </c>
      <c r="B38" s="12">
        <v>1001093345495</v>
      </c>
      <c r="C38" s="24" t="s">
        <v>24</v>
      </c>
      <c r="D38" s="24"/>
      <c r="E38" s="10" t="s">
        <v>8</v>
      </c>
      <c r="F38" s="14">
        <v>0.4</v>
      </c>
      <c r="G38" s="78">
        <v>106</v>
      </c>
      <c r="H38" s="78">
        <v>929</v>
      </c>
      <c r="I38" s="78">
        <v>355</v>
      </c>
      <c r="J38" s="78">
        <v>158</v>
      </c>
      <c r="K38" s="80">
        <f t="shared" si="1"/>
        <v>387</v>
      </c>
      <c r="L38" s="80">
        <f t="shared" si="2"/>
        <v>484</v>
      </c>
      <c r="M38" s="78">
        <v>437</v>
      </c>
      <c r="N38" s="78">
        <v>70</v>
      </c>
      <c r="O38" s="78">
        <v>96</v>
      </c>
      <c r="P38" s="78">
        <v>161</v>
      </c>
      <c r="Q38" s="78">
        <f t="shared" si="3"/>
        <v>184.4</v>
      </c>
      <c r="R38" s="80">
        <f t="shared" si="4"/>
        <v>231</v>
      </c>
      <c r="S38" s="78"/>
      <c r="T38" s="78"/>
      <c r="U38" s="78"/>
      <c r="V38" s="78"/>
      <c r="W38" s="79"/>
      <c r="X38" s="79"/>
      <c r="Y38" s="79"/>
      <c r="Z38" s="79"/>
    </row>
    <row r="39" spans="1:26" ht="21" x14ac:dyDescent="0.35">
      <c r="A39" s="10">
        <v>7377</v>
      </c>
      <c r="B39" s="12">
        <v>1001095027377</v>
      </c>
      <c r="C39" s="24" t="s">
        <v>126</v>
      </c>
      <c r="D39" s="13"/>
      <c r="E39" s="10" t="s">
        <v>8</v>
      </c>
      <c r="F39" s="14">
        <v>0.3</v>
      </c>
      <c r="G39" s="78"/>
      <c r="H39" s="78"/>
      <c r="I39" s="78"/>
      <c r="J39" s="78"/>
      <c r="K39" s="80"/>
      <c r="L39" s="80">
        <f t="shared" si="2"/>
        <v>0</v>
      </c>
      <c r="M39" s="78">
        <v>29</v>
      </c>
      <c r="N39" s="78">
        <v>0</v>
      </c>
      <c r="O39" s="78">
        <v>0</v>
      </c>
      <c r="P39" s="78">
        <v>0</v>
      </c>
      <c r="Q39" s="78">
        <f t="shared" si="3"/>
        <v>7.25</v>
      </c>
      <c r="R39" s="80">
        <f t="shared" si="4"/>
        <v>12</v>
      </c>
      <c r="S39" s="78"/>
      <c r="T39" s="78"/>
      <c r="U39" s="78"/>
      <c r="V39" s="78"/>
      <c r="W39" s="79"/>
      <c r="X39" s="79"/>
      <c r="Y39" s="79"/>
      <c r="Z39" s="79"/>
    </row>
    <row r="40" spans="1:26" ht="21" x14ac:dyDescent="0.35">
      <c r="A40" s="10">
        <v>6925</v>
      </c>
      <c r="B40" s="12">
        <v>1001095226925</v>
      </c>
      <c r="C40" s="13" t="s">
        <v>153</v>
      </c>
      <c r="D40" s="38"/>
      <c r="E40" s="10" t="s">
        <v>8</v>
      </c>
      <c r="F40" s="14">
        <v>0.6</v>
      </c>
      <c r="G40" s="78">
        <v>0</v>
      </c>
      <c r="H40" s="78">
        <v>34</v>
      </c>
      <c r="I40" s="78">
        <v>101</v>
      </c>
      <c r="J40" s="78">
        <v>19</v>
      </c>
      <c r="K40" s="80">
        <f t="shared" si="1"/>
        <v>39</v>
      </c>
      <c r="L40" s="80">
        <f t="shared" si="2"/>
        <v>33</v>
      </c>
      <c r="M40" s="78">
        <v>10</v>
      </c>
      <c r="N40" s="78">
        <v>62</v>
      </c>
      <c r="O40" s="78">
        <v>29</v>
      </c>
      <c r="P40" s="78">
        <v>0</v>
      </c>
      <c r="Q40" s="78">
        <f t="shared" si="3"/>
        <v>24</v>
      </c>
      <c r="R40" s="80">
        <f t="shared" si="4"/>
        <v>20</v>
      </c>
      <c r="S40" s="78"/>
      <c r="T40" s="78"/>
      <c r="U40" s="78"/>
      <c r="V40" s="78"/>
      <c r="W40" s="79"/>
      <c r="X40" s="79"/>
      <c r="Y40" s="79"/>
      <c r="Z40" s="79"/>
    </row>
    <row r="41" spans="1:26" ht="21" x14ac:dyDescent="0.35">
      <c r="A41" s="10">
        <v>6025</v>
      </c>
      <c r="B41" s="12">
        <v>1001094966025</v>
      </c>
      <c r="C41" s="24" t="s">
        <v>72</v>
      </c>
      <c r="D41" s="24"/>
      <c r="E41" s="10" t="s">
        <v>7</v>
      </c>
      <c r="F41" s="14">
        <v>1</v>
      </c>
      <c r="G41" s="78"/>
      <c r="H41" s="78"/>
      <c r="I41" s="78"/>
      <c r="J41" s="78"/>
      <c r="K41" s="80"/>
      <c r="L41" s="80">
        <f t="shared" si="2"/>
        <v>0</v>
      </c>
      <c r="M41" s="78">
        <v>0</v>
      </c>
      <c r="N41" s="78">
        <v>0</v>
      </c>
      <c r="O41" s="78">
        <v>0</v>
      </c>
      <c r="P41" s="78">
        <v>0</v>
      </c>
      <c r="Q41" s="78">
        <f t="shared" si="3"/>
        <v>0</v>
      </c>
      <c r="R41" s="80">
        <f t="shared" si="4"/>
        <v>0</v>
      </c>
      <c r="S41" s="78"/>
      <c r="T41" s="78"/>
      <c r="U41" s="78"/>
      <c r="V41" s="78"/>
      <c r="W41" s="79"/>
      <c r="X41" s="79"/>
      <c r="Y41" s="79"/>
      <c r="Z41" s="79"/>
    </row>
    <row r="42" spans="1:26" ht="21" x14ac:dyDescent="0.35">
      <c r="A42" s="10">
        <v>6411</v>
      </c>
      <c r="B42" s="12">
        <v>1001093316411</v>
      </c>
      <c r="C42" s="24" t="s">
        <v>189</v>
      </c>
      <c r="D42" s="24"/>
      <c r="E42" s="10" t="s">
        <v>8</v>
      </c>
      <c r="F42" s="14">
        <v>0.3</v>
      </c>
      <c r="G42" s="78">
        <v>0</v>
      </c>
      <c r="H42" s="78">
        <v>0</v>
      </c>
      <c r="I42" s="78">
        <v>0</v>
      </c>
      <c r="J42" s="78">
        <v>36</v>
      </c>
      <c r="K42" s="80">
        <f t="shared" si="1"/>
        <v>9</v>
      </c>
      <c r="L42" s="80">
        <f t="shared" si="2"/>
        <v>15</v>
      </c>
      <c r="M42" s="78">
        <v>74</v>
      </c>
      <c r="N42" s="78">
        <v>0</v>
      </c>
      <c r="O42" s="78">
        <v>0</v>
      </c>
      <c r="P42" s="78">
        <v>14</v>
      </c>
      <c r="Q42" s="78">
        <f t="shared" si="3"/>
        <v>24.8</v>
      </c>
      <c r="R42" s="80">
        <f t="shared" si="4"/>
        <v>41</v>
      </c>
      <c r="S42" s="78"/>
      <c r="T42" s="78"/>
      <c r="U42" s="78"/>
      <c r="V42" s="78"/>
      <c r="W42" s="79"/>
      <c r="X42" s="79"/>
      <c r="Y42" s="79"/>
      <c r="Z42" s="79"/>
    </row>
    <row r="43" spans="1:26" ht="21" x14ac:dyDescent="0.35">
      <c r="A43" s="10">
        <v>7647</v>
      </c>
      <c r="B43" s="12">
        <v>1001097747647</v>
      </c>
      <c r="C43" s="24" t="s">
        <v>183</v>
      </c>
      <c r="D43" s="24"/>
      <c r="E43" s="10" t="s">
        <v>8</v>
      </c>
      <c r="F43" s="14">
        <v>0.1</v>
      </c>
      <c r="G43" s="78">
        <v>0</v>
      </c>
      <c r="H43" s="78">
        <v>0</v>
      </c>
      <c r="I43" s="78">
        <v>0</v>
      </c>
      <c r="J43" s="78">
        <v>0</v>
      </c>
      <c r="K43" s="80">
        <f t="shared" si="1"/>
        <v>0</v>
      </c>
      <c r="L43" s="80">
        <f t="shared" si="2"/>
        <v>0</v>
      </c>
      <c r="M43" s="78">
        <v>19</v>
      </c>
      <c r="N43" s="78">
        <v>5</v>
      </c>
      <c r="O43" s="78">
        <v>18</v>
      </c>
      <c r="P43" s="78">
        <v>20</v>
      </c>
      <c r="Q43" s="78">
        <f t="shared" si="3"/>
        <v>12.4</v>
      </c>
      <c r="R43" s="80">
        <f t="shared" si="4"/>
        <v>62</v>
      </c>
      <c r="S43" s="78"/>
      <c r="T43" s="78"/>
      <c r="U43" s="78"/>
      <c r="V43" s="78"/>
      <c r="W43" s="79"/>
      <c r="X43" s="79"/>
      <c r="Y43" s="79"/>
      <c r="Z43" s="79"/>
    </row>
    <row r="44" spans="1:26" ht="21" x14ac:dyDescent="0.35">
      <c r="A44" s="10">
        <v>7651</v>
      </c>
      <c r="B44" s="12">
        <v>1001097767651</v>
      </c>
      <c r="C44" s="24" t="s">
        <v>184</v>
      </c>
      <c r="D44" s="24"/>
      <c r="E44" s="10" t="s">
        <v>8</v>
      </c>
      <c r="F44" s="14">
        <v>0.1</v>
      </c>
      <c r="G44" s="78">
        <v>0</v>
      </c>
      <c r="H44" s="78">
        <v>0</v>
      </c>
      <c r="I44" s="78">
        <v>0</v>
      </c>
      <c r="J44" s="78">
        <v>0</v>
      </c>
      <c r="K44" s="80">
        <f t="shared" si="1"/>
        <v>0</v>
      </c>
      <c r="L44" s="80">
        <f t="shared" si="2"/>
        <v>0</v>
      </c>
      <c r="M44" s="78">
        <v>19</v>
      </c>
      <c r="N44" s="78">
        <v>5</v>
      </c>
      <c r="O44" s="78">
        <v>19</v>
      </c>
      <c r="P44" s="78">
        <v>20</v>
      </c>
      <c r="Q44" s="78">
        <f t="shared" si="3"/>
        <v>12.6</v>
      </c>
      <c r="R44" s="80">
        <f t="shared" si="4"/>
        <v>63</v>
      </c>
      <c r="S44" s="78"/>
      <c r="T44" s="78"/>
      <c r="U44" s="78"/>
      <c r="V44" s="78"/>
      <c r="W44" s="79"/>
      <c r="X44" s="79"/>
      <c r="Y44" s="79"/>
      <c r="Z44" s="79"/>
    </row>
    <row r="45" spans="1:26" ht="23.25" x14ac:dyDescent="0.35">
      <c r="A45" s="11"/>
      <c r="B45" s="11"/>
      <c r="C45" s="28" t="s">
        <v>52</v>
      </c>
      <c r="D45" s="28"/>
      <c r="E45" s="29"/>
      <c r="F45" s="15"/>
      <c r="G45" s="78"/>
      <c r="H45" s="78"/>
      <c r="I45" s="78"/>
      <c r="J45" s="78"/>
      <c r="K45" s="80"/>
      <c r="L45" s="80"/>
      <c r="M45" s="78"/>
      <c r="N45" s="78"/>
      <c r="O45" s="78"/>
      <c r="P45" s="78"/>
      <c r="Q45" s="78"/>
      <c r="R45" s="80"/>
      <c r="S45" s="78"/>
      <c r="T45" s="78"/>
      <c r="U45" s="78"/>
      <c r="V45" s="78"/>
      <c r="W45" s="79"/>
      <c r="X45" s="79"/>
      <c r="Y45" s="79"/>
      <c r="Z45" s="79"/>
    </row>
    <row r="46" spans="1:26" ht="21" x14ac:dyDescent="0.35">
      <c r="A46" s="37">
        <v>7090</v>
      </c>
      <c r="B46" s="31">
        <v>1001084217090</v>
      </c>
      <c r="C46" s="32" t="s">
        <v>74</v>
      </c>
      <c r="D46" s="32"/>
      <c r="E46" s="20" t="s">
        <v>8</v>
      </c>
      <c r="F46" s="21">
        <v>0.3</v>
      </c>
      <c r="G46" s="78">
        <v>74</v>
      </c>
      <c r="H46" s="78">
        <v>50</v>
      </c>
      <c r="I46" s="78">
        <v>65</v>
      </c>
      <c r="J46" s="78">
        <v>58</v>
      </c>
      <c r="K46" s="80">
        <f t="shared" si="1"/>
        <v>62</v>
      </c>
      <c r="L46" s="80">
        <f t="shared" si="2"/>
        <v>103</v>
      </c>
      <c r="M46" s="78">
        <v>254</v>
      </c>
      <c r="N46" s="78">
        <v>29</v>
      </c>
      <c r="O46" s="78">
        <v>54</v>
      </c>
      <c r="P46" s="78">
        <v>63</v>
      </c>
      <c r="Q46" s="78">
        <f t="shared" si="3"/>
        <v>91.6</v>
      </c>
      <c r="R46" s="80">
        <f t="shared" si="4"/>
        <v>153</v>
      </c>
      <c r="S46" s="78"/>
      <c r="T46" s="78"/>
      <c r="U46" s="78"/>
      <c r="V46" s="78"/>
      <c r="W46" s="79"/>
      <c r="X46" s="79"/>
      <c r="Y46" s="79"/>
      <c r="Z46" s="79"/>
    </row>
    <row r="47" spans="1:26" ht="21" x14ac:dyDescent="0.35">
      <c r="A47" s="10">
        <v>7187</v>
      </c>
      <c r="B47" s="19">
        <v>1001085637187</v>
      </c>
      <c r="C47" s="13" t="s">
        <v>87</v>
      </c>
      <c r="D47" s="13"/>
      <c r="E47" s="20" t="s">
        <v>8</v>
      </c>
      <c r="F47" s="21">
        <v>0.3</v>
      </c>
      <c r="G47" s="78">
        <v>47</v>
      </c>
      <c r="H47" s="78">
        <v>110</v>
      </c>
      <c r="I47" s="78">
        <v>112</v>
      </c>
      <c r="J47" s="78">
        <v>23</v>
      </c>
      <c r="K47" s="80">
        <f t="shared" si="1"/>
        <v>73</v>
      </c>
      <c r="L47" s="80">
        <f t="shared" si="2"/>
        <v>122</v>
      </c>
      <c r="M47" s="78">
        <v>160</v>
      </c>
      <c r="N47" s="78">
        <v>65</v>
      </c>
      <c r="O47" s="78">
        <v>49</v>
      </c>
      <c r="P47" s="78">
        <v>65</v>
      </c>
      <c r="Q47" s="78">
        <f t="shared" si="3"/>
        <v>72.400000000000006</v>
      </c>
      <c r="R47" s="80">
        <f t="shared" si="4"/>
        <v>121</v>
      </c>
      <c r="S47" s="78"/>
      <c r="T47" s="78"/>
      <c r="U47" s="78"/>
      <c r="V47" s="78"/>
      <c r="W47" s="79"/>
      <c r="X47" s="79"/>
      <c r="Y47" s="79"/>
      <c r="Z47" s="79"/>
    </row>
    <row r="48" spans="1:26" ht="21" x14ac:dyDescent="0.35">
      <c r="A48" s="10">
        <v>6008</v>
      </c>
      <c r="B48" s="19">
        <v>1001084856008</v>
      </c>
      <c r="C48" s="13" t="s">
        <v>168</v>
      </c>
      <c r="D48" s="13"/>
      <c r="E48" s="20" t="s">
        <v>7</v>
      </c>
      <c r="F48" s="21">
        <v>1</v>
      </c>
      <c r="G48" s="78">
        <v>40</v>
      </c>
      <c r="H48" s="78">
        <v>94</v>
      </c>
      <c r="I48" s="78">
        <v>8</v>
      </c>
      <c r="J48" s="78">
        <v>9</v>
      </c>
      <c r="K48" s="80">
        <f t="shared" si="1"/>
        <v>38</v>
      </c>
      <c r="L48" s="80">
        <f t="shared" si="2"/>
        <v>19</v>
      </c>
      <c r="M48" s="78">
        <v>39</v>
      </c>
      <c r="N48" s="78">
        <v>12</v>
      </c>
      <c r="O48" s="78">
        <v>38</v>
      </c>
      <c r="P48" s="78">
        <v>17</v>
      </c>
      <c r="Q48" s="78">
        <f t="shared" si="3"/>
        <v>23</v>
      </c>
      <c r="R48" s="80">
        <f t="shared" si="4"/>
        <v>12</v>
      </c>
      <c r="S48" s="78"/>
      <c r="T48" s="78"/>
      <c r="U48" s="78"/>
      <c r="V48" s="78"/>
      <c r="W48" s="79"/>
      <c r="X48" s="79"/>
      <c r="Y48" s="79"/>
      <c r="Z48" s="79"/>
    </row>
    <row r="49" spans="1:26" ht="21" x14ac:dyDescent="0.35">
      <c r="A49" s="10">
        <v>6929</v>
      </c>
      <c r="B49" s="19">
        <v>1001085476929</v>
      </c>
      <c r="C49" s="84" t="s">
        <v>207</v>
      </c>
      <c r="D49" s="85" t="s">
        <v>208</v>
      </c>
      <c r="E49" s="20" t="s">
        <v>7</v>
      </c>
      <c r="F49" s="21">
        <v>1</v>
      </c>
      <c r="G49" s="78"/>
      <c r="H49" s="78"/>
      <c r="I49" s="78"/>
      <c r="J49" s="78"/>
      <c r="K49" s="80"/>
      <c r="L49" s="80"/>
      <c r="M49" s="78">
        <v>0</v>
      </c>
      <c r="N49" s="78">
        <v>0</v>
      </c>
      <c r="O49" s="78">
        <v>0</v>
      </c>
      <c r="P49" s="78">
        <v>22</v>
      </c>
      <c r="Q49" s="78">
        <f t="shared" si="3"/>
        <v>5.5</v>
      </c>
      <c r="R49" s="80">
        <f t="shared" si="4"/>
        <v>3</v>
      </c>
      <c r="S49" s="78"/>
      <c r="T49" s="78"/>
      <c r="U49" s="78"/>
      <c r="V49" s="78"/>
      <c r="W49" s="79"/>
      <c r="X49" s="79"/>
      <c r="Y49" s="79"/>
      <c r="Z49" s="79"/>
    </row>
    <row r="50" spans="1:26" ht="21" x14ac:dyDescent="0.35">
      <c r="A50" s="10">
        <v>6620</v>
      </c>
      <c r="B50" s="19">
        <v>1001081596620</v>
      </c>
      <c r="C50" s="13" t="s">
        <v>60</v>
      </c>
      <c r="D50" s="13"/>
      <c r="E50" s="20" t="s">
        <v>7</v>
      </c>
      <c r="F50" s="21">
        <v>1</v>
      </c>
      <c r="G50" s="78"/>
      <c r="H50" s="78"/>
      <c r="I50" s="78"/>
      <c r="J50" s="78"/>
      <c r="K50" s="80"/>
      <c r="L50" s="80">
        <f t="shared" si="2"/>
        <v>0</v>
      </c>
      <c r="M50" s="78">
        <v>0</v>
      </c>
      <c r="N50" s="78">
        <v>0</v>
      </c>
      <c r="O50" s="78">
        <v>0</v>
      </c>
      <c r="P50" s="78">
        <v>55</v>
      </c>
      <c r="Q50" s="78">
        <f t="shared" si="3"/>
        <v>13.75</v>
      </c>
      <c r="R50" s="80">
        <f t="shared" si="4"/>
        <v>7</v>
      </c>
      <c r="S50" s="78"/>
      <c r="T50" s="78"/>
      <c r="U50" s="78"/>
      <c r="V50" s="78"/>
      <c r="W50" s="79"/>
      <c r="X50" s="79"/>
      <c r="Y50" s="79"/>
      <c r="Z50" s="79"/>
    </row>
    <row r="51" spans="1:26" ht="23.25" x14ac:dyDescent="0.35">
      <c r="A51" s="11"/>
      <c r="B51" s="11"/>
      <c r="C51" s="28" t="s">
        <v>190</v>
      </c>
      <c r="D51" s="28"/>
      <c r="E51" s="29"/>
      <c r="F51" s="15"/>
      <c r="G51" s="78"/>
      <c r="H51" s="78"/>
      <c r="I51" s="78"/>
      <c r="J51" s="78"/>
      <c r="K51" s="80"/>
      <c r="L51" s="80"/>
      <c r="M51" s="78"/>
      <c r="N51" s="78"/>
      <c r="O51" s="78"/>
      <c r="P51" s="78"/>
      <c r="Q51" s="78"/>
      <c r="R51" s="80"/>
      <c r="S51" s="78"/>
      <c r="T51" s="78"/>
      <c r="U51" s="78"/>
      <c r="V51" s="78"/>
      <c r="W51" s="79"/>
      <c r="X51" s="79"/>
      <c r="Y51" s="79"/>
      <c r="Z51" s="79"/>
    </row>
    <row r="52" spans="1:26" ht="21" x14ac:dyDescent="0.35">
      <c r="A52" s="10">
        <v>7485</v>
      </c>
      <c r="B52" s="19">
        <v>1001107397485</v>
      </c>
      <c r="C52" s="13" t="s">
        <v>191</v>
      </c>
      <c r="D52" s="13"/>
      <c r="E52" s="20" t="s">
        <v>8</v>
      </c>
      <c r="F52" s="21">
        <v>0.15</v>
      </c>
      <c r="G52" s="78"/>
      <c r="H52" s="78"/>
      <c r="I52" s="78"/>
      <c r="J52" s="78"/>
      <c r="K52" s="80"/>
      <c r="L52" s="80">
        <f t="shared" si="2"/>
        <v>0</v>
      </c>
      <c r="M52" s="78">
        <v>14</v>
      </c>
      <c r="N52" s="78">
        <v>5</v>
      </c>
      <c r="O52" s="78">
        <v>23</v>
      </c>
      <c r="P52" s="78">
        <v>27</v>
      </c>
      <c r="Q52" s="78">
        <f t="shared" si="3"/>
        <v>17.25</v>
      </c>
      <c r="R52" s="80">
        <f t="shared" si="4"/>
        <v>58</v>
      </c>
      <c r="S52" s="78"/>
      <c r="T52" s="78"/>
      <c r="U52" s="78"/>
      <c r="V52" s="78"/>
      <c r="W52" s="79"/>
      <c r="X52" s="79"/>
      <c r="Y52" s="79"/>
      <c r="Z52" s="79"/>
    </row>
    <row r="53" spans="1:26" ht="23.25" x14ac:dyDescent="0.35">
      <c r="A53" s="5"/>
      <c r="B53" s="11"/>
      <c r="C53" s="28" t="s">
        <v>4</v>
      </c>
      <c r="D53" s="28"/>
      <c r="E53" s="29"/>
      <c r="F53" s="15"/>
      <c r="G53" s="78"/>
      <c r="H53" s="78"/>
      <c r="I53" s="78"/>
      <c r="J53" s="78"/>
      <c r="K53" s="80"/>
      <c r="L53" s="80"/>
      <c r="M53" s="78"/>
      <c r="N53" s="78"/>
      <c r="O53" s="78"/>
      <c r="P53" s="78"/>
      <c r="Q53" s="78"/>
      <c r="R53" s="80"/>
      <c r="S53" s="78"/>
      <c r="T53" s="78"/>
      <c r="U53" s="78"/>
      <c r="V53" s="78"/>
      <c r="W53" s="79"/>
      <c r="X53" s="79"/>
      <c r="Y53" s="79"/>
      <c r="Z53" s="79"/>
    </row>
    <row r="54" spans="1:26" ht="21" x14ac:dyDescent="0.35">
      <c r="A54" s="10">
        <v>7564</v>
      </c>
      <c r="B54" s="12">
        <v>1001303637564</v>
      </c>
      <c r="C54" s="13" t="s">
        <v>158</v>
      </c>
      <c r="D54" s="64" t="s">
        <v>175</v>
      </c>
      <c r="E54" s="10" t="s">
        <v>7</v>
      </c>
      <c r="F54" s="14">
        <v>1</v>
      </c>
      <c r="G54" s="78">
        <v>0</v>
      </c>
      <c r="H54" s="78">
        <v>30</v>
      </c>
      <c r="I54" s="78">
        <v>86</v>
      </c>
      <c r="J54" s="78">
        <v>10</v>
      </c>
      <c r="K54" s="80">
        <f t="shared" si="1"/>
        <v>32</v>
      </c>
      <c r="L54" s="80">
        <f t="shared" si="2"/>
        <v>16</v>
      </c>
      <c r="M54" s="78">
        <v>40</v>
      </c>
      <c r="N54" s="78">
        <v>56</v>
      </c>
      <c r="O54" s="78">
        <v>96</v>
      </c>
      <c r="P54" s="78">
        <v>25</v>
      </c>
      <c r="Q54" s="78">
        <f t="shared" si="3"/>
        <v>45.4</v>
      </c>
      <c r="R54" s="80">
        <f t="shared" si="4"/>
        <v>23</v>
      </c>
      <c r="S54" s="78"/>
      <c r="T54" s="78"/>
      <c r="U54" s="78"/>
      <c r="V54" s="78"/>
      <c r="W54" s="79"/>
      <c r="X54" s="79"/>
      <c r="Y54" s="79"/>
      <c r="Z54" s="79"/>
    </row>
    <row r="55" spans="1:26" ht="21" x14ac:dyDescent="0.35">
      <c r="A55" s="10">
        <v>7603</v>
      </c>
      <c r="B55" s="12">
        <v>1001303637603</v>
      </c>
      <c r="C55" s="13" t="s">
        <v>159</v>
      </c>
      <c r="D55" s="64" t="s">
        <v>176</v>
      </c>
      <c r="E55" s="10" t="s">
        <v>8</v>
      </c>
      <c r="F55" s="14">
        <v>0.33</v>
      </c>
      <c r="G55" s="78">
        <v>40</v>
      </c>
      <c r="H55" s="78">
        <v>71</v>
      </c>
      <c r="I55" s="78">
        <v>82</v>
      </c>
      <c r="J55" s="78">
        <v>18</v>
      </c>
      <c r="K55" s="80">
        <f t="shared" si="1"/>
        <v>53</v>
      </c>
      <c r="L55" s="80">
        <f t="shared" si="2"/>
        <v>80</v>
      </c>
      <c r="M55" s="78">
        <v>127</v>
      </c>
      <c r="N55" s="78">
        <v>26</v>
      </c>
      <c r="O55" s="78">
        <v>61</v>
      </c>
      <c r="P55" s="78">
        <v>50</v>
      </c>
      <c r="Q55" s="78">
        <f t="shared" si="3"/>
        <v>56.4</v>
      </c>
      <c r="R55" s="80">
        <f t="shared" si="4"/>
        <v>85</v>
      </c>
      <c r="S55" s="78"/>
      <c r="T55" s="78"/>
      <c r="U55" s="78"/>
      <c r="V55" s="78"/>
      <c r="W55" s="79"/>
      <c r="X55" s="79"/>
      <c r="Y55" s="79"/>
      <c r="Z55" s="79"/>
    </row>
    <row r="56" spans="1:26" ht="21" x14ac:dyDescent="0.35">
      <c r="A56" s="10">
        <v>7149</v>
      </c>
      <c r="B56" s="19">
        <v>1001303637149</v>
      </c>
      <c r="C56" s="13" t="s">
        <v>75</v>
      </c>
      <c r="D56" s="13"/>
      <c r="E56" s="10" t="s">
        <v>8</v>
      </c>
      <c r="F56" s="14">
        <v>0.84</v>
      </c>
      <c r="G56" s="78">
        <v>30</v>
      </c>
      <c r="H56" s="78">
        <v>0</v>
      </c>
      <c r="I56" s="78">
        <v>0</v>
      </c>
      <c r="J56" s="78">
        <v>0</v>
      </c>
      <c r="K56" s="80">
        <f t="shared" si="1"/>
        <v>8</v>
      </c>
      <c r="L56" s="80">
        <f t="shared" si="2"/>
        <v>5</v>
      </c>
      <c r="M56" s="78">
        <v>76</v>
      </c>
      <c r="N56" s="78">
        <v>0</v>
      </c>
      <c r="O56" s="78">
        <v>0</v>
      </c>
      <c r="P56" s="78">
        <v>45</v>
      </c>
      <c r="Q56" s="78">
        <f t="shared" si="3"/>
        <v>24.2</v>
      </c>
      <c r="R56" s="80">
        <f t="shared" si="4"/>
        <v>14</v>
      </c>
      <c r="S56" s="78"/>
      <c r="T56" s="78"/>
      <c r="U56" s="78"/>
      <c r="V56" s="78"/>
      <c r="W56" s="79"/>
      <c r="X56" s="79"/>
      <c r="Y56" s="79"/>
      <c r="Z56" s="79"/>
    </row>
    <row r="57" spans="1:26" ht="21" x14ac:dyDescent="0.35">
      <c r="A57" s="37">
        <v>7233</v>
      </c>
      <c r="B57" s="31">
        <v>1001303637233</v>
      </c>
      <c r="C57" s="32" t="s">
        <v>90</v>
      </c>
      <c r="D57" s="32"/>
      <c r="E57" s="10" t="s">
        <v>8</v>
      </c>
      <c r="F57" s="14">
        <v>0.31</v>
      </c>
      <c r="G57" s="78"/>
      <c r="H57" s="78"/>
      <c r="I57" s="78"/>
      <c r="J57" s="78"/>
      <c r="K57" s="80"/>
      <c r="L57" s="80">
        <f t="shared" si="2"/>
        <v>0</v>
      </c>
      <c r="M57" s="78">
        <v>0</v>
      </c>
      <c r="N57" s="78">
        <v>0</v>
      </c>
      <c r="O57" s="78">
        <v>0</v>
      </c>
      <c r="P57" s="78">
        <v>0</v>
      </c>
      <c r="Q57" s="78">
        <f t="shared" si="3"/>
        <v>0</v>
      </c>
      <c r="R57" s="80">
        <f t="shared" si="4"/>
        <v>0</v>
      </c>
      <c r="S57" s="78"/>
      <c r="T57" s="78"/>
      <c r="U57" s="78"/>
      <c r="V57" s="78"/>
      <c r="W57" s="79"/>
      <c r="X57" s="79"/>
      <c r="Y57" s="79"/>
      <c r="Z57" s="79"/>
    </row>
    <row r="58" spans="1:26" ht="21" x14ac:dyDescent="0.35">
      <c r="A58" s="37">
        <v>7232</v>
      </c>
      <c r="B58" s="31">
        <v>1001302277232</v>
      </c>
      <c r="C58" s="32" t="s">
        <v>89</v>
      </c>
      <c r="D58" s="32"/>
      <c r="E58" s="10" t="s">
        <v>8</v>
      </c>
      <c r="F58" s="14">
        <v>0.28000000000000003</v>
      </c>
      <c r="G58" s="78">
        <v>186</v>
      </c>
      <c r="H58" s="78">
        <v>233</v>
      </c>
      <c r="I58" s="78">
        <v>146</v>
      </c>
      <c r="J58" s="78">
        <v>96</v>
      </c>
      <c r="K58" s="80">
        <f t="shared" si="1"/>
        <v>165</v>
      </c>
      <c r="L58" s="80">
        <f t="shared" si="2"/>
        <v>295</v>
      </c>
      <c r="M58" s="78">
        <v>551</v>
      </c>
      <c r="N58" s="78">
        <v>168</v>
      </c>
      <c r="O58" s="78">
        <v>40</v>
      </c>
      <c r="P58" s="78">
        <v>69</v>
      </c>
      <c r="Q58" s="78">
        <f t="shared" si="3"/>
        <v>184.8</v>
      </c>
      <c r="R58" s="80">
        <f t="shared" si="4"/>
        <v>330</v>
      </c>
      <c r="S58" s="78"/>
      <c r="T58" s="78"/>
      <c r="U58" s="78"/>
      <c r="V58" s="78"/>
      <c r="W58" s="79"/>
      <c r="X58" s="79"/>
      <c r="Y58" s="79"/>
      <c r="Z58" s="79"/>
    </row>
    <row r="59" spans="1:26" ht="21" x14ac:dyDescent="0.35">
      <c r="A59" s="37">
        <v>7241</v>
      </c>
      <c r="B59" s="31">
        <v>1001303107241</v>
      </c>
      <c r="C59" s="32" t="s">
        <v>92</v>
      </c>
      <c r="D59" s="32"/>
      <c r="E59" s="10" t="s">
        <v>8</v>
      </c>
      <c r="F59" s="14">
        <v>0.28000000000000003</v>
      </c>
      <c r="G59" s="78">
        <v>168</v>
      </c>
      <c r="H59" s="78">
        <v>128</v>
      </c>
      <c r="I59" s="78">
        <v>168</v>
      </c>
      <c r="J59" s="78">
        <v>47</v>
      </c>
      <c r="K59" s="80">
        <f t="shared" si="1"/>
        <v>128</v>
      </c>
      <c r="L59" s="80">
        <f t="shared" si="2"/>
        <v>229</v>
      </c>
      <c r="M59" s="78">
        <v>432</v>
      </c>
      <c r="N59" s="78">
        <v>49</v>
      </c>
      <c r="O59" s="78">
        <v>168</v>
      </c>
      <c r="P59" s="78">
        <v>125</v>
      </c>
      <c r="Q59" s="78">
        <f t="shared" si="3"/>
        <v>164.2</v>
      </c>
      <c r="R59" s="80">
        <f t="shared" si="4"/>
        <v>293</v>
      </c>
      <c r="S59" s="78"/>
      <c r="T59" s="78"/>
      <c r="U59" s="78"/>
      <c r="V59" s="78"/>
      <c r="W59" s="79"/>
      <c r="X59" s="79"/>
      <c r="Y59" s="79"/>
      <c r="Z59" s="79"/>
    </row>
    <row r="60" spans="1:26" ht="21" x14ac:dyDescent="0.35">
      <c r="A60" s="10">
        <v>7133</v>
      </c>
      <c r="B60" s="12">
        <v>1001300367133</v>
      </c>
      <c r="C60" s="13" t="s">
        <v>85</v>
      </c>
      <c r="D60" s="13"/>
      <c r="E60" s="10" t="s">
        <v>7</v>
      </c>
      <c r="F60" s="14">
        <v>1</v>
      </c>
      <c r="G60" s="78"/>
      <c r="H60" s="78"/>
      <c r="I60" s="78"/>
      <c r="J60" s="78"/>
      <c r="K60" s="80"/>
      <c r="L60" s="80">
        <f t="shared" si="2"/>
        <v>0</v>
      </c>
      <c r="M60" s="78">
        <v>0</v>
      </c>
      <c r="N60" s="78">
        <v>0</v>
      </c>
      <c r="O60" s="78">
        <v>0</v>
      </c>
      <c r="P60" s="78">
        <v>0</v>
      </c>
      <c r="Q60" s="78">
        <f t="shared" si="3"/>
        <v>0</v>
      </c>
      <c r="R60" s="80">
        <f t="shared" si="4"/>
        <v>0</v>
      </c>
      <c r="S60" s="78"/>
      <c r="T60" s="78"/>
      <c r="U60" s="78"/>
      <c r="V60" s="78"/>
      <c r="W60" s="79"/>
      <c r="X60" s="79"/>
      <c r="Y60" s="79"/>
      <c r="Z60" s="79"/>
    </row>
    <row r="61" spans="1:26" ht="21" x14ac:dyDescent="0.35">
      <c r="A61" s="10">
        <v>6807</v>
      </c>
      <c r="B61" s="12">
        <v>1001300366807</v>
      </c>
      <c r="C61" s="13" t="s">
        <v>14</v>
      </c>
      <c r="D61" s="13"/>
      <c r="E61" s="10" t="s">
        <v>8</v>
      </c>
      <c r="F61" s="14">
        <v>0.33</v>
      </c>
      <c r="G61" s="78">
        <v>32</v>
      </c>
      <c r="H61" s="78">
        <v>32</v>
      </c>
      <c r="I61" s="78">
        <v>0</v>
      </c>
      <c r="J61" s="78">
        <v>8</v>
      </c>
      <c r="K61" s="80">
        <f t="shared" si="1"/>
        <v>18</v>
      </c>
      <c r="L61" s="80">
        <f t="shared" si="2"/>
        <v>27</v>
      </c>
      <c r="M61" s="78">
        <v>11</v>
      </c>
      <c r="N61" s="78">
        <v>11</v>
      </c>
      <c r="O61" s="78">
        <v>42</v>
      </c>
      <c r="P61" s="78">
        <v>3</v>
      </c>
      <c r="Q61" s="78">
        <f t="shared" si="3"/>
        <v>15</v>
      </c>
      <c r="R61" s="80">
        <f t="shared" si="4"/>
        <v>23</v>
      </c>
      <c r="S61" s="78"/>
      <c r="T61" s="78"/>
      <c r="U61" s="78"/>
      <c r="V61" s="78"/>
      <c r="W61" s="79"/>
      <c r="X61" s="79"/>
      <c r="Y61" s="79"/>
      <c r="Z61" s="79"/>
    </row>
    <row r="62" spans="1:26" ht="21" x14ac:dyDescent="0.35">
      <c r="A62" s="10">
        <v>7154</v>
      </c>
      <c r="B62" s="12">
        <v>1001300387154</v>
      </c>
      <c r="C62" s="13" t="s">
        <v>76</v>
      </c>
      <c r="D62" s="13"/>
      <c r="E62" s="10" t="s">
        <v>8</v>
      </c>
      <c r="F62" s="14">
        <v>0.35</v>
      </c>
      <c r="G62" s="78">
        <v>269</v>
      </c>
      <c r="H62" s="78">
        <v>529</v>
      </c>
      <c r="I62" s="78">
        <v>630</v>
      </c>
      <c r="J62" s="78">
        <v>73</v>
      </c>
      <c r="K62" s="80">
        <f t="shared" si="1"/>
        <v>375</v>
      </c>
      <c r="L62" s="80">
        <f t="shared" si="2"/>
        <v>536</v>
      </c>
      <c r="M62" s="78">
        <v>1179</v>
      </c>
      <c r="N62" s="78">
        <v>428</v>
      </c>
      <c r="O62" s="78">
        <v>361</v>
      </c>
      <c r="P62" s="78">
        <v>356</v>
      </c>
      <c r="Q62" s="78">
        <f t="shared" si="3"/>
        <v>479.4</v>
      </c>
      <c r="R62" s="80">
        <f t="shared" si="4"/>
        <v>685</v>
      </c>
      <c r="S62" s="78"/>
      <c r="T62" s="78"/>
      <c r="U62" s="78"/>
      <c r="V62" s="78"/>
      <c r="W62" s="79"/>
      <c r="X62" s="79"/>
      <c r="Y62" s="79"/>
      <c r="Z62" s="79"/>
    </row>
    <row r="63" spans="1:26" ht="21" x14ac:dyDescent="0.35">
      <c r="A63" s="10">
        <v>7157</v>
      </c>
      <c r="B63" s="12">
        <v>1001300387157</v>
      </c>
      <c r="C63" s="13" t="s">
        <v>81</v>
      </c>
      <c r="D63" s="13"/>
      <c r="E63" s="10" t="s">
        <v>7</v>
      </c>
      <c r="F63" s="14">
        <v>1</v>
      </c>
      <c r="G63" s="78">
        <v>189</v>
      </c>
      <c r="H63" s="78">
        <v>322</v>
      </c>
      <c r="I63" s="78">
        <v>368</v>
      </c>
      <c r="J63" s="78">
        <v>287</v>
      </c>
      <c r="K63" s="80">
        <f t="shared" si="1"/>
        <v>292</v>
      </c>
      <c r="L63" s="80">
        <f t="shared" si="2"/>
        <v>146</v>
      </c>
      <c r="M63" s="78">
        <v>1148</v>
      </c>
      <c r="N63" s="78">
        <v>130</v>
      </c>
      <c r="O63" s="78">
        <v>691</v>
      </c>
      <c r="P63" s="78">
        <v>205</v>
      </c>
      <c r="Q63" s="78">
        <f t="shared" si="3"/>
        <v>492.2</v>
      </c>
      <c r="R63" s="80">
        <f t="shared" si="4"/>
        <v>246</v>
      </c>
      <c r="S63" s="78"/>
      <c r="T63" s="78"/>
      <c r="U63" s="78"/>
      <c r="V63" s="78"/>
      <c r="W63" s="79"/>
      <c r="X63" s="79"/>
      <c r="Y63" s="79"/>
      <c r="Z63" s="79"/>
    </row>
    <row r="64" spans="1:26" ht="21" x14ac:dyDescent="0.35">
      <c r="A64" s="37">
        <v>7236</v>
      </c>
      <c r="B64" s="31">
        <v>1001304507236</v>
      </c>
      <c r="C64" s="32" t="s">
        <v>91</v>
      </c>
      <c r="D64" s="32"/>
      <c r="E64" s="10" t="s">
        <v>8</v>
      </c>
      <c r="F64" s="14">
        <v>0.28000000000000003</v>
      </c>
      <c r="G64" s="78">
        <v>175</v>
      </c>
      <c r="H64" s="78">
        <v>112</v>
      </c>
      <c r="I64" s="78">
        <v>296</v>
      </c>
      <c r="J64" s="78">
        <v>94</v>
      </c>
      <c r="K64" s="80">
        <f t="shared" si="1"/>
        <v>169</v>
      </c>
      <c r="L64" s="80">
        <f t="shared" si="2"/>
        <v>302</v>
      </c>
      <c r="M64" s="78">
        <v>513</v>
      </c>
      <c r="N64" s="78">
        <v>426</v>
      </c>
      <c r="O64" s="78">
        <v>143</v>
      </c>
      <c r="P64" s="78">
        <v>253</v>
      </c>
      <c r="Q64" s="78">
        <f t="shared" si="3"/>
        <v>285.8</v>
      </c>
      <c r="R64" s="80">
        <f t="shared" si="4"/>
        <v>510</v>
      </c>
      <c r="S64" s="78"/>
      <c r="T64" s="78"/>
      <c r="U64" s="78"/>
      <c r="V64" s="78"/>
      <c r="W64" s="79"/>
      <c r="X64" s="79"/>
      <c r="Y64" s="79"/>
      <c r="Z64" s="79"/>
    </row>
    <row r="65" spans="1:26" ht="21" x14ac:dyDescent="0.35">
      <c r="A65" s="37">
        <v>6946</v>
      </c>
      <c r="B65" s="31">
        <v>1001300456946</v>
      </c>
      <c r="C65" s="32" t="s">
        <v>192</v>
      </c>
      <c r="D65" s="32"/>
      <c r="E65" s="10" t="s">
        <v>7</v>
      </c>
      <c r="F65" s="14">
        <v>1</v>
      </c>
      <c r="G65" s="78">
        <v>0</v>
      </c>
      <c r="H65" s="78">
        <v>0</v>
      </c>
      <c r="I65" s="78">
        <v>15</v>
      </c>
      <c r="J65" s="78">
        <v>0</v>
      </c>
      <c r="K65" s="80">
        <f t="shared" si="1"/>
        <v>4</v>
      </c>
      <c r="L65" s="80">
        <f t="shared" si="2"/>
        <v>2</v>
      </c>
      <c r="M65" s="78">
        <v>0</v>
      </c>
      <c r="N65" s="78">
        <v>0</v>
      </c>
      <c r="O65" s="78">
        <v>0</v>
      </c>
      <c r="P65" s="78">
        <v>0</v>
      </c>
      <c r="Q65" s="78">
        <f t="shared" si="3"/>
        <v>0</v>
      </c>
      <c r="R65" s="80">
        <f t="shared" si="4"/>
        <v>0</v>
      </c>
      <c r="S65" s="78"/>
      <c r="T65" s="78"/>
      <c r="U65" s="78"/>
      <c r="V65" s="78"/>
      <c r="W65" s="79"/>
      <c r="X65" s="79"/>
      <c r="Y65" s="79"/>
      <c r="Z65" s="79"/>
    </row>
    <row r="66" spans="1:26" ht="21" x14ac:dyDescent="0.35">
      <c r="A66" s="10">
        <v>6787</v>
      </c>
      <c r="B66" s="12">
        <v>1001300456787</v>
      </c>
      <c r="C66" s="13" t="s">
        <v>55</v>
      </c>
      <c r="D66" s="13"/>
      <c r="E66" s="10" t="s">
        <v>8</v>
      </c>
      <c r="F66" s="14">
        <v>0.33</v>
      </c>
      <c r="G66" s="78">
        <v>18</v>
      </c>
      <c r="H66" s="78">
        <v>240</v>
      </c>
      <c r="I66" s="78">
        <v>48</v>
      </c>
      <c r="J66" s="78">
        <v>0</v>
      </c>
      <c r="K66" s="80">
        <f t="shared" si="1"/>
        <v>77</v>
      </c>
      <c r="L66" s="80">
        <f t="shared" si="2"/>
        <v>117</v>
      </c>
      <c r="M66" s="78">
        <v>198</v>
      </c>
      <c r="N66" s="78">
        <v>3</v>
      </c>
      <c r="O66" s="78">
        <v>293</v>
      </c>
      <c r="P66" s="78">
        <v>32</v>
      </c>
      <c r="Q66" s="78">
        <f t="shared" si="3"/>
        <v>105.2</v>
      </c>
      <c r="R66" s="80">
        <f t="shared" si="4"/>
        <v>159</v>
      </c>
      <c r="S66" s="78"/>
      <c r="T66" s="78"/>
      <c r="U66" s="78"/>
      <c r="V66" s="78"/>
      <c r="W66" s="79"/>
      <c r="X66" s="79"/>
      <c r="Y66" s="79"/>
      <c r="Z66" s="79"/>
    </row>
    <row r="67" spans="1:26" ht="21" x14ac:dyDescent="0.35">
      <c r="A67" s="10">
        <v>7166</v>
      </c>
      <c r="B67" s="12">
        <v>1001303987166</v>
      </c>
      <c r="C67" s="13" t="s">
        <v>77</v>
      </c>
      <c r="D67" s="13"/>
      <c r="E67" s="10" t="s">
        <v>7</v>
      </c>
      <c r="F67" s="14">
        <v>1</v>
      </c>
      <c r="G67" s="78">
        <v>503</v>
      </c>
      <c r="H67" s="78">
        <v>635</v>
      </c>
      <c r="I67" s="78">
        <v>716</v>
      </c>
      <c r="J67" s="78">
        <v>430</v>
      </c>
      <c r="K67" s="80">
        <f t="shared" si="1"/>
        <v>571</v>
      </c>
      <c r="L67" s="80">
        <f t="shared" si="2"/>
        <v>286</v>
      </c>
      <c r="M67" s="78">
        <v>1539</v>
      </c>
      <c r="N67" s="78">
        <v>309</v>
      </c>
      <c r="O67" s="78">
        <v>861</v>
      </c>
      <c r="P67" s="78">
        <v>190</v>
      </c>
      <c r="Q67" s="78">
        <f t="shared" si="3"/>
        <v>665.8</v>
      </c>
      <c r="R67" s="80">
        <f t="shared" si="4"/>
        <v>333</v>
      </c>
      <c r="S67" s="78"/>
      <c r="T67" s="78"/>
      <c r="U67" s="78"/>
      <c r="V67" s="78"/>
      <c r="W67" s="79"/>
      <c r="X67" s="79"/>
      <c r="Y67" s="79"/>
      <c r="Z67" s="79"/>
    </row>
    <row r="68" spans="1:26" ht="21" x14ac:dyDescent="0.35">
      <c r="A68" s="10">
        <v>7169</v>
      </c>
      <c r="B68" s="19">
        <v>1001303987169</v>
      </c>
      <c r="C68" s="13" t="s">
        <v>78</v>
      </c>
      <c r="D68" s="13"/>
      <c r="E68" s="10" t="s">
        <v>8</v>
      </c>
      <c r="F68" s="14">
        <v>0.35</v>
      </c>
      <c r="G68" s="78">
        <v>358</v>
      </c>
      <c r="H68" s="78">
        <v>440</v>
      </c>
      <c r="I68" s="78">
        <v>767</v>
      </c>
      <c r="J68" s="78">
        <v>146</v>
      </c>
      <c r="K68" s="80">
        <f t="shared" si="1"/>
        <v>428</v>
      </c>
      <c r="L68" s="80">
        <f t="shared" si="2"/>
        <v>611</v>
      </c>
      <c r="M68" s="78">
        <v>1070</v>
      </c>
      <c r="N68" s="78">
        <v>552</v>
      </c>
      <c r="O68" s="78">
        <v>568</v>
      </c>
      <c r="P68" s="78">
        <v>372</v>
      </c>
      <c r="Q68" s="78">
        <f t="shared" si="3"/>
        <v>541.6</v>
      </c>
      <c r="R68" s="80">
        <f t="shared" si="4"/>
        <v>774</v>
      </c>
      <c r="S68" s="78"/>
      <c r="T68" s="78"/>
      <c r="U68" s="78"/>
      <c r="V68" s="78"/>
      <c r="W68" s="79"/>
      <c r="X68" s="79"/>
      <c r="Y68" s="79"/>
      <c r="Z68" s="79"/>
    </row>
    <row r="69" spans="1:26" ht="21" x14ac:dyDescent="0.35">
      <c r="A69" s="10">
        <v>5544</v>
      </c>
      <c r="B69" s="12">
        <v>1001051875544</v>
      </c>
      <c r="C69" s="13" t="s">
        <v>11</v>
      </c>
      <c r="D69" s="13"/>
      <c r="E69" s="10" t="s">
        <v>7</v>
      </c>
      <c r="F69" s="14">
        <v>1</v>
      </c>
      <c r="G69" s="78">
        <v>376</v>
      </c>
      <c r="H69" s="78">
        <v>650</v>
      </c>
      <c r="I69" s="78">
        <v>668</v>
      </c>
      <c r="J69" s="78">
        <v>387</v>
      </c>
      <c r="K69" s="80">
        <f t="shared" si="1"/>
        <v>520</v>
      </c>
      <c r="L69" s="80">
        <f t="shared" si="2"/>
        <v>260</v>
      </c>
      <c r="M69" s="78">
        <v>945</v>
      </c>
      <c r="N69" s="78">
        <v>548</v>
      </c>
      <c r="O69" s="78">
        <v>357</v>
      </c>
      <c r="P69" s="78">
        <v>221</v>
      </c>
      <c r="Q69" s="78">
        <f t="shared" si="3"/>
        <v>491.6</v>
      </c>
      <c r="R69" s="80">
        <f t="shared" si="4"/>
        <v>246</v>
      </c>
      <c r="S69" s="78"/>
      <c r="T69" s="78"/>
      <c r="U69" s="78"/>
      <c r="V69" s="78"/>
      <c r="W69" s="79"/>
      <c r="X69" s="79"/>
      <c r="Y69" s="79"/>
      <c r="Z69" s="79"/>
    </row>
    <row r="70" spans="1:26" ht="21" x14ac:dyDescent="0.35">
      <c r="A70" s="10">
        <v>6697</v>
      </c>
      <c r="B70" s="12">
        <v>1001301876697</v>
      </c>
      <c r="C70" s="13" t="s">
        <v>38</v>
      </c>
      <c r="D70" s="13"/>
      <c r="E70" s="10" t="s">
        <v>8</v>
      </c>
      <c r="F70" s="14">
        <v>0.35</v>
      </c>
      <c r="G70" s="78">
        <v>297</v>
      </c>
      <c r="H70" s="78">
        <v>694</v>
      </c>
      <c r="I70" s="78">
        <v>725</v>
      </c>
      <c r="J70" s="78">
        <v>454</v>
      </c>
      <c r="K70" s="80">
        <f t="shared" si="1"/>
        <v>543</v>
      </c>
      <c r="L70" s="80">
        <f t="shared" si="2"/>
        <v>776</v>
      </c>
      <c r="M70" s="78">
        <v>1081</v>
      </c>
      <c r="N70" s="78">
        <v>434</v>
      </c>
      <c r="O70" s="78">
        <v>566</v>
      </c>
      <c r="P70" s="78">
        <v>560</v>
      </c>
      <c r="Q70" s="78">
        <f t="shared" si="3"/>
        <v>619</v>
      </c>
      <c r="R70" s="80">
        <f t="shared" si="4"/>
        <v>884</v>
      </c>
      <c r="S70" s="78"/>
      <c r="T70" s="78"/>
      <c r="U70" s="78"/>
      <c r="V70" s="78"/>
      <c r="W70" s="79"/>
      <c r="X70" s="79"/>
      <c r="Y70" s="79"/>
      <c r="Z70" s="79"/>
    </row>
    <row r="71" spans="1:26" ht="21" x14ac:dyDescent="0.35">
      <c r="A71" s="10">
        <v>7237</v>
      </c>
      <c r="B71" s="12">
        <v>1001304497237</v>
      </c>
      <c r="C71" s="13" t="s">
        <v>94</v>
      </c>
      <c r="D71" s="74" t="s">
        <v>194</v>
      </c>
      <c r="E71" s="10" t="s">
        <v>8</v>
      </c>
      <c r="F71" s="14">
        <v>0.28000000000000003</v>
      </c>
      <c r="G71" s="78">
        <v>47</v>
      </c>
      <c r="H71" s="78">
        <v>58</v>
      </c>
      <c r="I71" s="78">
        <v>47</v>
      </c>
      <c r="J71" s="78">
        <v>16</v>
      </c>
      <c r="K71" s="80">
        <f t="shared" si="1"/>
        <v>42</v>
      </c>
      <c r="L71" s="80"/>
      <c r="M71" s="78">
        <v>0</v>
      </c>
      <c r="N71" s="78">
        <v>0</v>
      </c>
      <c r="O71" s="78">
        <v>0</v>
      </c>
      <c r="P71" s="78">
        <v>0</v>
      </c>
      <c r="Q71" s="78">
        <f t="shared" ref="Q71:Q134" si="5">AVERAGE(M71:P71,J71)</f>
        <v>3.2</v>
      </c>
      <c r="R71" s="80">
        <f t="shared" ref="R71:R134" si="6">Q71/2/F71</f>
        <v>6</v>
      </c>
      <c r="S71" s="78"/>
      <c r="T71" s="78"/>
      <c r="U71" s="78"/>
      <c r="V71" s="78"/>
      <c r="W71" s="79"/>
      <c r="X71" s="79"/>
      <c r="Y71" s="79"/>
      <c r="Z71" s="79"/>
    </row>
    <row r="72" spans="1:26" ht="21" x14ac:dyDescent="0.35">
      <c r="A72" s="10">
        <v>7238</v>
      </c>
      <c r="B72" s="12">
        <v>1001305197238</v>
      </c>
      <c r="C72" s="13" t="s">
        <v>93</v>
      </c>
      <c r="D72" s="13"/>
      <c r="E72" s="10" t="s">
        <v>8</v>
      </c>
      <c r="F72" s="14">
        <v>0.31</v>
      </c>
      <c r="G72" s="78"/>
      <c r="H72" s="78"/>
      <c r="I72" s="78"/>
      <c r="J72" s="78"/>
      <c r="K72" s="80"/>
      <c r="L72" s="80">
        <f t="shared" si="2"/>
        <v>0</v>
      </c>
      <c r="M72" s="78">
        <v>0</v>
      </c>
      <c r="N72" s="78">
        <v>0</v>
      </c>
      <c r="O72" s="78">
        <v>0</v>
      </c>
      <c r="P72" s="78">
        <v>0</v>
      </c>
      <c r="Q72" s="78">
        <f t="shared" si="5"/>
        <v>0</v>
      </c>
      <c r="R72" s="80">
        <f t="shared" si="6"/>
        <v>0</v>
      </c>
      <c r="S72" s="78"/>
      <c r="T72" s="78"/>
      <c r="U72" s="78"/>
      <c r="V72" s="78"/>
      <c r="W72" s="79"/>
      <c r="X72" s="79"/>
      <c r="Y72" s="79"/>
      <c r="Z72" s="79"/>
    </row>
    <row r="73" spans="1:26" ht="21" x14ac:dyDescent="0.35">
      <c r="A73" s="10">
        <v>7177</v>
      </c>
      <c r="B73" s="12">
        <v>1001302347177</v>
      </c>
      <c r="C73" s="13" t="s">
        <v>79</v>
      </c>
      <c r="D73" s="13"/>
      <c r="E73" s="10" t="s">
        <v>8</v>
      </c>
      <c r="F73" s="14">
        <v>0.35</v>
      </c>
      <c r="G73" s="78"/>
      <c r="H73" s="78"/>
      <c r="I73" s="78"/>
      <c r="J73" s="78"/>
      <c r="K73" s="80"/>
      <c r="L73" s="80">
        <f t="shared" si="2"/>
        <v>0</v>
      </c>
      <c r="M73" s="78">
        <v>0</v>
      </c>
      <c r="N73" s="78">
        <v>0</v>
      </c>
      <c r="O73" s="78">
        <v>0</v>
      </c>
      <c r="P73" s="78">
        <v>0</v>
      </c>
      <c r="Q73" s="78">
        <f t="shared" si="5"/>
        <v>0</v>
      </c>
      <c r="R73" s="80">
        <f t="shared" si="6"/>
        <v>0</v>
      </c>
      <c r="S73" s="78"/>
      <c r="T73" s="78"/>
      <c r="U73" s="78"/>
      <c r="V73" s="78"/>
      <c r="W73" s="79"/>
      <c r="X73" s="79"/>
      <c r="Y73" s="79"/>
      <c r="Z73" s="79"/>
    </row>
    <row r="74" spans="1:26" ht="21" x14ac:dyDescent="0.35">
      <c r="A74" s="10">
        <v>7489</v>
      </c>
      <c r="B74" s="12">
        <v>1001307357489</v>
      </c>
      <c r="C74" s="13" t="s">
        <v>166</v>
      </c>
      <c r="D74" s="13"/>
      <c r="E74" s="10" t="s">
        <v>8</v>
      </c>
      <c r="F74" s="14">
        <v>0.28000000000000003</v>
      </c>
      <c r="G74" s="78">
        <v>45</v>
      </c>
      <c r="H74" s="78">
        <v>76</v>
      </c>
      <c r="I74" s="78">
        <v>0</v>
      </c>
      <c r="J74" s="78">
        <v>0</v>
      </c>
      <c r="K74" s="80">
        <f t="shared" ref="K74:K138" si="7">AVERAGE(G74:J74)</f>
        <v>30</v>
      </c>
      <c r="L74" s="80">
        <f t="shared" ref="L74:L139" si="8">K74/2/F74</f>
        <v>54</v>
      </c>
      <c r="M74" s="78">
        <v>0</v>
      </c>
      <c r="N74" s="78">
        <v>0</v>
      </c>
      <c r="O74" s="78">
        <v>0</v>
      </c>
      <c r="P74" s="78">
        <v>0</v>
      </c>
      <c r="Q74" s="78">
        <f t="shared" si="5"/>
        <v>0</v>
      </c>
      <c r="R74" s="80">
        <f t="shared" si="6"/>
        <v>0</v>
      </c>
      <c r="S74" s="78"/>
      <c r="T74" s="78"/>
      <c r="U74" s="78"/>
      <c r="V74" s="78"/>
      <c r="W74" s="79"/>
      <c r="X74" s="79"/>
      <c r="Y74" s="79"/>
      <c r="Z74" s="79"/>
    </row>
    <row r="75" spans="1:26" ht="21" x14ac:dyDescent="0.35">
      <c r="A75" s="37">
        <v>7332</v>
      </c>
      <c r="B75" s="31">
        <v>1001301777332</v>
      </c>
      <c r="C75" s="32" t="s">
        <v>114</v>
      </c>
      <c r="D75" s="49"/>
      <c r="E75" s="20" t="s">
        <v>8</v>
      </c>
      <c r="F75" s="21">
        <v>0.28000000000000003</v>
      </c>
      <c r="G75" s="78">
        <v>31</v>
      </c>
      <c r="H75" s="78">
        <v>40</v>
      </c>
      <c r="I75" s="78">
        <v>11</v>
      </c>
      <c r="J75" s="78">
        <v>0</v>
      </c>
      <c r="K75" s="80">
        <f t="shared" si="7"/>
        <v>21</v>
      </c>
      <c r="L75" s="80">
        <f t="shared" si="8"/>
        <v>38</v>
      </c>
      <c r="M75" s="78">
        <v>103</v>
      </c>
      <c r="N75" s="78">
        <v>11</v>
      </c>
      <c r="O75" s="78">
        <v>13</v>
      </c>
      <c r="P75" s="78">
        <v>45</v>
      </c>
      <c r="Q75" s="78">
        <f t="shared" si="5"/>
        <v>34.4</v>
      </c>
      <c r="R75" s="80">
        <f t="shared" si="6"/>
        <v>61</v>
      </c>
      <c r="S75" s="78"/>
      <c r="T75" s="78"/>
      <c r="U75" s="78"/>
      <c r="V75" s="78"/>
      <c r="W75" s="79"/>
      <c r="X75" s="79"/>
      <c r="Y75" s="79"/>
      <c r="Z75" s="79"/>
    </row>
    <row r="76" spans="1:26" ht="21" x14ac:dyDescent="0.35">
      <c r="A76" s="37">
        <v>7333</v>
      </c>
      <c r="B76" s="31">
        <v>1001303987333</v>
      </c>
      <c r="C76" s="32" t="s">
        <v>115</v>
      </c>
      <c r="D76" s="49"/>
      <c r="E76" s="20" t="s">
        <v>8</v>
      </c>
      <c r="F76" s="21">
        <v>0.28000000000000003</v>
      </c>
      <c r="G76" s="78">
        <v>0</v>
      </c>
      <c r="H76" s="78">
        <v>22</v>
      </c>
      <c r="I76" s="78">
        <v>2</v>
      </c>
      <c r="J76" s="78">
        <v>0</v>
      </c>
      <c r="K76" s="80">
        <f t="shared" si="7"/>
        <v>6</v>
      </c>
      <c r="L76" s="80">
        <f t="shared" si="8"/>
        <v>11</v>
      </c>
      <c r="M76" s="78">
        <v>0</v>
      </c>
      <c r="N76" s="78">
        <v>0</v>
      </c>
      <c r="O76" s="78">
        <v>0</v>
      </c>
      <c r="P76" s="78">
        <v>0</v>
      </c>
      <c r="Q76" s="78">
        <f t="shared" si="5"/>
        <v>0</v>
      </c>
      <c r="R76" s="80">
        <f t="shared" si="6"/>
        <v>0</v>
      </c>
      <c r="S76" s="78"/>
      <c r="T76" s="78"/>
      <c r="U76" s="78"/>
      <c r="V76" s="78"/>
      <c r="W76" s="79"/>
      <c r="X76" s="79"/>
      <c r="Y76" s="79"/>
      <c r="Z76" s="79"/>
    </row>
    <row r="77" spans="1:26" ht="21" x14ac:dyDescent="0.35">
      <c r="A77" s="37">
        <v>7156</v>
      </c>
      <c r="B77" s="31"/>
      <c r="C77" s="89" t="s">
        <v>209</v>
      </c>
      <c r="D77" s="90" t="s">
        <v>210</v>
      </c>
      <c r="E77" s="20" t="s">
        <v>8</v>
      </c>
      <c r="F77" s="21">
        <v>0.35</v>
      </c>
      <c r="G77" s="78"/>
      <c r="H77" s="78"/>
      <c r="I77" s="78"/>
      <c r="J77" s="78"/>
      <c r="K77" s="80"/>
      <c r="L77" s="80"/>
      <c r="M77" s="78">
        <v>0</v>
      </c>
      <c r="N77" s="78">
        <v>0</v>
      </c>
      <c r="O77" s="78">
        <v>0</v>
      </c>
      <c r="P77" s="78">
        <v>22</v>
      </c>
      <c r="Q77" s="78">
        <f t="shared" si="5"/>
        <v>5.5</v>
      </c>
      <c r="R77" s="80">
        <f t="shared" si="6"/>
        <v>8</v>
      </c>
      <c r="S77" s="78"/>
      <c r="T77" s="78"/>
      <c r="U77" s="78"/>
      <c r="V77" s="78"/>
      <c r="W77" s="79"/>
      <c r="X77" s="79"/>
      <c r="Y77" s="79"/>
      <c r="Z77" s="79"/>
    </row>
    <row r="78" spans="1:26" ht="21" x14ac:dyDescent="0.35">
      <c r="A78" s="37">
        <v>7562</v>
      </c>
      <c r="B78" s="31">
        <v>1001307587562</v>
      </c>
      <c r="C78" s="32" t="s">
        <v>195</v>
      </c>
      <c r="D78" s="49"/>
      <c r="E78" s="20" t="s">
        <v>7</v>
      </c>
      <c r="F78" s="21">
        <v>1</v>
      </c>
      <c r="G78" s="78"/>
      <c r="H78" s="78"/>
      <c r="I78" s="78"/>
      <c r="J78" s="78"/>
      <c r="K78" s="80"/>
      <c r="L78" s="80">
        <f t="shared" si="8"/>
        <v>0</v>
      </c>
      <c r="M78" s="78">
        <v>9</v>
      </c>
      <c r="N78" s="78">
        <v>3</v>
      </c>
      <c r="O78" s="78">
        <v>160</v>
      </c>
      <c r="P78" s="78">
        <v>80</v>
      </c>
      <c r="Q78" s="78">
        <f t="shared" si="5"/>
        <v>63</v>
      </c>
      <c r="R78" s="80">
        <f t="shared" si="6"/>
        <v>32</v>
      </c>
      <c r="S78" s="78"/>
      <c r="T78" s="78"/>
      <c r="U78" s="78"/>
      <c r="V78" s="78"/>
      <c r="W78" s="79"/>
      <c r="X78" s="79"/>
      <c r="Y78" s="79"/>
      <c r="Z78" s="79"/>
    </row>
    <row r="79" spans="1:26" ht="21" x14ac:dyDescent="0.35">
      <c r="A79" s="37">
        <v>7710</v>
      </c>
      <c r="B79" s="31"/>
      <c r="C79" s="93" t="s">
        <v>214</v>
      </c>
      <c r="D79" s="92">
        <v>260956636643</v>
      </c>
      <c r="E79" s="20" t="s">
        <v>8</v>
      </c>
      <c r="F79" s="21">
        <v>0.3</v>
      </c>
      <c r="G79" s="78"/>
      <c r="H79" s="78"/>
      <c r="I79" s="78"/>
      <c r="J79" s="78"/>
      <c r="K79" s="80"/>
      <c r="L79" s="80"/>
      <c r="M79" s="78">
        <v>0</v>
      </c>
      <c r="N79" s="78">
        <v>0</v>
      </c>
      <c r="O79" s="78">
        <v>0</v>
      </c>
      <c r="P79" s="78">
        <v>0</v>
      </c>
      <c r="Q79" s="78">
        <f t="shared" si="5"/>
        <v>0</v>
      </c>
      <c r="R79" s="80">
        <f t="shared" si="6"/>
        <v>0</v>
      </c>
      <c r="S79" s="78"/>
      <c r="T79" s="78"/>
      <c r="U79" s="78"/>
      <c r="V79" s="78"/>
      <c r="W79" s="79"/>
      <c r="X79" s="79"/>
      <c r="Y79" s="79"/>
      <c r="Z79" s="79"/>
    </row>
    <row r="80" spans="1:26" ht="21" x14ac:dyDescent="0.35">
      <c r="A80" s="37">
        <v>7516</v>
      </c>
      <c r="B80" s="31">
        <v>1001307107516</v>
      </c>
      <c r="C80" s="32" t="s">
        <v>196</v>
      </c>
      <c r="D80" s="49"/>
      <c r="E80" s="20" t="s">
        <v>8</v>
      </c>
      <c r="F80" s="21">
        <v>0.31</v>
      </c>
      <c r="G80" s="78"/>
      <c r="H80" s="78"/>
      <c r="I80" s="78"/>
      <c r="J80" s="78"/>
      <c r="K80" s="80"/>
      <c r="L80" s="80">
        <f t="shared" si="8"/>
        <v>0</v>
      </c>
      <c r="M80" s="78">
        <v>7</v>
      </c>
      <c r="N80" s="78">
        <v>7</v>
      </c>
      <c r="O80" s="78">
        <v>22</v>
      </c>
      <c r="P80" s="78">
        <v>37</v>
      </c>
      <c r="Q80" s="78">
        <f t="shared" si="5"/>
        <v>18.25</v>
      </c>
      <c r="R80" s="80">
        <f t="shared" si="6"/>
        <v>29</v>
      </c>
      <c r="S80" s="78"/>
      <c r="T80" s="78"/>
      <c r="U80" s="78"/>
      <c r="V80" s="78"/>
      <c r="W80" s="79"/>
      <c r="X80" s="79"/>
      <c r="Y80" s="79"/>
      <c r="Z80" s="79"/>
    </row>
    <row r="81" spans="1:26" ht="21" x14ac:dyDescent="0.35">
      <c r="A81" s="37">
        <v>7513</v>
      </c>
      <c r="B81" s="31">
        <v>1001307077513</v>
      </c>
      <c r="C81" s="32" t="s">
        <v>197</v>
      </c>
      <c r="D81" s="49"/>
      <c r="E81" s="20" t="s">
        <v>8</v>
      </c>
      <c r="F81" s="21">
        <v>0.26</v>
      </c>
      <c r="G81" s="78"/>
      <c r="H81" s="78"/>
      <c r="I81" s="78"/>
      <c r="J81" s="78"/>
      <c r="K81" s="80"/>
      <c r="L81" s="80">
        <f t="shared" si="8"/>
        <v>0</v>
      </c>
      <c r="M81" s="78">
        <v>6</v>
      </c>
      <c r="N81" s="78">
        <v>6</v>
      </c>
      <c r="O81" s="78">
        <v>19</v>
      </c>
      <c r="P81" s="78">
        <v>27</v>
      </c>
      <c r="Q81" s="78">
        <f t="shared" si="5"/>
        <v>14.5</v>
      </c>
      <c r="R81" s="80">
        <f t="shared" si="6"/>
        <v>28</v>
      </c>
      <c r="S81" s="78"/>
      <c r="T81" s="78"/>
      <c r="U81" s="78"/>
      <c r="V81" s="78"/>
      <c r="W81" s="79"/>
      <c r="X81" s="79"/>
      <c r="Y81" s="79"/>
      <c r="Z81" s="79"/>
    </row>
    <row r="82" spans="1:26" ht="23.25" x14ac:dyDescent="0.35">
      <c r="A82" s="5"/>
      <c r="B82" s="11"/>
      <c r="C82" s="28" t="s">
        <v>51</v>
      </c>
      <c r="D82" s="28"/>
      <c r="E82" s="29"/>
      <c r="F82" s="15"/>
      <c r="G82" s="78"/>
      <c r="H82" s="78"/>
      <c r="I82" s="78"/>
      <c r="J82" s="78"/>
      <c r="K82" s="80"/>
      <c r="L82" s="80"/>
      <c r="M82" s="78"/>
      <c r="N82" s="78"/>
      <c r="O82" s="78"/>
      <c r="P82" s="78"/>
      <c r="Q82" s="78"/>
      <c r="R82" s="80"/>
      <c r="S82" s="78"/>
      <c r="T82" s="78"/>
      <c r="U82" s="78"/>
      <c r="V82" s="78"/>
      <c r="W82" s="79"/>
      <c r="X82" s="79"/>
      <c r="Y82" s="79"/>
      <c r="Z82" s="79"/>
    </row>
    <row r="83" spans="1:26" ht="21" x14ac:dyDescent="0.35">
      <c r="A83" s="10">
        <v>7608</v>
      </c>
      <c r="B83" s="12">
        <v>1001304197608</v>
      </c>
      <c r="C83" s="13" t="s">
        <v>161</v>
      </c>
      <c r="D83" s="64" t="s">
        <v>177</v>
      </c>
      <c r="E83" s="10" t="s">
        <v>8</v>
      </c>
      <c r="F83" s="14">
        <v>0.1</v>
      </c>
      <c r="G83" s="78">
        <v>0</v>
      </c>
      <c r="H83" s="78">
        <v>14</v>
      </c>
      <c r="I83" s="78">
        <v>7</v>
      </c>
      <c r="J83" s="78">
        <v>2</v>
      </c>
      <c r="K83" s="80">
        <f t="shared" si="7"/>
        <v>6</v>
      </c>
      <c r="L83" s="80">
        <f t="shared" si="8"/>
        <v>30</v>
      </c>
      <c r="M83" s="78">
        <v>0</v>
      </c>
      <c r="N83" s="78">
        <v>1</v>
      </c>
      <c r="O83" s="78">
        <v>3</v>
      </c>
      <c r="P83" s="78">
        <v>1</v>
      </c>
      <c r="Q83" s="78">
        <f t="shared" si="5"/>
        <v>1.4</v>
      </c>
      <c r="R83" s="80">
        <f t="shared" si="6"/>
        <v>7</v>
      </c>
      <c r="S83" s="78"/>
      <c r="T83" s="78"/>
      <c r="U83" s="78"/>
      <c r="V83" s="78"/>
      <c r="W83" s="79"/>
      <c r="X83" s="79"/>
      <c r="Y83" s="79"/>
      <c r="Z83" s="79"/>
    </row>
    <row r="84" spans="1:26" ht="21" x14ac:dyDescent="0.35">
      <c r="A84" s="10">
        <v>7610</v>
      </c>
      <c r="B84" s="12">
        <v>1001306717610</v>
      </c>
      <c r="C84" s="13" t="s">
        <v>162</v>
      </c>
      <c r="D84" s="64" t="s">
        <v>178</v>
      </c>
      <c r="E84" s="10" t="s">
        <v>8</v>
      </c>
      <c r="F84" s="14">
        <v>0.1</v>
      </c>
      <c r="G84" s="78"/>
      <c r="H84" s="78"/>
      <c r="I84" s="78"/>
      <c r="J84" s="78"/>
      <c r="K84" s="80"/>
      <c r="L84" s="80">
        <f t="shared" si="8"/>
        <v>0</v>
      </c>
      <c r="M84" s="78">
        <v>0</v>
      </c>
      <c r="N84" s="78">
        <v>0</v>
      </c>
      <c r="O84" s="78">
        <v>0</v>
      </c>
      <c r="P84" s="78">
        <v>0</v>
      </c>
      <c r="Q84" s="78">
        <f t="shared" si="5"/>
        <v>0</v>
      </c>
      <c r="R84" s="80">
        <f t="shared" si="6"/>
        <v>0</v>
      </c>
      <c r="S84" s="78"/>
      <c r="T84" s="78"/>
      <c r="U84" s="78"/>
      <c r="V84" s="78"/>
      <c r="W84" s="79"/>
      <c r="X84" s="79"/>
      <c r="Y84" s="79"/>
      <c r="Z84" s="79"/>
    </row>
    <row r="85" spans="1:26" ht="23.25" x14ac:dyDescent="0.35">
      <c r="A85" s="5"/>
      <c r="B85" s="11"/>
      <c r="C85" s="28" t="s">
        <v>50</v>
      </c>
      <c r="D85" s="28"/>
      <c r="E85" s="29"/>
      <c r="F85" s="15"/>
      <c r="G85" s="78"/>
      <c r="H85" s="78"/>
      <c r="I85" s="78"/>
      <c r="J85" s="78"/>
      <c r="K85" s="80"/>
      <c r="L85" s="80"/>
      <c r="M85" s="78"/>
      <c r="N85" s="78"/>
      <c r="O85" s="78"/>
      <c r="P85" s="78"/>
      <c r="Q85" s="78"/>
      <c r="R85" s="80"/>
      <c r="S85" s="78"/>
      <c r="T85" s="78"/>
      <c r="U85" s="78"/>
      <c r="V85" s="78"/>
      <c r="W85" s="79"/>
      <c r="X85" s="79"/>
      <c r="Y85" s="79"/>
      <c r="Z85" s="79"/>
    </row>
    <row r="86" spans="1:26" ht="21" x14ac:dyDescent="0.35">
      <c r="A86" s="10">
        <v>7103</v>
      </c>
      <c r="B86" s="12">
        <v>1001223297103</v>
      </c>
      <c r="C86" s="13" t="s">
        <v>63</v>
      </c>
      <c r="D86" s="13"/>
      <c r="E86" s="10" t="s">
        <v>8</v>
      </c>
      <c r="F86" s="14">
        <v>0.18</v>
      </c>
      <c r="G86" s="78">
        <v>31</v>
      </c>
      <c r="H86" s="78">
        <v>164</v>
      </c>
      <c r="I86" s="78">
        <v>113</v>
      </c>
      <c r="J86" s="78">
        <v>34</v>
      </c>
      <c r="K86" s="80">
        <f t="shared" si="7"/>
        <v>86</v>
      </c>
      <c r="L86" s="80">
        <f t="shared" si="8"/>
        <v>239</v>
      </c>
      <c r="M86" s="78">
        <v>171</v>
      </c>
      <c r="N86" s="78">
        <v>61</v>
      </c>
      <c r="O86" s="78">
        <v>97</v>
      </c>
      <c r="P86" s="78">
        <v>52</v>
      </c>
      <c r="Q86" s="78">
        <f t="shared" si="5"/>
        <v>83</v>
      </c>
      <c r="R86" s="80">
        <f t="shared" si="6"/>
        <v>231</v>
      </c>
      <c r="S86" s="78"/>
      <c r="T86" s="78"/>
      <c r="U86" s="78"/>
      <c r="V86" s="78"/>
      <c r="W86" s="79"/>
      <c r="X86" s="79"/>
      <c r="Y86" s="79"/>
      <c r="Z86" s="79"/>
    </row>
    <row r="87" spans="1:26" ht="21" x14ac:dyDescent="0.35">
      <c r="A87" s="10">
        <v>7092</v>
      </c>
      <c r="B87" s="12">
        <v>1001223297092</v>
      </c>
      <c r="C87" s="13" t="s">
        <v>109</v>
      </c>
      <c r="D87" s="13"/>
      <c r="E87" s="10" t="s">
        <v>8</v>
      </c>
      <c r="F87" s="14">
        <v>0.14000000000000001</v>
      </c>
      <c r="G87" s="78">
        <v>3</v>
      </c>
      <c r="H87" s="78">
        <v>4</v>
      </c>
      <c r="I87" s="78">
        <v>0</v>
      </c>
      <c r="J87" s="78">
        <v>0</v>
      </c>
      <c r="K87" s="80">
        <f t="shared" si="7"/>
        <v>2</v>
      </c>
      <c r="L87" s="80">
        <f t="shared" si="8"/>
        <v>7</v>
      </c>
      <c r="M87" s="78">
        <v>0</v>
      </c>
      <c r="N87" s="78">
        <v>0</v>
      </c>
      <c r="O87" s="78">
        <v>0</v>
      </c>
      <c r="P87" s="78">
        <v>0</v>
      </c>
      <c r="Q87" s="78">
        <f t="shared" si="5"/>
        <v>0</v>
      </c>
      <c r="R87" s="80">
        <f t="shared" si="6"/>
        <v>0</v>
      </c>
      <c r="S87" s="78"/>
      <c r="T87" s="78"/>
      <c r="U87" s="78"/>
      <c r="V87" s="78"/>
      <c r="W87" s="79"/>
      <c r="X87" s="79"/>
      <c r="Y87" s="79"/>
      <c r="Z87" s="79"/>
    </row>
    <row r="88" spans="1:26" ht="21" x14ac:dyDescent="0.35">
      <c r="A88" s="10">
        <v>6228</v>
      </c>
      <c r="B88" s="12">
        <v>1001225416228</v>
      </c>
      <c r="C88" s="13" t="s">
        <v>25</v>
      </c>
      <c r="D88" s="13"/>
      <c r="E88" s="10" t="s">
        <v>8</v>
      </c>
      <c r="F88" s="14">
        <v>0.09</v>
      </c>
      <c r="G88" s="78">
        <v>26</v>
      </c>
      <c r="H88" s="78">
        <v>11</v>
      </c>
      <c r="I88" s="78">
        <v>0</v>
      </c>
      <c r="J88" s="78">
        <v>4</v>
      </c>
      <c r="K88" s="80">
        <f t="shared" si="7"/>
        <v>10</v>
      </c>
      <c r="L88" s="80">
        <f t="shared" si="8"/>
        <v>56</v>
      </c>
      <c r="M88" s="78">
        <v>20</v>
      </c>
      <c r="N88" s="78">
        <v>7</v>
      </c>
      <c r="O88" s="78">
        <v>0</v>
      </c>
      <c r="P88" s="78">
        <v>18</v>
      </c>
      <c r="Q88" s="78">
        <f t="shared" si="5"/>
        <v>9.8000000000000007</v>
      </c>
      <c r="R88" s="80">
        <f t="shared" si="6"/>
        <v>54</v>
      </c>
      <c r="S88" s="78"/>
      <c r="T88" s="78"/>
      <c r="U88" s="78"/>
      <c r="V88" s="78"/>
      <c r="W88" s="79"/>
      <c r="X88" s="79"/>
      <c r="Y88" s="79"/>
      <c r="Z88" s="79"/>
    </row>
    <row r="89" spans="1:26" ht="21" x14ac:dyDescent="0.35">
      <c r="A89" s="10">
        <v>6448</v>
      </c>
      <c r="B89" s="12">
        <v>1001234146448</v>
      </c>
      <c r="C89" s="13" t="s">
        <v>33</v>
      </c>
      <c r="D89" s="13"/>
      <c r="E89" s="10" t="s">
        <v>8</v>
      </c>
      <c r="F89" s="14">
        <v>0.1</v>
      </c>
      <c r="G89" s="78"/>
      <c r="H89" s="78"/>
      <c r="I89" s="78"/>
      <c r="J89" s="78"/>
      <c r="K89" s="80"/>
      <c r="L89" s="80">
        <f t="shared" si="8"/>
        <v>0</v>
      </c>
      <c r="M89" s="78">
        <v>0</v>
      </c>
      <c r="N89" s="78">
        <v>0</v>
      </c>
      <c r="O89" s="78">
        <v>0</v>
      </c>
      <c r="P89" s="78">
        <v>0</v>
      </c>
      <c r="Q89" s="78">
        <f t="shared" si="5"/>
        <v>0</v>
      </c>
      <c r="R89" s="80">
        <f t="shared" si="6"/>
        <v>0</v>
      </c>
      <c r="S89" s="78"/>
      <c r="T89" s="78"/>
      <c r="U89" s="78"/>
      <c r="V89" s="78"/>
      <c r="W89" s="79"/>
      <c r="X89" s="79"/>
      <c r="Y89" s="79"/>
      <c r="Z89" s="79"/>
    </row>
    <row r="90" spans="1:26" ht="21" x14ac:dyDescent="0.35">
      <c r="A90" s="10">
        <v>6208</v>
      </c>
      <c r="B90" s="12">
        <v>1001220226208</v>
      </c>
      <c r="C90" s="13" t="s">
        <v>56</v>
      </c>
      <c r="D90" s="13"/>
      <c r="E90" s="10" t="s">
        <v>8</v>
      </c>
      <c r="F90" s="14">
        <v>0.15</v>
      </c>
      <c r="G90" s="78">
        <v>20</v>
      </c>
      <c r="H90" s="78">
        <v>8</v>
      </c>
      <c r="I90" s="78">
        <v>9</v>
      </c>
      <c r="J90" s="78">
        <v>0</v>
      </c>
      <c r="K90" s="80">
        <f t="shared" si="7"/>
        <v>9</v>
      </c>
      <c r="L90" s="80">
        <f t="shared" si="8"/>
        <v>30</v>
      </c>
      <c r="M90" s="78">
        <v>0</v>
      </c>
      <c r="N90" s="78">
        <v>0</v>
      </c>
      <c r="O90" s="78">
        <v>0</v>
      </c>
      <c r="P90" s="78">
        <v>0</v>
      </c>
      <c r="Q90" s="78">
        <f t="shared" si="5"/>
        <v>0</v>
      </c>
      <c r="R90" s="80">
        <f t="shared" si="6"/>
        <v>0</v>
      </c>
      <c r="S90" s="78"/>
      <c r="T90" s="78"/>
      <c r="U90" s="78"/>
      <c r="V90" s="78"/>
      <c r="W90" s="79"/>
      <c r="X90" s="79"/>
      <c r="Y90" s="79"/>
      <c r="Z90" s="79"/>
    </row>
    <row r="91" spans="1:26" ht="21" x14ac:dyDescent="0.35">
      <c r="A91" s="10">
        <v>6754</v>
      </c>
      <c r="B91" s="12">
        <v>1001225406754</v>
      </c>
      <c r="C91" s="13" t="s">
        <v>97</v>
      </c>
      <c r="D91" s="13"/>
      <c r="E91" s="10" t="s">
        <v>8</v>
      </c>
      <c r="F91" s="14">
        <v>0.09</v>
      </c>
      <c r="G91" s="78"/>
      <c r="H91" s="78"/>
      <c r="I91" s="78"/>
      <c r="J91" s="78"/>
      <c r="K91" s="80"/>
      <c r="L91" s="80">
        <f t="shared" si="8"/>
        <v>0</v>
      </c>
      <c r="M91" s="78">
        <v>0</v>
      </c>
      <c r="N91" s="78">
        <v>0</v>
      </c>
      <c r="O91" s="78">
        <v>0</v>
      </c>
      <c r="P91" s="78">
        <v>0</v>
      </c>
      <c r="Q91" s="78">
        <f t="shared" si="5"/>
        <v>0</v>
      </c>
      <c r="R91" s="80">
        <f t="shared" si="6"/>
        <v>0</v>
      </c>
      <c r="S91" s="78"/>
      <c r="T91" s="78"/>
      <c r="U91" s="78"/>
      <c r="V91" s="78"/>
      <c r="W91" s="79"/>
      <c r="X91" s="79"/>
      <c r="Y91" s="79"/>
      <c r="Z91" s="79"/>
    </row>
    <row r="92" spans="1:26" ht="21" x14ac:dyDescent="0.35">
      <c r="A92" s="10">
        <v>6279</v>
      </c>
      <c r="B92" s="19">
        <v>1001220286279</v>
      </c>
      <c r="C92" s="13" t="s">
        <v>108</v>
      </c>
      <c r="D92" s="13"/>
      <c r="E92" s="20" t="s">
        <v>8</v>
      </c>
      <c r="F92" s="21">
        <v>0.15</v>
      </c>
      <c r="G92" s="78">
        <v>36</v>
      </c>
      <c r="H92" s="78">
        <v>22</v>
      </c>
      <c r="I92" s="78">
        <v>0</v>
      </c>
      <c r="J92" s="78">
        <v>0</v>
      </c>
      <c r="K92" s="80">
        <f t="shared" si="7"/>
        <v>15</v>
      </c>
      <c r="L92" s="80">
        <f t="shared" si="8"/>
        <v>50</v>
      </c>
      <c r="M92" s="78">
        <v>44</v>
      </c>
      <c r="N92" s="78">
        <v>8</v>
      </c>
      <c r="O92" s="78">
        <v>4</v>
      </c>
      <c r="P92" s="78">
        <v>12</v>
      </c>
      <c r="Q92" s="78">
        <f t="shared" si="5"/>
        <v>13.6</v>
      </c>
      <c r="R92" s="80">
        <f t="shared" si="6"/>
        <v>45</v>
      </c>
      <c r="S92" s="78"/>
      <c r="T92" s="78"/>
      <c r="U92" s="78"/>
      <c r="V92" s="78"/>
      <c r="W92" s="79"/>
      <c r="X92" s="79"/>
      <c r="Y92" s="79"/>
      <c r="Z92" s="79"/>
    </row>
    <row r="93" spans="1:26" ht="21" x14ac:dyDescent="0.35">
      <c r="A93" s="10">
        <v>7612</v>
      </c>
      <c r="B93" s="12">
        <v>1001453907612</v>
      </c>
      <c r="C93" s="13" t="s">
        <v>163</v>
      </c>
      <c r="D93" s="64" t="s">
        <v>179</v>
      </c>
      <c r="E93" s="10" t="s">
        <v>8</v>
      </c>
      <c r="F93" s="14">
        <v>0.1</v>
      </c>
      <c r="G93" s="78">
        <v>2</v>
      </c>
      <c r="H93" s="78">
        <v>4</v>
      </c>
      <c r="I93" s="78">
        <v>9</v>
      </c>
      <c r="J93" s="78">
        <v>7</v>
      </c>
      <c r="K93" s="80">
        <f t="shared" si="7"/>
        <v>6</v>
      </c>
      <c r="L93" s="80">
        <f t="shared" si="8"/>
        <v>30</v>
      </c>
      <c r="M93" s="78">
        <v>7</v>
      </c>
      <c r="N93" s="78">
        <v>3</v>
      </c>
      <c r="O93" s="78">
        <v>1</v>
      </c>
      <c r="P93" s="78">
        <v>1</v>
      </c>
      <c r="Q93" s="78">
        <f t="shared" si="5"/>
        <v>3.8</v>
      </c>
      <c r="R93" s="80">
        <f t="shared" si="6"/>
        <v>19</v>
      </c>
      <c r="S93" s="78"/>
      <c r="T93" s="78"/>
      <c r="U93" s="78"/>
      <c r="V93" s="78"/>
      <c r="W93" s="79"/>
      <c r="X93" s="79"/>
      <c r="Y93" s="79"/>
      <c r="Z93" s="79"/>
    </row>
    <row r="94" spans="1:26" ht="23.25" x14ac:dyDescent="0.35">
      <c r="A94" s="5"/>
      <c r="B94" s="11"/>
      <c r="C94" s="28" t="s">
        <v>48</v>
      </c>
      <c r="D94" s="28"/>
      <c r="E94" s="29"/>
      <c r="F94" s="15"/>
      <c r="G94" s="78"/>
      <c r="H94" s="78"/>
      <c r="I94" s="78"/>
      <c r="J94" s="78"/>
      <c r="K94" s="80"/>
      <c r="L94" s="80"/>
      <c r="M94" s="78"/>
      <c r="N94" s="78"/>
      <c r="O94" s="78"/>
      <c r="P94" s="78"/>
      <c r="Q94" s="78"/>
      <c r="R94" s="80"/>
      <c r="S94" s="78"/>
      <c r="T94" s="78"/>
      <c r="U94" s="78"/>
      <c r="V94" s="78"/>
      <c r="W94" s="79"/>
      <c r="X94" s="79"/>
      <c r="Y94" s="79"/>
      <c r="Z94" s="79"/>
    </row>
    <row r="95" spans="1:26" ht="21" x14ac:dyDescent="0.35">
      <c r="A95" s="10">
        <v>7613</v>
      </c>
      <c r="B95" s="12">
        <v>1001061977613</v>
      </c>
      <c r="C95" s="13" t="s">
        <v>167</v>
      </c>
      <c r="D95" s="64" t="s">
        <v>180</v>
      </c>
      <c r="E95" s="10" t="s">
        <v>8</v>
      </c>
      <c r="F95" s="14">
        <v>0.1</v>
      </c>
      <c r="G95" s="78">
        <v>51</v>
      </c>
      <c r="H95" s="78">
        <v>62</v>
      </c>
      <c r="I95" s="78">
        <v>32</v>
      </c>
      <c r="J95" s="78">
        <v>25</v>
      </c>
      <c r="K95" s="80">
        <f t="shared" si="7"/>
        <v>43</v>
      </c>
      <c r="L95" s="80">
        <f t="shared" si="8"/>
        <v>215</v>
      </c>
      <c r="M95" s="78">
        <v>103</v>
      </c>
      <c r="N95" s="78">
        <v>10</v>
      </c>
      <c r="O95" s="78">
        <v>36</v>
      </c>
      <c r="P95" s="78">
        <v>0</v>
      </c>
      <c r="Q95" s="78">
        <f t="shared" si="5"/>
        <v>34.799999999999997</v>
      </c>
      <c r="R95" s="80">
        <f t="shared" si="6"/>
        <v>174</v>
      </c>
      <c r="S95" s="78"/>
      <c r="T95" s="78"/>
      <c r="U95" s="78"/>
      <c r="V95" s="78"/>
      <c r="W95" s="79"/>
      <c r="X95" s="79"/>
      <c r="Y95" s="79"/>
      <c r="Z95" s="79"/>
    </row>
    <row r="96" spans="1:26" ht="21" x14ac:dyDescent="0.35">
      <c r="A96" s="10">
        <v>7382</v>
      </c>
      <c r="B96" s="12">
        <v>1001203117382</v>
      </c>
      <c r="C96" s="13" t="s">
        <v>122</v>
      </c>
      <c r="D96" s="13"/>
      <c r="E96" s="10" t="s">
        <v>8</v>
      </c>
      <c r="F96" s="14">
        <v>0.12</v>
      </c>
      <c r="G96" s="78">
        <v>46</v>
      </c>
      <c r="H96" s="78">
        <v>157</v>
      </c>
      <c r="I96" s="78">
        <v>102</v>
      </c>
      <c r="J96" s="78">
        <v>31</v>
      </c>
      <c r="K96" s="80">
        <f t="shared" si="7"/>
        <v>84</v>
      </c>
      <c r="L96" s="80">
        <f t="shared" si="8"/>
        <v>350</v>
      </c>
      <c r="M96" s="78">
        <v>118</v>
      </c>
      <c r="N96" s="78">
        <v>51</v>
      </c>
      <c r="O96" s="78">
        <v>92</v>
      </c>
      <c r="P96" s="78">
        <v>57</v>
      </c>
      <c r="Q96" s="78">
        <f t="shared" si="5"/>
        <v>69.8</v>
      </c>
      <c r="R96" s="80">
        <f t="shared" si="6"/>
        <v>291</v>
      </c>
      <c r="S96" s="78"/>
      <c r="T96" s="78"/>
      <c r="U96" s="78"/>
      <c r="V96" s="78"/>
      <c r="W96" s="79"/>
      <c r="X96" s="79"/>
      <c r="Y96" s="79"/>
      <c r="Z96" s="79"/>
    </row>
    <row r="97" spans="1:26" ht="21" x14ac:dyDescent="0.35">
      <c r="A97" s="10">
        <v>7616</v>
      </c>
      <c r="B97" s="12">
        <v>1001062507616</v>
      </c>
      <c r="C97" s="13" t="s">
        <v>164</v>
      </c>
      <c r="D97" s="64" t="s">
        <v>181</v>
      </c>
      <c r="E97" s="10" t="s">
        <v>8</v>
      </c>
      <c r="F97" s="14">
        <v>0.1</v>
      </c>
      <c r="G97" s="78">
        <v>15</v>
      </c>
      <c r="H97" s="78">
        <v>28</v>
      </c>
      <c r="I97" s="78">
        <v>66</v>
      </c>
      <c r="J97" s="78">
        <v>13</v>
      </c>
      <c r="K97" s="80">
        <f t="shared" si="7"/>
        <v>31</v>
      </c>
      <c r="L97" s="80">
        <f t="shared" si="8"/>
        <v>155</v>
      </c>
      <c r="M97" s="78">
        <v>23</v>
      </c>
      <c r="N97" s="78">
        <v>37</v>
      </c>
      <c r="O97" s="78">
        <v>101</v>
      </c>
      <c r="P97" s="78">
        <v>27</v>
      </c>
      <c r="Q97" s="78">
        <f t="shared" si="5"/>
        <v>40.200000000000003</v>
      </c>
      <c r="R97" s="80">
        <f t="shared" si="6"/>
        <v>201</v>
      </c>
      <c r="S97" s="78"/>
      <c r="T97" s="78"/>
      <c r="U97" s="78"/>
      <c r="V97" s="78"/>
      <c r="W97" s="79"/>
      <c r="X97" s="79"/>
      <c r="Y97" s="79"/>
      <c r="Z97" s="79"/>
    </row>
    <row r="98" spans="1:26" ht="21" x14ac:dyDescent="0.35">
      <c r="A98" s="10">
        <v>6221</v>
      </c>
      <c r="B98" s="12">
        <v>1001205376221</v>
      </c>
      <c r="C98" s="13" t="s">
        <v>57</v>
      </c>
      <c r="D98" s="13"/>
      <c r="E98" s="10" t="s">
        <v>8</v>
      </c>
      <c r="F98" s="14">
        <v>0.09</v>
      </c>
      <c r="G98" s="78">
        <v>20</v>
      </c>
      <c r="H98" s="78">
        <v>34</v>
      </c>
      <c r="I98" s="78">
        <v>50</v>
      </c>
      <c r="J98" s="78">
        <v>13</v>
      </c>
      <c r="K98" s="80">
        <f t="shared" si="7"/>
        <v>29</v>
      </c>
      <c r="L98" s="80">
        <f t="shared" si="8"/>
        <v>161</v>
      </c>
      <c r="M98" s="78">
        <v>122</v>
      </c>
      <c r="N98" s="78">
        <v>62</v>
      </c>
      <c r="O98" s="78">
        <v>76</v>
      </c>
      <c r="P98" s="78">
        <v>19</v>
      </c>
      <c r="Q98" s="78">
        <f t="shared" si="5"/>
        <v>58.4</v>
      </c>
      <c r="R98" s="80">
        <f t="shared" si="6"/>
        <v>324</v>
      </c>
      <c r="S98" s="78"/>
      <c r="T98" s="78"/>
      <c r="U98" s="78"/>
      <c r="V98" s="78"/>
      <c r="W98" s="79"/>
      <c r="X98" s="79"/>
      <c r="Y98" s="79"/>
      <c r="Z98" s="79"/>
    </row>
    <row r="99" spans="1:26" ht="21" x14ac:dyDescent="0.35">
      <c r="A99" s="10">
        <v>6222</v>
      </c>
      <c r="B99" s="12">
        <v>1001205386222</v>
      </c>
      <c r="C99" s="13" t="s">
        <v>58</v>
      </c>
      <c r="D99" s="13"/>
      <c r="E99" s="10" t="s">
        <v>8</v>
      </c>
      <c r="F99" s="14">
        <v>0.09</v>
      </c>
      <c r="G99" s="78"/>
      <c r="H99" s="78"/>
      <c r="I99" s="78"/>
      <c r="J99" s="78"/>
      <c r="K99" s="80"/>
      <c r="L99" s="80">
        <f t="shared" si="8"/>
        <v>0</v>
      </c>
      <c r="M99" s="78">
        <v>0</v>
      </c>
      <c r="N99" s="78">
        <v>0</v>
      </c>
      <c r="O99" s="78">
        <v>0</v>
      </c>
      <c r="P99" s="78">
        <v>0</v>
      </c>
      <c r="Q99" s="78">
        <f t="shared" si="5"/>
        <v>0</v>
      </c>
      <c r="R99" s="80">
        <f t="shared" si="6"/>
        <v>0</v>
      </c>
      <c r="S99" s="78"/>
      <c r="T99" s="78"/>
      <c r="U99" s="78"/>
      <c r="V99" s="78"/>
      <c r="W99" s="79"/>
      <c r="X99" s="79"/>
      <c r="Y99" s="79"/>
      <c r="Z99" s="79"/>
    </row>
    <row r="100" spans="1:26" ht="21" x14ac:dyDescent="0.35">
      <c r="A100" s="10">
        <v>5679</v>
      </c>
      <c r="B100" s="12">
        <v>1001190765679</v>
      </c>
      <c r="C100" s="13" t="s">
        <v>82</v>
      </c>
      <c r="D100" s="13"/>
      <c r="E100" s="10" t="s">
        <v>8</v>
      </c>
      <c r="F100" s="14">
        <v>0.15</v>
      </c>
      <c r="G100" s="78">
        <v>2</v>
      </c>
      <c r="H100" s="78">
        <v>1</v>
      </c>
      <c r="I100" s="78">
        <v>0</v>
      </c>
      <c r="J100" s="78">
        <v>4</v>
      </c>
      <c r="K100" s="80">
        <f t="shared" si="7"/>
        <v>2</v>
      </c>
      <c r="L100" s="80">
        <f t="shared" si="8"/>
        <v>7</v>
      </c>
      <c r="M100" s="78">
        <v>0</v>
      </c>
      <c r="N100" s="78">
        <v>0</v>
      </c>
      <c r="O100" s="78">
        <v>0</v>
      </c>
      <c r="P100" s="78">
        <v>0</v>
      </c>
      <c r="Q100" s="78">
        <f t="shared" si="5"/>
        <v>0.8</v>
      </c>
      <c r="R100" s="80">
        <f t="shared" si="6"/>
        <v>3</v>
      </c>
      <c r="S100" s="78"/>
      <c r="T100" s="78"/>
      <c r="U100" s="78"/>
      <c r="V100" s="78"/>
      <c r="W100" s="79"/>
      <c r="X100" s="79"/>
      <c r="Y100" s="79"/>
      <c r="Z100" s="79"/>
    </row>
    <row r="101" spans="1:26" ht="21" x14ac:dyDescent="0.35">
      <c r="A101" s="10">
        <v>7626</v>
      </c>
      <c r="B101" s="12">
        <v>1001066607626</v>
      </c>
      <c r="C101" s="13" t="s">
        <v>165</v>
      </c>
      <c r="D101" s="64" t="s">
        <v>182</v>
      </c>
      <c r="E101" s="10" t="s">
        <v>8</v>
      </c>
      <c r="F101" s="14">
        <v>0.1</v>
      </c>
      <c r="G101" s="78"/>
      <c r="H101" s="78"/>
      <c r="I101" s="78"/>
      <c r="J101" s="78"/>
      <c r="K101" s="80"/>
      <c r="L101" s="80">
        <f t="shared" si="8"/>
        <v>0</v>
      </c>
      <c r="M101" s="78">
        <v>0</v>
      </c>
      <c r="N101" s="78">
        <v>0</v>
      </c>
      <c r="O101" s="78">
        <v>0</v>
      </c>
      <c r="P101" s="78">
        <v>5</v>
      </c>
      <c r="Q101" s="78">
        <f t="shared" si="5"/>
        <v>1.25</v>
      </c>
      <c r="R101" s="80">
        <f t="shared" si="6"/>
        <v>6</v>
      </c>
      <c r="S101" s="78"/>
      <c r="T101" s="78"/>
      <c r="U101" s="78"/>
      <c r="V101" s="78"/>
      <c r="W101" s="79"/>
      <c r="X101" s="79"/>
      <c r="Y101" s="79"/>
      <c r="Z101" s="79"/>
    </row>
    <row r="102" spans="1:26" ht="23.25" x14ac:dyDescent="0.35">
      <c r="A102" s="5"/>
      <c r="B102" s="11"/>
      <c r="C102" s="28" t="s">
        <v>49</v>
      </c>
      <c r="D102" s="28"/>
      <c r="E102" s="29"/>
      <c r="F102" s="15"/>
      <c r="G102" s="78"/>
      <c r="H102" s="78"/>
      <c r="I102" s="78"/>
      <c r="J102" s="78"/>
      <c r="K102" s="80"/>
      <c r="L102" s="80"/>
      <c r="M102" s="78"/>
      <c r="N102" s="78"/>
      <c r="O102" s="78"/>
      <c r="P102" s="78"/>
      <c r="Q102" s="78"/>
      <c r="R102" s="80"/>
      <c r="S102" s="78"/>
      <c r="T102" s="78"/>
      <c r="U102" s="78"/>
      <c r="V102" s="78"/>
      <c r="W102" s="79"/>
      <c r="X102" s="79"/>
      <c r="Y102" s="79"/>
      <c r="Z102" s="79"/>
    </row>
    <row r="103" spans="1:26" ht="21" x14ac:dyDescent="0.35">
      <c r="A103" s="10">
        <v>3582</v>
      </c>
      <c r="B103" s="12">
        <v>1001061973582</v>
      </c>
      <c r="C103" s="13" t="s">
        <v>121</v>
      </c>
      <c r="D103" s="13"/>
      <c r="E103" s="10" t="s">
        <v>7</v>
      </c>
      <c r="F103" s="14">
        <v>1</v>
      </c>
      <c r="G103" s="78"/>
      <c r="H103" s="78"/>
      <c r="I103" s="78"/>
      <c r="J103" s="78"/>
      <c r="K103" s="80"/>
      <c r="L103" s="80">
        <f t="shared" si="8"/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f t="shared" si="5"/>
        <v>0</v>
      </c>
      <c r="R103" s="80">
        <f t="shared" si="6"/>
        <v>0</v>
      </c>
      <c r="S103" s="78"/>
      <c r="T103" s="78"/>
      <c r="U103" s="78"/>
      <c r="V103" s="78"/>
      <c r="W103" s="79"/>
      <c r="X103" s="79"/>
      <c r="Y103" s="79"/>
      <c r="Z103" s="79"/>
    </row>
    <row r="104" spans="1:26" ht="21" x14ac:dyDescent="0.35">
      <c r="A104" s="10">
        <v>3986</v>
      </c>
      <c r="B104" s="12">
        <v>1001061973986</v>
      </c>
      <c r="C104" s="13" t="s">
        <v>112</v>
      </c>
      <c r="D104" s="13"/>
      <c r="E104" s="10" t="s">
        <v>8</v>
      </c>
      <c r="F104" s="14">
        <v>0.25</v>
      </c>
      <c r="G104" s="78">
        <v>76</v>
      </c>
      <c r="H104" s="78">
        <v>114</v>
      </c>
      <c r="I104" s="78">
        <v>210</v>
      </c>
      <c r="J104" s="78">
        <v>56</v>
      </c>
      <c r="K104" s="80">
        <f t="shared" si="7"/>
        <v>114</v>
      </c>
      <c r="L104" s="80">
        <f t="shared" si="8"/>
        <v>228</v>
      </c>
      <c r="M104" s="78">
        <v>370</v>
      </c>
      <c r="N104" s="78">
        <v>168</v>
      </c>
      <c r="O104" s="78">
        <v>116</v>
      </c>
      <c r="P104" s="78">
        <v>0</v>
      </c>
      <c r="Q104" s="78">
        <f t="shared" si="5"/>
        <v>142</v>
      </c>
      <c r="R104" s="80">
        <f t="shared" si="6"/>
        <v>284</v>
      </c>
      <c r="S104" s="78"/>
      <c r="T104" s="78"/>
      <c r="U104" s="78"/>
      <c r="V104" s="78"/>
      <c r="W104" s="79"/>
      <c r="X104" s="79"/>
      <c r="Y104" s="79"/>
      <c r="Z104" s="79"/>
    </row>
    <row r="105" spans="1:26" ht="21" x14ac:dyDescent="0.35">
      <c r="A105" s="10">
        <v>5931</v>
      </c>
      <c r="B105" s="12">
        <v>1001060755931</v>
      </c>
      <c r="C105" s="13" t="s">
        <v>37</v>
      </c>
      <c r="D105" s="13"/>
      <c r="E105" s="10" t="s">
        <v>8</v>
      </c>
      <c r="F105" s="14">
        <v>0.22</v>
      </c>
      <c r="G105" s="78">
        <v>92</v>
      </c>
      <c r="H105" s="78">
        <v>114</v>
      </c>
      <c r="I105" s="78">
        <v>234</v>
      </c>
      <c r="J105" s="78">
        <v>76</v>
      </c>
      <c r="K105" s="80">
        <f t="shared" si="7"/>
        <v>129</v>
      </c>
      <c r="L105" s="80">
        <f t="shared" si="8"/>
        <v>293</v>
      </c>
      <c r="M105" s="78">
        <v>292</v>
      </c>
      <c r="N105" s="78">
        <v>208</v>
      </c>
      <c r="O105" s="78">
        <v>150</v>
      </c>
      <c r="P105" s="78">
        <v>69</v>
      </c>
      <c r="Q105" s="78">
        <f t="shared" si="5"/>
        <v>159</v>
      </c>
      <c r="R105" s="80">
        <f t="shared" si="6"/>
        <v>361</v>
      </c>
      <c r="S105" s="78"/>
      <c r="T105" s="78"/>
      <c r="U105" s="78"/>
      <c r="V105" s="78"/>
      <c r="W105" s="79"/>
      <c r="X105" s="79"/>
      <c r="Y105" s="79"/>
      <c r="Z105" s="79"/>
    </row>
    <row r="106" spans="1:26" ht="21" x14ac:dyDescent="0.35">
      <c r="A106" s="10">
        <v>5708</v>
      </c>
      <c r="B106" s="12">
        <v>1001063145708</v>
      </c>
      <c r="C106" s="13" t="s">
        <v>18</v>
      </c>
      <c r="D106" s="13"/>
      <c r="E106" s="10" t="s">
        <v>7</v>
      </c>
      <c r="F106" s="14">
        <v>1</v>
      </c>
      <c r="G106" s="78">
        <v>85</v>
      </c>
      <c r="H106" s="78">
        <v>39</v>
      </c>
      <c r="I106" s="78">
        <v>44</v>
      </c>
      <c r="J106" s="78">
        <v>80</v>
      </c>
      <c r="K106" s="80">
        <f t="shared" si="7"/>
        <v>62</v>
      </c>
      <c r="L106" s="80">
        <f t="shared" si="8"/>
        <v>31</v>
      </c>
      <c r="M106" s="78">
        <v>44</v>
      </c>
      <c r="N106" s="78">
        <v>0</v>
      </c>
      <c r="O106" s="78">
        <v>72</v>
      </c>
      <c r="P106" s="78">
        <v>116</v>
      </c>
      <c r="Q106" s="78">
        <f t="shared" si="5"/>
        <v>62.4</v>
      </c>
      <c r="R106" s="80">
        <f t="shared" si="6"/>
        <v>31</v>
      </c>
      <c r="S106" s="78"/>
      <c r="T106" s="78"/>
      <c r="U106" s="78"/>
      <c r="V106" s="78"/>
      <c r="W106" s="79"/>
      <c r="X106" s="79"/>
      <c r="Y106" s="79"/>
      <c r="Z106" s="79"/>
    </row>
    <row r="107" spans="1:26" ht="21" x14ac:dyDescent="0.35">
      <c r="A107" s="10">
        <v>3287</v>
      </c>
      <c r="B107" s="12">
        <v>1001060763287</v>
      </c>
      <c r="C107" s="13" t="s">
        <v>45</v>
      </c>
      <c r="D107" s="13"/>
      <c r="E107" s="10" t="s">
        <v>7</v>
      </c>
      <c r="F107" s="14">
        <v>1</v>
      </c>
      <c r="G107" s="78">
        <v>0</v>
      </c>
      <c r="H107" s="78">
        <v>39</v>
      </c>
      <c r="I107" s="78">
        <v>36</v>
      </c>
      <c r="J107" s="78">
        <v>64</v>
      </c>
      <c r="K107" s="80">
        <f t="shared" si="7"/>
        <v>35</v>
      </c>
      <c r="L107" s="80">
        <f t="shared" si="8"/>
        <v>18</v>
      </c>
      <c r="M107" s="78">
        <v>184</v>
      </c>
      <c r="N107" s="78">
        <v>12</v>
      </c>
      <c r="O107" s="78">
        <v>20</v>
      </c>
      <c r="P107" s="78">
        <v>60</v>
      </c>
      <c r="Q107" s="78">
        <f t="shared" si="5"/>
        <v>68</v>
      </c>
      <c r="R107" s="80">
        <f t="shared" si="6"/>
        <v>34</v>
      </c>
      <c r="S107" s="78"/>
      <c r="T107" s="78"/>
      <c r="U107" s="78"/>
      <c r="V107" s="78"/>
      <c r="W107" s="79"/>
      <c r="X107" s="79"/>
      <c r="Y107" s="79"/>
      <c r="Z107" s="79"/>
    </row>
    <row r="108" spans="1:26" ht="21" x14ac:dyDescent="0.35">
      <c r="A108" s="10">
        <v>4993</v>
      </c>
      <c r="B108" s="12">
        <v>1001060764993</v>
      </c>
      <c r="C108" s="13" t="s">
        <v>43</v>
      </c>
      <c r="D108" s="13"/>
      <c r="E108" s="10" t="s">
        <v>8</v>
      </c>
      <c r="F108" s="14">
        <v>0.25</v>
      </c>
      <c r="G108" s="78">
        <v>112</v>
      </c>
      <c r="H108" s="78">
        <v>92</v>
      </c>
      <c r="I108" s="78">
        <v>46</v>
      </c>
      <c r="J108" s="78">
        <v>28</v>
      </c>
      <c r="K108" s="80">
        <f t="shared" si="7"/>
        <v>70</v>
      </c>
      <c r="L108" s="80">
        <f t="shared" si="8"/>
        <v>140</v>
      </c>
      <c r="M108" s="78">
        <v>422</v>
      </c>
      <c r="N108" s="78">
        <v>0</v>
      </c>
      <c r="O108" s="78">
        <v>0</v>
      </c>
      <c r="P108" s="78">
        <v>26</v>
      </c>
      <c r="Q108" s="78">
        <f t="shared" si="5"/>
        <v>95.2</v>
      </c>
      <c r="R108" s="80">
        <f t="shared" si="6"/>
        <v>190</v>
      </c>
      <c r="S108" s="78"/>
      <c r="T108" s="78"/>
      <c r="U108" s="78"/>
      <c r="V108" s="78"/>
      <c r="W108" s="79"/>
      <c r="X108" s="79"/>
      <c r="Y108" s="79"/>
      <c r="Z108" s="79"/>
    </row>
    <row r="109" spans="1:26" ht="21" x14ac:dyDescent="0.35">
      <c r="A109" s="10">
        <v>5483</v>
      </c>
      <c r="B109" s="12">
        <v>1001062505483</v>
      </c>
      <c r="C109" s="13" t="s">
        <v>44</v>
      </c>
      <c r="D109" s="13"/>
      <c r="E109" s="10" t="s">
        <v>8</v>
      </c>
      <c r="F109" s="14">
        <v>0.25</v>
      </c>
      <c r="G109" s="78">
        <v>96</v>
      </c>
      <c r="H109" s="78">
        <v>72</v>
      </c>
      <c r="I109" s="78">
        <v>76</v>
      </c>
      <c r="J109" s="78">
        <v>76</v>
      </c>
      <c r="K109" s="80">
        <f t="shared" si="7"/>
        <v>80</v>
      </c>
      <c r="L109" s="80">
        <f t="shared" si="8"/>
        <v>160</v>
      </c>
      <c r="M109" s="78">
        <v>322</v>
      </c>
      <c r="N109" s="78">
        <v>82</v>
      </c>
      <c r="O109" s="78">
        <v>90</v>
      </c>
      <c r="P109" s="78">
        <v>66</v>
      </c>
      <c r="Q109" s="78">
        <f t="shared" si="5"/>
        <v>127.2</v>
      </c>
      <c r="R109" s="80">
        <f t="shared" si="6"/>
        <v>254</v>
      </c>
      <c r="S109" s="78"/>
      <c r="T109" s="78"/>
      <c r="U109" s="78"/>
      <c r="V109" s="78"/>
      <c r="W109" s="79"/>
      <c r="X109" s="79"/>
      <c r="Y109" s="79"/>
      <c r="Z109" s="79"/>
    </row>
    <row r="110" spans="1:26" ht="21" x14ac:dyDescent="0.35">
      <c r="A110" s="10">
        <v>4117</v>
      </c>
      <c r="B110" s="12">
        <v>1001062504117</v>
      </c>
      <c r="C110" s="13" t="s">
        <v>19</v>
      </c>
      <c r="D110" s="13"/>
      <c r="E110" s="10" t="s">
        <v>7</v>
      </c>
      <c r="F110" s="14">
        <v>1</v>
      </c>
      <c r="G110" s="78">
        <v>40</v>
      </c>
      <c r="H110" s="78">
        <v>28</v>
      </c>
      <c r="I110" s="78">
        <v>88</v>
      </c>
      <c r="J110" s="78">
        <v>40</v>
      </c>
      <c r="K110" s="80">
        <f t="shared" si="7"/>
        <v>49</v>
      </c>
      <c r="L110" s="80">
        <f t="shared" si="8"/>
        <v>25</v>
      </c>
      <c r="M110" s="78">
        <v>242</v>
      </c>
      <c r="N110" s="78">
        <v>20</v>
      </c>
      <c r="O110" s="78">
        <v>125</v>
      </c>
      <c r="P110" s="78">
        <v>81</v>
      </c>
      <c r="Q110" s="78">
        <f t="shared" si="5"/>
        <v>101.6</v>
      </c>
      <c r="R110" s="80">
        <f t="shared" si="6"/>
        <v>51</v>
      </c>
      <c r="S110" s="78"/>
      <c r="T110" s="78"/>
      <c r="U110" s="78"/>
      <c r="V110" s="78"/>
      <c r="W110" s="79"/>
      <c r="X110" s="79"/>
      <c r="Y110" s="79"/>
      <c r="Z110" s="79"/>
    </row>
    <row r="111" spans="1:26" ht="21" x14ac:dyDescent="0.35">
      <c r="A111" s="10">
        <v>614</v>
      </c>
      <c r="B111" s="12">
        <v>1001060720614</v>
      </c>
      <c r="C111" s="84" t="s">
        <v>83</v>
      </c>
      <c r="D111" s="85" t="s">
        <v>208</v>
      </c>
      <c r="E111" s="10" t="s">
        <v>7</v>
      </c>
      <c r="F111" s="14">
        <v>1</v>
      </c>
      <c r="G111" s="78"/>
      <c r="H111" s="78"/>
      <c r="I111" s="78"/>
      <c r="J111" s="78"/>
      <c r="K111" s="80"/>
      <c r="L111" s="80">
        <f t="shared" si="8"/>
        <v>0</v>
      </c>
      <c r="M111" s="78">
        <v>0</v>
      </c>
      <c r="N111" s="78">
        <v>0</v>
      </c>
      <c r="O111" s="78">
        <v>0</v>
      </c>
      <c r="P111" s="78">
        <v>27</v>
      </c>
      <c r="Q111" s="78">
        <f t="shared" si="5"/>
        <v>6.75</v>
      </c>
      <c r="R111" s="80">
        <f t="shared" si="6"/>
        <v>3</v>
      </c>
      <c r="S111" s="78"/>
      <c r="T111" s="78"/>
      <c r="U111" s="78"/>
      <c r="V111" s="78"/>
      <c r="W111" s="79"/>
      <c r="X111" s="79"/>
      <c r="Y111" s="79"/>
      <c r="Z111" s="79"/>
    </row>
    <row r="112" spans="1:26" ht="21" x14ac:dyDescent="0.35">
      <c r="A112" s="10">
        <v>6967</v>
      </c>
      <c r="B112" s="12">
        <v>1001063656967</v>
      </c>
      <c r="C112" s="13" t="s">
        <v>62</v>
      </c>
      <c r="D112" s="13"/>
      <c r="E112" s="10" t="s">
        <v>8</v>
      </c>
      <c r="F112" s="14">
        <v>0.25</v>
      </c>
      <c r="G112" s="78">
        <v>14</v>
      </c>
      <c r="H112" s="78">
        <v>42</v>
      </c>
      <c r="I112" s="78">
        <v>14</v>
      </c>
      <c r="J112" s="78">
        <v>8</v>
      </c>
      <c r="K112" s="80">
        <f t="shared" si="7"/>
        <v>20</v>
      </c>
      <c r="L112" s="80">
        <f t="shared" si="8"/>
        <v>40</v>
      </c>
      <c r="M112" s="78">
        <v>126</v>
      </c>
      <c r="N112" s="78">
        <v>0</v>
      </c>
      <c r="O112" s="78">
        <v>60</v>
      </c>
      <c r="P112" s="78">
        <v>46</v>
      </c>
      <c r="Q112" s="78">
        <f t="shared" si="5"/>
        <v>48</v>
      </c>
      <c r="R112" s="80">
        <f t="shared" si="6"/>
        <v>96</v>
      </c>
      <c r="S112" s="78"/>
      <c r="T112" s="78"/>
      <c r="U112" s="78"/>
      <c r="V112" s="78"/>
      <c r="W112" s="79"/>
      <c r="X112" s="79"/>
      <c r="Y112" s="79"/>
      <c r="Z112" s="79"/>
    </row>
    <row r="113" spans="1:26" ht="21" x14ac:dyDescent="0.35">
      <c r="A113" s="10">
        <v>6937</v>
      </c>
      <c r="B113" s="12">
        <v>1001063106937</v>
      </c>
      <c r="C113" s="13" t="s">
        <v>84</v>
      </c>
      <c r="D113" s="13"/>
      <c r="E113" s="10" t="s">
        <v>8</v>
      </c>
      <c r="F113" s="14">
        <v>0.25</v>
      </c>
      <c r="G113" s="78"/>
      <c r="H113" s="78"/>
      <c r="I113" s="78"/>
      <c r="J113" s="78"/>
      <c r="K113" s="80"/>
      <c r="L113" s="80">
        <f t="shared" si="8"/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f t="shared" si="5"/>
        <v>0</v>
      </c>
      <c r="R113" s="80">
        <f t="shared" si="6"/>
        <v>0</v>
      </c>
      <c r="S113" s="78"/>
      <c r="T113" s="78"/>
      <c r="U113" s="78"/>
      <c r="V113" s="78"/>
      <c r="W113" s="79"/>
      <c r="X113" s="79"/>
      <c r="Y113" s="79"/>
      <c r="Z113" s="79"/>
    </row>
    <row r="114" spans="1:26" ht="21" x14ac:dyDescent="0.35">
      <c r="A114" s="10">
        <v>7143</v>
      </c>
      <c r="B114" s="12">
        <v>1001060717143</v>
      </c>
      <c r="C114" s="84" t="s">
        <v>99</v>
      </c>
      <c r="D114" s="85" t="s">
        <v>208</v>
      </c>
      <c r="E114" s="10" t="s">
        <v>8</v>
      </c>
      <c r="F114" s="14">
        <v>0.22</v>
      </c>
      <c r="G114" s="78"/>
      <c r="H114" s="78"/>
      <c r="I114" s="78"/>
      <c r="J114" s="78"/>
      <c r="K114" s="80"/>
      <c r="L114" s="80">
        <f t="shared" si="8"/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f t="shared" si="5"/>
        <v>0</v>
      </c>
      <c r="R114" s="80">
        <f t="shared" si="6"/>
        <v>0</v>
      </c>
      <c r="S114" s="78"/>
      <c r="T114" s="78"/>
      <c r="U114" s="78"/>
      <c r="V114" s="78"/>
      <c r="W114" s="79"/>
      <c r="X114" s="79"/>
      <c r="Y114" s="79"/>
      <c r="Z114" s="79"/>
    </row>
    <row r="115" spans="1:26" ht="21" x14ac:dyDescent="0.35">
      <c r="A115" s="10">
        <v>7147</v>
      </c>
      <c r="B115" s="12">
        <v>1001063237147</v>
      </c>
      <c r="C115" s="13" t="s">
        <v>88</v>
      </c>
      <c r="D115" s="13"/>
      <c r="E115" s="10" t="s">
        <v>8</v>
      </c>
      <c r="F115" s="14">
        <v>0.22</v>
      </c>
      <c r="G115" s="78">
        <v>0</v>
      </c>
      <c r="H115" s="78">
        <v>11</v>
      </c>
      <c r="I115" s="78">
        <v>0</v>
      </c>
      <c r="J115" s="78">
        <v>0</v>
      </c>
      <c r="K115" s="80">
        <f t="shared" si="7"/>
        <v>3</v>
      </c>
      <c r="L115" s="80">
        <f t="shared" si="8"/>
        <v>7</v>
      </c>
      <c r="M115" s="78">
        <v>0</v>
      </c>
      <c r="N115" s="78">
        <v>0</v>
      </c>
      <c r="O115" s="78">
        <v>0</v>
      </c>
      <c r="P115" s="78">
        <v>0</v>
      </c>
      <c r="Q115" s="78">
        <f t="shared" si="5"/>
        <v>0</v>
      </c>
      <c r="R115" s="80">
        <f t="shared" si="6"/>
        <v>0</v>
      </c>
      <c r="S115" s="78"/>
      <c r="T115" s="78"/>
      <c r="U115" s="78"/>
      <c r="V115" s="78"/>
      <c r="W115" s="79"/>
      <c r="X115" s="79"/>
      <c r="Y115" s="79"/>
      <c r="Z115" s="79"/>
    </row>
    <row r="116" spans="1:26" ht="21" x14ac:dyDescent="0.35">
      <c r="A116" s="10">
        <v>7456</v>
      </c>
      <c r="B116" s="12">
        <v>1001063097456</v>
      </c>
      <c r="C116" s="91" t="s">
        <v>131</v>
      </c>
      <c r="D116" s="92">
        <v>260956636643</v>
      </c>
      <c r="E116" s="10" t="s">
        <v>8</v>
      </c>
      <c r="F116" s="14">
        <v>0.15</v>
      </c>
      <c r="G116" s="78"/>
      <c r="H116" s="78"/>
      <c r="I116" s="78"/>
      <c r="J116" s="78"/>
      <c r="K116" s="80"/>
      <c r="L116" s="80">
        <f t="shared" si="8"/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f t="shared" si="5"/>
        <v>0</v>
      </c>
      <c r="R116" s="80">
        <f t="shared" si="6"/>
        <v>0</v>
      </c>
      <c r="S116" s="78"/>
      <c r="T116" s="78"/>
      <c r="U116" s="78"/>
      <c r="V116" s="78"/>
      <c r="W116" s="79"/>
      <c r="X116" s="79"/>
      <c r="Y116" s="79"/>
      <c r="Z116" s="79"/>
    </row>
    <row r="117" spans="1:26" ht="21" x14ac:dyDescent="0.35">
      <c r="A117" s="10">
        <v>7364</v>
      </c>
      <c r="B117" s="12">
        <v>1001063217364</v>
      </c>
      <c r="C117" s="13" t="s">
        <v>120</v>
      </c>
      <c r="D117" s="38"/>
      <c r="E117" s="10" t="s">
        <v>8</v>
      </c>
      <c r="F117" s="14">
        <v>0.22</v>
      </c>
      <c r="G117" s="78"/>
      <c r="H117" s="78"/>
      <c r="I117" s="78"/>
      <c r="J117" s="78"/>
      <c r="K117" s="80"/>
      <c r="L117" s="80">
        <f t="shared" si="8"/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f t="shared" si="5"/>
        <v>0</v>
      </c>
      <c r="R117" s="80">
        <f t="shared" si="6"/>
        <v>0</v>
      </c>
      <c r="S117" s="78"/>
      <c r="T117" s="78"/>
      <c r="U117" s="78"/>
      <c r="V117" s="78"/>
      <c r="W117" s="79"/>
      <c r="X117" s="79"/>
      <c r="Y117" s="79"/>
      <c r="Z117" s="79"/>
    </row>
    <row r="118" spans="1:26" ht="21" x14ac:dyDescent="0.35">
      <c r="A118" s="10">
        <v>7383</v>
      </c>
      <c r="B118" s="12">
        <v>1001065467383</v>
      </c>
      <c r="C118" s="13" t="s">
        <v>123</v>
      </c>
      <c r="D118" s="38"/>
      <c r="E118" s="10" t="s">
        <v>8</v>
      </c>
      <c r="F118" s="14">
        <v>0.22</v>
      </c>
      <c r="G118" s="78"/>
      <c r="H118" s="78"/>
      <c r="I118" s="78"/>
      <c r="J118" s="78"/>
      <c r="K118" s="80"/>
      <c r="L118" s="80">
        <f t="shared" si="8"/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f t="shared" si="5"/>
        <v>0</v>
      </c>
      <c r="R118" s="80">
        <f t="shared" si="6"/>
        <v>0</v>
      </c>
      <c r="S118" s="78"/>
      <c r="T118" s="78"/>
      <c r="U118" s="78"/>
      <c r="V118" s="78"/>
      <c r="W118" s="79"/>
      <c r="X118" s="79"/>
      <c r="Y118" s="79"/>
      <c r="Z118" s="79"/>
    </row>
    <row r="119" spans="1:26" ht="21" x14ac:dyDescent="0.35">
      <c r="A119" s="10">
        <v>7317</v>
      </c>
      <c r="B119" s="12">
        <v>1001066567317</v>
      </c>
      <c r="C119" s="13" t="s">
        <v>103</v>
      </c>
      <c r="D119" s="13"/>
      <c r="E119" s="10" t="s">
        <v>8</v>
      </c>
      <c r="F119" s="14">
        <v>0.54</v>
      </c>
      <c r="G119" s="78"/>
      <c r="H119" s="78"/>
      <c r="I119" s="78"/>
      <c r="J119" s="78"/>
      <c r="K119" s="80"/>
      <c r="L119" s="80">
        <f t="shared" si="8"/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f t="shared" si="5"/>
        <v>0</v>
      </c>
      <c r="R119" s="80">
        <f t="shared" si="6"/>
        <v>0</v>
      </c>
      <c r="S119" s="78"/>
      <c r="T119" s="78"/>
      <c r="U119" s="78"/>
      <c r="V119" s="78"/>
      <c r="W119" s="79"/>
      <c r="X119" s="79"/>
      <c r="Y119" s="79"/>
      <c r="Z119" s="79"/>
    </row>
    <row r="120" spans="1:26" ht="21" x14ac:dyDescent="0.35">
      <c r="A120" s="10">
        <v>7318</v>
      </c>
      <c r="B120" s="12">
        <v>1001060727318</v>
      </c>
      <c r="C120" s="13" t="s">
        <v>104</v>
      </c>
      <c r="D120" s="13"/>
      <c r="E120" s="10" t="s">
        <v>8</v>
      </c>
      <c r="F120" s="14">
        <v>0.27</v>
      </c>
      <c r="G120" s="78"/>
      <c r="H120" s="78"/>
      <c r="I120" s="78"/>
      <c r="J120" s="78"/>
      <c r="K120" s="80"/>
      <c r="L120" s="80">
        <f t="shared" si="8"/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f t="shared" si="5"/>
        <v>0</v>
      </c>
      <c r="R120" s="80">
        <f t="shared" si="6"/>
        <v>0</v>
      </c>
      <c r="S120" s="78"/>
      <c r="T120" s="78"/>
      <c r="U120" s="78"/>
      <c r="V120" s="78"/>
      <c r="W120" s="79"/>
      <c r="X120" s="79"/>
      <c r="Y120" s="79"/>
      <c r="Z120" s="79"/>
    </row>
    <row r="121" spans="1:26" ht="21" x14ac:dyDescent="0.35">
      <c r="A121" s="10">
        <v>7316</v>
      </c>
      <c r="B121" s="12">
        <v>1001060727316</v>
      </c>
      <c r="C121" s="13" t="s">
        <v>105</v>
      </c>
      <c r="D121" s="13"/>
      <c r="E121" s="10" t="s">
        <v>8</v>
      </c>
      <c r="F121" s="14">
        <v>0.54</v>
      </c>
      <c r="G121" s="78"/>
      <c r="H121" s="78"/>
      <c r="I121" s="78"/>
      <c r="J121" s="78"/>
      <c r="K121" s="80"/>
      <c r="L121" s="80">
        <f t="shared" si="8"/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f t="shared" si="5"/>
        <v>0</v>
      </c>
      <c r="R121" s="80">
        <f t="shared" si="6"/>
        <v>0</v>
      </c>
      <c r="S121" s="78"/>
      <c r="T121" s="78"/>
      <c r="U121" s="78"/>
      <c r="V121" s="78"/>
      <c r="W121" s="79"/>
      <c r="X121" s="79"/>
      <c r="Y121" s="79"/>
      <c r="Z121" s="79"/>
    </row>
    <row r="122" spans="1:26" ht="21" x14ac:dyDescent="0.35">
      <c r="A122" s="10">
        <v>6832</v>
      </c>
      <c r="B122" s="12">
        <v>1001065616832</v>
      </c>
      <c r="C122" s="13" t="s">
        <v>124</v>
      </c>
      <c r="D122" s="13"/>
      <c r="E122" s="10" t="s">
        <v>7</v>
      </c>
      <c r="F122" s="14">
        <v>1</v>
      </c>
      <c r="G122" s="78">
        <v>0</v>
      </c>
      <c r="H122" s="78">
        <v>0</v>
      </c>
      <c r="I122" s="78">
        <v>0</v>
      </c>
      <c r="J122" s="78">
        <v>0</v>
      </c>
      <c r="K122" s="80">
        <f t="shared" si="7"/>
        <v>0</v>
      </c>
      <c r="L122" s="80">
        <f t="shared" si="8"/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f t="shared" si="5"/>
        <v>0</v>
      </c>
      <c r="R122" s="80">
        <f t="shared" si="6"/>
        <v>0</v>
      </c>
      <c r="S122" s="78"/>
      <c r="T122" s="78"/>
      <c r="U122" s="78"/>
      <c r="V122" s="78"/>
      <c r="W122" s="79"/>
      <c r="X122" s="79"/>
      <c r="Y122" s="79"/>
      <c r="Z122" s="79"/>
    </row>
    <row r="123" spans="1:26" ht="21" x14ac:dyDescent="0.35">
      <c r="A123" s="10">
        <v>7299</v>
      </c>
      <c r="B123" s="12">
        <v>1001060677299</v>
      </c>
      <c r="C123" s="13" t="s">
        <v>125</v>
      </c>
      <c r="D123" s="13"/>
      <c r="E123" s="10" t="s">
        <v>7</v>
      </c>
      <c r="F123" s="14">
        <v>1</v>
      </c>
      <c r="G123" s="78">
        <v>0</v>
      </c>
      <c r="H123" s="78">
        <v>99</v>
      </c>
      <c r="I123" s="78">
        <v>50</v>
      </c>
      <c r="J123" s="78">
        <v>0</v>
      </c>
      <c r="K123" s="80">
        <f t="shared" si="7"/>
        <v>37</v>
      </c>
      <c r="L123" s="80">
        <f t="shared" si="8"/>
        <v>19</v>
      </c>
      <c r="M123" s="78">
        <v>158</v>
      </c>
      <c r="N123" s="78">
        <v>159</v>
      </c>
      <c r="O123" s="78">
        <v>318</v>
      </c>
      <c r="P123" s="78">
        <v>98</v>
      </c>
      <c r="Q123" s="78">
        <f t="shared" si="5"/>
        <v>146.6</v>
      </c>
      <c r="R123" s="80">
        <f t="shared" si="6"/>
        <v>73</v>
      </c>
      <c r="S123" s="78"/>
      <c r="T123" s="78"/>
      <c r="U123" s="78"/>
      <c r="V123" s="78"/>
      <c r="W123" s="79"/>
      <c r="X123" s="79"/>
      <c r="Y123" s="79"/>
      <c r="Z123" s="79"/>
    </row>
    <row r="124" spans="1:26" ht="21" x14ac:dyDescent="0.35">
      <c r="A124" s="10">
        <v>7386</v>
      </c>
      <c r="B124" s="12">
        <v>1001067017386</v>
      </c>
      <c r="C124" s="91" t="s">
        <v>144</v>
      </c>
      <c r="D124" s="92">
        <v>260956636643</v>
      </c>
      <c r="E124" s="10" t="s">
        <v>8</v>
      </c>
      <c r="F124" s="14">
        <v>0.15</v>
      </c>
      <c r="G124" s="78"/>
      <c r="H124" s="78"/>
      <c r="I124" s="78"/>
      <c r="J124" s="78"/>
      <c r="K124" s="80"/>
      <c r="L124" s="80">
        <f t="shared" si="8"/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f t="shared" si="5"/>
        <v>0</v>
      </c>
      <c r="R124" s="80">
        <f t="shared" si="6"/>
        <v>0</v>
      </c>
      <c r="S124" s="78"/>
      <c r="T124" s="78"/>
      <c r="U124" s="78"/>
      <c r="V124" s="78"/>
      <c r="W124" s="79"/>
      <c r="X124" s="79"/>
      <c r="Y124" s="79"/>
      <c r="Z124" s="79"/>
    </row>
    <row r="125" spans="1:26" ht="23.25" x14ac:dyDescent="0.35">
      <c r="A125" s="5"/>
      <c r="B125" s="11"/>
      <c r="C125" s="28" t="s">
        <v>53</v>
      </c>
      <c r="D125" s="28"/>
      <c r="E125" s="29"/>
      <c r="F125" s="15"/>
      <c r="G125" s="78"/>
      <c r="H125" s="78"/>
      <c r="I125" s="78"/>
      <c r="J125" s="78"/>
      <c r="K125" s="80"/>
      <c r="L125" s="80"/>
      <c r="M125" s="78"/>
      <c r="N125" s="78"/>
      <c r="O125" s="78"/>
      <c r="P125" s="78"/>
      <c r="Q125" s="78"/>
      <c r="R125" s="80"/>
      <c r="S125" s="78"/>
      <c r="T125" s="78"/>
      <c r="U125" s="78"/>
      <c r="V125" s="78"/>
      <c r="W125" s="79"/>
      <c r="X125" s="79"/>
      <c r="Y125" s="79"/>
      <c r="Z125" s="79"/>
    </row>
    <row r="126" spans="1:26" ht="21" x14ac:dyDescent="0.35">
      <c r="A126" s="10">
        <v>6550</v>
      </c>
      <c r="B126" s="12">
        <v>1001032736550</v>
      </c>
      <c r="C126" s="13" t="s">
        <v>39</v>
      </c>
      <c r="D126" s="13"/>
      <c r="E126" s="10" t="s">
        <v>7</v>
      </c>
      <c r="F126" s="14">
        <v>1</v>
      </c>
      <c r="G126" s="78">
        <v>240</v>
      </c>
      <c r="H126" s="78">
        <v>340</v>
      </c>
      <c r="I126" s="78">
        <v>120</v>
      </c>
      <c r="J126" s="78">
        <v>116</v>
      </c>
      <c r="K126" s="80">
        <f t="shared" si="7"/>
        <v>204</v>
      </c>
      <c r="L126" s="80">
        <f t="shared" si="8"/>
        <v>102</v>
      </c>
      <c r="M126" s="78">
        <v>545</v>
      </c>
      <c r="N126" s="78">
        <v>236</v>
      </c>
      <c r="O126" s="78">
        <v>224</v>
      </c>
      <c r="P126" s="78">
        <v>119</v>
      </c>
      <c r="Q126" s="78">
        <f t="shared" si="5"/>
        <v>248</v>
      </c>
      <c r="R126" s="80">
        <f t="shared" si="6"/>
        <v>124</v>
      </c>
      <c r="S126" s="78"/>
      <c r="T126" s="78"/>
      <c r="U126" s="78"/>
      <c r="V126" s="78"/>
      <c r="W126" s="79"/>
      <c r="X126" s="79"/>
      <c r="Y126" s="79"/>
      <c r="Z126" s="79"/>
    </row>
    <row r="127" spans="1:26" ht="21" x14ac:dyDescent="0.35">
      <c r="A127" s="10">
        <v>6608</v>
      </c>
      <c r="B127" s="12">
        <v>1001033856608</v>
      </c>
      <c r="C127" s="13" t="s">
        <v>61</v>
      </c>
      <c r="D127" s="13"/>
      <c r="E127" s="10" t="s">
        <v>7</v>
      </c>
      <c r="F127" s="14">
        <v>1</v>
      </c>
      <c r="G127" s="78">
        <v>56</v>
      </c>
      <c r="H127" s="78">
        <v>326</v>
      </c>
      <c r="I127" s="78">
        <v>228</v>
      </c>
      <c r="J127" s="78">
        <v>207</v>
      </c>
      <c r="K127" s="80">
        <f t="shared" si="7"/>
        <v>204</v>
      </c>
      <c r="L127" s="80">
        <f t="shared" si="8"/>
        <v>102</v>
      </c>
      <c r="M127" s="78">
        <v>587</v>
      </c>
      <c r="N127" s="78">
        <v>129</v>
      </c>
      <c r="O127" s="78">
        <v>314</v>
      </c>
      <c r="P127" s="78">
        <v>261</v>
      </c>
      <c r="Q127" s="78">
        <f t="shared" si="5"/>
        <v>299.60000000000002</v>
      </c>
      <c r="R127" s="80">
        <f t="shared" si="6"/>
        <v>150</v>
      </c>
      <c r="S127" s="78"/>
      <c r="T127" s="78"/>
      <c r="U127" s="78"/>
      <c r="V127" s="78"/>
      <c r="W127" s="79"/>
      <c r="X127" s="79"/>
      <c r="Y127" s="79"/>
      <c r="Z127" s="79"/>
    </row>
    <row r="128" spans="1:26" ht="21" x14ac:dyDescent="0.35">
      <c r="A128" s="10">
        <v>7001</v>
      </c>
      <c r="B128" s="19">
        <v>1001035937001</v>
      </c>
      <c r="C128" s="13" t="s">
        <v>64</v>
      </c>
      <c r="D128" s="13"/>
      <c r="E128" s="10" t="s">
        <v>7</v>
      </c>
      <c r="F128" s="14">
        <v>1</v>
      </c>
      <c r="G128" s="78">
        <v>0</v>
      </c>
      <c r="H128" s="78">
        <v>57</v>
      </c>
      <c r="I128" s="78">
        <v>19</v>
      </c>
      <c r="J128" s="78">
        <v>131</v>
      </c>
      <c r="K128" s="80">
        <f t="shared" si="7"/>
        <v>52</v>
      </c>
      <c r="L128" s="80">
        <f t="shared" si="8"/>
        <v>26</v>
      </c>
      <c r="M128" s="78">
        <v>156</v>
      </c>
      <c r="N128" s="78">
        <v>50</v>
      </c>
      <c r="O128" s="78">
        <v>223</v>
      </c>
      <c r="P128" s="78">
        <v>3</v>
      </c>
      <c r="Q128" s="78">
        <f t="shared" si="5"/>
        <v>112.6</v>
      </c>
      <c r="R128" s="80">
        <f t="shared" si="6"/>
        <v>56</v>
      </c>
      <c r="S128" s="78"/>
      <c r="T128" s="78"/>
      <c r="U128" s="78"/>
      <c r="V128" s="78"/>
      <c r="W128" s="79"/>
      <c r="X128" s="79"/>
      <c r="Y128" s="79"/>
      <c r="Z128" s="79"/>
    </row>
    <row r="129" spans="1:26" ht="21" x14ac:dyDescent="0.35">
      <c r="A129" s="10">
        <v>6527</v>
      </c>
      <c r="B129" s="25">
        <v>1001031076527</v>
      </c>
      <c r="C129" s="26" t="s">
        <v>30</v>
      </c>
      <c r="D129" s="26"/>
      <c r="E129" s="10" t="s">
        <v>7</v>
      </c>
      <c r="F129" s="14">
        <v>1</v>
      </c>
      <c r="G129" s="78">
        <v>215</v>
      </c>
      <c r="H129" s="78">
        <v>272</v>
      </c>
      <c r="I129" s="78">
        <v>229</v>
      </c>
      <c r="J129" s="78">
        <v>9</v>
      </c>
      <c r="K129" s="80">
        <f t="shared" si="7"/>
        <v>181</v>
      </c>
      <c r="L129" s="80">
        <f t="shared" si="8"/>
        <v>91</v>
      </c>
      <c r="M129" s="78">
        <v>425</v>
      </c>
      <c r="N129" s="78">
        <v>161</v>
      </c>
      <c r="O129" s="78">
        <v>41</v>
      </c>
      <c r="P129" s="78">
        <v>241</v>
      </c>
      <c r="Q129" s="78">
        <f t="shared" si="5"/>
        <v>175.4</v>
      </c>
      <c r="R129" s="80">
        <f t="shared" si="6"/>
        <v>88</v>
      </c>
      <c r="S129" s="78"/>
      <c r="T129" s="78"/>
      <c r="U129" s="78"/>
      <c r="V129" s="78"/>
      <c r="W129" s="79"/>
      <c r="X129" s="79"/>
      <c r="Y129" s="79"/>
      <c r="Z129" s="79"/>
    </row>
    <row r="130" spans="1:26" ht="21" x14ac:dyDescent="0.35">
      <c r="A130" s="10">
        <v>6609</v>
      </c>
      <c r="B130" s="12">
        <v>1001033856609</v>
      </c>
      <c r="C130" s="13" t="s">
        <v>111</v>
      </c>
      <c r="D130" s="13"/>
      <c r="E130" s="10" t="s">
        <v>8</v>
      </c>
      <c r="F130" s="14">
        <v>0.4</v>
      </c>
      <c r="G130" s="78"/>
      <c r="H130" s="78"/>
      <c r="I130" s="78"/>
      <c r="J130" s="78"/>
      <c r="K130" s="80"/>
      <c r="L130" s="80">
        <f t="shared" si="8"/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f t="shared" si="5"/>
        <v>0</v>
      </c>
      <c r="R130" s="80">
        <f t="shared" si="6"/>
        <v>0</v>
      </c>
      <c r="S130" s="78"/>
      <c r="T130" s="78"/>
      <c r="U130" s="78"/>
      <c r="V130" s="78"/>
      <c r="W130" s="79"/>
      <c r="X130" s="79"/>
      <c r="Y130" s="79"/>
      <c r="Z130" s="79"/>
    </row>
    <row r="131" spans="1:26" ht="21" x14ac:dyDescent="0.35">
      <c r="A131" s="10">
        <v>7059</v>
      </c>
      <c r="B131" s="25">
        <v>1001035277059</v>
      </c>
      <c r="C131" s="13" t="s">
        <v>146</v>
      </c>
      <c r="D131" s="71"/>
      <c r="E131" s="10" t="s">
        <v>8</v>
      </c>
      <c r="F131" s="14">
        <v>0.3</v>
      </c>
      <c r="G131" s="78">
        <v>65</v>
      </c>
      <c r="H131" s="78">
        <v>98</v>
      </c>
      <c r="I131" s="78">
        <v>60</v>
      </c>
      <c r="J131" s="78">
        <v>0</v>
      </c>
      <c r="K131" s="80">
        <f t="shared" si="7"/>
        <v>56</v>
      </c>
      <c r="L131" s="80">
        <f t="shared" si="8"/>
        <v>93</v>
      </c>
      <c r="M131" s="78">
        <v>288</v>
      </c>
      <c r="N131" s="78">
        <v>0</v>
      </c>
      <c r="O131" s="78">
        <v>26</v>
      </c>
      <c r="P131" s="78">
        <v>89</v>
      </c>
      <c r="Q131" s="78">
        <f t="shared" si="5"/>
        <v>80.599999999999994</v>
      </c>
      <c r="R131" s="80">
        <f t="shared" si="6"/>
        <v>134</v>
      </c>
      <c r="S131" s="78"/>
      <c r="T131" s="78"/>
      <c r="U131" s="78"/>
      <c r="V131" s="78"/>
      <c r="W131" s="79"/>
      <c r="X131" s="79"/>
      <c r="Y131" s="79"/>
      <c r="Z131" s="79"/>
    </row>
    <row r="132" spans="1:26" ht="21" x14ac:dyDescent="0.35">
      <c r="A132" s="10">
        <v>6528</v>
      </c>
      <c r="B132" s="12">
        <v>1001031076528</v>
      </c>
      <c r="C132" s="13" t="s">
        <v>147</v>
      </c>
      <c r="D132" s="71"/>
      <c r="E132" s="10" t="s">
        <v>8</v>
      </c>
      <c r="F132" s="14">
        <v>0.4</v>
      </c>
      <c r="G132" s="78"/>
      <c r="H132" s="78"/>
      <c r="I132" s="78"/>
      <c r="J132" s="78"/>
      <c r="K132" s="80"/>
      <c r="L132" s="80">
        <f t="shared" si="8"/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f t="shared" si="5"/>
        <v>0</v>
      </c>
      <c r="R132" s="80">
        <f t="shared" si="6"/>
        <v>0</v>
      </c>
      <c r="S132" s="78"/>
      <c r="T132" s="78"/>
      <c r="U132" s="78"/>
      <c r="V132" s="78"/>
      <c r="W132" s="79"/>
      <c r="X132" s="79"/>
      <c r="Y132" s="79"/>
      <c r="Z132" s="79"/>
    </row>
    <row r="133" spans="1:26" ht="23.25" x14ac:dyDescent="0.35">
      <c r="A133" s="5"/>
      <c r="B133" s="11"/>
      <c r="C133" s="28" t="s">
        <v>47</v>
      </c>
      <c r="D133" s="28"/>
      <c r="E133" s="29"/>
      <c r="F133" s="15"/>
      <c r="G133" s="78"/>
      <c r="H133" s="78"/>
      <c r="I133" s="78"/>
      <c r="J133" s="78"/>
      <c r="K133" s="80"/>
      <c r="L133" s="80"/>
      <c r="M133" s="78"/>
      <c r="N133" s="78"/>
      <c r="O133" s="78"/>
      <c r="P133" s="78"/>
      <c r="Q133" s="78"/>
      <c r="R133" s="80"/>
      <c r="S133" s="78"/>
      <c r="T133" s="78"/>
      <c r="U133" s="78"/>
      <c r="V133" s="78"/>
      <c r="W133" s="79"/>
      <c r="X133" s="79"/>
      <c r="Y133" s="79"/>
      <c r="Z133" s="79"/>
    </row>
    <row r="134" spans="1:26" ht="21" x14ac:dyDescent="0.35">
      <c r="A134" s="10">
        <v>6602</v>
      </c>
      <c r="B134" s="12">
        <v>1001021966602</v>
      </c>
      <c r="C134" s="13" t="s">
        <v>21</v>
      </c>
      <c r="D134" s="13"/>
      <c r="E134" s="10" t="s">
        <v>8</v>
      </c>
      <c r="F134" s="14">
        <v>0.35</v>
      </c>
      <c r="G134" s="78">
        <v>8</v>
      </c>
      <c r="H134" s="78">
        <v>8</v>
      </c>
      <c r="I134" s="78">
        <v>0</v>
      </c>
      <c r="J134" s="78">
        <v>0</v>
      </c>
      <c r="K134" s="80">
        <f t="shared" si="7"/>
        <v>4</v>
      </c>
      <c r="L134" s="80">
        <f t="shared" si="8"/>
        <v>6</v>
      </c>
      <c r="M134" s="78">
        <v>0</v>
      </c>
      <c r="N134" s="78">
        <v>0</v>
      </c>
      <c r="O134" s="78">
        <v>0</v>
      </c>
      <c r="P134" s="78">
        <v>0</v>
      </c>
      <c r="Q134" s="78">
        <f t="shared" si="5"/>
        <v>0</v>
      </c>
      <c r="R134" s="80">
        <f t="shared" si="6"/>
        <v>0</v>
      </c>
      <c r="S134" s="78"/>
      <c r="T134" s="78"/>
      <c r="U134" s="78"/>
      <c r="V134" s="78"/>
      <c r="W134" s="79"/>
      <c r="X134" s="79"/>
      <c r="Y134" s="79"/>
      <c r="Z134" s="79"/>
    </row>
    <row r="135" spans="1:26" ht="21" x14ac:dyDescent="0.35">
      <c r="A135" s="10">
        <v>7284</v>
      </c>
      <c r="B135" s="12">
        <v>1001025767284</v>
      </c>
      <c r="C135" s="13" t="s">
        <v>95</v>
      </c>
      <c r="D135" s="65" t="s">
        <v>186</v>
      </c>
      <c r="E135" s="10" t="s">
        <v>8</v>
      </c>
      <c r="F135" s="14">
        <v>0.33</v>
      </c>
      <c r="G135" s="78">
        <v>0</v>
      </c>
      <c r="H135" s="78">
        <v>12</v>
      </c>
      <c r="I135" s="78">
        <v>0</v>
      </c>
      <c r="J135" s="78">
        <v>2</v>
      </c>
      <c r="K135" s="80">
        <f t="shared" si="7"/>
        <v>4</v>
      </c>
      <c r="L135" s="80"/>
      <c r="M135" s="78">
        <v>14</v>
      </c>
      <c r="N135" s="78">
        <v>0</v>
      </c>
      <c r="O135" s="78">
        <v>0</v>
      </c>
      <c r="P135" s="78">
        <v>0</v>
      </c>
      <c r="Q135" s="78">
        <f t="shared" ref="Q135:Q184" si="9">AVERAGE(M135:P135,J135)</f>
        <v>3.2</v>
      </c>
      <c r="R135" s="80">
        <f t="shared" ref="R135:R184" si="10">Q135/2/F135</f>
        <v>5</v>
      </c>
      <c r="S135" s="78"/>
      <c r="T135" s="78"/>
      <c r="U135" s="78"/>
      <c r="V135" s="78"/>
      <c r="W135" s="79"/>
      <c r="X135" s="79"/>
      <c r="Y135" s="79"/>
      <c r="Z135" s="79"/>
    </row>
    <row r="136" spans="1:26" ht="21" x14ac:dyDescent="0.35">
      <c r="A136" s="10">
        <v>7461</v>
      </c>
      <c r="B136" s="12">
        <v>1001025767461</v>
      </c>
      <c r="C136" s="13" t="s">
        <v>154</v>
      </c>
      <c r="D136" s="73" t="s">
        <v>187</v>
      </c>
      <c r="E136" s="10" t="s">
        <v>8</v>
      </c>
      <c r="F136" s="14">
        <v>0.33</v>
      </c>
      <c r="G136" s="78">
        <v>36</v>
      </c>
      <c r="H136" s="78">
        <v>67</v>
      </c>
      <c r="I136" s="78">
        <v>273</v>
      </c>
      <c r="J136" s="78">
        <v>32</v>
      </c>
      <c r="K136" s="80">
        <f t="shared" si="7"/>
        <v>102</v>
      </c>
      <c r="L136" s="80">
        <f t="shared" si="8"/>
        <v>155</v>
      </c>
      <c r="M136" s="78">
        <v>265</v>
      </c>
      <c r="N136" s="78">
        <v>154</v>
      </c>
      <c r="O136" s="78">
        <v>131</v>
      </c>
      <c r="P136" s="78">
        <v>61</v>
      </c>
      <c r="Q136" s="78">
        <f t="shared" si="9"/>
        <v>128.6</v>
      </c>
      <c r="R136" s="80">
        <f t="shared" si="10"/>
        <v>195</v>
      </c>
      <c r="S136" s="78"/>
      <c r="T136" s="78"/>
      <c r="U136" s="78"/>
      <c r="V136" s="78"/>
      <c r="W136" s="79"/>
      <c r="X136" s="79"/>
      <c r="Y136" s="79"/>
      <c r="Z136" s="79"/>
    </row>
    <row r="137" spans="1:26" ht="21" x14ac:dyDescent="0.35">
      <c r="A137" s="10">
        <v>7601</v>
      </c>
      <c r="B137" s="12">
        <v>1001025767601</v>
      </c>
      <c r="C137" s="13" t="s">
        <v>193</v>
      </c>
      <c r="D137" s="71"/>
      <c r="E137" s="10" t="s">
        <v>8</v>
      </c>
      <c r="F137" s="14">
        <v>0.26</v>
      </c>
      <c r="G137" s="78"/>
      <c r="H137" s="78"/>
      <c r="I137" s="78"/>
      <c r="J137" s="78"/>
      <c r="K137" s="80"/>
      <c r="L137" s="80">
        <f t="shared" si="8"/>
        <v>0</v>
      </c>
      <c r="M137" s="78">
        <v>131</v>
      </c>
      <c r="N137" s="78">
        <v>0</v>
      </c>
      <c r="O137" s="78">
        <v>0</v>
      </c>
      <c r="P137" s="78">
        <v>0</v>
      </c>
      <c r="Q137" s="78">
        <f t="shared" si="9"/>
        <v>32.75</v>
      </c>
      <c r="R137" s="80">
        <f t="shared" si="10"/>
        <v>63</v>
      </c>
      <c r="S137" s="78"/>
      <c r="T137" s="78"/>
      <c r="U137" s="78"/>
      <c r="V137" s="78"/>
      <c r="W137" s="79"/>
      <c r="X137" s="79"/>
      <c r="Y137" s="79"/>
      <c r="Z137" s="79"/>
    </row>
    <row r="138" spans="1:26" ht="21" x14ac:dyDescent="0.35">
      <c r="A138" s="10">
        <v>7371</v>
      </c>
      <c r="B138" s="12">
        <v>1001026947371</v>
      </c>
      <c r="C138" s="13" t="s">
        <v>155</v>
      </c>
      <c r="D138" s="74" t="s">
        <v>186</v>
      </c>
      <c r="E138" s="10" t="s">
        <v>8</v>
      </c>
      <c r="F138" s="14">
        <v>0.3</v>
      </c>
      <c r="G138" s="78">
        <v>94</v>
      </c>
      <c r="H138" s="78">
        <v>94</v>
      </c>
      <c r="I138" s="78">
        <v>0</v>
      </c>
      <c r="J138" s="78">
        <v>0</v>
      </c>
      <c r="K138" s="80">
        <f t="shared" si="7"/>
        <v>47</v>
      </c>
      <c r="L138" s="80"/>
      <c r="M138" s="78">
        <v>0</v>
      </c>
      <c r="N138" s="78">
        <v>0</v>
      </c>
      <c r="O138" s="78">
        <v>0</v>
      </c>
      <c r="P138" s="78">
        <v>0</v>
      </c>
      <c r="Q138" s="78">
        <f t="shared" si="9"/>
        <v>0</v>
      </c>
      <c r="R138" s="80">
        <f t="shared" si="10"/>
        <v>0</v>
      </c>
      <c r="S138" s="78"/>
      <c r="T138" s="78"/>
      <c r="U138" s="78"/>
      <c r="V138" s="78"/>
      <c r="W138" s="79"/>
      <c r="X138" s="79"/>
      <c r="Y138" s="79"/>
      <c r="Z138" s="79"/>
    </row>
    <row r="139" spans="1:26" ht="21" x14ac:dyDescent="0.35">
      <c r="A139" s="10">
        <v>6759</v>
      </c>
      <c r="B139" s="12">
        <v>1001020836759</v>
      </c>
      <c r="C139" s="13" t="s">
        <v>9</v>
      </c>
      <c r="D139" s="13"/>
      <c r="E139" s="10" t="s">
        <v>8</v>
      </c>
      <c r="F139" s="14">
        <v>0.4</v>
      </c>
      <c r="G139" s="78"/>
      <c r="H139" s="78"/>
      <c r="I139" s="78"/>
      <c r="J139" s="78"/>
      <c r="K139" s="80"/>
      <c r="L139" s="80">
        <f t="shared" si="8"/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f t="shared" si="9"/>
        <v>0</v>
      </c>
      <c r="R139" s="80">
        <f t="shared" si="10"/>
        <v>0</v>
      </c>
      <c r="S139" s="76"/>
      <c r="T139" s="79"/>
      <c r="U139" s="79"/>
      <c r="V139" s="79"/>
      <c r="W139" s="79"/>
      <c r="X139" s="79"/>
      <c r="Y139" s="79"/>
      <c r="Z139" s="79"/>
    </row>
    <row r="140" spans="1:26" ht="21" x14ac:dyDescent="0.35">
      <c r="A140" s="10">
        <v>6761</v>
      </c>
      <c r="B140" s="12">
        <v>1001020836761</v>
      </c>
      <c r="C140" s="13" t="s">
        <v>42</v>
      </c>
      <c r="D140" s="13"/>
      <c r="E140" s="10" t="s">
        <v>7</v>
      </c>
      <c r="F140" s="14">
        <v>1</v>
      </c>
      <c r="G140" s="78"/>
      <c r="H140" s="78"/>
      <c r="I140" s="78"/>
      <c r="J140" s="78"/>
      <c r="K140" s="80"/>
      <c r="L140" s="80">
        <f t="shared" ref="L140:L183" si="11">K140/2/F140</f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f t="shared" si="9"/>
        <v>0</v>
      </c>
      <c r="R140" s="80">
        <f t="shared" si="10"/>
        <v>0</v>
      </c>
      <c r="S140" s="76"/>
      <c r="T140" s="79"/>
      <c r="U140" s="79"/>
      <c r="V140" s="79"/>
      <c r="W140" s="79"/>
      <c r="X140" s="79"/>
      <c r="Y140" s="79"/>
      <c r="Z140" s="79"/>
    </row>
    <row r="141" spans="1:26" ht="21" x14ac:dyDescent="0.35">
      <c r="A141" s="10">
        <v>6829</v>
      </c>
      <c r="B141" s="12">
        <v>1001024976829</v>
      </c>
      <c r="C141" s="13" t="s">
        <v>41</v>
      </c>
      <c r="D141" s="13"/>
      <c r="E141" s="10" t="s">
        <v>7</v>
      </c>
      <c r="F141" s="14">
        <v>1</v>
      </c>
      <c r="G141" s="78">
        <v>549</v>
      </c>
      <c r="H141" s="78">
        <v>1261</v>
      </c>
      <c r="I141" s="78">
        <v>1147</v>
      </c>
      <c r="J141" s="78">
        <v>518</v>
      </c>
      <c r="K141" s="80">
        <f t="shared" ref="K141:K181" si="12">AVERAGE(G141:J141)</f>
        <v>869</v>
      </c>
      <c r="L141" s="80">
        <f t="shared" si="11"/>
        <v>435</v>
      </c>
      <c r="M141" s="78">
        <v>2808</v>
      </c>
      <c r="N141" s="78">
        <v>637</v>
      </c>
      <c r="O141" s="78">
        <v>366</v>
      </c>
      <c r="P141" s="78">
        <v>812</v>
      </c>
      <c r="Q141" s="78">
        <f t="shared" si="9"/>
        <v>1028.2</v>
      </c>
      <c r="R141" s="80">
        <f t="shared" si="10"/>
        <v>514</v>
      </c>
      <c r="S141" s="76"/>
      <c r="T141" s="79"/>
      <c r="U141" s="79"/>
      <c r="V141" s="79"/>
      <c r="W141" s="79"/>
      <c r="X141" s="79"/>
      <c r="Y141" s="79"/>
      <c r="Z141" s="79"/>
    </row>
    <row r="142" spans="1:26" ht="21" x14ac:dyDescent="0.35">
      <c r="A142" s="10">
        <v>6616</v>
      </c>
      <c r="B142" s="12">
        <v>1001024976616</v>
      </c>
      <c r="C142" s="13" t="s">
        <v>70</v>
      </c>
      <c r="D142" s="13"/>
      <c r="E142" s="10" t="s">
        <v>8</v>
      </c>
      <c r="F142" s="14">
        <v>0.3</v>
      </c>
      <c r="G142" s="78">
        <v>163</v>
      </c>
      <c r="H142" s="78">
        <v>5</v>
      </c>
      <c r="I142" s="78">
        <v>252</v>
      </c>
      <c r="J142" s="78">
        <v>26</v>
      </c>
      <c r="K142" s="80">
        <f t="shared" si="12"/>
        <v>112</v>
      </c>
      <c r="L142" s="80">
        <f t="shared" si="11"/>
        <v>187</v>
      </c>
      <c r="M142" s="78">
        <v>197</v>
      </c>
      <c r="N142" s="78">
        <v>146</v>
      </c>
      <c r="O142" s="78">
        <v>216</v>
      </c>
      <c r="P142" s="78">
        <v>60</v>
      </c>
      <c r="Q142" s="78">
        <f t="shared" si="9"/>
        <v>129</v>
      </c>
      <c r="R142" s="80">
        <f t="shared" si="10"/>
        <v>215</v>
      </c>
      <c r="S142" s="76"/>
      <c r="T142" s="79"/>
      <c r="U142" s="79"/>
      <c r="V142" s="79"/>
      <c r="W142" s="79"/>
      <c r="X142" s="79"/>
      <c r="Y142" s="79"/>
      <c r="Z142" s="79"/>
    </row>
    <row r="143" spans="1:26" ht="21" x14ac:dyDescent="0.35">
      <c r="A143" s="10">
        <v>7075</v>
      </c>
      <c r="B143" s="12">
        <v>1001022657075</v>
      </c>
      <c r="C143" s="13" t="s">
        <v>69</v>
      </c>
      <c r="D143" s="13"/>
      <c r="E143" s="10" t="s">
        <v>7</v>
      </c>
      <c r="F143" s="14">
        <v>1</v>
      </c>
      <c r="G143" s="78">
        <v>143</v>
      </c>
      <c r="H143" s="78">
        <v>0</v>
      </c>
      <c r="I143" s="78">
        <v>13</v>
      </c>
      <c r="J143" s="78">
        <v>0</v>
      </c>
      <c r="K143" s="80">
        <f t="shared" si="12"/>
        <v>39</v>
      </c>
      <c r="L143" s="80">
        <f t="shared" si="11"/>
        <v>20</v>
      </c>
      <c r="M143" s="78">
        <v>87</v>
      </c>
      <c r="N143" s="78">
        <v>37</v>
      </c>
      <c r="O143" s="78">
        <v>6</v>
      </c>
      <c r="P143" s="78">
        <v>0</v>
      </c>
      <c r="Q143" s="78">
        <f t="shared" si="9"/>
        <v>26</v>
      </c>
      <c r="R143" s="80">
        <f t="shared" si="10"/>
        <v>13</v>
      </c>
      <c r="S143" s="76"/>
      <c r="T143" s="79"/>
      <c r="U143" s="79"/>
      <c r="V143" s="79"/>
      <c r="W143" s="79"/>
      <c r="X143" s="79"/>
      <c r="Y143" s="79"/>
      <c r="Z143" s="79"/>
    </row>
    <row r="144" spans="1:26" ht="21" x14ac:dyDescent="0.35">
      <c r="A144" s="10">
        <v>7074</v>
      </c>
      <c r="B144" s="12">
        <v>1001022657074</v>
      </c>
      <c r="C144" s="13" t="s">
        <v>68</v>
      </c>
      <c r="D144" s="13"/>
      <c r="E144" s="10" t="s">
        <v>8</v>
      </c>
      <c r="F144" s="14">
        <v>0.6</v>
      </c>
      <c r="G144" s="78"/>
      <c r="H144" s="78"/>
      <c r="I144" s="78"/>
      <c r="J144" s="78"/>
      <c r="K144" s="80"/>
      <c r="L144" s="80">
        <f t="shared" si="11"/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f t="shared" si="9"/>
        <v>0</v>
      </c>
      <c r="R144" s="80">
        <f t="shared" si="10"/>
        <v>0</v>
      </c>
      <c r="S144" s="76"/>
      <c r="T144" s="79"/>
      <c r="U144" s="79"/>
      <c r="V144" s="79"/>
      <c r="W144" s="79"/>
      <c r="X144" s="79"/>
      <c r="Y144" s="79"/>
      <c r="Z144" s="79"/>
    </row>
    <row r="145" spans="1:26" ht="21" x14ac:dyDescent="0.35">
      <c r="A145" s="10">
        <v>7073</v>
      </c>
      <c r="B145" s="12">
        <v>1001022657073</v>
      </c>
      <c r="C145" s="13" t="s">
        <v>71</v>
      </c>
      <c r="D145" s="13"/>
      <c r="E145" s="10" t="s">
        <v>8</v>
      </c>
      <c r="F145" s="14">
        <v>0.35</v>
      </c>
      <c r="G145" s="78">
        <v>64</v>
      </c>
      <c r="H145" s="78">
        <v>78</v>
      </c>
      <c r="I145" s="78">
        <v>168</v>
      </c>
      <c r="J145" s="78">
        <v>25</v>
      </c>
      <c r="K145" s="80">
        <f t="shared" si="12"/>
        <v>84</v>
      </c>
      <c r="L145" s="80">
        <f t="shared" si="11"/>
        <v>120</v>
      </c>
      <c r="M145" s="78">
        <v>123</v>
      </c>
      <c r="N145" s="78">
        <v>112</v>
      </c>
      <c r="O145" s="78">
        <v>36</v>
      </c>
      <c r="P145" s="78">
        <v>76</v>
      </c>
      <c r="Q145" s="78">
        <f t="shared" si="9"/>
        <v>74.400000000000006</v>
      </c>
      <c r="R145" s="80">
        <f t="shared" si="10"/>
        <v>106</v>
      </c>
      <c r="S145" s="76"/>
      <c r="T145" s="79"/>
      <c r="U145" s="79"/>
      <c r="V145" s="79"/>
      <c r="W145" s="79"/>
      <c r="X145" s="79"/>
      <c r="Y145" s="79"/>
      <c r="Z145" s="79"/>
    </row>
    <row r="146" spans="1:26" ht="21" x14ac:dyDescent="0.35">
      <c r="A146" s="10">
        <v>6724</v>
      </c>
      <c r="B146" s="12">
        <v>1001020836724</v>
      </c>
      <c r="C146" s="13" t="s">
        <v>110</v>
      </c>
      <c r="D146" s="13"/>
      <c r="E146" s="10" t="s">
        <v>8</v>
      </c>
      <c r="F146" s="14">
        <v>0.41</v>
      </c>
      <c r="G146" s="78">
        <v>82</v>
      </c>
      <c r="H146" s="78">
        <v>119</v>
      </c>
      <c r="I146" s="78">
        <v>107</v>
      </c>
      <c r="J146" s="78">
        <v>0</v>
      </c>
      <c r="K146" s="80">
        <f t="shared" si="12"/>
        <v>77</v>
      </c>
      <c r="L146" s="80">
        <f t="shared" si="11"/>
        <v>94</v>
      </c>
      <c r="M146" s="78">
        <v>316</v>
      </c>
      <c r="N146" s="78">
        <v>62</v>
      </c>
      <c r="O146" s="78">
        <v>111</v>
      </c>
      <c r="P146" s="78">
        <v>144</v>
      </c>
      <c r="Q146" s="78">
        <f t="shared" si="9"/>
        <v>126.6</v>
      </c>
      <c r="R146" s="80">
        <f t="shared" si="10"/>
        <v>154</v>
      </c>
      <c r="S146" s="76"/>
      <c r="T146" s="79"/>
      <c r="U146" s="79"/>
      <c r="V146" s="79"/>
      <c r="W146" s="79"/>
      <c r="X146" s="79"/>
      <c r="Y146" s="79"/>
      <c r="Z146" s="79"/>
    </row>
    <row r="147" spans="1:26" ht="21" x14ac:dyDescent="0.35">
      <c r="A147" s="10">
        <v>5819</v>
      </c>
      <c r="B147" s="12">
        <v>1001022725819</v>
      </c>
      <c r="C147" s="13" t="s">
        <v>10</v>
      </c>
      <c r="D147" s="13"/>
      <c r="E147" s="10" t="s">
        <v>8</v>
      </c>
      <c r="F147" s="14">
        <v>0.4</v>
      </c>
      <c r="G147" s="78">
        <v>90</v>
      </c>
      <c r="H147" s="78">
        <v>298</v>
      </c>
      <c r="I147" s="78">
        <v>138</v>
      </c>
      <c r="J147" s="78">
        <v>22</v>
      </c>
      <c r="K147" s="80">
        <f t="shared" si="12"/>
        <v>137</v>
      </c>
      <c r="L147" s="80">
        <f t="shared" si="11"/>
        <v>171</v>
      </c>
      <c r="M147" s="78">
        <v>486</v>
      </c>
      <c r="N147" s="78">
        <v>0</v>
      </c>
      <c r="O147" s="78">
        <v>294</v>
      </c>
      <c r="P147" s="78">
        <v>138</v>
      </c>
      <c r="Q147" s="78">
        <f t="shared" si="9"/>
        <v>188</v>
      </c>
      <c r="R147" s="80">
        <f t="shared" si="10"/>
        <v>235</v>
      </c>
      <c r="S147" s="76"/>
      <c r="T147" s="79"/>
      <c r="U147" s="79"/>
      <c r="V147" s="79"/>
      <c r="W147" s="79"/>
      <c r="X147" s="79"/>
      <c r="Y147" s="79"/>
      <c r="Z147" s="79"/>
    </row>
    <row r="148" spans="1:26" ht="21" x14ac:dyDescent="0.35">
      <c r="A148" s="10">
        <v>6303</v>
      </c>
      <c r="B148" s="12">
        <v>1001022726303</v>
      </c>
      <c r="C148" s="13" t="s">
        <v>12</v>
      </c>
      <c r="D148" s="13"/>
      <c r="E148" s="10" t="s">
        <v>7</v>
      </c>
      <c r="F148" s="14">
        <v>1</v>
      </c>
      <c r="G148" s="78">
        <v>687</v>
      </c>
      <c r="H148" s="78">
        <v>947</v>
      </c>
      <c r="I148" s="78">
        <v>610</v>
      </c>
      <c r="J148" s="78">
        <v>139</v>
      </c>
      <c r="K148" s="80">
        <f t="shared" si="12"/>
        <v>596</v>
      </c>
      <c r="L148" s="80">
        <f t="shared" si="11"/>
        <v>298</v>
      </c>
      <c r="M148" s="78">
        <v>2104</v>
      </c>
      <c r="N148" s="78">
        <v>607</v>
      </c>
      <c r="O148" s="78">
        <v>634</v>
      </c>
      <c r="P148" s="78">
        <v>276</v>
      </c>
      <c r="Q148" s="78">
        <f t="shared" si="9"/>
        <v>752</v>
      </c>
      <c r="R148" s="80">
        <f t="shared" si="10"/>
        <v>376</v>
      </c>
      <c r="S148" s="76"/>
      <c r="T148" s="79"/>
      <c r="U148" s="79"/>
      <c r="V148" s="79"/>
      <c r="W148" s="79"/>
      <c r="X148" s="79"/>
      <c r="Y148" s="79"/>
      <c r="Z148" s="79"/>
    </row>
    <row r="149" spans="1:26" ht="21" x14ac:dyDescent="0.35">
      <c r="A149" s="10">
        <v>7255</v>
      </c>
      <c r="B149" s="12">
        <v>1001025507255</v>
      </c>
      <c r="C149" s="13" t="s">
        <v>116</v>
      </c>
      <c r="D149" s="13"/>
      <c r="E149" s="10" t="s">
        <v>8</v>
      </c>
      <c r="F149" s="14">
        <v>0.4</v>
      </c>
      <c r="G149" s="78">
        <v>362</v>
      </c>
      <c r="H149" s="78">
        <v>178</v>
      </c>
      <c r="I149" s="78">
        <v>266</v>
      </c>
      <c r="J149" s="78">
        <v>72</v>
      </c>
      <c r="K149" s="80">
        <f t="shared" si="12"/>
        <v>220</v>
      </c>
      <c r="L149" s="80">
        <f t="shared" si="11"/>
        <v>275</v>
      </c>
      <c r="M149" s="78">
        <v>850</v>
      </c>
      <c r="N149" s="78">
        <v>427</v>
      </c>
      <c r="O149" s="78">
        <v>163</v>
      </c>
      <c r="P149" s="78">
        <v>569</v>
      </c>
      <c r="Q149" s="78">
        <f t="shared" si="9"/>
        <v>416.2</v>
      </c>
      <c r="R149" s="80">
        <f t="shared" si="10"/>
        <v>520</v>
      </c>
      <c r="S149" s="76"/>
      <c r="T149" s="79"/>
      <c r="U149" s="79"/>
      <c r="V149" s="79"/>
      <c r="W149" s="79"/>
      <c r="X149" s="79"/>
      <c r="Y149" s="79"/>
      <c r="Z149" s="79"/>
    </row>
    <row r="150" spans="1:26" ht="21" x14ac:dyDescent="0.35">
      <c r="A150" s="10">
        <v>7271</v>
      </c>
      <c r="B150" s="12">
        <v>1001025507271</v>
      </c>
      <c r="C150" s="13" t="s">
        <v>106</v>
      </c>
      <c r="D150" s="13"/>
      <c r="E150" s="10" t="s">
        <v>7</v>
      </c>
      <c r="F150" s="14">
        <v>1</v>
      </c>
      <c r="G150" s="78">
        <v>50</v>
      </c>
      <c r="H150" s="78">
        <v>0</v>
      </c>
      <c r="I150" s="78">
        <v>0</v>
      </c>
      <c r="J150" s="78">
        <v>81</v>
      </c>
      <c r="K150" s="80">
        <f t="shared" si="12"/>
        <v>33</v>
      </c>
      <c r="L150" s="80">
        <f t="shared" si="11"/>
        <v>17</v>
      </c>
      <c r="M150" s="78">
        <v>0</v>
      </c>
      <c r="N150" s="78">
        <v>0</v>
      </c>
      <c r="O150" s="78">
        <v>0</v>
      </c>
      <c r="P150" s="78">
        <v>0</v>
      </c>
      <c r="Q150" s="78">
        <f t="shared" si="9"/>
        <v>16.2</v>
      </c>
      <c r="R150" s="80">
        <f t="shared" si="10"/>
        <v>8</v>
      </c>
      <c r="S150" s="76"/>
      <c r="T150" s="79"/>
      <c r="U150" s="79"/>
      <c r="V150" s="79"/>
      <c r="W150" s="79"/>
      <c r="X150" s="79"/>
      <c r="Y150" s="79"/>
      <c r="Z150" s="79"/>
    </row>
    <row r="151" spans="1:26" ht="21" x14ac:dyDescent="0.35">
      <c r="A151" s="10">
        <v>6765</v>
      </c>
      <c r="B151" s="12">
        <v>1001023696765</v>
      </c>
      <c r="C151" s="13" t="s">
        <v>16</v>
      </c>
      <c r="D151" s="13"/>
      <c r="E151" s="10" t="s">
        <v>8</v>
      </c>
      <c r="F151" s="14">
        <v>0.36</v>
      </c>
      <c r="G151" s="78">
        <v>35</v>
      </c>
      <c r="H151" s="78">
        <v>227</v>
      </c>
      <c r="I151" s="78">
        <v>125</v>
      </c>
      <c r="J151" s="78">
        <v>17</v>
      </c>
      <c r="K151" s="80">
        <f t="shared" si="12"/>
        <v>101</v>
      </c>
      <c r="L151" s="80">
        <f t="shared" si="11"/>
        <v>140</v>
      </c>
      <c r="M151" s="78">
        <v>158</v>
      </c>
      <c r="N151" s="78">
        <v>58</v>
      </c>
      <c r="O151" s="78">
        <v>89</v>
      </c>
      <c r="P151" s="78">
        <v>104</v>
      </c>
      <c r="Q151" s="78">
        <f t="shared" si="9"/>
        <v>85.2</v>
      </c>
      <c r="R151" s="80">
        <f t="shared" si="10"/>
        <v>118</v>
      </c>
      <c r="S151" s="76"/>
      <c r="T151" s="79"/>
      <c r="U151" s="79"/>
      <c r="V151" s="79"/>
      <c r="W151" s="79"/>
      <c r="X151" s="79"/>
      <c r="Y151" s="79"/>
      <c r="Z151" s="79"/>
    </row>
    <row r="152" spans="1:26" ht="21" x14ac:dyDescent="0.35">
      <c r="A152" s="10">
        <v>6767</v>
      </c>
      <c r="B152" s="12">
        <v>1001023696767</v>
      </c>
      <c r="C152" s="13" t="s">
        <v>36</v>
      </c>
      <c r="D152" s="13"/>
      <c r="E152" s="10" t="s">
        <v>7</v>
      </c>
      <c r="F152" s="14">
        <v>1</v>
      </c>
      <c r="G152" s="78"/>
      <c r="H152" s="78"/>
      <c r="I152" s="78"/>
      <c r="J152" s="78"/>
      <c r="K152" s="80"/>
      <c r="L152" s="80">
        <f t="shared" si="11"/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f t="shared" si="9"/>
        <v>0</v>
      </c>
      <c r="R152" s="80">
        <f t="shared" si="10"/>
        <v>0</v>
      </c>
      <c r="S152" s="76"/>
      <c r="T152" s="79"/>
      <c r="U152" s="79"/>
      <c r="V152" s="79"/>
      <c r="W152" s="79"/>
      <c r="X152" s="79"/>
      <c r="Y152" s="79"/>
      <c r="Z152" s="79"/>
    </row>
    <row r="153" spans="1:26" ht="21" x14ac:dyDescent="0.35">
      <c r="A153" s="10">
        <v>6475</v>
      </c>
      <c r="B153" s="12">
        <v>1001025176475</v>
      </c>
      <c r="C153" s="13" t="s">
        <v>22</v>
      </c>
      <c r="D153" s="13"/>
      <c r="E153" s="10" t="s">
        <v>8</v>
      </c>
      <c r="F153" s="14">
        <v>0.4</v>
      </c>
      <c r="G153" s="78">
        <v>137</v>
      </c>
      <c r="H153" s="78">
        <v>158</v>
      </c>
      <c r="I153" s="78">
        <v>161</v>
      </c>
      <c r="J153" s="78">
        <v>0</v>
      </c>
      <c r="K153" s="80">
        <f t="shared" si="12"/>
        <v>114</v>
      </c>
      <c r="L153" s="80">
        <f t="shared" si="11"/>
        <v>143</v>
      </c>
      <c r="M153" s="78">
        <v>139</v>
      </c>
      <c r="N153" s="78">
        <v>0</v>
      </c>
      <c r="O153" s="78">
        <v>0</v>
      </c>
      <c r="P153" s="78">
        <v>0</v>
      </c>
      <c r="Q153" s="78">
        <f t="shared" si="9"/>
        <v>27.8</v>
      </c>
      <c r="R153" s="80">
        <f t="shared" si="10"/>
        <v>35</v>
      </c>
      <c r="S153" s="76"/>
      <c r="T153" s="79"/>
      <c r="U153" s="79"/>
      <c r="V153" s="79"/>
      <c r="W153" s="79"/>
      <c r="X153" s="79"/>
      <c r="Y153" s="79"/>
      <c r="Z153" s="79"/>
    </row>
    <row r="154" spans="1:26" ht="21" x14ac:dyDescent="0.35">
      <c r="A154" s="10">
        <v>7083</v>
      </c>
      <c r="B154" s="12">
        <v>1001022467083</v>
      </c>
      <c r="C154" s="13" t="s">
        <v>129</v>
      </c>
      <c r="D154" s="13"/>
      <c r="E154" s="10" t="s">
        <v>7</v>
      </c>
      <c r="F154" s="14">
        <v>1</v>
      </c>
      <c r="G154" s="78">
        <v>313</v>
      </c>
      <c r="H154" s="78">
        <v>276</v>
      </c>
      <c r="I154" s="78">
        <v>143</v>
      </c>
      <c r="J154" s="78">
        <v>57</v>
      </c>
      <c r="K154" s="80">
        <f t="shared" si="12"/>
        <v>197</v>
      </c>
      <c r="L154" s="80">
        <f t="shared" si="11"/>
        <v>99</v>
      </c>
      <c r="M154" s="78">
        <v>813</v>
      </c>
      <c r="N154" s="78">
        <v>200</v>
      </c>
      <c r="O154" s="78">
        <v>123</v>
      </c>
      <c r="P154" s="78">
        <v>419</v>
      </c>
      <c r="Q154" s="78">
        <f t="shared" si="9"/>
        <v>322.39999999999998</v>
      </c>
      <c r="R154" s="80">
        <f t="shared" si="10"/>
        <v>161</v>
      </c>
      <c r="S154" s="76"/>
      <c r="T154" s="79"/>
      <c r="U154" s="79"/>
      <c r="V154" s="79"/>
      <c r="W154" s="79"/>
      <c r="X154" s="79"/>
      <c r="Y154" s="79"/>
      <c r="Z154" s="79"/>
    </row>
    <row r="155" spans="1:26" ht="21" x14ac:dyDescent="0.35">
      <c r="A155" s="10">
        <v>7080</v>
      </c>
      <c r="B155" s="12">
        <v>1001022467080</v>
      </c>
      <c r="C155" s="38" t="s">
        <v>65</v>
      </c>
      <c r="D155" s="38"/>
      <c r="E155" s="10" t="s">
        <v>8</v>
      </c>
      <c r="F155" s="14">
        <v>0.41</v>
      </c>
      <c r="G155" s="78">
        <v>447</v>
      </c>
      <c r="H155" s="78">
        <v>373</v>
      </c>
      <c r="I155" s="78">
        <v>763</v>
      </c>
      <c r="J155" s="78">
        <v>98</v>
      </c>
      <c r="K155" s="80">
        <f t="shared" si="12"/>
        <v>420</v>
      </c>
      <c r="L155" s="80">
        <f t="shared" si="11"/>
        <v>512</v>
      </c>
      <c r="M155" s="78">
        <v>562</v>
      </c>
      <c r="N155" s="78">
        <v>476</v>
      </c>
      <c r="O155" s="78">
        <v>750</v>
      </c>
      <c r="P155" s="78">
        <v>164</v>
      </c>
      <c r="Q155" s="78">
        <f t="shared" si="9"/>
        <v>410</v>
      </c>
      <c r="R155" s="80">
        <f t="shared" si="10"/>
        <v>500</v>
      </c>
      <c r="S155" s="76"/>
      <c r="T155" s="79"/>
      <c r="U155" s="79"/>
      <c r="V155" s="79"/>
      <c r="W155" s="79"/>
      <c r="X155" s="79"/>
      <c r="Y155" s="79"/>
      <c r="Z155" s="79"/>
    </row>
    <row r="156" spans="1:26" ht="21" x14ac:dyDescent="0.35">
      <c r="A156" s="10">
        <v>7276</v>
      </c>
      <c r="B156" s="12">
        <v>1001022467276</v>
      </c>
      <c r="C156" s="38" t="s">
        <v>96</v>
      </c>
      <c r="D156" s="38"/>
      <c r="E156" s="10" t="s">
        <v>8</v>
      </c>
      <c r="F156" s="14">
        <v>0.3</v>
      </c>
      <c r="G156" s="78">
        <v>0</v>
      </c>
      <c r="H156" s="78">
        <v>0</v>
      </c>
      <c r="I156" s="78">
        <v>0</v>
      </c>
      <c r="J156" s="78">
        <v>0</v>
      </c>
      <c r="K156" s="80">
        <f t="shared" si="12"/>
        <v>0</v>
      </c>
      <c r="L156" s="80">
        <f t="shared" si="11"/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f t="shared" si="9"/>
        <v>0</v>
      </c>
      <c r="R156" s="80">
        <f t="shared" si="10"/>
        <v>0</v>
      </c>
      <c r="S156" s="76"/>
      <c r="T156" s="79"/>
      <c r="U156" s="79"/>
      <c r="V156" s="79"/>
      <c r="W156" s="79"/>
      <c r="X156" s="79"/>
      <c r="Y156" s="79"/>
      <c r="Z156" s="79"/>
    </row>
    <row r="157" spans="1:26" ht="21" x14ac:dyDescent="0.35">
      <c r="A157" s="10">
        <v>6762</v>
      </c>
      <c r="B157" s="12">
        <v>1001020846762</v>
      </c>
      <c r="C157" s="13" t="s">
        <v>17</v>
      </c>
      <c r="D157" s="13"/>
      <c r="E157" s="10" t="s">
        <v>8</v>
      </c>
      <c r="F157" s="14">
        <v>0.41</v>
      </c>
      <c r="G157" s="78"/>
      <c r="H157" s="78"/>
      <c r="I157" s="78"/>
      <c r="J157" s="78"/>
      <c r="K157" s="80"/>
      <c r="L157" s="80">
        <f t="shared" si="11"/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f t="shared" si="9"/>
        <v>0</v>
      </c>
      <c r="R157" s="80">
        <f t="shared" si="10"/>
        <v>0</v>
      </c>
      <c r="S157" s="76"/>
      <c r="T157" s="79"/>
      <c r="U157" s="79"/>
      <c r="V157" s="79"/>
      <c r="W157" s="79"/>
      <c r="X157" s="79"/>
      <c r="Y157" s="79"/>
      <c r="Z157" s="79"/>
    </row>
    <row r="158" spans="1:26" ht="21" x14ac:dyDescent="0.35">
      <c r="A158" s="10">
        <v>6764</v>
      </c>
      <c r="B158" s="12">
        <v>1001020846764</v>
      </c>
      <c r="C158" s="13" t="s">
        <v>27</v>
      </c>
      <c r="D158" s="13"/>
      <c r="E158" s="10" t="s">
        <v>7</v>
      </c>
      <c r="F158" s="14">
        <v>1</v>
      </c>
      <c r="G158" s="78"/>
      <c r="H158" s="78"/>
      <c r="I158" s="78"/>
      <c r="J158" s="78"/>
      <c r="K158" s="80"/>
      <c r="L158" s="80">
        <f t="shared" si="11"/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f t="shared" si="9"/>
        <v>0</v>
      </c>
      <c r="R158" s="80">
        <f t="shared" si="10"/>
        <v>0</v>
      </c>
      <c r="S158" s="76"/>
      <c r="T158" s="79"/>
      <c r="U158" s="79"/>
      <c r="V158" s="79"/>
      <c r="W158" s="79"/>
      <c r="X158" s="79"/>
      <c r="Y158" s="79"/>
      <c r="Z158" s="79"/>
    </row>
    <row r="159" spans="1:26" ht="21" x14ac:dyDescent="0.35">
      <c r="A159" s="10">
        <v>7066</v>
      </c>
      <c r="B159" s="12">
        <v>1001022377066</v>
      </c>
      <c r="C159" s="13" t="s">
        <v>66</v>
      </c>
      <c r="D159" s="13"/>
      <c r="E159" s="10" t="s">
        <v>8</v>
      </c>
      <c r="F159" s="14">
        <v>0.41</v>
      </c>
      <c r="G159" s="78">
        <v>537</v>
      </c>
      <c r="H159" s="78">
        <v>1041</v>
      </c>
      <c r="I159" s="78">
        <v>1829</v>
      </c>
      <c r="J159" s="78">
        <v>66</v>
      </c>
      <c r="K159" s="80">
        <f t="shared" si="12"/>
        <v>868</v>
      </c>
      <c r="L159" s="80">
        <f t="shared" si="11"/>
        <v>1059</v>
      </c>
      <c r="M159" s="78">
        <v>1915</v>
      </c>
      <c r="N159" s="78">
        <v>775</v>
      </c>
      <c r="O159" s="78">
        <v>820</v>
      </c>
      <c r="P159" s="78">
        <v>558</v>
      </c>
      <c r="Q159" s="78">
        <f t="shared" si="9"/>
        <v>826.8</v>
      </c>
      <c r="R159" s="80">
        <f t="shared" si="10"/>
        <v>1008</v>
      </c>
      <c r="S159" s="76"/>
      <c r="T159" s="79"/>
      <c r="U159" s="79"/>
      <c r="V159" s="79"/>
      <c r="W159" s="79"/>
      <c r="X159" s="79"/>
      <c r="Y159" s="79"/>
      <c r="Z159" s="79"/>
    </row>
    <row r="160" spans="1:26" ht="21" x14ac:dyDescent="0.35">
      <c r="A160" s="10">
        <v>7070</v>
      </c>
      <c r="B160" s="12">
        <v>1001022377070</v>
      </c>
      <c r="C160" s="13" t="s">
        <v>67</v>
      </c>
      <c r="D160" s="13"/>
      <c r="E160" s="10" t="s">
        <v>7</v>
      </c>
      <c r="F160" s="14">
        <v>1</v>
      </c>
      <c r="G160" s="78">
        <v>142</v>
      </c>
      <c r="H160" s="78">
        <v>494</v>
      </c>
      <c r="I160" s="78">
        <v>271</v>
      </c>
      <c r="J160" s="78">
        <v>521</v>
      </c>
      <c r="K160" s="80">
        <f t="shared" si="12"/>
        <v>357</v>
      </c>
      <c r="L160" s="80">
        <f t="shared" si="11"/>
        <v>179</v>
      </c>
      <c r="M160" s="78">
        <v>1614</v>
      </c>
      <c r="N160" s="78">
        <v>94</v>
      </c>
      <c r="O160" s="78">
        <v>1374</v>
      </c>
      <c r="P160" s="78">
        <v>148</v>
      </c>
      <c r="Q160" s="78">
        <f t="shared" si="9"/>
        <v>750.2</v>
      </c>
      <c r="R160" s="80">
        <f t="shared" si="10"/>
        <v>375</v>
      </c>
      <c r="S160" s="76"/>
      <c r="T160" s="79"/>
      <c r="U160" s="79"/>
      <c r="V160" s="79"/>
      <c r="W160" s="79"/>
      <c r="X160" s="79"/>
      <c r="Y160" s="79"/>
      <c r="Z160" s="79"/>
    </row>
    <row r="161" spans="1:26" ht="21" x14ac:dyDescent="0.35">
      <c r="A161" s="10">
        <v>6713</v>
      </c>
      <c r="B161" s="12">
        <v>1001022246713</v>
      </c>
      <c r="C161" s="13" t="s">
        <v>13</v>
      </c>
      <c r="D161" s="13"/>
      <c r="E161" s="10" t="s">
        <v>8</v>
      </c>
      <c r="F161" s="14">
        <v>0.41</v>
      </c>
      <c r="G161" s="78">
        <v>312</v>
      </c>
      <c r="H161" s="78">
        <v>518</v>
      </c>
      <c r="I161" s="78">
        <v>180</v>
      </c>
      <c r="J161" s="78">
        <v>0</v>
      </c>
      <c r="K161" s="80">
        <f t="shared" si="12"/>
        <v>253</v>
      </c>
      <c r="L161" s="80">
        <f t="shared" si="11"/>
        <v>309</v>
      </c>
      <c r="M161" s="78">
        <v>754</v>
      </c>
      <c r="N161" s="78">
        <v>0</v>
      </c>
      <c r="O161" s="78">
        <v>210</v>
      </c>
      <c r="P161" s="78">
        <v>82</v>
      </c>
      <c r="Q161" s="78">
        <f t="shared" si="9"/>
        <v>209.2</v>
      </c>
      <c r="R161" s="80">
        <f t="shared" si="10"/>
        <v>255</v>
      </c>
      <c r="S161" s="76"/>
      <c r="T161" s="79"/>
      <c r="U161" s="79"/>
      <c r="V161" s="79"/>
      <c r="W161" s="79"/>
      <c r="X161" s="79"/>
      <c r="Y161" s="79"/>
      <c r="Z161" s="79"/>
    </row>
    <row r="162" spans="1:26" ht="21" x14ac:dyDescent="0.35">
      <c r="A162" s="10">
        <v>6661</v>
      </c>
      <c r="B162" s="12">
        <v>1001022246661</v>
      </c>
      <c r="C162" s="13" t="s">
        <v>23</v>
      </c>
      <c r="D162" s="13"/>
      <c r="E162" s="10" t="s">
        <v>7</v>
      </c>
      <c r="F162" s="14">
        <v>1</v>
      </c>
      <c r="G162" s="78">
        <v>158</v>
      </c>
      <c r="H162" s="78">
        <v>19</v>
      </c>
      <c r="I162" s="78">
        <v>0</v>
      </c>
      <c r="J162" s="78">
        <v>0</v>
      </c>
      <c r="K162" s="80">
        <f t="shared" si="12"/>
        <v>44</v>
      </c>
      <c r="L162" s="80">
        <f t="shared" si="11"/>
        <v>22</v>
      </c>
      <c r="M162" s="78">
        <v>278</v>
      </c>
      <c r="N162" s="78">
        <v>0</v>
      </c>
      <c r="O162" s="78">
        <v>225</v>
      </c>
      <c r="P162" s="78">
        <v>44</v>
      </c>
      <c r="Q162" s="78">
        <f t="shared" si="9"/>
        <v>109.4</v>
      </c>
      <c r="R162" s="80">
        <f t="shared" si="10"/>
        <v>55</v>
      </c>
      <c r="S162" s="76"/>
      <c r="T162" s="79"/>
      <c r="U162" s="79"/>
      <c r="V162" s="79"/>
      <c r="W162" s="79"/>
      <c r="X162" s="79"/>
      <c r="Y162" s="79"/>
      <c r="Z162" s="79"/>
    </row>
    <row r="163" spans="1:26" ht="21" x14ac:dyDescent="0.35">
      <c r="A163" s="37">
        <v>6254</v>
      </c>
      <c r="B163" s="31">
        <v>1001022556254</v>
      </c>
      <c r="C163" s="32" t="s">
        <v>130</v>
      </c>
      <c r="D163" s="13"/>
      <c r="E163" s="20" t="s">
        <v>7</v>
      </c>
      <c r="F163" s="21">
        <v>1</v>
      </c>
      <c r="G163" s="78"/>
      <c r="H163" s="78"/>
      <c r="I163" s="78"/>
      <c r="J163" s="78"/>
      <c r="K163" s="80"/>
      <c r="L163" s="80">
        <f t="shared" si="11"/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f t="shared" si="9"/>
        <v>0</v>
      </c>
      <c r="R163" s="80">
        <f t="shared" si="10"/>
        <v>0</v>
      </c>
      <c r="S163" s="76"/>
      <c r="T163" s="79"/>
      <c r="U163" s="79"/>
      <c r="V163" s="79"/>
      <c r="W163" s="79"/>
      <c r="X163" s="79"/>
      <c r="Y163" s="79"/>
      <c r="Z163" s="79"/>
    </row>
    <row r="164" spans="1:26" ht="21" x14ac:dyDescent="0.35">
      <c r="A164" s="10">
        <v>6837</v>
      </c>
      <c r="B164" s="12">
        <v>1001022556837</v>
      </c>
      <c r="C164" s="13" t="s">
        <v>102</v>
      </c>
      <c r="D164" s="13"/>
      <c r="E164" s="10" t="s">
        <v>8</v>
      </c>
      <c r="F164" s="14">
        <v>0.4</v>
      </c>
      <c r="G164" s="78">
        <v>10</v>
      </c>
      <c r="H164" s="78">
        <v>72</v>
      </c>
      <c r="I164" s="78">
        <v>0</v>
      </c>
      <c r="J164" s="78">
        <v>0</v>
      </c>
      <c r="K164" s="80">
        <f t="shared" si="12"/>
        <v>21</v>
      </c>
      <c r="L164" s="80">
        <f t="shared" si="11"/>
        <v>26</v>
      </c>
      <c r="M164" s="78">
        <v>98</v>
      </c>
      <c r="N164" s="78">
        <v>5</v>
      </c>
      <c r="O164" s="78">
        <v>0</v>
      </c>
      <c r="P164" s="78">
        <v>46</v>
      </c>
      <c r="Q164" s="78">
        <f t="shared" si="9"/>
        <v>29.8</v>
      </c>
      <c r="R164" s="80">
        <f t="shared" si="10"/>
        <v>37</v>
      </c>
      <c r="S164" s="76"/>
      <c r="T164" s="79"/>
      <c r="U164" s="79"/>
      <c r="V164" s="79"/>
      <c r="W164" s="79"/>
      <c r="X164" s="79"/>
      <c r="Y164" s="79"/>
      <c r="Z164" s="79"/>
    </row>
    <row r="165" spans="1:26" ht="21" x14ac:dyDescent="0.35">
      <c r="A165" s="10">
        <v>7385</v>
      </c>
      <c r="B165" s="12">
        <v>1001027067385</v>
      </c>
      <c r="C165" s="38" t="s">
        <v>127</v>
      </c>
      <c r="D165" s="13"/>
      <c r="E165" s="10" t="s">
        <v>8</v>
      </c>
      <c r="F165" s="14">
        <v>0.33</v>
      </c>
      <c r="G165" s="78"/>
      <c r="H165" s="78"/>
      <c r="I165" s="78"/>
      <c r="J165" s="78"/>
      <c r="K165" s="80"/>
      <c r="L165" s="80">
        <f t="shared" si="11"/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f t="shared" si="9"/>
        <v>0</v>
      </c>
      <c r="R165" s="80">
        <f t="shared" si="10"/>
        <v>0</v>
      </c>
      <c r="S165" s="76"/>
      <c r="T165" s="79"/>
      <c r="U165" s="79"/>
      <c r="V165" s="79"/>
      <c r="W165" s="79"/>
      <c r="X165" s="79"/>
      <c r="Y165" s="79"/>
      <c r="Z165" s="79"/>
    </row>
    <row r="166" spans="1:26" ht="21" x14ac:dyDescent="0.35">
      <c r="A166" s="61">
        <v>7044</v>
      </c>
      <c r="B166" s="62">
        <v>1001025167044</v>
      </c>
      <c r="C166" s="63" t="s">
        <v>145</v>
      </c>
      <c r="D166" s="71"/>
      <c r="E166" s="10" t="s">
        <v>8</v>
      </c>
      <c r="F166" s="50">
        <v>0.32</v>
      </c>
      <c r="G166" s="78"/>
      <c r="H166" s="78"/>
      <c r="I166" s="78"/>
      <c r="J166" s="78"/>
      <c r="K166" s="80"/>
      <c r="L166" s="80">
        <f t="shared" si="11"/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f t="shared" si="9"/>
        <v>0</v>
      </c>
      <c r="R166" s="80">
        <f t="shared" si="10"/>
        <v>0</v>
      </c>
      <c r="S166" s="76"/>
      <c r="T166" s="79"/>
      <c r="U166" s="79"/>
      <c r="V166" s="79"/>
      <c r="W166" s="79"/>
      <c r="X166" s="79"/>
      <c r="Y166" s="79"/>
      <c r="Z166" s="79"/>
    </row>
    <row r="167" spans="1:26" ht="21" x14ac:dyDescent="0.35">
      <c r="A167" s="61">
        <v>7040</v>
      </c>
      <c r="B167" s="62">
        <v>1001025027040</v>
      </c>
      <c r="C167" s="63" t="s">
        <v>188</v>
      </c>
      <c r="D167" s="71"/>
      <c r="E167" s="10" t="s">
        <v>8</v>
      </c>
      <c r="F167" s="50">
        <v>0.27</v>
      </c>
      <c r="G167" s="78">
        <v>0</v>
      </c>
      <c r="H167" s="78">
        <v>0</v>
      </c>
      <c r="I167" s="78">
        <v>0</v>
      </c>
      <c r="J167" s="78">
        <v>80</v>
      </c>
      <c r="K167" s="80">
        <f t="shared" si="12"/>
        <v>20</v>
      </c>
      <c r="L167" s="80">
        <f t="shared" si="11"/>
        <v>37</v>
      </c>
      <c r="M167" s="78">
        <v>93</v>
      </c>
      <c r="N167" s="78">
        <v>0</v>
      </c>
      <c r="O167" s="78">
        <v>0</v>
      </c>
      <c r="P167" s="78">
        <v>52</v>
      </c>
      <c r="Q167" s="78">
        <f t="shared" si="9"/>
        <v>45</v>
      </c>
      <c r="R167" s="80">
        <f t="shared" si="10"/>
        <v>83</v>
      </c>
      <c r="S167" s="76"/>
      <c r="T167" s="79"/>
      <c r="U167" s="79"/>
      <c r="V167" s="79"/>
      <c r="W167" s="79"/>
      <c r="X167" s="79"/>
      <c r="Y167" s="79"/>
      <c r="Z167" s="79"/>
    </row>
    <row r="168" spans="1:26" ht="21" x14ac:dyDescent="0.35">
      <c r="A168" s="10">
        <v>7521</v>
      </c>
      <c r="B168" s="12">
        <v>1001021007521</v>
      </c>
      <c r="C168" s="13" t="s">
        <v>185</v>
      </c>
      <c r="D168" s="24"/>
      <c r="E168" s="10" t="s">
        <v>8</v>
      </c>
      <c r="F168" s="14">
        <v>0.5</v>
      </c>
      <c r="G168" s="78"/>
      <c r="H168" s="78"/>
      <c r="I168" s="78"/>
      <c r="J168" s="78"/>
      <c r="K168" s="80"/>
      <c r="L168" s="80">
        <f t="shared" si="11"/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f t="shared" si="9"/>
        <v>0</v>
      </c>
      <c r="R168" s="80">
        <f t="shared" si="10"/>
        <v>0</v>
      </c>
      <c r="S168" s="76"/>
      <c r="T168" s="79"/>
      <c r="U168" s="79"/>
      <c r="V168" s="79"/>
      <c r="W168" s="79"/>
      <c r="X168" s="79"/>
      <c r="Y168" s="79"/>
      <c r="Z168" s="79"/>
    </row>
    <row r="169" spans="1:26" ht="23.25" x14ac:dyDescent="0.35">
      <c r="A169" s="5"/>
      <c r="B169" s="11"/>
      <c r="C169" s="28" t="s">
        <v>143</v>
      </c>
      <c r="D169" s="28"/>
      <c r="E169" s="29"/>
      <c r="F169" s="15"/>
      <c r="G169" s="78"/>
      <c r="H169" s="78"/>
      <c r="I169" s="78"/>
      <c r="J169" s="78"/>
      <c r="K169" s="80"/>
      <c r="L169" s="80"/>
      <c r="M169" s="78"/>
      <c r="N169" s="78"/>
      <c r="O169" s="78"/>
      <c r="P169" s="78"/>
      <c r="Q169" s="78"/>
      <c r="R169" s="80"/>
      <c r="S169" s="76"/>
      <c r="T169" s="79"/>
      <c r="U169" s="79"/>
      <c r="V169" s="79"/>
      <c r="W169" s="79"/>
      <c r="X169" s="79"/>
      <c r="Y169" s="79"/>
      <c r="Z169" s="79"/>
    </row>
    <row r="170" spans="1:26" ht="21" x14ac:dyDescent="0.35">
      <c r="A170" s="10">
        <v>6209</v>
      </c>
      <c r="B170" s="12">
        <v>1002131146209</v>
      </c>
      <c r="C170" s="13" t="s">
        <v>132</v>
      </c>
      <c r="D170" s="13"/>
      <c r="E170" s="10" t="s">
        <v>8</v>
      </c>
      <c r="F170" s="14">
        <v>0.35</v>
      </c>
      <c r="G170" s="78">
        <v>67</v>
      </c>
      <c r="H170" s="78">
        <v>67</v>
      </c>
      <c r="I170" s="78">
        <v>80</v>
      </c>
      <c r="J170" s="78">
        <v>42</v>
      </c>
      <c r="K170" s="80">
        <f t="shared" si="12"/>
        <v>64</v>
      </c>
      <c r="L170" s="80">
        <f t="shared" si="11"/>
        <v>91</v>
      </c>
      <c r="M170" s="78">
        <v>80</v>
      </c>
      <c r="N170" s="78">
        <v>63</v>
      </c>
      <c r="O170" s="78">
        <v>172</v>
      </c>
      <c r="P170" s="78">
        <v>0</v>
      </c>
      <c r="Q170" s="78">
        <f t="shared" si="9"/>
        <v>71.400000000000006</v>
      </c>
      <c r="R170" s="80">
        <f t="shared" si="10"/>
        <v>102</v>
      </c>
      <c r="S170" s="76"/>
      <c r="T170" s="79"/>
      <c r="U170" s="79"/>
      <c r="V170" s="79"/>
      <c r="W170" s="79"/>
      <c r="X170" s="79"/>
      <c r="Y170" s="79"/>
      <c r="Z170" s="79"/>
    </row>
    <row r="171" spans="1:26" ht="21" x14ac:dyDescent="0.35">
      <c r="A171" s="10">
        <v>6168</v>
      </c>
      <c r="B171" s="12">
        <v>1002131156168</v>
      </c>
      <c r="C171" s="13" t="s">
        <v>133</v>
      </c>
      <c r="D171" s="13"/>
      <c r="E171" s="10" t="s">
        <v>8</v>
      </c>
      <c r="F171" s="14">
        <v>0.35</v>
      </c>
      <c r="G171" s="78">
        <v>67</v>
      </c>
      <c r="H171" s="78">
        <v>84</v>
      </c>
      <c r="I171" s="78">
        <v>80</v>
      </c>
      <c r="J171" s="78">
        <v>105</v>
      </c>
      <c r="K171" s="80">
        <f t="shared" si="12"/>
        <v>84</v>
      </c>
      <c r="L171" s="80">
        <f t="shared" si="11"/>
        <v>120</v>
      </c>
      <c r="M171" s="78">
        <v>71</v>
      </c>
      <c r="N171" s="78">
        <v>55</v>
      </c>
      <c r="O171" s="78">
        <v>218</v>
      </c>
      <c r="P171" s="78">
        <v>0</v>
      </c>
      <c r="Q171" s="78">
        <f t="shared" si="9"/>
        <v>89.8</v>
      </c>
      <c r="R171" s="80">
        <f t="shared" si="10"/>
        <v>128</v>
      </c>
      <c r="S171" s="76"/>
      <c r="T171" s="79"/>
      <c r="U171" s="79"/>
      <c r="V171" s="79"/>
      <c r="W171" s="79"/>
      <c r="X171" s="79"/>
      <c r="Y171" s="79"/>
      <c r="Z171" s="79"/>
    </row>
    <row r="172" spans="1:26" ht="21" x14ac:dyDescent="0.35">
      <c r="A172" s="10">
        <v>5579</v>
      </c>
      <c r="B172" s="12">
        <v>1002134275579</v>
      </c>
      <c r="C172" s="13" t="s">
        <v>134</v>
      </c>
      <c r="D172" s="13"/>
      <c r="E172" s="10" t="s">
        <v>8</v>
      </c>
      <c r="F172" s="14">
        <v>0.42</v>
      </c>
      <c r="G172" s="78">
        <v>0</v>
      </c>
      <c r="H172" s="78">
        <v>84</v>
      </c>
      <c r="I172" s="78">
        <v>0</v>
      </c>
      <c r="J172" s="78">
        <v>0</v>
      </c>
      <c r="K172" s="80">
        <f t="shared" si="12"/>
        <v>21</v>
      </c>
      <c r="L172" s="80">
        <f t="shared" si="11"/>
        <v>25</v>
      </c>
      <c r="M172" s="78">
        <v>0</v>
      </c>
      <c r="N172" s="78">
        <v>0</v>
      </c>
      <c r="O172" s="78">
        <v>0</v>
      </c>
      <c r="P172" s="78">
        <v>0</v>
      </c>
      <c r="Q172" s="78">
        <f t="shared" si="9"/>
        <v>0</v>
      </c>
      <c r="R172" s="80">
        <f t="shared" si="10"/>
        <v>0</v>
      </c>
      <c r="S172" s="76"/>
      <c r="T172" s="79"/>
      <c r="U172" s="79"/>
      <c r="V172" s="79"/>
      <c r="W172" s="79"/>
      <c r="X172" s="79"/>
      <c r="Y172" s="79"/>
      <c r="Z172" s="79"/>
    </row>
    <row r="173" spans="1:26" ht="21" x14ac:dyDescent="0.35">
      <c r="A173" s="10">
        <v>5897</v>
      </c>
      <c r="B173" s="12">
        <v>1002134615897</v>
      </c>
      <c r="C173" s="13" t="s">
        <v>135</v>
      </c>
      <c r="D173" s="13"/>
      <c r="E173" s="10" t="s">
        <v>8</v>
      </c>
      <c r="F173" s="14">
        <v>0.42</v>
      </c>
      <c r="G173" s="78"/>
      <c r="H173" s="78"/>
      <c r="I173" s="78"/>
      <c r="J173" s="78"/>
      <c r="K173" s="80"/>
      <c r="L173" s="80">
        <f t="shared" si="11"/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f t="shared" si="9"/>
        <v>0</v>
      </c>
      <c r="R173" s="80">
        <f t="shared" si="10"/>
        <v>0</v>
      </c>
      <c r="S173" s="76"/>
      <c r="T173" s="79"/>
      <c r="U173" s="79"/>
      <c r="V173" s="79"/>
      <c r="W173" s="79"/>
      <c r="X173" s="79"/>
      <c r="Y173" s="79"/>
      <c r="Z173" s="79"/>
    </row>
    <row r="174" spans="1:26" ht="21" x14ac:dyDescent="0.35">
      <c r="A174" s="10">
        <v>6148</v>
      </c>
      <c r="B174" s="12">
        <v>1002133376148</v>
      </c>
      <c r="C174" s="13" t="s">
        <v>136</v>
      </c>
      <c r="D174" s="13"/>
      <c r="E174" s="10" t="s">
        <v>8</v>
      </c>
      <c r="F174" s="14">
        <v>0.3</v>
      </c>
      <c r="G174" s="78">
        <v>58</v>
      </c>
      <c r="H174" s="78">
        <v>86</v>
      </c>
      <c r="I174" s="78">
        <v>68</v>
      </c>
      <c r="J174" s="78">
        <v>29</v>
      </c>
      <c r="K174" s="80">
        <f t="shared" si="12"/>
        <v>60</v>
      </c>
      <c r="L174" s="80">
        <f t="shared" si="11"/>
        <v>100</v>
      </c>
      <c r="M174" s="78">
        <v>54</v>
      </c>
      <c r="N174" s="78">
        <v>0</v>
      </c>
      <c r="O174" s="78">
        <v>198</v>
      </c>
      <c r="P174" s="78">
        <v>0</v>
      </c>
      <c r="Q174" s="78">
        <f t="shared" si="9"/>
        <v>56.2</v>
      </c>
      <c r="R174" s="80">
        <f t="shared" si="10"/>
        <v>94</v>
      </c>
      <c r="S174" s="76"/>
      <c r="T174" s="79"/>
      <c r="U174" s="79"/>
      <c r="V174" s="79"/>
      <c r="W174" s="79"/>
      <c r="X174" s="79"/>
      <c r="Y174" s="79"/>
      <c r="Z174" s="79"/>
    </row>
    <row r="175" spans="1:26" ht="21" x14ac:dyDescent="0.35">
      <c r="A175" s="10">
        <v>6149</v>
      </c>
      <c r="B175" s="12">
        <v>1002131166149</v>
      </c>
      <c r="C175" s="38" t="s">
        <v>137</v>
      </c>
      <c r="D175" s="13"/>
      <c r="E175" s="10" t="s">
        <v>8</v>
      </c>
      <c r="F175" s="14">
        <v>0.3</v>
      </c>
      <c r="G175" s="78">
        <v>58</v>
      </c>
      <c r="H175" s="78">
        <v>43</v>
      </c>
      <c r="I175" s="78">
        <v>115</v>
      </c>
      <c r="J175" s="78">
        <v>0</v>
      </c>
      <c r="K175" s="80">
        <f t="shared" si="12"/>
        <v>54</v>
      </c>
      <c r="L175" s="80">
        <f t="shared" si="11"/>
        <v>90</v>
      </c>
      <c r="M175" s="78">
        <v>47</v>
      </c>
      <c r="N175" s="78">
        <v>25</v>
      </c>
      <c r="O175" s="78">
        <v>133</v>
      </c>
      <c r="P175" s="78">
        <v>0</v>
      </c>
      <c r="Q175" s="78">
        <f t="shared" si="9"/>
        <v>41</v>
      </c>
      <c r="R175" s="80">
        <f t="shared" si="10"/>
        <v>68</v>
      </c>
      <c r="S175" s="76"/>
      <c r="T175" s="79"/>
      <c r="U175" s="79"/>
      <c r="V175" s="79"/>
      <c r="W175" s="79"/>
      <c r="X175" s="79"/>
      <c r="Y175" s="79"/>
      <c r="Z175" s="79"/>
    </row>
    <row r="176" spans="1:26" ht="21" x14ac:dyDescent="0.35">
      <c r="A176" s="10">
        <v>6202</v>
      </c>
      <c r="B176" s="12">
        <v>1002131186202</v>
      </c>
      <c r="C176" s="38" t="s">
        <v>138</v>
      </c>
      <c r="D176" s="13"/>
      <c r="E176" s="10" t="s">
        <v>8</v>
      </c>
      <c r="F176" s="14">
        <v>0.3</v>
      </c>
      <c r="G176" s="78">
        <v>58</v>
      </c>
      <c r="H176" s="78">
        <v>72</v>
      </c>
      <c r="I176" s="78">
        <v>36</v>
      </c>
      <c r="J176" s="78">
        <v>0</v>
      </c>
      <c r="K176" s="80">
        <f t="shared" si="12"/>
        <v>42</v>
      </c>
      <c r="L176" s="80">
        <f t="shared" si="11"/>
        <v>70</v>
      </c>
      <c r="M176" s="78">
        <v>76</v>
      </c>
      <c r="N176" s="78">
        <v>4</v>
      </c>
      <c r="O176" s="78">
        <v>7</v>
      </c>
      <c r="P176" s="78">
        <v>0</v>
      </c>
      <c r="Q176" s="78">
        <f t="shared" si="9"/>
        <v>17.399999999999999</v>
      </c>
      <c r="R176" s="80">
        <f t="shared" si="10"/>
        <v>29</v>
      </c>
      <c r="S176" s="76"/>
      <c r="T176" s="79"/>
      <c r="U176" s="79"/>
      <c r="V176" s="79"/>
      <c r="W176" s="79"/>
      <c r="X176" s="79"/>
      <c r="Y176" s="79"/>
      <c r="Z176" s="79"/>
    </row>
    <row r="177" spans="1:26" ht="21" x14ac:dyDescent="0.35">
      <c r="A177" s="10">
        <v>6819</v>
      </c>
      <c r="B177" s="12">
        <v>1002134276819</v>
      </c>
      <c r="C177" s="38" t="s">
        <v>139</v>
      </c>
      <c r="D177" s="13"/>
      <c r="E177" s="10" t="s">
        <v>8</v>
      </c>
      <c r="F177" s="14">
        <v>0.3</v>
      </c>
      <c r="G177" s="78">
        <v>0</v>
      </c>
      <c r="H177" s="78">
        <v>0</v>
      </c>
      <c r="I177" s="78">
        <v>0</v>
      </c>
      <c r="J177" s="78">
        <v>14</v>
      </c>
      <c r="K177" s="80">
        <f t="shared" si="12"/>
        <v>4</v>
      </c>
      <c r="L177" s="80">
        <f t="shared" si="11"/>
        <v>7</v>
      </c>
      <c r="M177" s="78">
        <v>0</v>
      </c>
      <c r="N177" s="78">
        <v>0</v>
      </c>
      <c r="O177" s="78">
        <v>0</v>
      </c>
      <c r="P177" s="78">
        <v>0</v>
      </c>
      <c r="Q177" s="78">
        <f t="shared" si="9"/>
        <v>2.8</v>
      </c>
      <c r="R177" s="80">
        <f t="shared" si="10"/>
        <v>5</v>
      </c>
      <c r="S177" s="76"/>
      <c r="T177" s="79"/>
      <c r="U177" s="79"/>
      <c r="V177" s="79"/>
      <c r="W177" s="79"/>
      <c r="X177" s="79"/>
      <c r="Y177" s="79"/>
      <c r="Z177" s="79"/>
    </row>
    <row r="178" spans="1:26" ht="21" x14ac:dyDescent="0.35">
      <c r="A178" s="10">
        <v>5754</v>
      </c>
      <c r="B178" s="12">
        <v>1002131155754</v>
      </c>
      <c r="C178" s="13" t="s">
        <v>140</v>
      </c>
      <c r="D178" s="13"/>
      <c r="E178" s="10" t="s">
        <v>7</v>
      </c>
      <c r="F178" s="14">
        <v>1</v>
      </c>
      <c r="G178" s="78">
        <v>197</v>
      </c>
      <c r="H178" s="78">
        <v>100</v>
      </c>
      <c r="I178" s="78">
        <v>18</v>
      </c>
      <c r="J178" s="78">
        <v>0</v>
      </c>
      <c r="K178" s="80">
        <f t="shared" si="12"/>
        <v>79</v>
      </c>
      <c r="L178" s="80">
        <f t="shared" si="11"/>
        <v>40</v>
      </c>
      <c r="M178" s="78">
        <v>0</v>
      </c>
      <c r="N178" s="78">
        <v>0</v>
      </c>
      <c r="O178" s="78">
        <v>0</v>
      </c>
      <c r="P178" s="78">
        <v>0</v>
      </c>
      <c r="Q178" s="78">
        <f t="shared" si="9"/>
        <v>0</v>
      </c>
      <c r="R178" s="80">
        <f t="shared" si="10"/>
        <v>0</v>
      </c>
      <c r="S178" s="76"/>
      <c r="T178" s="79"/>
      <c r="U178" s="79"/>
      <c r="V178" s="79"/>
      <c r="W178" s="79"/>
      <c r="X178" s="79"/>
      <c r="Y178" s="79"/>
      <c r="Z178" s="79"/>
    </row>
    <row r="179" spans="1:26" ht="21" x14ac:dyDescent="0.35">
      <c r="A179" s="10">
        <v>5755</v>
      </c>
      <c r="B179" s="12">
        <v>1002131185755</v>
      </c>
      <c r="C179" s="13" t="s">
        <v>141</v>
      </c>
      <c r="D179" s="13"/>
      <c r="E179" s="10" t="s">
        <v>7</v>
      </c>
      <c r="F179" s="14">
        <v>1</v>
      </c>
      <c r="G179" s="78">
        <v>199</v>
      </c>
      <c r="H179" s="78">
        <v>0</v>
      </c>
      <c r="I179" s="78">
        <v>0</v>
      </c>
      <c r="J179" s="78">
        <v>0</v>
      </c>
      <c r="K179" s="80">
        <f t="shared" si="12"/>
        <v>50</v>
      </c>
      <c r="L179" s="80">
        <f t="shared" si="11"/>
        <v>25</v>
      </c>
      <c r="M179" s="78">
        <v>0</v>
      </c>
      <c r="N179" s="78">
        <v>0</v>
      </c>
      <c r="O179" s="78">
        <v>0</v>
      </c>
      <c r="P179" s="78">
        <v>0</v>
      </c>
      <c r="Q179" s="78">
        <f t="shared" si="9"/>
        <v>0</v>
      </c>
      <c r="R179" s="80">
        <f t="shared" si="10"/>
        <v>0</v>
      </c>
      <c r="S179" s="76"/>
      <c r="T179" s="79"/>
      <c r="U179" s="79"/>
      <c r="V179" s="79"/>
      <c r="W179" s="79"/>
      <c r="X179" s="79"/>
      <c r="Y179" s="79"/>
      <c r="Z179" s="79"/>
    </row>
    <row r="180" spans="1:26" ht="23.25" x14ac:dyDescent="0.35">
      <c r="A180" s="66"/>
      <c r="B180" s="67"/>
      <c r="C180" s="68" t="s">
        <v>156</v>
      </c>
      <c r="D180" s="68"/>
      <c r="E180" s="69"/>
      <c r="F180" s="70"/>
      <c r="G180" s="78"/>
      <c r="H180" s="78"/>
      <c r="I180" s="78"/>
      <c r="J180" s="78"/>
      <c r="K180" s="80"/>
      <c r="L180" s="80"/>
      <c r="M180" s="78"/>
      <c r="N180" s="78"/>
      <c r="O180" s="78"/>
      <c r="P180" s="78"/>
      <c r="Q180" s="78"/>
      <c r="R180" s="80"/>
      <c r="S180" s="76"/>
      <c r="T180" s="79"/>
      <c r="U180" s="79"/>
      <c r="V180" s="79"/>
      <c r="W180" s="79"/>
      <c r="X180" s="79"/>
      <c r="Y180" s="79"/>
      <c r="Z180" s="79"/>
    </row>
    <row r="181" spans="1:26" ht="21" x14ac:dyDescent="0.35">
      <c r="A181" s="10">
        <v>7216</v>
      </c>
      <c r="B181" s="12">
        <v>1002116437216</v>
      </c>
      <c r="C181" s="13" t="s">
        <v>157</v>
      </c>
      <c r="D181" s="13"/>
      <c r="E181" s="10" t="s">
        <v>8</v>
      </c>
      <c r="F181" s="14">
        <v>0.7</v>
      </c>
      <c r="G181" s="78">
        <v>392</v>
      </c>
      <c r="H181" s="78">
        <v>140</v>
      </c>
      <c r="I181" s="78">
        <v>0</v>
      </c>
      <c r="J181" s="78">
        <v>0</v>
      </c>
      <c r="K181" s="80">
        <f t="shared" si="12"/>
        <v>133</v>
      </c>
      <c r="L181" s="80">
        <f t="shared" si="11"/>
        <v>95</v>
      </c>
      <c r="M181" s="78">
        <v>245</v>
      </c>
      <c r="N181" s="78">
        <v>0</v>
      </c>
      <c r="O181" s="78">
        <v>0</v>
      </c>
      <c r="P181" s="78">
        <v>0</v>
      </c>
      <c r="Q181" s="78">
        <f t="shared" si="9"/>
        <v>49</v>
      </c>
      <c r="R181" s="80">
        <f t="shared" si="10"/>
        <v>35</v>
      </c>
      <c r="S181" s="76"/>
      <c r="T181" s="79"/>
      <c r="U181" s="79"/>
      <c r="V181" s="79"/>
      <c r="W181" s="79"/>
      <c r="X181" s="79"/>
      <c r="Y181" s="79"/>
      <c r="Z181" s="79"/>
    </row>
    <row r="182" spans="1:26" ht="23.25" x14ac:dyDescent="0.35">
      <c r="A182" s="5"/>
      <c r="B182" s="11"/>
      <c r="C182" s="28" t="s">
        <v>211</v>
      </c>
      <c r="D182" s="28"/>
      <c r="E182" s="29"/>
      <c r="F182" s="15"/>
      <c r="G182" s="78"/>
      <c r="H182" s="78"/>
      <c r="I182" s="78"/>
      <c r="J182" s="78"/>
      <c r="K182" s="80"/>
      <c r="L182" s="80"/>
      <c r="M182" s="78"/>
      <c r="N182" s="78"/>
      <c r="O182" s="78"/>
      <c r="P182" s="78"/>
      <c r="Q182" s="78"/>
      <c r="R182" s="80"/>
      <c r="S182" s="76"/>
      <c r="T182" s="79"/>
      <c r="U182" s="79"/>
      <c r="V182" s="79"/>
      <c r="W182" s="79"/>
      <c r="X182" s="79"/>
      <c r="Y182" s="79"/>
      <c r="Z182" s="79"/>
    </row>
    <row r="183" spans="1:26" ht="21" x14ac:dyDescent="0.35">
      <c r="A183" s="10">
        <v>7344</v>
      </c>
      <c r="B183" s="12">
        <v>1002162216872</v>
      </c>
      <c r="C183" s="91" t="s">
        <v>212</v>
      </c>
      <c r="D183" s="92">
        <v>260956636643</v>
      </c>
      <c r="E183" s="10" t="s">
        <v>8</v>
      </c>
      <c r="F183" s="14">
        <v>0.34</v>
      </c>
      <c r="G183" s="78"/>
      <c r="H183" s="78"/>
      <c r="I183" s="78"/>
      <c r="J183" s="78"/>
      <c r="K183" s="80"/>
      <c r="L183" s="80">
        <f t="shared" si="11"/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f t="shared" si="9"/>
        <v>0</v>
      </c>
      <c r="R183" s="80">
        <f t="shared" si="10"/>
        <v>0</v>
      </c>
      <c r="S183" s="76"/>
      <c r="T183" s="79"/>
      <c r="U183" s="79"/>
      <c r="V183" s="79"/>
      <c r="W183" s="79"/>
      <c r="X183" s="79"/>
      <c r="Y183" s="79"/>
      <c r="Z183" s="79"/>
    </row>
    <row r="184" spans="1:26" ht="21" x14ac:dyDescent="0.35">
      <c r="A184" s="10">
        <v>7345</v>
      </c>
      <c r="C184" s="91" t="s">
        <v>213</v>
      </c>
      <c r="D184" s="92">
        <v>260956636643</v>
      </c>
      <c r="E184" s="10" t="s">
        <v>8</v>
      </c>
      <c r="F184" s="14">
        <v>0.33</v>
      </c>
      <c r="G184" s="79"/>
      <c r="H184" s="79"/>
      <c r="I184" s="79"/>
      <c r="J184" s="79"/>
      <c r="K184" s="79"/>
      <c r="L184" s="79"/>
      <c r="M184" s="78">
        <v>0</v>
      </c>
      <c r="N184" s="78">
        <v>0</v>
      </c>
      <c r="O184" s="78">
        <v>0</v>
      </c>
      <c r="P184" s="78">
        <v>0</v>
      </c>
      <c r="Q184" s="78">
        <f t="shared" si="9"/>
        <v>0</v>
      </c>
      <c r="R184" s="80">
        <f t="shared" si="10"/>
        <v>0</v>
      </c>
      <c r="S184" s="79"/>
      <c r="T184" s="79"/>
      <c r="U184" s="79"/>
      <c r="V184" s="79"/>
      <c r="W184" s="79"/>
      <c r="X184" s="79"/>
      <c r="Y184" s="79"/>
      <c r="Z184" s="79"/>
    </row>
  </sheetData>
  <autoFilter ref="A4:Z184" xr:uid="{00000000-0009-0000-0000-000001000000}"/>
  <mergeCells count="6">
    <mergeCell ref="F2:F3"/>
    <mergeCell ref="A2:A3"/>
    <mergeCell ref="B2:B3"/>
    <mergeCell ref="C2:C3"/>
    <mergeCell ref="D2:D3"/>
    <mergeCell ref="E2:E3"/>
  </mergeCells>
  <conditionalFormatting sqref="A2">
    <cfRule type="duplicateValues" dxfId="351" priority="193"/>
  </conditionalFormatting>
  <conditionalFormatting sqref="A2:A4">
    <cfRule type="duplicateValues" dxfId="350" priority="190"/>
    <cfRule type="duplicateValues" dxfId="349" priority="191"/>
    <cfRule type="duplicateValues" dxfId="348" priority="192"/>
  </conditionalFormatting>
  <conditionalFormatting sqref="A6">
    <cfRule type="duplicateValues" dxfId="347" priority="265"/>
    <cfRule type="duplicateValues" dxfId="346" priority="266"/>
    <cfRule type="duplicateValues" dxfId="345" priority="267"/>
    <cfRule type="duplicateValues" dxfId="344" priority="268"/>
    <cfRule type="duplicateValues" dxfId="343" priority="269"/>
    <cfRule type="duplicateValues" dxfId="342" priority="270"/>
    <cfRule type="duplicateValues" dxfId="341" priority="271"/>
    <cfRule type="duplicateValues" dxfId="340" priority="272"/>
    <cfRule type="duplicateValues" dxfId="339" priority="273"/>
    <cfRule type="duplicateValues" dxfId="338" priority="274"/>
  </conditionalFormatting>
  <conditionalFormatting sqref="A7">
    <cfRule type="duplicateValues" dxfId="337" priority="83"/>
    <cfRule type="duplicateValues" dxfId="336" priority="84"/>
    <cfRule type="duplicateValues" dxfId="335" priority="85"/>
    <cfRule type="duplicateValues" dxfId="334" priority="86"/>
    <cfRule type="duplicateValues" dxfId="333" priority="87"/>
    <cfRule type="duplicateValues" dxfId="332" priority="89"/>
    <cfRule type="duplicateValues" dxfId="331" priority="90"/>
    <cfRule type="duplicateValues" dxfId="330" priority="91"/>
    <cfRule type="duplicateValues" dxfId="329" priority="92"/>
    <cfRule type="duplicateValues" dxfId="328" priority="93"/>
  </conditionalFormatting>
  <conditionalFormatting sqref="A8">
    <cfRule type="duplicateValues" dxfId="327" priority="298"/>
    <cfRule type="duplicateValues" dxfId="326" priority="299"/>
    <cfRule type="duplicateValues" dxfId="325" priority="300"/>
    <cfRule type="duplicateValues" dxfId="324" priority="301"/>
    <cfRule type="duplicateValues" dxfId="323" priority="302"/>
    <cfRule type="duplicateValues" dxfId="322" priority="303"/>
    <cfRule type="duplicateValues" dxfId="321" priority="304"/>
    <cfRule type="duplicateValues" dxfId="320" priority="305"/>
    <cfRule type="duplicateValues" dxfId="319" priority="306"/>
    <cfRule type="duplicateValues" dxfId="318" priority="307"/>
    <cfRule type="duplicateValues" dxfId="317" priority="308"/>
  </conditionalFormatting>
  <conditionalFormatting sqref="A9:A20">
    <cfRule type="duplicateValues" dxfId="316" priority="352"/>
  </conditionalFormatting>
  <conditionalFormatting sqref="A22">
    <cfRule type="duplicateValues" dxfId="315" priority="276"/>
    <cfRule type="duplicateValues" dxfId="314" priority="277"/>
    <cfRule type="duplicateValues" dxfId="313" priority="278"/>
    <cfRule type="duplicateValues" dxfId="312" priority="279"/>
    <cfRule type="duplicateValues" dxfId="311" priority="280"/>
    <cfRule type="duplicateValues" dxfId="310" priority="281"/>
    <cfRule type="duplicateValues" dxfId="309" priority="282"/>
    <cfRule type="duplicateValues" dxfId="308" priority="283"/>
    <cfRule type="duplicateValues" dxfId="307" priority="284"/>
    <cfRule type="duplicateValues" dxfId="306" priority="285"/>
    <cfRule type="duplicateValues" dxfId="305" priority="286"/>
  </conditionalFormatting>
  <conditionalFormatting sqref="A24:A26">
    <cfRule type="duplicateValues" dxfId="304" priority="287"/>
    <cfRule type="duplicateValues" dxfId="303" priority="288"/>
    <cfRule type="duplicateValues" dxfId="302" priority="289"/>
    <cfRule type="duplicateValues" dxfId="301" priority="290"/>
    <cfRule type="duplicateValues" dxfId="300" priority="291"/>
    <cfRule type="duplicateValues" dxfId="299" priority="292"/>
    <cfRule type="duplicateValues" dxfId="298" priority="293"/>
    <cfRule type="duplicateValues" dxfId="297" priority="294"/>
    <cfRule type="duplicateValues" dxfId="296" priority="295"/>
    <cfRule type="duplicateValues" dxfId="295" priority="296"/>
    <cfRule type="duplicateValues" dxfId="294" priority="297"/>
  </conditionalFormatting>
  <conditionalFormatting sqref="A27">
    <cfRule type="duplicateValues" dxfId="293" priority="315"/>
    <cfRule type="duplicateValues" dxfId="292" priority="316"/>
    <cfRule type="duplicateValues" dxfId="291" priority="317"/>
    <cfRule type="duplicateValues" dxfId="290" priority="318"/>
    <cfRule type="duplicateValues" dxfId="289" priority="319"/>
    <cfRule type="duplicateValues" dxfId="288" priority="320"/>
    <cfRule type="duplicateValues" dxfId="287" priority="321"/>
    <cfRule type="duplicateValues" dxfId="286" priority="322"/>
    <cfRule type="duplicateValues" dxfId="285" priority="323"/>
    <cfRule type="duplicateValues" dxfId="284" priority="324"/>
    <cfRule type="duplicateValues" dxfId="283" priority="325"/>
  </conditionalFormatting>
  <conditionalFormatting sqref="A28">
    <cfRule type="duplicateValues" dxfId="282" priority="79"/>
    <cfRule type="duplicateValues" dxfId="281" priority="80"/>
    <cfRule type="duplicateValues" dxfId="280" priority="81"/>
    <cfRule type="duplicateValues" dxfId="279" priority="82"/>
  </conditionalFormatting>
  <conditionalFormatting sqref="A29">
    <cfRule type="duplicateValues" dxfId="278" priority="64"/>
    <cfRule type="duplicateValues" dxfId="277" priority="65"/>
    <cfRule type="duplicateValues" dxfId="276" priority="66"/>
    <cfRule type="duplicateValues" dxfId="275" priority="67"/>
  </conditionalFormatting>
  <conditionalFormatting sqref="A30 A21 A23">
    <cfRule type="duplicateValues" dxfId="274" priority="219"/>
    <cfRule type="duplicateValues" dxfId="273" priority="220"/>
    <cfRule type="duplicateValues" dxfId="272" priority="221"/>
    <cfRule type="duplicateValues" dxfId="271" priority="222"/>
  </conditionalFormatting>
  <conditionalFormatting sqref="A31:A32">
    <cfRule type="duplicateValues" dxfId="270" priority="210"/>
  </conditionalFormatting>
  <conditionalFormatting sqref="A34">
    <cfRule type="duplicateValues" dxfId="269" priority="126"/>
    <cfRule type="duplicateValues" dxfId="268" priority="127"/>
    <cfRule type="duplicateValues" dxfId="267" priority="128"/>
    <cfRule type="duplicateValues" dxfId="266" priority="129"/>
  </conditionalFormatting>
  <conditionalFormatting sqref="A36">
    <cfRule type="duplicateValues" dxfId="265" priority="208"/>
  </conditionalFormatting>
  <conditionalFormatting sqref="A37 A33 A35">
    <cfRule type="duplicateValues" dxfId="264" priority="209"/>
  </conditionalFormatting>
  <conditionalFormatting sqref="A38:A39">
    <cfRule type="duplicateValues" dxfId="263" priority="207"/>
  </conditionalFormatting>
  <conditionalFormatting sqref="A40">
    <cfRule type="duplicateValues" dxfId="262" priority="30"/>
    <cfRule type="duplicateValues" dxfId="261" priority="31"/>
    <cfRule type="duplicateValues" dxfId="260" priority="32"/>
    <cfRule type="duplicateValues" dxfId="259" priority="33"/>
  </conditionalFormatting>
  <conditionalFormatting sqref="A41:A44">
    <cfRule type="duplicateValues" dxfId="258" priority="309"/>
    <cfRule type="duplicateValues" dxfId="257" priority="310"/>
  </conditionalFormatting>
  <conditionalFormatting sqref="A46">
    <cfRule type="duplicateValues" dxfId="256" priority="172"/>
    <cfRule type="duplicateValues" dxfId="255" priority="173"/>
    <cfRule type="duplicateValues" dxfId="254" priority="174"/>
    <cfRule type="duplicateValues" dxfId="253" priority="175"/>
  </conditionalFormatting>
  <conditionalFormatting sqref="A47:A50 A52">
    <cfRule type="duplicateValues" dxfId="252" priority="224"/>
    <cfRule type="duplicateValues" dxfId="251" priority="225"/>
    <cfRule type="duplicateValues" dxfId="250" priority="226"/>
    <cfRule type="duplicateValues" dxfId="249" priority="227"/>
    <cfRule type="duplicateValues" dxfId="248" priority="228"/>
    <cfRule type="duplicateValues" dxfId="247" priority="229"/>
    <cfRule type="duplicateValues" dxfId="246" priority="230"/>
    <cfRule type="duplicateValues" dxfId="245" priority="231"/>
    <cfRule type="duplicateValues" dxfId="244" priority="232"/>
    <cfRule type="duplicateValues" dxfId="243" priority="233"/>
  </conditionalFormatting>
  <conditionalFormatting sqref="A51">
    <cfRule type="duplicateValues" dxfId="242" priority="9"/>
    <cfRule type="duplicateValues" dxfId="241" priority="10"/>
    <cfRule type="duplicateValues" dxfId="240" priority="11"/>
    <cfRule type="duplicateValues" dxfId="239" priority="12"/>
  </conditionalFormatting>
  <conditionalFormatting sqref="A53 A45">
    <cfRule type="duplicateValues" dxfId="238" priority="205"/>
  </conditionalFormatting>
  <conditionalFormatting sqref="A53">
    <cfRule type="duplicateValues" dxfId="237" priority="206"/>
  </conditionalFormatting>
  <conditionalFormatting sqref="A53:A55 A2:A5 A125:A127 A31:A33 A69:A71 A82:A83 A102 A94:A97 A35:A39 A104:A110 A66 A60:A61 A88:A89 A129 A139:A155 A9:A20 A85:A86 A131:A134 A41:A45 A157:A162">
    <cfRule type="duplicateValues" dxfId="236" priority="176"/>
    <cfRule type="duplicateValues" dxfId="235" priority="177"/>
  </conditionalFormatting>
  <conditionalFormatting sqref="A56">
    <cfRule type="duplicateValues" dxfId="234" priority="130"/>
    <cfRule type="duplicateValues" dxfId="233" priority="131"/>
    <cfRule type="duplicateValues" dxfId="232" priority="132"/>
    <cfRule type="duplicateValues" dxfId="231" priority="133"/>
    <cfRule type="duplicateValues" dxfId="230" priority="134"/>
    <cfRule type="duplicateValues" dxfId="229" priority="136"/>
    <cfRule type="duplicateValues" dxfId="228" priority="137"/>
    <cfRule type="duplicateValues" dxfId="227" priority="138"/>
    <cfRule type="duplicateValues" dxfId="226" priority="139"/>
  </conditionalFormatting>
  <conditionalFormatting sqref="A57">
    <cfRule type="duplicateValues" dxfId="225" priority="116"/>
    <cfRule type="duplicateValues" dxfId="224" priority="117"/>
    <cfRule type="duplicateValues" dxfId="223" priority="118"/>
    <cfRule type="duplicateValues" dxfId="222" priority="119"/>
  </conditionalFormatting>
  <conditionalFormatting sqref="A58">
    <cfRule type="duplicateValues" dxfId="221" priority="215"/>
    <cfRule type="duplicateValues" dxfId="220" priority="216"/>
    <cfRule type="duplicateValues" dxfId="219" priority="217"/>
    <cfRule type="duplicateValues" dxfId="218" priority="218"/>
  </conditionalFormatting>
  <conditionalFormatting sqref="A59">
    <cfRule type="duplicateValues" dxfId="217" priority="108"/>
    <cfRule type="duplicateValues" dxfId="216" priority="109"/>
    <cfRule type="duplicateValues" dxfId="215" priority="110"/>
    <cfRule type="duplicateValues" dxfId="214" priority="111"/>
  </conditionalFormatting>
  <conditionalFormatting sqref="A62">
    <cfRule type="duplicateValues" dxfId="213" priority="158"/>
    <cfRule type="duplicateValues" dxfId="212" priority="159"/>
    <cfRule type="duplicateValues" dxfId="211" priority="160"/>
    <cfRule type="duplicateValues" dxfId="210" priority="161"/>
  </conditionalFormatting>
  <conditionalFormatting sqref="A63">
    <cfRule type="duplicateValues" dxfId="209" priority="154"/>
    <cfRule type="duplicateValues" dxfId="208" priority="155"/>
    <cfRule type="duplicateValues" dxfId="207" priority="156"/>
    <cfRule type="duplicateValues" dxfId="206" priority="157"/>
  </conditionalFormatting>
  <conditionalFormatting sqref="A64:A65">
    <cfRule type="duplicateValues" dxfId="205" priority="112"/>
    <cfRule type="duplicateValues" dxfId="204" priority="113"/>
    <cfRule type="duplicateValues" dxfId="203" priority="114"/>
    <cfRule type="duplicateValues" dxfId="202" priority="115"/>
  </conditionalFormatting>
  <conditionalFormatting sqref="A67">
    <cfRule type="duplicateValues" dxfId="201" priority="150"/>
    <cfRule type="duplicateValues" dxfId="200" priority="151"/>
    <cfRule type="duplicateValues" dxfId="199" priority="152"/>
    <cfRule type="duplicateValues" dxfId="198" priority="153"/>
  </conditionalFormatting>
  <conditionalFormatting sqref="A68">
    <cfRule type="duplicateValues" dxfId="197" priority="140"/>
    <cfRule type="duplicateValues" dxfId="196" priority="141"/>
    <cfRule type="duplicateValues" dxfId="195" priority="142"/>
    <cfRule type="duplicateValues" dxfId="194" priority="143"/>
    <cfRule type="duplicateValues" dxfId="193" priority="144"/>
    <cfRule type="duplicateValues" dxfId="192" priority="146"/>
    <cfRule type="duplicateValues" dxfId="191" priority="147"/>
    <cfRule type="duplicateValues" dxfId="190" priority="148"/>
    <cfRule type="duplicateValues" dxfId="189" priority="149"/>
  </conditionalFormatting>
  <conditionalFormatting sqref="A69:A70 A54:A55 A66 A60:A61">
    <cfRule type="duplicateValues" dxfId="188" priority="256"/>
  </conditionalFormatting>
  <conditionalFormatting sqref="A71">
    <cfRule type="duplicateValues" dxfId="187" priority="212"/>
    <cfRule type="duplicateValues" dxfId="186" priority="213"/>
  </conditionalFormatting>
  <conditionalFormatting sqref="A72:A74">
    <cfRule type="duplicateValues" dxfId="185" priority="311"/>
    <cfRule type="duplicateValues" dxfId="184" priority="312"/>
    <cfRule type="duplicateValues" dxfId="183" priority="313"/>
    <cfRule type="duplicateValues" dxfId="182" priority="314"/>
  </conditionalFormatting>
  <conditionalFormatting sqref="A75:A81">
    <cfRule type="duplicateValues" dxfId="181" priority="353"/>
    <cfRule type="duplicateValues" dxfId="180" priority="354"/>
    <cfRule type="duplicateValues" dxfId="179" priority="355"/>
    <cfRule type="duplicateValues" dxfId="178" priority="356"/>
  </conditionalFormatting>
  <conditionalFormatting sqref="A83">
    <cfRule type="duplicateValues" dxfId="177" priority="326"/>
    <cfRule type="duplicateValues" dxfId="176" priority="327"/>
  </conditionalFormatting>
  <conditionalFormatting sqref="A84">
    <cfRule type="duplicateValues" dxfId="175" priority="328"/>
    <cfRule type="duplicateValues" dxfId="174" priority="329"/>
    <cfRule type="duplicateValues" dxfId="173" priority="330"/>
  </conditionalFormatting>
  <conditionalFormatting sqref="A85 A82">
    <cfRule type="duplicateValues" dxfId="172" priority="203"/>
  </conditionalFormatting>
  <conditionalFormatting sqref="A85">
    <cfRule type="duplicateValues" dxfId="171" priority="204"/>
  </conditionalFormatting>
  <conditionalFormatting sqref="A86">
    <cfRule type="duplicateValues" dxfId="170" priority="184"/>
    <cfRule type="duplicateValues" dxfId="169" priority="185"/>
    <cfRule type="duplicateValues" dxfId="168" priority="186"/>
  </conditionalFormatting>
  <conditionalFormatting sqref="A88:A89">
    <cfRule type="duplicateValues" dxfId="167" priority="202"/>
  </conditionalFormatting>
  <conditionalFormatting sqref="A90:A91 A87">
    <cfRule type="duplicateValues" dxfId="166" priority="234"/>
    <cfRule type="duplicateValues" dxfId="165" priority="235"/>
    <cfRule type="duplicateValues" dxfId="164" priority="236"/>
    <cfRule type="duplicateValues" dxfId="163" priority="237"/>
  </conditionalFormatting>
  <conditionalFormatting sqref="A92">
    <cfRule type="duplicateValues" dxfId="162" priority="95"/>
    <cfRule type="duplicateValues" dxfId="161" priority="96"/>
    <cfRule type="duplicateValues" dxfId="160" priority="97"/>
    <cfRule type="duplicateValues" dxfId="159" priority="98"/>
    <cfRule type="duplicateValues" dxfId="158" priority="99"/>
    <cfRule type="duplicateValues" dxfId="157" priority="100"/>
    <cfRule type="duplicateValues" dxfId="156" priority="101"/>
    <cfRule type="duplicateValues" dxfId="155" priority="102"/>
    <cfRule type="duplicateValues" dxfId="154" priority="103"/>
    <cfRule type="duplicateValues" dxfId="153" priority="104"/>
  </conditionalFormatting>
  <conditionalFormatting sqref="A93">
    <cfRule type="duplicateValues" dxfId="152" priority="331"/>
    <cfRule type="duplicateValues" dxfId="151" priority="332"/>
    <cfRule type="duplicateValues" dxfId="150" priority="333"/>
    <cfRule type="duplicateValues" dxfId="149" priority="334"/>
    <cfRule type="duplicateValues" dxfId="148" priority="335"/>
  </conditionalFormatting>
  <conditionalFormatting sqref="A94">
    <cfRule type="duplicateValues" dxfId="147" priority="200"/>
    <cfRule type="duplicateValues" dxfId="146" priority="201"/>
  </conditionalFormatting>
  <conditionalFormatting sqref="A95:A96">
    <cfRule type="duplicateValues" dxfId="145" priority="337"/>
  </conditionalFormatting>
  <conditionalFormatting sqref="A95:A97">
    <cfRule type="duplicateValues" dxfId="144" priority="336"/>
  </conditionalFormatting>
  <conditionalFormatting sqref="A98:A99">
    <cfRule type="duplicateValues" dxfId="143" priority="338"/>
  </conditionalFormatting>
  <conditionalFormatting sqref="A101">
    <cfRule type="duplicateValues" dxfId="142" priority="339"/>
    <cfRule type="duplicateValues" dxfId="141" priority="340"/>
    <cfRule type="duplicateValues" dxfId="140" priority="341"/>
  </conditionalFormatting>
  <conditionalFormatting sqref="A102">
    <cfRule type="duplicateValues" dxfId="139" priority="198"/>
    <cfRule type="duplicateValues" dxfId="138" priority="199"/>
  </conditionalFormatting>
  <conditionalFormatting sqref="A103 A98:A100">
    <cfRule type="duplicateValues" dxfId="137" priority="251"/>
    <cfRule type="duplicateValues" dxfId="136" priority="252"/>
    <cfRule type="duplicateValues" dxfId="135" priority="253"/>
  </conditionalFormatting>
  <conditionalFormatting sqref="A103 A100">
    <cfRule type="duplicateValues" dxfId="134" priority="254"/>
  </conditionalFormatting>
  <conditionalFormatting sqref="A104:A110">
    <cfRule type="duplicateValues" dxfId="133" priority="249"/>
  </conditionalFormatting>
  <conditionalFormatting sqref="A111:A115">
    <cfRule type="duplicateValues" dxfId="132" priority="241"/>
    <cfRule type="duplicateValues" dxfId="131" priority="242"/>
    <cfRule type="duplicateValues" dxfId="130" priority="243"/>
    <cfRule type="duplicateValues" dxfId="129" priority="244"/>
  </conditionalFormatting>
  <conditionalFormatting sqref="A116">
    <cfRule type="duplicateValues" dxfId="128" priority="259"/>
    <cfRule type="duplicateValues" dxfId="127" priority="260"/>
    <cfRule type="duplicateValues" dxfId="126" priority="261"/>
    <cfRule type="duplicateValues" dxfId="125" priority="262"/>
  </conditionalFormatting>
  <conditionalFormatting sqref="A117 A119:A121">
    <cfRule type="duplicateValues" dxfId="124" priority="342"/>
    <cfRule type="duplicateValues" dxfId="123" priority="343"/>
    <cfRule type="duplicateValues" dxfId="122" priority="344"/>
    <cfRule type="duplicateValues" dxfId="121" priority="345"/>
  </conditionalFormatting>
  <conditionalFormatting sqref="A118">
    <cfRule type="duplicateValues" dxfId="120" priority="75"/>
    <cfRule type="duplicateValues" dxfId="119" priority="76"/>
    <cfRule type="duplicateValues" dxfId="118" priority="77"/>
    <cfRule type="duplicateValues" dxfId="117" priority="78"/>
  </conditionalFormatting>
  <conditionalFormatting sqref="A122:A124">
    <cfRule type="duplicateValues" dxfId="116" priority="72"/>
    <cfRule type="duplicateValues" dxfId="115" priority="73"/>
    <cfRule type="duplicateValues" dxfId="114" priority="74"/>
  </conditionalFormatting>
  <conditionalFormatting sqref="A125">
    <cfRule type="duplicateValues" dxfId="113" priority="196"/>
    <cfRule type="duplicateValues" dxfId="112" priority="197"/>
  </conditionalFormatting>
  <conditionalFormatting sqref="A126:A127">
    <cfRule type="duplicateValues" dxfId="111" priority="211"/>
  </conditionalFormatting>
  <conditionalFormatting sqref="A128">
    <cfRule type="duplicateValues" dxfId="110" priority="162"/>
    <cfRule type="duplicateValues" dxfId="109" priority="163"/>
    <cfRule type="duplicateValues" dxfId="108" priority="164"/>
    <cfRule type="duplicateValues" dxfId="107" priority="165"/>
    <cfRule type="duplicateValues" dxfId="106" priority="166"/>
    <cfRule type="duplicateValues" dxfId="105" priority="168"/>
    <cfRule type="duplicateValues" dxfId="104" priority="169"/>
    <cfRule type="duplicateValues" dxfId="103" priority="170"/>
    <cfRule type="duplicateValues" dxfId="102" priority="171"/>
  </conditionalFormatting>
  <conditionalFormatting sqref="A129">
    <cfRule type="duplicateValues" dxfId="101" priority="187"/>
    <cfRule type="duplicateValues" dxfId="100" priority="188"/>
    <cfRule type="duplicateValues" dxfId="99" priority="189"/>
  </conditionalFormatting>
  <conditionalFormatting sqref="A130">
    <cfRule type="duplicateValues" dxfId="98" priority="34"/>
    <cfRule type="duplicateValues" dxfId="97" priority="263"/>
    <cfRule type="duplicateValues" dxfId="96" priority="264"/>
  </conditionalFormatting>
  <conditionalFormatting sqref="A131">
    <cfRule type="duplicateValues" dxfId="95" priority="238"/>
    <cfRule type="duplicateValues" dxfId="94" priority="239"/>
    <cfRule type="duplicateValues" dxfId="93" priority="240"/>
  </conditionalFormatting>
  <conditionalFormatting sqref="A133">
    <cfRule type="duplicateValues" dxfId="92" priority="194"/>
    <cfRule type="duplicateValues" dxfId="91" priority="195"/>
  </conditionalFormatting>
  <conditionalFormatting sqref="A133:A134 A5 A88:A89 A45 A53:A55 A125:A127 A31:A33 A69:A71 A82:A83 A94:A97 A102 A35:A39 A104:A110 A66 A60:A61 A139:A141 A9:A20 A85">
    <cfRule type="duplicateValues" dxfId="90" priority="255"/>
  </conditionalFormatting>
  <conditionalFormatting sqref="A135">
    <cfRule type="duplicateValues" dxfId="89" priority="346"/>
    <cfRule type="duplicateValues" dxfId="88" priority="347"/>
    <cfRule type="duplicateValues" dxfId="87" priority="348"/>
  </conditionalFormatting>
  <conditionalFormatting sqref="A136:A138">
    <cfRule type="duplicateValues" dxfId="86" priority="26"/>
    <cfRule type="duplicateValues" dxfId="85" priority="27"/>
    <cfRule type="duplicateValues" dxfId="84" priority="28"/>
    <cfRule type="duplicateValues" dxfId="83" priority="29"/>
  </conditionalFormatting>
  <conditionalFormatting sqref="A139:A141 A134">
    <cfRule type="duplicateValues" dxfId="82" priority="245"/>
  </conditionalFormatting>
  <conditionalFormatting sqref="A142">
    <cfRule type="duplicateValues" dxfId="81" priority="179"/>
    <cfRule type="duplicateValues" dxfId="80" priority="180"/>
  </conditionalFormatting>
  <conditionalFormatting sqref="A143:A144">
    <cfRule type="duplicateValues" dxfId="79" priority="181"/>
  </conditionalFormatting>
  <conditionalFormatting sqref="A145:A146">
    <cfRule type="duplicateValues" dxfId="78" priority="178"/>
  </conditionalFormatting>
  <conditionalFormatting sqref="A149:A150 A132">
    <cfRule type="duplicateValues" dxfId="77" priority="250"/>
  </conditionalFormatting>
  <conditionalFormatting sqref="A154">
    <cfRule type="duplicateValues" dxfId="76" priority="257"/>
  </conditionalFormatting>
  <conditionalFormatting sqref="A156">
    <cfRule type="duplicateValues" dxfId="75" priority="105"/>
    <cfRule type="duplicateValues" dxfId="74" priority="106"/>
    <cfRule type="duplicateValues" dxfId="73" priority="107"/>
  </conditionalFormatting>
  <conditionalFormatting sqref="A159">
    <cfRule type="duplicateValues" dxfId="72" priority="183"/>
  </conditionalFormatting>
  <conditionalFormatting sqref="A160">
    <cfRule type="duplicateValues" dxfId="71" priority="182"/>
  </conditionalFormatting>
  <conditionalFormatting sqref="A161:A162 A155 A151:A153 A147:A148 A157:A158">
    <cfRule type="duplicateValues" dxfId="70" priority="214"/>
  </conditionalFormatting>
  <conditionalFormatting sqref="A163">
    <cfRule type="duplicateValues" dxfId="69" priority="258"/>
  </conditionalFormatting>
  <conditionalFormatting sqref="A164">
    <cfRule type="duplicateValues" dxfId="68" priority="246"/>
    <cfRule type="duplicateValues" dxfId="67" priority="247"/>
    <cfRule type="duplicateValues" dxfId="66" priority="248"/>
  </conditionalFormatting>
  <conditionalFormatting sqref="A165">
    <cfRule type="duplicateValues" dxfId="65" priority="68"/>
    <cfRule type="duplicateValues" dxfId="64" priority="69"/>
    <cfRule type="duplicateValues" dxfId="63" priority="70"/>
    <cfRule type="duplicateValues" dxfId="62" priority="71"/>
  </conditionalFormatting>
  <conditionalFormatting sqref="A166">
    <cfRule type="duplicateValues" dxfId="61" priority="349"/>
    <cfRule type="duplicateValues" dxfId="60" priority="350"/>
    <cfRule type="duplicateValues" dxfId="59" priority="351"/>
  </conditionalFormatting>
  <conditionalFormatting sqref="A167">
    <cfRule type="duplicateValues" dxfId="58" priority="13"/>
    <cfRule type="duplicateValues" dxfId="57" priority="14"/>
    <cfRule type="duplicateValues" dxfId="56" priority="15"/>
    <cfRule type="duplicateValues" dxfId="55" priority="16"/>
  </conditionalFormatting>
  <conditionalFormatting sqref="A168">
    <cfRule type="duplicateValues" dxfId="54" priority="17"/>
    <cfRule type="duplicateValues" dxfId="53" priority="18"/>
    <cfRule type="duplicateValues" dxfId="52" priority="19"/>
    <cfRule type="duplicateValues" dxfId="51" priority="20"/>
  </conditionalFormatting>
  <conditionalFormatting sqref="A169 A178:A179 A181">
    <cfRule type="duplicateValues" dxfId="50" priority="120"/>
    <cfRule type="duplicateValues" dxfId="49" priority="121"/>
    <cfRule type="duplicateValues" dxfId="48" priority="124"/>
  </conditionalFormatting>
  <conditionalFormatting sqref="A169">
    <cfRule type="duplicateValues" dxfId="47" priority="122"/>
    <cfRule type="duplicateValues" dxfId="46" priority="123"/>
  </conditionalFormatting>
  <conditionalFormatting sqref="A170:A173">
    <cfRule type="duplicateValues" dxfId="45" priority="60"/>
    <cfRule type="duplicateValues" dxfId="44" priority="61"/>
    <cfRule type="duplicateValues" dxfId="43" priority="62"/>
    <cfRule type="duplicateValues" dxfId="42" priority="63"/>
  </conditionalFormatting>
  <conditionalFormatting sqref="A174">
    <cfRule type="duplicateValues" dxfId="41" priority="56"/>
    <cfRule type="duplicateValues" dxfId="40" priority="57"/>
    <cfRule type="duplicateValues" dxfId="39" priority="58"/>
    <cfRule type="duplicateValues" dxfId="38" priority="59"/>
  </conditionalFormatting>
  <conditionalFormatting sqref="A175">
    <cfRule type="duplicateValues" dxfId="37" priority="52"/>
    <cfRule type="duplicateValues" dxfId="36" priority="53"/>
    <cfRule type="duplicateValues" dxfId="35" priority="54"/>
    <cfRule type="duplicateValues" dxfId="34" priority="55"/>
  </conditionalFormatting>
  <conditionalFormatting sqref="A176">
    <cfRule type="duplicateValues" dxfId="33" priority="48"/>
    <cfRule type="duplicateValues" dxfId="32" priority="49"/>
    <cfRule type="duplicateValues" dxfId="31" priority="50"/>
    <cfRule type="duplicateValues" dxfId="30" priority="51"/>
  </conditionalFormatting>
  <conditionalFormatting sqref="A177">
    <cfRule type="duplicateValues" dxfId="29" priority="44"/>
    <cfRule type="duplicateValues" dxfId="28" priority="45"/>
    <cfRule type="duplicateValues" dxfId="27" priority="46"/>
    <cfRule type="duplicateValues" dxfId="26" priority="47"/>
  </conditionalFormatting>
  <conditionalFormatting sqref="A178:A179 A181">
    <cfRule type="duplicateValues" dxfId="25" priority="125"/>
  </conditionalFormatting>
  <conditionalFormatting sqref="A180">
    <cfRule type="duplicateValues" dxfId="24" priority="21"/>
    <cfRule type="duplicateValues" dxfId="23" priority="22"/>
    <cfRule type="duplicateValues" dxfId="22" priority="23"/>
    <cfRule type="duplicateValues" dxfId="21" priority="24"/>
    <cfRule type="duplicateValues" dxfId="20" priority="25"/>
  </conditionalFormatting>
  <conditionalFormatting sqref="A182">
    <cfRule type="duplicateValues" dxfId="19" priority="39"/>
    <cfRule type="duplicateValues" dxfId="18" priority="40"/>
    <cfRule type="duplicateValues" dxfId="17" priority="41"/>
    <cfRule type="duplicateValues" dxfId="16" priority="42"/>
    <cfRule type="duplicateValues" dxfId="15" priority="43"/>
  </conditionalFormatting>
  <conditionalFormatting sqref="A183">
    <cfRule type="duplicateValues" dxfId="14" priority="1"/>
    <cfRule type="duplicateValues" dxfId="13" priority="2"/>
    <cfRule type="duplicateValues" dxfId="12" priority="3"/>
    <cfRule type="duplicateValues" dxfId="11" priority="4"/>
  </conditionalFormatting>
  <conditionalFormatting sqref="A184">
    <cfRule type="duplicateValues" dxfId="10" priority="5"/>
    <cfRule type="duplicateValues" dxfId="9" priority="6"/>
    <cfRule type="duplicateValues" dxfId="8" priority="7"/>
    <cfRule type="duplicateValues" dxfId="7" priority="8"/>
  </conditionalFormatting>
  <conditionalFormatting sqref="A6:B6">
    <cfRule type="duplicateValues" dxfId="6" priority="275"/>
  </conditionalFormatting>
  <conditionalFormatting sqref="A7:B7">
    <cfRule type="duplicateValues" dxfId="5" priority="88"/>
  </conditionalFormatting>
  <conditionalFormatting sqref="A56:B56">
    <cfRule type="duplicateValues" dxfId="4" priority="135"/>
  </conditionalFormatting>
  <conditionalFormatting sqref="A68:B68">
    <cfRule type="duplicateValues" dxfId="3" priority="145"/>
  </conditionalFormatting>
  <conditionalFormatting sqref="A128:B128">
    <cfRule type="duplicateValues" dxfId="2" priority="167"/>
  </conditionalFormatting>
  <conditionalFormatting sqref="B47:B50 B52">
    <cfRule type="duplicateValues" dxfId="1" priority="223"/>
  </conditionalFormatting>
  <conditionalFormatting sqref="B92">
    <cfRule type="duplicateValues" dxfId="0" priority="94"/>
  </conditionalFormatting>
  <dataValidations count="1">
    <dataValidation type="textLength" operator="lessThanOrEqual" allowBlank="1" showInputMessage="1" showErrorMessage="1" sqref="C160:D160 C155:D156 C142:D142 C86:D86" xr:uid="{00000000-0002-0000-0100-000000000000}">
      <formula1>40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Новое время</vt:lpstr>
      <vt:lpstr>Заказы</vt:lpstr>
      <vt:lpstr>'Новое время'!Область_печати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2026-10-12T13:09:52Z</dcterms:modified>
</cp:coreProperties>
</file>