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A477ED97-E930-4918-BEE3-86CB57E4C8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Sheet!$A$3:$AD$110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6" i="1"/>
  <c r="P12" i="1"/>
  <c r="P22" i="1"/>
  <c r="P37" i="1"/>
  <c r="P44" i="1"/>
  <c r="P45" i="1"/>
  <c r="P52" i="1"/>
  <c r="P61" i="1"/>
  <c r="P67" i="1"/>
  <c r="P74" i="1"/>
  <c r="P80" i="1"/>
  <c r="P83" i="1"/>
  <c r="P86" i="1"/>
  <c r="P87" i="1"/>
  <c r="P89" i="1"/>
  <c r="P104" i="1"/>
  <c r="S5" i="1" l="1"/>
  <c r="P5" i="1"/>
  <c r="Q110" i="1"/>
  <c r="U110" i="1" s="1"/>
  <c r="L110" i="1"/>
  <c r="Q109" i="1"/>
  <c r="U109" i="1" s="1"/>
  <c r="L109" i="1"/>
  <c r="Q108" i="1"/>
  <c r="U108" i="1" s="1"/>
  <c r="L108" i="1"/>
  <c r="Q107" i="1"/>
  <c r="L107" i="1"/>
  <c r="Q106" i="1"/>
  <c r="L106" i="1"/>
  <c r="F105" i="1"/>
  <c r="E105" i="1"/>
  <c r="L105" i="1" s="1"/>
  <c r="F104" i="1"/>
  <c r="E104" i="1"/>
  <c r="Q104" i="1" s="1"/>
  <c r="Q103" i="1"/>
  <c r="L103" i="1"/>
  <c r="F103" i="1"/>
  <c r="U103" i="1" s="1"/>
  <c r="F102" i="1"/>
  <c r="E102" i="1"/>
  <c r="L102" i="1" s="1"/>
  <c r="Q101" i="1"/>
  <c r="L101" i="1"/>
  <c r="F101" i="1"/>
  <c r="U101" i="1" s="1"/>
  <c r="Q100" i="1"/>
  <c r="R100" i="1" s="1"/>
  <c r="L100" i="1"/>
  <c r="Q99" i="1"/>
  <c r="U99" i="1" s="1"/>
  <c r="L99" i="1"/>
  <c r="F98" i="1"/>
  <c r="E98" i="1"/>
  <c r="L98" i="1" s="1"/>
  <c r="Q97" i="1"/>
  <c r="L97" i="1"/>
  <c r="Q96" i="1"/>
  <c r="L96" i="1"/>
  <c r="Q95" i="1"/>
  <c r="L95" i="1"/>
  <c r="Q94" i="1"/>
  <c r="L94" i="1"/>
  <c r="Q93" i="1"/>
  <c r="L93" i="1"/>
  <c r="Q92" i="1"/>
  <c r="R92" i="1" s="1"/>
  <c r="L92" i="1"/>
  <c r="Q91" i="1"/>
  <c r="T91" i="1" s="1"/>
  <c r="L91" i="1"/>
  <c r="Q90" i="1"/>
  <c r="L90" i="1"/>
  <c r="Q89" i="1"/>
  <c r="L89" i="1"/>
  <c r="Q88" i="1"/>
  <c r="L88" i="1"/>
  <c r="Q87" i="1"/>
  <c r="R87" i="1" s="1"/>
  <c r="T87" i="1" s="1"/>
  <c r="L87" i="1"/>
  <c r="Q86" i="1"/>
  <c r="U86" i="1" s="1"/>
  <c r="L86" i="1"/>
  <c r="Q85" i="1"/>
  <c r="R85" i="1" s="1"/>
  <c r="L85" i="1"/>
  <c r="Q84" i="1"/>
  <c r="L84" i="1"/>
  <c r="Q83" i="1"/>
  <c r="R83" i="1" s="1"/>
  <c r="T83" i="1" s="1"/>
  <c r="L83" i="1"/>
  <c r="Q82" i="1"/>
  <c r="L82" i="1"/>
  <c r="F82" i="1"/>
  <c r="U82" i="1" s="1"/>
  <c r="Q81" i="1"/>
  <c r="L81" i="1"/>
  <c r="Q80" i="1"/>
  <c r="L80" i="1"/>
  <c r="F80" i="1"/>
  <c r="Q79" i="1"/>
  <c r="U79" i="1" s="1"/>
  <c r="L79" i="1"/>
  <c r="Q78" i="1"/>
  <c r="L78" i="1"/>
  <c r="Q77" i="1"/>
  <c r="L77" i="1"/>
  <c r="Q76" i="1"/>
  <c r="L76" i="1"/>
  <c r="F76" i="1"/>
  <c r="Q75" i="1"/>
  <c r="U75" i="1" s="1"/>
  <c r="L75" i="1"/>
  <c r="Q74" i="1"/>
  <c r="T74" i="1" s="1"/>
  <c r="L74" i="1"/>
  <c r="Q73" i="1"/>
  <c r="L73" i="1"/>
  <c r="Q72" i="1"/>
  <c r="L72" i="1"/>
  <c r="Q71" i="1"/>
  <c r="L71" i="1"/>
  <c r="F71" i="1"/>
  <c r="U71" i="1" s="1"/>
  <c r="Q70" i="1"/>
  <c r="L70" i="1"/>
  <c r="F70" i="1"/>
  <c r="Q69" i="1"/>
  <c r="L69" i="1"/>
  <c r="Q68" i="1"/>
  <c r="L68" i="1"/>
  <c r="Q67" i="1"/>
  <c r="U67" i="1" s="1"/>
  <c r="L67" i="1"/>
  <c r="Q66" i="1"/>
  <c r="U66" i="1" s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R59" i="1" s="1"/>
  <c r="L59" i="1"/>
  <c r="Q58" i="1"/>
  <c r="T58" i="1" s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U36" i="1" s="1"/>
  <c r="L36" i="1"/>
  <c r="Q35" i="1"/>
  <c r="U35" i="1" s="1"/>
  <c r="L35" i="1"/>
  <c r="Q34" i="1"/>
  <c r="L34" i="1"/>
  <c r="Q33" i="1"/>
  <c r="L33" i="1"/>
  <c r="Q32" i="1"/>
  <c r="U32" i="1" s="1"/>
  <c r="L32" i="1"/>
  <c r="Q31" i="1"/>
  <c r="L31" i="1"/>
  <c r="Q30" i="1"/>
  <c r="L30" i="1"/>
  <c r="Q29" i="1"/>
  <c r="U29" i="1" s="1"/>
  <c r="L29" i="1"/>
  <c r="Q28" i="1"/>
  <c r="L28" i="1"/>
  <c r="Q27" i="1"/>
  <c r="L27" i="1"/>
  <c r="Q26" i="1"/>
  <c r="L26" i="1"/>
  <c r="Q25" i="1"/>
  <c r="L25" i="1"/>
  <c r="Q24" i="1"/>
  <c r="R24" i="1" s="1"/>
  <c r="L24" i="1"/>
  <c r="Q23" i="1"/>
  <c r="R23" i="1" s="1"/>
  <c r="L23" i="1"/>
  <c r="Q22" i="1"/>
  <c r="L22" i="1"/>
  <c r="Q21" i="1"/>
  <c r="L21" i="1"/>
  <c r="Q20" i="1"/>
  <c r="R20" i="1" s="1"/>
  <c r="L20" i="1"/>
  <c r="Q19" i="1"/>
  <c r="T19" i="1" s="1"/>
  <c r="L19" i="1"/>
  <c r="Q18" i="1"/>
  <c r="L18" i="1"/>
  <c r="Q17" i="1"/>
  <c r="L17" i="1"/>
  <c r="Q16" i="1"/>
  <c r="R16" i="1" s="1"/>
  <c r="L16" i="1"/>
  <c r="Q15" i="1"/>
  <c r="L15" i="1"/>
  <c r="Q14" i="1"/>
  <c r="T14" i="1" s="1"/>
  <c r="L14" i="1"/>
  <c r="Q13" i="1"/>
  <c r="R13" i="1" s="1"/>
  <c r="L13" i="1"/>
  <c r="Q12" i="1"/>
  <c r="L12" i="1"/>
  <c r="Q11" i="1"/>
  <c r="L11" i="1"/>
  <c r="Q10" i="1"/>
  <c r="R10" i="1" s="1"/>
  <c r="L10" i="1"/>
  <c r="Q9" i="1"/>
  <c r="L9" i="1"/>
  <c r="F8" i="1"/>
  <c r="E8" i="1"/>
  <c r="L8" i="1" s="1"/>
  <c r="Q7" i="1"/>
  <c r="L7" i="1"/>
  <c r="Q6" i="1"/>
  <c r="L6" i="1"/>
  <c r="AB5" i="1"/>
  <c r="AA5" i="1"/>
  <c r="Z5" i="1"/>
  <c r="Y5" i="1"/>
  <c r="X5" i="1"/>
  <c r="W5" i="1"/>
  <c r="V5" i="1"/>
  <c r="O5" i="1"/>
  <c r="N5" i="1"/>
  <c r="M5" i="1"/>
  <c r="K5" i="1"/>
  <c r="U74" i="1" l="1"/>
  <c r="R89" i="1"/>
  <c r="T89" i="1" s="1"/>
  <c r="U89" i="1"/>
  <c r="U104" i="1"/>
  <c r="T104" i="1"/>
  <c r="U87" i="1"/>
  <c r="T86" i="1"/>
  <c r="T80" i="1"/>
  <c r="U80" i="1"/>
  <c r="U83" i="1"/>
  <c r="T67" i="1"/>
  <c r="R103" i="1"/>
  <c r="E5" i="1"/>
  <c r="T29" i="1"/>
  <c r="T109" i="1"/>
  <c r="T36" i="1"/>
  <c r="U16" i="1"/>
  <c r="U23" i="1"/>
  <c r="R26" i="1"/>
  <c r="U30" i="1"/>
  <c r="R34" i="1"/>
  <c r="U39" i="1"/>
  <c r="R39" i="1"/>
  <c r="R42" i="1"/>
  <c r="U45" i="1"/>
  <c r="R45" i="1"/>
  <c r="U55" i="1"/>
  <c r="U70" i="1"/>
  <c r="T70" i="1"/>
  <c r="R78" i="1"/>
  <c r="U84" i="1"/>
  <c r="R84" i="1"/>
  <c r="U88" i="1"/>
  <c r="R6" i="1"/>
  <c r="T6" i="1" s="1"/>
  <c r="T10" i="1"/>
  <c r="U13" i="1"/>
  <c r="R17" i="1"/>
  <c r="U25" i="1"/>
  <c r="T28" i="1"/>
  <c r="U33" i="1"/>
  <c r="R33" i="1"/>
  <c r="U37" i="1"/>
  <c r="R37" i="1"/>
  <c r="T40" i="1"/>
  <c r="U47" i="1"/>
  <c r="T50" i="1"/>
  <c r="U53" i="1"/>
  <c r="R53" i="1"/>
  <c r="T56" i="1"/>
  <c r="R61" i="1"/>
  <c r="R65" i="1"/>
  <c r="U69" i="1"/>
  <c r="R69" i="1"/>
  <c r="R72" i="1"/>
  <c r="U77" i="1"/>
  <c r="R77" i="1"/>
  <c r="R82" i="1"/>
  <c r="U90" i="1"/>
  <c r="R90" i="1"/>
  <c r="U93" i="1"/>
  <c r="U95" i="1"/>
  <c r="R96" i="1"/>
  <c r="R101" i="1"/>
  <c r="U7" i="1"/>
  <c r="U9" i="1"/>
  <c r="R9" i="1"/>
  <c r="U11" i="1"/>
  <c r="R12" i="1"/>
  <c r="U18" i="1"/>
  <c r="R18" i="1"/>
  <c r="U21" i="1"/>
  <c r="R22" i="1"/>
  <c r="U27" i="1"/>
  <c r="R31" i="1"/>
  <c r="U41" i="1"/>
  <c r="U43" i="1"/>
  <c r="R43" i="1"/>
  <c r="R46" i="1"/>
  <c r="U49" i="1"/>
  <c r="R49" i="1"/>
  <c r="U51" i="1"/>
  <c r="R52" i="1"/>
  <c r="U57" i="1"/>
  <c r="U60" i="1"/>
  <c r="U62" i="1"/>
  <c r="U64" i="1"/>
  <c r="R64" i="1"/>
  <c r="T68" i="1"/>
  <c r="R71" i="1"/>
  <c r="U73" i="1"/>
  <c r="R73" i="1"/>
  <c r="R76" i="1"/>
  <c r="U81" i="1"/>
  <c r="R81" i="1"/>
  <c r="R94" i="1"/>
  <c r="U97" i="1"/>
  <c r="R97" i="1"/>
  <c r="U100" i="1"/>
  <c r="U106" i="1"/>
  <c r="T7" i="1"/>
  <c r="Q8" i="1"/>
  <c r="R8" i="1" s="1"/>
  <c r="T13" i="1"/>
  <c r="T23" i="1"/>
  <c r="T27" i="1"/>
  <c r="T30" i="1"/>
  <c r="U31" i="1"/>
  <c r="T32" i="1"/>
  <c r="T35" i="1"/>
  <c r="T41" i="1"/>
  <c r="T57" i="1"/>
  <c r="U59" i="1"/>
  <c r="T60" i="1"/>
  <c r="U61" i="1"/>
  <c r="T62" i="1"/>
  <c r="U63" i="1"/>
  <c r="U65" i="1"/>
  <c r="T66" i="1"/>
  <c r="T75" i="1"/>
  <c r="T79" i="1"/>
  <c r="U85" i="1"/>
  <c r="T88" i="1"/>
  <c r="U91" i="1"/>
  <c r="T93" i="1"/>
  <c r="Q98" i="1"/>
  <c r="R98" i="1" s="1"/>
  <c r="T99" i="1"/>
  <c r="Q102" i="1"/>
  <c r="Q105" i="1"/>
  <c r="R105" i="1" s="1"/>
  <c r="U107" i="1"/>
  <c r="T108" i="1"/>
  <c r="T110" i="1"/>
  <c r="U6" i="1"/>
  <c r="U10" i="1"/>
  <c r="U12" i="1"/>
  <c r="U14" i="1"/>
  <c r="U15" i="1"/>
  <c r="U17" i="1"/>
  <c r="U19" i="1"/>
  <c r="U20" i="1"/>
  <c r="U22" i="1"/>
  <c r="U24" i="1"/>
  <c r="U26" i="1"/>
  <c r="U28" i="1"/>
  <c r="L104" i="1"/>
  <c r="L5" i="1" s="1"/>
  <c r="F5" i="1"/>
  <c r="U34" i="1"/>
  <c r="U38" i="1"/>
  <c r="U40" i="1"/>
  <c r="U42" i="1"/>
  <c r="U44" i="1"/>
  <c r="U46" i="1"/>
  <c r="U48" i="1"/>
  <c r="U50" i="1"/>
  <c r="U52" i="1"/>
  <c r="U54" i="1"/>
  <c r="U56" i="1"/>
  <c r="U58" i="1"/>
  <c r="U68" i="1"/>
  <c r="U72" i="1"/>
  <c r="U76" i="1"/>
  <c r="U78" i="1"/>
  <c r="U92" i="1"/>
  <c r="U94" i="1"/>
  <c r="U96" i="1"/>
  <c r="T9" i="1" l="1"/>
  <c r="T64" i="1"/>
  <c r="T84" i="1"/>
  <c r="T69" i="1"/>
  <c r="T53" i="1"/>
  <c r="T17" i="1"/>
  <c r="T78" i="1"/>
  <c r="T90" i="1"/>
  <c r="T82" i="1"/>
  <c r="T45" i="1"/>
  <c r="T37" i="1"/>
  <c r="T49" i="1"/>
  <c r="T18" i="1"/>
  <c r="T72" i="1"/>
  <c r="T65" i="1"/>
  <c r="T61" i="1"/>
  <c r="T101" i="1"/>
  <c r="T54" i="1"/>
  <c r="T52" i="1"/>
  <c r="T46" i="1"/>
  <c r="T44" i="1"/>
  <c r="T38" i="1"/>
  <c r="T31" i="1"/>
  <c r="T24" i="1"/>
  <c r="T22" i="1"/>
  <c r="T15" i="1"/>
  <c r="T12" i="1"/>
  <c r="T107" i="1"/>
  <c r="T98" i="1"/>
  <c r="T100" i="1"/>
  <c r="T81" i="1"/>
  <c r="T73" i="1"/>
  <c r="T95" i="1"/>
  <c r="T55" i="1"/>
  <c r="T39" i="1"/>
  <c r="T16" i="1"/>
  <c r="Q5" i="1"/>
  <c r="U105" i="1"/>
  <c r="U98" i="1"/>
  <c r="U8" i="1"/>
  <c r="T106" i="1"/>
  <c r="U102" i="1"/>
  <c r="T97" i="1"/>
  <c r="T71" i="1"/>
  <c r="T103" i="1"/>
  <c r="T94" i="1"/>
  <c r="T92" i="1"/>
  <c r="T85" i="1"/>
  <c r="T76" i="1"/>
  <c r="T51" i="1"/>
  <c r="T43" i="1"/>
  <c r="T21" i="1"/>
  <c r="T11" i="1"/>
  <c r="T96" i="1"/>
  <c r="T77" i="1"/>
  <c r="T47" i="1"/>
  <c r="T33" i="1"/>
  <c r="T25" i="1"/>
  <c r="T63" i="1"/>
  <c r="T59" i="1"/>
  <c r="T48" i="1"/>
  <c r="T42" i="1"/>
  <c r="T34" i="1"/>
  <c r="T26" i="1"/>
  <c r="T20" i="1"/>
  <c r="R5" i="1" l="1"/>
  <c r="T102" i="1"/>
  <c r="AD5" i="1"/>
  <c r="T8" i="1"/>
  <c r="T105" i="1"/>
</calcChain>
</file>

<file path=xl/sharedStrings.xml><?xml version="1.0" encoding="utf-8"?>
<sst xmlns="http://schemas.openxmlformats.org/spreadsheetml/2006/main" count="320" uniqueCount="160">
  <si>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</si>
  <si>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</si>
  <si>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</si>
  <si>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</si>
  <si>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</si>
  <si>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</si>
  <si>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</si>
  <si>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</si>
  <si>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</si>
  <si>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</si>
  <si>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</si>
  <si>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</si>
  <si>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</si>
  <si>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</si>
  <si>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</si>
  <si>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</si>
  <si>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</si>
  <si>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</si>
  <si>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</si>
  <si>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</si>
  <si>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</si>
  <si>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</si>
  <si>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</si>
  <si>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</si>
  <si>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</si>
  <si>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</si>
  <si>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</si>
  <si>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</si>
  <si>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</si>
  <si>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</si>
  <si>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</si>
  <si>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</si>
  <si>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</si>
  <si>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</si>
  <si>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</si>
  <si>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</si>
  <si>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</si>
  <si>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</si>
  <si>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</si>
  <si>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продажи!!!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</si>
  <si>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</si>
  <si>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</si>
  <si>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</si>
  <si>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дубль</t>
  </si>
  <si>
    <t>7166 СЕРВЕЛАТ ОХОТНИЧИЙ ПМ в/к в/у_50с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</si>
  <si>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</si>
  <si>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</si>
  <si>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</si>
  <si>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</si>
  <si>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</si>
  <si>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</si>
  <si>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</si>
  <si>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</si>
  <si>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</si>
  <si>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</si>
  <si>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</si>
  <si>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</si>
  <si>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</si>
  <si>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</si>
  <si>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</si>
  <si>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</si>
  <si>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</si>
  <si>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</si>
  <si>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</si>
  <si>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ротация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</si>
  <si>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</si>
  <si>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</si>
  <si>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</si>
  <si>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</si>
  <si>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</si>
  <si>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1001012507632,ЭКСТРА Папа может вар п/о 0.4кг 8шт_195к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</si>
  <si>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</si>
  <si>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</si>
  <si>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</si>
  <si>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</si>
  <si>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</si>
  <si>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</si>
  <si>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</si>
  <si>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</si>
  <si>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ротация на 1001304197608,СЕРВЕЛАТ ШВЕЙЦАРСК.в/к с/н в/у 1/100_Л11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</si>
  <si>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</si>
  <si>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</si>
  <si>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</si>
  <si>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</si>
  <si>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</si>
  <si>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</si>
  <si>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</si>
  <si>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</si>
  <si>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</si>
  <si>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</si>
  <si>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</si>
  <si>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</si>
  <si>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</si>
  <si>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</si>
  <si>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</si>
  <si>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</si>
  <si>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</si>
  <si>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</si>
  <si>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7603 БАЛЫКОВАЯ в/к в/у 0.33кг 8шт. ОСТАНКИНО</t>
  </si>
  <si>
    <t>6797 С ИНДЕЙКОЙ Папа может вар п/о 0,4кг 8шт. ОСТАНКИНО</t>
  </si>
  <si>
    <t>нужно увеличить продажи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</si>
  <si>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</si>
  <si>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</si>
  <si>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</si>
  <si>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</si>
  <si>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</si>
  <si>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</si>
  <si>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</si>
  <si>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</si>
  <si>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</si>
  <si>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</si>
  <si>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</si>
  <si>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</si>
  <si>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</si>
  <si>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</si>
  <si>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</si>
  <si>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</si>
  <si>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</si>
  <si>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</si>
  <si>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</si>
  <si>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</si>
  <si>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7564 Балыковая в/к в/у Останкино Вес  ОСТАНКИНО</t>
  </si>
  <si>
    <t>7157 СЕРВЕЛАТ ЗЕРНИСТЫЙ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</si>
  <si>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</si>
  <si>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</si>
  <si>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</si>
  <si>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</si>
  <si>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</si>
  <si>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</si>
  <si>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</si>
  <si>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</si>
  <si>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</si>
  <si>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</si>
  <si>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</si>
  <si>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7299  НАБОР ДЛЯ ПИЦЦЫ Папа Может с/к в/у</t>
  </si>
  <si>
    <t>новинка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</si>
  <si>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</si>
  <si>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</si>
  <si>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</si>
  <si>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</si>
  <si>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</si>
  <si>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7489 СЫРРРВЕЛАТ Папа Может в/к в/у 0,28кг 8шт. ОСТАНКИНО</t>
  </si>
  <si>
    <t>вместо 6353</t>
  </si>
  <si>
    <t>7647  ХОЧУ ВЕТЧ. ИЗ СВИН.ОТРУБА с/н мгс 1/100</t>
  </si>
  <si>
    <t>7651  ХОЧУ ВЕТЧ. МРАМОР. ПМ с/н мгс 1/100_Л11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</si>
  <si>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</si>
  <si>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</si>
  <si>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</si>
  <si>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</si>
  <si>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</si>
  <si>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55 шт в уценку (06,07,26)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</si>
  <si>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</si>
  <si>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283 шт в уценку (06,07,26)</t>
  </si>
  <si>
    <t>ротация на 7612</t>
  </si>
  <si>
    <t>232 шт в уценку (06,07,26) / ротация на 7539</t>
  </si>
  <si>
    <t>перемещение</t>
  </si>
  <si>
    <t>заказ</t>
  </si>
  <si>
    <t>18,07,</t>
  </si>
  <si>
    <t>заблокирован к заказу</t>
  </si>
  <si>
    <t>нужно увеличить продажи!!! / заблокирован к заказу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</si>
</sst>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77;&#1088;&#1077;&#1084;&#1077;&#1097;&#1077;&#1085;&#1080;&#1077;%20&#1052;&#1077;&#1083;&#1080;&#1090;&#1086;&#1087;&#1086;&#1083;&#1100;-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4813 ФИЛЕЙНАЯ Папа может вар п/о_Л   ОСТАНКИНО</v>
          </cell>
          <cell r="B2">
            <v>162.381</v>
          </cell>
        </row>
        <row r="3">
          <cell r="A3" t="str">
            <v>5851 ЭКСТРА Папа может вар п/о   ОСТАНКИНО</v>
          </cell>
          <cell r="B3">
            <v>154.102</v>
          </cell>
        </row>
        <row r="4">
          <cell r="A4" t="str">
            <v>6392 ФИЛЕЙНАЯ Папа может вар п/о 0,4кг  ОСТАНКИНО</v>
          </cell>
          <cell r="B4">
            <v>272</v>
          </cell>
        </row>
        <row r="5">
          <cell r="A5" t="str">
            <v>6498 МОЛОЧНАЯ Папа может вар п/о  ОСТАНКИНО</v>
          </cell>
          <cell r="B5">
            <v>52.430999999999997</v>
          </cell>
        </row>
        <row r="6">
          <cell r="A6" t="str">
            <v>6527 ШПИКАЧКИ СОЧНЫЕ ПМ сар б/о мгс 1*3 45с ОСТАНКИНО</v>
          </cell>
          <cell r="B6">
            <v>44.191000000000003</v>
          </cell>
        </row>
        <row r="7">
          <cell r="A7" t="str">
            <v>6713 СОЧНЫЙ ГРИЛЬ ПМ сос п/о мгс 0,41кг 8 шт.  ОСТАНКИНО</v>
          </cell>
          <cell r="B7">
            <v>248</v>
          </cell>
        </row>
        <row r="8">
          <cell r="A8" t="str">
            <v>6829  МОЛОЧНЫЕ КЛАССИЧЕСКИЕ сос п/о мгс 2*4 С  Останккино</v>
          </cell>
          <cell r="B8">
            <v>65.141000000000005</v>
          </cell>
        </row>
        <row r="9">
          <cell r="A9" t="str">
            <v>6967 БУРГУНДИЯ Папа может с/к в/у 1/250 8шт  Останкино</v>
          </cell>
          <cell r="B9">
            <v>128</v>
          </cell>
        </row>
        <row r="10">
          <cell r="A10" t="str">
            <v>7080 СЛИВОЧНЫЕ ПМ сос п/о мгс 0,41кг 10шт 50с  Останкино</v>
          </cell>
          <cell r="B10">
            <v>520</v>
          </cell>
        </row>
        <row r="11">
          <cell r="A11" t="str">
            <v>7154 СЕРВЕЛАТ ЗЕРНИСТЫЙ ПМ в/к в/у 0,35кг_50с  Останкино</v>
          </cell>
          <cell r="B11">
            <v>160</v>
          </cell>
        </row>
        <row r="12">
          <cell r="A12" t="str">
            <v>7169 СЕРВЕЛАТ ОХОТНИЧИЙ ПМ в/к в/у 0,35кг_50с  Останкино</v>
          </cell>
          <cell r="B12">
            <v>568</v>
          </cell>
        </row>
        <row r="13">
          <cell r="A13" t="str">
            <v>7232 БОЯNСКАЯ ПМ п/к в/у 0,28кг 8шт_209к  Останкино</v>
          </cell>
          <cell r="B13">
            <v>144</v>
          </cell>
        </row>
        <row r="14">
          <cell r="A14" t="str">
            <v>7236 СЕРВЕЛАТ КАРЕЛЬСКИЙ в/к в/у 0,28кг_209к  Останкино</v>
          </cell>
          <cell r="B14">
            <v>104</v>
          </cell>
        </row>
        <row r="15">
          <cell r="A15" t="str">
            <v>7241 САЛЯМИ Папа может п/к в/у 0,28кг ОСТАНКИНО</v>
          </cell>
          <cell r="B15">
            <v>104</v>
          </cell>
        </row>
        <row r="16">
          <cell r="A16" t="str">
            <v>7603 БАЛЫКОВАЯ в/к в/у 0.33кг 8шт. ОСТАНКИНО</v>
          </cell>
          <cell r="B16">
            <v>240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43" activePane="bottomRight" state="frozen"/>
      <selection pane="topRight"/>
      <selection pane="bottomLeft"/>
      <selection pane="bottomRight" activeCell="AC62" sqref="AC62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5703125" style="9" customWidth="1"/>
    <col min="15" max="15" width="7" style="9" customWidth="1"/>
    <col min="16" max="16" width="7" style="19" customWidth="1"/>
    <col min="17" max="19" width="7" style="9" customWidth="1"/>
    <col min="20" max="21" width="5" style="9" customWidth="1"/>
    <col min="22" max="28" width="6" style="9" customWidth="1"/>
    <col min="29" max="29" width="60.42578125" style="9" customWidth="1"/>
    <col min="30" max="30" width="7" style="9" customWidth="1"/>
    <col min="31" max="49" width="8" style="9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156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155</v>
      </c>
      <c r="Q4" s="6" t="s">
        <v>22</v>
      </c>
      <c r="R4" s="6"/>
      <c r="S4" s="6" t="s">
        <v>157</v>
      </c>
      <c r="T4" s="6"/>
      <c r="U4" s="6"/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11458.566999999997</v>
      </c>
      <c r="F5" s="3">
        <f>SUM(F6:F499)</f>
        <v>10559.744999999997</v>
      </c>
      <c r="G5" s="7"/>
      <c r="H5" s="6"/>
      <c r="I5" s="6"/>
      <c r="J5" s="6"/>
      <c r="K5" s="3">
        <f t="shared" ref="K5:S5" si="0">SUM(K6:K499)</f>
        <v>12428.486000000003</v>
      </c>
      <c r="L5" s="3">
        <f t="shared" si="0"/>
        <v>-969.9190000000001</v>
      </c>
      <c r="M5" s="3">
        <f t="shared" si="0"/>
        <v>0</v>
      </c>
      <c r="N5" s="3">
        <f t="shared" si="0"/>
        <v>0</v>
      </c>
      <c r="O5" s="3">
        <f t="shared" si="0"/>
        <v>15303</v>
      </c>
      <c r="P5" s="3">
        <f t="shared" si="0"/>
        <v>2966.2460000000001</v>
      </c>
      <c r="Q5" s="3">
        <f t="shared" si="0"/>
        <v>2291.7133999999992</v>
      </c>
      <c r="R5" s="3">
        <f t="shared" si="0"/>
        <v>8715.7894000000015</v>
      </c>
      <c r="S5" s="3">
        <f t="shared" si="0"/>
        <v>8715</v>
      </c>
      <c r="T5" s="6"/>
      <c r="U5" s="6"/>
      <c r="V5" s="3">
        <f t="shared" ref="V5:AB5" si="1">SUM(V6:V499)</f>
        <v>2393.2230000000004</v>
      </c>
      <c r="W5" s="3">
        <f t="shared" si="1"/>
        <v>2305.7882</v>
      </c>
      <c r="X5" s="3">
        <f t="shared" si="1"/>
        <v>2441.1203999999993</v>
      </c>
      <c r="Y5" s="3">
        <f t="shared" si="1"/>
        <v>2256.1319999999996</v>
      </c>
      <c r="Z5" s="3">
        <f t="shared" si="1"/>
        <v>2417.159000000001</v>
      </c>
      <c r="AA5" s="3">
        <f t="shared" si="1"/>
        <v>2205.0889999999999</v>
      </c>
      <c r="AB5" s="3">
        <f t="shared" si="1"/>
        <v>2316.4051999999992</v>
      </c>
      <c r="AC5" s="6"/>
      <c r="AD5" s="3">
        <f>SUM(AD6:AD499)</f>
        <v>4255.82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6" t="s">
        <v>30</v>
      </c>
      <c r="B6" s="6" t="s">
        <v>31</v>
      </c>
      <c r="C6" s="6">
        <v>155</v>
      </c>
      <c r="D6" s="6">
        <v>322</v>
      </c>
      <c r="E6" s="6">
        <v>206</v>
      </c>
      <c r="F6" s="6">
        <v>263</v>
      </c>
      <c r="G6" s="7">
        <v>0.4</v>
      </c>
      <c r="H6" s="6">
        <v>60</v>
      </c>
      <c r="I6" s="6">
        <v>3215</v>
      </c>
      <c r="J6" s="6"/>
      <c r="K6" s="6">
        <v>212</v>
      </c>
      <c r="L6" s="6">
        <f t="shared" ref="L6:L37" si="2">E6-K6</f>
        <v>-6</v>
      </c>
      <c r="M6" s="6"/>
      <c r="N6" s="6"/>
      <c r="O6" s="6">
        <v>29</v>
      </c>
      <c r="P6" s="6"/>
      <c r="Q6" s="6">
        <f t="shared" ref="Q6:Q37" si="3">E6/5</f>
        <v>41.2</v>
      </c>
      <c r="R6" s="8">
        <f>15*Q6-O6-F6</f>
        <v>326</v>
      </c>
      <c r="S6" s="8">
        <f>ROUND(R6,0)</f>
        <v>326</v>
      </c>
      <c r="T6" s="6">
        <f t="shared" ref="T6:T37" si="4">(F6+O6+R6)/Q6</f>
        <v>14.999999999999998</v>
      </c>
      <c r="U6" s="6">
        <f t="shared" ref="U6:U37" si="5">(F6+O6)/Q6</f>
        <v>7.0873786407766985</v>
      </c>
      <c r="V6" s="6">
        <v>33.6</v>
      </c>
      <c r="W6" s="6">
        <v>46.6</v>
      </c>
      <c r="X6" s="6">
        <v>37.799999999999997</v>
      </c>
      <c r="Y6" s="6">
        <v>41</v>
      </c>
      <c r="Z6" s="6">
        <v>57.8</v>
      </c>
      <c r="AA6" s="6">
        <v>39.6</v>
      </c>
      <c r="AB6" s="6">
        <v>53.6</v>
      </c>
      <c r="AC6" s="6"/>
      <c r="AD6" s="6">
        <f>G6*S6</f>
        <v>130.4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6" t="s">
        <v>32</v>
      </c>
      <c r="B7" s="6" t="s">
        <v>33</v>
      </c>
      <c r="C7" s="6">
        <v>7.6479999999999997</v>
      </c>
      <c r="D7" s="6"/>
      <c r="E7" s="6">
        <v>7.1340000000000003</v>
      </c>
      <c r="F7" s="6">
        <v>0.499</v>
      </c>
      <c r="G7" s="7">
        <v>1</v>
      </c>
      <c r="H7" s="6">
        <v>120</v>
      </c>
      <c r="I7" s="6">
        <v>3287</v>
      </c>
      <c r="J7" s="6"/>
      <c r="K7" s="6">
        <v>18</v>
      </c>
      <c r="L7" s="6">
        <f t="shared" si="2"/>
        <v>-10.866</v>
      </c>
      <c r="M7" s="6"/>
      <c r="N7" s="6"/>
      <c r="O7" s="6">
        <v>25</v>
      </c>
      <c r="P7" s="6"/>
      <c r="Q7" s="6">
        <f t="shared" si="3"/>
        <v>1.4268000000000001</v>
      </c>
      <c r="R7" s="8">
        <v>4</v>
      </c>
      <c r="S7" s="8">
        <f t="shared" ref="S7:S70" si="6">ROUND(R7,0)</f>
        <v>4</v>
      </c>
      <c r="T7" s="6">
        <f t="shared" si="4"/>
        <v>20.674936921783008</v>
      </c>
      <c r="U7" s="6">
        <f t="shared" si="5"/>
        <v>17.871460611157833</v>
      </c>
      <c r="V7" s="6">
        <v>4.1590000000000007</v>
      </c>
      <c r="W7" s="6">
        <v>4.5156000000000001</v>
      </c>
      <c r="X7" s="6">
        <v>3.8104</v>
      </c>
      <c r="Y7" s="6">
        <v>3.2134</v>
      </c>
      <c r="Z7" s="6">
        <v>4.6890000000000001</v>
      </c>
      <c r="AA7" s="6">
        <v>1.9738</v>
      </c>
      <c r="AB7" s="6">
        <v>2.7652000000000001</v>
      </c>
      <c r="AC7" s="6" t="s">
        <v>34</v>
      </c>
      <c r="AD7" s="6">
        <f t="shared" ref="AD7:AD70" si="7">G7*S7</f>
        <v>4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6" t="s">
        <v>35</v>
      </c>
      <c r="B8" s="6" t="s">
        <v>31</v>
      </c>
      <c r="C8" s="6">
        <v>25</v>
      </c>
      <c r="D8" s="6">
        <v>171</v>
      </c>
      <c r="E8" s="15">
        <f>124+E19</f>
        <v>125</v>
      </c>
      <c r="F8" s="15">
        <f>69+F19</f>
        <v>61.988</v>
      </c>
      <c r="G8" s="7">
        <v>0.25</v>
      </c>
      <c r="H8" s="6">
        <v>120</v>
      </c>
      <c r="I8" s="6">
        <v>3986</v>
      </c>
      <c r="J8" s="6"/>
      <c r="K8" s="6">
        <v>127</v>
      </c>
      <c r="L8" s="6">
        <f t="shared" si="2"/>
        <v>-2</v>
      </c>
      <c r="M8" s="6"/>
      <c r="N8" s="6"/>
      <c r="O8" s="6">
        <v>336</v>
      </c>
      <c r="P8" s="6"/>
      <c r="Q8" s="6">
        <f t="shared" si="3"/>
        <v>25</v>
      </c>
      <c r="R8" s="8">
        <f>20*Q8-O8-F8</f>
        <v>102.012</v>
      </c>
      <c r="S8" s="8">
        <f t="shared" si="6"/>
        <v>102</v>
      </c>
      <c r="T8" s="6">
        <f t="shared" si="4"/>
        <v>20</v>
      </c>
      <c r="U8" s="6">
        <f t="shared" si="5"/>
        <v>15.91952</v>
      </c>
      <c r="V8" s="6">
        <v>35.799999999999997</v>
      </c>
      <c r="W8" s="6">
        <v>25.4</v>
      </c>
      <c r="X8" s="6">
        <v>25</v>
      </c>
      <c r="Y8" s="6">
        <v>28.6</v>
      </c>
      <c r="Z8" s="6">
        <v>35.799999999999997</v>
      </c>
      <c r="AA8" s="6">
        <v>26.8</v>
      </c>
      <c r="AB8" s="6">
        <v>30.8</v>
      </c>
      <c r="AC8" s="6" t="s">
        <v>34</v>
      </c>
      <c r="AD8" s="6">
        <f t="shared" si="7"/>
        <v>25.5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36</v>
      </c>
      <c r="B9" s="6" t="s">
        <v>33</v>
      </c>
      <c r="C9" s="6">
        <v>121.092</v>
      </c>
      <c r="D9" s="6">
        <v>429.017</v>
      </c>
      <c r="E9" s="6">
        <v>211.35499999999999</v>
      </c>
      <c r="F9" s="6">
        <v>331.65100000000001</v>
      </c>
      <c r="G9" s="7">
        <v>1</v>
      </c>
      <c r="H9" s="6">
        <v>60</v>
      </c>
      <c r="I9" s="6">
        <v>4063</v>
      </c>
      <c r="J9" s="6"/>
      <c r="K9" s="6">
        <v>203.63200000000001</v>
      </c>
      <c r="L9" s="6">
        <f t="shared" si="2"/>
        <v>7.7229999999999848</v>
      </c>
      <c r="M9" s="6"/>
      <c r="N9" s="6"/>
      <c r="O9" s="6">
        <v>52</v>
      </c>
      <c r="P9" s="6"/>
      <c r="Q9" s="6">
        <f t="shared" si="3"/>
        <v>42.271000000000001</v>
      </c>
      <c r="R9" s="8">
        <f t="shared" ref="R9:R12" si="8">15*Q9-O9-F9</f>
        <v>250.41400000000004</v>
      </c>
      <c r="S9" s="8">
        <f t="shared" si="6"/>
        <v>250</v>
      </c>
      <c r="T9" s="6">
        <f t="shared" si="4"/>
        <v>15.000000000000002</v>
      </c>
      <c r="U9" s="6">
        <f t="shared" si="5"/>
        <v>9.0759859004991608</v>
      </c>
      <c r="V9" s="6">
        <v>39.854199999999999</v>
      </c>
      <c r="W9" s="6">
        <v>46.833399999999997</v>
      </c>
      <c r="X9" s="6">
        <v>41.058800000000012</v>
      </c>
      <c r="Y9" s="6">
        <v>45.109200000000001</v>
      </c>
      <c r="Z9" s="6">
        <v>45.118600000000001</v>
      </c>
      <c r="AA9" s="6">
        <v>37.232399999999998</v>
      </c>
      <c r="AB9" s="6">
        <v>55.194800000000001</v>
      </c>
      <c r="AC9" s="6"/>
      <c r="AD9" s="6">
        <f t="shared" si="7"/>
        <v>250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37</v>
      </c>
      <c r="B10" s="6" t="s">
        <v>33</v>
      </c>
      <c r="C10" s="6">
        <v>12.683999999999999</v>
      </c>
      <c r="D10" s="6">
        <v>15.96</v>
      </c>
      <c r="E10" s="6">
        <v>22.021000000000001</v>
      </c>
      <c r="F10" s="6">
        <v>5.5860000000000003</v>
      </c>
      <c r="G10" s="7">
        <v>1</v>
      </c>
      <c r="H10" s="6">
        <v>120</v>
      </c>
      <c r="I10" s="6">
        <v>4117</v>
      </c>
      <c r="J10" s="6"/>
      <c r="K10" s="6">
        <v>23</v>
      </c>
      <c r="L10" s="6">
        <f t="shared" si="2"/>
        <v>-0.9789999999999992</v>
      </c>
      <c r="M10" s="6"/>
      <c r="N10" s="6"/>
      <c r="O10" s="6">
        <v>11</v>
      </c>
      <c r="P10" s="6"/>
      <c r="Q10" s="6">
        <f t="shared" si="3"/>
        <v>4.4042000000000003</v>
      </c>
      <c r="R10" s="8">
        <f>19*Q10-O10-F10</f>
        <v>67.093800000000002</v>
      </c>
      <c r="S10" s="8">
        <f t="shared" si="6"/>
        <v>67</v>
      </c>
      <c r="T10" s="6">
        <f t="shared" si="4"/>
        <v>19</v>
      </c>
      <c r="U10" s="6">
        <f t="shared" si="5"/>
        <v>3.7659506834385352</v>
      </c>
      <c r="V10" s="6">
        <v>2.8081999999999998</v>
      </c>
      <c r="W10" s="6">
        <v>3.0775999999999999</v>
      </c>
      <c r="X10" s="6">
        <v>3.7627999999999999</v>
      </c>
      <c r="Y10" s="6">
        <v>3.2604000000000002</v>
      </c>
      <c r="Z10" s="6">
        <v>4.3255999999999997</v>
      </c>
      <c r="AA10" s="6">
        <v>2.0802</v>
      </c>
      <c r="AB10" s="6">
        <v>1.2904</v>
      </c>
      <c r="AC10" s="6" t="s">
        <v>34</v>
      </c>
      <c r="AD10" s="6">
        <f t="shared" si="7"/>
        <v>67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38</v>
      </c>
      <c r="B11" s="6" t="s">
        <v>33</v>
      </c>
      <c r="C11" s="6">
        <v>106.94499999999999</v>
      </c>
      <c r="D11" s="6"/>
      <c r="E11" s="6">
        <v>4.0990000000000002</v>
      </c>
      <c r="F11" s="6">
        <v>102.846</v>
      </c>
      <c r="G11" s="7">
        <v>1</v>
      </c>
      <c r="H11" s="6">
        <v>60</v>
      </c>
      <c r="I11" s="6">
        <v>4574</v>
      </c>
      <c r="J11" s="6"/>
      <c r="K11" s="6">
        <v>3.6</v>
      </c>
      <c r="L11" s="6">
        <f t="shared" si="2"/>
        <v>0.49900000000000011</v>
      </c>
      <c r="M11" s="6"/>
      <c r="N11" s="6"/>
      <c r="O11" s="6">
        <v>0</v>
      </c>
      <c r="P11" s="6"/>
      <c r="Q11" s="6">
        <f t="shared" si="3"/>
        <v>0.81980000000000008</v>
      </c>
      <c r="R11" s="8"/>
      <c r="S11" s="8">
        <f t="shared" si="6"/>
        <v>0</v>
      </c>
      <c r="T11" s="6">
        <f t="shared" si="4"/>
        <v>125.45254940229323</v>
      </c>
      <c r="U11" s="6">
        <f t="shared" si="5"/>
        <v>125.45254940229323</v>
      </c>
      <c r="V11" s="6">
        <v>1.0762</v>
      </c>
      <c r="W11" s="6">
        <v>3.2698</v>
      </c>
      <c r="X11" s="6">
        <v>7.4385999999999992</v>
      </c>
      <c r="Y11" s="6">
        <v>9.5047999999999995</v>
      </c>
      <c r="Z11" s="6">
        <v>11.0764</v>
      </c>
      <c r="AA11" s="6">
        <v>9.4778000000000002</v>
      </c>
      <c r="AB11" s="6">
        <v>9.4993999999999996</v>
      </c>
      <c r="AC11" s="17" t="s">
        <v>39</v>
      </c>
      <c r="AD11" s="6">
        <f t="shared" si="7"/>
        <v>0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40</v>
      </c>
      <c r="B12" s="6" t="s">
        <v>33</v>
      </c>
      <c r="C12" s="6">
        <v>149.23099999999999</v>
      </c>
      <c r="D12" s="6">
        <v>460.81099999999998</v>
      </c>
      <c r="E12" s="6">
        <v>178.31800000000001</v>
      </c>
      <c r="F12" s="6">
        <v>417.25900000000001</v>
      </c>
      <c r="G12" s="7">
        <v>1</v>
      </c>
      <c r="H12" s="6">
        <v>60</v>
      </c>
      <c r="I12" s="6">
        <v>4813</v>
      </c>
      <c r="J12" s="6"/>
      <c r="K12" s="6">
        <v>171.78399999999999</v>
      </c>
      <c r="L12" s="6">
        <f t="shared" si="2"/>
        <v>6.5340000000000202</v>
      </c>
      <c r="M12" s="6"/>
      <c r="N12" s="6"/>
      <c r="O12" s="6">
        <v>0</v>
      </c>
      <c r="P12" s="6">
        <f>VLOOKUP(A12,[1]TDSheet!$A:$B,2,0)</f>
        <v>162.381</v>
      </c>
      <c r="Q12" s="6">
        <f t="shared" si="3"/>
        <v>35.663600000000002</v>
      </c>
      <c r="R12" s="8">
        <f t="shared" si="8"/>
        <v>117.69500000000005</v>
      </c>
      <c r="S12" s="8">
        <f t="shared" si="6"/>
        <v>118</v>
      </c>
      <c r="T12" s="6">
        <f t="shared" si="4"/>
        <v>15</v>
      </c>
      <c r="U12" s="6">
        <f t="shared" si="5"/>
        <v>11.699856436254331</v>
      </c>
      <c r="V12" s="6">
        <v>33.933800000000012</v>
      </c>
      <c r="W12" s="6">
        <v>49.622399999999999</v>
      </c>
      <c r="X12" s="6">
        <v>48.169400000000003</v>
      </c>
      <c r="Y12" s="6">
        <v>38.220799999999997</v>
      </c>
      <c r="Z12" s="6">
        <v>50.7136</v>
      </c>
      <c r="AA12" s="6">
        <v>32.896999999999998</v>
      </c>
      <c r="AB12" s="6">
        <v>47.341200000000001</v>
      </c>
      <c r="AC12" s="6"/>
      <c r="AD12" s="6">
        <f t="shared" si="7"/>
        <v>118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6" t="s">
        <v>41</v>
      </c>
      <c r="B13" s="6" t="s">
        <v>31</v>
      </c>
      <c r="C13" s="6">
        <v>3</v>
      </c>
      <c r="D13" s="6">
        <v>435</v>
      </c>
      <c r="E13" s="6">
        <v>121</v>
      </c>
      <c r="F13" s="6">
        <v>305</v>
      </c>
      <c r="G13" s="7">
        <v>0.25</v>
      </c>
      <c r="H13" s="6">
        <v>120</v>
      </c>
      <c r="I13" s="6">
        <v>4993</v>
      </c>
      <c r="J13" s="6"/>
      <c r="K13" s="6">
        <v>147</v>
      </c>
      <c r="L13" s="6">
        <f t="shared" si="2"/>
        <v>-26</v>
      </c>
      <c r="M13" s="6"/>
      <c r="N13" s="6"/>
      <c r="O13" s="6">
        <v>0</v>
      </c>
      <c r="P13" s="6"/>
      <c r="Q13" s="6">
        <f t="shared" si="3"/>
        <v>24.2</v>
      </c>
      <c r="R13" s="8">
        <f>20*Q13-O13-F13</f>
        <v>179</v>
      </c>
      <c r="S13" s="8">
        <f t="shared" si="6"/>
        <v>179</v>
      </c>
      <c r="T13" s="6">
        <f t="shared" si="4"/>
        <v>20</v>
      </c>
      <c r="U13" s="6">
        <f t="shared" si="5"/>
        <v>12.603305785123966</v>
      </c>
      <c r="V13" s="6">
        <v>21.4</v>
      </c>
      <c r="W13" s="6">
        <v>43.8</v>
      </c>
      <c r="X13" s="6">
        <v>21.4</v>
      </c>
      <c r="Y13" s="6">
        <v>28.2</v>
      </c>
      <c r="Z13" s="6">
        <v>28.2</v>
      </c>
      <c r="AA13" s="6">
        <v>22.6</v>
      </c>
      <c r="AB13" s="6">
        <v>16.8</v>
      </c>
      <c r="AC13" s="6" t="s">
        <v>34</v>
      </c>
      <c r="AD13" s="6">
        <f t="shared" si="7"/>
        <v>44.75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11" t="s">
        <v>42</v>
      </c>
      <c r="B14" s="11" t="s">
        <v>33</v>
      </c>
      <c r="C14" s="11">
        <v>-1.4179999999999999</v>
      </c>
      <c r="D14" s="11"/>
      <c r="E14" s="11"/>
      <c r="F14" s="15">
        <v>-1.4179999999999999</v>
      </c>
      <c r="G14" s="12">
        <v>0</v>
      </c>
      <c r="H14" s="11"/>
      <c r="I14" s="11" t="s">
        <v>43</v>
      </c>
      <c r="J14" s="11" t="s">
        <v>44</v>
      </c>
      <c r="K14" s="11"/>
      <c r="L14" s="11">
        <f t="shared" si="2"/>
        <v>0</v>
      </c>
      <c r="M14" s="11"/>
      <c r="N14" s="11"/>
      <c r="O14" s="11">
        <v>0</v>
      </c>
      <c r="P14" s="6"/>
      <c r="Q14" s="11">
        <f t="shared" si="3"/>
        <v>0</v>
      </c>
      <c r="R14" s="13"/>
      <c r="S14" s="8">
        <f t="shared" si="6"/>
        <v>0</v>
      </c>
      <c r="T14" s="11" t="e">
        <f t="shared" si="4"/>
        <v>#DIV/0!</v>
      </c>
      <c r="U14" s="11" t="e">
        <f t="shared" si="5"/>
        <v>#DIV/0!</v>
      </c>
      <c r="V14" s="11">
        <v>0</v>
      </c>
      <c r="W14" s="11">
        <v>0</v>
      </c>
      <c r="X14" s="11">
        <v>-0.1348</v>
      </c>
      <c r="Y14" s="11">
        <v>0</v>
      </c>
      <c r="Z14" s="11">
        <v>0</v>
      </c>
      <c r="AA14" s="11">
        <v>0</v>
      </c>
      <c r="AB14" s="11">
        <v>0</v>
      </c>
      <c r="AC14" s="11"/>
      <c r="AD14" s="6">
        <f t="shared" si="7"/>
        <v>0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45</v>
      </c>
      <c r="B15" s="6" t="s">
        <v>33</v>
      </c>
      <c r="C15" s="6">
        <v>197.066</v>
      </c>
      <c r="D15" s="6"/>
      <c r="E15" s="6">
        <v>4.0590000000000002</v>
      </c>
      <c r="F15" s="6">
        <v>193.00700000000001</v>
      </c>
      <c r="G15" s="7">
        <v>1</v>
      </c>
      <c r="H15" s="6">
        <v>60</v>
      </c>
      <c r="I15" s="6">
        <v>5452</v>
      </c>
      <c r="J15" s="6"/>
      <c r="K15" s="6">
        <v>3.6</v>
      </c>
      <c r="L15" s="6">
        <f t="shared" si="2"/>
        <v>0.45900000000000007</v>
      </c>
      <c r="M15" s="6"/>
      <c r="N15" s="6"/>
      <c r="O15" s="6">
        <v>0</v>
      </c>
      <c r="P15" s="6"/>
      <c r="Q15" s="6">
        <f t="shared" si="3"/>
        <v>0.81180000000000008</v>
      </c>
      <c r="R15" s="8"/>
      <c r="S15" s="8">
        <f t="shared" si="6"/>
        <v>0</v>
      </c>
      <c r="T15" s="6">
        <f t="shared" si="4"/>
        <v>237.75190933727518</v>
      </c>
      <c r="U15" s="6">
        <f t="shared" si="5"/>
        <v>237.75190933727518</v>
      </c>
      <c r="V15" s="6">
        <v>3.512</v>
      </c>
      <c r="W15" s="6">
        <v>11.567</v>
      </c>
      <c r="X15" s="6">
        <v>18.520600000000002</v>
      </c>
      <c r="Y15" s="6">
        <v>24.869800000000001</v>
      </c>
      <c r="Z15" s="6">
        <v>20.437999999999999</v>
      </c>
      <c r="AA15" s="6">
        <v>13.4084</v>
      </c>
      <c r="AB15" s="6">
        <v>20.625</v>
      </c>
      <c r="AC15" s="17" t="s">
        <v>39</v>
      </c>
      <c r="AD15" s="6">
        <f t="shared" si="7"/>
        <v>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46</v>
      </c>
      <c r="B16" s="6" t="s">
        <v>31</v>
      </c>
      <c r="C16" s="6">
        <v>45</v>
      </c>
      <c r="D16" s="6">
        <v>251</v>
      </c>
      <c r="E16" s="6">
        <v>121</v>
      </c>
      <c r="F16" s="6">
        <v>172</v>
      </c>
      <c r="G16" s="7">
        <v>0.25</v>
      </c>
      <c r="H16" s="6">
        <v>120</v>
      </c>
      <c r="I16" s="6">
        <v>5483</v>
      </c>
      <c r="J16" s="6"/>
      <c r="K16" s="6">
        <v>124</v>
      </c>
      <c r="L16" s="6">
        <f t="shared" si="2"/>
        <v>-3</v>
      </c>
      <c r="M16" s="6"/>
      <c r="N16" s="6"/>
      <c r="O16" s="6">
        <v>74</v>
      </c>
      <c r="P16" s="6"/>
      <c r="Q16" s="6">
        <f t="shared" si="3"/>
        <v>24.2</v>
      </c>
      <c r="R16" s="8">
        <f>20*Q16-O16-F16</f>
        <v>238</v>
      </c>
      <c r="S16" s="8">
        <f t="shared" si="6"/>
        <v>238</v>
      </c>
      <c r="T16" s="6">
        <f t="shared" si="4"/>
        <v>20</v>
      </c>
      <c r="U16" s="6">
        <f t="shared" si="5"/>
        <v>10.165289256198347</v>
      </c>
      <c r="V16" s="6">
        <v>25.2</v>
      </c>
      <c r="W16" s="6">
        <v>30.4</v>
      </c>
      <c r="X16" s="6">
        <v>24.4</v>
      </c>
      <c r="Y16" s="6">
        <v>28.8</v>
      </c>
      <c r="Z16" s="6">
        <v>23.2</v>
      </c>
      <c r="AA16" s="6">
        <v>23</v>
      </c>
      <c r="AB16" s="6">
        <v>35.6</v>
      </c>
      <c r="AC16" s="6" t="s">
        <v>34</v>
      </c>
      <c r="AD16" s="6">
        <f t="shared" si="7"/>
        <v>59.5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6" t="s">
        <v>47</v>
      </c>
      <c r="B17" s="6" t="s">
        <v>31</v>
      </c>
      <c r="C17" s="6">
        <v>44</v>
      </c>
      <c r="D17" s="6">
        <v>125</v>
      </c>
      <c r="E17" s="6">
        <v>174</v>
      </c>
      <c r="F17" s="6">
        <v>-9</v>
      </c>
      <c r="G17" s="7">
        <v>0.4</v>
      </c>
      <c r="H17" s="6">
        <v>60</v>
      </c>
      <c r="I17" s="6">
        <v>5495</v>
      </c>
      <c r="J17" s="6"/>
      <c r="K17" s="6">
        <v>178</v>
      </c>
      <c r="L17" s="6">
        <f t="shared" si="2"/>
        <v>-4</v>
      </c>
      <c r="M17" s="6"/>
      <c r="N17" s="6"/>
      <c r="O17" s="6">
        <v>234</v>
      </c>
      <c r="P17" s="6"/>
      <c r="Q17" s="6">
        <f t="shared" si="3"/>
        <v>34.799999999999997</v>
      </c>
      <c r="R17" s="8">
        <f t="shared" ref="R17:R18" si="9">15*Q17-O17-F17</f>
        <v>297</v>
      </c>
      <c r="S17" s="8">
        <f t="shared" si="6"/>
        <v>297</v>
      </c>
      <c r="T17" s="6">
        <f t="shared" si="4"/>
        <v>15.000000000000002</v>
      </c>
      <c r="U17" s="6">
        <f t="shared" si="5"/>
        <v>6.4655172413793105</v>
      </c>
      <c r="V17" s="6">
        <v>26.6</v>
      </c>
      <c r="W17" s="6">
        <v>22.8</v>
      </c>
      <c r="X17" s="6">
        <v>21.8</v>
      </c>
      <c r="Y17" s="6">
        <v>26.6</v>
      </c>
      <c r="Z17" s="6">
        <v>22.4</v>
      </c>
      <c r="AA17" s="6">
        <v>17.399999999999999</v>
      </c>
      <c r="AB17" s="6">
        <v>12</v>
      </c>
      <c r="AC17" s="6"/>
      <c r="AD17" s="6">
        <f t="shared" si="7"/>
        <v>118.80000000000001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48</v>
      </c>
      <c r="B18" s="6" t="s">
        <v>33</v>
      </c>
      <c r="C18" s="6">
        <v>168.8</v>
      </c>
      <c r="D18" s="6">
        <v>295.971</v>
      </c>
      <c r="E18" s="6">
        <v>190.852</v>
      </c>
      <c r="F18" s="6">
        <v>266.82499999999999</v>
      </c>
      <c r="G18" s="7">
        <v>1</v>
      </c>
      <c r="H18" s="6">
        <v>45</v>
      </c>
      <c r="I18" s="6">
        <v>5544</v>
      </c>
      <c r="J18" s="6"/>
      <c r="K18" s="6">
        <v>170.34899999999999</v>
      </c>
      <c r="L18" s="6">
        <f t="shared" si="2"/>
        <v>20.503000000000014</v>
      </c>
      <c r="M18" s="6"/>
      <c r="N18" s="6"/>
      <c r="O18" s="6">
        <v>25</v>
      </c>
      <c r="P18" s="6"/>
      <c r="Q18" s="6">
        <f t="shared" si="3"/>
        <v>38.170400000000001</v>
      </c>
      <c r="R18" s="8">
        <f t="shared" si="9"/>
        <v>280.73100000000005</v>
      </c>
      <c r="S18" s="8">
        <f t="shared" si="6"/>
        <v>281</v>
      </c>
      <c r="T18" s="6">
        <f t="shared" si="4"/>
        <v>15</v>
      </c>
      <c r="U18" s="6">
        <f t="shared" si="5"/>
        <v>7.6453220296355289</v>
      </c>
      <c r="V18" s="6">
        <v>32.511000000000003</v>
      </c>
      <c r="W18" s="6">
        <v>43.4754</v>
      </c>
      <c r="X18" s="6">
        <v>43.322000000000003</v>
      </c>
      <c r="Y18" s="6">
        <v>39.813400000000001</v>
      </c>
      <c r="Z18" s="6">
        <v>48.798999999999999</v>
      </c>
      <c r="AA18" s="6">
        <v>31.7788</v>
      </c>
      <c r="AB18" s="6">
        <v>33.668999999999997</v>
      </c>
      <c r="AC18" s="6"/>
      <c r="AD18" s="6">
        <f t="shared" si="7"/>
        <v>281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11" t="s">
        <v>49</v>
      </c>
      <c r="B19" s="11" t="s">
        <v>31</v>
      </c>
      <c r="C19" s="11">
        <v>-6.0119999999999996</v>
      </c>
      <c r="D19" s="11"/>
      <c r="E19" s="15">
        <v>1</v>
      </c>
      <c r="F19" s="15">
        <v>-7.0119999999999996</v>
      </c>
      <c r="G19" s="12">
        <v>0</v>
      </c>
      <c r="H19" s="11"/>
      <c r="I19" s="11" t="s">
        <v>43</v>
      </c>
      <c r="J19" s="11" t="s">
        <v>35</v>
      </c>
      <c r="K19" s="11">
        <v>12</v>
      </c>
      <c r="L19" s="11">
        <f t="shared" si="2"/>
        <v>-11</v>
      </c>
      <c r="M19" s="11"/>
      <c r="N19" s="11"/>
      <c r="O19" s="11">
        <v>0</v>
      </c>
      <c r="P19" s="6"/>
      <c r="Q19" s="11">
        <f t="shared" si="3"/>
        <v>0.2</v>
      </c>
      <c r="R19" s="13"/>
      <c r="S19" s="8">
        <f t="shared" si="6"/>
        <v>0</v>
      </c>
      <c r="T19" s="11">
        <f t="shared" si="4"/>
        <v>-35.059999999999995</v>
      </c>
      <c r="U19" s="11">
        <f t="shared" si="5"/>
        <v>-35.059999999999995</v>
      </c>
      <c r="V19" s="11">
        <v>0.2</v>
      </c>
      <c r="W19" s="11">
        <v>0.80239999999999989</v>
      </c>
      <c r="X19" s="11">
        <v>0.2</v>
      </c>
      <c r="Y19" s="11">
        <v>0</v>
      </c>
      <c r="Z19" s="11">
        <v>-0.4</v>
      </c>
      <c r="AA19" s="11">
        <v>-0.2</v>
      </c>
      <c r="AB19" s="11">
        <v>-0.2</v>
      </c>
      <c r="AC19" s="11"/>
      <c r="AD19" s="6">
        <f t="shared" si="7"/>
        <v>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50</v>
      </c>
      <c r="B20" s="6" t="s">
        <v>33</v>
      </c>
      <c r="C20" s="6">
        <v>10.375999999999999</v>
      </c>
      <c r="D20" s="6">
        <v>23.724</v>
      </c>
      <c r="E20" s="6">
        <v>16.271999999999998</v>
      </c>
      <c r="F20" s="6">
        <v>17.827999999999999</v>
      </c>
      <c r="G20" s="7">
        <v>1</v>
      </c>
      <c r="H20" s="6">
        <v>120</v>
      </c>
      <c r="I20" s="6">
        <v>5708</v>
      </c>
      <c r="J20" s="6"/>
      <c r="K20" s="6">
        <v>16.5</v>
      </c>
      <c r="L20" s="6">
        <f t="shared" si="2"/>
        <v>-0.22800000000000153</v>
      </c>
      <c r="M20" s="6"/>
      <c r="N20" s="6"/>
      <c r="O20" s="6">
        <v>0</v>
      </c>
      <c r="P20" s="6"/>
      <c r="Q20" s="6">
        <f t="shared" si="3"/>
        <v>3.2543999999999995</v>
      </c>
      <c r="R20" s="8">
        <f>20*Q20-O20-F20</f>
        <v>47.259999999999991</v>
      </c>
      <c r="S20" s="8">
        <f t="shared" si="6"/>
        <v>47</v>
      </c>
      <c r="T20" s="6">
        <f t="shared" si="4"/>
        <v>20</v>
      </c>
      <c r="U20" s="6">
        <f t="shared" si="5"/>
        <v>5.4781219272369723</v>
      </c>
      <c r="V20" s="6">
        <v>1.6692</v>
      </c>
      <c r="W20" s="6">
        <v>3.0581999999999998</v>
      </c>
      <c r="X20" s="6">
        <v>1.0933999999999999</v>
      </c>
      <c r="Y20" s="6">
        <v>0.29680000000000001</v>
      </c>
      <c r="Z20" s="6">
        <v>3.2924000000000002</v>
      </c>
      <c r="AA20" s="6">
        <v>1.5960000000000001</v>
      </c>
      <c r="AB20" s="6">
        <v>2.1798000000000002</v>
      </c>
      <c r="AC20" s="6" t="s">
        <v>34</v>
      </c>
      <c r="AD20" s="6">
        <f t="shared" si="7"/>
        <v>47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51</v>
      </c>
      <c r="B21" s="6" t="s">
        <v>31</v>
      </c>
      <c r="C21" s="6">
        <v>266</v>
      </c>
      <c r="D21" s="6">
        <v>16</v>
      </c>
      <c r="E21" s="6">
        <v>48</v>
      </c>
      <c r="F21" s="6">
        <v>-50</v>
      </c>
      <c r="G21" s="7">
        <v>0.4</v>
      </c>
      <c r="H21" s="6">
        <v>45</v>
      </c>
      <c r="I21" s="6">
        <v>5819</v>
      </c>
      <c r="J21" s="6"/>
      <c r="K21" s="6">
        <v>188</v>
      </c>
      <c r="L21" s="6">
        <f t="shared" si="2"/>
        <v>-140</v>
      </c>
      <c r="M21" s="6"/>
      <c r="N21" s="6"/>
      <c r="O21" s="6">
        <v>0</v>
      </c>
      <c r="P21" s="6"/>
      <c r="Q21" s="6">
        <f t="shared" si="3"/>
        <v>9.6</v>
      </c>
      <c r="R21" s="8">
        <v>100</v>
      </c>
      <c r="S21" s="8">
        <f t="shared" si="6"/>
        <v>100</v>
      </c>
      <c r="T21" s="6">
        <f t="shared" si="4"/>
        <v>5.2083333333333339</v>
      </c>
      <c r="U21" s="6">
        <f t="shared" si="5"/>
        <v>-5.2083333333333339</v>
      </c>
      <c r="V21" s="6">
        <v>3.8</v>
      </c>
      <c r="W21" s="6">
        <v>22.2</v>
      </c>
      <c r="X21" s="6">
        <v>17.399999999999999</v>
      </c>
      <c r="Y21" s="6">
        <v>16.8</v>
      </c>
      <c r="Z21" s="6">
        <v>27.8</v>
      </c>
      <c r="AA21" s="6">
        <v>39.6</v>
      </c>
      <c r="AB21" s="6">
        <v>0</v>
      </c>
      <c r="AC21" s="10" t="s">
        <v>152</v>
      </c>
      <c r="AD21" s="6">
        <f t="shared" si="7"/>
        <v>40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52</v>
      </c>
      <c r="B22" s="6" t="s">
        <v>33</v>
      </c>
      <c r="C22" s="6">
        <v>108.843</v>
      </c>
      <c r="D22" s="6">
        <v>148.02199999999999</v>
      </c>
      <c r="E22" s="6">
        <v>122.703</v>
      </c>
      <c r="F22" s="6">
        <v>131.49299999999999</v>
      </c>
      <c r="G22" s="7">
        <v>1</v>
      </c>
      <c r="H22" s="6">
        <v>60</v>
      </c>
      <c r="I22" s="6">
        <v>5851</v>
      </c>
      <c r="J22" s="6"/>
      <c r="K22" s="6">
        <v>118</v>
      </c>
      <c r="L22" s="6">
        <f t="shared" si="2"/>
        <v>4.703000000000003</v>
      </c>
      <c r="M22" s="6"/>
      <c r="N22" s="6"/>
      <c r="O22" s="6">
        <v>108</v>
      </c>
      <c r="P22" s="6">
        <f>VLOOKUP(A22,[1]TDSheet!$A:$B,2,0)</f>
        <v>154.102</v>
      </c>
      <c r="Q22" s="6">
        <f t="shared" si="3"/>
        <v>24.540600000000001</v>
      </c>
      <c r="R22" s="8">
        <f t="shared" ref="R22:R26" si="10">15*Q22-O22-F22</f>
        <v>128.61600000000004</v>
      </c>
      <c r="S22" s="8">
        <f t="shared" si="6"/>
        <v>129</v>
      </c>
      <c r="T22" s="6">
        <f t="shared" si="4"/>
        <v>15</v>
      </c>
      <c r="U22" s="6">
        <f t="shared" si="5"/>
        <v>9.7590523459084118</v>
      </c>
      <c r="V22" s="6">
        <v>24.433</v>
      </c>
      <c r="W22" s="6">
        <v>26.175999999999998</v>
      </c>
      <c r="X22" s="6">
        <v>27.4224</v>
      </c>
      <c r="Y22" s="6">
        <v>30.147200000000002</v>
      </c>
      <c r="Z22" s="6">
        <v>22.085999999999999</v>
      </c>
      <c r="AA22" s="6">
        <v>21.9102</v>
      </c>
      <c r="AB22" s="6">
        <v>28.4008</v>
      </c>
      <c r="AC22" s="6"/>
      <c r="AD22" s="6">
        <f t="shared" si="7"/>
        <v>129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53</v>
      </c>
      <c r="B23" s="6" t="s">
        <v>31</v>
      </c>
      <c r="C23" s="6">
        <v>105</v>
      </c>
      <c r="D23" s="6">
        <v>277</v>
      </c>
      <c r="E23" s="6">
        <v>198</v>
      </c>
      <c r="F23" s="6">
        <v>172</v>
      </c>
      <c r="G23" s="7">
        <v>0.22</v>
      </c>
      <c r="H23" s="6">
        <v>120</v>
      </c>
      <c r="I23" s="6">
        <v>5931</v>
      </c>
      <c r="J23" s="6"/>
      <c r="K23" s="6">
        <v>211</v>
      </c>
      <c r="L23" s="6">
        <f t="shared" si="2"/>
        <v>-13</v>
      </c>
      <c r="M23" s="6"/>
      <c r="N23" s="6"/>
      <c r="O23" s="6">
        <v>51</v>
      </c>
      <c r="P23" s="6"/>
      <c r="Q23" s="6">
        <f t="shared" si="3"/>
        <v>39.6</v>
      </c>
      <c r="R23" s="8">
        <f>20*Q23-O23-F23</f>
        <v>569</v>
      </c>
      <c r="S23" s="8">
        <f t="shared" si="6"/>
        <v>569</v>
      </c>
      <c r="T23" s="6">
        <f t="shared" si="4"/>
        <v>20</v>
      </c>
      <c r="U23" s="6">
        <f t="shared" si="5"/>
        <v>5.6313131313131315</v>
      </c>
      <c r="V23" s="6">
        <v>29.2</v>
      </c>
      <c r="W23" s="6">
        <v>39</v>
      </c>
      <c r="X23" s="6">
        <v>36.200000000000003</v>
      </c>
      <c r="Y23" s="6">
        <v>34</v>
      </c>
      <c r="Z23" s="6">
        <v>39.200000000000003</v>
      </c>
      <c r="AA23" s="6">
        <v>22.6</v>
      </c>
      <c r="AB23" s="6">
        <v>35</v>
      </c>
      <c r="AC23" s="6" t="s">
        <v>34</v>
      </c>
      <c r="AD23" s="6">
        <f t="shared" si="7"/>
        <v>125.18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54</v>
      </c>
      <c r="B24" s="6" t="s">
        <v>33</v>
      </c>
      <c r="C24" s="6">
        <v>159.46799999999999</v>
      </c>
      <c r="D24" s="6">
        <v>2.9940000000000002</v>
      </c>
      <c r="E24" s="6">
        <v>44.021999999999998</v>
      </c>
      <c r="F24" s="6">
        <v>115.828</v>
      </c>
      <c r="G24" s="7">
        <v>1</v>
      </c>
      <c r="H24" s="6">
        <v>40</v>
      </c>
      <c r="I24" s="6">
        <v>6008</v>
      </c>
      <c r="J24" s="6"/>
      <c r="K24" s="6">
        <v>40.299999999999997</v>
      </c>
      <c r="L24" s="6">
        <f t="shared" si="2"/>
        <v>3.7220000000000013</v>
      </c>
      <c r="M24" s="6"/>
      <c r="N24" s="6"/>
      <c r="O24" s="6">
        <v>0</v>
      </c>
      <c r="P24" s="6"/>
      <c r="Q24" s="6">
        <f t="shared" si="3"/>
        <v>8.8043999999999993</v>
      </c>
      <c r="R24" s="8">
        <f>14*Q24-O24-F24</f>
        <v>7.4335999999999842</v>
      </c>
      <c r="S24" s="8">
        <f t="shared" si="6"/>
        <v>7</v>
      </c>
      <c r="T24" s="6">
        <f t="shared" si="4"/>
        <v>14</v>
      </c>
      <c r="U24" s="6">
        <f t="shared" si="5"/>
        <v>13.155694879832811</v>
      </c>
      <c r="V24" s="6">
        <v>4.5223999999999993</v>
      </c>
      <c r="W24" s="6">
        <v>2.25</v>
      </c>
      <c r="X24" s="6">
        <v>2.5367999999999999</v>
      </c>
      <c r="Y24" s="6">
        <v>0</v>
      </c>
      <c r="Z24" s="6">
        <v>0</v>
      </c>
      <c r="AA24" s="6">
        <v>0</v>
      </c>
      <c r="AB24" s="6">
        <v>0</v>
      </c>
      <c r="AC24" s="6"/>
      <c r="AD24" s="6">
        <f t="shared" si="7"/>
        <v>7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55</v>
      </c>
      <c r="B25" s="6" t="s">
        <v>31</v>
      </c>
      <c r="C25" s="6">
        <v>-2</v>
      </c>
      <c r="D25" s="6">
        <v>20</v>
      </c>
      <c r="E25" s="6">
        <v>9</v>
      </c>
      <c r="F25" s="6">
        <v>9</v>
      </c>
      <c r="G25" s="7">
        <v>0.15</v>
      </c>
      <c r="H25" s="6">
        <v>45</v>
      </c>
      <c r="I25" s="6">
        <v>6208</v>
      </c>
      <c r="J25" s="6"/>
      <c r="K25" s="6">
        <v>12</v>
      </c>
      <c r="L25" s="6">
        <f t="shared" si="2"/>
        <v>-3</v>
      </c>
      <c r="M25" s="6"/>
      <c r="N25" s="6"/>
      <c r="O25" s="6">
        <v>15</v>
      </c>
      <c r="P25" s="6"/>
      <c r="Q25" s="6">
        <f t="shared" si="3"/>
        <v>1.8</v>
      </c>
      <c r="R25" s="8">
        <v>6</v>
      </c>
      <c r="S25" s="8">
        <f t="shared" si="6"/>
        <v>6</v>
      </c>
      <c r="T25" s="6">
        <f t="shared" si="4"/>
        <v>16.666666666666668</v>
      </c>
      <c r="U25" s="6">
        <f t="shared" si="5"/>
        <v>13.333333333333332</v>
      </c>
      <c r="V25" s="6">
        <v>1.8</v>
      </c>
      <c r="W25" s="6">
        <v>1.4</v>
      </c>
      <c r="X25" s="6">
        <v>1</v>
      </c>
      <c r="Y25" s="6">
        <v>0.4</v>
      </c>
      <c r="Z25" s="6">
        <v>1.6</v>
      </c>
      <c r="AA25" s="6">
        <v>1.4</v>
      </c>
      <c r="AB25" s="6">
        <v>1.4</v>
      </c>
      <c r="AC25" s="6"/>
      <c r="AD25" s="6">
        <f t="shared" si="7"/>
        <v>0.89999999999999991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56</v>
      </c>
      <c r="B26" s="6" t="s">
        <v>33</v>
      </c>
      <c r="C26" s="6">
        <v>44.542999999999999</v>
      </c>
      <c r="D26" s="6">
        <v>27.515000000000001</v>
      </c>
      <c r="E26" s="6">
        <v>70.212000000000003</v>
      </c>
      <c r="F26" s="6">
        <v>3.18</v>
      </c>
      <c r="G26" s="7">
        <v>1</v>
      </c>
      <c r="H26" s="6">
        <v>60</v>
      </c>
      <c r="I26" s="6">
        <v>6220</v>
      </c>
      <c r="J26" s="6"/>
      <c r="K26" s="6">
        <v>80.099999999999994</v>
      </c>
      <c r="L26" s="6">
        <f t="shared" si="2"/>
        <v>-9.887999999999991</v>
      </c>
      <c r="M26" s="6"/>
      <c r="N26" s="6"/>
      <c r="O26" s="6">
        <v>135</v>
      </c>
      <c r="P26" s="6"/>
      <c r="Q26" s="6">
        <f t="shared" si="3"/>
        <v>14.042400000000001</v>
      </c>
      <c r="R26" s="8">
        <f t="shared" si="10"/>
        <v>72.456000000000017</v>
      </c>
      <c r="S26" s="8">
        <f t="shared" si="6"/>
        <v>72</v>
      </c>
      <c r="T26" s="6">
        <f t="shared" si="4"/>
        <v>15.000000000000002</v>
      </c>
      <c r="U26" s="6">
        <f t="shared" si="5"/>
        <v>9.8401982567082555</v>
      </c>
      <c r="V26" s="6">
        <v>14.0364</v>
      </c>
      <c r="W26" s="6">
        <v>10.058</v>
      </c>
      <c r="X26" s="6">
        <v>11.2278</v>
      </c>
      <c r="Y26" s="6">
        <v>13.8606</v>
      </c>
      <c r="Z26" s="6">
        <v>11.16</v>
      </c>
      <c r="AA26" s="6">
        <v>10.001799999999999</v>
      </c>
      <c r="AB26" s="6">
        <v>12.271599999999999</v>
      </c>
      <c r="AC26" s="6"/>
      <c r="AD26" s="6">
        <f t="shared" si="7"/>
        <v>72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57</v>
      </c>
      <c r="B27" s="6" t="s">
        <v>31</v>
      </c>
      <c r="C27" s="6">
        <v>46</v>
      </c>
      <c r="D27" s="6">
        <v>192</v>
      </c>
      <c r="E27" s="6">
        <v>100</v>
      </c>
      <c r="F27" s="6">
        <v>134</v>
      </c>
      <c r="G27" s="7">
        <v>0.09</v>
      </c>
      <c r="H27" s="6">
        <v>60</v>
      </c>
      <c r="I27" s="6">
        <v>6221</v>
      </c>
      <c r="J27" s="6"/>
      <c r="K27" s="6">
        <v>104</v>
      </c>
      <c r="L27" s="6">
        <f t="shared" si="2"/>
        <v>-4</v>
      </c>
      <c r="M27" s="6"/>
      <c r="N27" s="6"/>
      <c r="O27" s="6">
        <v>268</v>
      </c>
      <c r="P27" s="6"/>
      <c r="Q27" s="6">
        <f t="shared" si="3"/>
        <v>20</v>
      </c>
      <c r="R27" s="8"/>
      <c r="S27" s="8">
        <f t="shared" si="6"/>
        <v>0</v>
      </c>
      <c r="T27" s="6">
        <f t="shared" si="4"/>
        <v>20.100000000000001</v>
      </c>
      <c r="U27" s="6">
        <f t="shared" si="5"/>
        <v>20.100000000000001</v>
      </c>
      <c r="V27" s="6">
        <v>34.4</v>
      </c>
      <c r="W27" s="6">
        <v>30.6</v>
      </c>
      <c r="X27" s="6">
        <v>34.4</v>
      </c>
      <c r="Y27" s="6">
        <v>23.8</v>
      </c>
      <c r="Z27" s="6">
        <v>23.8</v>
      </c>
      <c r="AA27" s="6">
        <v>28</v>
      </c>
      <c r="AB27" s="6">
        <v>23.8</v>
      </c>
      <c r="AC27" s="6"/>
      <c r="AD27" s="6">
        <f t="shared" si="7"/>
        <v>0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58</v>
      </c>
      <c r="B28" s="6" t="s">
        <v>31</v>
      </c>
      <c r="C28" s="6">
        <v>60</v>
      </c>
      <c r="D28" s="6">
        <v>162</v>
      </c>
      <c r="E28" s="6">
        <v>41</v>
      </c>
      <c r="F28" s="6">
        <v>180</v>
      </c>
      <c r="G28" s="7">
        <v>0.09</v>
      </c>
      <c r="H28" s="6">
        <v>45</v>
      </c>
      <c r="I28" s="6">
        <v>6228</v>
      </c>
      <c r="J28" s="6"/>
      <c r="K28" s="6">
        <v>42</v>
      </c>
      <c r="L28" s="6">
        <f t="shared" si="2"/>
        <v>-1</v>
      </c>
      <c r="M28" s="6"/>
      <c r="N28" s="6"/>
      <c r="O28" s="6">
        <v>0</v>
      </c>
      <c r="P28" s="6"/>
      <c r="Q28" s="6">
        <f t="shared" si="3"/>
        <v>8.1999999999999993</v>
      </c>
      <c r="R28" s="8"/>
      <c r="S28" s="8">
        <f t="shared" si="6"/>
        <v>0</v>
      </c>
      <c r="T28" s="6">
        <f t="shared" si="4"/>
        <v>21.951219512195124</v>
      </c>
      <c r="U28" s="6">
        <f t="shared" si="5"/>
        <v>21.951219512195124</v>
      </c>
      <c r="V28" s="6">
        <v>11</v>
      </c>
      <c r="W28" s="6">
        <v>22</v>
      </c>
      <c r="X28" s="6">
        <v>18.8</v>
      </c>
      <c r="Y28" s="6">
        <v>7</v>
      </c>
      <c r="Z28" s="6">
        <v>14.6</v>
      </c>
      <c r="AA28" s="6">
        <v>10.6</v>
      </c>
      <c r="AB28" s="6">
        <v>7.4</v>
      </c>
      <c r="AC28" s="16" t="s">
        <v>100</v>
      </c>
      <c r="AD28" s="6">
        <f t="shared" si="7"/>
        <v>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11" t="s">
        <v>59</v>
      </c>
      <c r="B29" s="11" t="s">
        <v>31</v>
      </c>
      <c r="C29" s="11">
        <v>-2</v>
      </c>
      <c r="D29" s="11"/>
      <c r="E29" s="11"/>
      <c r="F29" s="15">
        <v>-2</v>
      </c>
      <c r="G29" s="12">
        <v>0</v>
      </c>
      <c r="H29" s="11"/>
      <c r="I29" s="11" t="s">
        <v>43</v>
      </c>
      <c r="J29" s="11" t="s">
        <v>60</v>
      </c>
      <c r="K29" s="11"/>
      <c r="L29" s="11">
        <f t="shared" si="2"/>
        <v>0</v>
      </c>
      <c r="M29" s="11"/>
      <c r="N29" s="11"/>
      <c r="O29" s="11">
        <v>0</v>
      </c>
      <c r="P29" s="6"/>
      <c r="Q29" s="11">
        <f t="shared" si="3"/>
        <v>0</v>
      </c>
      <c r="R29" s="13"/>
      <c r="S29" s="8">
        <f t="shared" si="6"/>
        <v>0</v>
      </c>
      <c r="T29" s="11" t="e">
        <f t="shared" si="4"/>
        <v>#DIV/0!</v>
      </c>
      <c r="U29" s="11" t="e">
        <f t="shared" si="5"/>
        <v>#DIV/0!</v>
      </c>
      <c r="V29" s="11">
        <v>0</v>
      </c>
      <c r="W29" s="11">
        <v>0</v>
      </c>
      <c r="X29" s="11">
        <v>-0.8</v>
      </c>
      <c r="Y29" s="11">
        <v>0</v>
      </c>
      <c r="Z29" s="11">
        <v>0.8</v>
      </c>
      <c r="AA29" s="11">
        <v>-0.2</v>
      </c>
      <c r="AB29" s="11">
        <v>1.8</v>
      </c>
      <c r="AC29" s="11"/>
      <c r="AD29" s="6">
        <f t="shared" si="7"/>
        <v>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61</v>
      </c>
      <c r="B30" s="6" t="s">
        <v>31</v>
      </c>
      <c r="C30" s="6">
        <v>81</v>
      </c>
      <c r="D30" s="6">
        <v>96</v>
      </c>
      <c r="E30" s="6">
        <v>44</v>
      </c>
      <c r="F30" s="6">
        <v>130</v>
      </c>
      <c r="G30" s="7">
        <v>0.15</v>
      </c>
      <c r="H30" s="6">
        <v>45</v>
      </c>
      <c r="I30" s="6">
        <v>6279</v>
      </c>
      <c r="J30" s="6"/>
      <c r="K30" s="6">
        <v>47</v>
      </c>
      <c r="L30" s="6">
        <f t="shared" si="2"/>
        <v>-3</v>
      </c>
      <c r="M30" s="6"/>
      <c r="N30" s="6"/>
      <c r="O30" s="6">
        <v>0</v>
      </c>
      <c r="P30" s="6"/>
      <c r="Q30" s="6">
        <f t="shared" si="3"/>
        <v>8.8000000000000007</v>
      </c>
      <c r="R30" s="8"/>
      <c r="S30" s="8">
        <f t="shared" si="6"/>
        <v>0</v>
      </c>
      <c r="T30" s="6">
        <f t="shared" si="4"/>
        <v>14.772727272727272</v>
      </c>
      <c r="U30" s="6">
        <f t="shared" si="5"/>
        <v>14.772727272727272</v>
      </c>
      <c r="V30" s="6">
        <v>7</v>
      </c>
      <c r="W30" s="6">
        <v>9.8000000000000007</v>
      </c>
      <c r="X30" s="6">
        <v>17.399999999999999</v>
      </c>
      <c r="Y30" s="6">
        <v>7.6</v>
      </c>
      <c r="Z30" s="6">
        <v>8.6</v>
      </c>
      <c r="AA30" s="6">
        <v>10</v>
      </c>
      <c r="AB30" s="6">
        <v>10.6</v>
      </c>
      <c r="AC30" s="6"/>
      <c r="AD30" s="6">
        <f t="shared" si="7"/>
        <v>0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62</v>
      </c>
      <c r="B31" s="6" t="s">
        <v>33</v>
      </c>
      <c r="C31" s="6">
        <v>143.816</v>
      </c>
      <c r="D31" s="6">
        <v>645.72400000000005</v>
      </c>
      <c r="E31" s="6">
        <v>296.03500000000003</v>
      </c>
      <c r="F31" s="6">
        <v>484.48399999999998</v>
      </c>
      <c r="G31" s="7">
        <v>1</v>
      </c>
      <c r="H31" s="6">
        <v>45</v>
      </c>
      <c r="I31" s="6">
        <v>6303</v>
      </c>
      <c r="J31" s="6"/>
      <c r="K31" s="6">
        <v>288.30500000000001</v>
      </c>
      <c r="L31" s="6">
        <f t="shared" si="2"/>
        <v>7.7300000000000182</v>
      </c>
      <c r="M31" s="6"/>
      <c r="N31" s="6"/>
      <c r="O31" s="6">
        <v>0</v>
      </c>
      <c r="P31" s="6"/>
      <c r="Q31" s="6">
        <f t="shared" si="3"/>
        <v>59.207000000000008</v>
      </c>
      <c r="R31" s="8">
        <f t="shared" ref="R31" si="11">15*Q31-O31-F31</f>
        <v>403.62100000000015</v>
      </c>
      <c r="S31" s="8">
        <f t="shared" si="6"/>
        <v>404</v>
      </c>
      <c r="T31" s="6">
        <f t="shared" si="4"/>
        <v>15</v>
      </c>
      <c r="U31" s="6">
        <f t="shared" si="5"/>
        <v>8.1828837806340449</v>
      </c>
      <c r="V31" s="6">
        <v>31.207000000000001</v>
      </c>
      <c r="W31" s="6">
        <v>62.066000000000003</v>
      </c>
      <c r="X31" s="6">
        <v>56.630200000000002</v>
      </c>
      <c r="Y31" s="6">
        <v>33.6648</v>
      </c>
      <c r="Z31" s="6">
        <v>46.767800000000001</v>
      </c>
      <c r="AA31" s="6">
        <v>33.6068</v>
      </c>
      <c r="AB31" s="6">
        <v>71.153400000000005</v>
      </c>
      <c r="AC31" s="6"/>
      <c r="AD31" s="6">
        <f t="shared" si="7"/>
        <v>404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11" t="s">
        <v>63</v>
      </c>
      <c r="B32" s="11" t="s">
        <v>31</v>
      </c>
      <c r="C32" s="11">
        <v>213</v>
      </c>
      <c r="D32" s="11"/>
      <c r="E32" s="15">
        <v>3</v>
      </c>
      <c r="F32" s="15">
        <v>-24</v>
      </c>
      <c r="G32" s="12">
        <v>0</v>
      </c>
      <c r="H32" s="11"/>
      <c r="I32" s="11" t="s">
        <v>64</v>
      </c>
      <c r="J32" s="11" t="s">
        <v>65</v>
      </c>
      <c r="K32" s="11">
        <v>145</v>
      </c>
      <c r="L32" s="11">
        <f t="shared" si="2"/>
        <v>-142</v>
      </c>
      <c r="M32" s="11"/>
      <c r="N32" s="11"/>
      <c r="O32" s="11">
        <v>0</v>
      </c>
      <c r="P32" s="6"/>
      <c r="Q32" s="11">
        <f t="shared" si="3"/>
        <v>0.6</v>
      </c>
      <c r="R32" s="13"/>
      <c r="S32" s="8">
        <f t="shared" si="6"/>
        <v>0</v>
      </c>
      <c r="T32" s="11">
        <f t="shared" si="4"/>
        <v>-40</v>
      </c>
      <c r="U32" s="11">
        <f t="shared" si="5"/>
        <v>-40</v>
      </c>
      <c r="V32" s="11">
        <v>2.6</v>
      </c>
      <c r="W32" s="11">
        <v>1.6</v>
      </c>
      <c r="X32" s="11">
        <v>6.2</v>
      </c>
      <c r="Y32" s="11">
        <v>4.2</v>
      </c>
      <c r="Z32" s="11">
        <v>18.600000000000001</v>
      </c>
      <c r="AA32" s="11">
        <v>16.600000000000001</v>
      </c>
      <c r="AB32" s="11">
        <v>9.4</v>
      </c>
      <c r="AC32" s="11" t="s">
        <v>154</v>
      </c>
      <c r="AD32" s="6">
        <f t="shared" si="7"/>
        <v>0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66</v>
      </c>
      <c r="B33" s="6" t="s">
        <v>31</v>
      </c>
      <c r="C33" s="6">
        <v>39</v>
      </c>
      <c r="D33" s="6">
        <v>171</v>
      </c>
      <c r="E33" s="6">
        <v>83</v>
      </c>
      <c r="F33" s="6">
        <v>123</v>
      </c>
      <c r="G33" s="7">
        <v>0.4</v>
      </c>
      <c r="H33" s="6">
        <v>60</v>
      </c>
      <c r="I33" s="6">
        <v>6325</v>
      </c>
      <c r="J33" s="6"/>
      <c r="K33" s="6">
        <v>87</v>
      </c>
      <c r="L33" s="6">
        <f t="shared" si="2"/>
        <v>-4</v>
      </c>
      <c r="M33" s="6"/>
      <c r="N33" s="6"/>
      <c r="O33" s="6">
        <v>0</v>
      </c>
      <c r="P33" s="6"/>
      <c r="Q33" s="6">
        <f t="shared" si="3"/>
        <v>16.600000000000001</v>
      </c>
      <c r="R33" s="8">
        <f t="shared" ref="R33:R34" si="12">15*Q33-O33-F33</f>
        <v>126.00000000000003</v>
      </c>
      <c r="S33" s="8">
        <f t="shared" si="6"/>
        <v>126</v>
      </c>
      <c r="T33" s="6">
        <f t="shared" si="4"/>
        <v>15</v>
      </c>
      <c r="U33" s="6">
        <f t="shared" si="5"/>
        <v>7.4096385542168672</v>
      </c>
      <c r="V33" s="6">
        <v>14.2</v>
      </c>
      <c r="W33" s="6">
        <v>22.4</v>
      </c>
      <c r="X33" s="6">
        <v>17.8</v>
      </c>
      <c r="Y33" s="6">
        <v>11.6</v>
      </c>
      <c r="Z33" s="6">
        <v>18.2</v>
      </c>
      <c r="AA33" s="6">
        <v>23.4</v>
      </c>
      <c r="AB33" s="6">
        <v>22.8</v>
      </c>
      <c r="AC33" s="6"/>
      <c r="AD33" s="6">
        <f t="shared" si="7"/>
        <v>50.400000000000006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67</v>
      </c>
      <c r="B34" s="6" t="s">
        <v>31</v>
      </c>
      <c r="C34" s="6">
        <v>236</v>
      </c>
      <c r="D34" s="6">
        <v>467</v>
      </c>
      <c r="E34" s="6">
        <v>374</v>
      </c>
      <c r="F34" s="6">
        <v>319</v>
      </c>
      <c r="G34" s="7">
        <v>0.4</v>
      </c>
      <c r="H34" s="6">
        <v>60</v>
      </c>
      <c r="I34" s="6">
        <v>6333</v>
      </c>
      <c r="J34" s="6"/>
      <c r="K34" s="6">
        <v>383</v>
      </c>
      <c r="L34" s="6">
        <f t="shared" si="2"/>
        <v>-9</v>
      </c>
      <c r="M34" s="6"/>
      <c r="N34" s="6"/>
      <c r="O34" s="6">
        <v>557</v>
      </c>
      <c r="P34" s="6"/>
      <c r="Q34" s="6">
        <f t="shared" si="3"/>
        <v>74.8</v>
      </c>
      <c r="R34" s="8">
        <f t="shared" si="12"/>
        <v>246</v>
      </c>
      <c r="S34" s="8">
        <f t="shared" si="6"/>
        <v>246</v>
      </c>
      <c r="T34" s="6">
        <f t="shared" si="4"/>
        <v>15</v>
      </c>
      <c r="U34" s="6">
        <f t="shared" si="5"/>
        <v>11.711229946524064</v>
      </c>
      <c r="V34" s="6">
        <v>84</v>
      </c>
      <c r="W34" s="6">
        <v>80</v>
      </c>
      <c r="X34" s="6">
        <v>95.8</v>
      </c>
      <c r="Y34" s="6">
        <v>83.4</v>
      </c>
      <c r="Z34" s="6">
        <v>98.6</v>
      </c>
      <c r="AA34" s="6">
        <v>90</v>
      </c>
      <c r="AB34" s="6">
        <v>73.8</v>
      </c>
      <c r="AC34" s="6"/>
      <c r="AD34" s="6">
        <f t="shared" si="7"/>
        <v>98.4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11" t="s">
        <v>68</v>
      </c>
      <c r="B35" s="11" t="s">
        <v>31</v>
      </c>
      <c r="C35" s="11">
        <v>-159</v>
      </c>
      <c r="D35" s="11"/>
      <c r="E35" s="15">
        <v>218</v>
      </c>
      <c r="F35" s="15">
        <v>-393</v>
      </c>
      <c r="G35" s="12">
        <v>0</v>
      </c>
      <c r="H35" s="11">
        <v>60</v>
      </c>
      <c r="I35" s="14" t="s">
        <v>64</v>
      </c>
      <c r="J35" s="11" t="s">
        <v>69</v>
      </c>
      <c r="K35" s="11">
        <v>257</v>
      </c>
      <c r="L35" s="11">
        <f t="shared" si="2"/>
        <v>-39</v>
      </c>
      <c r="M35" s="11"/>
      <c r="N35" s="11"/>
      <c r="O35" s="11"/>
      <c r="P35" s="6"/>
      <c r="Q35" s="11">
        <f t="shared" si="3"/>
        <v>43.6</v>
      </c>
      <c r="R35" s="13"/>
      <c r="S35" s="8">
        <f t="shared" si="6"/>
        <v>0</v>
      </c>
      <c r="T35" s="11">
        <f t="shared" si="4"/>
        <v>-9.0137614678899087</v>
      </c>
      <c r="U35" s="11">
        <f t="shared" si="5"/>
        <v>-9.0137614678899087</v>
      </c>
      <c r="V35" s="11">
        <v>46.8</v>
      </c>
      <c r="W35" s="11">
        <v>65</v>
      </c>
      <c r="X35" s="11">
        <v>42.8</v>
      </c>
      <c r="Y35" s="11">
        <v>53.6</v>
      </c>
      <c r="Z35" s="11">
        <v>45.4</v>
      </c>
      <c r="AA35" s="11">
        <v>40</v>
      </c>
      <c r="AB35" s="11">
        <v>67</v>
      </c>
      <c r="AC35" s="14" t="s">
        <v>70</v>
      </c>
      <c r="AD35" s="6">
        <f t="shared" si="7"/>
        <v>0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11" t="s">
        <v>71</v>
      </c>
      <c r="B36" s="11" t="s">
        <v>31</v>
      </c>
      <c r="C36" s="11">
        <v>-1</v>
      </c>
      <c r="D36" s="11"/>
      <c r="E36" s="11"/>
      <c r="F36" s="15">
        <v>-1</v>
      </c>
      <c r="G36" s="12">
        <v>0</v>
      </c>
      <c r="H36" s="11"/>
      <c r="I36" s="11" t="s">
        <v>43</v>
      </c>
      <c r="J36" s="11" t="s">
        <v>72</v>
      </c>
      <c r="K36" s="11"/>
      <c r="L36" s="11">
        <f t="shared" si="2"/>
        <v>0</v>
      </c>
      <c r="M36" s="11"/>
      <c r="N36" s="11"/>
      <c r="O36" s="11">
        <v>0</v>
      </c>
      <c r="P36" s="6"/>
      <c r="Q36" s="11">
        <f t="shared" si="3"/>
        <v>0</v>
      </c>
      <c r="R36" s="13"/>
      <c r="S36" s="8">
        <f t="shared" si="6"/>
        <v>0</v>
      </c>
      <c r="T36" s="11" t="e">
        <f t="shared" si="4"/>
        <v>#DIV/0!</v>
      </c>
      <c r="U36" s="11" t="e">
        <f t="shared" si="5"/>
        <v>#DIV/0!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/>
      <c r="AD36" s="6">
        <f t="shared" si="7"/>
        <v>0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73</v>
      </c>
      <c r="B37" s="6" t="s">
        <v>31</v>
      </c>
      <c r="C37" s="6">
        <v>8</v>
      </c>
      <c r="D37" s="6">
        <v>901</v>
      </c>
      <c r="E37" s="6">
        <v>309</v>
      </c>
      <c r="F37" s="6">
        <v>590</v>
      </c>
      <c r="G37" s="7">
        <v>0.4</v>
      </c>
      <c r="H37" s="6">
        <v>60</v>
      </c>
      <c r="I37" s="6">
        <v>6392</v>
      </c>
      <c r="J37" s="6"/>
      <c r="K37" s="6">
        <v>344</v>
      </c>
      <c r="L37" s="6">
        <f t="shared" si="2"/>
        <v>-35</v>
      </c>
      <c r="M37" s="6"/>
      <c r="N37" s="6"/>
      <c r="O37" s="6">
        <v>71</v>
      </c>
      <c r="P37" s="6">
        <f>VLOOKUP(A37,[1]TDSheet!$A:$B,2,0)</f>
        <v>272</v>
      </c>
      <c r="Q37" s="6">
        <f t="shared" si="3"/>
        <v>61.8</v>
      </c>
      <c r="R37" s="8">
        <f t="shared" ref="R37:R53" si="13">15*Q37-O37-F37</f>
        <v>266</v>
      </c>
      <c r="S37" s="8">
        <f t="shared" si="6"/>
        <v>266</v>
      </c>
      <c r="T37" s="6">
        <f t="shared" si="4"/>
        <v>15</v>
      </c>
      <c r="U37" s="6">
        <f t="shared" si="5"/>
        <v>10.6957928802589</v>
      </c>
      <c r="V37" s="6">
        <v>65.400000000000006</v>
      </c>
      <c r="W37" s="6">
        <v>87.2</v>
      </c>
      <c r="X37" s="6">
        <v>56.2</v>
      </c>
      <c r="Y37" s="6">
        <v>72.599999999999994</v>
      </c>
      <c r="Z37" s="6">
        <v>60.8</v>
      </c>
      <c r="AA37" s="6">
        <v>73.599999999999994</v>
      </c>
      <c r="AB37" s="6">
        <v>88.8</v>
      </c>
      <c r="AC37" s="6"/>
      <c r="AD37" s="6">
        <f t="shared" si="7"/>
        <v>106.4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74</v>
      </c>
      <c r="B38" s="6" t="s">
        <v>31</v>
      </c>
      <c r="C38" s="6">
        <v>-1</v>
      </c>
      <c r="D38" s="6">
        <v>105</v>
      </c>
      <c r="E38" s="6">
        <v>103</v>
      </c>
      <c r="F38" s="6">
        <v>-5</v>
      </c>
      <c r="G38" s="7">
        <v>0.1</v>
      </c>
      <c r="H38" s="6">
        <v>60</v>
      </c>
      <c r="I38" s="6" t="s">
        <v>64</v>
      </c>
      <c r="J38" s="6"/>
      <c r="K38" s="6">
        <v>185</v>
      </c>
      <c r="L38" s="6">
        <f t="shared" ref="L38:L69" si="14">E38-K38</f>
        <v>-82</v>
      </c>
      <c r="M38" s="6"/>
      <c r="N38" s="6"/>
      <c r="O38" s="6">
        <v>0</v>
      </c>
      <c r="P38" s="6"/>
      <c r="Q38" s="6">
        <f t="shared" ref="Q38:Q69" si="15">E38/5</f>
        <v>20.6</v>
      </c>
      <c r="R38" s="8">
        <v>250</v>
      </c>
      <c r="S38" s="8">
        <f t="shared" si="6"/>
        <v>250</v>
      </c>
      <c r="T38" s="6">
        <f t="shared" ref="T38:T66" si="16">(F38+O38+R38)/Q38</f>
        <v>11.893203883495145</v>
      </c>
      <c r="U38" s="6">
        <f t="shared" ref="U38:U66" si="17">(F38+O38)/Q38</f>
        <v>-0.24271844660194172</v>
      </c>
      <c r="V38" s="6">
        <v>34</v>
      </c>
      <c r="W38" s="6">
        <v>49</v>
      </c>
      <c r="X38" s="6">
        <v>32</v>
      </c>
      <c r="Y38" s="6">
        <v>33.4</v>
      </c>
      <c r="Z38" s="6">
        <v>31.2</v>
      </c>
      <c r="AA38" s="6">
        <v>32.799999999999997</v>
      </c>
      <c r="AB38" s="6">
        <v>45.4</v>
      </c>
      <c r="AC38" s="6" t="s">
        <v>75</v>
      </c>
      <c r="AD38" s="6">
        <f t="shared" si="7"/>
        <v>25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76</v>
      </c>
      <c r="B39" s="6" t="s">
        <v>31</v>
      </c>
      <c r="C39" s="6">
        <v>95</v>
      </c>
      <c r="D39" s="6">
        <v>228</v>
      </c>
      <c r="E39" s="6">
        <v>183</v>
      </c>
      <c r="F39" s="6">
        <v>135</v>
      </c>
      <c r="G39" s="7">
        <v>0.1</v>
      </c>
      <c r="H39" s="6">
        <v>60</v>
      </c>
      <c r="I39" s="6" t="s">
        <v>64</v>
      </c>
      <c r="J39" s="6"/>
      <c r="K39" s="6">
        <v>186</v>
      </c>
      <c r="L39" s="6">
        <f t="shared" si="14"/>
        <v>-3</v>
      </c>
      <c r="M39" s="6"/>
      <c r="N39" s="6"/>
      <c r="O39" s="6">
        <v>199</v>
      </c>
      <c r="P39" s="6"/>
      <c r="Q39" s="6">
        <f t="shared" si="15"/>
        <v>36.6</v>
      </c>
      <c r="R39" s="8">
        <f t="shared" si="13"/>
        <v>215</v>
      </c>
      <c r="S39" s="8">
        <f t="shared" si="6"/>
        <v>215</v>
      </c>
      <c r="T39" s="6">
        <f t="shared" si="16"/>
        <v>15</v>
      </c>
      <c r="U39" s="6">
        <f t="shared" si="17"/>
        <v>9.1256830601092886</v>
      </c>
      <c r="V39" s="6">
        <v>34.4</v>
      </c>
      <c r="W39" s="6">
        <v>33.799999999999997</v>
      </c>
      <c r="X39" s="6">
        <v>37.799999999999997</v>
      </c>
      <c r="Y39" s="6">
        <v>30</v>
      </c>
      <c r="Z39" s="6">
        <v>33.799999999999997</v>
      </c>
      <c r="AA39" s="6">
        <v>33</v>
      </c>
      <c r="AB39" s="6">
        <v>33.4</v>
      </c>
      <c r="AC39" s="6" t="s">
        <v>77</v>
      </c>
      <c r="AD39" s="6">
        <f t="shared" si="7"/>
        <v>21.5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78</v>
      </c>
      <c r="B40" s="6" t="s">
        <v>31</v>
      </c>
      <c r="C40" s="6">
        <v>33</v>
      </c>
      <c r="D40" s="6"/>
      <c r="E40" s="6">
        <v>12</v>
      </c>
      <c r="F40" s="6">
        <v>19</v>
      </c>
      <c r="G40" s="7">
        <v>0.1</v>
      </c>
      <c r="H40" s="6">
        <v>45</v>
      </c>
      <c r="I40" s="6" t="s">
        <v>64</v>
      </c>
      <c r="J40" s="6"/>
      <c r="K40" s="6">
        <v>14</v>
      </c>
      <c r="L40" s="6">
        <f t="shared" si="14"/>
        <v>-2</v>
      </c>
      <c r="M40" s="6"/>
      <c r="N40" s="6"/>
      <c r="O40" s="6">
        <v>74</v>
      </c>
      <c r="P40" s="6"/>
      <c r="Q40" s="6">
        <f t="shared" si="15"/>
        <v>2.4</v>
      </c>
      <c r="R40" s="8"/>
      <c r="S40" s="8">
        <f t="shared" si="6"/>
        <v>0</v>
      </c>
      <c r="T40" s="6">
        <f t="shared" si="16"/>
        <v>38.75</v>
      </c>
      <c r="U40" s="6">
        <f t="shared" si="17"/>
        <v>38.75</v>
      </c>
      <c r="V40" s="6">
        <v>8.1999999999999993</v>
      </c>
      <c r="W40" s="6">
        <v>2.8</v>
      </c>
      <c r="X40" s="6">
        <v>-0.4</v>
      </c>
      <c r="Y40" s="6">
        <v>4.2</v>
      </c>
      <c r="Z40" s="6">
        <v>5.2</v>
      </c>
      <c r="AA40" s="6">
        <v>9.8000000000000007</v>
      </c>
      <c r="AB40" s="6">
        <v>5.8</v>
      </c>
      <c r="AC40" s="6" t="s">
        <v>79</v>
      </c>
      <c r="AD40" s="6">
        <f t="shared" si="7"/>
        <v>0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80</v>
      </c>
      <c r="B41" s="6" t="s">
        <v>33</v>
      </c>
      <c r="C41" s="6">
        <v>56.414999999999999</v>
      </c>
      <c r="D41" s="6">
        <v>43.42</v>
      </c>
      <c r="E41" s="6">
        <v>13.234999999999999</v>
      </c>
      <c r="F41" s="6">
        <v>86.6</v>
      </c>
      <c r="G41" s="7">
        <v>1</v>
      </c>
      <c r="H41" s="6">
        <v>45</v>
      </c>
      <c r="I41" s="6">
        <v>6470</v>
      </c>
      <c r="J41" s="6"/>
      <c r="K41" s="6">
        <v>12.7</v>
      </c>
      <c r="L41" s="6">
        <f t="shared" si="14"/>
        <v>0.53500000000000014</v>
      </c>
      <c r="M41" s="6"/>
      <c r="N41" s="6"/>
      <c r="O41" s="6">
        <v>0</v>
      </c>
      <c r="P41" s="6"/>
      <c r="Q41" s="6">
        <f t="shared" si="15"/>
        <v>2.6469999999999998</v>
      </c>
      <c r="R41" s="8"/>
      <c r="S41" s="8">
        <f t="shared" si="6"/>
        <v>0</v>
      </c>
      <c r="T41" s="6">
        <f t="shared" si="16"/>
        <v>32.716282584057424</v>
      </c>
      <c r="U41" s="6">
        <f t="shared" si="17"/>
        <v>32.716282584057424</v>
      </c>
      <c r="V41" s="6">
        <v>0</v>
      </c>
      <c r="W41" s="6">
        <v>1.4330000000000001</v>
      </c>
      <c r="X41" s="6">
        <v>7.9530000000000003</v>
      </c>
      <c r="Y41" s="6">
        <v>1.4390000000000001</v>
      </c>
      <c r="Z41" s="6">
        <v>0</v>
      </c>
      <c r="AA41" s="6">
        <v>0</v>
      </c>
      <c r="AB41" s="6">
        <v>0</v>
      </c>
      <c r="AC41" s="17" t="s">
        <v>39</v>
      </c>
      <c r="AD41" s="6">
        <f t="shared" si="7"/>
        <v>0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81</v>
      </c>
      <c r="B42" s="6" t="s">
        <v>31</v>
      </c>
      <c r="C42" s="6">
        <v>84</v>
      </c>
      <c r="D42" s="6">
        <v>61</v>
      </c>
      <c r="E42" s="6">
        <v>104</v>
      </c>
      <c r="F42" s="6">
        <v>22</v>
      </c>
      <c r="G42" s="7">
        <v>0.4</v>
      </c>
      <c r="H42" s="6">
        <v>45</v>
      </c>
      <c r="I42" s="6">
        <v>6475</v>
      </c>
      <c r="J42" s="6"/>
      <c r="K42" s="6">
        <v>123</v>
      </c>
      <c r="L42" s="6">
        <f t="shared" si="14"/>
        <v>-19</v>
      </c>
      <c r="M42" s="6"/>
      <c r="N42" s="6"/>
      <c r="O42" s="6">
        <v>227</v>
      </c>
      <c r="P42" s="6"/>
      <c r="Q42" s="6">
        <f t="shared" si="15"/>
        <v>20.8</v>
      </c>
      <c r="R42" s="8">
        <f t="shared" si="13"/>
        <v>63</v>
      </c>
      <c r="S42" s="8">
        <f t="shared" si="6"/>
        <v>63</v>
      </c>
      <c r="T42" s="6">
        <f t="shared" si="16"/>
        <v>15</v>
      </c>
      <c r="U42" s="6">
        <f t="shared" si="17"/>
        <v>11.971153846153845</v>
      </c>
      <c r="V42" s="6">
        <v>24.8</v>
      </c>
      <c r="W42" s="6">
        <v>13.6</v>
      </c>
      <c r="X42" s="6">
        <v>27</v>
      </c>
      <c r="Y42" s="6">
        <v>24</v>
      </c>
      <c r="Z42" s="6">
        <v>19</v>
      </c>
      <c r="AA42" s="6">
        <v>27</v>
      </c>
      <c r="AB42" s="6">
        <v>19.8</v>
      </c>
      <c r="AC42" s="6"/>
      <c r="AD42" s="6">
        <f t="shared" si="7"/>
        <v>25.200000000000003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82</v>
      </c>
      <c r="B43" s="6" t="s">
        <v>31</v>
      </c>
      <c r="C43" s="6">
        <v>196</v>
      </c>
      <c r="D43" s="6">
        <v>221</v>
      </c>
      <c r="E43" s="6">
        <v>113</v>
      </c>
      <c r="F43" s="6">
        <v>297</v>
      </c>
      <c r="G43" s="7">
        <v>0.3</v>
      </c>
      <c r="H43" s="6">
        <v>45</v>
      </c>
      <c r="I43" s="6">
        <v>6495</v>
      </c>
      <c r="J43" s="6"/>
      <c r="K43" s="6">
        <v>121</v>
      </c>
      <c r="L43" s="6">
        <f t="shared" si="14"/>
        <v>-8</v>
      </c>
      <c r="M43" s="6"/>
      <c r="N43" s="6"/>
      <c r="O43" s="6">
        <v>0</v>
      </c>
      <c r="P43" s="6"/>
      <c r="Q43" s="6">
        <f t="shared" si="15"/>
        <v>22.6</v>
      </c>
      <c r="R43" s="8">
        <f t="shared" si="13"/>
        <v>42</v>
      </c>
      <c r="S43" s="8">
        <f t="shared" si="6"/>
        <v>42</v>
      </c>
      <c r="T43" s="6">
        <f t="shared" si="16"/>
        <v>14.999999999999998</v>
      </c>
      <c r="U43" s="6">
        <f t="shared" si="17"/>
        <v>13.141592920353981</v>
      </c>
      <c r="V43" s="6">
        <v>12.4</v>
      </c>
      <c r="W43" s="6">
        <v>1.4</v>
      </c>
      <c r="X43" s="6">
        <v>37.6</v>
      </c>
      <c r="Y43" s="6">
        <v>10.4</v>
      </c>
      <c r="Z43" s="6">
        <v>0</v>
      </c>
      <c r="AA43" s="6">
        <v>0</v>
      </c>
      <c r="AB43" s="6">
        <v>0</v>
      </c>
      <c r="AC43" s="6"/>
      <c r="AD43" s="6">
        <f t="shared" si="7"/>
        <v>12.6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83</v>
      </c>
      <c r="B44" s="6" t="s">
        <v>33</v>
      </c>
      <c r="C44" s="6">
        <v>21.931999999999999</v>
      </c>
      <c r="D44" s="6">
        <v>377.24200000000002</v>
      </c>
      <c r="E44" s="6">
        <v>76.084000000000003</v>
      </c>
      <c r="F44" s="6">
        <v>318.66000000000003</v>
      </c>
      <c r="G44" s="7">
        <v>1</v>
      </c>
      <c r="H44" s="6">
        <v>60</v>
      </c>
      <c r="I44" s="6">
        <v>6498</v>
      </c>
      <c r="J44" s="6"/>
      <c r="K44" s="6">
        <v>82.1</v>
      </c>
      <c r="L44" s="6">
        <f t="shared" si="14"/>
        <v>-6.0159999999999911</v>
      </c>
      <c r="M44" s="6"/>
      <c r="N44" s="6"/>
      <c r="O44" s="6">
        <v>0</v>
      </c>
      <c r="P44" s="6">
        <f>VLOOKUP(A44,[1]TDSheet!$A:$B,2,0)</f>
        <v>52.430999999999997</v>
      </c>
      <c r="Q44" s="6">
        <f t="shared" si="15"/>
        <v>15.216800000000001</v>
      </c>
      <c r="R44" s="8"/>
      <c r="S44" s="8">
        <f t="shared" si="6"/>
        <v>0</v>
      </c>
      <c r="T44" s="6">
        <f t="shared" si="16"/>
        <v>20.941328005888231</v>
      </c>
      <c r="U44" s="6">
        <f t="shared" si="17"/>
        <v>20.941328005888231</v>
      </c>
      <c r="V44" s="6">
        <v>15.7242</v>
      </c>
      <c r="W44" s="6">
        <v>31.8386</v>
      </c>
      <c r="X44" s="6">
        <v>20.409600000000001</v>
      </c>
      <c r="Y44" s="6">
        <v>20.263400000000001</v>
      </c>
      <c r="Z44" s="6">
        <v>15.980399999999999</v>
      </c>
      <c r="AA44" s="6">
        <v>16.8432</v>
      </c>
      <c r="AB44" s="6">
        <v>22.037800000000001</v>
      </c>
      <c r="AC44" s="6"/>
      <c r="AD44" s="6">
        <f t="shared" si="7"/>
        <v>0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84</v>
      </c>
      <c r="B45" s="6" t="s">
        <v>33</v>
      </c>
      <c r="C45" s="6">
        <v>17.925999999999998</v>
      </c>
      <c r="D45" s="6">
        <v>102.31699999999999</v>
      </c>
      <c r="E45" s="6">
        <v>51.698</v>
      </c>
      <c r="F45" s="6">
        <v>64.646000000000001</v>
      </c>
      <c r="G45" s="7">
        <v>1</v>
      </c>
      <c r="H45" s="6">
        <v>45</v>
      </c>
      <c r="I45" s="6">
        <v>6527</v>
      </c>
      <c r="J45" s="6"/>
      <c r="K45" s="6">
        <v>59</v>
      </c>
      <c r="L45" s="6">
        <f t="shared" si="14"/>
        <v>-7.3019999999999996</v>
      </c>
      <c r="M45" s="6"/>
      <c r="N45" s="6"/>
      <c r="O45" s="6">
        <v>84</v>
      </c>
      <c r="P45" s="6">
        <f>VLOOKUP(A45,[1]TDSheet!$A:$B,2,0)</f>
        <v>44.191000000000003</v>
      </c>
      <c r="Q45" s="6">
        <f t="shared" si="15"/>
        <v>10.339600000000001</v>
      </c>
      <c r="R45" s="8">
        <f t="shared" si="13"/>
        <v>6.4480000000000217</v>
      </c>
      <c r="S45" s="8">
        <f t="shared" si="6"/>
        <v>6</v>
      </c>
      <c r="T45" s="6">
        <f t="shared" si="16"/>
        <v>15.000000000000004</v>
      </c>
      <c r="U45" s="6">
        <f t="shared" si="17"/>
        <v>14.376378196448606</v>
      </c>
      <c r="V45" s="6">
        <v>13.245200000000001</v>
      </c>
      <c r="W45" s="6">
        <v>13.090400000000001</v>
      </c>
      <c r="X45" s="6">
        <v>11.298400000000001</v>
      </c>
      <c r="Y45" s="6">
        <v>4.6558000000000002</v>
      </c>
      <c r="Z45" s="6">
        <v>13.087199999999999</v>
      </c>
      <c r="AA45" s="6">
        <v>12.334199999999999</v>
      </c>
      <c r="AB45" s="6">
        <v>7.4770000000000003</v>
      </c>
      <c r="AC45" s="6"/>
      <c r="AD45" s="6">
        <f t="shared" si="7"/>
        <v>6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85</v>
      </c>
      <c r="B46" s="6" t="s">
        <v>33</v>
      </c>
      <c r="C46" s="6">
        <v>97.731999999999999</v>
      </c>
      <c r="D46" s="6">
        <v>42.976999999999997</v>
      </c>
      <c r="E46" s="6">
        <v>56.139000000000003</v>
      </c>
      <c r="F46" s="6">
        <v>78.028000000000006</v>
      </c>
      <c r="G46" s="7">
        <v>1</v>
      </c>
      <c r="H46" s="6">
        <v>45</v>
      </c>
      <c r="I46" s="6">
        <v>6550</v>
      </c>
      <c r="J46" s="6"/>
      <c r="K46" s="6">
        <v>58.098999999999997</v>
      </c>
      <c r="L46" s="6">
        <f t="shared" si="14"/>
        <v>-1.9599999999999937</v>
      </c>
      <c r="M46" s="6"/>
      <c r="N46" s="6"/>
      <c r="O46" s="6">
        <v>0</v>
      </c>
      <c r="P46" s="6"/>
      <c r="Q46" s="6">
        <f t="shared" si="15"/>
        <v>11.2278</v>
      </c>
      <c r="R46" s="8">
        <f t="shared" si="13"/>
        <v>90.388999999999996</v>
      </c>
      <c r="S46" s="8">
        <f t="shared" si="6"/>
        <v>90</v>
      </c>
      <c r="T46" s="6">
        <f t="shared" si="16"/>
        <v>15</v>
      </c>
      <c r="U46" s="6">
        <f t="shared" si="17"/>
        <v>6.9495359732093558</v>
      </c>
      <c r="V46" s="6">
        <v>8.8872</v>
      </c>
      <c r="W46" s="6">
        <v>4.9942000000000002</v>
      </c>
      <c r="X46" s="6">
        <v>14.587400000000001</v>
      </c>
      <c r="Y46" s="6">
        <v>10.8218</v>
      </c>
      <c r="Z46" s="6">
        <v>7.1630000000000003</v>
      </c>
      <c r="AA46" s="6">
        <v>9.2463999999999995</v>
      </c>
      <c r="AB46" s="6">
        <v>11.1358</v>
      </c>
      <c r="AC46" s="6"/>
      <c r="AD46" s="6">
        <f t="shared" si="7"/>
        <v>90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86</v>
      </c>
      <c r="B47" s="6" t="s">
        <v>31</v>
      </c>
      <c r="C47" s="6">
        <v>7</v>
      </c>
      <c r="D47" s="6"/>
      <c r="E47" s="6"/>
      <c r="F47" s="6">
        <v>7</v>
      </c>
      <c r="G47" s="7">
        <v>0.35</v>
      </c>
      <c r="H47" s="6">
        <v>45</v>
      </c>
      <c r="I47" s="6">
        <v>6602</v>
      </c>
      <c r="J47" s="6"/>
      <c r="K47" s="6"/>
      <c r="L47" s="6">
        <f t="shared" si="14"/>
        <v>0</v>
      </c>
      <c r="M47" s="6"/>
      <c r="N47" s="6"/>
      <c r="O47" s="6">
        <v>0</v>
      </c>
      <c r="P47" s="6"/>
      <c r="Q47" s="6">
        <f t="shared" si="15"/>
        <v>0</v>
      </c>
      <c r="R47" s="8"/>
      <c r="S47" s="8">
        <f t="shared" si="6"/>
        <v>0</v>
      </c>
      <c r="T47" s="6" t="e">
        <f t="shared" si="16"/>
        <v>#DIV/0!</v>
      </c>
      <c r="U47" s="6" t="e">
        <f t="shared" si="17"/>
        <v>#DIV/0!</v>
      </c>
      <c r="V47" s="6">
        <v>0</v>
      </c>
      <c r="W47" s="6">
        <v>0</v>
      </c>
      <c r="X47" s="6">
        <v>-0.2</v>
      </c>
      <c r="Y47" s="6">
        <v>0</v>
      </c>
      <c r="Z47" s="6">
        <v>0.6</v>
      </c>
      <c r="AA47" s="6">
        <v>0</v>
      </c>
      <c r="AB47" s="6">
        <v>0</v>
      </c>
      <c r="AC47" s="17" t="s">
        <v>39</v>
      </c>
      <c r="AD47" s="6">
        <f t="shared" si="7"/>
        <v>0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87</v>
      </c>
      <c r="B48" s="6" t="s">
        <v>33</v>
      </c>
      <c r="C48" s="6">
        <v>42.302999999999997</v>
      </c>
      <c r="D48" s="6">
        <v>40.377000000000002</v>
      </c>
      <c r="E48" s="6">
        <v>30.096</v>
      </c>
      <c r="F48" s="6">
        <v>47.43</v>
      </c>
      <c r="G48" s="7">
        <v>1</v>
      </c>
      <c r="H48" s="6">
        <v>45</v>
      </c>
      <c r="I48" s="6">
        <v>6608</v>
      </c>
      <c r="J48" s="6"/>
      <c r="K48" s="6">
        <v>34</v>
      </c>
      <c r="L48" s="6">
        <f t="shared" si="14"/>
        <v>-3.9039999999999999</v>
      </c>
      <c r="M48" s="6"/>
      <c r="N48" s="6"/>
      <c r="O48" s="6">
        <v>83</v>
      </c>
      <c r="P48" s="6"/>
      <c r="Q48" s="6">
        <f t="shared" si="15"/>
        <v>6.0191999999999997</v>
      </c>
      <c r="R48" s="8"/>
      <c r="S48" s="8">
        <f t="shared" si="6"/>
        <v>0</v>
      </c>
      <c r="T48" s="6">
        <f t="shared" si="16"/>
        <v>21.668992557150453</v>
      </c>
      <c r="U48" s="6">
        <f t="shared" si="17"/>
        <v>21.668992557150453</v>
      </c>
      <c r="V48" s="6">
        <v>11.008599999999999</v>
      </c>
      <c r="W48" s="6">
        <v>8.0839999999999996</v>
      </c>
      <c r="X48" s="6">
        <v>12.8954</v>
      </c>
      <c r="Y48" s="6">
        <v>8.7932000000000006</v>
      </c>
      <c r="Z48" s="6">
        <v>8.6042000000000005</v>
      </c>
      <c r="AA48" s="6">
        <v>11.228199999999999</v>
      </c>
      <c r="AB48" s="6">
        <v>6.4436</v>
      </c>
      <c r="AC48" s="16" t="s">
        <v>100</v>
      </c>
      <c r="AD48" s="6">
        <f t="shared" si="7"/>
        <v>0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88</v>
      </c>
      <c r="B49" s="6" t="s">
        <v>31</v>
      </c>
      <c r="C49" s="6">
        <v>151</v>
      </c>
      <c r="D49" s="6">
        <v>186</v>
      </c>
      <c r="E49" s="6">
        <v>294</v>
      </c>
      <c r="F49" s="6">
        <v>29</v>
      </c>
      <c r="G49" s="7">
        <v>0.3</v>
      </c>
      <c r="H49" s="6">
        <v>45</v>
      </c>
      <c r="I49" s="6">
        <v>6616</v>
      </c>
      <c r="J49" s="6"/>
      <c r="K49" s="6">
        <v>325</v>
      </c>
      <c r="L49" s="6">
        <f t="shared" si="14"/>
        <v>-31</v>
      </c>
      <c r="M49" s="6"/>
      <c r="N49" s="6"/>
      <c r="O49" s="6">
        <v>782</v>
      </c>
      <c r="P49" s="6"/>
      <c r="Q49" s="6">
        <f t="shared" si="15"/>
        <v>58.8</v>
      </c>
      <c r="R49" s="8">
        <f t="shared" si="13"/>
        <v>71</v>
      </c>
      <c r="S49" s="8">
        <f t="shared" si="6"/>
        <v>71</v>
      </c>
      <c r="T49" s="6">
        <f t="shared" si="16"/>
        <v>15</v>
      </c>
      <c r="U49" s="6">
        <f t="shared" si="17"/>
        <v>13.792517006802722</v>
      </c>
      <c r="V49" s="6">
        <v>86.4</v>
      </c>
      <c r="W49" s="6">
        <v>56.2</v>
      </c>
      <c r="X49" s="6">
        <v>68.400000000000006</v>
      </c>
      <c r="Y49" s="6">
        <v>71.2</v>
      </c>
      <c r="Z49" s="6">
        <v>74.400000000000006</v>
      </c>
      <c r="AA49" s="6">
        <v>63.6</v>
      </c>
      <c r="AB49" s="6">
        <v>64.2</v>
      </c>
      <c r="AC49" s="6"/>
      <c r="AD49" s="6">
        <f t="shared" si="7"/>
        <v>21.3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89</v>
      </c>
      <c r="B50" s="6" t="s">
        <v>33</v>
      </c>
      <c r="C50" s="6">
        <v>78.558000000000007</v>
      </c>
      <c r="D50" s="6"/>
      <c r="E50" s="6">
        <v>10.734</v>
      </c>
      <c r="F50" s="6">
        <v>67.823999999999998</v>
      </c>
      <c r="G50" s="7">
        <v>1</v>
      </c>
      <c r="H50" s="6">
        <v>45</v>
      </c>
      <c r="I50" s="6">
        <v>6661</v>
      </c>
      <c r="J50" s="6"/>
      <c r="K50" s="6">
        <v>10.5</v>
      </c>
      <c r="L50" s="6">
        <f t="shared" si="14"/>
        <v>0.23399999999999999</v>
      </c>
      <c r="M50" s="6"/>
      <c r="N50" s="6"/>
      <c r="O50" s="6">
        <v>0</v>
      </c>
      <c r="P50" s="6"/>
      <c r="Q50" s="6">
        <f t="shared" si="15"/>
        <v>2.1467999999999998</v>
      </c>
      <c r="R50" s="8"/>
      <c r="S50" s="8">
        <f t="shared" si="6"/>
        <v>0</v>
      </c>
      <c r="T50" s="6">
        <f t="shared" si="16"/>
        <v>31.593068753493572</v>
      </c>
      <c r="U50" s="6">
        <f t="shared" si="17"/>
        <v>31.593068753493572</v>
      </c>
      <c r="V50" s="6">
        <v>2.1526000000000001</v>
      </c>
      <c r="W50" s="6">
        <v>2.4722</v>
      </c>
      <c r="X50" s="6">
        <v>1.8528</v>
      </c>
      <c r="Y50" s="6">
        <v>4.0805999999999996</v>
      </c>
      <c r="Z50" s="6">
        <v>3.7909999999999999</v>
      </c>
      <c r="AA50" s="6">
        <v>1.5278</v>
      </c>
      <c r="AB50" s="6">
        <v>1.7096</v>
      </c>
      <c r="AC50" s="17" t="s">
        <v>39</v>
      </c>
      <c r="AD50" s="6">
        <f t="shared" si="7"/>
        <v>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90</v>
      </c>
      <c r="B51" s="6" t="s">
        <v>31</v>
      </c>
      <c r="C51" s="6">
        <v>111</v>
      </c>
      <c r="D51" s="6">
        <v>700</v>
      </c>
      <c r="E51" s="6">
        <v>456</v>
      </c>
      <c r="F51" s="6">
        <v>335</v>
      </c>
      <c r="G51" s="7">
        <v>0.35</v>
      </c>
      <c r="H51" s="6">
        <v>45</v>
      </c>
      <c r="I51" s="6">
        <v>6697</v>
      </c>
      <c r="J51" s="6"/>
      <c r="K51" s="6">
        <v>470</v>
      </c>
      <c r="L51" s="6">
        <f t="shared" si="14"/>
        <v>-14</v>
      </c>
      <c r="M51" s="6"/>
      <c r="N51" s="6"/>
      <c r="O51" s="6">
        <v>1060</v>
      </c>
      <c r="P51" s="6"/>
      <c r="Q51" s="6">
        <f t="shared" si="15"/>
        <v>91.2</v>
      </c>
      <c r="R51" s="8"/>
      <c r="S51" s="8">
        <f t="shared" si="6"/>
        <v>0</v>
      </c>
      <c r="T51" s="6">
        <f t="shared" si="16"/>
        <v>15.296052631578947</v>
      </c>
      <c r="U51" s="6">
        <f t="shared" si="17"/>
        <v>15.296052631578947</v>
      </c>
      <c r="V51" s="6">
        <v>124.2</v>
      </c>
      <c r="W51" s="6">
        <v>106.4</v>
      </c>
      <c r="X51" s="6">
        <v>105.4</v>
      </c>
      <c r="Y51" s="6">
        <v>105</v>
      </c>
      <c r="Z51" s="6">
        <v>115.8</v>
      </c>
      <c r="AA51" s="6">
        <v>93.8</v>
      </c>
      <c r="AB51" s="6">
        <v>113.4</v>
      </c>
      <c r="AC51" s="6"/>
      <c r="AD51" s="6">
        <f t="shared" si="7"/>
        <v>0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91</v>
      </c>
      <c r="B52" s="6" t="s">
        <v>31</v>
      </c>
      <c r="C52" s="6">
        <v>118</v>
      </c>
      <c r="D52" s="6">
        <v>402</v>
      </c>
      <c r="E52" s="6">
        <v>235</v>
      </c>
      <c r="F52" s="6">
        <v>258</v>
      </c>
      <c r="G52" s="7">
        <v>0.41</v>
      </c>
      <c r="H52" s="6">
        <v>45</v>
      </c>
      <c r="I52" s="6">
        <v>6713</v>
      </c>
      <c r="J52" s="6"/>
      <c r="K52" s="6">
        <v>257</v>
      </c>
      <c r="L52" s="6">
        <f t="shared" si="14"/>
        <v>-22</v>
      </c>
      <c r="M52" s="6"/>
      <c r="N52" s="6"/>
      <c r="O52" s="6">
        <v>313</v>
      </c>
      <c r="P52" s="6">
        <f>VLOOKUP(A52,[1]TDSheet!$A:$B,2,0)</f>
        <v>248</v>
      </c>
      <c r="Q52" s="6">
        <f t="shared" si="15"/>
        <v>47</v>
      </c>
      <c r="R52" s="8">
        <f t="shared" si="13"/>
        <v>134</v>
      </c>
      <c r="S52" s="8">
        <f t="shared" si="6"/>
        <v>134</v>
      </c>
      <c r="T52" s="6">
        <f t="shared" si="16"/>
        <v>15</v>
      </c>
      <c r="U52" s="6">
        <f t="shared" si="17"/>
        <v>12.148936170212766</v>
      </c>
      <c r="V52" s="6">
        <v>55.4</v>
      </c>
      <c r="W52" s="6">
        <v>47.6</v>
      </c>
      <c r="X52" s="6">
        <v>73.2</v>
      </c>
      <c r="Y52" s="6">
        <v>41.4</v>
      </c>
      <c r="Z52" s="6">
        <v>61.8</v>
      </c>
      <c r="AA52" s="6">
        <v>60.2</v>
      </c>
      <c r="AB52" s="6">
        <v>39.4</v>
      </c>
      <c r="AC52" s="6"/>
      <c r="AD52" s="6">
        <f t="shared" si="7"/>
        <v>54.94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92</v>
      </c>
      <c r="B53" s="6" t="s">
        <v>31</v>
      </c>
      <c r="C53" s="6">
        <v>189</v>
      </c>
      <c r="D53" s="6">
        <v>4</v>
      </c>
      <c r="E53" s="6">
        <v>101</v>
      </c>
      <c r="F53" s="6">
        <v>87</v>
      </c>
      <c r="G53" s="7">
        <v>0.41</v>
      </c>
      <c r="H53" s="6">
        <v>45</v>
      </c>
      <c r="I53" s="6">
        <v>6724</v>
      </c>
      <c r="J53" s="6"/>
      <c r="K53" s="6">
        <v>107</v>
      </c>
      <c r="L53" s="6">
        <f t="shared" si="14"/>
        <v>-6</v>
      </c>
      <c r="M53" s="6"/>
      <c r="N53" s="6"/>
      <c r="O53" s="6">
        <v>129</v>
      </c>
      <c r="P53" s="6"/>
      <c r="Q53" s="6">
        <f t="shared" si="15"/>
        <v>20.2</v>
      </c>
      <c r="R53" s="8">
        <f t="shared" si="13"/>
        <v>87</v>
      </c>
      <c r="S53" s="8">
        <f t="shared" si="6"/>
        <v>87</v>
      </c>
      <c r="T53" s="6">
        <f t="shared" si="16"/>
        <v>15</v>
      </c>
      <c r="U53" s="6">
        <f t="shared" si="17"/>
        <v>10.693069306930694</v>
      </c>
      <c r="V53" s="6">
        <v>21.2</v>
      </c>
      <c r="W53" s="6">
        <v>21.2</v>
      </c>
      <c r="X53" s="6">
        <v>22.8</v>
      </c>
      <c r="Y53" s="6">
        <v>28.6</v>
      </c>
      <c r="Z53" s="6">
        <v>24</v>
      </c>
      <c r="AA53" s="6">
        <v>27.8</v>
      </c>
      <c r="AB53" s="6">
        <v>40.799999999999997</v>
      </c>
      <c r="AC53" s="6"/>
      <c r="AD53" s="6">
        <f t="shared" si="7"/>
        <v>35.669999999999995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93</v>
      </c>
      <c r="B54" s="6" t="s">
        <v>33</v>
      </c>
      <c r="C54" s="6">
        <v>16.449000000000002</v>
      </c>
      <c r="D54" s="6"/>
      <c r="E54" s="6"/>
      <c r="F54" s="6">
        <v>16.449000000000002</v>
      </c>
      <c r="G54" s="7">
        <v>1</v>
      </c>
      <c r="H54" s="6">
        <v>30</v>
      </c>
      <c r="I54" s="6">
        <v>6761</v>
      </c>
      <c r="J54" s="6"/>
      <c r="K54" s="6"/>
      <c r="L54" s="6">
        <f t="shared" si="14"/>
        <v>0</v>
      </c>
      <c r="M54" s="6"/>
      <c r="N54" s="6"/>
      <c r="O54" s="6">
        <v>0</v>
      </c>
      <c r="P54" s="6"/>
      <c r="Q54" s="6">
        <f t="shared" si="15"/>
        <v>0</v>
      </c>
      <c r="R54" s="8"/>
      <c r="S54" s="8">
        <f t="shared" si="6"/>
        <v>0</v>
      </c>
      <c r="T54" s="6" t="e">
        <f t="shared" si="16"/>
        <v>#DIV/0!</v>
      </c>
      <c r="U54" s="6" t="e">
        <f t="shared" si="17"/>
        <v>#DIV/0!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17" t="s">
        <v>39</v>
      </c>
      <c r="AD54" s="6">
        <f t="shared" si="7"/>
        <v>0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94</v>
      </c>
      <c r="B55" s="6" t="s">
        <v>31</v>
      </c>
      <c r="C55" s="6">
        <v>35</v>
      </c>
      <c r="D55" s="6"/>
      <c r="E55" s="6">
        <v>-7</v>
      </c>
      <c r="F55" s="6">
        <v>35</v>
      </c>
      <c r="G55" s="7">
        <v>0.36</v>
      </c>
      <c r="H55" s="6">
        <v>45</v>
      </c>
      <c r="I55" s="6">
        <v>6765</v>
      </c>
      <c r="J55" s="6"/>
      <c r="K55" s="6">
        <v>80</v>
      </c>
      <c r="L55" s="6">
        <f t="shared" si="14"/>
        <v>-87</v>
      </c>
      <c r="M55" s="6"/>
      <c r="N55" s="6"/>
      <c r="O55" s="6">
        <v>0</v>
      </c>
      <c r="P55" s="6"/>
      <c r="Q55" s="6">
        <f t="shared" si="15"/>
        <v>-1.4</v>
      </c>
      <c r="R55" s="8"/>
      <c r="S55" s="8">
        <f t="shared" si="6"/>
        <v>0</v>
      </c>
      <c r="T55" s="6">
        <f t="shared" si="16"/>
        <v>-25</v>
      </c>
      <c r="U55" s="6">
        <f t="shared" si="17"/>
        <v>-25</v>
      </c>
      <c r="V55" s="6">
        <v>-0.6</v>
      </c>
      <c r="W55" s="6">
        <v>-1</v>
      </c>
      <c r="X55" s="6">
        <v>-0.6</v>
      </c>
      <c r="Y55" s="6">
        <v>-2.4</v>
      </c>
      <c r="Z55" s="6">
        <v>5.2</v>
      </c>
      <c r="AA55" s="6">
        <v>4.2</v>
      </c>
      <c r="AB55" s="6">
        <v>8.6</v>
      </c>
      <c r="AC55" s="17" t="s">
        <v>39</v>
      </c>
      <c r="AD55" s="6">
        <f t="shared" si="7"/>
        <v>0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95</v>
      </c>
      <c r="B56" s="6" t="s">
        <v>33</v>
      </c>
      <c r="C56" s="6">
        <v>47.447000000000003</v>
      </c>
      <c r="D56" s="6"/>
      <c r="E56" s="6">
        <v>1.0760000000000001</v>
      </c>
      <c r="F56" s="6">
        <v>46.371000000000002</v>
      </c>
      <c r="G56" s="7">
        <v>1</v>
      </c>
      <c r="H56" s="6">
        <v>45</v>
      </c>
      <c r="I56" s="6">
        <v>6767</v>
      </c>
      <c r="J56" s="6"/>
      <c r="K56" s="6">
        <v>1</v>
      </c>
      <c r="L56" s="6">
        <f t="shared" si="14"/>
        <v>7.6000000000000068E-2</v>
      </c>
      <c r="M56" s="6"/>
      <c r="N56" s="6"/>
      <c r="O56" s="6">
        <v>0</v>
      </c>
      <c r="P56" s="6"/>
      <c r="Q56" s="6">
        <f t="shared" si="15"/>
        <v>0.2152</v>
      </c>
      <c r="R56" s="8"/>
      <c r="S56" s="8">
        <f t="shared" si="6"/>
        <v>0</v>
      </c>
      <c r="T56" s="6">
        <f t="shared" si="16"/>
        <v>215.47862453531599</v>
      </c>
      <c r="U56" s="6">
        <f t="shared" si="17"/>
        <v>215.47862453531599</v>
      </c>
      <c r="V56" s="6">
        <v>0.21940000000000001</v>
      </c>
      <c r="W56" s="6">
        <v>0</v>
      </c>
      <c r="X56" s="6">
        <v>0.21940000000000001</v>
      </c>
      <c r="Y56" s="6">
        <v>1.0768</v>
      </c>
      <c r="Z56" s="6">
        <v>0.21679999999999999</v>
      </c>
      <c r="AA56" s="6">
        <v>0</v>
      </c>
      <c r="AB56" s="6">
        <v>0.87439999999999996</v>
      </c>
      <c r="AC56" s="17" t="s">
        <v>39</v>
      </c>
      <c r="AD56" s="6">
        <f t="shared" si="7"/>
        <v>0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96</v>
      </c>
      <c r="B57" s="6" t="s">
        <v>31</v>
      </c>
      <c r="C57" s="6">
        <v>56</v>
      </c>
      <c r="D57" s="6"/>
      <c r="E57" s="6"/>
      <c r="F57" s="6">
        <v>-2</v>
      </c>
      <c r="G57" s="7">
        <v>0.33</v>
      </c>
      <c r="H57" s="6">
        <v>45</v>
      </c>
      <c r="I57" s="6">
        <v>6787</v>
      </c>
      <c r="J57" s="6"/>
      <c r="K57" s="6">
        <v>57</v>
      </c>
      <c r="L57" s="6">
        <f t="shared" si="14"/>
        <v>-57</v>
      </c>
      <c r="M57" s="6"/>
      <c r="N57" s="6"/>
      <c r="O57" s="6">
        <v>149</v>
      </c>
      <c r="P57" s="6"/>
      <c r="Q57" s="6">
        <f t="shared" si="15"/>
        <v>0</v>
      </c>
      <c r="R57" s="8"/>
      <c r="S57" s="8">
        <f t="shared" si="6"/>
        <v>0</v>
      </c>
      <c r="T57" s="6" t="e">
        <f t="shared" si="16"/>
        <v>#DIV/0!</v>
      </c>
      <c r="U57" s="6" t="e">
        <f t="shared" si="17"/>
        <v>#DIV/0!</v>
      </c>
      <c r="V57" s="6">
        <v>15.8</v>
      </c>
      <c r="W57" s="6">
        <v>7.8</v>
      </c>
      <c r="X57" s="6">
        <v>4.2</v>
      </c>
      <c r="Y57" s="6">
        <v>11.8</v>
      </c>
      <c r="Z57" s="6">
        <v>12.6</v>
      </c>
      <c r="AA57" s="6">
        <v>6</v>
      </c>
      <c r="AB57" s="6">
        <v>3.6</v>
      </c>
      <c r="AC57" s="10" t="s">
        <v>150</v>
      </c>
      <c r="AD57" s="6">
        <f t="shared" si="7"/>
        <v>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11" t="s">
        <v>97</v>
      </c>
      <c r="B58" s="11" t="s">
        <v>31</v>
      </c>
      <c r="C58" s="11">
        <v>-155</v>
      </c>
      <c r="D58" s="11"/>
      <c r="E58" s="15">
        <v>51</v>
      </c>
      <c r="F58" s="15">
        <v>-209</v>
      </c>
      <c r="G58" s="12">
        <v>0</v>
      </c>
      <c r="H58" s="11"/>
      <c r="I58" s="11" t="s">
        <v>43</v>
      </c>
      <c r="J58" s="11" t="s">
        <v>98</v>
      </c>
      <c r="K58" s="11">
        <v>71</v>
      </c>
      <c r="L58" s="11">
        <f t="shared" si="14"/>
        <v>-20</v>
      </c>
      <c r="M58" s="11"/>
      <c r="N58" s="11"/>
      <c r="O58" s="11">
        <v>0</v>
      </c>
      <c r="P58" s="6"/>
      <c r="Q58" s="11">
        <f t="shared" si="15"/>
        <v>10.199999999999999</v>
      </c>
      <c r="R58" s="13"/>
      <c r="S58" s="8">
        <f t="shared" si="6"/>
        <v>0</v>
      </c>
      <c r="T58" s="11">
        <f t="shared" si="16"/>
        <v>-20.490196078431374</v>
      </c>
      <c r="U58" s="11">
        <f t="shared" si="17"/>
        <v>-20.490196078431374</v>
      </c>
      <c r="V58" s="11">
        <v>14</v>
      </c>
      <c r="W58" s="11">
        <v>16.2</v>
      </c>
      <c r="X58" s="11">
        <v>2.8</v>
      </c>
      <c r="Y58" s="11">
        <v>36.799999999999997</v>
      </c>
      <c r="Z58" s="11">
        <v>8.8000000000000007</v>
      </c>
      <c r="AA58" s="11">
        <v>16.600000000000001</v>
      </c>
      <c r="AB58" s="11">
        <v>27.4</v>
      </c>
      <c r="AC58" s="11"/>
      <c r="AD58" s="6">
        <f t="shared" si="7"/>
        <v>0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99</v>
      </c>
      <c r="B59" s="6" t="s">
        <v>31</v>
      </c>
      <c r="C59" s="6">
        <v>348</v>
      </c>
      <c r="D59" s="6">
        <v>8</v>
      </c>
      <c r="E59" s="6">
        <v>169</v>
      </c>
      <c r="F59" s="6">
        <v>184</v>
      </c>
      <c r="G59" s="7">
        <v>0.4</v>
      </c>
      <c r="H59" s="6">
        <v>60</v>
      </c>
      <c r="I59" s="6">
        <v>6797</v>
      </c>
      <c r="J59" s="6"/>
      <c r="K59" s="6">
        <v>172</v>
      </c>
      <c r="L59" s="6">
        <f t="shared" si="14"/>
        <v>-3</v>
      </c>
      <c r="M59" s="6"/>
      <c r="N59" s="6"/>
      <c r="O59" s="6">
        <v>0</v>
      </c>
      <c r="P59" s="6"/>
      <c r="Q59" s="6">
        <f t="shared" si="15"/>
        <v>33.799999999999997</v>
      </c>
      <c r="R59" s="8">
        <f>14*Q59-O59-F59</f>
        <v>289.19999999999993</v>
      </c>
      <c r="S59" s="8">
        <f t="shared" si="6"/>
        <v>289</v>
      </c>
      <c r="T59" s="6">
        <f t="shared" si="16"/>
        <v>14</v>
      </c>
      <c r="U59" s="6">
        <f t="shared" si="17"/>
        <v>5.443786982248521</v>
      </c>
      <c r="V59" s="6">
        <v>24.2</v>
      </c>
      <c r="W59" s="6">
        <v>14.6</v>
      </c>
      <c r="X59" s="6">
        <v>28</v>
      </c>
      <c r="Y59" s="6">
        <v>41.8</v>
      </c>
      <c r="Z59" s="6">
        <v>2.8</v>
      </c>
      <c r="AA59" s="6">
        <v>0</v>
      </c>
      <c r="AB59" s="6">
        <v>0</v>
      </c>
      <c r="AC59" s="6"/>
      <c r="AD59" s="6">
        <f t="shared" si="7"/>
        <v>115.60000000000001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101</v>
      </c>
      <c r="B60" s="6" t="s">
        <v>31</v>
      </c>
      <c r="C60" s="6">
        <v>59</v>
      </c>
      <c r="D60" s="6"/>
      <c r="E60" s="6">
        <v>13</v>
      </c>
      <c r="F60" s="6">
        <v>42</v>
      </c>
      <c r="G60" s="7">
        <v>0.33</v>
      </c>
      <c r="H60" s="6">
        <v>45</v>
      </c>
      <c r="I60" s="6">
        <v>6807</v>
      </c>
      <c r="J60" s="6"/>
      <c r="K60" s="6">
        <v>17</v>
      </c>
      <c r="L60" s="6">
        <f t="shared" si="14"/>
        <v>-4</v>
      </c>
      <c r="M60" s="6"/>
      <c r="N60" s="6"/>
      <c r="O60" s="6">
        <v>0</v>
      </c>
      <c r="P60" s="6"/>
      <c r="Q60" s="6">
        <f t="shared" si="15"/>
        <v>2.6</v>
      </c>
      <c r="R60" s="8"/>
      <c r="S60" s="8">
        <f t="shared" si="6"/>
        <v>0</v>
      </c>
      <c r="T60" s="6">
        <f t="shared" si="16"/>
        <v>16.153846153846153</v>
      </c>
      <c r="U60" s="6">
        <f t="shared" si="17"/>
        <v>16.153846153846153</v>
      </c>
      <c r="V60" s="6">
        <v>0.8</v>
      </c>
      <c r="W60" s="6">
        <v>2.6</v>
      </c>
      <c r="X60" s="6">
        <v>2</v>
      </c>
      <c r="Y60" s="6">
        <v>3</v>
      </c>
      <c r="Z60" s="6">
        <v>9.8000000000000007</v>
      </c>
      <c r="AA60" s="6">
        <v>9.8000000000000007</v>
      </c>
      <c r="AB60" s="6">
        <v>11.8</v>
      </c>
      <c r="AC60" s="17" t="s">
        <v>39</v>
      </c>
      <c r="AD60" s="6">
        <f t="shared" si="7"/>
        <v>0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102</v>
      </c>
      <c r="B61" s="6" t="s">
        <v>33</v>
      </c>
      <c r="C61" s="6">
        <v>27.556000000000001</v>
      </c>
      <c r="D61" s="6">
        <v>257.29300000000001</v>
      </c>
      <c r="E61" s="6">
        <v>191.23500000000001</v>
      </c>
      <c r="F61" s="6">
        <v>80.353999999999999</v>
      </c>
      <c r="G61" s="7">
        <v>1</v>
      </c>
      <c r="H61" s="6">
        <v>45</v>
      </c>
      <c r="I61" s="6">
        <v>6829</v>
      </c>
      <c r="J61" s="6"/>
      <c r="K61" s="6">
        <v>187.624</v>
      </c>
      <c r="L61" s="6">
        <f t="shared" si="14"/>
        <v>3.6110000000000184</v>
      </c>
      <c r="M61" s="6"/>
      <c r="N61" s="6"/>
      <c r="O61" s="6">
        <v>439</v>
      </c>
      <c r="P61" s="6">
        <f>VLOOKUP(A61,[1]TDSheet!$A:$B,2,0)</f>
        <v>65.141000000000005</v>
      </c>
      <c r="Q61" s="6">
        <f t="shared" si="15"/>
        <v>38.247</v>
      </c>
      <c r="R61" s="8">
        <f t="shared" ref="R61:R65" si="18">15*Q61-O61-F61</f>
        <v>54.351000000000042</v>
      </c>
      <c r="S61" s="8">
        <f t="shared" si="6"/>
        <v>54</v>
      </c>
      <c r="T61" s="6">
        <f t="shared" si="16"/>
        <v>15.000000000000002</v>
      </c>
      <c r="U61" s="6">
        <f t="shared" si="17"/>
        <v>13.578947368421053</v>
      </c>
      <c r="V61" s="6">
        <v>48.421199999999999</v>
      </c>
      <c r="W61" s="6">
        <v>35.937800000000003</v>
      </c>
      <c r="X61" s="6">
        <v>37.403599999999997</v>
      </c>
      <c r="Y61" s="6">
        <v>36.323599999999999</v>
      </c>
      <c r="Z61" s="6">
        <v>40.341200000000001</v>
      </c>
      <c r="AA61" s="6">
        <v>31.178799999999999</v>
      </c>
      <c r="AB61" s="6">
        <v>31.852</v>
      </c>
      <c r="AC61" s="6"/>
      <c r="AD61" s="6">
        <f t="shared" si="7"/>
        <v>54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103</v>
      </c>
      <c r="B62" s="6" t="s">
        <v>31</v>
      </c>
      <c r="C62" s="6">
        <v>25</v>
      </c>
      <c r="D62" s="6"/>
      <c r="E62" s="6">
        <v>-1</v>
      </c>
      <c r="F62" s="6">
        <v>25</v>
      </c>
      <c r="G62" s="7">
        <v>0</v>
      </c>
      <c r="H62" s="6">
        <v>60</v>
      </c>
      <c r="I62" s="6" t="s">
        <v>158</v>
      </c>
      <c r="J62" s="6"/>
      <c r="K62" s="6">
        <v>13</v>
      </c>
      <c r="L62" s="6">
        <f t="shared" si="14"/>
        <v>-14</v>
      </c>
      <c r="M62" s="6"/>
      <c r="N62" s="6"/>
      <c r="O62" s="6">
        <v>0</v>
      </c>
      <c r="P62" s="6"/>
      <c r="Q62" s="6">
        <f t="shared" si="15"/>
        <v>-0.2</v>
      </c>
      <c r="R62" s="8"/>
      <c r="S62" s="8">
        <f t="shared" si="6"/>
        <v>0</v>
      </c>
      <c r="T62" s="6">
        <f t="shared" si="16"/>
        <v>-125</v>
      </c>
      <c r="U62" s="6">
        <f t="shared" si="17"/>
        <v>-125</v>
      </c>
      <c r="V62" s="6">
        <v>0.8</v>
      </c>
      <c r="W62" s="6">
        <v>1.2</v>
      </c>
      <c r="X62" s="6">
        <v>3.8</v>
      </c>
      <c r="Y62" s="6">
        <v>0</v>
      </c>
      <c r="Z62" s="6">
        <v>1.2</v>
      </c>
      <c r="AA62" s="6">
        <v>1.2</v>
      </c>
      <c r="AB62" s="6">
        <v>-0.2</v>
      </c>
      <c r="AC62" s="17" t="s">
        <v>159</v>
      </c>
      <c r="AD62" s="6">
        <f t="shared" si="7"/>
        <v>0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104</v>
      </c>
      <c r="B63" s="6" t="s">
        <v>31</v>
      </c>
      <c r="C63" s="6">
        <v>115</v>
      </c>
      <c r="D63" s="6">
        <v>24</v>
      </c>
      <c r="E63" s="6">
        <v>5</v>
      </c>
      <c r="F63" s="6">
        <v>113</v>
      </c>
      <c r="G63" s="7">
        <v>0.4</v>
      </c>
      <c r="H63" s="6">
        <v>45</v>
      </c>
      <c r="I63" s="6">
        <v>6837</v>
      </c>
      <c r="J63" s="6"/>
      <c r="K63" s="6">
        <v>87</v>
      </c>
      <c r="L63" s="6">
        <f t="shared" si="14"/>
        <v>-82</v>
      </c>
      <c r="M63" s="6"/>
      <c r="N63" s="6"/>
      <c r="O63" s="6">
        <v>0</v>
      </c>
      <c r="P63" s="6"/>
      <c r="Q63" s="6">
        <f t="shared" si="15"/>
        <v>1</v>
      </c>
      <c r="R63" s="8"/>
      <c r="S63" s="8">
        <f t="shared" si="6"/>
        <v>0</v>
      </c>
      <c r="T63" s="6">
        <f t="shared" si="16"/>
        <v>113</v>
      </c>
      <c r="U63" s="6">
        <f t="shared" si="17"/>
        <v>113</v>
      </c>
      <c r="V63" s="6">
        <v>-1.6</v>
      </c>
      <c r="W63" s="6">
        <v>10.4</v>
      </c>
      <c r="X63" s="6">
        <v>15.8</v>
      </c>
      <c r="Y63" s="6">
        <v>16</v>
      </c>
      <c r="Z63" s="6">
        <v>17.2</v>
      </c>
      <c r="AA63" s="6">
        <v>12.2</v>
      </c>
      <c r="AB63" s="6">
        <v>19.399999999999999</v>
      </c>
      <c r="AC63" s="17" t="s">
        <v>39</v>
      </c>
      <c r="AD63" s="6">
        <f t="shared" si="7"/>
        <v>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105</v>
      </c>
      <c r="B64" s="6" t="s">
        <v>33</v>
      </c>
      <c r="C64" s="6">
        <v>14.925000000000001</v>
      </c>
      <c r="D64" s="6">
        <v>24.25</v>
      </c>
      <c r="E64" s="6">
        <v>13.244999999999999</v>
      </c>
      <c r="F64" s="6">
        <v>25.68</v>
      </c>
      <c r="G64" s="7">
        <v>1</v>
      </c>
      <c r="H64" s="6">
        <v>60</v>
      </c>
      <c r="I64" s="6">
        <v>6866</v>
      </c>
      <c r="J64" s="6"/>
      <c r="K64" s="6">
        <v>13</v>
      </c>
      <c r="L64" s="6">
        <f t="shared" si="14"/>
        <v>0.24499999999999922</v>
      </c>
      <c r="M64" s="6"/>
      <c r="N64" s="6"/>
      <c r="O64" s="6">
        <v>0</v>
      </c>
      <c r="P64" s="6"/>
      <c r="Q64" s="6">
        <f t="shared" si="15"/>
        <v>2.649</v>
      </c>
      <c r="R64" s="8">
        <f t="shared" si="18"/>
        <v>14.055</v>
      </c>
      <c r="S64" s="8">
        <f t="shared" si="6"/>
        <v>14</v>
      </c>
      <c r="T64" s="6">
        <f t="shared" si="16"/>
        <v>15</v>
      </c>
      <c r="U64" s="6">
        <f t="shared" si="17"/>
        <v>9.6942242355605881</v>
      </c>
      <c r="V64" s="6">
        <v>1.7909999999999999</v>
      </c>
      <c r="W64" s="6">
        <v>1.9</v>
      </c>
      <c r="X64" s="6">
        <v>1.615</v>
      </c>
      <c r="Y64" s="6">
        <v>0.88800000000000001</v>
      </c>
      <c r="Z64" s="6">
        <v>2.411</v>
      </c>
      <c r="AA64" s="6">
        <v>1.518</v>
      </c>
      <c r="AB64" s="6">
        <v>1.8169999999999999</v>
      </c>
      <c r="AC64" s="6"/>
      <c r="AD64" s="6">
        <f t="shared" si="7"/>
        <v>14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106</v>
      </c>
      <c r="B65" s="6" t="s">
        <v>31</v>
      </c>
      <c r="C65" s="6">
        <v>130</v>
      </c>
      <c r="D65" s="6">
        <v>1</v>
      </c>
      <c r="E65" s="6">
        <v>69</v>
      </c>
      <c r="F65" s="6">
        <v>58</v>
      </c>
      <c r="G65" s="7">
        <v>0.6</v>
      </c>
      <c r="H65" s="6">
        <v>45</v>
      </c>
      <c r="I65" s="6">
        <v>6925</v>
      </c>
      <c r="J65" s="6"/>
      <c r="K65" s="6">
        <v>73</v>
      </c>
      <c r="L65" s="6">
        <f t="shared" si="14"/>
        <v>-4</v>
      </c>
      <c r="M65" s="6"/>
      <c r="N65" s="6"/>
      <c r="O65" s="6">
        <v>65</v>
      </c>
      <c r="P65" s="6"/>
      <c r="Q65" s="6">
        <f t="shared" si="15"/>
        <v>13.8</v>
      </c>
      <c r="R65" s="8">
        <f t="shared" si="18"/>
        <v>84</v>
      </c>
      <c r="S65" s="8">
        <f t="shared" si="6"/>
        <v>84</v>
      </c>
      <c r="T65" s="6">
        <f t="shared" si="16"/>
        <v>15</v>
      </c>
      <c r="U65" s="6">
        <f t="shared" si="17"/>
        <v>8.9130434782608692</v>
      </c>
      <c r="V65" s="6">
        <v>13</v>
      </c>
      <c r="W65" s="6">
        <v>7.6</v>
      </c>
      <c r="X65" s="6">
        <v>4.2</v>
      </c>
      <c r="Y65" s="6">
        <v>14.2</v>
      </c>
      <c r="Z65" s="6">
        <v>14.4</v>
      </c>
      <c r="AA65" s="6">
        <v>8.8000000000000007</v>
      </c>
      <c r="AB65" s="6">
        <v>5.8</v>
      </c>
      <c r="AC65" s="6"/>
      <c r="AD65" s="6">
        <f t="shared" si="7"/>
        <v>50.4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11" t="s">
        <v>107</v>
      </c>
      <c r="B66" s="11" t="s">
        <v>33</v>
      </c>
      <c r="C66" s="11">
        <v>-1.5549999999999999</v>
      </c>
      <c r="D66" s="11"/>
      <c r="E66" s="11"/>
      <c r="F66" s="15">
        <v>-1.5549999999999999</v>
      </c>
      <c r="G66" s="12">
        <v>0</v>
      </c>
      <c r="H66" s="11"/>
      <c r="I66" s="11" t="s">
        <v>43</v>
      </c>
      <c r="J66" s="11" t="s">
        <v>108</v>
      </c>
      <c r="K66" s="11">
        <v>13.6</v>
      </c>
      <c r="L66" s="11">
        <f t="shared" si="14"/>
        <v>-13.6</v>
      </c>
      <c r="M66" s="11"/>
      <c r="N66" s="11"/>
      <c r="O66" s="11">
        <v>0</v>
      </c>
      <c r="P66" s="6"/>
      <c r="Q66" s="11">
        <f t="shared" si="15"/>
        <v>0</v>
      </c>
      <c r="R66" s="13"/>
      <c r="S66" s="8">
        <f t="shared" si="6"/>
        <v>0</v>
      </c>
      <c r="T66" s="11" t="e">
        <f t="shared" si="16"/>
        <v>#DIV/0!</v>
      </c>
      <c r="U66" s="11" t="e">
        <f t="shared" si="17"/>
        <v>#DIV/0!</v>
      </c>
      <c r="V66" s="11">
        <v>0</v>
      </c>
      <c r="W66" s="11">
        <v>0</v>
      </c>
      <c r="X66" s="11">
        <v>0.311</v>
      </c>
      <c r="Y66" s="11">
        <v>0</v>
      </c>
      <c r="Z66" s="11">
        <v>0</v>
      </c>
      <c r="AA66" s="11">
        <v>0</v>
      </c>
      <c r="AB66" s="11">
        <v>0</v>
      </c>
      <c r="AC66" s="11"/>
      <c r="AD66" s="6">
        <f t="shared" si="7"/>
        <v>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109</v>
      </c>
      <c r="B67" s="6" t="s">
        <v>31</v>
      </c>
      <c r="C67" s="6">
        <v>2</v>
      </c>
      <c r="D67" s="6">
        <v>112</v>
      </c>
      <c r="E67" s="6">
        <v>42</v>
      </c>
      <c r="F67" s="6">
        <v>70</v>
      </c>
      <c r="G67" s="7">
        <v>0.25</v>
      </c>
      <c r="H67" s="6">
        <v>120</v>
      </c>
      <c r="I67" s="6">
        <v>6967</v>
      </c>
      <c r="J67" s="6"/>
      <c r="K67" s="6">
        <v>60</v>
      </c>
      <c r="L67" s="6">
        <f t="shared" si="14"/>
        <v>-18</v>
      </c>
      <c r="M67" s="6"/>
      <c r="N67" s="6"/>
      <c r="O67" s="6">
        <v>19</v>
      </c>
      <c r="P67" s="6">
        <f>VLOOKUP(A67,[1]TDSheet!$A:$B,2,0)</f>
        <v>128</v>
      </c>
      <c r="Q67" s="6">
        <f t="shared" si="15"/>
        <v>8.4</v>
      </c>
      <c r="R67" s="8">
        <v>0</v>
      </c>
      <c r="S67" s="8">
        <f t="shared" si="6"/>
        <v>0</v>
      </c>
      <c r="T67" s="6">
        <f>(F67+O67+R67+P67)/Q67</f>
        <v>25.833333333333332</v>
      </c>
      <c r="U67" s="6">
        <f>(F67+O67+P67)/Q67</f>
        <v>25.833333333333332</v>
      </c>
      <c r="V67" s="6">
        <v>9.4</v>
      </c>
      <c r="W67" s="6">
        <v>12.8</v>
      </c>
      <c r="X67" s="6">
        <v>4.2</v>
      </c>
      <c r="Y67" s="6">
        <v>6.2</v>
      </c>
      <c r="Z67" s="6">
        <v>12</v>
      </c>
      <c r="AA67" s="6">
        <v>7.6</v>
      </c>
      <c r="AB67" s="6">
        <v>9.4</v>
      </c>
      <c r="AC67" s="6" t="s">
        <v>34</v>
      </c>
      <c r="AD67" s="6">
        <f t="shared" si="7"/>
        <v>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110</v>
      </c>
      <c r="B68" s="6" t="s">
        <v>33</v>
      </c>
      <c r="C68" s="6">
        <v>68.447999999999993</v>
      </c>
      <c r="D68" s="6"/>
      <c r="E68" s="6">
        <v>11.63</v>
      </c>
      <c r="F68" s="6">
        <v>54.738999999999997</v>
      </c>
      <c r="G68" s="7">
        <v>1</v>
      </c>
      <c r="H68" s="6">
        <v>45</v>
      </c>
      <c r="I68" s="6">
        <v>7001</v>
      </c>
      <c r="J68" s="6"/>
      <c r="K68" s="6">
        <v>13</v>
      </c>
      <c r="L68" s="6">
        <f t="shared" si="14"/>
        <v>-1.3699999999999992</v>
      </c>
      <c r="M68" s="6"/>
      <c r="N68" s="6"/>
      <c r="O68" s="6">
        <v>0</v>
      </c>
      <c r="P68" s="6"/>
      <c r="Q68" s="6">
        <f t="shared" si="15"/>
        <v>2.3260000000000001</v>
      </c>
      <c r="R68" s="8"/>
      <c r="S68" s="8">
        <f t="shared" si="6"/>
        <v>0</v>
      </c>
      <c r="T68" s="6">
        <f t="shared" ref="T68:T73" si="19">(F68+O68+R68)/Q68</f>
        <v>23.533533963886498</v>
      </c>
      <c r="U68" s="6">
        <f t="shared" ref="U68:U73" si="20">(F68+O68)/Q68</f>
        <v>23.533533963886498</v>
      </c>
      <c r="V68" s="6">
        <v>2.6434000000000002</v>
      </c>
      <c r="W68" s="6">
        <v>2.0691999999999999</v>
      </c>
      <c r="X68" s="6">
        <v>0.59420000000000006</v>
      </c>
      <c r="Y68" s="6">
        <v>5.7103999999999999</v>
      </c>
      <c r="Z68" s="6">
        <v>6.8785999999999996</v>
      </c>
      <c r="AA68" s="6">
        <v>3.8618000000000001</v>
      </c>
      <c r="AB68" s="6">
        <v>3.7509999999999999</v>
      </c>
      <c r="AC68" s="17" t="s">
        <v>39</v>
      </c>
      <c r="AD68" s="6">
        <f t="shared" si="7"/>
        <v>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111</v>
      </c>
      <c r="B69" s="6" t="s">
        <v>31</v>
      </c>
      <c r="C69" s="6">
        <v>157</v>
      </c>
      <c r="D69" s="6">
        <v>148</v>
      </c>
      <c r="E69" s="6">
        <v>150</v>
      </c>
      <c r="F69" s="6">
        <v>149</v>
      </c>
      <c r="G69" s="7">
        <v>0.3</v>
      </c>
      <c r="H69" s="6">
        <v>60</v>
      </c>
      <c r="I69" s="6">
        <v>7059</v>
      </c>
      <c r="J69" s="6"/>
      <c r="K69" s="6">
        <v>158</v>
      </c>
      <c r="L69" s="6">
        <f t="shared" si="14"/>
        <v>-8</v>
      </c>
      <c r="M69" s="6"/>
      <c r="N69" s="6"/>
      <c r="O69" s="6">
        <v>203</v>
      </c>
      <c r="P69" s="6"/>
      <c r="Q69" s="6">
        <f t="shared" si="15"/>
        <v>30</v>
      </c>
      <c r="R69" s="8">
        <f t="shared" ref="R69:R73" si="21">15*Q69-O69-F69</f>
        <v>98</v>
      </c>
      <c r="S69" s="8">
        <f t="shared" si="6"/>
        <v>98</v>
      </c>
      <c r="T69" s="6">
        <f t="shared" si="19"/>
        <v>15</v>
      </c>
      <c r="U69" s="6">
        <f t="shared" si="20"/>
        <v>11.733333333333333</v>
      </c>
      <c r="V69" s="6">
        <v>34</v>
      </c>
      <c r="W69" s="6">
        <v>25.4</v>
      </c>
      <c r="X69" s="6">
        <v>37.799999999999997</v>
      </c>
      <c r="Y69" s="6">
        <v>31.8</v>
      </c>
      <c r="Z69" s="6">
        <v>37.200000000000003</v>
      </c>
      <c r="AA69" s="6">
        <v>12.8</v>
      </c>
      <c r="AB69" s="6">
        <v>20</v>
      </c>
      <c r="AC69" s="6"/>
      <c r="AD69" s="6">
        <f t="shared" si="7"/>
        <v>29.4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112</v>
      </c>
      <c r="B70" s="6" t="s">
        <v>31</v>
      </c>
      <c r="C70" s="6">
        <v>200</v>
      </c>
      <c r="D70" s="6">
        <v>809</v>
      </c>
      <c r="E70" s="6">
        <v>750</v>
      </c>
      <c r="F70" s="15">
        <f>242+F110</f>
        <v>236</v>
      </c>
      <c r="G70" s="7">
        <v>0.41</v>
      </c>
      <c r="H70" s="6">
        <v>50</v>
      </c>
      <c r="I70" s="6">
        <v>7066</v>
      </c>
      <c r="J70" s="6"/>
      <c r="K70" s="6">
        <v>765</v>
      </c>
      <c r="L70" s="6">
        <f t="shared" ref="L70:L101" si="22">E70-K70</f>
        <v>-15</v>
      </c>
      <c r="M70" s="6"/>
      <c r="N70" s="6"/>
      <c r="O70" s="6">
        <v>2322</v>
      </c>
      <c r="P70" s="6"/>
      <c r="Q70" s="6">
        <f t="shared" ref="Q70:Q101" si="23">E70/5</f>
        <v>150</v>
      </c>
      <c r="R70" s="8"/>
      <c r="S70" s="8">
        <f t="shared" si="6"/>
        <v>0</v>
      </c>
      <c r="T70" s="6">
        <f t="shared" si="19"/>
        <v>17.053333333333335</v>
      </c>
      <c r="U70" s="6">
        <f t="shared" si="20"/>
        <v>17.053333333333335</v>
      </c>
      <c r="V70" s="6">
        <v>221.2</v>
      </c>
      <c r="W70" s="6">
        <v>150.80000000000001</v>
      </c>
      <c r="X70" s="6">
        <v>190.8</v>
      </c>
      <c r="Y70" s="6">
        <v>154.6</v>
      </c>
      <c r="Z70" s="6">
        <v>201.6</v>
      </c>
      <c r="AA70" s="6">
        <v>171.6</v>
      </c>
      <c r="AB70" s="6">
        <v>126.6</v>
      </c>
      <c r="AC70" s="6"/>
      <c r="AD70" s="6">
        <f t="shared" si="7"/>
        <v>0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108</v>
      </c>
      <c r="B71" s="6" t="s">
        <v>33</v>
      </c>
      <c r="C71" s="6">
        <v>133.816</v>
      </c>
      <c r="D71" s="6">
        <v>103.742</v>
      </c>
      <c r="E71" s="6">
        <v>69.48</v>
      </c>
      <c r="F71" s="15">
        <f>163.465+F66</f>
        <v>161.91</v>
      </c>
      <c r="G71" s="7">
        <v>1</v>
      </c>
      <c r="H71" s="6">
        <v>50</v>
      </c>
      <c r="I71" s="6">
        <v>7070</v>
      </c>
      <c r="J71" s="6"/>
      <c r="K71" s="6">
        <v>67.613</v>
      </c>
      <c r="L71" s="6">
        <f t="shared" si="22"/>
        <v>1.8670000000000044</v>
      </c>
      <c r="M71" s="6"/>
      <c r="N71" s="6"/>
      <c r="O71" s="6">
        <v>0</v>
      </c>
      <c r="P71" s="6"/>
      <c r="Q71" s="6">
        <f t="shared" si="23"/>
        <v>13.896000000000001</v>
      </c>
      <c r="R71" s="8">
        <f t="shared" si="21"/>
        <v>46.53</v>
      </c>
      <c r="S71" s="8">
        <f t="shared" ref="S71:S110" si="24">ROUND(R71,0)</f>
        <v>47</v>
      </c>
      <c r="T71" s="6">
        <f t="shared" si="19"/>
        <v>14.999999999999998</v>
      </c>
      <c r="U71" s="6">
        <f t="shared" si="20"/>
        <v>11.651554404145077</v>
      </c>
      <c r="V71" s="6">
        <v>12.993399999999999</v>
      </c>
      <c r="W71" s="6">
        <v>16.393599999999999</v>
      </c>
      <c r="X71" s="6">
        <v>23.993600000000001</v>
      </c>
      <c r="Y71" s="6">
        <v>17.883800000000001</v>
      </c>
      <c r="Z71" s="6">
        <v>28.195399999999999</v>
      </c>
      <c r="AA71" s="6">
        <v>23.4</v>
      </c>
      <c r="AB71" s="6">
        <v>19.577400000000001</v>
      </c>
      <c r="AC71" s="6"/>
      <c r="AD71" s="6">
        <f t="shared" ref="AD71:AD110" si="25">G71*S71</f>
        <v>47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 t="s">
        <v>113</v>
      </c>
      <c r="B72" s="6" t="s">
        <v>31</v>
      </c>
      <c r="C72" s="6">
        <v>30</v>
      </c>
      <c r="D72" s="6">
        <v>198</v>
      </c>
      <c r="E72" s="6">
        <v>169</v>
      </c>
      <c r="F72" s="6">
        <v>45</v>
      </c>
      <c r="G72" s="7">
        <v>0.35</v>
      </c>
      <c r="H72" s="6">
        <v>50</v>
      </c>
      <c r="I72" s="6">
        <v>7073</v>
      </c>
      <c r="J72" s="6"/>
      <c r="K72" s="6">
        <v>180</v>
      </c>
      <c r="L72" s="6">
        <f t="shared" si="22"/>
        <v>-11</v>
      </c>
      <c r="M72" s="6"/>
      <c r="N72" s="6"/>
      <c r="O72" s="6">
        <v>244</v>
      </c>
      <c r="P72" s="6"/>
      <c r="Q72" s="6">
        <f t="shared" si="23"/>
        <v>33.799999999999997</v>
      </c>
      <c r="R72" s="8">
        <f t="shared" si="21"/>
        <v>217.99999999999994</v>
      </c>
      <c r="S72" s="8">
        <f t="shared" si="24"/>
        <v>218</v>
      </c>
      <c r="T72" s="6">
        <f t="shared" si="19"/>
        <v>15</v>
      </c>
      <c r="U72" s="6">
        <f t="shared" si="20"/>
        <v>8.550295857988166</v>
      </c>
      <c r="V72" s="6">
        <v>31.2</v>
      </c>
      <c r="W72" s="6">
        <v>27.8</v>
      </c>
      <c r="X72" s="6">
        <v>32</v>
      </c>
      <c r="Y72" s="6">
        <v>11.2</v>
      </c>
      <c r="Z72" s="6">
        <v>26.4</v>
      </c>
      <c r="AA72" s="6">
        <v>26.8</v>
      </c>
      <c r="AB72" s="6">
        <v>11.2</v>
      </c>
      <c r="AC72" s="6"/>
      <c r="AD72" s="6">
        <f t="shared" si="25"/>
        <v>76.3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 t="s">
        <v>114</v>
      </c>
      <c r="B73" s="6" t="s">
        <v>33</v>
      </c>
      <c r="C73" s="6">
        <v>11.757</v>
      </c>
      <c r="D73" s="6">
        <v>18.774999999999999</v>
      </c>
      <c r="E73" s="6">
        <v>10.872999999999999</v>
      </c>
      <c r="F73" s="6">
        <v>19.658999999999999</v>
      </c>
      <c r="G73" s="7">
        <v>1</v>
      </c>
      <c r="H73" s="6">
        <v>50</v>
      </c>
      <c r="I73" s="6">
        <v>7075</v>
      </c>
      <c r="J73" s="6"/>
      <c r="K73" s="6">
        <v>10.5</v>
      </c>
      <c r="L73" s="6">
        <f t="shared" si="22"/>
        <v>0.37299999999999933</v>
      </c>
      <c r="M73" s="6"/>
      <c r="N73" s="6"/>
      <c r="O73" s="6">
        <v>0</v>
      </c>
      <c r="P73" s="6"/>
      <c r="Q73" s="6">
        <f t="shared" si="23"/>
        <v>2.1745999999999999</v>
      </c>
      <c r="R73" s="8">
        <f t="shared" si="21"/>
        <v>12.96</v>
      </c>
      <c r="S73" s="8">
        <f t="shared" si="24"/>
        <v>13</v>
      </c>
      <c r="T73" s="6">
        <f t="shared" si="19"/>
        <v>15</v>
      </c>
      <c r="U73" s="6">
        <f t="shared" si="20"/>
        <v>9.0402832704865261</v>
      </c>
      <c r="V73" s="6">
        <v>2.2000000000000002</v>
      </c>
      <c r="W73" s="6">
        <v>3.1534</v>
      </c>
      <c r="X73" s="6">
        <v>0.312</v>
      </c>
      <c r="Y73" s="6">
        <v>2.4882</v>
      </c>
      <c r="Z73" s="6">
        <v>4.0224000000000002</v>
      </c>
      <c r="AA73" s="6">
        <v>1.2316</v>
      </c>
      <c r="AB73" s="6">
        <v>1.0014000000000001</v>
      </c>
      <c r="AC73" s="6"/>
      <c r="AD73" s="6">
        <f t="shared" si="25"/>
        <v>13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 t="s">
        <v>115</v>
      </c>
      <c r="B74" s="6" t="s">
        <v>31</v>
      </c>
      <c r="C74" s="6">
        <v>112</v>
      </c>
      <c r="D74" s="6">
        <v>580</v>
      </c>
      <c r="E74" s="6">
        <v>458</v>
      </c>
      <c r="F74" s="6">
        <v>226</v>
      </c>
      <c r="G74" s="7">
        <v>0.41</v>
      </c>
      <c r="H74" s="6">
        <v>50</v>
      </c>
      <c r="I74" s="6">
        <v>7080</v>
      </c>
      <c r="J74" s="6"/>
      <c r="K74" s="6">
        <v>467</v>
      </c>
      <c r="L74" s="6">
        <f t="shared" si="22"/>
        <v>-9</v>
      </c>
      <c r="M74" s="6"/>
      <c r="N74" s="6"/>
      <c r="O74" s="6">
        <v>1119</v>
      </c>
      <c r="P74" s="6">
        <f>VLOOKUP(A74,[1]TDSheet!$A:$B,2,0)</f>
        <v>520</v>
      </c>
      <c r="Q74" s="6">
        <f t="shared" si="23"/>
        <v>91.6</v>
      </c>
      <c r="R74" s="8"/>
      <c r="S74" s="8">
        <f t="shared" si="24"/>
        <v>0</v>
      </c>
      <c r="T74" s="6">
        <f>(F74+O74+R74+P74)/Q74</f>
        <v>20.360262008733624</v>
      </c>
      <c r="U74" s="6">
        <f>(F74+O74+P74)/Q74</f>
        <v>20.360262008733624</v>
      </c>
      <c r="V74" s="6">
        <v>120.2</v>
      </c>
      <c r="W74" s="6">
        <v>94.6</v>
      </c>
      <c r="X74" s="6">
        <v>99</v>
      </c>
      <c r="Y74" s="6">
        <v>97.4</v>
      </c>
      <c r="Z74" s="6">
        <v>92.2</v>
      </c>
      <c r="AA74" s="6">
        <v>115.4</v>
      </c>
      <c r="AB74" s="6">
        <v>126.8</v>
      </c>
      <c r="AC74" s="6"/>
      <c r="AD74" s="6">
        <f t="shared" si="25"/>
        <v>0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11" t="s">
        <v>116</v>
      </c>
      <c r="B75" s="11" t="s">
        <v>33</v>
      </c>
      <c r="C75" s="11">
        <v>-1.5620000000000001</v>
      </c>
      <c r="D75" s="11"/>
      <c r="E75" s="11"/>
      <c r="F75" s="15">
        <v>-1.5620000000000001</v>
      </c>
      <c r="G75" s="12">
        <v>0</v>
      </c>
      <c r="H75" s="11"/>
      <c r="I75" s="11" t="s">
        <v>43</v>
      </c>
      <c r="J75" s="11" t="s">
        <v>117</v>
      </c>
      <c r="K75" s="11">
        <v>25.6</v>
      </c>
      <c r="L75" s="11">
        <f t="shared" si="22"/>
        <v>-25.6</v>
      </c>
      <c r="M75" s="11"/>
      <c r="N75" s="11"/>
      <c r="O75" s="11">
        <v>0</v>
      </c>
      <c r="P75" s="6"/>
      <c r="Q75" s="11">
        <f t="shared" si="23"/>
        <v>0</v>
      </c>
      <c r="R75" s="13"/>
      <c r="S75" s="8">
        <f t="shared" si="24"/>
        <v>0</v>
      </c>
      <c r="T75" s="11" t="e">
        <f>(F75+O75+R75)/Q75</f>
        <v>#DIV/0!</v>
      </c>
      <c r="U75" s="11" t="e">
        <f>(F75+O75)/Q75</f>
        <v>#DIV/0!</v>
      </c>
      <c r="V75" s="11">
        <v>0</v>
      </c>
      <c r="W75" s="11">
        <v>-0.70899999999999996</v>
      </c>
      <c r="X75" s="11">
        <v>-0.60739999999999994</v>
      </c>
      <c r="Y75" s="11">
        <v>-0.43080000000000002</v>
      </c>
      <c r="Z75" s="11">
        <v>0</v>
      </c>
      <c r="AA75" s="11">
        <v>0</v>
      </c>
      <c r="AB75" s="11">
        <v>0</v>
      </c>
      <c r="AC75" s="11"/>
      <c r="AD75" s="6">
        <f t="shared" si="25"/>
        <v>0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 t="s">
        <v>117</v>
      </c>
      <c r="B76" s="6" t="s">
        <v>33</v>
      </c>
      <c r="C76" s="6">
        <v>72.075999999999993</v>
      </c>
      <c r="D76" s="6">
        <v>73.826999999999998</v>
      </c>
      <c r="E76" s="6">
        <v>43.792999999999999</v>
      </c>
      <c r="F76" s="15">
        <f>100.37+F75</f>
        <v>98.808000000000007</v>
      </c>
      <c r="G76" s="7">
        <v>1</v>
      </c>
      <c r="H76" s="6">
        <v>50</v>
      </c>
      <c r="I76" s="6">
        <v>7083</v>
      </c>
      <c r="J76" s="6"/>
      <c r="K76" s="6">
        <v>45.1</v>
      </c>
      <c r="L76" s="6">
        <f t="shared" si="22"/>
        <v>-1.3070000000000022</v>
      </c>
      <c r="M76" s="6"/>
      <c r="N76" s="6"/>
      <c r="O76" s="6">
        <v>9</v>
      </c>
      <c r="P76" s="6"/>
      <c r="Q76" s="6">
        <f t="shared" si="23"/>
        <v>8.7585999999999995</v>
      </c>
      <c r="R76" s="8">
        <f t="shared" ref="R76:R78" si="26">15*Q76-O76-F76</f>
        <v>23.570999999999984</v>
      </c>
      <c r="S76" s="8">
        <f t="shared" si="24"/>
        <v>24</v>
      </c>
      <c r="T76" s="6">
        <f>(F76+O76+R76)/Q76</f>
        <v>15</v>
      </c>
      <c r="U76" s="6">
        <f>(F76+O76)/Q76</f>
        <v>12.30881647751924</v>
      </c>
      <c r="V76" s="6">
        <v>10.333</v>
      </c>
      <c r="W76" s="6">
        <v>10.343</v>
      </c>
      <c r="X76" s="6">
        <v>12.386799999999999</v>
      </c>
      <c r="Y76" s="6">
        <v>6.1597999999999997</v>
      </c>
      <c r="Z76" s="6">
        <v>12.334199999999999</v>
      </c>
      <c r="AA76" s="6">
        <v>16.249199999999998</v>
      </c>
      <c r="AB76" s="6">
        <v>10.958600000000001</v>
      </c>
      <c r="AC76" s="6"/>
      <c r="AD76" s="6">
        <f t="shared" si="25"/>
        <v>24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 t="s">
        <v>118</v>
      </c>
      <c r="B77" s="6" t="s">
        <v>31</v>
      </c>
      <c r="C77" s="6">
        <v>48</v>
      </c>
      <c r="D77" s="6">
        <v>195</v>
      </c>
      <c r="E77" s="6">
        <v>111</v>
      </c>
      <c r="F77" s="6">
        <v>120</v>
      </c>
      <c r="G77" s="7">
        <v>0.3</v>
      </c>
      <c r="H77" s="6">
        <v>50</v>
      </c>
      <c r="I77" s="6">
        <v>7090</v>
      </c>
      <c r="J77" s="6"/>
      <c r="K77" s="6">
        <v>120</v>
      </c>
      <c r="L77" s="6">
        <f t="shared" si="22"/>
        <v>-9</v>
      </c>
      <c r="M77" s="6"/>
      <c r="N77" s="6"/>
      <c r="O77" s="6">
        <v>160</v>
      </c>
      <c r="P77" s="6"/>
      <c r="Q77" s="6">
        <f t="shared" si="23"/>
        <v>22.2</v>
      </c>
      <c r="R77" s="8">
        <f t="shared" si="26"/>
        <v>53</v>
      </c>
      <c r="S77" s="8">
        <f t="shared" si="24"/>
        <v>53</v>
      </c>
      <c r="T77" s="6">
        <f>(F77+O77+R77)/Q77</f>
        <v>15</v>
      </c>
      <c r="U77" s="6">
        <f>(F77+O77)/Q77</f>
        <v>12.612612612612613</v>
      </c>
      <c r="V77" s="6">
        <v>27.2</v>
      </c>
      <c r="W77" s="6">
        <v>25</v>
      </c>
      <c r="X77" s="6">
        <v>18.8</v>
      </c>
      <c r="Y77" s="6">
        <v>18.600000000000001</v>
      </c>
      <c r="Z77" s="6">
        <v>33.200000000000003</v>
      </c>
      <c r="AA77" s="6">
        <v>29.6</v>
      </c>
      <c r="AB77" s="6">
        <v>35.799999999999997</v>
      </c>
      <c r="AC77" s="6"/>
      <c r="AD77" s="6">
        <f t="shared" si="25"/>
        <v>15.899999999999999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 t="s">
        <v>119</v>
      </c>
      <c r="B78" s="6" t="s">
        <v>31</v>
      </c>
      <c r="C78" s="6">
        <v>28</v>
      </c>
      <c r="D78" s="6">
        <v>201</v>
      </c>
      <c r="E78" s="6">
        <v>79</v>
      </c>
      <c r="F78" s="6">
        <v>144</v>
      </c>
      <c r="G78" s="7">
        <v>0.18</v>
      </c>
      <c r="H78" s="6">
        <v>50</v>
      </c>
      <c r="I78" s="6">
        <v>7103</v>
      </c>
      <c r="J78" s="6"/>
      <c r="K78" s="6">
        <v>85</v>
      </c>
      <c r="L78" s="6">
        <f t="shared" si="22"/>
        <v>-6</v>
      </c>
      <c r="M78" s="6"/>
      <c r="N78" s="6"/>
      <c r="O78" s="6">
        <v>0</v>
      </c>
      <c r="P78" s="6"/>
      <c r="Q78" s="6">
        <f t="shared" si="23"/>
        <v>15.8</v>
      </c>
      <c r="R78" s="8">
        <f t="shared" si="26"/>
        <v>93</v>
      </c>
      <c r="S78" s="8">
        <f t="shared" si="24"/>
        <v>93</v>
      </c>
      <c r="T78" s="6">
        <f>(F78+O78+R78)/Q78</f>
        <v>15</v>
      </c>
      <c r="U78" s="6">
        <f>(F78+O78)/Q78</f>
        <v>9.1139240506329102</v>
      </c>
      <c r="V78" s="6">
        <v>6.4</v>
      </c>
      <c r="W78" s="6">
        <v>20.399999999999999</v>
      </c>
      <c r="X78" s="6">
        <v>13.6</v>
      </c>
      <c r="Y78" s="6">
        <v>9.4</v>
      </c>
      <c r="Z78" s="6">
        <v>21.8</v>
      </c>
      <c r="AA78" s="6">
        <v>11</v>
      </c>
      <c r="AB78" s="6">
        <v>12.8</v>
      </c>
      <c r="AC78" s="6"/>
      <c r="AD78" s="6">
        <f t="shared" si="25"/>
        <v>16.739999999999998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11" t="s">
        <v>120</v>
      </c>
      <c r="B79" s="11" t="s">
        <v>33</v>
      </c>
      <c r="C79" s="11">
        <v>-11.321999999999999</v>
      </c>
      <c r="D79" s="11"/>
      <c r="E79" s="11"/>
      <c r="F79" s="15">
        <v>-11.321999999999999</v>
      </c>
      <c r="G79" s="12">
        <v>0</v>
      </c>
      <c r="H79" s="11"/>
      <c r="I79" s="11" t="s">
        <v>43</v>
      </c>
      <c r="J79" s="11" t="s">
        <v>121</v>
      </c>
      <c r="K79" s="11"/>
      <c r="L79" s="11">
        <f t="shared" si="22"/>
        <v>0</v>
      </c>
      <c r="M79" s="11"/>
      <c r="N79" s="11"/>
      <c r="O79" s="11">
        <v>0</v>
      </c>
      <c r="P79" s="6"/>
      <c r="Q79" s="11">
        <f t="shared" si="23"/>
        <v>0</v>
      </c>
      <c r="R79" s="13"/>
      <c r="S79" s="8">
        <f t="shared" si="24"/>
        <v>0</v>
      </c>
      <c r="T79" s="11" t="e">
        <f>(F79+O79+R79)/Q79</f>
        <v>#DIV/0!</v>
      </c>
      <c r="U79" s="11" t="e">
        <f>(F79+O79)/Q79</f>
        <v>#DIV/0!</v>
      </c>
      <c r="V79" s="11">
        <v>-0.16520000000000001</v>
      </c>
      <c r="W79" s="11">
        <v>2.0339999999999998</v>
      </c>
      <c r="X79" s="11">
        <v>0</v>
      </c>
      <c r="Y79" s="11">
        <v>0.16800000000000001</v>
      </c>
      <c r="Z79" s="11">
        <v>5.0579999999999998</v>
      </c>
      <c r="AA79" s="11">
        <v>5.4142000000000001</v>
      </c>
      <c r="AB79" s="11">
        <v>8.0774000000000008</v>
      </c>
      <c r="AC79" s="11"/>
      <c r="AD79" s="6">
        <f t="shared" si="25"/>
        <v>0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 t="s">
        <v>72</v>
      </c>
      <c r="B80" s="6" t="s">
        <v>31</v>
      </c>
      <c r="C80" s="6">
        <v>315</v>
      </c>
      <c r="D80" s="6">
        <v>218</v>
      </c>
      <c r="E80" s="6">
        <v>428</v>
      </c>
      <c r="F80" s="15">
        <f>89+F36</f>
        <v>88</v>
      </c>
      <c r="G80" s="7">
        <v>0.35</v>
      </c>
      <c r="H80" s="6">
        <v>50</v>
      </c>
      <c r="I80" s="6">
        <v>7154</v>
      </c>
      <c r="J80" s="6"/>
      <c r="K80" s="6">
        <v>442</v>
      </c>
      <c r="L80" s="6">
        <f t="shared" si="22"/>
        <v>-14</v>
      </c>
      <c r="M80" s="6"/>
      <c r="N80" s="6"/>
      <c r="O80" s="6">
        <v>1050</v>
      </c>
      <c r="P80" s="6">
        <f>VLOOKUP(A80,[1]TDSheet!$A:$B,2,0)</f>
        <v>160</v>
      </c>
      <c r="Q80" s="6">
        <f t="shared" si="23"/>
        <v>85.6</v>
      </c>
      <c r="R80" s="8"/>
      <c r="S80" s="8">
        <f t="shared" si="24"/>
        <v>0</v>
      </c>
      <c r="T80" s="6">
        <f>(F80+O80+R80+P80)/Q80</f>
        <v>15.16355140186916</v>
      </c>
      <c r="U80" s="6">
        <f>(F80+O80+P80)/Q80</f>
        <v>15.16355140186916</v>
      </c>
      <c r="V80" s="6">
        <v>104.4</v>
      </c>
      <c r="W80" s="6">
        <v>62.8</v>
      </c>
      <c r="X80" s="6">
        <v>93.2</v>
      </c>
      <c r="Y80" s="6">
        <v>91.6</v>
      </c>
      <c r="Z80" s="6">
        <v>70.8</v>
      </c>
      <c r="AA80" s="6">
        <v>82.8</v>
      </c>
      <c r="AB80" s="6">
        <v>90.4</v>
      </c>
      <c r="AC80" s="6"/>
      <c r="AD80" s="6">
        <f t="shared" si="25"/>
        <v>0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 t="s">
        <v>122</v>
      </c>
      <c r="B81" s="6" t="s">
        <v>33</v>
      </c>
      <c r="C81" s="6">
        <v>166.70099999999999</v>
      </c>
      <c r="D81" s="6">
        <v>82.363</v>
      </c>
      <c r="E81" s="6">
        <v>124.77500000000001</v>
      </c>
      <c r="F81" s="6">
        <v>117.568</v>
      </c>
      <c r="G81" s="7">
        <v>1</v>
      </c>
      <c r="H81" s="6">
        <v>50</v>
      </c>
      <c r="I81" s="6">
        <v>7157</v>
      </c>
      <c r="J81" s="6"/>
      <c r="K81" s="6">
        <v>127.1</v>
      </c>
      <c r="L81" s="6">
        <f t="shared" si="22"/>
        <v>-2.3249999999999886</v>
      </c>
      <c r="M81" s="6"/>
      <c r="N81" s="6"/>
      <c r="O81" s="6">
        <v>49</v>
      </c>
      <c r="P81" s="6"/>
      <c r="Q81" s="6">
        <f t="shared" si="23"/>
        <v>24.955000000000002</v>
      </c>
      <c r="R81" s="8">
        <f t="shared" ref="R81:R90" si="27">15*Q81-O81-F81</f>
        <v>207.75700000000006</v>
      </c>
      <c r="S81" s="8">
        <f t="shared" si="24"/>
        <v>208</v>
      </c>
      <c r="T81" s="6">
        <f>(F81+O81+R81)/Q81</f>
        <v>15</v>
      </c>
      <c r="U81" s="6">
        <f>(F81+O81)/Q81</f>
        <v>6.6747345221398504</v>
      </c>
      <c r="V81" s="6">
        <v>19.36</v>
      </c>
      <c r="W81" s="6">
        <v>20.761800000000001</v>
      </c>
      <c r="X81" s="6">
        <v>27.382000000000001</v>
      </c>
      <c r="Y81" s="6">
        <v>25.835999999999999</v>
      </c>
      <c r="Z81" s="6">
        <v>21.861799999999999</v>
      </c>
      <c r="AA81" s="6">
        <v>17.0016</v>
      </c>
      <c r="AB81" s="6">
        <v>19.853999999999999</v>
      </c>
      <c r="AC81" s="6"/>
      <c r="AD81" s="6">
        <f t="shared" si="25"/>
        <v>208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 t="s">
        <v>44</v>
      </c>
      <c r="B82" s="6" t="s">
        <v>33</v>
      </c>
      <c r="C82" s="6">
        <v>-3.8010000000000002</v>
      </c>
      <c r="D82" s="6">
        <v>370.904</v>
      </c>
      <c r="E82" s="6">
        <v>180.62799999999999</v>
      </c>
      <c r="F82" s="15">
        <f>180.833+F14</f>
        <v>179.41499999999999</v>
      </c>
      <c r="G82" s="7">
        <v>1</v>
      </c>
      <c r="H82" s="6">
        <v>50</v>
      </c>
      <c r="I82" s="6">
        <v>7166</v>
      </c>
      <c r="J82" s="6"/>
      <c r="K82" s="6">
        <v>173.7</v>
      </c>
      <c r="L82" s="6">
        <f t="shared" si="22"/>
        <v>6.9279999999999973</v>
      </c>
      <c r="M82" s="6"/>
      <c r="N82" s="6"/>
      <c r="O82" s="6">
        <v>48</v>
      </c>
      <c r="P82" s="6"/>
      <c r="Q82" s="6">
        <f t="shared" si="23"/>
        <v>36.125599999999999</v>
      </c>
      <c r="R82" s="8">
        <f t="shared" si="27"/>
        <v>314.46900000000005</v>
      </c>
      <c r="S82" s="8">
        <f t="shared" si="24"/>
        <v>314</v>
      </c>
      <c r="T82" s="6">
        <f>(F82+O82+R82)/Q82</f>
        <v>15.000000000000002</v>
      </c>
      <c r="U82" s="6">
        <f>(F82+O82)/Q82</f>
        <v>6.2951203578625687</v>
      </c>
      <c r="V82" s="6">
        <v>28.154199999999999</v>
      </c>
      <c r="W82" s="6">
        <v>33.9756</v>
      </c>
      <c r="X82" s="6">
        <v>30.172999999999998</v>
      </c>
      <c r="Y82" s="6">
        <v>18.625</v>
      </c>
      <c r="Z82" s="6">
        <v>37.547400000000003</v>
      </c>
      <c r="AA82" s="6">
        <v>32.890799999999999</v>
      </c>
      <c r="AB82" s="6">
        <v>37.647599999999997</v>
      </c>
      <c r="AC82" s="6"/>
      <c r="AD82" s="6">
        <f t="shared" si="25"/>
        <v>314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 t="s">
        <v>123</v>
      </c>
      <c r="B83" s="6" t="s">
        <v>31</v>
      </c>
      <c r="C83" s="6">
        <v>220</v>
      </c>
      <c r="D83" s="6">
        <v>573</v>
      </c>
      <c r="E83" s="6">
        <v>521</v>
      </c>
      <c r="F83" s="6">
        <v>250</v>
      </c>
      <c r="G83" s="7">
        <v>0.35</v>
      </c>
      <c r="H83" s="6">
        <v>50</v>
      </c>
      <c r="I83" s="6">
        <v>7169</v>
      </c>
      <c r="J83" s="6"/>
      <c r="K83" s="6">
        <v>539</v>
      </c>
      <c r="L83" s="6">
        <f t="shared" si="22"/>
        <v>-18</v>
      </c>
      <c r="M83" s="6"/>
      <c r="N83" s="6"/>
      <c r="O83" s="6">
        <v>651</v>
      </c>
      <c r="P83" s="6">
        <f>VLOOKUP(A83,[1]TDSheet!$A:$B,2,0)</f>
        <v>568</v>
      </c>
      <c r="Q83" s="6">
        <f t="shared" si="23"/>
        <v>104.2</v>
      </c>
      <c r="R83" s="8">
        <f>15*Q83-O83-F83-P83</f>
        <v>94</v>
      </c>
      <c r="S83" s="8">
        <f t="shared" si="24"/>
        <v>94</v>
      </c>
      <c r="T83" s="6">
        <f>(F83+O83+R83+P83)/Q83</f>
        <v>15</v>
      </c>
      <c r="U83" s="6">
        <f>(F83+O83+P83)/Q83</f>
        <v>14.0978886756238</v>
      </c>
      <c r="V83" s="6">
        <v>95.2</v>
      </c>
      <c r="W83" s="6">
        <v>90</v>
      </c>
      <c r="X83" s="6">
        <v>103.2</v>
      </c>
      <c r="Y83" s="6">
        <v>74.8</v>
      </c>
      <c r="Z83" s="6">
        <v>110.6</v>
      </c>
      <c r="AA83" s="6">
        <v>86.2</v>
      </c>
      <c r="AB83" s="6">
        <v>95.8</v>
      </c>
      <c r="AC83" s="6"/>
      <c r="AD83" s="6">
        <f t="shared" si="25"/>
        <v>32.9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 t="s">
        <v>124</v>
      </c>
      <c r="B84" s="6" t="s">
        <v>31</v>
      </c>
      <c r="C84" s="6">
        <v>50</v>
      </c>
      <c r="D84" s="6">
        <v>157</v>
      </c>
      <c r="E84" s="6">
        <v>141</v>
      </c>
      <c r="F84" s="6">
        <v>64</v>
      </c>
      <c r="G84" s="7">
        <v>0.3</v>
      </c>
      <c r="H84" s="6">
        <v>50</v>
      </c>
      <c r="I84" s="6">
        <v>7187</v>
      </c>
      <c r="J84" s="6"/>
      <c r="K84" s="6">
        <v>144</v>
      </c>
      <c r="L84" s="6">
        <f t="shared" si="22"/>
        <v>-3</v>
      </c>
      <c r="M84" s="6"/>
      <c r="N84" s="6"/>
      <c r="O84" s="6">
        <v>78</v>
      </c>
      <c r="P84" s="6"/>
      <c r="Q84" s="6">
        <f t="shared" si="23"/>
        <v>28.2</v>
      </c>
      <c r="R84" s="8">
        <f t="shared" si="27"/>
        <v>281</v>
      </c>
      <c r="S84" s="8">
        <f t="shared" si="24"/>
        <v>281</v>
      </c>
      <c r="T84" s="6">
        <f>(F84+O84+R84)/Q84</f>
        <v>15</v>
      </c>
      <c r="U84" s="6">
        <f>(F84+O84)/Q84</f>
        <v>5.0354609929078018</v>
      </c>
      <c r="V84" s="6">
        <v>19.2</v>
      </c>
      <c r="W84" s="6">
        <v>21.6</v>
      </c>
      <c r="X84" s="6">
        <v>18.399999999999999</v>
      </c>
      <c r="Y84" s="6">
        <v>12.4</v>
      </c>
      <c r="Z84" s="6">
        <v>21.4</v>
      </c>
      <c r="AA84" s="6">
        <v>15.8</v>
      </c>
      <c r="AB84" s="6">
        <v>15.6</v>
      </c>
      <c r="AC84" s="6"/>
      <c r="AD84" s="6">
        <f t="shared" si="25"/>
        <v>84.3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 t="s">
        <v>125</v>
      </c>
      <c r="B85" s="6" t="s">
        <v>31</v>
      </c>
      <c r="C85" s="6">
        <v>171</v>
      </c>
      <c r="D85" s="6"/>
      <c r="E85" s="6">
        <v>29</v>
      </c>
      <c r="F85" s="6">
        <v>66</v>
      </c>
      <c r="G85" s="7">
        <v>0.3</v>
      </c>
      <c r="H85" s="6">
        <v>60</v>
      </c>
      <c r="I85" s="6">
        <v>7231</v>
      </c>
      <c r="J85" s="6"/>
      <c r="K85" s="6">
        <v>32</v>
      </c>
      <c r="L85" s="6">
        <f t="shared" si="22"/>
        <v>-3</v>
      </c>
      <c r="M85" s="6"/>
      <c r="N85" s="6"/>
      <c r="O85" s="6">
        <v>0</v>
      </c>
      <c r="P85" s="6"/>
      <c r="Q85" s="6">
        <f t="shared" si="23"/>
        <v>5.8</v>
      </c>
      <c r="R85" s="8">
        <f>14*Q85-O85-F85</f>
        <v>15.200000000000003</v>
      </c>
      <c r="S85" s="8">
        <f t="shared" si="24"/>
        <v>15</v>
      </c>
      <c r="T85" s="6">
        <f>(F85+O85+R85)/Q85</f>
        <v>14.000000000000002</v>
      </c>
      <c r="U85" s="6">
        <f>(F85+O85)/Q85</f>
        <v>11.379310344827587</v>
      </c>
      <c r="V85" s="6">
        <v>9</v>
      </c>
      <c r="W85" s="6">
        <v>6.4</v>
      </c>
      <c r="X85" s="6">
        <v>3.4</v>
      </c>
      <c r="Y85" s="6">
        <v>4.8</v>
      </c>
      <c r="Z85" s="6">
        <v>6.2</v>
      </c>
      <c r="AA85" s="6">
        <v>4.4000000000000004</v>
      </c>
      <c r="AB85" s="6">
        <v>2</v>
      </c>
      <c r="AC85" s="6"/>
      <c r="AD85" s="6">
        <f t="shared" si="25"/>
        <v>4.5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 t="s">
        <v>126</v>
      </c>
      <c r="B86" s="6" t="s">
        <v>31</v>
      </c>
      <c r="C86" s="6">
        <v>78</v>
      </c>
      <c r="D86" s="6">
        <v>436</v>
      </c>
      <c r="E86" s="6">
        <v>264</v>
      </c>
      <c r="F86" s="6">
        <v>220</v>
      </c>
      <c r="G86" s="7">
        <v>0.28000000000000003</v>
      </c>
      <c r="H86" s="6">
        <v>50</v>
      </c>
      <c r="I86" s="6">
        <v>7232</v>
      </c>
      <c r="J86" s="6"/>
      <c r="K86" s="6">
        <v>295</v>
      </c>
      <c r="L86" s="6">
        <f t="shared" si="22"/>
        <v>-31</v>
      </c>
      <c r="M86" s="6"/>
      <c r="N86" s="6"/>
      <c r="O86" s="6">
        <v>461</v>
      </c>
      <c r="P86" s="6">
        <f>VLOOKUP(A86,[1]TDSheet!$A:$B,2,0)</f>
        <v>144</v>
      </c>
      <c r="Q86" s="6">
        <f t="shared" si="23"/>
        <v>52.8</v>
      </c>
      <c r="R86" s="8"/>
      <c r="S86" s="8">
        <f t="shared" si="24"/>
        <v>0</v>
      </c>
      <c r="T86" s="6">
        <f>(F86+O86+R86+P86)/Q86</f>
        <v>15.625</v>
      </c>
      <c r="U86" s="6">
        <f t="shared" ref="U86:U87" si="28">(F86+O86+P86)/Q86</f>
        <v>15.625</v>
      </c>
      <c r="V86" s="6">
        <v>65.599999999999994</v>
      </c>
      <c r="W86" s="6">
        <v>54.8</v>
      </c>
      <c r="X86" s="6">
        <v>60.4</v>
      </c>
      <c r="Y86" s="6">
        <v>54.2</v>
      </c>
      <c r="Z86" s="6">
        <v>56.8</v>
      </c>
      <c r="AA86" s="6">
        <v>44.2</v>
      </c>
      <c r="AB86" s="6">
        <v>32</v>
      </c>
      <c r="AC86" s="6"/>
      <c r="AD86" s="6">
        <f t="shared" si="25"/>
        <v>0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 t="s">
        <v>127</v>
      </c>
      <c r="B87" s="6" t="s">
        <v>31</v>
      </c>
      <c r="C87" s="6">
        <v>261</v>
      </c>
      <c r="D87" s="6">
        <v>144</v>
      </c>
      <c r="E87" s="6">
        <v>299</v>
      </c>
      <c r="F87" s="6">
        <v>92</v>
      </c>
      <c r="G87" s="7">
        <v>0.28000000000000003</v>
      </c>
      <c r="H87" s="6">
        <v>45</v>
      </c>
      <c r="I87" s="6">
        <v>7236</v>
      </c>
      <c r="J87" s="6"/>
      <c r="K87" s="6">
        <v>313</v>
      </c>
      <c r="L87" s="6">
        <f t="shared" si="22"/>
        <v>-14</v>
      </c>
      <c r="M87" s="6"/>
      <c r="N87" s="6"/>
      <c r="O87" s="6">
        <v>427</v>
      </c>
      <c r="P87" s="6">
        <f>VLOOKUP(A87,[1]TDSheet!$A:$B,2,0)</f>
        <v>104</v>
      </c>
      <c r="Q87" s="6">
        <f t="shared" si="23"/>
        <v>59.8</v>
      </c>
      <c r="R87" s="8">
        <f t="shared" ref="R87" si="29">15*Q87-O87-F87-P87</f>
        <v>274</v>
      </c>
      <c r="S87" s="8">
        <f t="shared" si="24"/>
        <v>274</v>
      </c>
      <c r="T87" s="6">
        <f>(F87+O87+R87+P87)/Q87</f>
        <v>15</v>
      </c>
      <c r="U87" s="6">
        <f t="shared" si="28"/>
        <v>10.418060200668897</v>
      </c>
      <c r="V87" s="6">
        <v>55.2</v>
      </c>
      <c r="W87" s="6">
        <v>44.4</v>
      </c>
      <c r="X87" s="6">
        <v>60.6</v>
      </c>
      <c r="Y87" s="6">
        <v>61</v>
      </c>
      <c r="Z87" s="6">
        <v>47</v>
      </c>
      <c r="AA87" s="6">
        <v>60.2</v>
      </c>
      <c r="AB87" s="6">
        <v>69.400000000000006</v>
      </c>
      <c r="AC87" s="6"/>
      <c r="AD87" s="6">
        <f t="shared" si="25"/>
        <v>76.720000000000013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 t="s">
        <v>128</v>
      </c>
      <c r="B88" s="6" t="s">
        <v>31</v>
      </c>
      <c r="C88" s="6">
        <v>103</v>
      </c>
      <c r="D88" s="6">
        <v>4</v>
      </c>
      <c r="E88" s="6">
        <v>48</v>
      </c>
      <c r="F88" s="6">
        <v>47</v>
      </c>
      <c r="G88" s="7">
        <v>0.28000000000000003</v>
      </c>
      <c r="H88" s="6">
        <v>45</v>
      </c>
      <c r="I88" s="6">
        <v>7237</v>
      </c>
      <c r="J88" s="6"/>
      <c r="K88" s="6">
        <v>60</v>
      </c>
      <c r="L88" s="6">
        <f t="shared" si="22"/>
        <v>-12</v>
      </c>
      <c r="M88" s="6"/>
      <c r="N88" s="6"/>
      <c r="O88" s="6">
        <v>137</v>
      </c>
      <c r="P88" s="6"/>
      <c r="Q88" s="6">
        <f t="shared" si="23"/>
        <v>9.6</v>
      </c>
      <c r="R88" s="8"/>
      <c r="S88" s="8">
        <f t="shared" si="24"/>
        <v>0</v>
      </c>
      <c r="T88" s="6">
        <f>(F88+O88+R88)/Q88</f>
        <v>19.166666666666668</v>
      </c>
      <c r="U88" s="6">
        <f>(F88+O88)/Q88</f>
        <v>19.166666666666668</v>
      </c>
      <c r="V88" s="6">
        <v>16</v>
      </c>
      <c r="W88" s="6">
        <v>7.2</v>
      </c>
      <c r="X88" s="6">
        <v>9.4</v>
      </c>
      <c r="Y88" s="6">
        <v>15.6</v>
      </c>
      <c r="Z88" s="6">
        <v>7.8</v>
      </c>
      <c r="AA88" s="6">
        <v>14</v>
      </c>
      <c r="AB88" s="6">
        <v>16.600000000000001</v>
      </c>
      <c r="AC88" s="6"/>
      <c r="AD88" s="6">
        <f t="shared" si="25"/>
        <v>0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 t="s">
        <v>129</v>
      </c>
      <c r="B89" s="6" t="s">
        <v>31</v>
      </c>
      <c r="C89" s="6">
        <v>98</v>
      </c>
      <c r="D89" s="6">
        <v>366</v>
      </c>
      <c r="E89" s="6">
        <v>244</v>
      </c>
      <c r="F89" s="6">
        <v>213</v>
      </c>
      <c r="G89" s="7">
        <v>0.28000000000000003</v>
      </c>
      <c r="H89" s="6">
        <v>45</v>
      </c>
      <c r="I89" s="6">
        <v>7241</v>
      </c>
      <c r="J89" s="6"/>
      <c r="K89" s="6">
        <v>247</v>
      </c>
      <c r="L89" s="6">
        <f t="shared" si="22"/>
        <v>-3</v>
      </c>
      <c r="M89" s="6"/>
      <c r="N89" s="6"/>
      <c r="O89" s="6">
        <v>193</v>
      </c>
      <c r="P89" s="6">
        <f>VLOOKUP(A89,[1]TDSheet!$A:$B,2,0)</f>
        <v>104</v>
      </c>
      <c r="Q89" s="6">
        <f t="shared" si="23"/>
        <v>48.8</v>
      </c>
      <c r="R89" s="8">
        <f>15*Q89-O89-F89-P89</f>
        <v>222</v>
      </c>
      <c r="S89" s="8">
        <f t="shared" si="24"/>
        <v>222</v>
      </c>
      <c r="T89" s="6">
        <f>(F89+O89+R89+P89)/Q89</f>
        <v>15</v>
      </c>
      <c r="U89" s="6">
        <f>(F89+O89+P89)/Q89</f>
        <v>10.450819672131148</v>
      </c>
      <c r="V89" s="6">
        <v>44.4</v>
      </c>
      <c r="W89" s="6">
        <v>43.2</v>
      </c>
      <c r="X89" s="6">
        <v>40</v>
      </c>
      <c r="Y89" s="6">
        <v>44.6</v>
      </c>
      <c r="Z89" s="6">
        <v>35.799999999999997</v>
      </c>
      <c r="AA89" s="6">
        <v>31.2</v>
      </c>
      <c r="AB89" s="6">
        <v>45</v>
      </c>
      <c r="AC89" s="6"/>
      <c r="AD89" s="6">
        <f t="shared" si="25"/>
        <v>62.160000000000004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 t="s">
        <v>130</v>
      </c>
      <c r="B90" s="6" t="s">
        <v>31</v>
      </c>
      <c r="C90" s="6">
        <v>233</v>
      </c>
      <c r="D90" s="6">
        <v>687</v>
      </c>
      <c r="E90" s="6">
        <v>448</v>
      </c>
      <c r="F90" s="6">
        <v>445</v>
      </c>
      <c r="G90" s="7">
        <v>0.4</v>
      </c>
      <c r="H90" s="6">
        <v>50</v>
      </c>
      <c r="I90" s="6">
        <v>7255</v>
      </c>
      <c r="J90" s="6"/>
      <c r="K90" s="6">
        <v>460</v>
      </c>
      <c r="L90" s="6">
        <f t="shared" si="22"/>
        <v>-12</v>
      </c>
      <c r="M90" s="6"/>
      <c r="N90" s="6"/>
      <c r="O90" s="6">
        <v>530</v>
      </c>
      <c r="P90" s="6"/>
      <c r="Q90" s="6">
        <f t="shared" si="23"/>
        <v>89.6</v>
      </c>
      <c r="R90" s="8">
        <f t="shared" si="27"/>
        <v>369</v>
      </c>
      <c r="S90" s="8">
        <f t="shared" si="24"/>
        <v>369</v>
      </c>
      <c r="T90" s="6">
        <f t="shared" ref="T90:T103" si="30">(F90+O90+R90)/Q90</f>
        <v>15.000000000000002</v>
      </c>
      <c r="U90" s="6">
        <f t="shared" ref="U90:U103" si="31">(F90+O90)/Q90</f>
        <v>10.881696428571429</v>
      </c>
      <c r="V90" s="6">
        <v>96</v>
      </c>
      <c r="W90" s="6">
        <v>94.4</v>
      </c>
      <c r="X90" s="6">
        <v>101.8</v>
      </c>
      <c r="Y90" s="6">
        <v>92.8</v>
      </c>
      <c r="Z90" s="6">
        <v>89</v>
      </c>
      <c r="AA90" s="6">
        <v>89.4</v>
      </c>
      <c r="AB90" s="6">
        <v>95</v>
      </c>
      <c r="AC90" s="6"/>
      <c r="AD90" s="6">
        <f t="shared" si="25"/>
        <v>147.6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11" t="s">
        <v>131</v>
      </c>
      <c r="B91" s="11" t="s">
        <v>31</v>
      </c>
      <c r="C91" s="11">
        <v>-3</v>
      </c>
      <c r="D91" s="11"/>
      <c r="E91" s="15">
        <v>10</v>
      </c>
      <c r="F91" s="15">
        <v>-14</v>
      </c>
      <c r="G91" s="12">
        <v>0</v>
      </c>
      <c r="H91" s="11"/>
      <c r="I91" s="11" t="s">
        <v>43</v>
      </c>
      <c r="J91" s="11" t="s">
        <v>132</v>
      </c>
      <c r="K91" s="11">
        <v>24</v>
      </c>
      <c r="L91" s="11">
        <f t="shared" si="22"/>
        <v>-14</v>
      </c>
      <c r="M91" s="11"/>
      <c r="N91" s="11"/>
      <c r="O91" s="11">
        <v>0</v>
      </c>
      <c r="P91" s="6"/>
      <c r="Q91" s="11">
        <f t="shared" si="23"/>
        <v>2</v>
      </c>
      <c r="R91" s="13"/>
      <c r="S91" s="8">
        <f t="shared" si="24"/>
        <v>0</v>
      </c>
      <c r="T91" s="11">
        <f t="shared" si="30"/>
        <v>-7</v>
      </c>
      <c r="U91" s="11">
        <f t="shared" si="31"/>
        <v>-7</v>
      </c>
      <c r="V91" s="11">
        <v>0.4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/>
      <c r="AD91" s="6">
        <f t="shared" si="25"/>
        <v>0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 t="s">
        <v>133</v>
      </c>
      <c r="B92" s="6" t="s">
        <v>31</v>
      </c>
      <c r="C92" s="6">
        <v>32</v>
      </c>
      <c r="D92" s="6">
        <v>20</v>
      </c>
      <c r="E92" s="6">
        <v>43</v>
      </c>
      <c r="F92" s="6">
        <v>9</v>
      </c>
      <c r="G92" s="7">
        <v>0.1</v>
      </c>
      <c r="H92" s="6">
        <v>60</v>
      </c>
      <c r="I92" s="6" t="s">
        <v>64</v>
      </c>
      <c r="J92" s="6"/>
      <c r="K92" s="6">
        <v>43</v>
      </c>
      <c r="L92" s="6">
        <f t="shared" si="22"/>
        <v>0</v>
      </c>
      <c r="M92" s="6"/>
      <c r="N92" s="6"/>
      <c r="O92" s="6">
        <v>4</v>
      </c>
      <c r="P92" s="6"/>
      <c r="Q92" s="6">
        <f t="shared" si="23"/>
        <v>8.6</v>
      </c>
      <c r="R92" s="8">
        <f>12*Q92-O92-F92</f>
        <v>90.199999999999989</v>
      </c>
      <c r="S92" s="8">
        <f t="shared" si="24"/>
        <v>90</v>
      </c>
      <c r="T92" s="6">
        <f t="shared" si="30"/>
        <v>12</v>
      </c>
      <c r="U92" s="6">
        <f t="shared" si="31"/>
        <v>1.5116279069767442</v>
      </c>
      <c r="V92" s="6">
        <v>4.2</v>
      </c>
      <c r="W92" s="6">
        <v>2.6</v>
      </c>
      <c r="X92" s="6">
        <v>8</v>
      </c>
      <c r="Y92" s="6">
        <v>6.4</v>
      </c>
      <c r="Z92" s="6">
        <v>5.8</v>
      </c>
      <c r="AA92" s="6">
        <v>7.8</v>
      </c>
      <c r="AB92" s="6">
        <v>6.4</v>
      </c>
      <c r="AC92" s="6" t="s">
        <v>153</v>
      </c>
      <c r="AD92" s="6">
        <f t="shared" si="25"/>
        <v>9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 t="s">
        <v>134</v>
      </c>
      <c r="B93" s="6" t="s">
        <v>33</v>
      </c>
      <c r="C93" s="6"/>
      <c r="D93" s="6"/>
      <c r="E93" s="6"/>
      <c r="F93" s="6"/>
      <c r="G93" s="7">
        <v>1</v>
      </c>
      <c r="H93" s="6">
        <v>30</v>
      </c>
      <c r="I93" s="6">
        <v>7299</v>
      </c>
      <c r="J93" s="6"/>
      <c r="K93" s="6"/>
      <c r="L93" s="6">
        <f t="shared" si="22"/>
        <v>0</v>
      </c>
      <c r="M93" s="6"/>
      <c r="N93" s="6"/>
      <c r="O93" s="6">
        <v>50</v>
      </c>
      <c r="P93" s="6"/>
      <c r="Q93" s="6">
        <f t="shared" si="23"/>
        <v>0</v>
      </c>
      <c r="R93" s="8"/>
      <c r="S93" s="8">
        <f t="shared" si="24"/>
        <v>0</v>
      </c>
      <c r="T93" s="6" t="e">
        <f t="shared" si="30"/>
        <v>#DIV/0!</v>
      </c>
      <c r="U93" s="6" t="e">
        <f t="shared" si="31"/>
        <v>#DIV/0!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 t="s">
        <v>135</v>
      </c>
      <c r="AD93" s="6">
        <f t="shared" si="25"/>
        <v>0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 t="s">
        <v>136</v>
      </c>
      <c r="B94" s="6" t="s">
        <v>31</v>
      </c>
      <c r="C94" s="6">
        <v>3</v>
      </c>
      <c r="D94" s="6">
        <v>56</v>
      </c>
      <c r="E94" s="6">
        <v>22</v>
      </c>
      <c r="F94" s="6">
        <v>35</v>
      </c>
      <c r="G94" s="7">
        <v>0.28000000000000003</v>
      </c>
      <c r="H94" s="6">
        <v>50</v>
      </c>
      <c r="I94" s="6">
        <v>7332</v>
      </c>
      <c r="J94" s="6"/>
      <c r="K94" s="6">
        <v>24</v>
      </c>
      <c r="L94" s="6">
        <f t="shared" si="22"/>
        <v>-2</v>
      </c>
      <c r="M94" s="6"/>
      <c r="N94" s="6"/>
      <c r="O94" s="6">
        <v>0</v>
      </c>
      <c r="P94" s="6"/>
      <c r="Q94" s="6">
        <f t="shared" si="23"/>
        <v>4.4000000000000004</v>
      </c>
      <c r="R94" s="8">
        <f t="shared" ref="R94:R98" si="32">15*Q94-O94-F94</f>
        <v>31</v>
      </c>
      <c r="S94" s="8">
        <f t="shared" si="24"/>
        <v>31</v>
      </c>
      <c r="T94" s="6">
        <f t="shared" si="30"/>
        <v>14.999999999999998</v>
      </c>
      <c r="U94" s="6">
        <f t="shared" si="31"/>
        <v>7.9545454545454541</v>
      </c>
      <c r="V94" s="6">
        <v>3.6</v>
      </c>
      <c r="W94" s="6">
        <v>6.4</v>
      </c>
      <c r="X94" s="6">
        <v>5.2</v>
      </c>
      <c r="Y94" s="6">
        <v>5.6</v>
      </c>
      <c r="Z94" s="6">
        <v>6.2</v>
      </c>
      <c r="AA94" s="6">
        <v>5.8</v>
      </c>
      <c r="AB94" s="6">
        <v>11</v>
      </c>
      <c r="AC94" s="6"/>
      <c r="AD94" s="6">
        <f t="shared" si="25"/>
        <v>8.6800000000000015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 t="s">
        <v>137</v>
      </c>
      <c r="B95" s="6" t="s">
        <v>31</v>
      </c>
      <c r="C95" s="6">
        <v>6</v>
      </c>
      <c r="D95" s="6"/>
      <c r="E95" s="6">
        <v>2</v>
      </c>
      <c r="F95" s="6">
        <v>4</v>
      </c>
      <c r="G95" s="7">
        <v>0.28000000000000003</v>
      </c>
      <c r="H95" s="6">
        <v>50</v>
      </c>
      <c r="I95" s="6">
        <v>7333</v>
      </c>
      <c r="J95" s="6"/>
      <c r="K95" s="6">
        <v>3</v>
      </c>
      <c r="L95" s="6">
        <f t="shared" si="22"/>
        <v>-1</v>
      </c>
      <c r="M95" s="6"/>
      <c r="N95" s="6"/>
      <c r="O95" s="6">
        <v>0</v>
      </c>
      <c r="P95" s="6"/>
      <c r="Q95" s="6">
        <f t="shared" si="23"/>
        <v>0.4</v>
      </c>
      <c r="R95" s="8">
        <v>6</v>
      </c>
      <c r="S95" s="8">
        <f t="shared" si="24"/>
        <v>6</v>
      </c>
      <c r="T95" s="6">
        <f t="shared" si="30"/>
        <v>25</v>
      </c>
      <c r="U95" s="6">
        <f t="shared" si="31"/>
        <v>10</v>
      </c>
      <c r="V95" s="6">
        <v>0.2</v>
      </c>
      <c r="W95" s="6">
        <v>0.6</v>
      </c>
      <c r="X95" s="6">
        <v>0.2</v>
      </c>
      <c r="Y95" s="6">
        <v>0.6</v>
      </c>
      <c r="Z95" s="6">
        <v>0.4</v>
      </c>
      <c r="AA95" s="6">
        <v>0</v>
      </c>
      <c r="AB95" s="6">
        <v>1.2</v>
      </c>
      <c r="AC95" s="6"/>
      <c r="AD95" s="6">
        <f t="shared" si="25"/>
        <v>1.6800000000000002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 t="s">
        <v>138</v>
      </c>
      <c r="B96" s="6" t="s">
        <v>31</v>
      </c>
      <c r="C96" s="6">
        <v>186</v>
      </c>
      <c r="D96" s="6">
        <v>153</v>
      </c>
      <c r="E96" s="6">
        <v>158</v>
      </c>
      <c r="F96" s="6">
        <v>169</v>
      </c>
      <c r="G96" s="7">
        <v>0.3</v>
      </c>
      <c r="H96" s="6">
        <v>45</v>
      </c>
      <c r="I96" s="6">
        <v>7371</v>
      </c>
      <c r="J96" s="6"/>
      <c r="K96" s="6">
        <v>168</v>
      </c>
      <c r="L96" s="6">
        <f t="shared" si="22"/>
        <v>-10</v>
      </c>
      <c r="M96" s="6"/>
      <c r="N96" s="6"/>
      <c r="O96" s="6">
        <v>56</v>
      </c>
      <c r="P96" s="6"/>
      <c r="Q96" s="6">
        <f t="shared" si="23"/>
        <v>31.6</v>
      </c>
      <c r="R96" s="8">
        <f t="shared" si="32"/>
        <v>249</v>
      </c>
      <c r="S96" s="8">
        <f t="shared" si="24"/>
        <v>249</v>
      </c>
      <c r="T96" s="6">
        <f t="shared" si="30"/>
        <v>15</v>
      </c>
      <c r="U96" s="6">
        <f t="shared" si="31"/>
        <v>7.1202531645569618</v>
      </c>
      <c r="V96" s="6">
        <v>25.8</v>
      </c>
      <c r="W96" s="6">
        <v>16.399999999999999</v>
      </c>
      <c r="X96" s="6">
        <v>39</v>
      </c>
      <c r="Y96" s="6">
        <v>22.2</v>
      </c>
      <c r="Z96" s="6">
        <v>37</v>
      </c>
      <c r="AA96" s="6">
        <v>35.799999999999997</v>
      </c>
      <c r="AB96" s="6">
        <v>24.6</v>
      </c>
      <c r="AC96" s="6"/>
      <c r="AD96" s="6">
        <f t="shared" si="25"/>
        <v>74.7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 t="s">
        <v>139</v>
      </c>
      <c r="B97" s="6" t="s">
        <v>31</v>
      </c>
      <c r="C97" s="6">
        <v>15</v>
      </c>
      <c r="D97" s="6">
        <v>198</v>
      </c>
      <c r="E97" s="6">
        <v>132</v>
      </c>
      <c r="F97" s="6">
        <v>69</v>
      </c>
      <c r="G97" s="7">
        <v>0.12</v>
      </c>
      <c r="H97" s="6">
        <v>60</v>
      </c>
      <c r="I97" s="6">
        <v>7382</v>
      </c>
      <c r="J97" s="6"/>
      <c r="K97" s="6">
        <v>143</v>
      </c>
      <c r="L97" s="6">
        <f t="shared" si="22"/>
        <v>-11</v>
      </c>
      <c r="M97" s="6"/>
      <c r="N97" s="6"/>
      <c r="O97" s="6">
        <v>280</v>
      </c>
      <c r="P97" s="6"/>
      <c r="Q97" s="6">
        <f t="shared" si="23"/>
        <v>26.4</v>
      </c>
      <c r="R97" s="8">
        <f t="shared" si="32"/>
        <v>47</v>
      </c>
      <c r="S97" s="8">
        <f t="shared" si="24"/>
        <v>47</v>
      </c>
      <c r="T97" s="6">
        <f t="shared" si="30"/>
        <v>15</v>
      </c>
      <c r="U97" s="6">
        <f t="shared" si="31"/>
        <v>13.219696969696971</v>
      </c>
      <c r="V97" s="6">
        <v>32.6</v>
      </c>
      <c r="W97" s="6">
        <v>18.399999999999999</v>
      </c>
      <c r="X97" s="6">
        <v>33.799999999999997</v>
      </c>
      <c r="Y97" s="6">
        <v>18.8</v>
      </c>
      <c r="Z97" s="6">
        <v>24.8</v>
      </c>
      <c r="AA97" s="6">
        <v>32</v>
      </c>
      <c r="AB97" s="6">
        <v>26.6</v>
      </c>
      <c r="AC97" s="6"/>
      <c r="AD97" s="6">
        <f t="shared" si="25"/>
        <v>5.64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 t="s">
        <v>132</v>
      </c>
      <c r="B98" s="6" t="s">
        <v>31</v>
      </c>
      <c r="C98" s="6">
        <v>192</v>
      </c>
      <c r="D98" s="6">
        <v>19</v>
      </c>
      <c r="E98" s="15">
        <f>190+E91</f>
        <v>200</v>
      </c>
      <c r="F98" s="15">
        <f>-3+F91</f>
        <v>-17</v>
      </c>
      <c r="G98" s="7">
        <v>0.33</v>
      </c>
      <c r="H98" s="6">
        <v>30</v>
      </c>
      <c r="I98" s="6">
        <v>7461</v>
      </c>
      <c r="J98" s="6"/>
      <c r="K98" s="6">
        <v>235</v>
      </c>
      <c r="L98" s="6">
        <f t="shared" si="22"/>
        <v>-35</v>
      </c>
      <c r="M98" s="6"/>
      <c r="N98" s="6"/>
      <c r="O98" s="6">
        <v>357</v>
      </c>
      <c r="P98" s="6"/>
      <c r="Q98" s="6">
        <f t="shared" si="23"/>
        <v>40</v>
      </c>
      <c r="R98" s="8">
        <f t="shared" si="32"/>
        <v>260</v>
      </c>
      <c r="S98" s="8">
        <f t="shared" si="24"/>
        <v>260</v>
      </c>
      <c r="T98" s="6">
        <f t="shared" si="30"/>
        <v>15</v>
      </c>
      <c r="U98" s="6">
        <f t="shared" si="31"/>
        <v>8.5</v>
      </c>
      <c r="V98" s="6">
        <v>37.4</v>
      </c>
      <c r="W98" s="6">
        <v>23</v>
      </c>
      <c r="X98" s="6">
        <v>38</v>
      </c>
      <c r="Y98" s="6">
        <v>49.6</v>
      </c>
      <c r="Z98" s="6">
        <v>18</v>
      </c>
      <c r="AA98" s="6">
        <v>29.2</v>
      </c>
      <c r="AB98" s="6">
        <v>30.6</v>
      </c>
      <c r="AC98" s="6"/>
      <c r="AD98" s="6">
        <f t="shared" si="25"/>
        <v>85.8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11" t="s">
        <v>140</v>
      </c>
      <c r="B99" s="11" t="s">
        <v>31</v>
      </c>
      <c r="C99" s="11">
        <v>-1</v>
      </c>
      <c r="D99" s="11"/>
      <c r="E99" s="11"/>
      <c r="F99" s="15">
        <v>-1</v>
      </c>
      <c r="G99" s="12">
        <v>0</v>
      </c>
      <c r="H99" s="11"/>
      <c r="I99" s="11" t="s">
        <v>43</v>
      </c>
      <c r="J99" s="11" t="s">
        <v>65</v>
      </c>
      <c r="K99" s="11">
        <v>1</v>
      </c>
      <c r="L99" s="11">
        <f t="shared" si="22"/>
        <v>-1</v>
      </c>
      <c r="M99" s="11"/>
      <c r="N99" s="11"/>
      <c r="O99" s="11">
        <v>0</v>
      </c>
      <c r="P99" s="6"/>
      <c r="Q99" s="11">
        <f t="shared" si="23"/>
        <v>0</v>
      </c>
      <c r="R99" s="13"/>
      <c r="S99" s="8">
        <f t="shared" si="24"/>
        <v>0</v>
      </c>
      <c r="T99" s="11" t="e">
        <f t="shared" si="30"/>
        <v>#DIV/0!</v>
      </c>
      <c r="U99" s="11" t="e">
        <f t="shared" si="31"/>
        <v>#DIV/0!</v>
      </c>
      <c r="V99" s="11">
        <v>0</v>
      </c>
      <c r="W99" s="11">
        <v>0.2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/>
      <c r="AD99" s="6">
        <f t="shared" si="25"/>
        <v>0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 t="s">
        <v>141</v>
      </c>
      <c r="B100" s="6" t="s">
        <v>31</v>
      </c>
      <c r="C100" s="6">
        <v>119</v>
      </c>
      <c r="D100" s="6">
        <v>5</v>
      </c>
      <c r="E100" s="6">
        <v>78</v>
      </c>
      <c r="F100" s="6">
        <v>40</v>
      </c>
      <c r="G100" s="7">
        <v>0.28000000000000003</v>
      </c>
      <c r="H100" s="6">
        <v>45</v>
      </c>
      <c r="I100" s="6">
        <v>7489</v>
      </c>
      <c r="J100" s="6"/>
      <c r="K100" s="6">
        <v>83</v>
      </c>
      <c r="L100" s="6">
        <f t="shared" si="22"/>
        <v>-5</v>
      </c>
      <c r="M100" s="6"/>
      <c r="N100" s="6"/>
      <c r="O100" s="6">
        <v>0</v>
      </c>
      <c r="P100" s="6"/>
      <c r="Q100" s="6">
        <f t="shared" si="23"/>
        <v>15.6</v>
      </c>
      <c r="R100" s="8">
        <f>12*Q100-O100-F100</f>
        <v>147.19999999999999</v>
      </c>
      <c r="S100" s="8">
        <f t="shared" si="24"/>
        <v>147</v>
      </c>
      <c r="T100" s="6">
        <f t="shared" si="30"/>
        <v>12</v>
      </c>
      <c r="U100" s="6">
        <f t="shared" si="31"/>
        <v>2.5641025641025643</v>
      </c>
      <c r="V100" s="6">
        <v>7.4</v>
      </c>
      <c r="W100" s="6">
        <v>15.8</v>
      </c>
      <c r="X100" s="6">
        <v>2.8</v>
      </c>
      <c r="Y100" s="6">
        <v>0</v>
      </c>
      <c r="Z100" s="6">
        <v>0</v>
      </c>
      <c r="AA100" s="6">
        <v>0</v>
      </c>
      <c r="AB100" s="6">
        <v>0</v>
      </c>
      <c r="AC100" s="6"/>
      <c r="AD100" s="6">
        <f t="shared" si="25"/>
        <v>41.160000000000004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 t="s">
        <v>60</v>
      </c>
      <c r="B101" s="6" t="s">
        <v>31</v>
      </c>
      <c r="C101" s="6">
        <v>9</v>
      </c>
      <c r="D101" s="6">
        <v>272</v>
      </c>
      <c r="E101" s="6">
        <v>93</v>
      </c>
      <c r="F101" s="15">
        <f>184+F29</f>
        <v>182</v>
      </c>
      <c r="G101" s="7">
        <v>0.4</v>
      </c>
      <c r="H101" s="6">
        <v>60</v>
      </c>
      <c r="I101" s="6">
        <v>7523</v>
      </c>
      <c r="J101" s="6"/>
      <c r="K101" s="6">
        <v>95</v>
      </c>
      <c r="L101" s="6">
        <f t="shared" si="22"/>
        <v>-2</v>
      </c>
      <c r="M101" s="6"/>
      <c r="N101" s="6"/>
      <c r="O101" s="6">
        <v>0</v>
      </c>
      <c r="P101" s="6"/>
      <c r="Q101" s="6">
        <f t="shared" si="23"/>
        <v>18.600000000000001</v>
      </c>
      <c r="R101" s="8">
        <f t="shared" ref="R101" si="33">15*Q101-O101-F101</f>
        <v>97</v>
      </c>
      <c r="S101" s="8">
        <f t="shared" si="24"/>
        <v>97</v>
      </c>
      <c r="T101" s="6">
        <f t="shared" si="30"/>
        <v>14.999999999999998</v>
      </c>
      <c r="U101" s="6">
        <f t="shared" si="31"/>
        <v>9.7849462365591382</v>
      </c>
      <c r="V101" s="6">
        <v>15.8</v>
      </c>
      <c r="W101" s="6">
        <v>22.2</v>
      </c>
      <c r="X101" s="6">
        <v>20.399999999999999</v>
      </c>
      <c r="Y101" s="6">
        <v>15.8</v>
      </c>
      <c r="Z101" s="6">
        <v>16</v>
      </c>
      <c r="AA101" s="6">
        <v>20</v>
      </c>
      <c r="AB101" s="6">
        <v>14</v>
      </c>
      <c r="AC101" s="6"/>
      <c r="AD101" s="6">
        <f t="shared" si="25"/>
        <v>38.800000000000004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 t="s">
        <v>65</v>
      </c>
      <c r="B102" s="6" t="s">
        <v>31</v>
      </c>
      <c r="C102" s="6">
        <v>63</v>
      </c>
      <c r="D102" s="6">
        <v>24</v>
      </c>
      <c r="E102" s="15">
        <f>0+E32</f>
        <v>3</v>
      </c>
      <c r="F102" s="15">
        <f>87+F32+F99</f>
        <v>62</v>
      </c>
      <c r="G102" s="7">
        <v>0.35</v>
      </c>
      <c r="H102" s="6">
        <v>60</v>
      </c>
      <c r="I102" s="6">
        <v>7539</v>
      </c>
      <c r="J102" s="6"/>
      <c r="K102" s="6"/>
      <c r="L102" s="6">
        <f t="shared" ref="L102:L110" si="34">E102-K102</f>
        <v>3</v>
      </c>
      <c r="M102" s="6"/>
      <c r="N102" s="6"/>
      <c r="O102" s="6">
        <v>0</v>
      </c>
      <c r="P102" s="6"/>
      <c r="Q102" s="6">
        <f t="shared" ref="Q102:Q110" si="35">E102/5</f>
        <v>0.6</v>
      </c>
      <c r="R102" s="8"/>
      <c r="S102" s="8">
        <f t="shared" si="24"/>
        <v>0</v>
      </c>
      <c r="T102" s="6">
        <f t="shared" si="30"/>
        <v>103.33333333333334</v>
      </c>
      <c r="U102" s="6">
        <f t="shared" si="31"/>
        <v>103.33333333333334</v>
      </c>
      <c r="V102" s="6">
        <v>2.6</v>
      </c>
      <c r="W102" s="6">
        <v>1.8</v>
      </c>
      <c r="X102" s="6">
        <v>0.4</v>
      </c>
      <c r="Y102" s="6">
        <v>0.8</v>
      </c>
      <c r="Z102" s="6">
        <v>0.4</v>
      </c>
      <c r="AA102" s="6">
        <v>0</v>
      </c>
      <c r="AB102" s="6">
        <v>0</v>
      </c>
      <c r="AC102" s="18" t="s">
        <v>151</v>
      </c>
      <c r="AD102" s="6">
        <f t="shared" si="25"/>
        <v>0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 t="s">
        <v>121</v>
      </c>
      <c r="B103" s="6" t="s">
        <v>33</v>
      </c>
      <c r="C103" s="6">
        <v>106.172</v>
      </c>
      <c r="D103" s="6"/>
      <c r="E103" s="6">
        <v>79.763999999999996</v>
      </c>
      <c r="F103" s="15">
        <f>25.559+F79</f>
        <v>14.237000000000002</v>
      </c>
      <c r="G103" s="7">
        <v>1</v>
      </c>
      <c r="H103" s="6">
        <v>45</v>
      </c>
      <c r="I103" s="6">
        <v>7564</v>
      </c>
      <c r="J103" s="6"/>
      <c r="K103" s="6">
        <v>80.58</v>
      </c>
      <c r="L103" s="6">
        <f t="shared" si="34"/>
        <v>-0.8160000000000025</v>
      </c>
      <c r="M103" s="6"/>
      <c r="N103" s="6"/>
      <c r="O103" s="6">
        <v>0</v>
      </c>
      <c r="P103" s="6"/>
      <c r="Q103" s="6">
        <f t="shared" si="35"/>
        <v>15.9528</v>
      </c>
      <c r="R103" s="8">
        <f>5*Q103-O103-F103</f>
        <v>65.526999999999987</v>
      </c>
      <c r="S103" s="8">
        <f t="shared" si="24"/>
        <v>66</v>
      </c>
      <c r="T103" s="6">
        <f t="shared" si="30"/>
        <v>4.9999999999999991</v>
      </c>
      <c r="U103" s="6">
        <f t="shared" si="31"/>
        <v>0.89244521337946958</v>
      </c>
      <c r="V103" s="6">
        <v>3.9323999999999999</v>
      </c>
      <c r="W103" s="6">
        <v>2.3767999999999998</v>
      </c>
      <c r="X103" s="6">
        <v>0.50239999999999996</v>
      </c>
      <c r="Y103" s="6">
        <v>9.3881999999999994</v>
      </c>
      <c r="Z103" s="6">
        <v>0</v>
      </c>
      <c r="AA103" s="6">
        <v>0</v>
      </c>
      <c r="AB103" s="6">
        <v>0</v>
      </c>
      <c r="AC103" s="6"/>
      <c r="AD103" s="6">
        <f t="shared" si="25"/>
        <v>66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 t="s">
        <v>98</v>
      </c>
      <c r="B104" s="6" t="s">
        <v>31</v>
      </c>
      <c r="C104" s="6">
        <v>697</v>
      </c>
      <c r="D104" s="6"/>
      <c r="E104" s="15">
        <f>57+E58</f>
        <v>108</v>
      </c>
      <c r="F104" s="15">
        <f>636+F58</f>
        <v>427</v>
      </c>
      <c r="G104" s="7">
        <v>0.33</v>
      </c>
      <c r="H104" s="6">
        <v>45</v>
      </c>
      <c r="I104" s="6">
        <v>7603</v>
      </c>
      <c r="J104" s="6"/>
      <c r="K104" s="6">
        <v>61</v>
      </c>
      <c r="L104" s="6">
        <f t="shared" si="34"/>
        <v>47</v>
      </c>
      <c r="M104" s="6"/>
      <c r="N104" s="6"/>
      <c r="O104" s="6">
        <v>0</v>
      </c>
      <c r="P104" s="6">
        <f>VLOOKUP(A104,[1]TDSheet!$A:$B,2,0)</f>
        <v>240</v>
      </c>
      <c r="Q104" s="6">
        <f t="shared" si="35"/>
        <v>21.6</v>
      </c>
      <c r="R104" s="8"/>
      <c r="S104" s="8">
        <f t="shared" si="24"/>
        <v>0</v>
      </c>
      <c r="T104" s="6">
        <f>(F104+O104+R104+P104)/Q104</f>
        <v>30.879629629629626</v>
      </c>
      <c r="U104" s="6">
        <f>(F104+O104+P104)/Q104</f>
        <v>30.879629629629626</v>
      </c>
      <c r="V104" s="6">
        <v>23.6</v>
      </c>
      <c r="W104" s="6">
        <v>18</v>
      </c>
      <c r="X104" s="6">
        <v>0.2</v>
      </c>
      <c r="Y104" s="6">
        <v>0.4</v>
      </c>
      <c r="Z104" s="6">
        <v>0</v>
      </c>
      <c r="AA104" s="6">
        <v>0</v>
      </c>
      <c r="AB104" s="6">
        <v>0</v>
      </c>
      <c r="AC104" s="17" t="s">
        <v>39</v>
      </c>
      <c r="AD104" s="6">
        <f t="shared" si="25"/>
        <v>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10" t="s">
        <v>69</v>
      </c>
      <c r="B105" s="6" t="s">
        <v>31</v>
      </c>
      <c r="C105" s="6"/>
      <c r="D105" s="6">
        <v>592</v>
      </c>
      <c r="E105" s="15">
        <f>4+E35</f>
        <v>222</v>
      </c>
      <c r="F105" s="15">
        <f>588+F35</f>
        <v>195</v>
      </c>
      <c r="G105" s="7">
        <v>0.4</v>
      </c>
      <c r="H105" s="6">
        <v>60</v>
      </c>
      <c r="I105" s="6">
        <v>7632</v>
      </c>
      <c r="J105" s="6"/>
      <c r="K105" s="6">
        <v>4</v>
      </c>
      <c r="L105" s="6">
        <f t="shared" si="34"/>
        <v>218</v>
      </c>
      <c r="M105" s="6"/>
      <c r="N105" s="6"/>
      <c r="O105" s="6">
        <v>261</v>
      </c>
      <c r="P105" s="6"/>
      <c r="Q105" s="6">
        <f t="shared" si="35"/>
        <v>44.4</v>
      </c>
      <c r="R105" s="8">
        <f>14*Q105-O105-F105</f>
        <v>165.60000000000002</v>
      </c>
      <c r="S105" s="8">
        <f t="shared" si="24"/>
        <v>166</v>
      </c>
      <c r="T105" s="6">
        <f t="shared" ref="T105:T110" si="36">(F105+O105+R105)/Q105</f>
        <v>14.000000000000002</v>
      </c>
      <c r="U105" s="6">
        <f t="shared" ref="U105:U110" si="37">(F105+O105)/Q105</f>
        <v>10.27027027027027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10" t="s">
        <v>142</v>
      </c>
      <c r="AD105" s="6">
        <f t="shared" si="25"/>
        <v>66.400000000000006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 t="s">
        <v>143</v>
      </c>
      <c r="B106" s="6" t="s">
        <v>31</v>
      </c>
      <c r="C106" s="6"/>
      <c r="D106" s="6"/>
      <c r="E106" s="6"/>
      <c r="F106" s="6"/>
      <c r="G106" s="7">
        <v>0.1</v>
      </c>
      <c r="H106" s="6"/>
      <c r="I106" s="6">
        <v>7647</v>
      </c>
      <c r="J106" s="6"/>
      <c r="K106" s="6"/>
      <c r="L106" s="6">
        <f t="shared" si="34"/>
        <v>0</v>
      </c>
      <c r="M106" s="6"/>
      <c r="N106" s="6"/>
      <c r="O106" s="6">
        <v>500</v>
      </c>
      <c r="P106" s="6"/>
      <c r="Q106" s="6">
        <f t="shared" si="35"/>
        <v>0</v>
      </c>
      <c r="R106" s="8"/>
      <c r="S106" s="8">
        <f t="shared" si="24"/>
        <v>0</v>
      </c>
      <c r="T106" s="6" t="e">
        <f t="shared" si="36"/>
        <v>#DIV/0!</v>
      </c>
      <c r="U106" s="6" t="e">
        <f t="shared" si="37"/>
        <v>#DIV/0!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 t="s">
        <v>135</v>
      </c>
      <c r="AD106" s="6">
        <f t="shared" si="25"/>
        <v>0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 t="s">
        <v>144</v>
      </c>
      <c r="B107" s="6" t="s">
        <v>31</v>
      </c>
      <c r="C107" s="6"/>
      <c r="D107" s="6"/>
      <c r="E107" s="6"/>
      <c r="F107" s="6"/>
      <c r="G107" s="7">
        <v>0.1</v>
      </c>
      <c r="H107" s="6"/>
      <c r="I107" s="6">
        <v>7651</v>
      </c>
      <c r="J107" s="6"/>
      <c r="K107" s="6"/>
      <c r="L107" s="6">
        <f t="shared" si="34"/>
        <v>0</v>
      </c>
      <c r="M107" s="6"/>
      <c r="N107" s="6"/>
      <c r="O107" s="6">
        <v>500</v>
      </c>
      <c r="P107" s="6"/>
      <c r="Q107" s="6">
        <f t="shared" si="35"/>
        <v>0</v>
      </c>
      <c r="R107" s="8"/>
      <c r="S107" s="8">
        <f t="shared" si="24"/>
        <v>0</v>
      </c>
      <c r="T107" s="6" t="e">
        <f t="shared" si="36"/>
        <v>#DIV/0!</v>
      </c>
      <c r="U107" s="6" t="e">
        <f t="shared" si="37"/>
        <v>#DIV/0!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 t="s">
        <v>135</v>
      </c>
      <c r="AD107" s="6">
        <f t="shared" si="25"/>
        <v>0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11" t="s">
        <v>145</v>
      </c>
      <c r="B108" s="11" t="s">
        <v>33</v>
      </c>
      <c r="C108" s="11">
        <v>-2.6909999999999998</v>
      </c>
      <c r="D108" s="11"/>
      <c r="E108" s="11"/>
      <c r="F108" s="11">
        <v>-2.6909999999999998</v>
      </c>
      <c r="G108" s="12">
        <v>0</v>
      </c>
      <c r="H108" s="11"/>
      <c r="I108" s="11" t="s">
        <v>146</v>
      </c>
      <c r="J108" s="11"/>
      <c r="K108" s="11">
        <v>46.5</v>
      </c>
      <c r="L108" s="11">
        <f t="shared" si="34"/>
        <v>-46.5</v>
      </c>
      <c r="M108" s="11"/>
      <c r="N108" s="11"/>
      <c r="O108" s="11">
        <v>0</v>
      </c>
      <c r="P108" s="6"/>
      <c r="Q108" s="11">
        <f t="shared" si="35"/>
        <v>0</v>
      </c>
      <c r="R108" s="13"/>
      <c r="S108" s="8">
        <f t="shared" si="24"/>
        <v>0</v>
      </c>
      <c r="T108" s="11" t="e">
        <f t="shared" si="36"/>
        <v>#DIV/0!</v>
      </c>
      <c r="U108" s="11" t="e">
        <f t="shared" si="37"/>
        <v>#DIV/0!</v>
      </c>
      <c r="V108" s="11">
        <v>0</v>
      </c>
      <c r="W108" s="11">
        <v>0.26779999999999998</v>
      </c>
      <c r="X108" s="11">
        <v>0.27039999999999997</v>
      </c>
      <c r="Y108" s="11">
        <v>0</v>
      </c>
      <c r="Z108" s="11">
        <v>0</v>
      </c>
      <c r="AA108" s="11">
        <v>0</v>
      </c>
      <c r="AB108" s="11">
        <v>0</v>
      </c>
      <c r="AC108" s="11"/>
      <c r="AD108" s="6">
        <f t="shared" si="25"/>
        <v>0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11" t="s">
        <v>147</v>
      </c>
      <c r="B109" s="11" t="s">
        <v>33</v>
      </c>
      <c r="C109" s="11">
        <v>-2.5470000000000002</v>
      </c>
      <c r="D109" s="11"/>
      <c r="E109" s="11"/>
      <c r="F109" s="11">
        <v>-2.5470000000000002</v>
      </c>
      <c r="G109" s="12">
        <v>0</v>
      </c>
      <c r="H109" s="11"/>
      <c r="I109" s="11" t="s">
        <v>146</v>
      </c>
      <c r="J109" s="11"/>
      <c r="K109" s="11"/>
      <c r="L109" s="11">
        <f t="shared" si="34"/>
        <v>0</v>
      </c>
      <c r="M109" s="11"/>
      <c r="N109" s="11"/>
      <c r="O109" s="11">
        <v>0</v>
      </c>
      <c r="P109" s="6"/>
      <c r="Q109" s="11">
        <f t="shared" si="35"/>
        <v>0</v>
      </c>
      <c r="R109" s="13"/>
      <c r="S109" s="8">
        <f t="shared" si="24"/>
        <v>0</v>
      </c>
      <c r="T109" s="11" t="e">
        <f t="shared" si="36"/>
        <v>#DIV/0!</v>
      </c>
      <c r="U109" s="11" t="e">
        <f t="shared" si="37"/>
        <v>#DIV/0!</v>
      </c>
      <c r="V109" s="11">
        <v>0</v>
      </c>
      <c r="W109" s="11">
        <v>0</v>
      </c>
      <c r="X109" s="11">
        <v>0.50940000000000007</v>
      </c>
      <c r="Y109" s="11">
        <v>0</v>
      </c>
      <c r="Z109" s="11">
        <v>0</v>
      </c>
      <c r="AA109" s="11">
        <v>0</v>
      </c>
      <c r="AB109" s="11">
        <v>0</v>
      </c>
      <c r="AC109" s="11"/>
      <c r="AD109" s="6">
        <f t="shared" si="25"/>
        <v>0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11" t="s">
        <v>148</v>
      </c>
      <c r="B110" s="11" t="s">
        <v>31</v>
      </c>
      <c r="C110" s="11">
        <v>-6</v>
      </c>
      <c r="D110" s="11"/>
      <c r="E110" s="11"/>
      <c r="F110" s="15">
        <v>-6</v>
      </c>
      <c r="G110" s="12">
        <v>0</v>
      </c>
      <c r="H110" s="11"/>
      <c r="I110" s="11" t="s">
        <v>149</v>
      </c>
      <c r="J110" s="11" t="s">
        <v>112</v>
      </c>
      <c r="K110" s="11">
        <v>1</v>
      </c>
      <c r="L110" s="11">
        <f t="shared" si="34"/>
        <v>-1</v>
      </c>
      <c r="M110" s="11"/>
      <c r="N110" s="11"/>
      <c r="O110" s="11">
        <v>0</v>
      </c>
      <c r="P110" s="6"/>
      <c r="Q110" s="11">
        <f t="shared" si="35"/>
        <v>0</v>
      </c>
      <c r="R110" s="13"/>
      <c r="S110" s="8">
        <f t="shared" si="24"/>
        <v>0</v>
      </c>
      <c r="T110" s="11" t="e">
        <f t="shared" si="36"/>
        <v>#DIV/0!</v>
      </c>
      <c r="U110" s="11" t="e">
        <f t="shared" si="37"/>
        <v>#DIV/0!</v>
      </c>
      <c r="V110" s="11">
        <v>0</v>
      </c>
      <c r="W110" s="11">
        <v>0</v>
      </c>
      <c r="X110" s="11">
        <v>0</v>
      </c>
      <c r="Y110" s="11">
        <v>1.2</v>
      </c>
      <c r="Z110" s="11">
        <v>0</v>
      </c>
      <c r="AA110" s="11">
        <v>0</v>
      </c>
      <c r="AB110" s="11">
        <v>0</v>
      </c>
      <c r="AC110" s="11"/>
      <c r="AD110" s="6">
        <f t="shared" si="25"/>
        <v>0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</sheetData>
  <autoFilter ref="A3:AD11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2026-07-13T06:18:51Z</dcterms:created>
  <dcterms:modified xsi:type="dcterms:W3CDTF">2026-07-15T10:33:41Z</dcterms:modified>
</cp:coreProperties>
</file>