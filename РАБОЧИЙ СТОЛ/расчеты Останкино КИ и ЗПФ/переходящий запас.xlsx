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D60A3693-FF65-4EAB-953F-85E92AA91EC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1" i="1" l="1"/>
  <c r="D11" i="1"/>
  <c r="D10" i="1"/>
  <c r="C11" i="1"/>
  <c r="B11" i="1" l="1"/>
  <c r="E2" i="1" l="1"/>
  <c r="D2" i="1"/>
  <c r="D1" i="1"/>
</calcChain>
</file>

<file path=xl/sharedStrings.xml><?xml version="1.0" encoding="utf-8"?>
<sst xmlns="http://schemas.openxmlformats.org/spreadsheetml/2006/main" count="12" uniqueCount="9">
  <si>
    <t>ЛП</t>
  </si>
  <si>
    <t>НВ</t>
  </si>
  <si>
    <t>Луганск</t>
  </si>
  <si>
    <t>остаток (27,10,26)</t>
  </si>
  <si>
    <t>Грация (Бердянск)</t>
  </si>
  <si>
    <t>Грация (Мариуполь)</t>
  </si>
  <si>
    <t>продажи в день, т</t>
  </si>
  <si>
    <t>в рублях</t>
  </si>
  <si>
    <t>Все филиалы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</si>
</sst>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2" fontId="0" fillId="0" borderId="1" xfId="0" applyNumberFormat="1" applyBorder="1" applyAlignment="1">
      <alignment wrapText="1"/>
    </xf>
    <xf numFmtId="2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I21" sqref="I21"/>
    </sheetView>
  </sheetViews>
  <sheetFormatPr defaultRowHeight="15" x14ac:dyDescent="0.25"/>
  <cols>
    <col min="1" max="1" width="19.85546875" bestFit="1" customWidth="1"/>
    <col min="2" max="2" width="18" customWidth="1"/>
    <col min="3" max="3" width="10.42578125" customWidth="1"/>
    <col min="4" max="4" width="12.5703125" customWidth="1"/>
  </cols>
  <sheetData>
    <row r="1" spans="1:5" s="5" customFormat="1" ht="30" x14ac:dyDescent="0.25">
      <c r="A1" s="4" t="s">
        <v>0</v>
      </c>
      <c r="B1" s="4" t="s">
        <v>3</v>
      </c>
      <c r="C1" s="4" t="s">
        <v>6</v>
      </c>
      <c r="D1" s="4" t="str">
        <f>D5&amp;"-х дневний запас, т"</f>
        <v>2-х дневний запас, т</v>
      </c>
      <c r="E1" s="4" t="s">
        <v>7</v>
      </c>
    </row>
    <row r="2" spans="1:5" x14ac:dyDescent="0.25">
      <c r="A2" s="1" t="s">
        <v>2</v>
      </c>
      <c r="B2" s="2">
        <v>5</v>
      </c>
      <c r="C2" s="2">
        <v>1.6</v>
      </c>
      <c r="D2" s="2">
        <f>C2*$D$5</f>
        <v>3.2</v>
      </c>
      <c r="E2" s="3">
        <f>D2*1000*$E$5</f>
        <v>1024000</v>
      </c>
    </row>
    <row r="3" spans="1:5" x14ac:dyDescent="0.25">
      <c r="A3" s="1" t="s">
        <v>4</v>
      </c>
      <c r="B3" s="2">
        <v>0.1</v>
      </c>
      <c r="C3" s="2"/>
      <c r="D3" s="2"/>
      <c r="E3" s="3"/>
    </row>
    <row r="4" spans="1:5" x14ac:dyDescent="0.25">
      <c r="A4" s="1" t="s">
        <v>5</v>
      </c>
      <c r="B4" s="2">
        <v>2.4</v>
      </c>
      <c r="C4" s="2"/>
      <c r="D4" s="2"/>
      <c r="E4" s="3"/>
    </row>
    <row r="5" spans="1:5" x14ac:dyDescent="0.25">
      <c r="D5">
        <v>2</v>
      </c>
      <c r="E5">
        <v>320</v>
      </c>
    </row>
    <row r="10" spans="1:5" s="5" customFormat="1" ht="30" x14ac:dyDescent="0.25">
      <c r="A10" s="4" t="s">
        <v>1</v>
      </c>
      <c r="B10" s="4" t="s">
        <v>3</v>
      </c>
      <c r="C10" s="4" t="s">
        <v>6</v>
      </c>
      <c r="D10" s="4" t="str">
        <f>D12&amp;"-х дневний запас, т"</f>
        <v>2-х дневний запас, т</v>
      </c>
      <c r="E10" s="4" t="s">
        <v>7</v>
      </c>
    </row>
    <row r="11" spans="1:5" x14ac:dyDescent="0.25">
      <c r="A11" s="1" t="s">
        <v>8</v>
      </c>
      <c r="B11" s="1">
        <f>4.2+16.5+5.6+5.1</f>
        <v>31.4</v>
      </c>
      <c r="C11" s="2">
        <f>0.54+1.6+1+0.45</f>
        <v>3.5900000000000003</v>
      </c>
      <c r="D11" s="1">
        <f>C11*$D$12</f>
        <v>7.1800000000000006</v>
      </c>
      <c r="E11" s="3">
        <f>D11*1000*$E$12</f>
        <v>2584800.0000000005</v>
      </c>
    </row>
    <row r="12" spans="1:5" x14ac:dyDescent="0.25">
      <c r="D12">
        <v>2</v>
      </c>
      <c r="E12">
        <v>360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2026-10-27T07:33:36Z</dcterms:modified>
</cp:coreProperties>
</file>