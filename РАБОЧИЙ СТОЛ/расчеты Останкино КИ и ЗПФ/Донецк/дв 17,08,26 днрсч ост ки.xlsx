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EB1CCB0-9406-4465-8A97-BFAEE77DDE1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8" i="1" l="1"/>
  <c r="AM9" i="1"/>
  <c r="AM11" i="1"/>
  <c r="AM12" i="1"/>
  <c r="AM14" i="1"/>
  <c r="AM15" i="1"/>
  <c r="AM16" i="1"/>
  <c r="AM18" i="1"/>
  <c r="AM19" i="1"/>
  <c r="AM23" i="1"/>
  <c r="AM24" i="1"/>
  <c r="AM26" i="1"/>
  <c r="AM27" i="1"/>
  <c r="AM28" i="1"/>
  <c r="AM30" i="1"/>
  <c r="AM31" i="1"/>
  <c r="AM33" i="1"/>
  <c r="AM35" i="1"/>
  <c r="AM36" i="1"/>
  <c r="AM37" i="1"/>
  <c r="AM38" i="1"/>
  <c r="AM39" i="1"/>
  <c r="AM42" i="1"/>
  <c r="AM43" i="1"/>
  <c r="AM45" i="1"/>
  <c r="AM46" i="1"/>
  <c r="AM47" i="1"/>
  <c r="AM49" i="1"/>
  <c r="AM50" i="1"/>
  <c r="AM51" i="1"/>
  <c r="AM53" i="1"/>
  <c r="AM54" i="1"/>
  <c r="AM55" i="1"/>
  <c r="AM57" i="1"/>
  <c r="AM58" i="1"/>
  <c r="AM59" i="1"/>
  <c r="AM60" i="1"/>
  <c r="AM61" i="1"/>
  <c r="AM62" i="1"/>
  <c r="AM63" i="1"/>
  <c r="AM64" i="1"/>
  <c r="AM65" i="1"/>
  <c r="AM66" i="1"/>
  <c r="AM68" i="1"/>
  <c r="AM69" i="1"/>
  <c r="AM70" i="1"/>
  <c r="AM71" i="1"/>
  <c r="AM74" i="1"/>
  <c r="AM76" i="1"/>
  <c r="AM77" i="1"/>
  <c r="AM79" i="1"/>
  <c r="AM80" i="1"/>
  <c r="AM81" i="1"/>
  <c r="AM82" i="1"/>
  <c r="AM84" i="1"/>
  <c r="AM85" i="1"/>
  <c r="AM86" i="1"/>
  <c r="AM88" i="1"/>
  <c r="AM91" i="1"/>
  <c r="AM92" i="1"/>
  <c r="AM93" i="1"/>
  <c r="AM94" i="1"/>
  <c r="AM95" i="1"/>
  <c r="AM96" i="1"/>
  <c r="AM97" i="1"/>
  <c r="AM98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5" i="1"/>
  <c r="AM116" i="1"/>
  <c r="AM117" i="1"/>
  <c r="AM118" i="1"/>
  <c r="AM119" i="1"/>
  <c r="AM120" i="1"/>
  <c r="AM121" i="1"/>
  <c r="AM122" i="1"/>
  <c r="AM123" i="1"/>
  <c r="AM124" i="1"/>
  <c r="AM125" i="1"/>
  <c r="AM6" i="1"/>
  <c r="V46" i="1"/>
  <c r="AL46" i="1" s="1"/>
  <c r="V79" i="1"/>
  <c r="AL79" i="1"/>
  <c r="U116" i="1" l="1"/>
  <c r="V116" i="1" s="1"/>
  <c r="AL116" i="1" s="1"/>
  <c r="U115" i="1"/>
  <c r="V115" i="1" s="1"/>
  <c r="AL115" i="1" s="1"/>
  <c r="U103" i="1"/>
  <c r="V103" i="1" s="1"/>
  <c r="AL103" i="1" s="1"/>
  <c r="U102" i="1"/>
  <c r="V102" i="1" s="1"/>
  <c r="AL102" i="1" s="1"/>
  <c r="U100" i="1"/>
  <c r="V100" i="1" s="1"/>
  <c r="AL100" i="1" s="1"/>
  <c r="U87" i="1"/>
  <c r="U34" i="1"/>
  <c r="U121" i="1"/>
  <c r="U122" i="1"/>
  <c r="U123" i="1"/>
  <c r="U124" i="1"/>
  <c r="U125" i="1"/>
  <c r="U120" i="1"/>
  <c r="U9" i="1"/>
  <c r="V9" i="1" s="1"/>
  <c r="AL9" i="1" s="1"/>
  <c r="U11" i="1"/>
  <c r="V11" i="1" s="1"/>
  <c r="AL11" i="1" s="1"/>
  <c r="U12" i="1"/>
  <c r="V12" i="1" s="1"/>
  <c r="AL12" i="1" s="1"/>
  <c r="U14" i="1"/>
  <c r="V14" i="1" s="1"/>
  <c r="AL14" i="1" s="1"/>
  <c r="U16" i="1"/>
  <c r="V16" i="1" s="1"/>
  <c r="AL16" i="1" s="1"/>
  <c r="U18" i="1"/>
  <c r="V18" i="1" s="1"/>
  <c r="AL18" i="1" s="1"/>
  <c r="U24" i="1"/>
  <c r="V24" i="1" s="1"/>
  <c r="AL24" i="1" s="1"/>
  <c r="U27" i="1"/>
  <c r="V27" i="1" s="1"/>
  <c r="AL27" i="1" s="1"/>
  <c r="U30" i="1"/>
  <c r="V30" i="1" s="1"/>
  <c r="AL30" i="1" s="1"/>
  <c r="U31" i="1"/>
  <c r="V31" i="1" s="1"/>
  <c r="AL31" i="1" s="1"/>
  <c r="U32" i="1"/>
  <c r="U33" i="1"/>
  <c r="V33" i="1" s="1"/>
  <c r="AL33" i="1" s="1"/>
  <c r="U36" i="1"/>
  <c r="V36" i="1" s="1"/>
  <c r="AL36" i="1" s="1"/>
  <c r="U37" i="1"/>
  <c r="V37" i="1" s="1"/>
  <c r="AL37" i="1" s="1"/>
  <c r="U38" i="1"/>
  <c r="V38" i="1" s="1"/>
  <c r="AL38" i="1" s="1"/>
  <c r="U39" i="1"/>
  <c r="V39" i="1" s="1"/>
  <c r="AL39" i="1" s="1"/>
  <c r="U43" i="1"/>
  <c r="V43" i="1" s="1"/>
  <c r="AL43" i="1" s="1"/>
  <c r="U45" i="1"/>
  <c r="V45" i="1" s="1"/>
  <c r="AL45" i="1" s="1"/>
  <c r="U47" i="1"/>
  <c r="V47" i="1" s="1"/>
  <c r="AL47" i="1" s="1"/>
  <c r="U49" i="1"/>
  <c r="V49" i="1" s="1"/>
  <c r="AL49" i="1" s="1"/>
  <c r="U50" i="1"/>
  <c r="V50" i="1" s="1"/>
  <c r="AL50" i="1" s="1"/>
  <c r="U51" i="1"/>
  <c r="V51" i="1" s="1"/>
  <c r="AL51" i="1" s="1"/>
  <c r="U53" i="1"/>
  <c r="V53" i="1" s="1"/>
  <c r="AL53" i="1" s="1"/>
  <c r="U54" i="1"/>
  <c r="V54" i="1" s="1"/>
  <c r="AL54" i="1" s="1"/>
  <c r="U55" i="1"/>
  <c r="V55" i="1" s="1"/>
  <c r="AL55" i="1" s="1"/>
  <c r="U57" i="1"/>
  <c r="V57" i="1" s="1"/>
  <c r="AL57" i="1" s="1"/>
  <c r="U60" i="1"/>
  <c r="V60" i="1" s="1"/>
  <c r="AL60" i="1" s="1"/>
  <c r="U61" i="1"/>
  <c r="V61" i="1" s="1"/>
  <c r="AL61" i="1" s="1"/>
  <c r="U62" i="1"/>
  <c r="V62" i="1" s="1"/>
  <c r="AL62" i="1" s="1"/>
  <c r="U63" i="1"/>
  <c r="V63" i="1" s="1"/>
  <c r="AL63" i="1" s="1"/>
  <c r="U64" i="1"/>
  <c r="V64" i="1" s="1"/>
  <c r="AL64" i="1" s="1"/>
  <c r="U68" i="1"/>
  <c r="V68" i="1" s="1"/>
  <c r="AL68" i="1" s="1"/>
  <c r="U69" i="1"/>
  <c r="V69" i="1" s="1"/>
  <c r="AL69" i="1" s="1"/>
  <c r="U71" i="1"/>
  <c r="V71" i="1" s="1"/>
  <c r="AL71" i="1" s="1"/>
  <c r="U72" i="1"/>
  <c r="U76" i="1"/>
  <c r="V76" i="1" s="1"/>
  <c r="AL76" i="1" s="1"/>
  <c r="U77" i="1"/>
  <c r="V77" i="1" s="1"/>
  <c r="AL77" i="1" s="1"/>
  <c r="U81" i="1"/>
  <c r="V81" i="1" s="1"/>
  <c r="AL81" i="1" s="1"/>
  <c r="U85" i="1"/>
  <c r="V85" i="1" s="1"/>
  <c r="AL85" i="1" s="1"/>
  <c r="U88" i="1"/>
  <c r="V88" i="1" s="1"/>
  <c r="AL88" i="1" s="1"/>
  <c r="U91" i="1"/>
  <c r="V91" i="1" s="1"/>
  <c r="AL91" i="1" s="1"/>
  <c r="U92" i="1"/>
  <c r="V92" i="1" s="1"/>
  <c r="AL92" i="1" s="1"/>
  <c r="U93" i="1"/>
  <c r="V93" i="1" s="1"/>
  <c r="AL93" i="1" s="1"/>
  <c r="U94" i="1"/>
  <c r="V94" i="1" s="1"/>
  <c r="AL94" i="1" s="1"/>
  <c r="U95" i="1"/>
  <c r="V95" i="1" s="1"/>
  <c r="AL95" i="1" s="1"/>
  <c r="U96" i="1"/>
  <c r="V96" i="1" s="1"/>
  <c r="AL96" i="1" s="1"/>
  <c r="U97" i="1"/>
  <c r="V97" i="1" s="1"/>
  <c r="AL97" i="1" s="1"/>
  <c r="U101" i="1"/>
  <c r="V101" i="1" s="1"/>
  <c r="AL101" i="1" s="1"/>
  <c r="U105" i="1"/>
  <c r="V105" i="1" s="1"/>
  <c r="AL105" i="1" s="1"/>
  <c r="U106" i="1"/>
  <c r="V106" i="1" s="1"/>
  <c r="AL106" i="1" s="1"/>
  <c r="U108" i="1"/>
  <c r="V108" i="1" s="1"/>
  <c r="AL108" i="1" s="1"/>
  <c r="U110" i="1"/>
  <c r="V110" i="1" s="1"/>
  <c r="AL110" i="1" s="1"/>
  <c r="U111" i="1"/>
  <c r="V111" i="1" s="1"/>
  <c r="AL111" i="1" s="1"/>
  <c r="U112" i="1"/>
  <c r="V112" i="1" s="1"/>
  <c r="AL112" i="1" s="1"/>
  <c r="U117" i="1"/>
  <c r="V117" i="1" s="1"/>
  <c r="AL117" i="1" s="1"/>
  <c r="U118" i="1"/>
  <c r="V118" i="1" s="1"/>
  <c r="AL118" i="1" s="1"/>
  <c r="U119" i="1"/>
  <c r="V119" i="1" s="1"/>
  <c r="AL119" i="1" s="1"/>
  <c r="U6" i="1"/>
  <c r="V6" i="1" s="1"/>
  <c r="V34" i="1" l="1"/>
  <c r="AL34" i="1" s="1"/>
  <c r="W34" i="1"/>
  <c r="AM34" i="1" s="1"/>
  <c r="V72" i="1"/>
  <c r="AL72" i="1" s="1"/>
  <c r="W72" i="1"/>
  <c r="AM72" i="1" s="1"/>
  <c r="V32" i="1"/>
  <c r="AL32" i="1" s="1"/>
  <c r="W32" i="1"/>
  <c r="AM32" i="1" s="1"/>
  <c r="V87" i="1"/>
  <c r="AL87" i="1" s="1"/>
  <c r="W87" i="1"/>
  <c r="AM87" i="1" s="1"/>
  <c r="AL6" i="1"/>
  <c r="V120" i="1"/>
  <c r="AL120" i="1" s="1"/>
  <c r="V124" i="1"/>
  <c r="AL124" i="1" s="1"/>
  <c r="V122" i="1"/>
  <c r="AL122" i="1" s="1"/>
  <c r="V125" i="1"/>
  <c r="AL125" i="1" s="1"/>
  <c r="V123" i="1"/>
  <c r="AL123" i="1" s="1"/>
  <c r="V121" i="1"/>
  <c r="AL121" i="1" s="1"/>
  <c r="S125" i="1"/>
  <c r="Y125" i="1" s="1"/>
  <c r="S124" i="1"/>
  <c r="Z124" i="1" s="1"/>
  <c r="S123" i="1"/>
  <c r="Z123" i="1" s="1"/>
  <c r="S122" i="1"/>
  <c r="Z122" i="1" s="1"/>
  <c r="S121" i="1"/>
  <c r="Y121" i="1" s="1"/>
  <c r="S120" i="1"/>
  <c r="Z120" i="1" s="1"/>
  <c r="Z125" i="1"/>
  <c r="Z121" i="1" l="1"/>
  <c r="Y123" i="1"/>
  <c r="Y122" i="1"/>
  <c r="Y124" i="1"/>
  <c r="Y120" i="1"/>
  <c r="O119" i="1"/>
  <c r="S119" i="1" s="1"/>
  <c r="N119" i="1"/>
  <c r="H119" i="1"/>
  <c r="Y119" i="1" s="1"/>
  <c r="O118" i="1"/>
  <c r="S118" i="1" s="1"/>
  <c r="N118" i="1"/>
  <c r="H118" i="1"/>
  <c r="Y118" i="1" s="1"/>
  <c r="O117" i="1"/>
  <c r="S117" i="1" s="1"/>
  <c r="N117" i="1"/>
  <c r="H117" i="1"/>
  <c r="Y117" i="1" s="1"/>
  <c r="O116" i="1"/>
  <c r="S116" i="1" s="1"/>
  <c r="N116" i="1"/>
  <c r="H116" i="1"/>
  <c r="Y116" i="1" s="1"/>
  <c r="O115" i="1"/>
  <c r="S115" i="1" s="1"/>
  <c r="N115" i="1"/>
  <c r="H115" i="1"/>
  <c r="Y115" i="1" s="1"/>
  <c r="F114" i="1"/>
  <c r="H114" i="1" s="1"/>
  <c r="E114" i="1"/>
  <c r="O114" i="1" s="1"/>
  <c r="S114" i="1" s="1"/>
  <c r="O113" i="1"/>
  <c r="S113" i="1" s="1"/>
  <c r="N113" i="1"/>
  <c r="F113" i="1"/>
  <c r="H113" i="1" s="1"/>
  <c r="O112" i="1"/>
  <c r="S112" i="1" s="1"/>
  <c r="N112" i="1"/>
  <c r="F112" i="1"/>
  <c r="H112" i="1" s="1"/>
  <c r="Y112" i="1" s="1"/>
  <c r="F111" i="1"/>
  <c r="H111" i="1" s="1"/>
  <c r="E111" i="1"/>
  <c r="O111" i="1" s="1"/>
  <c r="S111" i="1" s="1"/>
  <c r="F110" i="1"/>
  <c r="H110" i="1" s="1"/>
  <c r="E110" i="1"/>
  <c r="O110" i="1" s="1"/>
  <c r="S110" i="1" s="1"/>
  <c r="O109" i="1"/>
  <c r="S109" i="1" s="1"/>
  <c r="N109" i="1"/>
  <c r="H109" i="1"/>
  <c r="O108" i="1"/>
  <c r="S108" i="1" s="1"/>
  <c r="N108" i="1"/>
  <c r="H108" i="1"/>
  <c r="Y108" i="1" s="1"/>
  <c r="O107" i="1"/>
  <c r="S107" i="1" s="1"/>
  <c r="N107" i="1"/>
  <c r="H107" i="1"/>
  <c r="O106" i="1"/>
  <c r="S106" i="1" s="1"/>
  <c r="N106" i="1"/>
  <c r="H106" i="1"/>
  <c r="Y106" i="1" s="1"/>
  <c r="O105" i="1"/>
  <c r="S105" i="1" s="1"/>
  <c r="N105" i="1"/>
  <c r="F105" i="1"/>
  <c r="H105" i="1" s="1"/>
  <c r="Y105" i="1" s="1"/>
  <c r="O104" i="1"/>
  <c r="S104" i="1" s="1"/>
  <c r="N104" i="1"/>
  <c r="H104" i="1"/>
  <c r="O103" i="1"/>
  <c r="S103" i="1" s="1"/>
  <c r="N103" i="1"/>
  <c r="H103" i="1"/>
  <c r="Y103" i="1" s="1"/>
  <c r="O102" i="1"/>
  <c r="S102" i="1" s="1"/>
  <c r="N102" i="1"/>
  <c r="H102" i="1"/>
  <c r="Y102" i="1" s="1"/>
  <c r="O101" i="1"/>
  <c r="S101" i="1" s="1"/>
  <c r="N101" i="1"/>
  <c r="H101" i="1"/>
  <c r="Y101" i="1" s="1"/>
  <c r="O100" i="1"/>
  <c r="S100" i="1" s="1"/>
  <c r="N100" i="1"/>
  <c r="H100" i="1"/>
  <c r="Y100" i="1" s="1"/>
  <c r="O99" i="1"/>
  <c r="S99" i="1" s="1"/>
  <c r="N99" i="1"/>
  <c r="H99" i="1"/>
  <c r="O98" i="1"/>
  <c r="S98" i="1" s="1"/>
  <c r="N98" i="1"/>
  <c r="H98" i="1"/>
  <c r="O97" i="1"/>
  <c r="S97" i="1" s="1"/>
  <c r="N97" i="1"/>
  <c r="H97" i="1"/>
  <c r="Y97" i="1" s="1"/>
  <c r="O96" i="1"/>
  <c r="S96" i="1" s="1"/>
  <c r="N96" i="1"/>
  <c r="H96" i="1"/>
  <c r="Y96" i="1" s="1"/>
  <c r="O95" i="1"/>
  <c r="S95" i="1" s="1"/>
  <c r="N95" i="1"/>
  <c r="H95" i="1"/>
  <c r="Y95" i="1" s="1"/>
  <c r="O94" i="1"/>
  <c r="S94" i="1" s="1"/>
  <c r="N94" i="1"/>
  <c r="H94" i="1"/>
  <c r="Y94" i="1" s="1"/>
  <c r="O93" i="1"/>
  <c r="S93" i="1" s="1"/>
  <c r="N93" i="1"/>
  <c r="H93" i="1"/>
  <c r="Y93" i="1" s="1"/>
  <c r="O92" i="1"/>
  <c r="S92" i="1" s="1"/>
  <c r="N92" i="1"/>
  <c r="H92" i="1"/>
  <c r="Y92" i="1" s="1"/>
  <c r="O91" i="1"/>
  <c r="S91" i="1" s="1"/>
  <c r="N91" i="1"/>
  <c r="H91" i="1"/>
  <c r="Y91" i="1" s="1"/>
  <c r="O90" i="1"/>
  <c r="S90" i="1" s="1"/>
  <c r="N90" i="1"/>
  <c r="H90" i="1"/>
  <c r="O89" i="1"/>
  <c r="S89" i="1" s="1"/>
  <c r="N89" i="1"/>
  <c r="H89" i="1"/>
  <c r="O88" i="1"/>
  <c r="S88" i="1" s="1"/>
  <c r="N88" i="1"/>
  <c r="F88" i="1"/>
  <c r="H88" i="1" s="1"/>
  <c r="Y88" i="1" s="1"/>
  <c r="O87" i="1"/>
  <c r="S87" i="1" s="1"/>
  <c r="N87" i="1"/>
  <c r="H87" i="1"/>
  <c r="Y87" i="1" s="1"/>
  <c r="O86" i="1"/>
  <c r="S86" i="1" s="1"/>
  <c r="N86" i="1"/>
  <c r="H86" i="1"/>
  <c r="O85" i="1"/>
  <c r="S85" i="1" s="1"/>
  <c r="N85" i="1"/>
  <c r="H85" i="1"/>
  <c r="Y85" i="1" s="1"/>
  <c r="O84" i="1"/>
  <c r="S84" i="1" s="1"/>
  <c r="N84" i="1"/>
  <c r="H84" i="1"/>
  <c r="O83" i="1"/>
  <c r="S83" i="1" s="1"/>
  <c r="N83" i="1"/>
  <c r="H83" i="1"/>
  <c r="O82" i="1"/>
  <c r="S82" i="1" s="1"/>
  <c r="N82" i="1"/>
  <c r="G82" i="1"/>
  <c r="H82" i="1" s="1"/>
  <c r="O81" i="1"/>
  <c r="S81" i="1" s="1"/>
  <c r="N81" i="1"/>
  <c r="H81" i="1"/>
  <c r="Y81" i="1" s="1"/>
  <c r="O80" i="1"/>
  <c r="S80" i="1" s="1"/>
  <c r="N80" i="1"/>
  <c r="H80" i="1"/>
  <c r="O79" i="1"/>
  <c r="S79" i="1" s="1"/>
  <c r="N79" i="1"/>
  <c r="H79" i="1"/>
  <c r="Y79" i="1" s="1"/>
  <c r="O78" i="1"/>
  <c r="S78" i="1" s="1"/>
  <c r="N78" i="1"/>
  <c r="H78" i="1"/>
  <c r="O77" i="1"/>
  <c r="S77" i="1" s="1"/>
  <c r="N77" i="1"/>
  <c r="H77" i="1"/>
  <c r="Y77" i="1" s="1"/>
  <c r="O76" i="1"/>
  <c r="S76" i="1" s="1"/>
  <c r="N76" i="1"/>
  <c r="H76" i="1"/>
  <c r="Y76" i="1" s="1"/>
  <c r="O75" i="1"/>
  <c r="S75" i="1" s="1"/>
  <c r="N75" i="1"/>
  <c r="H75" i="1"/>
  <c r="O74" i="1"/>
  <c r="S74" i="1" s="1"/>
  <c r="N74" i="1"/>
  <c r="H74" i="1"/>
  <c r="O73" i="1"/>
  <c r="S73" i="1" s="1"/>
  <c r="N73" i="1"/>
  <c r="H73" i="1"/>
  <c r="O72" i="1"/>
  <c r="S72" i="1" s="1"/>
  <c r="N72" i="1"/>
  <c r="H72" i="1"/>
  <c r="Y72" i="1" s="1"/>
  <c r="O71" i="1"/>
  <c r="S71" i="1" s="1"/>
  <c r="N71" i="1"/>
  <c r="H71" i="1"/>
  <c r="Y71" i="1" s="1"/>
  <c r="O70" i="1"/>
  <c r="S70" i="1" s="1"/>
  <c r="N70" i="1"/>
  <c r="H70" i="1"/>
  <c r="O69" i="1"/>
  <c r="S69" i="1" s="1"/>
  <c r="N69" i="1"/>
  <c r="G69" i="1"/>
  <c r="F69" i="1"/>
  <c r="O68" i="1"/>
  <c r="S68" i="1" s="1"/>
  <c r="N68" i="1"/>
  <c r="H68" i="1"/>
  <c r="Y68" i="1" s="1"/>
  <c r="G67" i="1"/>
  <c r="F67" i="1"/>
  <c r="E67" i="1"/>
  <c r="N67" i="1" s="1"/>
  <c r="O66" i="1"/>
  <c r="S66" i="1" s="1"/>
  <c r="N66" i="1"/>
  <c r="H66" i="1"/>
  <c r="O65" i="1"/>
  <c r="S65" i="1" s="1"/>
  <c r="N65" i="1"/>
  <c r="H65" i="1"/>
  <c r="O64" i="1"/>
  <c r="S64" i="1" s="1"/>
  <c r="N64" i="1"/>
  <c r="H64" i="1"/>
  <c r="Y64" i="1" s="1"/>
  <c r="O63" i="1"/>
  <c r="S63" i="1" s="1"/>
  <c r="N63" i="1"/>
  <c r="H63" i="1"/>
  <c r="Y63" i="1" s="1"/>
  <c r="O62" i="1"/>
  <c r="S62" i="1" s="1"/>
  <c r="N62" i="1"/>
  <c r="H62" i="1"/>
  <c r="Y62" i="1" s="1"/>
  <c r="O61" i="1"/>
  <c r="S61" i="1" s="1"/>
  <c r="N61" i="1"/>
  <c r="H61" i="1"/>
  <c r="Y61" i="1" s="1"/>
  <c r="O60" i="1"/>
  <c r="S60" i="1" s="1"/>
  <c r="N60" i="1"/>
  <c r="H60" i="1"/>
  <c r="Y60" i="1" s="1"/>
  <c r="O59" i="1"/>
  <c r="S59" i="1" s="1"/>
  <c r="N59" i="1"/>
  <c r="H59" i="1"/>
  <c r="O58" i="1"/>
  <c r="S58" i="1" s="1"/>
  <c r="N58" i="1"/>
  <c r="H58" i="1"/>
  <c r="O57" i="1"/>
  <c r="S57" i="1" s="1"/>
  <c r="N57" i="1"/>
  <c r="H57" i="1"/>
  <c r="Y57" i="1" s="1"/>
  <c r="O56" i="1"/>
  <c r="S56" i="1" s="1"/>
  <c r="N56" i="1"/>
  <c r="G56" i="1"/>
  <c r="H56" i="1" s="1"/>
  <c r="O55" i="1"/>
  <c r="S55" i="1" s="1"/>
  <c r="N55" i="1"/>
  <c r="H55" i="1"/>
  <c r="Y55" i="1" s="1"/>
  <c r="O54" i="1"/>
  <c r="S54" i="1" s="1"/>
  <c r="N54" i="1"/>
  <c r="H54" i="1"/>
  <c r="Y54" i="1" s="1"/>
  <c r="O53" i="1"/>
  <c r="S53" i="1" s="1"/>
  <c r="N53" i="1"/>
  <c r="H53" i="1"/>
  <c r="Y53" i="1" s="1"/>
  <c r="O52" i="1"/>
  <c r="S52" i="1" s="1"/>
  <c r="N52" i="1"/>
  <c r="H52" i="1"/>
  <c r="O51" i="1"/>
  <c r="S51" i="1" s="1"/>
  <c r="N51" i="1"/>
  <c r="H51" i="1"/>
  <c r="Y51" i="1" s="1"/>
  <c r="O50" i="1"/>
  <c r="S50" i="1" s="1"/>
  <c r="N50" i="1"/>
  <c r="H50" i="1"/>
  <c r="Y50" i="1" s="1"/>
  <c r="O49" i="1"/>
  <c r="S49" i="1" s="1"/>
  <c r="N49" i="1"/>
  <c r="H49" i="1"/>
  <c r="Y49" i="1" s="1"/>
  <c r="O48" i="1"/>
  <c r="S48" i="1" s="1"/>
  <c r="N48" i="1"/>
  <c r="G48" i="1"/>
  <c r="H48" i="1" s="1"/>
  <c r="O47" i="1"/>
  <c r="S47" i="1" s="1"/>
  <c r="N47" i="1"/>
  <c r="H47" i="1"/>
  <c r="Y47" i="1" s="1"/>
  <c r="O46" i="1"/>
  <c r="S46" i="1" s="1"/>
  <c r="N46" i="1"/>
  <c r="H46" i="1"/>
  <c r="Y46" i="1" s="1"/>
  <c r="O45" i="1"/>
  <c r="S45" i="1" s="1"/>
  <c r="N45" i="1"/>
  <c r="G45" i="1"/>
  <c r="H45" i="1" s="1"/>
  <c r="Y45" i="1" s="1"/>
  <c r="O44" i="1"/>
  <c r="S44" i="1" s="1"/>
  <c r="N44" i="1"/>
  <c r="H44" i="1"/>
  <c r="O43" i="1"/>
  <c r="S43" i="1" s="1"/>
  <c r="N43" i="1"/>
  <c r="H43" i="1"/>
  <c r="Y43" i="1" s="1"/>
  <c r="O42" i="1"/>
  <c r="S42" i="1" s="1"/>
  <c r="N42" i="1"/>
  <c r="H42" i="1"/>
  <c r="O41" i="1"/>
  <c r="S41" i="1" s="1"/>
  <c r="N41" i="1"/>
  <c r="G41" i="1"/>
  <c r="H41" i="1" s="1"/>
  <c r="O40" i="1"/>
  <c r="S40" i="1" s="1"/>
  <c r="N40" i="1"/>
  <c r="H40" i="1"/>
  <c r="O39" i="1"/>
  <c r="S39" i="1" s="1"/>
  <c r="N39" i="1"/>
  <c r="H39" i="1"/>
  <c r="Y39" i="1" s="1"/>
  <c r="O38" i="1"/>
  <c r="S38" i="1" s="1"/>
  <c r="N38" i="1"/>
  <c r="H38" i="1"/>
  <c r="Y38" i="1" s="1"/>
  <c r="O37" i="1"/>
  <c r="S37" i="1" s="1"/>
  <c r="N37" i="1"/>
  <c r="H37" i="1"/>
  <c r="Y37" i="1" s="1"/>
  <c r="O36" i="1"/>
  <c r="S36" i="1" s="1"/>
  <c r="N36" i="1"/>
  <c r="H36" i="1"/>
  <c r="Y36" i="1" s="1"/>
  <c r="O35" i="1"/>
  <c r="S35" i="1" s="1"/>
  <c r="N35" i="1"/>
  <c r="H35" i="1"/>
  <c r="O34" i="1"/>
  <c r="S34" i="1" s="1"/>
  <c r="N34" i="1"/>
  <c r="H34" i="1"/>
  <c r="Y34" i="1" s="1"/>
  <c r="O33" i="1"/>
  <c r="S33" i="1" s="1"/>
  <c r="N33" i="1"/>
  <c r="H33" i="1"/>
  <c r="Y33" i="1" s="1"/>
  <c r="O32" i="1"/>
  <c r="S32" i="1" s="1"/>
  <c r="N32" i="1"/>
  <c r="H32" i="1"/>
  <c r="Y32" i="1" s="1"/>
  <c r="O31" i="1"/>
  <c r="S31" i="1" s="1"/>
  <c r="N31" i="1"/>
  <c r="H31" i="1"/>
  <c r="Y31" i="1" s="1"/>
  <c r="O30" i="1"/>
  <c r="S30" i="1" s="1"/>
  <c r="N30" i="1"/>
  <c r="H30" i="1"/>
  <c r="Y30" i="1" s="1"/>
  <c r="O29" i="1"/>
  <c r="S29" i="1" s="1"/>
  <c r="N29" i="1"/>
  <c r="G29" i="1"/>
  <c r="F29" i="1"/>
  <c r="O28" i="1"/>
  <c r="S28" i="1" s="1"/>
  <c r="N28" i="1"/>
  <c r="H28" i="1"/>
  <c r="O27" i="1"/>
  <c r="S27" i="1" s="1"/>
  <c r="N27" i="1"/>
  <c r="H27" i="1"/>
  <c r="Y27" i="1" s="1"/>
  <c r="O26" i="1"/>
  <c r="S26" i="1" s="1"/>
  <c r="N26" i="1"/>
  <c r="H26" i="1"/>
  <c r="O25" i="1"/>
  <c r="S25" i="1" s="1"/>
  <c r="N25" i="1"/>
  <c r="G25" i="1"/>
  <c r="H25" i="1" s="1"/>
  <c r="O24" i="1"/>
  <c r="S24" i="1" s="1"/>
  <c r="N24" i="1"/>
  <c r="H24" i="1"/>
  <c r="Y24" i="1" s="1"/>
  <c r="O23" i="1"/>
  <c r="S23" i="1" s="1"/>
  <c r="N23" i="1"/>
  <c r="H23" i="1"/>
  <c r="O22" i="1"/>
  <c r="S22" i="1" s="1"/>
  <c r="N22" i="1"/>
  <c r="H22" i="1"/>
  <c r="O21" i="1"/>
  <c r="S21" i="1" s="1"/>
  <c r="N21" i="1"/>
  <c r="G21" i="1"/>
  <c r="H21" i="1" s="1"/>
  <c r="O20" i="1"/>
  <c r="S20" i="1" s="1"/>
  <c r="N20" i="1"/>
  <c r="H20" i="1"/>
  <c r="O19" i="1"/>
  <c r="S19" i="1" s="1"/>
  <c r="N19" i="1"/>
  <c r="H19" i="1"/>
  <c r="O18" i="1"/>
  <c r="S18" i="1" s="1"/>
  <c r="N18" i="1"/>
  <c r="G18" i="1"/>
  <c r="H18" i="1" s="1"/>
  <c r="Y18" i="1" s="1"/>
  <c r="O17" i="1"/>
  <c r="S17" i="1" s="1"/>
  <c r="N17" i="1"/>
  <c r="H17" i="1"/>
  <c r="O16" i="1"/>
  <c r="S16" i="1" s="1"/>
  <c r="N16" i="1"/>
  <c r="H16" i="1"/>
  <c r="Y16" i="1" s="1"/>
  <c r="O15" i="1"/>
  <c r="S15" i="1" s="1"/>
  <c r="N15" i="1"/>
  <c r="H15" i="1"/>
  <c r="O14" i="1"/>
  <c r="S14" i="1" s="1"/>
  <c r="N14" i="1"/>
  <c r="H14" i="1"/>
  <c r="Y14" i="1" s="1"/>
  <c r="O13" i="1"/>
  <c r="S13" i="1" s="1"/>
  <c r="N13" i="1"/>
  <c r="G13" i="1"/>
  <c r="H13" i="1" s="1"/>
  <c r="O12" i="1"/>
  <c r="S12" i="1" s="1"/>
  <c r="N12" i="1"/>
  <c r="H12" i="1"/>
  <c r="Y12" i="1" s="1"/>
  <c r="O11" i="1"/>
  <c r="S11" i="1" s="1"/>
  <c r="N11" i="1"/>
  <c r="H11" i="1"/>
  <c r="Y11" i="1" s="1"/>
  <c r="O10" i="1"/>
  <c r="S10" i="1" s="1"/>
  <c r="N10" i="1"/>
  <c r="G10" i="1"/>
  <c r="O9" i="1"/>
  <c r="S9" i="1" s="1"/>
  <c r="N9" i="1"/>
  <c r="H9" i="1"/>
  <c r="Y9" i="1" s="1"/>
  <c r="O8" i="1"/>
  <c r="S8" i="1" s="1"/>
  <c r="N8" i="1"/>
  <c r="H8" i="1"/>
  <c r="O7" i="1"/>
  <c r="S7" i="1" s="1"/>
  <c r="N7" i="1"/>
  <c r="H7" i="1"/>
  <c r="O6" i="1"/>
  <c r="S6" i="1" s="1"/>
  <c r="N6" i="1"/>
  <c r="H6" i="1"/>
  <c r="Y6" i="1" s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M5" i="1"/>
  <c r="Y110" i="1" l="1"/>
  <c r="Y111" i="1"/>
  <c r="T40" i="1"/>
  <c r="T73" i="1"/>
  <c r="Z25" i="1"/>
  <c r="T75" i="1"/>
  <c r="T13" i="1"/>
  <c r="T90" i="1"/>
  <c r="T25" i="1"/>
  <c r="T58" i="1"/>
  <c r="T66" i="1"/>
  <c r="T107" i="1"/>
  <c r="T56" i="1"/>
  <c r="T52" i="1"/>
  <c r="T42" i="1"/>
  <c r="O67" i="1"/>
  <c r="S67" i="1" s="1"/>
  <c r="S5" i="1" s="1"/>
  <c r="T86" i="1"/>
  <c r="T98" i="1"/>
  <c r="T114" i="1"/>
  <c r="T65" i="1"/>
  <c r="T26" i="1"/>
  <c r="T8" i="1"/>
  <c r="T28" i="1"/>
  <c r="Z115" i="1"/>
  <c r="T35" i="1"/>
  <c r="T23" i="1"/>
  <c r="T82" i="1"/>
  <c r="T17" i="1"/>
  <c r="Z50" i="1"/>
  <c r="T83" i="1"/>
  <c r="Z38" i="1"/>
  <c r="Z14" i="1"/>
  <c r="T113" i="1"/>
  <c r="T44" i="1"/>
  <c r="T109" i="1"/>
  <c r="T70" i="1"/>
  <c r="Z77" i="1"/>
  <c r="T19" i="1"/>
  <c r="T78" i="1"/>
  <c r="T104" i="1"/>
  <c r="N111" i="1"/>
  <c r="Z7" i="1"/>
  <c r="T20" i="1"/>
  <c r="T59" i="1"/>
  <c r="Z99" i="1"/>
  <c r="T15" i="1"/>
  <c r="T41" i="1"/>
  <c r="T80" i="1"/>
  <c r="T48" i="1"/>
  <c r="U48" i="1" s="1"/>
  <c r="T22" i="1"/>
  <c r="U22" i="1" s="1"/>
  <c r="Z75" i="1"/>
  <c r="T21" i="1"/>
  <c r="Z74" i="1"/>
  <c r="T74" i="1"/>
  <c r="H67" i="1"/>
  <c r="H29" i="1"/>
  <c r="T99" i="1"/>
  <c r="Z46" i="1"/>
  <c r="Z9" i="1"/>
  <c r="Z57" i="1"/>
  <c r="Z84" i="1"/>
  <c r="Z63" i="1"/>
  <c r="Z96" i="1"/>
  <c r="Z102" i="1"/>
  <c r="Z107" i="1"/>
  <c r="Z64" i="1"/>
  <c r="Z21" i="1"/>
  <c r="Z32" i="1"/>
  <c r="T7" i="1"/>
  <c r="T84" i="1"/>
  <c r="Z20" i="1"/>
  <c r="Z28" i="1"/>
  <c r="Z71" i="1"/>
  <c r="T89" i="1"/>
  <c r="Z91" i="1"/>
  <c r="Z8" i="1"/>
  <c r="Z44" i="1"/>
  <c r="Z58" i="1"/>
  <c r="Z68" i="1"/>
  <c r="Z55" i="1"/>
  <c r="Z92" i="1"/>
  <c r="H69" i="1"/>
  <c r="Z87" i="1"/>
  <c r="Z26" i="1"/>
  <c r="Z98" i="1"/>
  <c r="Z117" i="1"/>
  <c r="Z17" i="1"/>
  <c r="Z35" i="1"/>
  <c r="Z36" i="1"/>
  <c r="Z83" i="1"/>
  <c r="Z93" i="1"/>
  <c r="G5" i="1"/>
  <c r="Z18" i="1"/>
  <c r="Z89" i="1"/>
  <c r="Z109" i="1"/>
  <c r="Z27" i="1"/>
  <c r="H10" i="1"/>
  <c r="Z15" i="1"/>
  <c r="Z61" i="1"/>
  <c r="Z119" i="1"/>
  <c r="Z11" i="1"/>
  <c r="Z33" i="1"/>
  <c r="N114" i="1"/>
  <c r="N110" i="1"/>
  <c r="Z101" i="1"/>
  <c r="Z86" i="1"/>
  <c r="Z49" i="1"/>
  <c r="Z12" i="1"/>
  <c r="Z34" i="1"/>
  <c r="Z40" i="1"/>
  <c r="Z97" i="1"/>
  <c r="Z72" i="1"/>
  <c r="Z111" i="1"/>
  <c r="Z45" i="1"/>
  <c r="Z112" i="1"/>
  <c r="Z59" i="1"/>
  <c r="Z41" i="1"/>
  <c r="Z78" i="1"/>
  <c r="Z88" i="1"/>
  <c r="Z22" i="1"/>
  <c r="Z51" i="1"/>
  <c r="Z103" i="1"/>
  <c r="Z60" i="1"/>
  <c r="Z113" i="1"/>
  <c r="Z76" i="1"/>
  <c r="Z13" i="1"/>
  <c r="Z94" i="1"/>
  <c r="Z118" i="1"/>
  <c r="Z31" i="1"/>
  <c r="Z65" i="1"/>
  <c r="Z42" i="1"/>
  <c r="Z47" i="1"/>
  <c r="Z52" i="1"/>
  <c r="Z80" i="1"/>
  <c r="Z104" i="1"/>
  <c r="Z37" i="1"/>
  <c r="Z48" i="1"/>
  <c r="Z23" i="1"/>
  <c r="Z66" i="1"/>
  <c r="Z95" i="1"/>
  <c r="Z114" i="1"/>
  <c r="Z53" i="1"/>
  <c r="Z62" i="1"/>
  <c r="Z100" i="1"/>
  <c r="Z110" i="1"/>
  <c r="Z105" i="1"/>
  <c r="Z43" i="1"/>
  <c r="Z85" i="1"/>
  <c r="Z90" i="1"/>
  <c r="Z24" i="1"/>
  <c r="Z54" i="1"/>
  <c r="Z81" i="1"/>
  <c r="Z106" i="1"/>
  <c r="Z16" i="1"/>
  <c r="Z56" i="1"/>
  <c r="Z70" i="1"/>
  <c r="Z73" i="1"/>
  <c r="Z79" i="1"/>
  <c r="Z82" i="1"/>
  <c r="Z116" i="1"/>
  <c r="Z108" i="1"/>
  <c r="Z39" i="1"/>
  <c r="E5" i="1"/>
  <c r="Z19" i="1"/>
  <c r="Z30" i="1"/>
  <c r="F5" i="1"/>
  <c r="Z6" i="1"/>
  <c r="W22" i="1" l="1"/>
  <c r="AM22" i="1" s="1"/>
  <c r="W48" i="1"/>
  <c r="AM48" i="1" s="1"/>
  <c r="Y22" i="1"/>
  <c r="Z69" i="1"/>
  <c r="Y69" i="1"/>
  <c r="Z29" i="1"/>
  <c r="Z10" i="1"/>
  <c r="Y48" i="1"/>
  <c r="U89" i="1"/>
  <c r="U84" i="1"/>
  <c r="V84" i="1" s="1"/>
  <c r="AL84" i="1" s="1"/>
  <c r="U74" i="1"/>
  <c r="V74" i="1" s="1"/>
  <c r="AL74" i="1" s="1"/>
  <c r="U21" i="1"/>
  <c r="U41" i="1"/>
  <c r="U20" i="1"/>
  <c r="U19" i="1"/>
  <c r="V19" i="1" s="1"/>
  <c r="AL19" i="1" s="1"/>
  <c r="U70" i="1"/>
  <c r="V70" i="1" s="1"/>
  <c r="AL70" i="1" s="1"/>
  <c r="U44" i="1"/>
  <c r="U113" i="1"/>
  <c r="U82" i="1"/>
  <c r="V82" i="1" s="1"/>
  <c r="AL82" i="1" s="1"/>
  <c r="U35" i="1"/>
  <c r="V35" i="1" s="1"/>
  <c r="AL35" i="1" s="1"/>
  <c r="U28" i="1"/>
  <c r="V28" i="1" s="1"/>
  <c r="AL28" i="1" s="1"/>
  <c r="U26" i="1"/>
  <c r="V26" i="1" s="1"/>
  <c r="AL26" i="1" s="1"/>
  <c r="U114" i="1"/>
  <c r="U86" i="1"/>
  <c r="V86" i="1" s="1"/>
  <c r="AL86" i="1" s="1"/>
  <c r="U52" i="1"/>
  <c r="U107" i="1"/>
  <c r="V107" i="1" s="1"/>
  <c r="AL107" i="1" s="1"/>
  <c r="U58" i="1"/>
  <c r="V58" i="1" s="1"/>
  <c r="AL58" i="1" s="1"/>
  <c r="U90" i="1"/>
  <c r="U75" i="1"/>
  <c r="U73" i="1"/>
  <c r="U7" i="1"/>
  <c r="W7" i="1" s="1"/>
  <c r="U99" i="1"/>
  <c r="U80" i="1"/>
  <c r="V80" i="1" s="1"/>
  <c r="AL80" i="1" s="1"/>
  <c r="U15" i="1"/>
  <c r="V15" i="1" s="1"/>
  <c r="AL15" i="1" s="1"/>
  <c r="U59" i="1"/>
  <c r="V59" i="1" s="1"/>
  <c r="AL59" i="1" s="1"/>
  <c r="U104" i="1"/>
  <c r="V104" i="1" s="1"/>
  <c r="AL104" i="1" s="1"/>
  <c r="U78" i="1"/>
  <c r="U109" i="1"/>
  <c r="V109" i="1" s="1"/>
  <c r="AL109" i="1" s="1"/>
  <c r="U83" i="1"/>
  <c r="U17" i="1"/>
  <c r="U23" i="1"/>
  <c r="V23" i="1" s="1"/>
  <c r="AL23" i="1" s="1"/>
  <c r="U8" i="1"/>
  <c r="V8" i="1" s="1"/>
  <c r="AL8" i="1" s="1"/>
  <c r="U65" i="1"/>
  <c r="V65" i="1" s="1"/>
  <c r="AL65" i="1" s="1"/>
  <c r="U98" i="1"/>
  <c r="V98" i="1" s="1"/>
  <c r="AL98" i="1" s="1"/>
  <c r="U42" i="1"/>
  <c r="V42" i="1" s="1"/>
  <c r="AL42" i="1" s="1"/>
  <c r="U56" i="1"/>
  <c r="U66" i="1"/>
  <c r="V66" i="1" s="1"/>
  <c r="AL66" i="1" s="1"/>
  <c r="U25" i="1"/>
  <c r="U13" i="1"/>
  <c r="U40" i="1"/>
  <c r="O5" i="1"/>
  <c r="Z67" i="1"/>
  <c r="T10" i="1"/>
  <c r="U10" i="1" s="1"/>
  <c r="N5" i="1"/>
  <c r="T29" i="1"/>
  <c r="T67" i="1"/>
  <c r="U67" i="1" s="1"/>
  <c r="H5" i="1"/>
  <c r="W10" i="1" l="1"/>
  <c r="AM10" i="1" s="1"/>
  <c r="W67" i="1"/>
  <c r="AM67" i="1" s="1"/>
  <c r="W40" i="1"/>
  <c r="AM40" i="1" s="1"/>
  <c r="W25" i="1"/>
  <c r="AM25" i="1" s="1"/>
  <c r="W56" i="1"/>
  <c r="AM56" i="1" s="1"/>
  <c r="W17" i="1"/>
  <c r="AM17" i="1" s="1"/>
  <c r="W99" i="1"/>
  <c r="AM99" i="1" s="1"/>
  <c r="W73" i="1"/>
  <c r="AM73" i="1" s="1"/>
  <c r="W90" i="1"/>
  <c r="AM90" i="1" s="1"/>
  <c r="W113" i="1"/>
  <c r="AM113" i="1" s="1"/>
  <c r="W20" i="1"/>
  <c r="AM20" i="1" s="1"/>
  <c r="W21" i="1"/>
  <c r="AM21" i="1" s="1"/>
  <c r="W13" i="1"/>
  <c r="AM13" i="1" s="1"/>
  <c r="W83" i="1"/>
  <c r="AM83" i="1" s="1"/>
  <c r="W78" i="1"/>
  <c r="AM78" i="1" s="1"/>
  <c r="AM7" i="1"/>
  <c r="W75" i="1"/>
  <c r="AM75" i="1" s="1"/>
  <c r="W52" i="1"/>
  <c r="AM52" i="1" s="1"/>
  <c r="W114" i="1"/>
  <c r="AM114" i="1" s="1"/>
  <c r="W44" i="1"/>
  <c r="AM44" i="1" s="1"/>
  <c r="W41" i="1"/>
  <c r="AM41" i="1" s="1"/>
  <c r="W89" i="1"/>
  <c r="AM89" i="1" s="1"/>
  <c r="V48" i="1"/>
  <c r="AL48" i="1" s="1"/>
  <c r="V22" i="1"/>
  <c r="AL22" i="1" s="1"/>
  <c r="V7" i="1"/>
  <c r="Y7" i="1"/>
  <c r="Y67" i="1"/>
  <c r="Y13" i="1"/>
  <c r="Y66" i="1"/>
  <c r="Y42" i="1"/>
  <c r="Y65" i="1"/>
  <c r="Y23" i="1"/>
  <c r="Y83" i="1"/>
  <c r="Y78" i="1"/>
  <c r="Y59" i="1"/>
  <c r="Y80" i="1"/>
  <c r="Y75" i="1"/>
  <c r="Y58" i="1"/>
  <c r="Y52" i="1"/>
  <c r="Y114" i="1"/>
  <c r="Y28" i="1"/>
  <c r="Y82" i="1"/>
  <c r="Y44" i="1"/>
  <c r="Y19" i="1"/>
  <c r="Y41" i="1"/>
  <c r="Y74" i="1"/>
  <c r="Y89" i="1"/>
  <c r="Y40" i="1"/>
  <c r="Y25" i="1"/>
  <c r="Y56" i="1"/>
  <c r="Y98" i="1"/>
  <c r="Y8" i="1"/>
  <c r="Y17" i="1"/>
  <c r="Y109" i="1"/>
  <c r="Y104" i="1"/>
  <c r="Y15" i="1"/>
  <c r="Y99" i="1"/>
  <c r="Y73" i="1"/>
  <c r="Y90" i="1"/>
  <c r="Y107" i="1"/>
  <c r="Y86" i="1"/>
  <c r="Y26" i="1"/>
  <c r="Y35" i="1"/>
  <c r="Y113" i="1"/>
  <c r="Y70" i="1"/>
  <c r="Y20" i="1"/>
  <c r="Y21" i="1"/>
  <c r="Y84" i="1"/>
  <c r="Y10" i="1"/>
  <c r="U29" i="1"/>
  <c r="T5" i="1"/>
  <c r="W29" i="1" l="1"/>
  <c r="V89" i="1"/>
  <c r="AL89" i="1" s="1"/>
  <c r="V41" i="1"/>
  <c r="AL41" i="1" s="1"/>
  <c r="V44" i="1"/>
  <c r="AL44" i="1" s="1"/>
  <c r="V114" i="1"/>
  <c r="AL114" i="1" s="1"/>
  <c r="V52" i="1"/>
  <c r="AL52" i="1" s="1"/>
  <c r="V75" i="1"/>
  <c r="AL75" i="1" s="1"/>
  <c r="V78" i="1"/>
  <c r="AL78" i="1" s="1"/>
  <c r="V83" i="1"/>
  <c r="AL83" i="1" s="1"/>
  <c r="V13" i="1"/>
  <c r="AL13" i="1" s="1"/>
  <c r="V21" i="1"/>
  <c r="AL21" i="1" s="1"/>
  <c r="V20" i="1"/>
  <c r="AL20" i="1" s="1"/>
  <c r="V113" i="1"/>
  <c r="AL113" i="1" s="1"/>
  <c r="V90" i="1"/>
  <c r="AL90" i="1" s="1"/>
  <c r="V73" i="1"/>
  <c r="AL73" i="1" s="1"/>
  <c r="V99" i="1"/>
  <c r="AL99" i="1" s="1"/>
  <c r="V17" i="1"/>
  <c r="AL17" i="1" s="1"/>
  <c r="V56" i="1"/>
  <c r="AL56" i="1" s="1"/>
  <c r="V25" i="1"/>
  <c r="AL25" i="1" s="1"/>
  <c r="V40" i="1"/>
  <c r="AL40" i="1" s="1"/>
  <c r="V67" i="1"/>
  <c r="AL67" i="1" s="1"/>
  <c r="V10" i="1"/>
  <c r="AL10" i="1" s="1"/>
  <c r="AL7" i="1"/>
  <c r="U5" i="1"/>
  <c r="Y29" i="1"/>
  <c r="AM29" i="1" l="1"/>
  <c r="AM5" i="1" s="1"/>
  <c r="W5" i="1"/>
  <c r="V29" i="1"/>
  <c r="AL29" i="1" s="1"/>
  <c r="AL5" i="1" s="1"/>
  <c r="V5" i="1" l="1"/>
</calcChain>
</file>

<file path=xl/sharedStrings.xml><?xml version="1.0" encoding="utf-8"?>
<sst xmlns="http://schemas.openxmlformats.org/spreadsheetml/2006/main" count="490" uniqueCount="209">
  <si>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</si>
  <si>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</si>
  <si>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</si>
  <si>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</si>
  <si>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</si>
  <si>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</si>
  <si>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ОПТ</t>
  </si>
  <si>
    <t>Ост. ИТОГО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</si>
  <si>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</si>
  <si>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</si>
  <si>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</si>
  <si>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</si>
  <si>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</si>
  <si>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</si>
  <si>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</si>
  <si>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</si>
  <si>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</si>
  <si>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</si>
  <si>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</si>
  <si>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</si>
  <si>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</si>
  <si>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</si>
  <si>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</si>
  <si>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</si>
  <si>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16,08,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</si>
  <si>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</si>
  <si>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</si>
  <si>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</si>
  <si>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</si>
  <si>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</si>
  <si>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</si>
  <si>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</si>
  <si>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</si>
  <si>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</si>
  <si>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</si>
  <si>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01,06,</t>
  </si>
  <si>
    <t>кг</t>
  </si>
  <si>
    <t>матрица</t>
  </si>
  <si>
    <t>нет потребности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</si>
  <si>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</si>
  <si>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</si>
  <si>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</si>
  <si>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</si>
  <si>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</si>
  <si>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</si>
  <si>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</si>
  <si>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</si>
  <si>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</si>
  <si>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</si>
  <si>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</si>
  <si>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</si>
  <si>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</si>
  <si>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</si>
  <si>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</si>
  <si>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</si>
  <si>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</si>
  <si>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</si>
  <si>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</si>
  <si>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</si>
  <si>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</si>
  <si>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</si>
  <si>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</si>
  <si>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</si>
  <si>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</si>
  <si>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</si>
  <si>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</si>
  <si>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</si>
  <si>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</si>
  <si>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</si>
  <si>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</si>
  <si>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</si>
  <si>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</si>
  <si>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</si>
  <si>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</si>
  <si>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</si>
  <si>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</si>
  <si>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</si>
  <si>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</si>
  <si>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</si>
  <si>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</si>
  <si>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</si>
  <si>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</si>
  <si>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</si>
  <si>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</si>
  <si>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</si>
  <si>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</si>
  <si>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</si>
  <si>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</si>
  <si>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</si>
  <si>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</si>
  <si>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</si>
  <si>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</si>
  <si>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</si>
  <si>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</si>
  <si>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</si>
  <si>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</si>
  <si>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</si>
  <si>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не потребности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</si>
  <si>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</si>
  <si>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</si>
  <si>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</si>
  <si>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</si>
  <si>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</si>
  <si>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</si>
  <si>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</si>
  <si>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</si>
  <si>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</si>
  <si>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</si>
  <si>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</si>
  <si>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</si>
  <si>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</si>
  <si>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</si>
  <si>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</si>
  <si>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</si>
  <si>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</si>
  <si>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</si>
  <si>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</si>
  <si>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</si>
  <si>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</si>
  <si>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</si>
  <si>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</si>
  <si>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</si>
  <si>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</si>
  <si>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</si>
  <si>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</si>
  <si>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</si>
  <si>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</si>
  <si>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</si>
  <si>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</si>
  <si>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</si>
  <si>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</si>
  <si>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нужно увеличить продажи!!!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</si>
  <si>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</si>
  <si>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</si>
  <si>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</si>
  <si>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</si>
  <si>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</si>
  <si>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</si>
  <si>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</si>
  <si>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</si>
  <si>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</si>
  <si>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</si>
  <si>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</si>
  <si>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</si>
  <si>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</si>
  <si>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</si>
  <si>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</si>
  <si>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</si>
  <si>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</si>
  <si>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</si>
  <si>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</si>
  <si>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</si>
  <si>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</si>
  <si>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</si>
  <si>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</si>
  <si>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</si>
  <si>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</si>
  <si>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</si>
  <si>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</si>
  <si>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</si>
  <si>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</si>
  <si>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</si>
  <si>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</si>
  <si>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</si>
  <si>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</si>
  <si>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</si>
  <si>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</si>
  <si>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</si>
  <si>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</si>
  <si>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</si>
  <si>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6454</t>
  </si>
  <si>
    <t>вместо 6453</t>
  </si>
  <si>
    <t>вместо 6353</t>
  </si>
  <si>
    <t>7647 ХОЧУ ВЕТЧ.ИЗ СВ.ОТРУБА с/н мгс 1/100_Л11  ОСТАНКИНО</t>
  </si>
  <si>
    <t>новинка / завод не отгрузил</t>
  </si>
  <si>
    <t>7651 ХОЧУ ВЕТЧ.МРАМОР. ПМ с/н мгс 1/100_Л11  ОСТАНКИНО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</si>
  <si>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</si>
  <si>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</si>
  <si>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</si>
  <si>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</si>
  <si>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t>нужно увеличить продажи / плюсом 5 дней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</si>
  <si>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пересчет +155кг (12,07,26)</t>
    </r>
  </si>
  <si>
    <t>нужно увеличить продажи</t>
  </si>
  <si>
    <t>вместо 6459</t>
  </si>
  <si>
    <t>нужно увеличить продажи / вместо 7288</t>
  </si>
  <si>
    <t>ТК</t>
  </si>
  <si>
    <t>Титинок</t>
  </si>
  <si>
    <t>8014 ДОКТОРСКАЯ ПРЕМИУМ вар п/о(п)</t>
  </si>
  <si>
    <t>Обжора +600</t>
  </si>
  <si>
    <t>Обжора +500</t>
  </si>
  <si>
    <t>плюс 60</t>
  </si>
  <si>
    <t>плюс 40</t>
  </si>
  <si>
    <t>минус 500</t>
  </si>
  <si>
    <t>заказываем с 19,08,26</t>
  </si>
  <si>
    <t>РАЗОВО</t>
  </si>
  <si>
    <t>7536 ДОКТОРСКАЯ ГОСТ Останкино вар п/о</t>
  </si>
  <si>
    <t>7514 ЛЮБИТЕЛЬСКАЯ ОСТАНКИНСКАЯ вар ц/о в/у</t>
  </si>
  <si>
    <t>7518 ТЕЛЯЧЬЯ ГОСТ Останкино вар н/о в/у</t>
  </si>
  <si>
    <t>6929 КАРБОНAД ДОМАШНИЙ ПМ к/в кр/к в/у</t>
  </si>
  <si>
    <t>7626 БРАУНШВЕЙГСКАЯ с/к с/н мгс 1/100_Л10</t>
  </si>
  <si>
    <t>0614 ПРАЗДНИЧНАЯ с/к в/с дек.спец.мгс</t>
  </si>
  <si>
    <t>заказ</t>
  </si>
  <si>
    <t>итого</t>
  </si>
  <si>
    <t>600 шт Обжора (19,08,26) / плюсом 5 дней</t>
  </si>
  <si>
    <t>500 шт Обжора (19,08,26) / 05,08,26 800шт ЮгТех</t>
  </si>
  <si>
    <t>500 шт Обжора (19,08,26) / 05,08,26 900шт ЮгТех</t>
  </si>
  <si>
    <t>23,08,</t>
  </si>
  <si>
    <t>24,08,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</si>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</sst>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4" borderId="1" xfId="1" applyNumberFormat="1" applyFill="1"/>
    <xf numFmtId="164" fontId="7" fillId="4" borderId="1" xfId="1" applyNumberFormat="1" applyFont="1" applyFill="1"/>
    <xf numFmtId="164" fontId="7" fillId="0" borderId="1" xfId="1" applyNumberFormat="1" applyFont="1"/>
    <xf numFmtId="164" fontId="1" fillId="7" borderId="1" xfId="1" applyNumberFormat="1" applyFill="1"/>
    <xf numFmtId="164" fontId="1" fillId="5" borderId="1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1" fillId="0" borderId="1" xfId="1" applyNumberFormat="1" applyFill="1" applyBorder="1"/>
    <xf numFmtId="0" fontId="0" fillId="0" borderId="0" xfId="0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5851 ЭКСТРА Папа может вар п/о   ОСТАНКИНО</v>
          </cell>
          <cell r="B2">
            <v>148.82900000000001</v>
          </cell>
        </row>
        <row r="3">
          <cell r="A3" t="str">
            <v>4813 ФИЛЕЙНАЯ Папа может вар п/о_Л   ОСТАНКИНО</v>
          </cell>
          <cell r="B3">
            <v>157.50899999999999</v>
          </cell>
        </row>
        <row r="4">
          <cell r="A4" t="str">
            <v>4063 МЯСНАЯ Папа может вар п/о_Л   ОСТАНКИНО</v>
          </cell>
          <cell r="B4">
            <v>177.73099999999999</v>
          </cell>
        </row>
        <row r="5">
          <cell r="A5" t="str">
            <v>6220 ГОВЯЖЬЯ папа может вар п/о  Останкино</v>
          </cell>
          <cell r="B5">
            <v>194.85400000000001</v>
          </cell>
        </row>
        <row r="6">
          <cell r="A6" t="str">
            <v>6498 МОЛОЧНАЯ Папа может вар п/о  ОСТАНКИНО</v>
          </cell>
          <cell r="B6">
            <v>147.86699999999999</v>
          </cell>
        </row>
        <row r="7">
          <cell r="A7" t="str">
            <v>6829  МОЛОЧНЫЕ КЛАССИЧЕСКИЕ сос п/о мгс 2*4 С  Останккино</v>
          </cell>
          <cell r="B7">
            <v>99.677999999999997</v>
          </cell>
        </row>
        <row r="8">
          <cell r="A8" t="str">
            <v>7070 СОЧНЫЕ ПМ сос п/о 1,5*4_А_50с  Останкино</v>
          </cell>
          <cell r="B8">
            <v>154.45699999999999</v>
          </cell>
        </row>
        <row r="9">
          <cell r="A9" t="str">
            <v>6303 Мясные Папа может сос п/о мгс 1,5*3  Останкино</v>
          </cell>
          <cell r="B9">
            <v>213.268</v>
          </cell>
        </row>
        <row r="10">
          <cell r="A10" t="str">
            <v>7066 СОЧНЫЕ ПМ сос п/о мгс 0,41кг 10шт 50с  Останкино</v>
          </cell>
          <cell r="B10">
            <v>50</v>
          </cell>
        </row>
        <row r="11">
          <cell r="A11" t="str">
            <v>6616 МОЛОЧНЫЕ КЛАССИЧЕСКИЕ сос п/о в/у 0,3 кг  Останкино</v>
          </cell>
          <cell r="B11">
            <v>24</v>
          </cell>
        </row>
        <row r="12">
          <cell r="A12" t="str">
            <v>5544 Сервелат Финский в/к в/у_45с НОВАЯ ОСТАНКИНО</v>
          </cell>
          <cell r="B12">
            <v>60.430999999999997</v>
          </cell>
        </row>
        <row r="13">
          <cell r="A13" t="str">
            <v>7166 СЕРВЕЛАТ ОХОТНИЧИЙ ПМ в/к в/у_50с  Останкино</v>
          </cell>
          <cell r="B13">
            <v>39.25</v>
          </cell>
        </row>
        <row r="14">
          <cell r="A14" t="str">
            <v>6697 СЕРВЕЛАТ ФИНСКИЙ ПМ в/к в/у 0,35кг 8шт  ОСТАНКИНО</v>
          </cell>
          <cell r="B14">
            <v>40</v>
          </cell>
        </row>
        <row r="15">
          <cell r="A15" t="str">
            <v>Поддон деревянный ЕВРО</v>
          </cell>
          <cell r="B15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" sqref="Y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8" width="7" style="9" customWidth="1"/>
    <col min="9" max="9" width="5" style="6" customWidth="1"/>
    <col min="10" max="10" width="5" customWidth="1"/>
    <col min="11" max="11" width="12" customWidth="1"/>
    <col min="12" max="12" width="1" customWidth="1"/>
    <col min="13" max="23" width="7" customWidth="1"/>
    <col min="24" max="24" width="11.140625" style="22" customWidth="1"/>
    <col min="25" max="26" width="5" customWidth="1"/>
    <col min="27" max="36" width="6" customWidth="1"/>
    <col min="37" max="37" width="13.5703125" customWidth="1"/>
    <col min="38" max="39" width="7" customWidth="1"/>
    <col min="40" max="53" width="3" customWidth="1"/>
  </cols>
  <sheetData>
    <row r="1" spans="1:53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8">
        <v>0.5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208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10" t="s">
        <v>7</v>
      </c>
      <c r="I3" s="8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16</v>
      </c>
      <c r="S3" s="2" t="s">
        <v>17</v>
      </c>
      <c r="T3" s="3" t="s">
        <v>18</v>
      </c>
      <c r="U3" s="3" t="s">
        <v>202</v>
      </c>
      <c r="V3" s="3" t="s">
        <v>201</v>
      </c>
      <c r="W3" s="3" t="s">
        <v>201</v>
      </c>
      <c r="X3" s="3" t="s">
        <v>185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22</v>
      </c>
      <c r="AL3" s="2" t="s">
        <v>23</v>
      </c>
      <c r="AM3" s="2" t="s">
        <v>23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1"/>
      <c r="H4" s="1"/>
      <c r="I4" s="7"/>
      <c r="J4" s="1"/>
      <c r="K4" s="1"/>
      <c r="L4" s="1"/>
      <c r="M4" s="1"/>
      <c r="N4" s="1"/>
      <c r="O4" s="1"/>
      <c r="P4" s="1"/>
      <c r="Q4" s="1" t="s">
        <v>24</v>
      </c>
      <c r="R4" s="1" t="s">
        <v>25</v>
      </c>
      <c r="S4" s="1" t="s">
        <v>25</v>
      </c>
      <c r="T4" s="1"/>
      <c r="U4" s="1"/>
      <c r="V4" s="1" t="s">
        <v>206</v>
      </c>
      <c r="W4" s="1" t="s">
        <v>207</v>
      </c>
      <c r="X4" s="1" t="s">
        <v>186</v>
      </c>
      <c r="Y4" s="1"/>
      <c r="Z4" s="1"/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/>
      <c r="AL4" s="1" t="s">
        <v>206</v>
      </c>
      <c r="AM4" s="1" t="s">
        <v>207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SUM(E6:E497)</f>
        <v>21434.144</v>
      </c>
      <c r="F5" s="4">
        <f>SUM(F6:F497)</f>
        <v>21112.89</v>
      </c>
      <c r="G5" s="4">
        <f>SUM(G6:G497)</f>
        <v>1507.8739999999998</v>
      </c>
      <c r="H5" s="4">
        <f>SUM(H6:H497)</f>
        <v>19605.016</v>
      </c>
      <c r="I5" s="7"/>
      <c r="J5" s="1"/>
      <c r="K5" s="1"/>
      <c r="L5" s="1"/>
      <c r="M5" s="4">
        <f t="shared" ref="M5:V5" si="0">SUM(M6:M497)</f>
        <v>28651.620999999999</v>
      </c>
      <c r="N5" s="4">
        <f t="shared" si="0"/>
        <v>-7217.476999999999</v>
      </c>
      <c r="O5" s="4">
        <f t="shared" si="0"/>
        <v>19623.203999999998</v>
      </c>
      <c r="P5" s="4">
        <f t="shared" si="0"/>
        <v>1810.9399999999998</v>
      </c>
      <c r="Q5" s="4">
        <f t="shared" si="0"/>
        <v>5732</v>
      </c>
      <c r="R5" s="4">
        <f t="shared" si="0"/>
        <v>4692</v>
      </c>
      <c r="S5" s="4">
        <f t="shared" si="0"/>
        <v>3924.640800000001</v>
      </c>
      <c r="T5" s="4">
        <f t="shared" si="0"/>
        <v>23013.450600000004</v>
      </c>
      <c r="U5" s="4">
        <f t="shared" si="0"/>
        <v>24624</v>
      </c>
      <c r="V5" s="4">
        <f t="shared" si="0"/>
        <v>13540</v>
      </c>
      <c r="W5" s="4">
        <f t="shared" ref="W5" si="1">SUM(W6:W497)</f>
        <v>11084</v>
      </c>
      <c r="X5" s="4"/>
      <c r="Y5" s="1"/>
      <c r="Z5" s="1"/>
      <c r="AA5" s="4">
        <f t="shared" ref="AA5:AJ5" si="2">SUM(AA6:AA497)</f>
        <v>3001.8939999999989</v>
      </c>
      <c r="AB5" s="4">
        <f t="shared" si="2"/>
        <v>3808.1220000000017</v>
      </c>
      <c r="AC5" s="4">
        <f t="shared" si="2"/>
        <v>3515.7242000000001</v>
      </c>
      <c r="AD5" s="4">
        <f t="shared" si="2"/>
        <v>3023.8241999999991</v>
      </c>
      <c r="AE5" s="4">
        <f t="shared" si="2"/>
        <v>3546.3203999999992</v>
      </c>
      <c r="AF5" s="4">
        <f t="shared" si="2"/>
        <v>3673.2276000000006</v>
      </c>
      <c r="AG5" s="4">
        <f t="shared" si="2"/>
        <v>3880.3942000000011</v>
      </c>
      <c r="AH5" s="4">
        <f t="shared" si="2"/>
        <v>5273.8137999999999</v>
      </c>
      <c r="AI5" s="4">
        <f t="shared" si="2"/>
        <v>3446.3420000000001</v>
      </c>
      <c r="AJ5" s="4">
        <f t="shared" si="2"/>
        <v>3664.1063999999997</v>
      </c>
      <c r="AK5" s="1"/>
      <c r="AL5" s="4">
        <f>SUM(AL6:AL497)</f>
        <v>7056.8499999999985</v>
      </c>
      <c r="AM5" s="4">
        <f>SUM(AM6:AM497)</f>
        <v>6002.24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1" t="s">
        <v>187</v>
      </c>
      <c r="B6" s="11" t="s">
        <v>36</v>
      </c>
      <c r="C6" s="11"/>
      <c r="D6" s="11"/>
      <c r="E6" s="11"/>
      <c r="F6" s="11"/>
      <c r="G6" s="11"/>
      <c r="H6" s="11">
        <f t="shared" ref="H6:H37" si="3">F6-G6</f>
        <v>0</v>
      </c>
      <c r="I6" s="12">
        <v>0</v>
      </c>
      <c r="J6" s="11"/>
      <c r="K6" s="11" t="s">
        <v>37</v>
      </c>
      <c r="L6" s="11"/>
      <c r="M6" s="11"/>
      <c r="N6" s="11">
        <f t="shared" ref="N6:N37" si="4">E6-M6</f>
        <v>0</v>
      </c>
      <c r="O6" s="11">
        <f t="shared" ref="O6:O37" si="5">E6-P6</f>
        <v>0</v>
      </c>
      <c r="P6" s="11"/>
      <c r="Q6" s="11">
        <v>0</v>
      </c>
      <c r="R6" s="11"/>
      <c r="S6" s="11">
        <f t="shared" ref="S6:S37" si="6">O6/5</f>
        <v>0</v>
      </c>
      <c r="T6" s="13"/>
      <c r="U6" s="5">
        <f>ROUND(T6,0)</f>
        <v>0</v>
      </c>
      <c r="V6" s="5">
        <f>ROUND(U6-W6,0)</f>
        <v>0</v>
      </c>
      <c r="W6" s="5"/>
      <c r="X6" s="20"/>
      <c r="Y6" s="1" t="e">
        <f>(H6+Q6+R6+U6)/S6</f>
        <v>#DIV/0!</v>
      </c>
      <c r="Z6" s="11" t="e">
        <f t="shared" ref="Z6:Z37" si="7">(H6+Q6+R6)/S6</f>
        <v>#DIV/0!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 t="s">
        <v>38</v>
      </c>
      <c r="AL6" s="1">
        <f>I6*V6</f>
        <v>0</v>
      </c>
      <c r="AM6" s="1">
        <f>I6*W6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40</v>
      </c>
      <c r="C7" s="1">
        <v>335</v>
      </c>
      <c r="D7" s="1">
        <v>454</v>
      </c>
      <c r="E7" s="1">
        <v>284</v>
      </c>
      <c r="F7" s="1">
        <v>384</v>
      </c>
      <c r="G7" s="1"/>
      <c r="H7" s="1">
        <f t="shared" si="3"/>
        <v>384</v>
      </c>
      <c r="I7" s="7">
        <v>0.4</v>
      </c>
      <c r="J7" s="1">
        <v>60</v>
      </c>
      <c r="K7" s="1" t="s">
        <v>37</v>
      </c>
      <c r="L7" s="1"/>
      <c r="M7" s="1">
        <v>364</v>
      </c>
      <c r="N7" s="1">
        <f t="shared" si="4"/>
        <v>-80</v>
      </c>
      <c r="O7" s="1">
        <f t="shared" si="5"/>
        <v>268</v>
      </c>
      <c r="P7" s="1">
        <v>16</v>
      </c>
      <c r="Q7" s="1">
        <v>82</v>
      </c>
      <c r="R7" s="1"/>
      <c r="S7" s="1">
        <f t="shared" si="6"/>
        <v>53.6</v>
      </c>
      <c r="T7" s="5">
        <f>15*S7-R7-Q7-H7</f>
        <v>338</v>
      </c>
      <c r="U7" s="5">
        <f>ROUND(T7,0)</f>
        <v>338</v>
      </c>
      <c r="V7" s="5">
        <f t="shared" ref="V7:V70" si="8">ROUND(U7-W7,0)</f>
        <v>169</v>
      </c>
      <c r="W7" s="5">
        <f>ROUND(U7*$W$1,0)</f>
        <v>169</v>
      </c>
      <c r="X7" s="21"/>
      <c r="Y7" s="1">
        <f>(H7+Q7+R7+U7)/S7</f>
        <v>15</v>
      </c>
      <c r="Z7" s="1">
        <f t="shared" si="7"/>
        <v>8.6940298507462686</v>
      </c>
      <c r="AA7" s="1">
        <v>52.4</v>
      </c>
      <c r="AB7" s="1">
        <v>61.6</v>
      </c>
      <c r="AC7" s="1">
        <v>64.599999999999994</v>
      </c>
      <c r="AD7" s="1">
        <v>54.6</v>
      </c>
      <c r="AE7" s="1">
        <v>62.6</v>
      </c>
      <c r="AF7" s="1">
        <v>77.400000000000006</v>
      </c>
      <c r="AG7" s="1">
        <v>50</v>
      </c>
      <c r="AH7" s="1">
        <v>76.400000000000006</v>
      </c>
      <c r="AI7" s="1">
        <v>59.8</v>
      </c>
      <c r="AJ7" s="1">
        <v>79.8</v>
      </c>
      <c r="AK7" s="1"/>
      <c r="AL7" s="1">
        <f t="shared" ref="AL7:AL70" si="9">I7*V7</f>
        <v>67.600000000000009</v>
      </c>
      <c r="AM7" s="1">
        <f t="shared" ref="AM7:AM70" si="10">I7*W7</f>
        <v>67.600000000000009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36</v>
      </c>
      <c r="C8" s="1">
        <v>46.145000000000003</v>
      </c>
      <c r="D8" s="1"/>
      <c r="E8" s="1">
        <v>16.527000000000001</v>
      </c>
      <c r="F8" s="1">
        <v>28.123999999999999</v>
      </c>
      <c r="G8" s="1"/>
      <c r="H8" s="1">
        <f t="shared" si="3"/>
        <v>28.123999999999999</v>
      </c>
      <c r="I8" s="7">
        <v>1</v>
      </c>
      <c r="J8" s="1">
        <v>120</v>
      </c>
      <c r="K8" s="1" t="s">
        <v>37</v>
      </c>
      <c r="L8" s="1"/>
      <c r="M8" s="1">
        <v>15.1</v>
      </c>
      <c r="N8" s="1">
        <f t="shared" si="4"/>
        <v>1.4270000000000014</v>
      </c>
      <c r="O8" s="1">
        <f t="shared" si="5"/>
        <v>16.527000000000001</v>
      </c>
      <c r="P8" s="1"/>
      <c r="Q8" s="1">
        <v>9</v>
      </c>
      <c r="R8" s="1"/>
      <c r="S8" s="1">
        <f t="shared" si="6"/>
        <v>3.3054000000000001</v>
      </c>
      <c r="T8" s="5">
        <f t="shared" ref="T8:T23" si="11">15*S8-R8-Q8-H8</f>
        <v>12.457000000000004</v>
      </c>
      <c r="U8" s="5">
        <f t="shared" ref="U8:U71" si="12">ROUND(T8,0)</f>
        <v>12</v>
      </c>
      <c r="V8" s="5">
        <f t="shared" si="8"/>
        <v>12</v>
      </c>
      <c r="W8" s="5"/>
      <c r="X8" s="21"/>
      <c r="Y8" s="1">
        <f t="shared" ref="Y8:Y71" si="13">(H8+Q8+R8+U8)/S8</f>
        <v>14.861741392872268</v>
      </c>
      <c r="Z8" s="1">
        <f t="shared" si="7"/>
        <v>11.231318448599261</v>
      </c>
      <c r="AA8" s="1">
        <v>2.7782</v>
      </c>
      <c r="AB8" s="1">
        <v>1.0962000000000001</v>
      </c>
      <c r="AC8" s="1">
        <v>3.3123999999999998</v>
      </c>
      <c r="AD8" s="1">
        <v>2.1114000000000002</v>
      </c>
      <c r="AE8" s="1">
        <v>1.4079999999999999</v>
      </c>
      <c r="AF8" s="1">
        <v>0.70300000000000007</v>
      </c>
      <c r="AG8" s="1">
        <v>1.204</v>
      </c>
      <c r="AH8" s="1">
        <v>1.9656</v>
      </c>
      <c r="AI8" s="1">
        <v>1.6342000000000001</v>
      </c>
      <c r="AJ8" s="1">
        <v>1.167</v>
      </c>
      <c r="AK8" s="1" t="s">
        <v>42</v>
      </c>
      <c r="AL8" s="1">
        <f t="shared" si="9"/>
        <v>12</v>
      </c>
      <c r="AM8" s="1">
        <f t="shared" si="10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43</v>
      </c>
      <c r="B9" s="1" t="s">
        <v>40</v>
      </c>
      <c r="C9" s="1">
        <v>787</v>
      </c>
      <c r="D9" s="1">
        <v>54</v>
      </c>
      <c r="E9" s="1">
        <v>189</v>
      </c>
      <c r="F9" s="1">
        <v>592</v>
      </c>
      <c r="G9" s="1"/>
      <c r="H9" s="1">
        <f t="shared" si="3"/>
        <v>592</v>
      </c>
      <c r="I9" s="7">
        <v>0.25</v>
      </c>
      <c r="J9" s="1">
        <v>120</v>
      </c>
      <c r="K9" s="1" t="s">
        <v>37</v>
      </c>
      <c r="L9" s="1"/>
      <c r="M9" s="1">
        <v>241</v>
      </c>
      <c r="N9" s="1">
        <f t="shared" si="4"/>
        <v>-52</v>
      </c>
      <c r="O9" s="1">
        <f t="shared" si="5"/>
        <v>181</v>
      </c>
      <c r="P9" s="1">
        <v>8</v>
      </c>
      <c r="Q9" s="1">
        <v>0</v>
      </c>
      <c r="R9" s="1"/>
      <c r="S9" s="1">
        <f t="shared" si="6"/>
        <v>36.200000000000003</v>
      </c>
      <c r="T9" s="5"/>
      <c r="U9" s="5">
        <f t="shared" si="12"/>
        <v>0</v>
      </c>
      <c r="V9" s="5">
        <f t="shared" si="8"/>
        <v>0</v>
      </c>
      <c r="W9" s="5"/>
      <c r="X9" s="21"/>
      <c r="Y9" s="1">
        <f t="shared" si="13"/>
        <v>16.353591160220994</v>
      </c>
      <c r="Z9" s="1">
        <f t="shared" si="7"/>
        <v>16.353591160220994</v>
      </c>
      <c r="AA9" s="1">
        <v>28.4</v>
      </c>
      <c r="AB9" s="1">
        <v>46.4</v>
      </c>
      <c r="AC9" s="1">
        <v>58.6</v>
      </c>
      <c r="AD9" s="1">
        <v>37</v>
      </c>
      <c r="AE9" s="1">
        <v>32</v>
      </c>
      <c r="AF9" s="1">
        <v>56.8</v>
      </c>
      <c r="AG9" s="1">
        <v>27</v>
      </c>
      <c r="AH9" s="1">
        <v>45.8</v>
      </c>
      <c r="AI9" s="1">
        <v>42.2</v>
      </c>
      <c r="AJ9" s="1">
        <v>25.8</v>
      </c>
      <c r="AK9" s="1" t="s">
        <v>42</v>
      </c>
      <c r="AL9" s="1">
        <f t="shared" si="9"/>
        <v>0</v>
      </c>
      <c r="AM9" s="1">
        <f t="shared" si="10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36</v>
      </c>
      <c r="C10" s="1">
        <v>1391.1569999999999</v>
      </c>
      <c r="D10" s="1">
        <v>884.74400000000003</v>
      </c>
      <c r="E10" s="1">
        <v>1309.5609999999999</v>
      </c>
      <c r="F10" s="1">
        <v>649.91</v>
      </c>
      <c r="G10" s="1">
        <f>VLOOKUP(A10,[1]TDSheet!$A:$B,2,0)</f>
        <v>177.73099999999999</v>
      </c>
      <c r="H10" s="1">
        <f t="shared" si="3"/>
        <v>472.17899999999997</v>
      </c>
      <c r="I10" s="7">
        <v>1</v>
      </c>
      <c r="J10" s="1">
        <v>60</v>
      </c>
      <c r="K10" s="1" t="s">
        <v>37</v>
      </c>
      <c r="L10" s="1"/>
      <c r="M10" s="1">
        <v>1400.2719999999999</v>
      </c>
      <c r="N10" s="1">
        <f t="shared" si="4"/>
        <v>-90.711000000000013</v>
      </c>
      <c r="O10" s="1">
        <f t="shared" si="5"/>
        <v>1151.8739999999998</v>
      </c>
      <c r="P10" s="1">
        <v>157.68700000000001</v>
      </c>
      <c r="Q10" s="1">
        <v>330</v>
      </c>
      <c r="R10" s="1">
        <v>331</v>
      </c>
      <c r="S10" s="1">
        <f t="shared" si="6"/>
        <v>230.37479999999996</v>
      </c>
      <c r="T10" s="5">
        <f>14*S10-R10-Q10-H10</f>
        <v>2092.0681999999993</v>
      </c>
      <c r="U10" s="5">
        <f t="shared" si="12"/>
        <v>2092</v>
      </c>
      <c r="V10" s="5">
        <f t="shared" si="8"/>
        <v>1046</v>
      </c>
      <c r="W10" s="5">
        <f>ROUND(U10*$W$1,0)</f>
        <v>1046</v>
      </c>
      <c r="X10" s="21"/>
      <c r="Y10" s="1">
        <f t="shared" si="13"/>
        <v>13.999703960676257</v>
      </c>
      <c r="Z10" s="1">
        <f t="shared" si="7"/>
        <v>4.9188496311228498</v>
      </c>
      <c r="AA10" s="1">
        <v>177.86240000000001</v>
      </c>
      <c r="AB10" s="1">
        <v>189.81739999999999</v>
      </c>
      <c r="AC10" s="1">
        <v>205.5994</v>
      </c>
      <c r="AD10" s="1">
        <v>216.34460000000001</v>
      </c>
      <c r="AE10" s="1">
        <v>179.56120000000001</v>
      </c>
      <c r="AF10" s="1">
        <v>188.56039999999999</v>
      </c>
      <c r="AG10" s="1">
        <v>210.9682</v>
      </c>
      <c r="AH10" s="1">
        <v>273.19080000000002</v>
      </c>
      <c r="AI10" s="1">
        <v>182.46039999999999</v>
      </c>
      <c r="AJ10" s="1">
        <v>221.37100000000001</v>
      </c>
      <c r="AK10" s="1"/>
      <c r="AL10" s="1">
        <f t="shared" si="9"/>
        <v>1046</v>
      </c>
      <c r="AM10" s="1">
        <f t="shared" si="10"/>
        <v>1046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36</v>
      </c>
      <c r="C11" s="1">
        <v>140.11699999999999</v>
      </c>
      <c r="D11" s="1">
        <v>1.4830000000000001</v>
      </c>
      <c r="E11" s="1">
        <v>21.302</v>
      </c>
      <c r="F11" s="1">
        <v>118.316</v>
      </c>
      <c r="G11" s="1"/>
      <c r="H11" s="1">
        <f t="shared" si="3"/>
        <v>118.316</v>
      </c>
      <c r="I11" s="7">
        <v>1</v>
      </c>
      <c r="J11" s="1">
        <v>120</v>
      </c>
      <c r="K11" s="1" t="s">
        <v>37</v>
      </c>
      <c r="L11" s="1"/>
      <c r="M11" s="1">
        <v>22.3</v>
      </c>
      <c r="N11" s="1">
        <f t="shared" si="4"/>
        <v>-0.99800000000000111</v>
      </c>
      <c r="O11" s="1">
        <f t="shared" si="5"/>
        <v>21.302</v>
      </c>
      <c r="P11" s="1"/>
      <c r="Q11" s="1">
        <v>0</v>
      </c>
      <c r="R11" s="1"/>
      <c r="S11" s="1">
        <f t="shared" si="6"/>
        <v>4.2603999999999997</v>
      </c>
      <c r="T11" s="5"/>
      <c r="U11" s="5">
        <f t="shared" si="12"/>
        <v>0</v>
      </c>
      <c r="V11" s="5">
        <f t="shared" si="8"/>
        <v>0</v>
      </c>
      <c r="W11" s="5"/>
      <c r="X11" s="21"/>
      <c r="Y11" s="1">
        <f t="shared" si="13"/>
        <v>27.771101305041782</v>
      </c>
      <c r="Z11" s="1">
        <f t="shared" si="7"/>
        <v>27.771101305041782</v>
      </c>
      <c r="AA11" s="1">
        <v>2.5825999999999998</v>
      </c>
      <c r="AB11" s="1">
        <v>1.2851999999999999</v>
      </c>
      <c r="AC11" s="1">
        <v>7.2028000000000008</v>
      </c>
      <c r="AD11" s="1">
        <v>7.5352000000000006</v>
      </c>
      <c r="AE11" s="1">
        <v>4.4573999999999998</v>
      </c>
      <c r="AF11" s="1">
        <v>2.1379999999999999</v>
      </c>
      <c r="AG11" s="1">
        <v>1.2092000000000001</v>
      </c>
      <c r="AH11" s="1">
        <v>6.8614000000000006</v>
      </c>
      <c r="AI11" s="1">
        <v>1.8819999999999999</v>
      </c>
      <c r="AJ11" s="1">
        <v>0.79900000000000004</v>
      </c>
      <c r="AK11" s="17" t="s">
        <v>180</v>
      </c>
      <c r="AL11" s="1">
        <f t="shared" si="9"/>
        <v>0</v>
      </c>
      <c r="AM11" s="1">
        <f t="shared" si="10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36</v>
      </c>
      <c r="C12" s="1">
        <v>19.757999999999999</v>
      </c>
      <c r="D12" s="1">
        <v>292.32900000000001</v>
      </c>
      <c r="E12" s="1">
        <v>107.43600000000001</v>
      </c>
      <c r="F12" s="1">
        <v>143.09200000000001</v>
      </c>
      <c r="G12" s="1"/>
      <c r="H12" s="1">
        <f t="shared" si="3"/>
        <v>143.09200000000001</v>
      </c>
      <c r="I12" s="7">
        <v>1</v>
      </c>
      <c r="J12" s="1">
        <v>60</v>
      </c>
      <c r="K12" s="1" t="s">
        <v>37</v>
      </c>
      <c r="L12" s="1"/>
      <c r="M12" s="1">
        <v>174.4</v>
      </c>
      <c r="N12" s="1">
        <f t="shared" si="4"/>
        <v>-66.963999999999999</v>
      </c>
      <c r="O12" s="1">
        <f t="shared" si="5"/>
        <v>68.194000000000017</v>
      </c>
      <c r="P12" s="1">
        <v>39.241999999999997</v>
      </c>
      <c r="Q12" s="1">
        <v>80</v>
      </c>
      <c r="R12" s="1"/>
      <c r="S12" s="1">
        <f t="shared" si="6"/>
        <v>13.638800000000003</v>
      </c>
      <c r="T12" s="5"/>
      <c r="U12" s="5">
        <f t="shared" si="12"/>
        <v>0</v>
      </c>
      <c r="V12" s="5">
        <f t="shared" si="8"/>
        <v>0</v>
      </c>
      <c r="W12" s="5"/>
      <c r="X12" s="21"/>
      <c r="Y12" s="1">
        <f t="shared" si="13"/>
        <v>16.357157521189546</v>
      </c>
      <c r="Z12" s="1">
        <f t="shared" si="7"/>
        <v>16.357157521189546</v>
      </c>
      <c r="AA12" s="1">
        <v>20.777999999999999</v>
      </c>
      <c r="AB12" s="1">
        <v>25.1952</v>
      </c>
      <c r="AC12" s="1">
        <v>19.961600000000001</v>
      </c>
      <c r="AD12" s="1">
        <v>12.8834</v>
      </c>
      <c r="AE12" s="1">
        <v>22.982600000000001</v>
      </c>
      <c r="AF12" s="1">
        <v>20.1874</v>
      </c>
      <c r="AG12" s="1">
        <v>35.412799999999997</v>
      </c>
      <c r="AH12" s="1">
        <v>36.8416</v>
      </c>
      <c r="AI12" s="1">
        <v>21.529199999999999</v>
      </c>
      <c r="AJ12" s="1">
        <v>24.9114</v>
      </c>
      <c r="AK12" s="1"/>
      <c r="AL12" s="1">
        <f t="shared" si="9"/>
        <v>0</v>
      </c>
      <c r="AM12" s="1">
        <f t="shared" si="10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36</v>
      </c>
      <c r="C13" s="1">
        <v>722.92399999999998</v>
      </c>
      <c r="D13" s="1">
        <v>658.72299999999996</v>
      </c>
      <c r="E13" s="1">
        <v>570.29999999999995</v>
      </c>
      <c r="F13" s="1">
        <v>646.327</v>
      </c>
      <c r="G13" s="1">
        <f>VLOOKUP(A13,[1]TDSheet!$A:$B,2,0)</f>
        <v>157.50899999999999</v>
      </c>
      <c r="H13" s="1">
        <f t="shared" si="3"/>
        <v>488.81799999999998</v>
      </c>
      <c r="I13" s="7">
        <v>1</v>
      </c>
      <c r="J13" s="1">
        <v>60</v>
      </c>
      <c r="K13" s="1" t="s">
        <v>37</v>
      </c>
      <c r="L13" s="1"/>
      <c r="M13" s="1">
        <v>645.20000000000005</v>
      </c>
      <c r="N13" s="1">
        <f t="shared" si="4"/>
        <v>-74.900000000000091</v>
      </c>
      <c r="O13" s="1">
        <f t="shared" si="5"/>
        <v>513.43899999999996</v>
      </c>
      <c r="P13" s="1">
        <v>56.860999999999997</v>
      </c>
      <c r="Q13" s="1">
        <v>0</v>
      </c>
      <c r="R13" s="1"/>
      <c r="S13" s="1">
        <f t="shared" si="6"/>
        <v>102.6878</v>
      </c>
      <c r="T13" s="5">
        <f>14*S13-R13-Q13-H13</f>
        <v>948.81119999999987</v>
      </c>
      <c r="U13" s="5">
        <f t="shared" si="12"/>
        <v>949</v>
      </c>
      <c r="V13" s="5">
        <f t="shared" si="8"/>
        <v>474</v>
      </c>
      <c r="W13" s="5">
        <f>ROUND(U13*$W$1,0)</f>
        <v>475</v>
      </c>
      <c r="X13" s="21"/>
      <c r="Y13" s="1">
        <f t="shared" si="13"/>
        <v>14.001838582577482</v>
      </c>
      <c r="Z13" s="1">
        <f t="shared" si="7"/>
        <v>4.7602344192786292</v>
      </c>
      <c r="AA13" s="1">
        <v>70.695400000000006</v>
      </c>
      <c r="AB13" s="1">
        <v>93.634</v>
      </c>
      <c r="AC13" s="1">
        <v>104.53</v>
      </c>
      <c r="AD13" s="1">
        <v>78.040800000000004</v>
      </c>
      <c r="AE13" s="1">
        <v>85.428200000000004</v>
      </c>
      <c r="AF13" s="1">
        <v>98.685399999999987</v>
      </c>
      <c r="AG13" s="1">
        <v>97.275999999999996</v>
      </c>
      <c r="AH13" s="1">
        <v>103.453</v>
      </c>
      <c r="AI13" s="1">
        <v>79.201400000000007</v>
      </c>
      <c r="AJ13" s="1">
        <v>95.4328</v>
      </c>
      <c r="AK13" s="1"/>
      <c r="AL13" s="1">
        <f t="shared" si="9"/>
        <v>474</v>
      </c>
      <c r="AM13" s="1">
        <f t="shared" si="10"/>
        <v>475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40</v>
      </c>
      <c r="C14" s="1">
        <v>260</v>
      </c>
      <c r="D14" s="1">
        <v>13</v>
      </c>
      <c r="E14" s="1">
        <v>61</v>
      </c>
      <c r="F14" s="1">
        <v>196</v>
      </c>
      <c r="G14" s="1"/>
      <c r="H14" s="1">
        <f t="shared" si="3"/>
        <v>196</v>
      </c>
      <c r="I14" s="7">
        <v>0.25</v>
      </c>
      <c r="J14" s="1">
        <v>120</v>
      </c>
      <c r="K14" s="1" t="s">
        <v>37</v>
      </c>
      <c r="L14" s="1"/>
      <c r="M14" s="1">
        <v>68</v>
      </c>
      <c r="N14" s="1">
        <f t="shared" si="4"/>
        <v>-7</v>
      </c>
      <c r="O14" s="1">
        <f t="shared" si="5"/>
        <v>61</v>
      </c>
      <c r="P14" s="1"/>
      <c r="Q14" s="1">
        <v>0</v>
      </c>
      <c r="R14" s="1"/>
      <c r="S14" s="1">
        <f t="shared" si="6"/>
        <v>12.2</v>
      </c>
      <c r="T14" s="5"/>
      <c r="U14" s="5">
        <f t="shared" si="12"/>
        <v>0</v>
      </c>
      <c r="V14" s="5">
        <f t="shared" si="8"/>
        <v>0</v>
      </c>
      <c r="W14" s="5"/>
      <c r="X14" s="21"/>
      <c r="Y14" s="1">
        <f t="shared" si="13"/>
        <v>16.065573770491802</v>
      </c>
      <c r="Z14" s="1">
        <f t="shared" si="7"/>
        <v>16.065573770491802</v>
      </c>
      <c r="AA14" s="1">
        <v>7</v>
      </c>
      <c r="AB14" s="1">
        <v>15</v>
      </c>
      <c r="AC14" s="1">
        <v>19.8</v>
      </c>
      <c r="AD14" s="1">
        <v>12.4</v>
      </c>
      <c r="AE14" s="1">
        <v>8.4</v>
      </c>
      <c r="AF14" s="1">
        <v>8.4</v>
      </c>
      <c r="AG14" s="1">
        <v>17.399999999999999</v>
      </c>
      <c r="AH14" s="1">
        <v>20.097200000000001</v>
      </c>
      <c r="AI14" s="1">
        <v>15.8</v>
      </c>
      <c r="AJ14" s="1">
        <v>13.2</v>
      </c>
      <c r="AK14" s="1" t="s">
        <v>42</v>
      </c>
      <c r="AL14" s="1">
        <f t="shared" si="9"/>
        <v>0</v>
      </c>
      <c r="AM14" s="1">
        <f t="shared" si="10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36</v>
      </c>
      <c r="C15" s="1">
        <v>27.655999999999999</v>
      </c>
      <c r="D15" s="1">
        <v>231.11600000000001</v>
      </c>
      <c r="E15" s="1">
        <v>105.532</v>
      </c>
      <c r="F15" s="1">
        <v>126.813</v>
      </c>
      <c r="G15" s="1"/>
      <c r="H15" s="1">
        <f t="shared" si="3"/>
        <v>126.813</v>
      </c>
      <c r="I15" s="7">
        <v>1</v>
      </c>
      <c r="J15" s="1">
        <v>60</v>
      </c>
      <c r="K15" s="1" t="s">
        <v>37</v>
      </c>
      <c r="L15" s="1"/>
      <c r="M15" s="1">
        <v>138.6</v>
      </c>
      <c r="N15" s="1">
        <f t="shared" si="4"/>
        <v>-33.067999999999998</v>
      </c>
      <c r="O15" s="1">
        <f t="shared" si="5"/>
        <v>85.233999999999995</v>
      </c>
      <c r="P15" s="1">
        <v>20.297999999999998</v>
      </c>
      <c r="Q15" s="1">
        <v>0</v>
      </c>
      <c r="R15" s="1"/>
      <c r="S15" s="1">
        <f t="shared" si="6"/>
        <v>17.046799999999998</v>
      </c>
      <c r="T15" s="5">
        <f t="shared" si="11"/>
        <v>128.88899999999995</v>
      </c>
      <c r="U15" s="5">
        <f t="shared" si="12"/>
        <v>129</v>
      </c>
      <c r="V15" s="5">
        <f t="shared" si="8"/>
        <v>129</v>
      </c>
      <c r="W15" s="5"/>
      <c r="X15" s="21"/>
      <c r="Y15" s="1">
        <f t="shared" si="13"/>
        <v>15.006511486026705</v>
      </c>
      <c r="Z15" s="1">
        <f t="shared" si="7"/>
        <v>7.4391088063448869</v>
      </c>
      <c r="AA15" s="1">
        <v>10.5136</v>
      </c>
      <c r="AB15" s="1">
        <v>19.4328</v>
      </c>
      <c r="AC15" s="1">
        <v>11.792199999999999</v>
      </c>
      <c r="AD15" s="1">
        <v>12.676</v>
      </c>
      <c r="AE15" s="1">
        <v>10.680199999999999</v>
      </c>
      <c r="AF15" s="1">
        <v>23.291399999999999</v>
      </c>
      <c r="AG15" s="1">
        <v>15.771800000000001</v>
      </c>
      <c r="AH15" s="1">
        <v>13.082800000000001</v>
      </c>
      <c r="AI15" s="1">
        <v>7.8231999999999999</v>
      </c>
      <c r="AJ15" s="1">
        <v>13.077400000000001</v>
      </c>
      <c r="AK15" s="1"/>
      <c r="AL15" s="1">
        <f t="shared" si="9"/>
        <v>129</v>
      </c>
      <c r="AM15" s="1">
        <f t="shared" si="10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40</v>
      </c>
      <c r="C16" s="1">
        <v>65</v>
      </c>
      <c r="D16" s="1">
        <v>343</v>
      </c>
      <c r="E16" s="1">
        <v>96</v>
      </c>
      <c r="F16" s="1">
        <v>276</v>
      </c>
      <c r="G16" s="1"/>
      <c r="H16" s="1">
        <f t="shared" si="3"/>
        <v>276</v>
      </c>
      <c r="I16" s="7">
        <v>0.25</v>
      </c>
      <c r="J16" s="1">
        <v>120</v>
      </c>
      <c r="K16" s="1" t="s">
        <v>37</v>
      </c>
      <c r="L16" s="1"/>
      <c r="M16" s="1">
        <v>131</v>
      </c>
      <c r="N16" s="1">
        <f t="shared" si="4"/>
        <v>-35</v>
      </c>
      <c r="O16" s="1">
        <f t="shared" si="5"/>
        <v>72</v>
      </c>
      <c r="P16" s="1">
        <v>24</v>
      </c>
      <c r="Q16" s="1">
        <v>0</v>
      </c>
      <c r="R16" s="1"/>
      <c r="S16" s="1">
        <f t="shared" si="6"/>
        <v>14.4</v>
      </c>
      <c r="T16" s="5"/>
      <c r="U16" s="5">
        <f t="shared" si="12"/>
        <v>0</v>
      </c>
      <c r="V16" s="5">
        <f t="shared" si="8"/>
        <v>0</v>
      </c>
      <c r="W16" s="5"/>
      <c r="X16" s="21"/>
      <c r="Y16" s="1">
        <f t="shared" si="13"/>
        <v>19.166666666666668</v>
      </c>
      <c r="Z16" s="1">
        <f t="shared" si="7"/>
        <v>19.166666666666668</v>
      </c>
      <c r="AA16" s="1">
        <v>7.6</v>
      </c>
      <c r="AB16" s="1">
        <v>31</v>
      </c>
      <c r="AC16" s="1">
        <v>9.4</v>
      </c>
      <c r="AD16" s="1">
        <v>11.4</v>
      </c>
      <c r="AE16" s="1">
        <v>10</v>
      </c>
      <c r="AF16" s="1">
        <v>10.4</v>
      </c>
      <c r="AG16" s="1">
        <v>14</v>
      </c>
      <c r="AH16" s="1">
        <v>13.6</v>
      </c>
      <c r="AI16" s="1">
        <v>61</v>
      </c>
      <c r="AJ16" s="1">
        <v>10.4</v>
      </c>
      <c r="AK16" s="1" t="s">
        <v>42</v>
      </c>
      <c r="AL16" s="1">
        <f t="shared" si="9"/>
        <v>0</v>
      </c>
      <c r="AM16" s="1">
        <f t="shared" si="10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40</v>
      </c>
      <c r="C17" s="1">
        <v>526</v>
      </c>
      <c r="D17" s="1">
        <v>233</v>
      </c>
      <c r="E17" s="1">
        <v>396</v>
      </c>
      <c r="F17" s="1">
        <v>213</v>
      </c>
      <c r="G17" s="1"/>
      <c r="H17" s="1">
        <f t="shared" si="3"/>
        <v>213</v>
      </c>
      <c r="I17" s="7">
        <v>0.4</v>
      </c>
      <c r="J17" s="1">
        <v>60</v>
      </c>
      <c r="K17" s="1" t="s">
        <v>37</v>
      </c>
      <c r="L17" s="1"/>
      <c r="M17" s="1">
        <v>483</v>
      </c>
      <c r="N17" s="1">
        <f t="shared" si="4"/>
        <v>-87</v>
      </c>
      <c r="O17" s="1">
        <f t="shared" si="5"/>
        <v>378</v>
      </c>
      <c r="P17" s="1">
        <v>18</v>
      </c>
      <c r="Q17" s="1">
        <v>124</v>
      </c>
      <c r="R17" s="1">
        <v>125</v>
      </c>
      <c r="S17" s="1">
        <f t="shared" si="6"/>
        <v>75.599999999999994</v>
      </c>
      <c r="T17" s="5">
        <f t="shared" si="11"/>
        <v>672</v>
      </c>
      <c r="U17" s="5">
        <f t="shared" si="12"/>
        <v>672</v>
      </c>
      <c r="V17" s="5">
        <f t="shared" si="8"/>
        <v>336</v>
      </c>
      <c r="W17" s="5">
        <f>ROUND(U17*$W$1,0)</f>
        <v>336</v>
      </c>
      <c r="X17" s="21"/>
      <c r="Y17" s="1">
        <f t="shared" si="13"/>
        <v>15.000000000000002</v>
      </c>
      <c r="Z17" s="1">
        <f t="shared" si="7"/>
        <v>6.1111111111111116</v>
      </c>
      <c r="AA17" s="1">
        <v>61</v>
      </c>
      <c r="AB17" s="1">
        <v>63.2</v>
      </c>
      <c r="AC17" s="1">
        <v>82.8</v>
      </c>
      <c r="AD17" s="1">
        <v>92</v>
      </c>
      <c r="AE17" s="1">
        <v>271.2</v>
      </c>
      <c r="AF17" s="1">
        <v>117.8</v>
      </c>
      <c r="AG17" s="1">
        <v>83.6</v>
      </c>
      <c r="AH17" s="1">
        <v>90.4</v>
      </c>
      <c r="AI17" s="1">
        <v>68</v>
      </c>
      <c r="AJ17" s="1">
        <v>82.4</v>
      </c>
      <c r="AK17" s="1"/>
      <c r="AL17" s="1">
        <f t="shared" si="9"/>
        <v>134.4</v>
      </c>
      <c r="AM17" s="1">
        <f t="shared" si="10"/>
        <v>134.4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52</v>
      </c>
      <c r="B18" s="1" t="s">
        <v>36</v>
      </c>
      <c r="C18" s="1">
        <v>354.49700000000001</v>
      </c>
      <c r="D18" s="1">
        <v>442.589</v>
      </c>
      <c r="E18" s="1">
        <v>191.566</v>
      </c>
      <c r="F18" s="1">
        <v>543.02300000000002</v>
      </c>
      <c r="G18" s="1">
        <f>VLOOKUP(A18,[1]TDSheet!$A:$B,2,0)</f>
        <v>60.430999999999997</v>
      </c>
      <c r="H18" s="1">
        <f t="shared" si="3"/>
        <v>482.59200000000004</v>
      </c>
      <c r="I18" s="7">
        <v>1</v>
      </c>
      <c r="J18" s="1">
        <v>45</v>
      </c>
      <c r="K18" s="1" t="s">
        <v>37</v>
      </c>
      <c r="L18" s="1"/>
      <c r="M18" s="1">
        <v>228</v>
      </c>
      <c r="N18" s="1">
        <f t="shared" si="4"/>
        <v>-36.433999999999997</v>
      </c>
      <c r="O18" s="1">
        <f t="shared" si="5"/>
        <v>161.203</v>
      </c>
      <c r="P18" s="1">
        <v>30.363</v>
      </c>
      <c r="Q18" s="1">
        <v>0</v>
      </c>
      <c r="R18" s="1"/>
      <c r="S18" s="1">
        <f t="shared" si="6"/>
        <v>32.240600000000001</v>
      </c>
      <c r="T18" s="5">
        <v>4</v>
      </c>
      <c r="U18" s="5">
        <f t="shared" si="12"/>
        <v>4</v>
      </c>
      <c r="V18" s="5">
        <f t="shared" si="8"/>
        <v>4</v>
      </c>
      <c r="W18" s="5"/>
      <c r="X18" s="21"/>
      <c r="Y18" s="1">
        <f t="shared" si="13"/>
        <v>15.092523092002011</v>
      </c>
      <c r="Z18" s="1">
        <f t="shared" si="7"/>
        <v>14.968455922036192</v>
      </c>
      <c r="AA18" s="1">
        <v>32.985400000000013</v>
      </c>
      <c r="AB18" s="1">
        <v>53.372999999999998</v>
      </c>
      <c r="AC18" s="1">
        <v>45.478000000000002</v>
      </c>
      <c r="AD18" s="1">
        <v>63.830599999999997</v>
      </c>
      <c r="AE18" s="1">
        <v>58.777599999999993</v>
      </c>
      <c r="AF18" s="1">
        <v>55.939200000000007</v>
      </c>
      <c r="AG18" s="1">
        <v>60.511800000000008</v>
      </c>
      <c r="AH18" s="1">
        <v>76.385400000000004</v>
      </c>
      <c r="AI18" s="1">
        <v>56.423400000000001</v>
      </c>
      <c r="AJ18" s="1">
        <v>67.234400000000008</v>
      </c>
      <c r="AK18" s="1"/>
      <c r="AL18" s="1">
        <f t="shared" si="9"/>
        <v>4</v>
      </c>
      <c r="AM18" s="1">
        <f t="shared" si="10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53</v>
      </c>
      <c r="B19" s="1" t="s">
        <v>36</v>
      </c>
      <c r="C19" s="1">
        <v>33.119999999999997</v>
      </c>
      <c r="D19" s="1">
        <v>1.004</v>
      </c>
      <c r="E19" s="1">
        <v>31.562000000000001</v>
      </c>
      <c r="F19" s="1">
        <v>1.0580000000000001</v>
      </c>
      <c r="G19" s="1"/>
      <c r="H19" s="1">
        <f t="shared" si="3"/>
        <v>1.0580000000000001</v>
      </c>
      <c r="I19" s="7">
        <v>1</v>
      </c>
      <c r="J19" s="1">
        <v>120</v>
      </c>
      <c r="K19" s="1" t="s">
        <v>37</v>
      </c>
      <c r="L19" s="1"/>
      <c r="M19" s="1">
        <v>31.7</v>
      </c>
      <c r="N19" s="1">
        <f t="shared" si="4"/>
        <v>-0.13799999999999812</v>
      </c>
      <c r="O19" s="1">
        <f t="shared" si="5"/>
        <v>29.560000000000002</v>
      </c>
      <c r="P19" s="1">
        <v>2.0019999999999998</v>
      </c>
      <c r="Q19" s="1">
        <v>51</v>
      </c>
      <c r="R19" s="1"/>
      <c r="S19" s="1">
        <f t="shared" si="6"/>
        <v>5.9120000000000008</v>
      </c>
      <c r="T19" s="5">
        <f t="shared" si="11"/>
        <v>36.622000000000007</v>
      </c>
      <c r="U19" s="5">
        <f t="shared" si="12"/>
        <v>37</v>
      </c>
      <c r="V19" s="5">
        <f t="shared" si="8"/>
        <v>37</v>
      </c>
      <c r="W19" s="5"/>
      <c r="X19" s="21"/>
      <c r="Y19" s="1">
        <f t="shared" si="13"/>
        <v>15.063937753721241</v>
      </c>
      <c r="Z19" s="1">
        <f t="shared" si="7"/>
        <v>8.8054803788903904</v>
      </c>
      <c r="AA19" s="1">
        <v>4.2256</v>
      </c>
      <c r="AB19" s="1">
        <v>1.1032</v>
      </c>
      <c r="AC19" s="1">
        <v>0</v>
      </c>
      <c r="AD19" s="1">
        <v>4.2124000000000006</v>
      </c>
      <c r="AE19" s="1">
        <v>0.98399999999999999</v>
      </c>
      <c r="AF19" s="1">
        <v>2.4192</v>
      </c>
      <c r="AG19" s="1">
        <v>2.4304000000000001</v>
      </c>
      <c r="AH19" s="1">
        <v>0.68220000000000003</v>
      </c>
      <c r="AI19" s="1">
        <v>2.8746</v>
      </c>
      <c r="AJ19" s="1">
        <v>0.99380000000000002</v>
      </c>
      <c r="AK19" s="1" t="s">
        <v>42</v>
      </c>
      <c r="AL19" s="1">
        <f t="shared" si="9"/>
        <v>37</v>
      </c>
      <c r="AM19" s="1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54</v>
      </c>
      <c r="B20" s="1" t="s">
        <v>40</v>
      </c>
      <c r="C20" s="1">
        <v>432</v>
      </c>
      <c r="D20" s="1">
        <v>75</v>
      </c>
      <c r="E20" s="1">
        <v>361</v>
      </c>
      <c r="F20" s="1">
        <v>70</v>
      </c>
      <c r="G20" s="1"/>
      <c r="H20" s="1">
        <f t="shared" si="3"/>
        <v>70</v>
      </c>
      <c r="I20" s="7">
        <v>0.4</v>
      </c>
      <c r="J20" s="1">
        <v>45</v>
      </c>
      <c r="K20" s="1" t="s">
        <v>37</v>
      </c>
      <c r="L20" s="1"/>
      <c r="M20" s="1">
        <v>431</v>
      </c>
      <c r="N20" s="1">
        <f t="shared" si="4"/>
        <v>-70</v>
      </c>
      <c r="O20" s="1">
        <f t="shared" si="5"/>
        <v>361</v>
      </c>
      <c r="P20" s="1"/>
      <c r="Q20" s="1">
        <v>362</v>
      </c>
      <c r="R20" s="1">
        <v>363</v>
      </c>
      <c r="S20" s="1">
        <f t="shared" si="6"/>
        <v>72.2</v>
      </c>
      <c r="T20" s="5">
        <f t="shared" si="11"/>
        <v>288</v>
      </c>
      <c r="U20" s="5">
        <f t="shared" si="12"/>
        <v>288</v>
      </c>
      <c r="V20" s="5">
        <f t="shared" si="8"/>
        <v>144</v>
      </c>
      <c r="W20" s="5">
        <f t="shared" ref="W20:W22" si="14">ROUND(U20*$W$1,0)</f>
        <v>144</v>
      </c>
      <c r="X20" s="21"/>
      <c r="Y20" s="1">
        <f t="shared" si="13"/>
        <v>15</v>
      </c>
      <c r="Z20" s="1">
        <f t="shared" si="7"/>
        <v>11.011080332409971</v>
      </c>
      <c r="AA20" s="1">
        <v>78.2</v>
      </c>
      <c r="AB20" s="1">
        <v>26.4</v>
      </c>
      <c r="AC20" s="1">
        <v>82.6</v>
      </c>
      <c r="AD20" s="1">
        <v>45</v>
      </c>
      <c r="AE20" s="1">
        <v>56.6</v>
      </c>
      <c r="AF20" s="1">
        <v>68.2</v>
      </c>
      <c r="AG20" s="1">
        <v>54.6</v>
      </c>
      <c r="AH20" s="1">
        <v>56.6</v>
      </c>
      <c r="AI20" s="1">
        <v>67.400000000000006</v>
      </c>
      <c r="AJ20" s="1">
        <v>44</v>
      </c>
      <c r="AK20" s="1"/>
      <c r="AL20" s="1">
        <f t="shared" si="9"/>
        <v>57.6</v>
      </c>
      <c r="AM20" s="1">
        <f t="shared" si="10"/>
        <v>57.6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55</v>
      </c>
      <c r="B21" s="1" t="s">
        <v>36</v>
      </c>
      <c r="C21" s="1">
        <v>442.40600000000001</v>
      </c>
      <c r="D21" s="1">
        <v>442.505</v>
      </c>
      <c r="E21" s="1">
        <v>285.86500000000001</v>
      </c>
      <c r="F21" s="1">
        <v>491.54599999999999</v>
      </c>
      <c r="G21" s="1">
        <f>VLOOKUP(A21,[1]TDSheet!$A:$B,2,0)</f>
        <v>148.82900000000001</v>
      </c>
      <c r="H21" s="1">
        <f t="shared" si="3"/>
        <v>342.71699999999998</v>
      </c>
      <c r="I21" s="7">
        <v>1</v>
      </c>
      <c r="J21" s="1">
        <v>60</v>
      </c>
      <c r="K21" s="1" t="s">
        <v>37</v>
      </c>
      <c r="L21" s="1"/>
      <c r="M21" s="1">
        <v>353</v>
      </c>
      <c r="N21" s="1">
        <f t="shared" si="4"/>
        <v>-67.134999999999991</v>
      </c>
      <c r="O21" s="1">
        <f t="shared" si="5"/>
        <v>232.58600000000001</v>
      </c>
      <c r="P21" s="1">
        <v>53.279000000000003</v>
      </c>
      <c r="Q21" s="1">
        <v>0</v>
      </c>
      <c r="R21" s="1"/>
      <c r="S21" s="1">
        <f t="shared" si="6"/>
        <v>46.517200000000003</v>
      </c>
      <c r="T21" s="5">
        <f t="shared" si="11"/>
        <v>355.04100000000005</v>
      </c>
      <c r="U21" s="5">
        <f t="shared" si="12"/>
        <v>355</v>
      </c>
      <c r="V21" s="5">
        <f t="shared" si="8"/>
        <v>177</v>
      </c>
      <c r="W21" s="5">
        <f t="shared" si="14"/>
        <v>178</v>
      </c>
      <c r="X21" s="21"/>
      <c r="Y21" s="1">
        <f t="shared" si="13"/>
        <v>14.999118605591049</v>
      </c>
      <c r="Z21" s="1">
        <f t="shared" si="7"/>
        <v>7.3675328695622255</v>
      </c>
      <c r="AA21" s="1">
        <v>34.347799999999999</v>
      </c>
      <c r="AB21" s="1">
        <v>52.350999999999999</v>
      </c>
      <c r="AC21" s="1">
        <v>58.570799999999998</v>
      </c>
      <c r="AD21" s="1">
        <v>43.5886</v>
      </c>
      <c r="AE21" s="1">
        <v>30.848199999999999</v>
      </c>
      <c r="AF21" s="1">
        <v>57.430399999999999</v>
      </c>
      <c r="AG21" s="1">
        <v>43.7378</v>
      </c>
      <c r="AH21" s="1">
        <v>68.502600000000001</v>
      </c>
      <c r="AI21" s="1">
        <v>41.588000000000001</v>
      </c>
      <c r="AJ21" s="1">
        <v>50.5824</v>
      </c>
      <c r="AK21" s="1"/>
      <c r="AL21" s="1">
        <f t="shared" si="9"/>
        <v>177</v>
      </c>
      <c r="AM21" s="1">
        <f t="shared" si="10"/>
        <v>178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56</v>
      </c>
      <c r="B22" s="1" t="s">
        <v>40</v>
      </c>
      <c r="C22" s="1">
        <v>542</v>
      </c>
      <c r="D22" s="1">
        <v>40</v>
      </c>
      <c r="E22" s="1">
        <v>155</v>
      </c>
      <c r="F22" s="1">
        <v>375</v>
      </c>
      <c r="G22" s="1"/>
      <c r="H22" s="1">
        <f t="shared" si="3"/>
        <v>375</v>
      </c>
      <c r="I22" s="7">
        <v>0.22</v>
      </c>
      <c r="J22" s="1">
        <v>120</v>
      </c>
      <c r="K22" s="19" t="s">
        <v>70</v>
      </c>
      <c r="L22" s="1"/>
      <c r="M22" s="1">
        <v>189</v>
      </c>
      <c r="N22" s="1">
        <f t="shared" si="4"/>
        <v>-34</v>
      </c>
      <c r="O22" s="1">
        <f t="shared" si="5"/>
        <v>139</v>
      </c>
      <c r="P22" s="1">
        <v>16</v>
      </c>
      <c r="Q22" s="1">
        <v>0</v>
      </c>
      <c r="R22" s="1"/>
      <c r="S22" s="1">
        <f t="shared" si="6"/>
        <v>27.8</v>
      </c>
      <c r="T22" s="5">
        <f t="shared" si="11"/>
        <v>42</v>
      </c>
      <c r="U22" s="5">
        <f>ROUND(T22,0)+600</f>
        <v>642</v>
      </c>
      <c r="V22" s="5">
        <f t="shared" si="8"/>
        <v>321</v>
      </c>
      <c r="W22" s="5">
        <f t="shared" si="14"/>
        <v>321</v>
      </c>
      <c r="X22" s="21" t="s">
        <v>188</v>
      </c>
      <c r="Y22" s="1">
        <f t="shared" si="13"/>
        <v>36.582733812949641</v>
      </c>
      <c r="Z22" s="1">
        <f t="shared" si="7"/>
        <v>13.489208633093526</v>
      </c>
      <c r="AA22" s="1">
        <v>20.399999999999999</v>
      </c>
      <c r="AB22" s="1">
        <v>30.4</v>
      </c>
      <c r="AC22" s="1">
        <v>40.799999999999997</v>
      </c>
      <c r="AD22" s="1">
        <v>29.4</v>
      </c>
      <c r="AE22" s="1">
        <v>36</v>
      </c>
      <c r="AF22" s="1">
        <v>41.8</v>
      </c>
      <c r="AG22" s="1">
        <v>34.799999999999997</v>
      </c>
      <c r="AH22" s="1">
        <v>44</v>
      </c>
      <c r="AI22" s="1">
        <v>26.4</v>
      </c>
      <c r="AJ22" s="1">
        <v>17.2</v>
      </c>
      <c r="AK22" s="1" t="s">
        <v>203</v>
      </c>
      <c r="AL22" s="1">
        <f t="shared" si="9"/>
        <v>70.62</v>
      </c>
      <c r="AM22" s="1">
        <f t="shared" si="10"/>
        <v>70.62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57</v>
      </c>
      <c r="B23" s="1" t="s">
        <v>36</v>
      </c>
      <c r="C23" s="1">
        <v>21.925999999999998</v>
      </c>
      <c r="D23" s="1">
        <v>12.112</v>
      </c>
      <c r="E23" s="1">
        <v>13.564</v>
      </c>
      <c r="F23" s="1">
        <v>13.183999999999999</v>
      </c>
      <c r="G23" s="1"/>
      <c r="H23" s="1">
        <f t="shared" si="3"/>
        <v>13.183999999999999</v>
      </c>
      <c r="I23" s="7">
        <v>1</v>
      </c>
      <c r="J23" s="1">
        <v>40</v>
      </c>
      <c r="K23" s="1" t="s">
        <v>37</v>
      </c>
      <c r="L23" s="1"/>
      <c r="M23" s="1">
        <v>14.708</v>
      </c>
      <c r="N23" s="1">
        <f t="shared" si="4"/>
        <v>-1.1440000000000001</v>
      </c>
      <c r="O23" s="1">
        <f t="shared" si="5"/>
        <v>13.564</v>
      </c>
      <c r="P23" s="1"/>
      <c r="Q23" s="1">
        <v>12</v>
      </c>
      <c r="R23" s="1"/>
      <c r="S23" s="1">
        <f t="shared" si="6"/>
        <v>2.7128000000000001</v>
      </c>
      <c r="T23" s="5">
        <f t="shared" si="11"/>
        <v>15.508000000000001</v>
      </c>
      <c r="U23" s="5">
        <f t="shared" si="12"/>
        <v>16</v>
      </c>
      <c r="V23" s="5">
        <f t="shared" si="8"/>
        <v>16</v>
      </c>
      <c r="W23" s="5"/>
      <c r="X23" s="21"/>
      <c r="Y23" s="1">
        <f t="shared" si="13"/>
        <v>15.181362429961661</v>
      </c>
      <c r="Z23" s="1">
        <f t="shared" si="7"/>
        <v>9.2833972279563532</v>
      </c>
      <c r="AA23" s="1">
        <v>2.968</v>
      </c>
      <c r="AB23" s="1">
        <v>3.1092</v>
      </c>
      <c r="AC23" s="1">
        <v>3.777600000000001</v>
      </c>
      <c r="AD23" s="1">
        <v>3.5044</v>
      </c>
      <c r="AE23" s="1">
        <v>4.4631999999999996</v>
      </c>
      <c r="AF23" s="1">
        <v>9.3635999999999999</v>
      </c>
      <c r="AG23" s="1">
        <v>8.4480000000000004</v>
      </c>
      <c r="AH23" s="1">
        <v>0</v>
      </c>
      <c r="AI23" s="1">
        <v>0</v>
      </c>
      <c r="AJ23" s="1">
        <v>0</v>
      </c>
      <c r="AK23" s="1"/>
      <c r="AL23" s="1">
        <f t="shared" si="9"/>
        <v>16</v>
      </c>
      <c r="AM23" s="1">
        <f t="shared" si="10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1" t="s">
        <v>58</v>
      </c>
      <c r="B24" s="11" t="s">
        <v>40</v>
      </c>
      <c r="C24" s="11">
        <v>17</v>
      </c>
      <c r="D24" s="11"/>
      <c r="E24" s="11">
        <v>1</v>
      </c>
      <c r="F24" s="11">
        <v>15</v>
      </c>
      <c r="G24" s="11"/>
      <c r="H24" s="11">
        <f t="shared" si="3"/>
        <v>15</v>
      </c>
      <c r="I24" s="12">
        <v>0</v>
      </c>
      <c r="J24" s="11">
        <v>45</v>
      </c>
      <c r="K24" s="11" t="s">
        <v>59</v>
      </c>
      <c r="L24" s="11"/>
      <c r="M24" s="11">
        <v>27</v>
      </c>
      <c r="N24" s="11">
        <f t="shared" si="4"/>
        <v>-26</v>
      </c>
      <c r="O24" s="11">
        <f t="shared" si="5"/>
        <v>1</v>
      </c>
      <c r="P24" s="11"/>
      <c r="Q24" s="11">
        <v>0</v>
      </c>
      <c r="R24" s="11"/>
      <c r="S24" s="11">
        <f t="shared" si="6"/>
        <v>0.2</v>
      </c>
      <c r="T24" s="13"/>
      <c r="U24" s="5">
        <f t="shared" si="12"/>
        <v>0</v>
      </c>
      <c r="V24" s="5">
        <f t="shared" si="8"/>
        <v>0</v>
      </c>
      <c r="W24" s="5"/>
      <c r="X24" s="20"/>
      <c r="Y24" s="1">
        <f t="shared" si="13"/>
        <v>75</v>
      </c>
      <c r="Z24" s="11">
        <f t="shared" si="7"/>
        <v>75</v>
      </c>
      <c r="AA24" s="11">
        <v>1</v>
      </c>
      <c r="AB24" s="11">
        <v>4</v>
      </c>
      <c r="AC24" s="11">
        <v>2</v>
      </c>
      <c r="AD24" s="11">
        <v>1</v>
      </c>
      <c r="AE24" s="11">
        <v>5.6</v>
      </c>
      <c r="AF24" s="11">
        <v>0.8</v>
      </c>
      <c r="AG24" s="11">
        <v>3.8</v>
      </c>
      <c r="AH24" s="11">
        <v>2.2000000000000002</v>
      </c>
      <c r="AI24" s="11">
        <v>1.8</v>
      </c>
      <c r="AJ24" s="11">
        <v>9</v>
      </c>
      <c r="AK24" s="11"/>
      <c r="AL24" s="1">
        <f t="shared" si="9"/>
        <v>0</v>
      </c>
      <c r="AM24" s="1">
        <f t="shared" si="10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60</v>
      </c>
      <c r="B25" s="1" t="s">
        <v>36</v>
      </c>
      <c r="C25" s="1">
        <v>266.06200000000001</v>
      </c>
      <c r="D25" s="1">
        <v>765.13800000000003</v>
      </c>
      <c r="E25" s="1">
        <v>467.64499999999998</v>
      </c>
      <c r="F25" s="1">
        <v>499.04700000000003</v>
      </c>
      <c r="G25" s="1">
        <f>VLOOKUP(A25,[1]TDSheet!$A:$B,2,0)</f>
        <v>194.85400000000001</v>
      </c>
      <c r="H25" s="1">
        <f t="shared" si="3"/>
        <v>304.19299999999998</v>
      </c>
      <c r="I25" s="7">
        <v>1</v>
      </c>
      <c r="J25" s="1">
        <v>60</v>
      </c>
      <c r="K25" s="1" t="s">
        <v>37</v>
      </c>
      <c r="L25" s="1"/>
      <c r="M25" s="1">
        <v>489.3</v>
      </c>
      <c r="N25" s="1">
        <f t="shared" si="4"/>
        <v>-21.65500000000003</v>
      </c>
      <c r="O25" s="1">
        <f t="shared" si="5"/>
        <v>410.95299999999997</v>
      </c>
      <c r="P25" s="1">
        <v>56.692</v>
      </c>
      <c r="Q25" s="1">
        <v>50</v>
      </c>
      <c r="R25" s="1"/>
      <c r="S25" s="1">
        <f t="shared" si="6"/>
        <v>82.190599999999989</v>
      </c>
      <c r="T25" s="5">
        <f>13*S25-R25-Q25-H25</f>
        <v>714.2847999999999</v>
      </c>
      <c r="U25" s="5">
        <f t="shared" si="12"/>
        <v>714</v>
      </c>
      <c r="V25" s="5">
        <f t="shared" si="8"/>
        <v>357</v>
      </c>
      <c r="W25" s="5">
        <f>ROUND(U25*$W$1,0)</f>
        <v>357</v>
      </c>
      <c r="X25" s="21"/>
      <c r="Y25" s="1">
        <f t="shared" si="13"/>
        <v>12.996534883551162</v>
      </c>
      <c r="Z25" s="1">
        <f t="shared" si="7"/>
        <v>4.3094100785247953</v>
      </c>
      <c r="AA25" s="1">
        <v>43.906599999999997</v>
      </c>
      <c r="AB25" s="1">
        <v>67.56280000000001</v>
      </c>
      <c r="AC25" s="1">
        <v>53.627400000000002</v>
      </c>
      <c r="AD25" s="1">
        <v>57.724600000000002</v>
      </c>
      <c r="AE25" s="1">
        <v>46.6706</v>
      </c>
      <c r="AF25" s="1">
        <v>41.666800000000002</v>
      </c>
      <c r="AG25" s="1">
        <v>53.355600000000003</v>
      </c>
      <c r="AH25" s="1">
        <v>72.2042</v>
      </c>
      <c r="AI25" s="1">
        <v>33.979999999999997</v>
      </c>
      <c r="AJ25" s="1">
        <v>58.654400000000003</v>
      </c>
      <c r="AK25" s="1"/>
      <c r="AL25" s="1">
        <f t="shared" si="9"/>
        <v>357</v>
      </c>
      <c r="AM25" s="1">
        <f t="shared" si="10"/>
        <v>357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61</v>
      </c>
      <c r="B26" s="1" t="s">
        <v>40</v>
      </c>
      <c r="C26" s="1">
        <v>334</v>
      </c>
      <c r="D26" s="1">
        <v>539</v>
      </c>
      <c r="E26" s="1">
        <v>387</v>
      </c>
      <c r="F26" s="1">
        <v>412</v>
      </c>
      <c r="G26" s="1"/>
      <c r="H26" s="1">
        <f t="shared" si="3"/>
        <v>412</v>
      </c>
      <c r="I26" s="7">
        <v>0.09</v>
      </c>
      <c r="J26" s="1">
        <v>60</v>
      </c>
      <c r="K26" s="1" t="s">
        <v>37</v>
      </c>
      <c r="L26" s="1"/>
      <c r="M26" s="1">
        <v>444</v>
      </c>
      <c r="N26" s="1">
        <f t="shared" si="4"/>
        <v>-57</v>
      </c>
      <c r="O26" s="1">
        <f t="shared" si="5"/>
        <v>375</v>
      </c>
      <c r="P26" s="1">
        <v>12</v>
      </c>
      <c r="Q26" s="1">
        <v>287</v>
      </c>
      <c r="R26" s="1">
        <v>288</v>
      </c>
      <c r="S26" s="1">
        <f t="shared" si="6"/>
        <v>75</v>
      </c>
      <c r="T26" s="5">
        <f t="shared" ref="T26:T29" si="15">15*S26-R26-Q26-H26</f>
        <v>138</v>
      </c>
      <c r="U26" s="5">
        <f t="shared" si="12"/>
        <v>138</v>
      </c>
      <c r="V26" s="5">
        <f t="shared" si="8"/>
        <v>138</v>
      </c>
      <c r="W26" s="5"/>
      <c r="X26" s="21"/>
      <c r="Y26" s="1">
        <f t="shared" si="13"/>
        <v>15</v>
      </c>
      <c r="Z26" s="1">
        <f t="shared" si="7"/>
        <v>13.16</v>
      </c>
      <c r="AA26" s="1">
        <v>93.2</v>
      </c>
      <c r="AB26" s="1">
        <v>85.8</v>
      </c>
      <c r="AC26" s="1">
        <v>84.6</v>
      </c>
      <c r="AD26" s="1">
        <v>59</v>
      </c>
      <c r="AE26" s="1">
        <v>53.4</v>
      </c>
      <c r="AF26" s="1">
        <v>74.400000000000006</v>
      </c>
      <c r="AG26" s="1">
        <v>83</v>
      </c>
      <c r="AH26" s="1">
        <v>88.8</v>
      </c>
      <c r="AI26" s="1">
        <v>72</v>
      </c>
      <c r="AJ26" s="1">
        <v>76.599999999999994</v>
      </c>
      <c r="AK26" s="1"/>
      <c r="AL26" s="1">
        <f t="shared" si="9"/>
        <v>12.42</v>
      </c>
      <c r="AM26" s="1">
        <f t="shared" si="10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62</v>
      </c>
      <c r="B27" s="1" t="s">
        <v>40</v>
      </c>
      <c r="C27" s="1">
        <v>-1</v>
      </c>
      <c r="D27" s="1">
        <v>70</v>
      </c>
      <c r="E27" s="1">
        <v>65</v>
      </c>
      <c r="F27" s="1">
        <v>-1</v>
      </c>
      <c r="G27" s="1"/>
      <c r="H27" s="1">
        <f t="shared" si="3"/>
        <v>-1</v>
      </c>
      <c r="I27" s="7">
        <v>0.09</v>
      </c>
      <c r="J27" s="1">
        <v>45</v>
      </c>
      <c r="K27" s="1" t="s">
        <v>37</v>
      </c>
      <c r="L27" s="1"/>
      <c r="M27" s="1">
        <v>217</v>
      </c>
      <c r="N27" s="1">
        <f t="shared" si="4"/>
        <v>-152</v>
      </c>
      <c r="O27" s="1">
        <f t="shared" si="5"/>
        <v>65</v>
      </c>
      <c r="P27" s="1"/>
      <c r="Q27" s="1">
        <v>0</v>
      </c>
      <c r="R27" s="1"/>
      <c r="S27" s="1">
        <f t="shared" si="6"/>
        <v>13</v>
      </c>
      <c r="T27" s="5">
        <v>60</v>
      </c>
      <c r="U27" s="5">
        <f t="shared" si="12"/>
        <v>60</v>
      </c>
      <c r="V27" s="5">
        <f t="shared" si="8"/>
        <v>60</v>
      </c>
      <c r="W27" s="5"/>
      <c r="X27" s="21"/>
      <c r="Y27" s="1">
        <f t="shared" si="13"/>
        <v>4.5384615384615383</v>
      </c>
      <c r="Z27" s="1">
        <f t="shared" si="7"/>
        <v>-7.6923076923076927E-2</v>
      </c>
      <c r="AA27" s="1">
        <v>4.5999999999999996</v>
      </c>
      <c r="AB27" s="1">
        <v>15</v>
      </c>
      <c r="AC27" s="1">
        <v>4.5999999999999996</v>
      </c>
      <c r="AD27" s="1">
        <v>18.399999999999999</v>
      </c>
      <c r="AE27" s="1">
        <v>16</v>
      </c>
      <c r="AF27" s="1">
        <v>20.399999999999999</v>
      </c>
      <c r="AG27" s="1">
        <v>10</v>
      </c>
      <c r="AH27" s="1">
        <v>40.799999999999997</v>
      </c>
      <c r="AI27" s="1">
        <v>19</v>
      </c>
      <c r="AJ27" s="1">
        <v>14.8</v>
      </c>
      <c r="AK27" s="1"/>
      <c r="AL27" s="1">
        <f t="shared" si="9"/>
        <v>5.3999999999999995</v>
      </c>
      <c r="AM27" s="1">
        <f t="shared" si="10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63</v>
      </c>
      <c r="B28" s="1" t="s">
        <v>40</v>
      </c>
      <c r="C28" s="1">
        <v>8</v>
      </c>
      <c r="D28" s="1">
        <v>99</v>
      </c>
      <c r="E28" s="1">
        <v>65</v>
      </c>
      <c r="F28" s="1">
        <v>23</v>
      </c>
      <c r="G28" s="1"/>
      <c r="H28" s="1">
        <f t="shared" si="3"/>
        <v>23</v>
      </c>
      <c r="I28" s="7">
        <v>0.15</v>
      </c>
      <c r="J28" s="1">
        <v>45</v>
      </c>
      <c r="K28" s="1" t="s">
        <v>37</v>
      </c>
      <c r="L28" s="1"/>
      <c r="M28" s="1">
        <v>217</v>
      </c>
      <c r="N28" s="1">
        <f t="shared" si="4"/>
        <v>-152</v>
      </c>
      <c r="O28" s="1">
        <f t="shared" si="5"/>
        <v>46</v>
      </c>
      <c r="P28" s="1">
        <v>19</v>
      </c>
      <c r="Q28" s="1">
        <v>30</v>
      </c>
      <c r="R28" s="1"/>
      <c r="S28" s="1">
        <f t="shared" si="6"/>
        <v>9.1999999999999993</v>
      </c>
      <c r="T28" s="5">
        <f t="shared" si="15"/>
        <v>85</v>
      </c>
      <c r="U28" s="5">
        <f t="shared" si="12"/>
        <v>85</v>
      </c>
      <c r="V28" s="5">
        <f t="shared" si="8"/>
        <v>85</v>
      </c>
      <c r="W28" s="5"/>
      <c r="X28" s="21"/>
      <c r="Y28" s="1">
        <f t="shared" si="13"/>
        <v>15.000000000000002</v>
      </c>
      <c r="Z28" s="1">
        <f t="shared" si="7"/>
        <v>5.7608695652173916</v>
      </c>
      <c r="AA28" s="1">
        <v>4.4000000000000004</v>
      </c>
      <c r="AB28" s="1">
        <v>0</v>
      </c>
      <c r="AC28" s="1">
        <v>1.6</v>
      </c>
      <c r="AD28" s="1">
        <v>1.8</v>
      </c>
      <c r="AE28" s="1">
        <v>3.8</v>
      </c>
      <c r="AF28" s="1">
        <v>6</v>
      </c>
      <c r="AG28" s="1">
        <v>13.6</v>
      </c>
      <c r="AH28" s="1">
        <v>29.4</v>
      </c>
      <c r="AI28" s="1">
        <v>16.600000000000001</v>
      </c>
      <c r="AJ28" s="1">
        <v>24.6</v>
      </c>
      <c r="AK28" s="1" t="s">
        <v>64</v>
      </c>
      <c r="AL28" s="1">
        <f t="shared" si="9"/>
        <v>12.75</v>
      </c>
      <c r="AM28" s="1">
        <f t="shared" si="10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36</v>
      </c>
      <c r="C29" s="1">
        <v>77.480999999999995</v>
      </c>
      <c r="D29" s="1">
        <v>819.67499999999995</v>
      </c>
      <c r="E29" s="1">
        <v>387.608</v>
      </c>
      <c r="F29" s="15">
        <f>378.877+F117</f>
        <v>508.50700000000001</v>
      </c>
      <c r="G29" s="1">
        <f>VLOOKUP(A29,[1]TDSheet!$A:$B,2,0)</f>
        <v>213.268</v>
      </c>
      <c r="H29" s="1">
        <f t="shared" si="3"/>
        <v>295.23900000000003</v>
      </c>
      <c r="I29" s="7">
        <v>1</v>
      </c>
      <c r="J29" s="1">
        <v>45</v>
      </c>
      <c r="K29" s="1" t="s">
        <v>37</v>
      </c>
      <c r="L29" s="1"/>
      <c r="M29" s="1">
        <v>464.1</v>
      </c>
      <c r="N29" s="1">
        <f t="shared" si="4"/>
        <v>-76.492000000000019</v>
      </c>
      <c r="O29" s="1">
        <f t="shared" si="5"/>
        <v>330.26</v>
      </c>
      <c r="P29" s="1">
        <v>57.347999999999999</v>
      </c>
      <c r="Q29" s="1">
        <v>80</v>
      </c>
      <c r="R29" s="1">
        <v>80</v>
      </c>
      <c r="S29" s="1">
        <f t="shared" si="6"/>
        <v>66.051999999999992</v>
      </c>
      <c r="T29" s="5">
        <f t="shared" si="15"/>
        <v>535.54099999999983</v>
      </c>
      <c r="U29" s="5">
        <f t="shared" si="12"/>
        <v>536</v>
      </c>
      <c r="V29" s="5">
        <f t="shared" si="8"/>
        <v>268</v>
      </c>
      <c r="W29" s="5">
        <f>ROUND(U29*$W$1,0)</f>
        <v>268</v>
      </c>
      <c r="X29" s="21"/>
      <c r="Y29" s="1">
        <f t="shared" si="13"/>
        <v>15.006949070429361</v>
      </c>
      <c r="Z29" s="1">
        <f t="shared" si="7"/>
        <v>6.8921304426815251</v>
      </c>
      <c r="AA29" s="1">
        <v>52.612400000000001</v>
      </c>
      <c r="AB29" s="1">
        <v>56.536999999999999</v>
      </c>
      <c r="AC29" s="1">
        <v>48.489400000000003</v>
      </c>
      <c r="AD29" s="1">
        <v>48.859400000000001</v>
      </c>
      <c r="AE29" s="1">
        <v>40.973200000000013</v>
      </c>
      <c r="AF29" s="1">
        <v>46.067999999999998</v>
      </c>
      <c r="AG29" s="1">
        <v>42.266199999999998</v>
      </c>
      <c r="AH29" s="1">
        <v>73.7684</v>
      </c>
      <c r="AI29" s="1">
        <v>25.926400000000001</v>
      </c>
      <c r="AJ29" s="1">
        <v>46.323399999999999</v>
      </c>
      <c r="AK29" s="1"/>
      <c r="AL29" s="1">
        <f t="shared" si="9"/>
        <v>268</v>
      </c>
      <c r="AM29" s="1">
        <f t="shared" si="10"/>
        <v>268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1" t="s">
        <v>66</v>
      </c>
      <c r="B30" s="11" t="s">
        <v>40</v>
      </c>
      <c r="C30" s="11">
        <v>4</v>
      </c>
      <c r="D30" s="11"/>
      <c r="E30" s="11"/>
      <c r="F30" s="15">
        <v>4</v>
      </c>
      <c r="G30" s="11"/>
      <c r="H30" s="11">
        <f t="shared" si="3"/>
        <v>4</v>
      </c>
      <c r="I30" s="12">
        <v>0</v>
      </c>
      <c r="J30" s="11"/>
      <c r="K30" s="11" t="s">
        <v>59</v>
      </c>
      <c r="L30" s="11" t="s">
        <v>67</v>
      </c>
      <c r="M30" s="11">
        <v>24</v>
      </c>
      <c r="N30" s="11">
        <f t="shared" si="4"/>
        <v>-24</v>
      </c>
      <c r="O30" s="11">
        <f t="shared" si="5"/>
        <v>0</v>
      </c>
      <c r="P30" s="11"/>
      <c r="Q30" s="11">
        <v>0</v>
      </c>
      <c r="R30" s="11"/>
      <c r="S30" s="11">
        <f t="shared" si="6"/>
        <v>0</v>
      </c>
      <c r="T30" s="13"/>
      <c r="U30" s="5">
        <f t="shared" si="12"/>
        <v>0</v>
      </c>
      <c r="V30" s="5">
        <f t="shared" si="8"/>
        <v>0</v>
      </c>
      <c r="W30" s="5"/>
      <c r="X30" s="20"/>
      <c r="Y30" s="1" t="e">
        <f t="shared" si="13"/>
        <v>#DIV/0!</v>
      </c>
      <c r="Z30" s="11" t="e">
        <f t="shared" si="7"/>
        <v>#DIV/0!</v>
      </c>
      <c r="AA30" s="11">
        <v>0</v>
      </c>
      <c r="AB30" s="11">
        <v>0</v>
      </c>
      <c r="AC30" s="11">
        <v>0</v>
      </c>
      <c r="AD30" s="11">
        <v>0</v>
      </c>
      <c r="AE30" s="11">
        <v>0.2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/>
      <c r="AL30" s="1">
        <f t="shared" si="9"/>
        <v>0</v>
      </c>
      <c r="AM30" s="1">
        <f t="shared" si="10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68</v>
      </c>
      <c r="B31" s="1" t="s">
        <v>40</v>
      </c>
      <c r="C31" s="1">
        <v>-4</v>
      </c>
      <c r="D31" s="1">
        <v>173</v>
      </c>
      <c r="E31" s="1">
        <v>71</v>
      </c>
      <c r="F31" s="1">
        <v>42</v>
      </c>
      <c r="G31" s="1"/>
      <c r="H31" s="1">
        <f t="shared" si="3"/>
        <v>42</v>
      </c>
      <c r="I31" s="7">
        <v>0.4</v>
      </c>
      <c r="J31" s="1">
        <v>60</v>
      </c>
      <c r="K31" s="1" t="s">
        <v>37</v>
      </c>
      <c r="L31" s="1"/>
      <c r="M31" s="1">
        <v>173</v>
      </c>
      <c r="N31" s="1">
        <f t="shared" si="4"/>
        <v>-102</v>
      </c>
      <c r="O31" s="1">
        <f t="shared" si="5"/>
        <v>45</v>
      </c>
      <c r="P31" s="1">
        <v>26</v>
      </c>
      <c r="Q31" s="1">
        <v>113</v>
      </c>
      <c r="R31" s="1">
        <v>114</v>
      </c>
      <c r="S31" s="1">
        <f t="shared" si="6"/>
        <v>9</v>
      </c>
      <c r="T31" s="5"/>
      <c r="U31" s="5">
        <f t="shared" si="12"/>
        <v>0</v>
      </c>
      <c r="V31" s="5">
        <f t="shared" si="8"/>
        <v>0</v>
      </c>
      <c r="W31" s="5"/>
      <c r="X31" s="21"/>
      <c r="Y31" s="1">
        <f t="shared" si="13"/>
        <v>29.888888888888889</v>
      </c>
      <c r="Z31" s="1">
        <f t="shared" si="7"/>
        <v>29.888888888888889</v>
      </c>
      <c r="AA31" s="1">
        <v>22.4</v>
      </c>
      <c r="AB31" s="1">
        <v>12.8</v>
      </c>
      <c r="AC31" s="1">
        <v>10.199999999999999</v>
      </c>
      <c r="AD31" s="1">
        <v>15.8</v>
      </c>
      <c r="AE31" s="1">
        <v>14.4</v>
      </c>
      <c r="AF31" s="1">
        <v>10.8</v>
      </c>
      <c r="AG31" s="1">
        <v>7</v>
      </c>
      <c r="AH31" s="1">
        <v>9.1999999999999993</v>
      </c>
      <c r="AI31" s="1">
        <v>5.2</v>
      </c>
      <c r="AJ31" s="1">
        <v>-0.2</v>
      </c>
      <c r="AK31" s="1"/>
      <c r="AL31" s="1">
        <f t="shared" si="9"/>
        <v>0</v>
      </c>
      <c r="AM31" s="1">
        <f t="shared" si="10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69</v>
      </c>
      <c r="B32" s="1" t="s">
        <v>40</v>
      </c>
      <c r="C32" s="1">
        <v>160</v>
      </c>
      <c r="D32" s="1">
        <v>1825</v>
      </c>
      <c r="E32" s="1">
        <v>1256</v>
      </c>
      <c r="F32" s="1">
        <v>546</v>
      </c>
      <c r="G32" s="1"/>
      <c r="H32" s="1">
        <f t="shared" si="3"/>
        <v>546</v>
      </c>
      <c r="I32" s="7">
        <v>0.4</v>
      </c>
      <c r="J32" s="1">
        <v>60</v>
      </c>
      <c r="K32" s="19" t="s">
        <v>70</v>
      </c>
      <c r="L32" s="1"/>
      <c r="M32" s="1">
        <v>1379</v>
      </c>
      <c r="N32" s="1">
        <f t="shared" si="4"/>
        <v>-123</v>
      </c>
      <c r="O32" s="1">
        <f t="shared" si="5"/>
        <v>1240</v>
      </c>
      <c r="P32" s="1">
        <v>16</v>
      </c>
      <c r="Q32" s="1">
        <v>160</v>
      </c>
      <c r="R32" s="1">
        <v>160</v>
      </c>
      <c r="S32" s="1">
        <f t="shared" si="6"/>
        <v>248</v>
      </c>
      <c r="T32" s="5">
        <v>1000</v>
      </c>
      <c r="U32" s="5">
        <f t="shared" si="12"/>
        <v>1000</v>
      </c>
      <c r="V32" s="5">
        <f t="shared" si="8"/>
        <v>500</v>
      </c>
      <c r="W32" s="5">
        <f>ROUND(U32*$W$1,0)</f>
        <v>500</v>
      </c>
      <c r="X32" s="21"/>
      <c r="Y32" s="1">
        <f t="shared" si="13"/>
        <v>7.524193548387097</v>
      </c>
      <c r="Z32" s="1">
        <f t="shared" si="7"/>
        <v>3.4919354838709675</v>
      </c>
      <c r="AA32" s="1">
        <v>160</v>
      </c>
      <c r="AB32" s="1">
        <v>318.2</v>
      </c>
      <c r="AC32" s="1">
        <v>139.80000000000001</v>
      </c>
      <c r="AD32" s="1">
        <v>69.2</v>
      </c>
      <c r="AE32" s="1">
        <v>126.4</v>
      </c>
      <c r="AF32" s="1">
        <v>97</v>
      </c>
      <c r="AG32" s="1">
        <v>134.6</v>
      </c>
      <c r="AH32" s="1">
        <v>131.6</v>
      </c>
      <c r="AI32" s="1">
        <v>108.6</v>
      </c>
      <c r="AJ32" s="1">
        <v>119.2</v>
      </c>
      <c r="AK32" s="1" t="s">
        <v>71</v>
      </c>
      <c r="AL32" s="1">
        <f t="shared" si="9"/>
        <v>200</v>
      </c>
      <c r="AM32" s="1">
        <f t="shared" si="10"/>
        <v>200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1" t="s">
        <v>72</v>
      </c>
      <c r="B33" s="11" t="s">
        <v>40</v>
      </c>
      <c r="C33" s="11">
        <v>-6</v>
      </c>
      <c r="D33" s="11"/>
      <c r="E33" s="15">
        <v>-3</v>
      </c>
      <c r="F33" s="15">
        <v>-6</v>
      </c>
      <c r="G33" s="11"/>
      <c r="H33" s="11">
        <f t="shared" si="3"/>
        <v>-6</v>
      </c>
      <c r="I33" s="12">
        <v>0</v>
      </c>
      <c r="J33" s="11">
        <v>60</v>
      </c>
      <c r="K33" s="11" t="s">
        <v>59</v>
      </c>
      <c r="L33" s="11" t="s">
        <v>73</v>
      </c>
      <c r="M33" s="11">
        <v>7</v>
      </c>
      <c r="N33" s="11">
        <f t="shared" si="4"/>
        <v>-10</v>
      </c>
      <c r="O33" s="11">
        <f t="shared" si="5"/>
        <v>-3</v>
      </c>
      <c r="P33" s="11"/>
      <c r="Q33" s="11">
        <v>0</v>
      </c>
      <c r="R33" s="11"/>
      <c r="S33" s="11">
        <f t="shared" si="6"/>
        <v>-0.6</v>
      </c>
      <c r="T33" s="13"/>
      <c r="U33" s="5">
        <f t="shared" si="12"/>
        <v>0</v>
      </c>
      <c r="V33" s="5">
        <f t="shared" si="8"/>
        <v>0</v>
      </c>
      <c r="W33" s="5"/>
      <c r="X33" s="20"/>
      <c r="Y33" s="1">
        <f t="shared" si="13"/>
        <v>10</v>
      </c>
      <c r="Z33" s="11">
        <f t="shared" si="7"/>
        <v>10</v>
      </c>
      <c r="AA33" s="11">
        <v>0</v>
      </c>
      <c r="AB33" s="11">
        <v>-0.2</v>
      </c>
      <c r="AC33" s="11">
        <v>0</v>
      </c>
      <c r="AD33" s="11">
        <v>1.2</v>
      </c>
      <c r="AE33" s="11">
        <v>1</v>
      </c>
      <c r="AF33" s="11">
        <v>0</v>
      </c>
      <c r="AG33" s="11">
        <v>57.4</v>
      </c>
      <c r="AH33" s="11">
        <v>111</v>
      </c>
      <c r="AI33" s="11">
        <v>112.6</v>
      </c>
      <c r="AJ33" s="11">
        <v>84</v>
      </c>
      <c r="AK33" s="11" t="s">
        <v>74</v>
      </c>
      <c r="AL33" s="1">
        <f t="shared" si="9"/>
        <v>0</v>
      </c>
      <c r="AM33" s="1">
        <f t="shared" si="10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75</v>
      </c>
      <c r="B34" s="1" t="s">
        <v>40</v>
      </c>
      <c r="C34" s="1">
        <v>1167</v>
      </c>
      <c r="D34" s="1">
        <v>1670</v>
      </c>
      <c r="E34" s="1">
        <v>1525</v>
      </c>
      <c r="F34" s="1">
        <v>1094</v>
      </c>
      <c r="G34" s="1"/>
      <c r="H34" s="1">
        <f t="shared" si="3"/>
        <v>1094</v>
      </c>
      <c r="I34" s="7">
        <v>0.4</v>
      </c>
      <c r="J34" s="1">
        <v>60</v>
      </c>
      <c r="K34" s="19" t="s">
        <v>70</v>
      </c>
      <c r="L34" s="1"/>
      <c r="M34" s="1">
        <v>1684</v>
      </c>
      <c r="N34" s="1">
        <f t="shared" si="4"/>
        <v>-159</v>
      </c>
      <c r="O34" s="1">
        <f t="shared" si="5"/>
        <v>1507</v>
      </c>
      <c r="P34" s="1">
        <v>18</v>
      </c>
      <c r="Q34" s="1">
        <v>150</v>
      </c>
      <c r="R34" s="1">
        <v>150</v>
      </c>
      <c r="S34" s="1">
        <f t="shared" si="6"/>
        <v>301.39999999999998</v>
      </c>
      <c r="T34" s="5">
        <v>900</v>
      </c>
      <c r="U34" s="5">
        <f>ROUND(T34,0)+500</f>
        <v>1400</v>
      </c>
      <c r="V34" s="5">
        <f t="shared" si="8"/>
        <v>700</v>
      </c>
      <c r="W34" s="5">
        <f>ROUND(U34*$W$1,0)</f>
        <v>700</v>
      </c>
      <c r="X34" s="21" t="s">
        <v>189</v>
      </c>
      <c r="Y34" s="1">
        <f t="shared" si="13"/>
        <v>9.2700729927007313</v>
      </c>
      <c r="Z34" s="1">
        <f t="shared" si="7"/>
        <v>4.6250829462508296</v>
      </c>
      <c r="AA34" s="1">
        <v>140</v>
      </c>
      <c r="AB34" s="1">
        <v>155</v>
      </c>
      <c r="AC34" s="1">
        <v>162.80000000000001</v>
      </c>
      <c r="AD34" s="1">
        <v>91.8</v>
      </c>
      <c r="AE34" s="1">
        <v>147.6</v>
      </c>
      <c r="AF34" s="1">
        <v>152.4</v>
      </c>
      <c r="AG34" s="1">
        <v>133.94</v>
      </c>
      <c r="AH34" s="1">
        <v>162.6</v>
      </c>
      <c r="AI34" s="1">
        <v>195.6</v>
      </c>
      <c r="AJ34" s="1">
        <v>155.80000000000001</v>
      </c>
      <c r="AK34" s="1" t="s">
        <v>204</v>
      </c>
      <c r="AL34" s="1">
        <f t="shared" si="9"/>
        <v>280</v>
      </c>
      <c r="AM34" s="1">
        <f t="shared" si="10"/>
        <v>280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76</v>
      </c>
      <c r="B35" s="1" t="s">
        <v>40</v>
      </c>
      <c r="C35" s="1">
        <v>109</v>
      </c>
      <c r="D35" s="1">
        <v>3</v>
      </c>
      <c r="E35" s="1">
        <v>36</v>
      </c>
      <c r="F35" s="1">
        <v>73</v>
      </c>
      <c r="G35" s="1"/>
      <c r="H35" s="1">
        <f t="shared" si="3"/>
        <v>73</v>
      </c>
      <c r="I35" s="7">
        <v>0.3</v>
      </c>
      <c r="J35" s="1">
        <v>45</v>
      </c>
      <c r="K35" s="1" t="s">
        <v>37</v>
      </c>
      <c r="L35" s="1"/>
      <c r="M35" s="1">
        <v>45</v>
      </c>
      <c r="N35" s="1">
        <f t="shared" si="4"/>
        <v>-9</v>
      </c>
      <c r="O35" s="1">
        <f t="shared" si="5"/>
        <v>36</v>
      </c>
      <c r="P35" s="1"/>
      <c r="Q35" s="1">
        <v>0</v>
      </c>
      <c r="R35" s="1"/>
      <c r="S35" s="1">
        <f t="shared" si="6"/>
        <v>7.2</v>
      </c>
      <c r="T35" s="5">
        <f t="shared" ref="T35" si="16">15*S35-R35-Q35-H35</f>
        <v>35</v>
      </c>
      <c r="U35" s="5">
        <f t="shared" si="12"/>
        <v>35</v>
      </c>
      <c r="V35" s="5">
        <f t="shared" si="8"/>
        <v>35</v>
      </c>
      <c r="W35" s="5"/>
      <c r="X35" s="21"/>
      <c r="Y35" s="1">
        <f t="shared" si="13"/>
        <v>15</v>
      </c>
      <c r="Z35" s="1">
        <f t="shared" si="7"/>
        <v>10.138888888888889</v>
      </c>
      <c r="AA35" s="1">
        <v>0.8</v>
      </c>
      <c r="AB35" s="1">
        <v>1.4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 t="s">
        <v>77</v>
      </c>
      <c r="AL35" s="1">
        <f t="shared" si="9"/>
        <v>10.5</v>
      </c>
      <c r="AM35" s="1">
        <f t="shared" si="10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1" t="s">
        <v>78</v>
      </c>
      <c r="B36" s="11" t="s">
        <v>40</v>
      </c>
      <c r="C36" s="11">
        <v>-23</v>
      </c>
      <c r="D36" s="11"/>
      <c r="E36" s="11"/>
      <c r="F36" s="15">
        <v>-23</v>
      </c>
      <c r="G36" s="11"/>
      <c r="H36" s="11">
        <f t="shared" si="3"/>
        <v>-23</v>
      </c>
      <c r="I36" s="12">
        <v>0</v>
      </c>
      <c r="J36" s="11">
        <v>60</v>
      </c>
      <c r="K36" s="11" t="s">
        <v>59</v>
      </c>
      <c r="L36" s="11" t="s">
        <v>79</v>
      </c>
      <c r="M36" s="11">
        <v>5</v>
      </c>
      <c r="N36" s="11">
        <f t="shared" si="4"/>
        <v>-5</v>
      </c>
      <c r="O36" s="11">
        <f t="shared" si="5"/>
        <v>0</v>
      </c>
      <c r="P36" s="11"/>
      <c r="Q36" s="11">
        <v>0</v>
      </c>
      <c r="R36" s="11"/>
      <c r="S36" s="11">
        <f t="shared" si="6"/>
        <v>0</v>
      </c>
      <c r="T36" s="13"/>
      <c r="U36" s="5">
        <f t="shared" si="12"/>
        <v>0</v>
      </c>
      <c r="V36" s="5">
        <f t="shared" si="8"/>
        <v>0</v>
      </c>
      <c r="W36" s="5"/>
      <c r="X36" s="20"/>
      <c r="Y36" s="1" t="e">
        <f t="shared" si="13"/>
        <v>#DIV/0!</v>
      </c>
      <c r="Z36" s="11" t="e">
        <f t="shared" si="7"/>
        <v>#DIV/0!</v>
      </c>
      <c r="AA36" s="11">
        <v>0</v>
      </c>
      <c r="AB36" s="11">
        <v>0</v>
      </c>
      <c r="AC36" s="11">
        <v>1.6</v>
      </c>
      <c r="AD36" s="11">
        <v>25.6</v>
      </c>
      <c r="AE36" s="11">
        <v>54.8</v>
      </c>
      <c r="AF36" s="11">
        <v>70.599999999999994</v>
      </c>
      <c r="AG36" s="11">
        <v>60</v>
      </c>
      <c r="AH36" s="11">
        <v>72.400000000000006</v>
      </c>
      <c r="AI36" s="11">
        <v>65.2</v>
      </c>
      <c r="AJ36" s="11">
        <v>59</v>
      </c>
      <c r="AK36" s="11" t="s">
        <v>80</v>
      </c>
      <c r="AL36" s="1">
        <f t="shared" si="9"/>
        <v>0</v>
      </c>
      <c r="AM36" s="1">
        <f t="shared" si="10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1" t="s">
        <v>81</v>
      </c>
      <c r="B37" s="11" t="s">
        <v>40</v>
      </c>
      <c r="C37" s="11">
        <v>-1</v>
      </c>
      <c r="D37" s="11"/>
      <c r="E37" s="11"/>
      <c r="F37" s="15">
        <v>-1</v>
      </c>
      <c r="G37" s="11"/>
      <c r="H37" s="11">
        <f t="shared" si="3"/>
        <v>-1</v>
      </c>
      <c r="I37" s="12">
        <v>0</v>
      </c>
      <c r="J37" s="11">
        <v>60</v>
      </c>
      <c r="K37" s="11" t="s">
        <v>59</v>
      </c>
      <c r="L37" s="11" t="s">
        <v>82</v>
      </c>
      <c r="M37" s="11">
        <v>56</v>
      </c>
      <c r="N37" s="11">
        <f t="shared" si="4"/>
        <v>-56</v>
      </c>
      <c r="O37" s="11">
        <f t="shared" si="5"/>
        <v>0</v>
      </c>
      <c r="P37" s="11"/>
      <c r="Q37" s="11">
        <v>0</v>
      </c>
      <c r="R37" s="11"/>
      <c r="S37" s="11">
        <f t="shared" si="6"/>
        <v>0</v>
      </c>
      <c r="T37" s="13"/>
      <c r="U37" s="5">
        <f t="shared" si="12"/>
        <v>0</v>
      </c>
      <c r="V37" s="5">
        <f t="shared" si="8"/>
        <v>0</v>
      </c>
      <c r="W37" s="5"/>
      <c r="X37" s="20"/>
      <c r="Y37" s="1" t="e">
        <f t="shared" si="13"/>
        <v>#DIV/0!</v>
      </c>
      <c r="Z37" s="11" t="e">
        <f t="shared" si="7"/>
        <v>#DIV/0!</v>
      </c>
      <c r="AA37" s="11">
        <v>1.4</v>
      </c>
      <c r="AB37" s="11">
        <v>0.6</v>
      </c>
      <c r="AC37" s="11">
        <v>6</v>
      </c>
      <c r="AD37" s="11">
        <v>38.799999999999997</v>
      </c>
      <c r="AE37" s="11">
        <v>31.8</v>
      </c>
      <c r="AF37" s="11">
        <v>36.4</v>
      </c>
      <c r="AG37" s="11">
        <v>41.2</v>
      </c>
      <c r="AH37" s="11">
        <v>44</v>
      </c>
      <c r="AI37" s="11">
        <v>32.799999999999997</v>
      </c>
      <c r="AJ37" s="11">
        <v>42.6</v>
      </c>
      <c r="AK37" s="11" t="s">
        <v>83</v>
      </c>
      <c r="AL37" s="1">
        <f t="shared" si="9"/>
        <v>0</v>
      </c>
      <c r="AM37" s="1">
        <f t="shared" si="10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1" t="s">
        <v>84</v>
      </c>
      <c r="B38" s="11" t="s">
        <v>40</v>
      </c>
      <c r="C38" s="11">
        <v>-63</v>
      </c>
      <c r="D38" s="11"/>
      <c r="E38" s="15">
        <v>-1</v>
      </c>
      <c r="F38" s="15">
        <v>-63</v>
      </c>
      <c r="G38" s="11"/>
      <c r="H38" s="11">
        <f t="shared" ref="H38:H69" si="17">F38-G38</f>
        <v>-63</v>
      </c>
      <c r="I38" s="12">
        <v>0</v>
      </c>
      <c r="J38" s="11">
        <v>45</v>
      </c>
      <c r="K38" s="11" t="s">
        <v>59</v>
      </c>
      <c r="L38" s="11" t="s">
        <v>85</v>
      </c>
      <c r="M38" s="11">
        <v>8</v>
      </c>
      <c r="N38" s="11">
        <f t="shared" ref="N38:N69" si="18">E38-M38</f>
        <v>-9</v>
      </c>
      <c r="O38" s="11">
        <f t="shared" ref="O38:O69" si="19">E38-P38</f>
        <v>-1</v>
      </c>
      <c r="P38" s="11"/>
      <c r="Q38" s="11">
        <v>0</v>
      </c>
      <c r="R38" s="11"/>
      <c r="S38" s="11">
        <f t="shared" ref="S38:S69" si="20">O38/5</f>
        <v>-0.2</v>
      </c>
      <c r="T38" s="13"/>
      <c r="U38" s="5">
        <f t="shared" si="12"/>
        <v>0</v>
      </c>
      <c r="V38" s="5">
        <f t="shared" si="8"/>
        <v>0</v>
      </c>
      <c r="W38" s="5"/>
      <c r="X38" s="20"/>
      <c r="Y38" s="1">
        <f t="shared" si="13"/>
        <v>315</v>
      </c>
      <c r="Z38" s="11">
        <f t="shared" ref="Z38:Z69" si="21">(H38+Q38+R38)/S38</f>
        <v>315</v>
      </c>
      <c r="AA38" s="11">
        <v>1.4</v>
      </c>
      <c r="AB38" s="11">
        <v>4</v>
      </c>
      <c r="AC38" s="11">
        <v>2.6</v>
      </c>
      <c r="AD38" s="11">
        <v>10.4</v>
      </c>
      <c r="AE38" s="11">
        <v>4.2</v>
      </c>
      <c r="AF38" s="11">
        <v>14.4</v>
      </c>
      <c r="AG38" s="11">
        <v>21.2</v>
      </c>
      <c r="AH38" s="11">
        <v>25.2</v>
      </c>
      <c r="AI38" s="11">
        <v>13.4</v>
      </c>
      <c r="AJ38" s="11">
        <v>5</v>
      </c>
      <c r="AK38" s="11" t="s">
        <v>86</v>
      </c>
      <c r="AL38" s="1">
        <f t="shared" si="9"/>
        <v>0</v>
      </c>
      <c r="AM38" s="1">
        <f t="shared" si="10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1" t="s">
        <v>87</v>
      </c>
      <c r="B39" s="11" t="s">
        <v>40</v>
      </c>
      <c r="C39" s="11">
        <v>4</v>
      </c>
      <c r="D39" s="11"/>
      <c r="E39" s="11">
        <v>-1</v>
      </c>
      <c r="F39" s="11">
        <v>2</v>
      </c>
      <c r="G39" s="11"/>
      <c r="H39" s="11">
        <f t="shared" si="17"/>
        <v>2</v>
      </c>
      <c r="I39" s="12">
        <v>0</v>
      </c>
      <c r="J39" s="11">
        <v>45</v>
      </c>
      <c r="K39" s="11" t="s">
        <v>59</v>
      </c>
      <c r="L39" s="11"/>
      <c r="M39" s="11">
        <v>72</v>
      </c>
      <c r="N39" s="11">
        <f t="shared" si="18"/>
        <v>-73</v>
      </c>
      <c r="O39" s="11">
        <f t="shared" si="19"/>
        <v>-1</v>
      </c>
      <c r="P39" s="11"/>
      <c r="Q39" s="11">
        <v>0</v>
      </c>
      <c r="R39" s="11"/>
      <c r="S39" s="11">
        <f t="shared" si="20"/>
        <v>-0.2</v>
      </c>
      <c r="T39" s="13"/>
      <c r="U39" s="5">
        <f t="shared" si="12"/>
        <v>0</v>
      </c>
      <c r="V39" s="5">
        <f t="shared" si="8"/>
        <v>0</v>
      </c>
      <c r="W39" s="5"/>
      <c r="X39" s="20"/>
      <c r="Y39" s="1">
        <f t="shared" si="13"/>
        <v>-10</v>
      </c>
      <c r="Z39" s="11">
        <f t="shared" si="21"/>
        <v>-10</v>
      </c>
      <c r="AA39" s="11">
        <v>3</v>
      </c>
      <c r="AB39" s="11">
        <v>9.8000000000000007</v>
      </c>
      <c r="AC39" s="11">
        <v>10</v>
      </c>
      <c r="AD39" s="11">
        <v>5.4</v>
      </c>
      <c r="AE39" s="11">
        <v>13</v>
      </c>
      <c r="AF39" s="11">
        <v>1.2</v>
      </c>
      <c r="AG39" s="11">
        <v>10.6</v>
      </c>
      <c r="AH39" s="11">
        <v>3</v>
      </c>
      <c r="AI39" s="11">
        <v>7.4</v>
      </c>
      <c r="AJ39" s="11">
        <v>1.6</v>
      </c>
      <c r="AK39" s="11" t="s">
        <v>88</v>
      </c>
      <c r="AL39" s="1">
        <f t="shared" si="9"/>
        <v>0</v>
      </c>
      <c r="AM39" s="1">
        <f t="shared" si="10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89</v>
      </c>
      <c r="B40" s="1" t="s">
        <v>40</v>
      </c>
      <c r="C40" s="1">
        <v>48</v>
      </c>
      <c r="D40" s="1">
        <v>193</v>
      </c>
      <c r="E40" s="1">
        <v>202</v>
      </c>
      <c r="F40" s="1">
        <v>-4</v>
      </c>
      <c r="G40" s="1"/>
      <c r="H40" s="1">
        <f t="shared" si="17"/>
        <v>-4</v>
      </c>
      <c r="I40" s="7">
        <v>0.3</v>
      </c>
      <c r="J40" s="1">
        <v>45</v>
      </c>
      <c r="K40" s="1" t="s">
        <v>37</v>
      </c>
      <c r="L40" s="1"/>
      <c r="M40" s="1">
        <v>300</v>
      </c>
      <c r="N40" s="1">
        <f t="shared" si="18"/>
        <v>-98</v>
      </c>
      <c r="O40" s="1">
        <f t="shared" si="19"/>
        <v>202</v>
      </c>
      <c r="P40" s="1"/>
      <c r="Q40" s="1">
        <v>27</v>
      </c>
      <c r="R40" s="1"/>
      <c r="S40" s="1">
        <f t="shared" si="20"/>
        <v>40.4</v>
      </c>
      <c r="T40" s="5">
        <f>10*S40-R40-Q40-H40</f>
        <v>381</v>
      </c>
      <c r="U40" s="5">
        <f t="shared" si="12"/>
        <v>381</v>
      </c>
      <c r="V40" s="5">
        <f t="shared" si="8"/>
        <v>190</v>
      </c>
      <c r="W40" s="5">
        <f t="shared" ref="W40:W41" si="22">ROUND(U40*$W$1,0)</f>
        <v>191</v>
      </c>
      <c r="X40" s="21"/>
      <c r="Y40" s="1">
        <f t="shared" si="13"/>
        <v>10</v>
      </c>
      <c r="Z40" s="1">
        <f t="shared" si="21"/>
        <v>0.56930693069306937</v>
      </c>
      <c r="AA40" s="1">
        <v>16.8</v>
      </c>
      <c r="AB40" s="1">
        <v>20.6</v>
      </c>
      <c r="AC40" s="1">
        <v>16.2</v>
      </c>
      <c r="AD40" s="1">
        <v>23</v>
      </c>
      <c r="AE40" s="1">
        <v>29.6</v>
      </c>
      <c r="AF40" s="1">
        <v>17.600000000000001</v>
      </c>
      <c r="AG40" s="1">
        <v>29.2</v>
      </c>
      <c r="AH40" s="1">
        <v>42</v>
      </c>
      <c r="AI40" s="1">
        <v>0</v>
      </c>
      <c r="AJ40" s="1">
        <v>0</v>
      </c>
      <c r="AK40" s="1"/>
      <c r="AL40" s="1">
        <f t="shared" si="9"/>
        <v>57</v>
      </c>
      <c r="AM40" s="1">
        <f t="shared" si="10"/>
        <v>57.3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90</v>
      </c>
      <c r="B41" s="1" t="s">
        <v>36</v>
      </c>
      <c r="C41" s="1">
        <v>184.291</v>
      </c>
      <c r="D41" s="1">
        <v>271.64699999999999</v>
      </c>
      <c r="E41" s="1">
        <v>154.93600000000001</v>
      </c>
      <c r="F41" s="1">
        <v>268.83800000000002</v>
      </c>
      <c r="G41" s="1">
        <f>VLOOKUP(A41,[1]TDSheet!$A:$B,2,0)</f>
        <v>147.86699999999999</v>
      </c>
      <c r="H41" s="1">
        <f t="shared" si="17"/>
        <v>120.97100000000003</v>
      </c>
      <c r="I41" s="7">
        <v>1</v>
      </c>
      <c r="J41" s="1">
        <v>60</v>
      </c>
      <c r="K41" s="1" t="s">
        <v>37</v>
      </c>
      <c r="L41" s="1"/>
      <c r="M41" s="1">
        <v>164.4</v>
      </c>
      <c r="N41" s="1">
        <f t="shared" si="18"/>
        <v>-9.4639999999999986</v>
      </c>
      <c r="O41" s="1">
        <f t="shared" si="19"/>
        <v>138.94499999999999</v>
      </c>
      <c r="P41" s="1">
        <v>15.991</v>
      </c>
      <c r="Q41" s="1">
        <v>40</v>
      </c>
      <c r="R41" s="1"/>
      <c r="S41" s="1">
        <f t="shared" si="20"/>
        <v>27.788999999999998</v>
      </c>
      <c r="T41" s="5">
        <f t="shared" ref="T41:T44" si="23">15*S41-R41-Q41-H41</f>
        <v>255.86399999999995</v>
      </c>
      <c r="U41" s="5">
        <f t="shared" si="12"/>
        <v>256</v>
      </c>
      <c r="V41" s="5">
        <f t="shared" si="8"/>
        <v>128</v>
      </c>
      <c r="W41" s="5">
        <f t="shared" si="22"/>
        <v>128</v>
      </c>
      <c r="X41" s="21"/>
      <c r="Y41" s="1">
        <f t="shared" si="13"/>
        <v>15.004894022814785</v>
      </c>
      <c r="Z41" s="1">
        <f t="shared" si="21"/>
        <v>5.792615783223579</v>
      </c>
      <c r="AA41" s="1">
        <v>19.216000000000001</v>
      </c>
      <c r="AB41" s="1">
        <v>22.330400000000001</v>
      </c>
      <c r="AC41" s="1">
        <v>28.0184</v>
      </c>
      <c r="AD41" s="1">
        <v>23.045400000000001</v>
      </c>
      <c r="AE41" s="1">
        <v>18.9406</v>
      </c>
      <c r="AF41" s="1">
        <v>26.659800000000001</v>
      </c>
      <c r="AG41" s="1">
        <v>21.777200000000001</v>
      </c>
      <c r="AH41" s="1">
        <v>22.845600000000001</v>
      </c>
      <c r="AI41" s="1">
        <v>21.195799999999998</v>
      </c>
      <c r="AJ41" s="1">
        <v>26.767199999999999</v>
      </c>
      <c r="AK41" s="1"/>
      <c r="AL41" s="1">
        <f t="shared" si="9"/>
        <v>128</v>
      </c>
      <c r="AM41" s="1">
        <f t="shared" si="10"/>
        <v>128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91</v>
      </c>
      <c r="B42" s="1" t="s">
        <v>36</v>
      </c>
      <c r="C42" s="1">
        <v>64.900000000000006</v>
      </c>
      <c r="D42" s="1">
        <v>98.233000000000004</v>
      </c>
      <c r="E42" s="1">
        <v>51.951000000000001</v>
      </c>
      <c r="F42" s="1">
        <v>90.572999999999993</v>
      </c>
      <c r="G42" s="1"/>
      <c r="H42" s="1">
        <f t="shared" si="17"/>
        <v>90.572999999999993</v>
      </c>
      <c r="I42" s="7">
        <v>1</v>
      </c>
      <c r="J42" s="1">
        <v>45</v>
      </c>
      <c r="K42" s="1" t="s">
        <v>37</v>
      </c>
      <c r="L42" s="1"/>
      <c r="M42" s="1">
        <v>65.099999999999994</v>
      </c>
      <c r="N42" s="1">
        <f t="shared" si="18"/>
        <v>-13.148999999999994</v>
      </c>
      <c r="O42" s="1">
        <f t="shared" si="19"/>
        <v>51.951000000000001</v>
      </c>
      <c r="P42" s="1"/>
      <c r="Q42" s="1">
        <v>11</v>
      </c>
      <c r="R42" s="1"/>
      <c r="S42" s="1">
        <f t="shared" si="20"/>
        <v>10.3902</v>
      </c>
      <c r="T42" s="5">
        <f t="shared" si="23"/>
        <v>54.280000000000015</v>
      </c>
      <c r="U42" s="5">
        <f t="shared" si="12"/>
        <v>54</v>
      </c>
      <c r="V42" s="5">
        <f t="shared" si="8"/>
        <v>54</v>
      </c>
      <c r="W42" s="5"/>
      <c r="X42" s="21"/>
      <c r="Y42" s="1">
        <f t="shared" si="13"/>
        <v>14.973051529325708</v>
      </c>
      <c r="Z42" s="1">
        <f t="shared" si="21"/>
        <v>9.7758464707127857</v>
      </c>
      <c r="AA42" s="1">
        <v>10.955399999999999</v>
      </c>
      <c r="AB42" s="1">
        <v>12.7638</v>
      </c>
      <c r="AC42" s="1">
        <v>13.176600000000001</v>
      </c>
      <c r="AD42" s="1">
        <v>11.030799999999999</v>
      </c>
      <c r="AE42" s="1">
        <v>15.082599999999999</v>
      </c>
      <c r="AF42" s="1">
        <v>11.778600000000001</v>
      </c>
      <c r="AG42" s="1">
        <v>11.2448</v>
      </c>
      <c r="AH42" s="1">
        <v>14.4396</v>
      </c>
      <c r="AI42" s="1">
        <v>14.8492</v>
      </c>
      <c r="AJ42" s="1">
        <v>17.9648</v>
      </c>
      <c r="AK42" s="1"/>
      <c r="AL42" s="1">
        <f t="shared" si="9"/>
        <v>54</v>
      </c>
      <c r="AM42" s="1">
        <f t="shared" si="10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92</v>
      </c>
      <c r="B43" s="1" t="s">
        <v>36</v>
      </c>
      <c r="C43" s="1">
        <v>3.0390000000000001</v>
      </c>
      <c r="D43" s="1">
        <v>374.51100000000002</v>
      </c>
      <c r="E43" s="1">
        <v>81.855000000000004</v>
      </c>
      <c r="F43" s="1">
        <v>279.98700000000002</v>
      </c>
      <c r="G43" s="1"/>
      <c r="H43" s="1">
        <f t="shared" si="17"/>
        <v>279.98700000000002</v>
      </c>
      <c r="I43" s="7">
        <v>1</v>
      </c>
      <c r="J43" s="1">
        <v>45</v>
      </c>
      <c r="K43" s="1" t="s">
        <v>37</v>
      </c>
      <c r="L43" s="1"/>
      <c r="M43" s="1">
        <v>148.69999999999999</v>
      </c>
      <c r="N43" s="1">
        <f t="shared" si="18"/>
        <v>-66.844999999999985</v>
      </c>
      <c r="O43" s="1">
        <f t="shared" si="19"/>
        <v>59.917000000000002</v>
      </c>
      <c r="P43" s="1">
        <v>21.937999999999999</v>
      </c>
      <c r="Q43" s="1">
        <v>0</v>
      </c>
      <c r="R43" s="1"/>
      <c r="S43" s="1">
        <f t="shared" si="20"/>
        <v>11.9834</v>
      </c>
      <c r="T43" s="5"/>
      <c r="U43" s="5">
        <f t="shared" si="12"/>
        <v>0</v>
      </c>
      <c r="V43" s="5">
        <f t="shared" si="8"/>
        <v>0</v>
      </c>
      <c r="W43" s="5"/>
      <c r="X43" s="21"/>
      <c r="Y43" s="1">
        <f t="shared" si="13"/>
        <v>23.364570989869321</v>
      </c>
      <c r="Z43" s="1">
        <f t="shared" si="21"/>
        <v>23.364570989869321</v>
      </c>
      <c r="AA43" s="1">
        <v>13.699400000000001</v>
      </c>
      <c r="AB43" s="1">
        <v>35.602999999999987</v>
      </c>
      <c r="AC43" s="1">
        <v>14.5686</v>
      </c>
      <c r="AD43" s="1">
        <v>20.5672</v>
      </c>
      <c r="AE43" s="1">
        <v>17.590800000000002</v>
      </c>
      <c r="AF43" s="1">
        <v>22.394200000000001</v>
      </c>
      <c r="AG43" s="1">
        <v>22.173999999999999</v>
      </c>
      <c r="AH43" s="1">
        <v>24.6816</v>
      </c>
      <c r="AI43" s="1">
        <v>17.996200000000002</v>
      </c>
      <c r="AJ43" s="1">
        <v>17.272200000000002</v>
      </c>
      <c r="AK43" s="1"/>
      <c r="AL43" s="1">
        <f t="shared" si="9"/>
        <v>0</v>
      </c>
      <c r="AM43" s="1">
        <f t="shared" si="10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93</v>
      </c>
      <c r="B44" s="1" t="s">
        <v>36</v>
      </c>
      <c r="C44" s="1">
        <v>193.77</v>
      </c>
      <c r="D44" s="1">
        <v>420.06700000000001</v>
      </c>
      <c r="E44" s="1">
        <v>213.601</v>
      </c>
      <c r="F44" s="1">
        <v>307.20600000000002</v>
      </c>
      <c r="G44" s="1"/>
      <c r="H44" s="1">
        <f t="shared" si="17"/>
        <v>307.20600000000002</v>
      </c>
      <c r="I44" s="7">
        <v>1</v>
      </c>
      <c r="J44" s="1">
        <v>45</v>
      </c>
      <c r="K44" s="1" t="s">
        <v>37</v>
      </c>
      <c r="L44" s="1"/>
      <c r="M44" s="1">
        <v>277</v>
      </c>
      <c r="N44" s="1">
        <f t="shared" si="18"/>
        <v>-63.399000000000001</v>
      </c>
      <c r="O44" s="1">
        <f t="shared" si="19"/>
        <v>185.405</v>
      </c>
      <c r="P44" s="1">
        <v>28.196000000000002</v>
      </c>
      <c r="Q44" s="1">
        <v>0</v>
      </c>
      <c r="R44" s="1"/>
      <c r="S44" s="1">
        <f t="shared" si="20"/>
        <v>37.081000000000003</v>
      </c>
      <c r="T44" s="5">
        <f t="shared" si="23"/>
        <v>249.00900000000001</v>
      </c>
      <c r="U44" s="5">
        <f t="shared" si="12"/>
        <v>249</v>
      </c>
      <c r="V44" s="5">
        <f t="shared" si="8"/>
        <v>124</v>
      </c>
      <c r="W44" s="5">
        <f>ROUND(U44*$W$1,0)</f>
        <v>125</v>
      </c>
      <c r="X44" s="21"/>
      <c r="Y44" s="1">
        <f t="shared" si="13"/>
        <v>14.999757288099026</v>
      </c>
      <c r="Z44" s="1">
        <f t="shared" si="21"/>
        <v>8.2847280278309636</v>
      </c>
      <c r="AA44" s="1">
        <v>15.3294</v>
      </c>
      <c r="AB44" s="1">
        <v>39.705199999999998</v>
      </c>
      <c r="AC44" s="1">
        <v>34.675600000000003</v>
      </c>
      <c r="AD44" s="1">
        <v>24.506</v>
      </c>
      <c r="AE44" s="1">
        <v>27.321200000000001</v>
      </c>
      <c r="AF44" s="1">
        <v>24.925999999999998</v>
      </c>
      <c r="AG44" s="1">
        <v>38.509399999999999</v>
      </c>
      <c r="AH44" s="1">
        <v>42.509799999999998</v>
      </c>
      <c r="AI44" s="1">
        <v>27.579799999999999</v>
      </c>
      <c r="AJ44" s="1">
        <v>40.957799999999999</v>
      </c>
      <c r="AK44" s="1"/>
      <c r="AL44" s="1">
        <f t="shared" si="9"/>
        <v>124</v>
      </c>
      <c r="AM44" s="1">
        <f t="shared" si="10"/>
        <v>125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94</v>
      </c>
      <c r="B45" s="1" t="s">
        <v>40</v>
      </c>
      <c r="C45" s="1">
        <v>-15</v>
      </c>
      <c r="D45" s="1">
        <v>24</v>
      </c>
      <c r="E45" s="1">
        <v>-26</v>
      </c>
      <c r="F45" s="1">
        <v>1</v>
      </c>
      <c r="G45" s="1">
        <f>VLOOKUP(A45,[1]TDSheet!$A:$B,2,0)</f>
        <v>24</v>
      </c>
      <c r="H45" s="1">
        <f t="shared" si="17"/>
        <v>-23</v>
      </c>
      <c r="I45" s="7">
        <v>0.3</v>
      </c>
      <c r="J45" s="1">
        <v>45</v>
      </c>
      <c r="K45" s="1" t="s">
        <v>37</v>
      </c>
      <c r="L45" s="1"/>
      <c r="M45" s="1">
        <v>462</v>
      </c>
      <c r="N45" s="1">
        <f t="shared" si="18"/>
        <v>-488</v>
      </c>
      <c r="O45" s="1">
        <f t="shared" si="19"/>
        <v>-26</v>
      </c>
      <c r="P45" s="1"/>
      <c r="Q45" s="1">
        <v>100</v>
      </c>
      <c r="R45" s="1">
        <v>100</v>
      </c>
      <c r="S45" s="1">
        <f t="shared" si="20"/>
        <v>-5.2</v>
      </c>
      <c r="T45" s="5">
        <v>200</v>
      </c>
      <c r="U45" s="5">
        <f t="shared" si="12"/>
        <v>200</v>
      </c>
      <c r="V45" s="5">
        <f t="shared" si="8"/>
        <v>200</v>
      </c>
      <c r="W45" s="5"/>
      <c r="X45" s="21"/>
      <c r="Y45" s="1">
        <f t="shared" si="13"/>
        <v>-72.5</v>
      </c>
      <c r="Z45" s="1">
        <f t="shared" si="21"/>
        <v>-34.03846153846154</v>
      </c>
      <c r="AA45" s="1">
        <v>18</v>
      </c>
      <c r="AB45" s="1">
        <v>45.2</v>
      </c>
      <c r="AC45" s="1">
        <v>46</v>
      </c>
      <c r="AD45" s="1">
        <v>45.4</v>
      </c>
      <c r="AE45" s="1">
        <v>55.4</v>
      </c>
      <c r="AF45" s="1">
        <v>70.8</v>
      </c>
      <c r="AG45" s="1">
        <v>472.6</v>
      </c>
      <c r="AH45" s="1">
        <v>1125</v>
      </c>
      <c r="AI45" s="1">
        <v>88.8</v>
      </c>
      <c r="AJ45" s="1">
        <v>92.2</v>
      </c>
      <c r="AK45" s="1" t="s">
        <v>95</v>
      </c>
      <c r="AL45" s="1">
        <f t="shared" si="9"/>
        <v>60</v>
      </c>
      <c r="AM45" s="1">
        <f t="shared" si="10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s="27" customFormat="1" x14ac:dyDescent="0.25">
      <c r="A46" s="23" t="s">
        <v>96</v>
      </c>
      <c r="B46" s="23" t="s">
        <v>36</v>
      </c>
      <c r="C46" s="23"/>
      <c r="D46" s="23"/>
      <c r="E46" s="23"/>
      <c r="F46" s="23"/>
      <c r="G46" s="23"/>
      <c r="H46" s="23">
        <f t="shared" si="17"/>
        <v>0</v>
      </c>
      <c r="I46" s="24">
        <v>1</v>
      </c>
      <c r="J46" s="23"/>
      <c r="K46" s="23" t="s">
        <v>37</v>
      </c>
      <c r="L46" s="23"/>
      <c r="M46" s="23"/>
      <c r="N46" s="23">
        <f t="shared" si="18"/>
        <v>0</v>
      </c>
      <c r="O46" s="23">
        <f t="shared" si="19"/>
        <v>0</v>
      </c>
      <c r="P46" s="23"/>
      <c r="Q46" s="23">
        <v>0</v>
      </c>
      <c r="R46" s="23"/>
      <c r="S46" s="23">
        <f t="shared" si="20"/>
        <v>0</v>
      </c>
      <c r="T46" s="25"/>
      <c r="U46" s="5">
        <v>50</v>
      </c>
      <c r="V46" s="5">
        <f t="shared" si="8"/>
        <v>50</v>
      </c>
      <c r="W46" s="5"/>
      <c r="X46" s="26">
        <v>50</v>
      </c>
      <c r="Y46" s="1" t="e">
        <f t="shared" si="13"/>
        <v>#DIV/0!</v>
      </c>
      <c r="Z46" s="23" t="e">
        <f t="shared" si="21"/>
        <v>#DIV/0!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 t="s">
        <v>193</v>
      </c>
      <c r="AL46" s="1">
        <f t="shared" si="9"/>
        <v>50</v>
      </c>
      <c r="AM46" s="1">
        <f t="shared" si="10"/>
        <v>0</v>
      </c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</row>
    <row r="47" spans="1:53" x14ac:dyDescent="0.25">
      <c r="A47" s="1" t="s">
        <v>98</v>
      </c>
      <c r="B47" s="1" t="s">
        <v>36</v>
      </c>
      <c r="C47" s="1">
        <v>156.73699999999999</v>
      </c>
      <c r="D47" s="1"/>
      <c r="E47" s="1">
        <v>-0.52600000000000002</v>
      </c>
      <c r="F47" s="1">
        <v>153.608</v>
      </c>
      <c r="G47" s="1"/>
      <c r="H47" s="1">
        <f t="shared" si="17"/>
        <v>153.608</v>
      </c>
      <c r="I47" s="7">
        <v>1</v>
      </c>
      <c r="J47" s="1">
        <v>45</v>
      </c>
      <c r="K47" s="1" t="s">
        <v>37</v>
      </c>
      <c r="L47" s="1"/>
      <c r="M47" s="1">
        <v>16.5</v>
      </c>
      <c r="N47" s="1">
        <f t="shared" si="18"/>
        <v>-17.026</v>
      </c>
      <c r="O47" s="1">
        <f t="shared" si="19"/>
        <v>-0.52600000000000002</v>
      </c>
      <c r="P47" s="1"/>
      <c r="Q47" s="1">
        <v>0</v>
      </c>
      <c r="R47" s="1"/>
      <c r="S47" s="1">
        <f t="shared" si="20"/>
        <v>-0.1052</v>
      </c>
      <c r="T47" s="5"/>
      <c r="U47" s="5">
        <f t="shared" si="12"/>
        <v>0</v>
      </c>
      <c r="V47" s="5">
        <f t="shared" si="8"/>
        <v>0</v>
      </c>
      <c r="W47" s="5"/>
      <c r="X47" s="21"/>
      <c r="Y47" s="1">
        <f t="shared" si="13"/>
        <v>-1460.1520912547528</v>
      </c>
      <c r="Z47" s="1">
        <f t="shared" si="21"/>
        <v>-1460.1520912547528</v>
      </c>
      <c r="AA47" s="1">
        <v>0.93140000000000001</v>
      </c>
      <c r="AB47" s="1">
        <v>0.25059999999999999</v>
      </c>
      <c r="AC47" s="1">
        <v>1.5486</v>
      </c>
      <c r="AD47" s="1">
        <v>0</v>
      </c>
      <c r="AE47" s="1">
        <v>2.1534</v>
      </c>
      <c r="AF47" s="1">
        <v>0.62980000000000003</v>
      </c>
      <c r="AG47" s="1">
        <v>2.1646000000000001</v>
      </c>
      <c r="AH47" s="1">
        <v>2.6646000000000001</v>
      </c>
      <c r="AI47" s="1">
        <v>1.2427999999999999</v>
      </c>
      <c r="AJ47" s="1">
        <v>1.234</v>
      </c>
      <c r="AK47" s="17" t="s">
        <v>181</v>
      </c>
      <c r="AL47" s="1">
        <f t="shared" si="9"/>
        <v>0</v>
      </c>
      <c r="AM47" s="1">
        <f t="shared" si="10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99</v>
      </c>
      <c r="B48" s="1" t="s">
        <v>40</v>
      </c>
      <c r="C48" s="1">
        <v>419</v>
      </c>
      <c r="D48" s="1">
        <v>1793</v>
      </c>
      <c r="E48" s="1">
        <v>1240.712</v>
      </c>
      <c r="F48" s="1">
        <v>708.28800000000001</v>
      </c>
      <c r="G48" s="1">
        <f>VLOOKUP(A48,[1]TDSheet!$A:$B,2,0)</f>
        <v>40</v>
      </c>
      <c r="H48" s="1">
        <f t="shared" si="17"/>
        <v>668.28800000000001</v>
      </c>
      <c r="I48" s="7">
        <v>0.35</v>
      </c>
      <c r="J48" s="1">
        <v>45</v>
      </c>
      <c r="K48" s="19" t="s">
        <v>70</v>
      </c>
      <c r="L48" s="1"/>
      <c r="M48" s="1">
        <v>1572.6</v>
      </c>
      <c r="N48" s="1">
        <f t="shared" si="18"/>
        <v>-331.88799999999992</v>
      </c>
      <c r="O48" s="1">
        <f t="shared" si="19"/>
        <v>1176.712</v>
      </c>
      <c r="P48" s="1">
        <v>64</v>
      </c>
      <c r="Q48" s="1">
        <v>331</v>
      </c>
      <c r="R48" s="1">
        <v>332</v>
      </c>
      <c r="S48" s="1">
        <f t="shared" si="20"/>
        <v>235.3424</v>
      </c>
      <c r="T48" s="5">
        <f t="shared" ref="T48" si="24">15*S48-R48-Q48-H48</f>
        <v>2198.848</v>
      </c>
      <c r="U48" s="5">
        <f>ROUND(T48,0)-500</f>
        <v>1699</v>
      </c>
      <c r="V48" s="5">
        <f t="shared" si="8"/>
        <v>849</v>
      </c>
      <c r="W48" s="5">
        <f>ROUND(U48*$W$1,0)</f>
        <v>850</v>
      </c>
      <c r="X48" s="21" t="s">
        <v>192</v>
      </c>
      <c r="Y48" s="1">
        <f t="shared" si="13"/>
        <v>12.876081828008893</v>
      </c>
      <c r="Z48" s="1">
        <f t="shared" si="21"/>
        <v>5.6568132219268605</v>
      </c>
      <c r="AA48" s="1">
        <v>191.6</v>
      </c>
      <c r="AB48" s="1">
        <v>300.8</v>
      </c>
      <c r="AC48" s="1">
        <v>181</v>
      </c>
      <c r="AD48" s="1">
        <v>160.6</v>
      </c>
      <c r="AE48" s="1">
        <v>152.19999999999999</v>
      </c>
      <c r="AF48" s="1">
        <v>238</v>
      </c>
      <c r="AG48" s="1">
        <v>215.8</v>
      </c>
      <c r="AH48" s="1">
        <v>254.4</v>
      </c>
      <c r="AI48" s="1">
        <v>225.4</v>
      </c>
      <c r="AJ48" s="1">
        <v>174.6</v>
      </c>
      <c r="AK48" s="1" t="s">
        <v>100</v>
      </c>
      <c r="AL48" s="1">
        <f t="shared" si="9"/>
        <v>297.14999999999998</v>
      </c>
      <c r="AM48" s="1">
        <f t="shared" si="10"/>
        <v>297.5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1" t="s">
        <v>101</v>
      </c>
      <c r="B49" s="11" t="s">
        <v>40</v>
      </c>
      <c r="C49" s="11">
        <v>-3</v>
      </c>
      <c r="D49" s="11"/>
      <c r="E49" s="11"/>
      <c r="F49" s="15">
        <v>-3</v>
      </c>
      <c r="G49" s="11"/>
      <c r="H49" s="11">
        <f t="shared" si="17"/>
        <v>-3</v>
      </c>
      <c r="I49" s="12">
        <v>0</v>
      </c>
      <c r="J49" s="11"/>
      <c r="K49" s="11" t="s">
        <v>59</v>
      </c>
      <c r="L49" s="11" t="s">
        <v>102</v>
      </c>
      <c r="M49" s="11"/>
      <c r="N49" s="11">
        <f t="shared" si="18"/>
        <v>0</v>
      </c>
      <c r="O49" s="11">
        <f t="shared" si="19"/>
        <v>0</v>
      </c>
      <c r="P49" s="11"/>
      <c r="Q49" s="11">
        <v>0</v>
      </c>
      <c r="R49" s="11"/>
      <c r="S49" s="11">
        <f t="shared" si="20"/>
        <v>0</v>
      </c>
      <c r="T49" s="13"/>
      <c r="U49" s="5">
        <f t="shared" si="12"/>
        <v>0</v>
      </c>
      <c r="V49" s="5">
        <f t="shared" si="8"/>
        <v>0</v>
      </c>
      <c r="W49" s="5"/>
      <c r="X49" s="20"/>
      <c r="Y49" s="1" t="e">
        <f t="shared" si="13"/>
        <v>#DIV/0!</v>
      </c>
      <c r="Z49" s="11" t="e">
        <f t="shared" si="21"/>
        <v>#DIV/0!</v>
      </c>
      <c r="AA49" s="11">
        <v>0</v>
      </c>
      <c r="AB49" s="11">
        <v>0.6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/>
      <c r="AL49" s="1">
        <f t="shared" si="9"/>
        <v>0</v>
      </c>
      <c r="AM49" s="1">
        <f t="shared" si="10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103</v>
      </c>
      <c r="B50" s="1" t="s">
        <v>40</v>
      </c>
      <c r="C50" s="1">
        <v>485</v>
      </c>
      <c r="D50" s="1">
        <v>64</v>
      </c>
      <c r="E50" s="1">
        <v>250</v>
      </c>
      <c r="F50" s="1">
        <v>169</v>
      </c>
      <c r="G50" s="1"/>
      <c r="H50" s="1">
        <f t="shared" si="17"/>
        <v>169</v>
      </c>
      <c r="I50" s="7">
        <v>0.41</v>
      </c>
      <c r="J50" s="1">
        <v>45</v>
      </c>
      <c r="K50" s="1" t="s">
        <v>37</v>
      </c>
      <c r="L50" s="1"/>
      <c r="M50" s="1">
        <v>360</v>
      </c>
      <c r="N50" s="1">
        <f t="shared" si="18"/>
        <v>-110</v>
      </c>
      <c r="O50" s="1">
        <f t="shared" si="19"/>
        <v>226</v>
      </c>
      <c r="P50" s="1">
        <v>24</v>
      </c>
      <c r="Q50" s="1">
        <v>256</v>
      </c>
      <c r="R50" s="1">
        <v>257</v>
      </c>
      <c r="S50" s="1">
        <f t="shared" si="20"/>
        <v>45.2</v>
      </c>
      <c r="T50" s="5"/>
      <c r="U50" s="5">
        <f t="shared" si="12"/>
        <v>0</v>
      </c>
      <c r="V50" s="5">
        <f t="shared" si="8"/>
        <v>0</v>
      </c>
      <c r="W50" s="5"/>
      <c r="X50" s="21"/>
      <c r="Y50" s="1">
        <f t="shared" si="13"/>
        <v>15.088495575221238</v>
      </c>
      <c r="Z50" s="1">
        <f t="shared" si="21"/>
        <v>15.088495575221238</v>
      </c>
      <c r="AA50" s="1">
        <v>67.599999999999994</v>
      </c>
      <c r="AB50" s="1">
        <v>26.2</v>
      </c>
      <c r="AC50" s="1">
        <v>72</v>
      </c>
      <c r="AD50" s="1">
        <v>37.200000000000003</v>
      </c>
      <c r="AE50" s="1">
        <v>47.2</v>
      </c>
      <c r="AF50" s="1">
        <v>73.8</v>
      </c>
      <c r="AG50" s="1">
        <v>85.4</v>
      </c>
      <c r="AH50" s="1">
        <v>90</v>
      </c>
      <c r="AI50" s="1">
        <v>70.8</v>
      </c>
      <c r="AJ50" s="1">
        <v>61</v>
      </c>
      <c r="AK50" s="1"/>
      <c r="AL50" s="1">
        <f t="shared" si="9"/>
        <v>0</v>
      </c>
      <c r="AM50" s="1">
        <f t="shared" si="10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104</v>
      </c>
      <c r="B51" s="1" t="s">
        <v>40</v>
      </c>
      <c r="C51" s="1">
        <v>5</v>
      </c>
      <c r="D51" s="1">
        <v>247</v>
      </c>
      <c r="E51" s="1">
        <v>41</v>
      </c>
      <c r="F51" s="1">
        <v>181</v>
      </c>
      <c r="G51" s="1"/>
      <c r="H51" s="1">
        <f t="shared" si="17"/>
        <v>181</v>
      </c>
      <c r="I51" s="7">
        <v>0.41</v>
      </c>
      <c r="J51" s="1">
        <v>45</v>
      </c>
      <c r="K51" s="1" t="s">
        <v>37</v>
      </c>
      <c r="L51" s="1"/>
      <c r="M51" s="1">
        <v>83</v>
      </c>
      <c r="N51" s="1">
        <f t="shared" si="18"/>
        <v>-42</v>
      </c>
      <c r="O51" s="1">
        <f t="shared" si="19"/>
        <v>41</v>
      </c>
      <c r="P51" s="1"/>
      <c r="Q51" s="1">
        <v>0</v>
      </c>
      <c r="R51" s="1"/>
      <c r="S51" s="1">
        <f t="shared" si="20"/>
        <v>8.1999999999999993</v>
      </c>
      <c r="T51" s="5"/>
      <c r="U51" s="5">
        <f t="shared" si="12"/>
        <v>0</v>
      </c>
      <c r="V51" s="5">
        <f t="shared" si="8"/>
        <v>0</v>
      </c>
      <c r="W51" s="5"/>
      <c r="X51" s="21"/>
      <c r="Y51" s="1">
        <f t="shared" si="13"/>
        <v>22.073170731707318</v>
      </c>
      <c r="Z51" s="1">
        <f t="shared" si="21"/>
        <v>22.073170731707318</v>
      </c>
      <c r="AA51" s="1">
        <v>7.6</v>
      </c>
      <c r="AB51" s="1">
        <v>19</v>
      </c>
      <c r="AC51" s="1">
        <v>10.199999999999999</v>
      </c>
      <c r="AD51" s="1">
        <v>7.6</v>
      </c>
      <c r="AE51" s="1">
        <v>13.8</v>
      </c>
      <c r="AF51" s="1">
        <v>14</v>
      </c>
      <c r="AG51" s="1">
        <v>12.6</v>
      </c>
      <c r="AH51" s="1">
        <v>24.6</v>
      </c>
      <c r="AI51" s="1">
        <v>24.6</v>
      </c>
      <c r="AJ51" s="1">
        <v>19</v>
      </c>
      <c r="AK51" s="1"/>
      <c r="AL51" s="1">
        <f t="shared" si="9"/>
        <v>0</v>
      </c>
      <c r="AM51" s="1">
        <f t="shared" si="10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105</v>
      </c>
      <c r="B52" s="1" t="s">
        <v>40</v>
      </c>
      <c r="C52" s="1">
        <v>61</v>
      </c>
      <c r="D52" s="1">
        <v>437</v>
      </c>
      <c r="E52" s="1">
        <v>353</v>
      </c>
      <c r="F52" s="1">
        <v>109</v>
      </c>
      <c r="G52" s="1"/>
      <c r="H52" s="1">
        <f t="shared" si="17"/>
        <v>109</v>
      </c>
      <c r="I52" s="7">
        <v>0.36</v>
      </c>
      <c r="J52" s="1">
        <v>45</v>
      </c>
      <c r="K52" s="1" t="s">
        <v>37</v>
      </c>
      <c r="L52" s="1"/>
      <c r="M52" s="1">
        <v>509</v>
      </c>
      <c r="N52" s="1">
        <f t="shared" si="18"/>
        <v>-156</v>
      </c>
      <c r="O52" s="1">
        <f t="shared" si="19"/>
        <v>281</v>
      </c>
      <c r="P52" s="1">
        <v>72</v>
      </c>
      <c r="Q52" s="1">
        <v>0</v>
      </c>
      <c r="R52" s="1"/>
      <c r="S52" s="1">
        <f t="shared" si="20"/>
        <v>56.2</v>
      </c>
      <c r="T52" s="5">
        <f>11*S52-R52-Q52-H52</f>
        <v>509.20000000000005</v>
      </c>
      <c r="U52" s="5">
        <f t="shared" si="12"/>
        <v>509</v>
      </c>
      <c r="V52" s="5">
        <f t="shared" si="8"/>
        <v>254</v>
      </c>
      <c r="W52" s="5">
        <f>ROUND(U52*$W$1,0)</f>
        <v>255</v>
      </c>
      <c r="X52" s="21"/>
      <c r="Y52" s="1">
        <f t="shared" si="13"/>
        <v>10.996441281138789</v>
      </c>
      <c r="Z52" s="1">
        <f t="shared" si="21"/>
        <v>1.9395017793594305</v>
      </c>
      <c r="AA52" s="1">
        <v>19.600000000000001</v>
      </c>
      <c r="AB52" s="1">
        <v>40.4</v>
      </c>
      <c r="AC52" s="1">
        <v>28</v>
      </c>
      <c r="AD52" s="1">
        <v>36.799999999999997</v>
      </c>
      <c r="AE52" s="1">
        <v>35.6</v>
      </c>
      <c r="AF52" s="1">
        <v>58.4</v>
      </c>
      <c r="AG52" s="1">
        <v>42.6</v>
      </c>
      <c r="AH52" s="1">
        <v>61.8</v>
      </c>
      <c r="AI52" s="1">
        <v>30.8</v>
      </c>
      <c r="AJ52" s="1">
        <v>48.8</v>
      </c>
      <c r="AK52" s="1"/>
      <c r="AL52" s="1">
        <f t="shared" si="9"/>
        <v>91.44</v>
      </c>
      <c r="AM52" s="1">
        <f t="shared" si="10"/>
        <v>91.8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106</v>
      </c>
      <c r="B53" s="1" t="s">
        <v>40</v>
      </c>
      <c r="C53" s="1">
        <v>183</v>
      </c>
      <c r="D53" s="1">
        <v>32</v>
      </c>
      <c r="E53" s="1">
        <v>69</v>
      </c>
      <c r="F53" s="1">
        <v>111</v>
      </c>
      <c r="G53" s="1"/>
      <c r="H53" s="1">
        <f t="shared" si="17"/>
        <v>111</v>
      </c>
      <c r="I53" s="7">
        <v>0.33</v>
      </c>
      <c r="J53" s="1">
        <v>45</v>
      </c>
      <c r="K53" s="1" t="s">
        <v>37</v>
      </c>
      <c r="L53" s="1"/>
      <c r="M53" s="1">
        <v>240</v>
      </c>
      <c r="N53" s="1">
        <f t="shared" si="18"/>
        <v>-171</v>
      </c>
      <c r="O53" s="1">
        <f t="shared" si="19"/>
        <v>69</v>
      </c>
      <c r="P53" s="1"/>
      <c r="Q53" s="1">
        <v>395</v>
      </c>
      <c r="R53" s="1">
        <v>396</v>
      </c>
      <c r="S53" s="1">
        <f t="shared" si="20"/>
        <v>13.8</v>
      </c>
      <c r="T53" s="5"/>
      <c r="U53" s="5">
        <f t="shared" si="12"/>
        <v>0</v>
      </c>
      <c r="V53" s="5">
        <f t="shared" si="8"/>
        <v>0</v>
      </c>
      <c r="W53" s="5"/>
      <c r="X53" s="21"/>
      <c r="Y53" s="1">
        <f t="shared" si="13"/>
        <v>65.362318840579704</v>
      </c>
      <c r="Z53" s="1">
        <f t="shared" si="21"/>
        <v>65.362318840579704</v>
      </c>
      <c r="AA53" s="1">
        <v>81.2</v>
      </c>
      <c r="AB53" s="1">
        <v>11.4</v>
      </c>
      <c r="AC53" s="1">
        <v>46.8</v>
      </c>
      <c r="AD53" s="1">
        <v>26.4</v>
      </c>
      <c r="AE53" s="1">
        <v>39.4</v>
      </c>
      <c r="AF53" s="1">
        <v>53.2</v>
      </c>
      <c r="AG53" s="1">
        <v>56.4</v>
      </c>
      <c r="AH53" s="1">
        <v>54.2</v>
      </c>
      <c r="AI53" s="1">
        <v>59.2</v>
      </c>
      <c r="AJ53" s="1">
        <v>41.2</v>
      </c>
      <c r="AK53" s="16" t="s">
        <v>182</v>
      </c>
      <c r="AL53" s="1">
        <f t="shared" si="9"/>
        <v>0</v>
      </c>
      <c r="AM53" s="1">
        <f t="shared" si="10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107</v>
      </c>
      <c r="B54" s="1" t="s">
        <v>40</v>
      </c>
      <c r="C54" s="1">
        <v>255</v>
      </c>
      <c r="D54" s="1">
        <v>6</v>
      </c>
      <c r="E54" s="1">
        <v>137</v>
      </c>
      <c r="F54" s="1">
        <v>107</v>
      </c>
      <c r="G54" s="1"/>
      <c r="H54" s="1">
        <f t="shared" si="17"/>
        <v>107</v>
      </c>
      <c r="I54" s="7">
        <v>0.4</v>
      </c>
      <c r="J54" s="1">
        <v>60</v>
      </c>
      <c r="K54" s="1" t="s">
        <v>37</v>
      </c>
      <c r="L54" s="1"/>
      <c r="M54" s="1">
        <v>145</v>
      </c>
      <c r="N54" s="1">
        <f t="shared" si="18"/>
        <v>-8</v>
      </c>
      <c r="O54" s="1">
        <f t="shared" si="19"/>
        <v>136</v>
      </c>
      <c r="P54" s="1">
        <v>1</v>
      </c>
      <c r="Q54" s="1">
        <v>169</v>
      </c>
      <c r="R54" s="1">
        <v>170</v>
      </c>
      <c r="S54" s="1">
        <f t="shared" si="20"/>
        <v>27.2</v>
      </c>
      <c r="T54" s="5"/>
      <c r="U54" s="5">
        <f t="shared" si="12"/>
        <v>0</v>
      </c>
      <c r="V54" s="5">
        <f t="shared" si="8"/>
        <v>0</v>
      </c>
      <c r="W54" s="5"/>
      <c r="X54" s="21"/>
      <c r="Y54" s="1">
        <f t="shared" si="13"/>
        <v>16.397058823529413</v>
      </c>
      <c r="Z54" s="1">
        <f t="shared" si="21"/>
        <v>16.397058823529413</v>
      </c>
      <c r="AA54" s="1">
        <v>39.6</v>
      </c>
      <c r="AB54" s="1">
        <v>24.4</v>
      </c>
      <c r="AC54" s="1">
        <v>28.2</v>
      </c>
      <c r="AD54" s="1">
        <v>23.8</v>
      </c>
      <c r="AE54" s="1">
        <v>33.200000000000003</v>
      </c>
      <c r="AF54" s="1">
        <v>20.8</v>
      </c>
      <c r="AG54" s="1">
        <v>38.799999999999997</v>
      </c>
      <c r="AH54" s="1">
        <v>37.4</v>
      </c>
      <c r="AI54" s="1">
        <v>0</v>
      </c>
      <c r="AJ54" s="1">
        <v>0</v>
      </c>
      <c r="AK54" s="1"/>
      <c r="AL54" s="1">
        <f t="shared" si="9"/>
        <v>0</v>
      </c>
      <c r="AM54" s="1">
        <f t="shared" si="10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108</v>
      </c>
      <c r="B55" s="1" t="s">
        <v>40</v>
      </c>
      <c r="C55" s="1">
        <v>2</v>
      </c>
      <c r="D55" s="1">
        <v>34</v>
      </c>
      <c r="E55" s="1">
        <v>14</v>
      </c>
      <c r="F55" s="1">
        <v>17</v>
      </c>
      <c r="G55" s="1"/>
      <c r="H55" s="1">
        <f t="shared" si="17"/>
        <v>17</v>
      </c>
      <c r="I55" s="7">
        <v>0.33</v>
      </c>
      <c r="J55" s="1">
        <v>45</v>
      </c>
      <c r="K55" s="1" t="s">
        <v>37</v>
      </c>
      <c r="L55" s="1"/>
      <c r="M55" s="1">
        <v>23</v>
      </c>
      <c r="N55" s="1">
        <f t="shared" si="18"/>
        <v>-9</v>
      </c>
      <c r="O55" s="1">
        <f t="shared" si="19"/>
        <v>14</v>
      </c>
      <c r="P55" s="1"/>
      <c r="Q55" s="1">
        <v>38</v>
      </c>
      <c r="R55" s="1"/>
      <c r="S55" s="1">
        <f t="shared" si="20"/>
        <v>2.8</v>
      </c>
      <c r="T55" s="5"/>
      <c r="U55" s="5">
        <f t="shared" si="12"/>
        <v>0</v>
      </c>
      <c r="V55" s="5">
        <f t="shared" si="8"/>
        <v>0</v>
      </c>
      <c r="W55" s="5"/>
      <c r="X55" s="21"/>
      <c r="Y55" s="1">
        <f t="shared" si="13"/>
        <v>19.642857142857142</v>
      </c>
      <c r="Z55" s="1">
        <f t="shared" si="21"/>
        <v>19.642857142857142</v>
      </c>
      <c r="AA55" s="1">
        <v>4.8</v>
      </c>
      <c r="AB55" s="1">
        <v>4</v>
      </c>
      <c r="AC55" s="1">
        <v>4.2</v>
      </c>
      <c r="AD55" s="1">
        <v>3.6</v>
      </c>
      <c r="AE55" s="1">
        <v>3.6</v>
      </c>
      <c r="AF55" s="1">
        <v>4.5999999999999996</v>
      </c>
      <c r="AG55" s="1">
        <v>5.6</v>
      </c>
      <c r="AH55" s="1">
        <v>6.2</v>
      </c>
      <c r="AI55" s="1">
        <v>18</v>
      </c>
      <c r="AJ55" s="1">
        <v>13</v>
      </c>
      <c r="AK55" s="1"/>
      <c r="AL55" s="1">
        <f t="shared" si="9"/>
        <v>0</v>
      </c>
      <c r="AM55" s="1">
        <f t="shared" si="10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109</v>
      </c>
      <c r="B56" s="1" t="s">
        <v>36</v>
      </c>
      <c r="C56" s="1">
        <v>415.40899999999999</v>
      </c>
      <c r="D56" s="1">
        <v>812.04499999999996</v>
      </c>
      <c r="E56" s="1">
        <v>667.19100000000003</v>
      </c>
      <c r="F56" s="1">
        <v>442.99799999999999</v>
      </c>
      <c r="G56" s="1">
        <f>VLOOKUP(A56,[1]TDSheet!$A:$B,2,0)</f>
        <v>99.677999999999997</v>
      </c>
      <c r="H56" s="1">
        <f t="shared" si="17"/>
        <v>343.32</v>
      </c>
      <c r="I56" s="7">
        <v>1</v>
      </c>
      <c r="J56" s="1">
        <v>45</v>
      </c>
      <c r="K56" s="1" t="s">
        <v>37</v>
      </c>
      <c r="L56" s="1"/>
      <c r="M56" s="1">
        <v>731</v>
      </c>
      <c r="N56" s="1">
        <f t="shared" si="18"/>
        <v>-63.808999999999969</v>
      </c>
      <c r="O56" s="1">
        <f t="shared" si="19"/>
        <v>576.76900000000001</v>
      </c>
      <c r="P56" s="1">
        <v>90.421999999999997</v>
      </c>
      <c r="Q56" s="1">
        <v>0</v>
      </c>
      <c r="R56" s="1"/>
      <c r="S56" s="1">
        <f t="shared" si="20"/>
        <v>115.35380000000001</v>
      </c>
      <c r="T56" s="5">
        <f>12*S56-R56-Q56-H56</f>
        <v>1040.9256000000003</v>
      </c>
      <c r="U56" s="5">
        <f t="shared" si="12"/>
        <v>1041</v>
      </c>
      <c r="V56" s="5">
        <f t="shared" si="8"/>
        <v>520</v>
      </c>
      <c r="W56" s="5">
        <f>ROUND(U56*$W$1,0)</f>
        <v>521</v>
      </c>
      <c r="X56" s="21"/>
      <c r="Y56" s="1">
        <f t="shared" si="13"/>
        <v>12.000644972250587</v>
      </c>
      <c r="Z56" s="1">
        <f t="shared" si="21"/>
        <v>2.97623485312144</v>
      </c>
      <c r="AA56" s="1">
        <v>57.2836</v>
      </c>
      <c r="AB56" s="1">
        <v>83.705999999999989</v>
      </c>
      <c r="AC56" s="1">
        <v>83.758600000000001</v>
      </c>
      <c r="AD56" s="1">
        <v>66.909199999999998</v>
      </c>
      <c r="AE56" s="1">
        <v>79.169799999999995</v>
      </c>
      <c r="AF56" s="1">
        <v>59.140799999999999</v>
      </c>
      <c r="AG56" s="1">
        <v>88.197000000000003</v>
      </c>
      <c r="AH56" s="1">
        <v>93.295600000000007</v>
      </c>
      <c r="AI56" s="1">
        <v>55.942399999999999</v>
      </c>
      <c r="AJ56" s="1">
        <v>66.259600000000006</v>
      </c>
      <c r="AK56" s="1"/>
      <c r="AL56" s="1">
        <f t="shared" si="9"/>
        <v>520</v>
      </c>
      <c r="AM56" s="1">
        <f t="shared" si="10"/>
        <v>521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110</v>
      </c>
      <c r="B57" s="1" t="s">
        <v>40</v>
      </c>
      <c r="C57" s="1">
        <v>32</v>
      </c>
      <c r="D57" s="1">
        <v>15</v>
      </c>
      <c r="E57" s="1">
        <v>43</v>
      </c>
      <c r="F57" s="1">
        <v>-7</v>
      </c>
      <c r="G57" s="1"/>
      <c r="H57" s="1">
        <f t="shared" si="17"/>
        <v>-7</v>
      </c>
      <c r="I57" s="7">
        <v>0.4</v>
      </c>
      <c r="J57" s="1">
        <v>45</v>
      </c>
      <c r="K57" s="1" t="s">
        <v>37</v>
      </c>
      <c r="L57" s="1"/>
      <c r="M57" s="1">
        <v>60</v>
      </c>
      <c r="N57" s="1">
        <f t="shared" si="18"/>
        <v>-17</v>
      </c>
      <c r="O57" s="1">
        <f t="shared" si="19"/>
        <v>43</v>
      </c>
      <c r="P57" s="1"/>
      <c r="Q57" s="1">
        <v>0</v>
      </c>
      <c r="R57" s="1"/>
      <c r="S57" s="1">
        <f t="shared" si="20"/>
        <v>8.6</v>
      </c>
      <c r="T57" s="5">
        <v>70</v>
      </c>
      <c r="U57" s="5">
        <f t="shared" si="12"/>
        <v>70</v>
      </c>
      <c r="V57" s="5">
        <f t="shared" si="8"/>
        <v>70</v>
      </c>
      <c r="W57" s="5"/>
      <c r="X57" s="21"/>
      <c r="Y57" s="1">
        <f t="shared" si="13"/>
        <v>7.3255813953488378</v>
      </c>
      <c r="Z57" s="1">
        <f t="shared" si="21"/>
        <v>-0.81395348837209303</v>
      </c>
      <c r="AA57" s="1">
        <v>2.2000000000000002</v>
      </c>
      <c r="AB57" s="1">
        <v>3.2</v>
      </c>
      <c r="AC57" s="1">
        <v>4.8</v>
      </c>
      <c r="AD57" s="1">
        <v>2.8</v>
      </c>
      <c r="AE57" s="1">
        <v>3.4</v>
      </c>
      <c r="AF57" s="1">
        <v>1.6</v>
      </c>
      <c r="AG57" s="1">
        <v>4.2</v>
      </c>
      <c r="AH57" s="1">
        <v>9</v>
      </c>
      <c r="AI57" s="1">
        <v>6.2</v>
      </c>
      <c r="AJ57" s="1">
        <v>7.2</v>
      </c>
      <c r="AK57" s="1"/>
      <c r="AL57" s="1">
        <f t="shared" si="9"/>
        <v>28</v>
      </c>
      <c r="AM57" s="1">
        <f t="shared" si="10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111</v>
      </c>
      <c r="B58" s="1" t="s">
        <v>36</v>
      </c>
      <c r="C58" s="1">
        <v>13.423999999999999</v>
      </c>
      <c r="D58" s="1">
        <v>7.931</v>
      </c>
      <c r="E58" s="1">
        <v>21.298999999999999</v>
      </c>
      <c r="F58" s="1">
        <v>5.6000000000000001E-2</v>
      </c>
      <c r="G58" s="1"/>
      <c r="H58" s="1">
        <f t="shared" si="17"/>
        <v>5.6000000000000001E-2</v>
      </c>
      <c r="I58" s="7">
        <v>1</v>
      </c>
      <c r="J58" s="1">
        <v>60</v>
      </c>
      <c r="K58" s="1" t="s">
        <v>37</v>
      </c>
      <c r="L58" s="1"/>
      <c r="M58" s="1">
        <v>23.5</v>
      </c>
      <c r="N58" s="1">
        <f t="shared" si="18"/>
        <v>-2.2010000000000005</v>
      </c>
      <c r="O58" s="1">
        <f t="shared" si="19"/>
        <v>21.298999999999999</v>
      </c>
      <c r="P58" s="1"/>
      <c r="Q58" s="1">
        <v>18</v>
      </c>
      <c r="R58" s="1"/>
      <c r="S58" s="1">
        <f t="shared" si="20"/>
        <v>4.2598000000000003</v>
      </c>
      <c r="T58" s="5">
        <f>13*S58-R58-Q58-H58</f>
        <v>37.321400000000004</v>
      </c>
      <c r="U58" s="5">
        <f t="shared" si="12"/>
        <v>37</v>
      </c>
      <c r="V58" s="5">
        <f t="shared" si="8"/>
        <v>37</v>
      </c>
      <c r="W58" s="5"/>
      <c r="X58" s="21"/>
      <c r="Y58" s="1">
        <f t="shared" si="13"/>
        <v>12.924550448377857</v>
      </c>
      <c r="Z58" s="1">
        <f t="shared" si="21"/>
        <v>4.2386966524249967</v>
      </c>
      <c r="AA58" s="1">
        <v>2.7410000000000001</v>
      </c>
      <c r="AB58" s="1">
        <v>2.54</v>
      </c>
      <c r="AC58" s="1">
        <v>3.1259999999999999</v>
      </c>
      <c r="AD58" s="1">
        <v>3.1627999999999998</v>
      </c>
      <c r="AE58" s="1">
        <v>2.3344</v>
      </c>
      <c r="AF58" s="1">
        <v>0.3916</v>
      </c>
      <c r="AG58" s="1">
        <v>2.6023999999999998</v>
      </c>
      <c r="AH58" s="1">
        <v>0.76580000000000004</v>
      </c>
      <c r="AI58" s="1">
        <v>4.7548000000000004</v>
      </c>
      <c r="AJ58" s="1">
        <v>5.0624000000000002</v>
      </c>
      <c r="AK58" s="1"/>
      <c r="AL58" s="1">
        <f t="shared" si="9"/>
        <v>37</v>
      </c>
      <c r="AM58" s="1">
        <f t="shared" si="10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112</v>
      </c>
      <c r="B59" s="1" t="s">
        <v>36</v>
      </c>
      <c r="C59" s="1">
        <v>13.585000000000001</v>
      </c>
      <c r="D59" s="1">
        <v>6</v>
      </c>
      <c r="E59" s="1">
        <v>15.074999999999999</v>
      </c>
      <c r="F59" s="1">
        <v>3.0049999999999999</v>
      </c>
      <c r="G59" s="1"/>
      <c r="H59" s="1">
        <f t="shared" si="17"/>
        <v>3.0049999999999999</v>
      </c>
      <c r="I59" s="7">
        <v>1</v>
      </c>
      <c r="J59" s="1">
        <v>60</v>
      </c>
      <c r="K59" s="1" t="s">
        <v>37</v>
      </c>
      <c r="L59" s="1"/>
      <c r="M59" s="1">
        <v>15.5</v>
      </c>
      <c r="N59" s="1">
        <f t="shared" si="18"/>
        <v>-0.42500000000000071</v>
      </c>
      <c r="O59" s="1">
        <f t="shared" si="19"/>
        <v>15.074999999999999</v>
      </c>
      <c r="P59" s="1"/>
      <c r="Q59" s="1">
        <v>33</v>
      </c>
      <c r="R59" s="1"/>
      <c r="S59" s="1">
        <f t="shared" si="20"/>
        <v>3.0149999999999997</v>
      </c>
      <c r="T59" s="5">
        <f t="shared" ref="T59" si="25">15*S59-R59-Q59-H59</f>
        <v>9.2199999999999953</v>
      </c>
      <c r="U59" s="5">
        <f t="shared" si="12"/>
        <v>9</v>
      </c>
      <c r="V59" s="5">
        <f t="shared" si="8"/>
        <v>9</v>
      </c>
      <c r="W59" s="5"/>
      <c r="X59" s="21"/>
      <c r="Y59" s="1">
        <f t="shared" si="13"/>
        <v>14.927031509121063</v>
      </c>
      <c r="Z59" s="1">
        <f t="shared" si="21"/>
        <v>11.941956882255392</v>
      </c>
      <c r="AA59" s="1">
        <v>3.6160000000000001</v>
      </c>
      <c r="AB59" s="1">
        <v>2.7080000000000002</v>
      </c>
      <c r="AC59" s="1">
        <v>3.3220000000000001</v>
      </c>
      <c r="AD59" s="1">
        <v>2.1120000000000001</v>
      </c>
      <c r="AE59" s="1">
        <v>4.5110000000000001</v>
      </c>
      <c r="AF59" s="1">
        <v>3.62</v>
      </c>
      <c r="AG59" s="1">
        <v>2.024</v>
      </c>
      <c r="AH59" s="1">
        <v>4.5279999999999996</v>
      </c>
      <c r="AI59" s="1">
        <v>3.6309999999999998</v>
      </c>
      <c r="AJ59" s="1">
        <v>3.617</v>
      </c>
      <c r="AK59" s="1"/>
      <c r="AL59" s="1">
        <f t="shared" si="9"/>
        <v>9</v>
      </c>
      <c r="AM59" s="1">
        <f t="shared" si="10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113</v>
      </c>
      <c r="B60" s="1" t="s">
        <v>40</v>
      </c>
      <c r="C60" s="1">
        <v>25</v>
      </c>
      <c r="D60" s="1">
        <v>11</v>
      </c>
      <c r="E60" s="1">
        <v>10</v>
      </c>
      <c r="F60" s="1">
        <v>21</v>
      </c>
      <c r="G60" s="1"/>
      <c r="H60" s="1">
        <f t="shared" si="17"/>
        <v>21</v>
      </c>
      <c r="I60" s="7">
        <v>0.6</v>
      </c>
      <c r="J60" s="1">
        <v>45</v>
      </c>
      <c r="K60" s="1" t="s">
        <v>37</v>
      </c>
      <c r="L60" s="1"/>
      <c r="M60" s="1">
        <v>14</v>
      </c>
      <c r="N60" s="1">
        <f t="shared" si="18"/>
        <v>-4</v>
      </c>
      <c r="O60" s="1">
        <f t="shared" si="19"/>
        <v>10</v>
      </c>
      <c r="P60" s="1"/>
      <c r="Q60" s="1">
        <v>15</v>
      </c>
      <c r="R60" s="1"/>
      <c r="S60" s="1">
        <f t="shared" si="20"/>
        <v>2</v>
      </c>
      <c r="T60" s="5"/>
      <c r="U60" s="5">
        <f t="shared" si="12"/>
        <v>0</v>
      </c>
      <c r="V60" s="5">
        <f t="shared" si="8"/>
        <v>0</v>
      </c>
      <c r="W60" s="5"/>
      <c r="X60" s="21"/>
      <c r="Y60" s="1">
        <f t="shared" si="13"/>
        <v>18</v>
      </c>
      <c r="Z60" s="1">
        <f t="shared" si="21"/>
        <v>18</v>
      </c>
      <c r="AA60" s="1">
        <v>3.2</v>
      </c>
      <c r="AB60" s="1">
        <v>2.8</v>
      </c>
      <c r="AC60" s="1">
        <v>3.8</v>
      </c>
      <c r="AD60" s="1">
        <v>4.8</v>
      </c>
      <c r="AE60" s="1">
        <v>4</v>
      </c>
      <c r="AF60" s="1">
        <v>-0.2</v>
      </c>
      <c r="AG60" s="1">
        <v>0.8</v>
      </c>
      <c r="AH60" s="1">
        <v>3</v>
      </c>
      <c r="AI60" s="1">
        <v>10.4</v>
      </c>
      <c r="AJ60" s="1">
        <v>6</v>
      </c>
      <c r="AK60" s="1"/>
      <c r="AL60" s="1">
        <f t="shared" si="9"/>
        <v>0</v>
      </c>
      <c r="AM60" s="1">
        <f t="shared" si="10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1" t="s">
        <v>114</v>
      </c>
      <c r="B61" s="11" t="s">
        <v>36</v>
      </c>
      <c r="C61" s="11">
        <v>1.6950000000000001</v>
      </c>
      <c r="D61" s="11"/>
      <c r="E61" s="11">
        <v>-0.86099999999999999</v>
      </c>
      <c r="F61" s="11">
        <v>1.6950000000000001</v>
      </c>
      <c r="G61" s="11"/>
      <c r="H61" s="11">
        <f t="shared" si="17"/>
        <v>1.6950000000000001</v>
      </c>
      <c r="I61" s="12">
        <v>0</v>
      </c>
      <c r="J61" s="11">
        <v>45</v>
      </c>
      <c r="K61" s="11" t="s">
        <v>59</v>
      </c>
      <c r="L61" s="11"/>
      <c r="M61" s="11">
        <v>12</v>
      </c>
      <c r="N61" s="11">
        <f t="shared" si="18"/>
        <v>-12.861000000000001</v>
      </c>
      <c r="O61" s="11">
        <f t="shared" si="19"/>
        <v>-0.86099999999999999</v>
      </c>
      <c r="P61" s="11"/>
      <c r="Q61" s="11">
        <v>0</v>
      </c>
      <c r="R61" s="11"/>
      <c r="S61" s="11">
        <f t="shared" si="20"/>
        <v>-0.17219999999999999</v>
      </c>
      <c r="T61" s="13"/>
      <c r="U61" s="5">
        <f t="shared" si="12"/>
        <v>0</v>
      </c>
      <c r="V61" s="5">
        <f t="shared" si="8"/>
        <v>0</v>
      </c>
      <c r="W61" s="5"/>
      <c r="X61" s="20"/>
      <c r="Y61" s="1">
        <f t="shared" si="13"/>
        <v>-9.8432055749128935</v>
      </c>
      <c r="Z61" s="11">
        <f t="shared" si="21"/>
        <v>-9.8432055749128935</v>
      </c>
      <c r="AA61" s="11">
        <v>0.50739999999999996</v>
      </c>
      <c r="AB61" s="11">
        <v>1.0152000000000001</v>
      </c>
      <c r="AC61" s="11">
        <v>1.0162</v>
      </c>
      <c r="AD61" s="11">
        <v>-0.17180000000000001</v>
      </c>
      <c r="AE61" s="11">
        <v>1.7132000000000001</v>
      </c>
      <c r="AF61" s="11">
        <v>1.03</v>
      </c>
      <c r="AG61" s="11">
        <v>0.85760000000000003</v>
      </c>
      <c r="AH61" s="11">
        <v>0</v>
      </c>
      <c r="AI61" s="11">
        <v>0</v>
      </c>
      <c r="AJ61" s="11">
        <v>0</v>
      </c>
      <c r="AK61" s="11"/>
      <c r="AL61" s="1">
        <f t="shared" si="9"/>
        <v>0</v>
      </c>
      <c r="AM61" s="1">
        <f t="shared" si="10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1" t="s">
        <v>115</v>
      </c>
      <c r="B62" s="11" t="s">
        <v>36</v>
      </c>
      <c r="C62" s="11">
        <v>-12.435</v>
      </c>
      <c r="D62" s="11"/>
      <c r="E62" s="11"/>
      <c r="F62" s="15">
        <v>-12.435</v>
      </c>
      <c r="G62" s="11"/>
      <c r="H62" s="11">
        <f t="shared" si="17"/>
        <v>-12.435</v>
      </c>
      <c r="I62" s="12">
        <v>0</v>
      </c>
      <c r="J62" s="11">
        <v>0</v>
      </c>
      <c r="K62" s="11" t="s">
        <v>116</v>
      </c>
      <c r="L62" s="11" t="s">
        <v>117</v>
      </c>
      <c r="M62" s="11"/>
      <c r="N62" s="11">
        <f t="shared" si="18"/>
        <v>0</v>
      </c>
      <c r="O62" s="11">
        <f t="shared" si="19"/>
        <v>0</v>
      </c>
      <c r="P62" s="11"/>
      <c r="Q62" s="11">
        <v>0</v>
      </c>
      <c r="R62" s="11"/>
      <c r="S62" s="11">
        <f t="shared" si="20"/>
        <v>0</v>
      </c>
      <c r="T62" s="13"/>
      <c r="U62" s="5">
        <f t="shared" si="12"/>
        <v>0</v>
      </c>
      <c r="V62" s="5">
        <f t="shared" si="8"/>
        <v>0</v>
      </c>
      <c r="W62" s="5"/>
      <c r="X62" s="20"/>
      <c r="Y62" s="1" t="e">
        <f t="shared" si="13"/>
        <v>#DIV/0!</v>
      </c>
      <c r="Z62" s="11" t="e">
        <f t="shared" si="21"/>
        <v>#DIV/0!</v>
      </c>
      <c r="AA62" s="11">
        <v>0</v>
      </c>
      <c r="AB62" s="11">
        <v>0</v>
      </c>
      <c r="AC62" s="11">
        <v>0</v>
      </c>
      <c r="AD62" s="11">
        <v>2.4870000000000001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/>
      <c r="AL62" s="1">
        <f t="shared" si="9"/>
        <v>0</v>
      </c>
      <c r="AM62" s="1">
        <f t="shared" si="10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118</v>
      </c>
      <c r="B63" s="1" t="s">
        <v>40</v>
      </c>
      <c r="C63" s="1">
        <v>100</v>
      </c>
      <c r="D63" s="1">
        <v>22</v>
      </c>
      <c r="E63" s="1">
        <v>70</v>
      </c>
      <c r="F63" s="1">
        <v>32</v>
      </c>
      <c r="G63" s="1"/>
      <c r="H63" s="1">
        <f t="shared" si="17"/>
        <v>32</v>
      </c>
      <c r="I63" s="7">
        <v>0.25</v>
      </c>
      <c r="J63" s="1">
        <v>120</v>
      </c>
      <c r="K63" s="1" t="s">
        <v>37</v>
      </c>
      <c r="L63" s="1"/>
      <c r="M63" s="1">
        <v>88</v>
      </c>
      <c r="N63" s="1">
        <f t="shared" si="18"/>
        <v>-18</v>
      </c>
      <c r="O63" s="1">
        <f t="shared" si="19"/>
        <v>54</v>
      </c>
      <c r="P63" s="1">
        <v>16</v>
      </c>
      <c r="Q63" s="1">
        <v>122</v>
      </c>
      <c r="R63" s="1">
        <v>122</v>
      </c>
      <c r="S63" s="1">
        <f t="shared" si="20"/>
        <v>10.8</v>
      </c>
      <c r="T63" s="5"/>
      <c r="U63" s="5">
        <f t="shared" si="12"/>
        <v>0</v>
      </c>
      <c r="V63" s="5">
        <f t="shared" si="8"/>
        <v>0</v>
      </c>
      <c r="W63" s="5"/>
      <c r="X63" s="21"/>
      <c r="Y63" s="1">
        <f t="shared" si="13"/>
        <v>25.555555555555554</v>
      </c>
      <c r="Z63" s="1">
        <f t="shared" si="21"/>
        <v>25.555555555555554</v>
      </c>
      <c r="AA63" s="1">
        <v>17.2</v>
      </c>
      <c r="AB63" s="1">
        <v>8.6</v>
      </c>
      <c r="AC63" s="1">
        <v>12.4</v>
      </c>
      <c r="AD63" s="1">
        <v>10</v>
      </c>
      <c r="AE63" s="1">
        <v>7.6</v>
      </c>
      <c r="AF63" s="1">
        <v>10</v>
      </c>
      <c r="AG63" s="1">
        <v>11.4</v>
      </c>
      <c r="AH63" s="1">
        <v>4.5999999999999996</v>
      </c>
      <c r="AI63" s="1">
        <v>7</v>
      </c>
      <c r="AJ63" s="1">
        <v>8.8000000000000007</v>
      </c>
      <c r="AK63" s="1" t="s">
        <v>42</v>
      </c>
      <c r="AL63" s="1">
        <f t="shared" si="9"/>
        <v>0</v>
      </c>
      <c r="AM63" s="1">
        <f t="shared" si="10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119</v>
      </c>
      <c r="B64" s="1" t="s">
        <v>36</v>
      </c>
      <c r="C64" s="1">
        <v>10.47</v>
      </c>
      <c r="D64" s="1">
        <v>1.0549999999999999</v>
      </c>
      <c r="E64" s="1">
        <v>18.265000000000001</v>
      </c>
      <c r="F64" s="1">
        <v>-8.34</v>
      </c>
      <c r="G64" s="1"/>
      <c r="H64" s="1">
        <f t="shared" si="17"/>
        <v>-8.34</v>
      </c>
      <c r="I64" s="7">
        <v>1</v>
      </c>
      <c r="J64" s="1">
        <v>45</v>
      </c>
      <c r="K64" s="1" t="s">
        <v>37</v>
      </c>
      <c r="L64" s="1"/>
      <c r="M64" s="1">
        <v>28.8</v>
      </c>
      <c r="N64" s="1">
        <f t="shared" si="18"/>
        <v>-10.535</v>
      </c>
      <c r="O64" s="1">
        <f t="shared" si="19"/>
        <v>18.265000000000001</v>
      </c>
      <c r="P64" s="1"/>
      <c r="Q64" s="1">
        <v>63</v>
      </c>
      <c r="R64" s="1"/>
      <c r="S64" s="1">
        <f t="shared" si="20"/>
        <v>3.653</v>
      </c>
      <c r="T64" s="5"/>
      <c r="U64" s="5">
        <f t="shared" si="12"/>
        <v>0</v>
      </c>
      <c r="V64" s="5">
        <f t="shared" si="8"/>
        <v>0</v>
      </c>
      <c r="W64" s="5"/>
      <c r="X64" s="21"/>
      <c r="Y64" s="1">
        <f t="shared" si="13"/>
        <v>14.963044073364356</v>
      </c>
      <c r="Z64" s="1">
        <f t="shared" si="21"/>
        <v>14.963044073364356</v>
      </c>
      <c r="AA64" s="1">
        <v>6.1457999999999986</v>
      </c>
      <c r="AB64" s="1">
        <v>1.8888</v>
      </c>
      <c r="AC64" s="1">
        <v>4.4606000000000003</v>
      </c>
      <c r="AD64" s="1">
        <v>1.9952000000000001</v>
      </c>
      <c r="AE64" s="1">
        <v>2.8637999999999999</v>
      </c>
      <c r="AF64" s="1">
        <v>2.9007999999999998</v>
      </c>
      <c r="AG64" s="1">
        <v>3.1057999999999999</v>
      </c>
      <c r="AH64" s="1">
        <v>3.4205999999999999</v>
      </c>
      <c r="AI64" s="1">
        <v>3.7978000000000001</v>
      </c>
      <c r="AJ64" s="1">
        <v>2.9956</v>
      </c>
      <c r="AK64" s="1"/>
      <c r="AL64" s="1">
        <f t="shared" si="9"/>
        <v>0</v>
      </c>
      <c r="AM64" s="1">
        <f t="shared" si="10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120</v>
      </c>
      <c r="B65" s="1" t="s">
        <v>40</v>
      </c>
      <c r="C65" s="1">
        <v>199</v>
      </c>
      <c r="D65" s="1">
        <v>10</v>
      </c>
      <c r="E65" s="1">
        <v>56</v>
      </c>
      <c r="F65" s="1">
        <v>134</v>
      </c>
      <c r="G65" s="1"/>
      <c r="H65" s="1">
        <f t="shared" si="17"/>
        <v>134</v>
      </c>
      <c r="I65" s="7">
        <v>0.27</v>
      </c>
      <c r="J65" s="1"/>
      <c r="K65" s="1" t="s">
        <v>37</v>
      </c>
      <c r="L65" s="1"/>
      <c r="M65" s="1">
        <v>67</v>
      </c>
      <c r="N65" s="1">
        <f t="shared" si="18"/>
        <v>-11</v>
      </c>
      <c r="O65" s="1">
        <f t="shared" si="19"/>
        <v>56</v>
      </c>
      <c r="P65" s="1"/>
      <c r="Q65" s="1">
        <v>0</v>
      </c>
      <c r="R65" s="1"/>
      <c r="S65" s="1">
        <f t="shared" si="20"/>
        <v>11.2</v>
      </c>
      <c r="T65" s="5">
        <f t="shared" ref="T65:T67" si="26">15*S65-R65-Q65-H65</f>
        <v>34</v>
      </c>
      <c r="U65" s="5">
        <f t="shared" si="12"/>
        <v>34</v>
      </c>
      <c r="V65" s="5">
        <f t="shared" si="8"/>
        <v>34</v>
      </c>
      <c r="W65" s="5"/>
      <c r="X65" s="21"/>
      <c r="Y65" s="1">
        <f t="shared" si="13"/>
        <v>15.000000000000002</v>
      </c>
      <c r="Z65" s="1">
        <f t="shared" si="21"/>
        <v>11.964285714285715</v>
      </c>
      <c r="AA65" s="1">
        <v>9.4</v>
      </c>
      <c r="AB65" s="1">
        <v>10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8" t="s">
        <v>77</v>
      </c>
      <c r="AL65" s="1">
        <f t="shared" si="9"/>
        <v>9.18</v>
      </c>
      <c r="AM65" s="1">
        <f t="shared" si="10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121</v>
      </c>
      <c r="B66" s="1" t="s">
        <v>40</v>
      </c>
      <c r="C66" s="1">
        <v>140</v>
      </c>
      <c r="D66" s="1">
        <v>27</v>
      </c>
      <c r="E66" s="1">
        <v>136</v>
      </c>
      <c r="F66" s="1">
        <v>13</v>
      </c>
      <c r="G66" s="1"/>
      <c r="H66" s="1">
        <f t="shared" si="17"/>
        <v>13</v>
      </c>
      <c r="I66" s="7">
        <v>0.3</v>
      </c>
      <c r="J66" s="1">
        <v>60</v>
      </c>
      <c r="K66" s="1" t="s">
        <v>37</v>
      </c>
      <c r="L66" s="1"/>
      <c r="M66" s="1">
        <v>164</v>
      </c>
      <c r="N66" s="1">
        <f t="shared" si="18"/>
        <v>-28</v>
      </c>
      <c r="O66" s="1">
        <f t="shared" si="19"/>
        <v>124</v>
      </c>
      <c r="P66" s="1">
        <v>12</v>
      </c>
      <c r="Q66" s="1">
        <v>95</v>
      </c>
      <c r="R66" s="1">
        <v>95</v>
      </c>
      <c r="S66" s="1">
        <f t="shared" si="20"/>
        <v>24.8</v>
      </c>
      <c r="T66" s="5">
        <f t="shared" si="26"/>
        <v>169</v>
      </c>
      <c r="U66" s="5">
        <f t="shared" si="12"/>
        <v>169</v>
      </c>
      <c r="V66" s="5">
        <f t="shared" si="8"/>
        <v>169</v>
      </c>
      <c r="W66" s="5"/>
      <c r="X66" s="21"/>
      <c r="Y66" s="1">
        <f t="shared" si="13"/>
        <v>15</v>
      </c>
      <c r="Z66" s="1">
        <f t="shared" si="21"/>
        <v>8.185483870967742</v>
      </c>
      <c r="AA66" s="1">
        <v>22</v>
      </c>
      <c r="AB66" s="1">
        <v>6</v>
      </c>
      <c r="AC66" s="1">
        <v>25</v>
      </c>
      <c r="AD66" s="1">
        <v>15.8</v>
      </c>
      <c r="AE66" s="1">
        <v>24.4</v>
      </c>
      <c r="AF66" s="1">
        <v>27.4</v>
      </c>
      <c r="AG66" s="1">
        <v>18.399999999999999</v>
      </c>
      <c r="AH66" s="1">
        <v>26.2</v>
      </c>
      <c r="AI66" s="1">
        <v>33.4</v>
      </c>
      <c r="AJ66" s="1">
        <v>35.6</v>
      </c>
      <c r="AK66" s="1"/>
      <c r="AL66" s="1">
        <f t="shared" si="9"/>
        <v>50.699999999999996</v>
      </c>
      <c r="AM66" s="1">
        <f t="shared" si="10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122</v>
      </c>
      <c r="B67" s="1" t="s">
        <v>40</v>
      </c>
      <c r="C67" s="1">
        <v>1956</v>
      </c>
      <c r="D67" s="1">
        <v>1290</v>
      </c>
      <c r="E67" s="15">
        <f>1371+E118</f>
        <v>1373</v>
      </c>
      <c r="F67" s="15">
        <f>1507+F68+F118</f>
        <v>1501</v>
      </c>
      <c r="G67" s="1">
        <f>VLOOKUP(A67,[1]TDSheet!$A:$B,2,0)</f>
        <v>50</v>
      </c>
      <c r="H67" s="1">
        <f t="shared" si="17"/>
        <v>1451</v>
      </c>
      <c r="I67" s="7">
        <v>0.41</v>
      </c>
      <c r="J67" s="1">
        <v>50</v>
      </c>
      <c r="K67" s="1" t="s">
        <v>37</v>
      </c>
      <c r="L67" s="1"/>
      <c r="M67" s="1">
        <v>1627</v>
      </c>
      <c r="N67" s="1">
        <f t="shared" si="18"/>
        <v>-254</v>
      </c>
      <c r="O67" s="1">
        <f t="shared" si="19"/>
        <v>1273</v>
      </c>
      <c r="P67" s="1">
        <v>100</v>
      </c>
      <c r="Q67" s="1">
        <v>0</v>
      </c>
      <c r="R67" s="1"/>
      <c r="S67" s="1">
        <f t="shared" si="20"/>
        <v>254.6</v>
      </c>
      <c r="T67" s="5">
        <f t="shared" si="26"/>
        <v>2368</v>
      </c>
      <c r="U67" s="5">
        <f t="shared" si="12"/>
        <v>2368</v>
      </c>
      <c r="V67" s="5">
        <f t="shared" si="8"/>
        <v>1184</v>
      </c>
      <c r="W67" s="5">
        <f>ROUND(U67*$W$1,0)</f>
        <v>1184</v>
      </c>
      <c r="X67" s="21"/>
      <c r="Y67" s="1">
        <f t="shared" si="13"/>
        <v>15</v>
      </c>
      <c r="Z67" s="1">
        <f t="shared" si="21"/>
        <v>5.699135899450118</v>
      </c>
      <c r="AA67" s="1">
        <v>162</v>
      </c>
      <c r="AB67" s="1">
        <v>255.8</v>
      </c>
      <c r="AC67" s="1">
        <v>295.60000000000002</v>
      </c>
      <c r="AD67" s="1">
        <v>177.8</v>
      </c>
      <c r="AE67" s="1">
        <v>224.2</v>
      </c>
      <c r="AF67" s="1">
        <v>325.39999999999998</v>
      </c>
      <c r="AG67" s="1">
        <v>226.4</v>
      </c>
      <c r="AH67" s="1">
        <v>282</v>
      </c>
      <c r="AI67" s="1">
        <v>262.39999999999998</v>
      </c>
      <c r="AJ67" s="1">
        <v>228</v>
      </c>
      <c r="AK67" s="1"/>
      <c r="AL67" s="1">
        <f t="shared" si="9"/>
        <v>485.44</v>
      </c>
      <c r="AM67" s="1">
        <f t="shared" si="10"/>
        <v>485.44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1" t="s">
        <v>123</v>
      </c>
      <c r="B68" s="11" t="s">
        <v>40</v>
      </c>
      <c r="C68" s="11">
        <v>-3</v>
      </c>
      <c r="D68" s="11"/>
      <c r="E68" s="11"/>
      <c r="F68" s="15">
        <v>-4</v>
      </c>
      <c r="G68" s="11"/>
      <c r="H68" s="11">
        <f t="shared" si="17"/>
        <v>-4</v>
      </c>
      <c r="I68" s="12">
        <v>0</v>
      </c>
      <c r="J68" s="11"/>
      <c r="K68" s="11" t="s">
        <v>116</v>
      </c>
      <c r="L68" s="11" t="s">
        <v>122</v>
      </c>
      <c r="M68" s="11">
        <v>13</v>
      </c>
      <c r="N68" s="11">
        <f t="shared" si="18"/>
        <v>-13</v>
      </c>
      <c r="O68" s="11">
        <f t="shared" si="19"/>
        <v>0</v>
      </c>
      <c r="P68" s="11"/>
      <c r="Q68" s="11">
        <v>0</v>
      </c>
      <c r="R68" s="11"/>
      <c r="S68" s="11">
        <f t="shared" si="20"/>
        <v>0</v>
      </c>
      <c r="T68" s="13"/>
      <c r="U68" s="5">
        <f t="shared" si="12"/>
        <v>0</v>
      </c>
      <c r="V68" s="5">
        <f t="shared" si="8"/>
        <v>0</v>
      </c>
      <c r="W68" s="5"/>
      <c r="X68" s="20"/>
      <c r="Y68" s="1" t="e">
        <f t="shared" si="13"/>
        <v>#DIV/0!</v>
      </c>
      <c r="Z68" s="11" t="e">
        <f t="shared" si="21"/>
        <v>#DIV/0!</v>
      </c>
      <c r="AA68" s="11">
        <v>0</v>
      </c>
      <c r="AB68" s="11">
        <v>0</v>
      </c>
      <c r="AC68" s="11">
        <v>0</v>
      </c>
      <c r="AD68" s="11">
        <v>0.8</v>
      </c>
      <c r="AE68" s="11">
        <v>33.4</v>
      </c>
      <c r="AF68" s="11">
        <v>184.6</v>
      </c>
      <c r="AG68" s="11">
        <v>20</v>
      </c>
      <c r="AH68" s="11">
        <v>0</v>
      </c>
      <c r="AI68" s="11">
        <v>0</v>
      </c>
      <c r="AJ68" s="11">
        <v>0</v>
      </c>
      <c r="AK68" s="11"/>
      <c r="AL68" s="1">
        <f t="shared" si="9"/>
        <v>0</v>
      </c>
      <c r="AM68" s="1">
        <f t="shared" si="10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117</v>
      </c>
      <c r="B69" s="1" t="s">
        <v>36</v>
      </c>
      <c r="C69" s="1">
        <v>308.20999999999998</v>
      </c>
      <c r="D69" s="1">
        <v>572.01900000000001</v>
      </c>
      <c r="E69" s="1">
        <v>430.58300000000003</v>
      </c>
      <c r="F69" s="15">
        <f>332.761+F62+F119</f>
        <v>357.00300000000004</v>
      </c>
      <c r="G69" s="1">
        <f>VLOOKUP(A69,[1]TDSheet!$A:$B,2,0)</f>
        <v>154.45699999999999</v>
      </c>
      <c r="H69" s="1">
        <f t="shared" si="17"/>
        <v>202.54600000000005</v>
      </c>
      <c r="I69" s="7">
        <v>1</v>
      </c>
      <c r="J69" s="1">
        <v>50</v>
      </c>
      <c r="K69" s="1" t="s">
        <v>37</v>
      </c>
      <c r="L69" s="1"/>
      <c r="M69" s="1">
        <v>783.8</v>
      </c>
      <c r="N69" s="1">
        <f t="shared" si="18"/>
        <v>-353.21699999999993</v>
      </c>
      <c r="O69" s="1">
        <f t="shared" si="19"/>
        <v>270.34100000000001</v>
      </c>
      <c r="P69" s="1">
        <v>160.24199999999999</v>
      </c>
      <c r="Q69" s="1">
        <v>399</v>
      </c>
      <c r="R69" s="1">
        <v>399</v>
      </c>
      <c r="S69" s="1">
        <f t="shared" si="20"/>
        <v>54.068200000000004</v>
      </c>
      <c r="T69" s="5"/>
      <c r="U69" s="5">
        <f t="shared" si="12"/>
        <v>0</v>
      </c>
      <c r="V69" s="5">
        <f t="shared" si="8"/>
        <v>0</v>
      </c>
      <c r="W69" s="5"/>
      <c r="X69" s="21"/>
      <c r="Y69" s="1">
        <f t="shared" si="13"/>
        <v>18.505258173935882</v>
      </c>
      <c r="Z69" s="1">
        <f t="shared" si="21"/>
        <v>18.505258173935882</v>
      </c>
      <c r="AA69" s="1">
        <v>90.557999999999993</v>
      </c>
      <c r="AB69" s="1">
        <v>58.315199999999997</v>
      </c>
      <c r="AC69" s="1">
        <v>77.043800000000005</v>
      </c>
      <c r="AD69" s="1">
        <v>68.825599999999994</v>
      </c>
      <c r="AE69" s="1">
        <v>62.052600000000012</v>
      </c>
      <c r="AF69" s="1">
        <v>67.328400000000002</v>
      </c>
      <c r="AG69" s="1">
        <v>75.135400000000004</v>
      </c>
      <c r="AH69" s="1">
        <v>94.911000000000001</v>
      </c>
      <c r="AI69" s="1">
        <v>43.7624</v>
      </c>
      <c r="AJ69" s="1">
        <v>79.599999999999994</v>
      </c>
      <c r="AK69" s="1"/>
      <c r="AL69" s="1">
        <f t="shared" si="9"/>
        <v>0</v>
      </c>
      <c r="AM69" s="1">
        <f t="shared" si="10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124</v>
      </c>
      <c r="B70" s="1" t="s">
        <v>40</v>
      </c>
      <c r="C70" s="1">
        <v>27</v>
      </c>
      <c r="D70" s="1">
        <v>35</v>
      </c>
      <c r="E70" s="1">
        <v>52</v>
      </c>
      <c r="F70" s="1">
        <v>-2</v>
      </c>
      <c r="G70" s="1"/>
      <c r="H70" s="1">
        <f t="shared" ref="H70:H101" si="27">F70-G70</f>
        <v>-2</v>
      </c>
      <c r="I70" s="7">
        <v>0.35</v>
      </c>
      <c r="J70" s="1">
        <v>50</v>
      </c>
      <c r="K70" s="1" t="s">
        <v>37</v>
      </c>
      <c r="L70" s="1"/>
      <c r="M70" s="1">
        <v>69</v>
      </c>
      <c r="N70" s="1">
        <f t="shared" ref="N70:N101" si="28">E70-M70</f>
        <v>-17</v>
      </c>
      <c r="O70" s="1">
        <f t="shared" ref="O70:O101" si="29">E70-P70</f>
        <v>52</v>
      </c>
      <c r="P70" s="1"/>
      <c r="Q70" s="1">
        <v>88</v>
      </c>
      <c r="R70" s="1"/>
      <c r="S70" s="1">
        <f t="shared" ref="S70:S101" si="30">O70/5</f>
        <v>10.4</v>
      </c>
      <c r="T70" s="5">
        <f t="shared" ref="T70" si="31">15*S70-R70-Q70-H70</f>
        <v>70</v>
      </c>
      <c r="U70" s="5">
        <f t="shared" si="12"/>
        <v>70</v>
      </c>
      <c r="V70" s="5">
        <f t="shared" si="8"/>
        <v>70</v>
      </c>
      <c r="W70" s="5"/>
      <c r="X70" s="21"/>
      <c r="Y70" s="1">
        <f t="shared" si="13"/>
        <v>15</v>
      </c>
      <c r="Z70" s="1">
        <f t="shared" ref="Z70:Z101" si="32">(H70+Q70+R70)/S70</f>
        <v>8.2692307692307683</v>
      </c>
      <c r="AA70" s="1">
        <v>9.8000000000000007</v>
      </c>
      <c r="AB70" s="1">
        <v>6.8</v>
      </c>
      <c r="AC70" s="1">
        <v>8.4</v>
      </c>
      <c r="AD70" s="1">
        <v>9.4</v>
      </c>
      <c r="AE70" s="1">
        <v>8</v>
      </c>
      <c r="AF70" s="1">
        <v>9.8000000000000007</v>
      </c>
      <c r="AG70" s="1">
        <v>10</v>
      </c>
      <c r="AH70" s="1">
        <v>9.4</v>
      </c>
      <c r="AI70" s="1">
        <v>8</v>
      </c>
      <c r="AJ70" s="1">
        <v>7.6</v>
      </c>
      <c r="AK70" s="1"/>
      <c r="AL70" s="1">
        <f t="shared" si="9"/>
        <v>24.5</v>
      </c>
      <c r="AM70" s="1">
        <f t="shared" si="10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1" t="s">
        <v>125</v>
      </c>
      <c r="B71" s="11" t="s">
        <v>36</v>
      </c>
      <c r="C71" s="11"/>
      <c r="D71" s="11"/>
      <c r="E71" s="11"/>
      <c r="F71" s="11"/>
      <c r="G71" s="11"/>
      <c r="H71" s="11">
        <f t="shared" si="27"/>
        <v>0</v>
      </c>
      <c r="I71" s="12">
        <v>0</v>
      </c>
      <c r="J71" s="11"/>
      <c r="K71" s="11" t="s">
        <v>37</v>
      </c>
      <c r="L71" s="11"/>
      <c r="M71" s="11">
        <v>1.5</v>
      </c>
      <c r="N71" s="11">
        <f t="shared" si="28"/>
        <v>-1.5</v>
      </c>
      <c r="O71" s="11">
        <f t="shared" si="29"/>
        <v>0</v>
      </c>
      <c r="P71" s="11"/>
      <c r="Q71" s="11">
        <v>0</v>
      </c>
      <c r="R71" s="11"/>
      <c r="S71" s="11">
        <f t="shared" si="30"/>
        <v>0</v>
      </c>
      <c r="T71" s="13"/>
      <c r="U71" s="5">
        <f t="shared" si="12"/>
        <v>0</v>
      </c>
      <c r="V71" s="5">
        <f t="shared" ref="V71:V125" si="33">ROUND(U71-W71,0)</f>
        <v>0</v>
      </c>
      <c r="W71" s="5"/>
      <c r="X71" s="20"/>
      <c r="Y71" s="1" t="e">
        <f t="shared" si="13"/>
        <v>#DIV/0!</v>
      </c>
      <c r="Z71" s="11" t="e">
        <f t="shared" si="32"/>
        <v>#DIV/0!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 t="s">
        <v>97</v>
      </c>
      <c r="AL71" s="1">
        <f t="shared" ref="AL71:AL125" si="34">I71*V71</f>
        <v>0</v>
      </c>
      <c r="AM71" s="1">
        <f t="shared" ref="AM71:AM125" si="35">I71*W71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126</v>
      </c>
      <c r="B72" s="1" t="s">
        <v>40</v>
      </c>
      <c r="C72" s="1">
        <v>304</v>
      </c>
      <c r="D72" s="1">
        <v>1295</v>
      </c>
      <c r="E72" s="1">
        <v>891</v>
      </c>
      <c r="F72" s="1">
        <v>506</v>
      </c>
      <c r="G72" s="1"/>
      <c r="H72" s="1">
        <f t="shared" si="27"/>
        <v>506</v>
      </c>
      <c r="I72" s="7">
        <v>0.41</v>
      </c>
      <c r="J72" s="1">
        <v>50</v>
      </c>
      <c r="K72" s="19" t="s">
        <v>70</v>
      </c>
      <c r="L72" s="1"/>
      <c r="M72" s="1">
        <v>1016</v>
      </c>
      <c r="N72" s="1">
        <f t="shared" si="28"/>
        <v>-125</v>
      </c>
      <c r="O72" s="1">
        <f t="shared" si="29"/>
        <v>841</v>
      </c>
      <c r="P72" s="1">
        <v>50</v>
      </c>
      <c r="Q72" s="1">
        <v>0</v>
      </c>
      <c r="R72" s="1"/>
      <c r="S72" s="1">
        <f t="shared" si="30"/>
        <v>168.2</v>
      </c>
      <c r="T72" s="5">
        <v>1400</v>
      </c>
      <c r="U72" s="5">
        <f t="shared" ref="U72:U119" si="36">ROUND(T72,0)</f>
        <v>1400</v>
      </c>
      <c r="V72" s="5">
        <f t="shared" si="33"/>
        <v>700</v>
      </c>
      <c r="W72" s="5">
        <f t="shared" ref="W72:W73" si="37">ROUND(U72*$W$1,0)</f>
        <v>700</v>
      </c>
      <c r="X72" s="21"/>
      <c r="Y72" s="1">
        <f t="shared" ref="Y72:Y125" si="38">(H72+Q72+R72+U72)/S72</f>
        <v>11.331747919143877</v>
      </c>
      <c r="Z72" s="1">
        <f t="shared" si="32"/>
        <v>3.0083234244946495</v>
      </c>
      <c r="AA72" s="1">
        <v>97.6</v>
      </c>
      <c r="AB72" s="1">
        <v>131.19999999999999</v>
      </c>
      <c r="AC72" s="1">
        <v>115.8</v>
      </c>
      <c r="AD72" s="1">
        <v>51.4</v>
      </c>
      <c r="AE72" s="1">
        <v>131.80000000000001</v>
      </c>
      <c r="AF72" s="1">
        <v>48</v>
      </c>
      <c r="AG72" s="1">
        <v>131.4</v>
      </c>
      <c r="AH72" s="1">
        <v>124</v>
      </c>
      <c r="AI72" s="1">
        <v>154.19999999999999</v>
      </c>
      <c r="AJ72" s="1">
        <v>270.60000000000002</v>
      </c>
      <c r="AK72" s="1" t="s">
        <v>127</v>
      </c>
      <c r="AL72" s="1">
        <f t="shared" si="34"/>
        <v>287</v>
      </c>
      <c r="AM72" s="1">
        <f t="shared" si="35"/>
        <v>287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128</v>
      </c>
      <c r="B73" s="1" t="s">
        <v>36</v>
      </c>
      <c r="C73" s="1">
        <v>93.35</v>
      </c>
      <c r="D73" s="1">
        <v>202.50800000000001</v>
      </c>
      <c r="E73" s="1">
        <v>130.76499999999999</v>
      </c>
      <c r="F73" s="1">
        <v>110.8</v>
      </c>
      <c r="G73" s="1"/>
      <c r="H73" s="1">
        <f t="shared" si="27"/>
        <v>110.8</v>
      </c>
      <c r="I73" s="7">
        <v>1</v>
      </c>
      <c r="J73" s="1">
        <v>50</v>
      </c>
      <c r="K73" s="1" t="s">
        <v>37</v>
      </c>
      <c r="L73" s="1"/>
      <c r="M73" s="1">
        <v>153</v>
      </c>
      <c r="N73" s="1">
        <f t="shared" si="28"/>
        <v>-22.235000000000014</v>
      </c>
      <c r="O73" s="1">
        <f t="shared" si="29"/>
        <v>112.38899999999998</v>
      </c>
      <c r="P73" s="1">
        <v>18.376000000000001</v>
      </c>
      <c r="Q73" s="1">
        <v>0</v>
      </c>
      <c r="R73" s="1"/>
      <c r="S73" s="1">
        <f t="shared" si="30"/>
        <v>22.477799999999995</v>
      </c>
      <c r="T73" s="5">
        <f>14*S73-R73-Q73-H73</f>
        <v>203.8891999999999</v>
      </c>
      <c r="U73" s="5">
        <f t="shared" si="36"/>
        <v>204</v>
      </c>
      <c r="V73" s="5">
        <f t="shared" si="33"/>
        <v>102</v>
      </c>
      <c r="W73" s="5">
        <f t="shared" si="37"/>
        <v>102</v>
      </c>
      <c r="X73" s="21"/>
      <c r="Y73" s="1">
        <f t="shared" si="38"/>
        <v>14.00492930802837</v>
      </c>
      <c r="Z73" s="1">
        <f t="shared" si="32"/>
        <v>4.9293080283657664</v>
      </c>
      <c r="AA73" s="1">
        <v>10.4636</v>
      </c>
      <c r="AB73" s="1">
        <v>20.153400000000001</v>
      </c>
      <c r="AC73" s="1">
        <v>17.823599999999999</v>
      </c>
      <c r="AD73" s="1">
        <v>10.4872</v>
      </c>
      <c r="AE73" s="1">
        <v>19.265799999999999</v>
      </c>
      <c r="AF73" s="1">
        <v>18.461200000000002</v>
      </c>
      <c r="AG73" s="1">
        <v>25.2182</v>
      </c>
      <c r="AH73" s="1">
        <v>39</v>
      </c>
      <c r="AI73" s="1">
        <v>44.2</v>
      </c>
      <c r="AJ73" s="1">
        <v>23.9648</v>
      </c>
      <c r="AK73" s="1"/>
      <c r="AL73" s="1">
        <f t="shared" si="34"/>
        <v>102</v>
      </c>
      <c r="AM73" s="1">
        <f t="shared" si="35"/>
        <v>102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129</v>
      </c>
      <c r="B74" s="1" t="s">
        <v>40</v>
      </c>
      <c r="C74" s="1">
        <v>-14</v>
      </c>
      <c r="D74" s="1">
        <v>252</v>
      </c>
      <c r="E74" s="1">
        <v>87</v>
      </c>
      <c r="F74" s="1">
        <v>140</v>
      </c>
      <c r="G74" s="1"/>
      <c r="H74" s="1">
        <f t="shared" si="27"/>
        <v>140</v>
      </c>
      <c r="I74" s="7">
        <v>0.3</v>
      </c>
      <c r="J74" s="1">
        <v>50</v>
      </c>
      <c r="K74" s="1" t="s">
        <v>37</v>
      </c>
      <c r="L74" s="1"/>
      <c r="M74" s="1">
        <v>135</v>
      </c>
      <c r="N74" s="1">
        <f t="shared" si="28"/>
        <v>-48</v>
      </c>
      <c r="O74" s="1">
        <f t="shared" si="29"/>
        <v>87</v>
      </c>
      <c r="P74" s="1"/>
      <c r="Q74" s="1">
        <v>0</v>
      </c>
      <c r="R74" s="1"/>
      <c r="S74" s="1">
        <f t="shared" si="30"/>
        <v>17.399999999999999</v>
      </c>
      <c r="T74" s="5">
        <f t="shared" ref="T74" si="39">15*S74-R74-Q74-H74</f>
        <v>121</v>
      </c>
      <c r="U74" s="5">
        <f t="shared" si="36"/>
        <v>121</v>
      </c>
      <c r="V74" s="5">
        <f t="shared" si="33"/>
        <v>121</v>
      </c>
      <c r="W74" s="5"/>
      <c r="X74" s="21"/>
      <c r="Y74" s="1">
        <f t="shared" si="38"/>
        <v>15.000000000000002</v>
      </c>
      <c r="Z74" s="1">
        <f t="shared" si="32"/>
        <v>8.0459770114942533</v>
      </c>
      <c r="AA74" s="1">
        <v>15.2</v>
      </c>
      <c r="AB74" s="1">
        <v>25.8</v>
      </c>
      <c r="AC74" s="1">
        <v>3.6</v>
      </c>
      <c r="AD74" s="1">
        <v>8.6</v>
      </c>
      <c r="AE74" s="1">
        <v>4.4000000000000004</v>
      </c>
      <c r="AF74" s="1">
        <v>-0.6</v>
      </c>
      <c r="AG74" s="1">
        <v>3</v>
      </c>
      <c r="AH74" s="1">
        <v>-0.6</v>
      </c>
      <c r="AI74" s="1">
        <v>7.2</v>
      </c>
      <c r="AJ74" s="1">
        <v>39.799999999999997</v>
      </c>
      <c r="AK74" s="1"/>
      <c r="AL74" s="1">
        <f t="shared" si="34"/>
        <v>36.299999999999997</v>
      </c>
      <c r="AM74" s="1">
        <f t="shared" si="35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130</v>
      </c>
      <c r="B75" s="1" t="s">
        <v>40</v>
      </c>
      <c r="C75" s="1">
        <v>378</v>
      </c>
      <c r="D75" s="1">
        <v>289</v>
      </c>
      <c r="E75" s="1">
        <v>308</v>
      </c>
      <c r="F75" s="1">
        <v>288</v>
      </c>
      <c r="G75" s="1"/>
      <c r="H75" s="1">
        <f t="shared" si="27"/>
        <v>288</v>
      </c>
      <c r="I75" s="7">
        <v>0.18</v>
      </c>
      <c r="J75" s="1">
        <v>50</v>
      </c>
      <c r="K75" s="1" t="s">
        <v>37</v>
      </c>
      <c r="L75" s="1"/>
      <c r="M75" s="1">
        <v>350</v>
      </c>
      <c r="N75" s="1">
        <f t="shared" si="28"/>
        <v>-42</v>
      </c>
      <c r="O75" s="1">
        <f t="shared" si="29"/>
        <v>278</v>
      </c>
      <c r="P75" s="1">
        <v>30</v>
      </c>
      <c r="Q75" s="1">
        <v>0</v>
      </c>
      <c r="R75" s="1"/>
      <c r="S75" s="1">
        <f t="shared" si="30"/>
        <v>55.6</v>
      </c>
      <c r="T75" s="5">
        <f>14*S75-R75-Q75-H75</f>
        <v>490.4</v>
      </c>
      <c r="U75" s="5">
        <f t="shared" si="36"/>
        <v>490</v>
      </c>
      <c r="V75" s="5">
        <f t="shared" si="33"/>
        <v>245</v>
      </c>
      <c r="W75" s="5">
        <f>ROUND(U75*$W$1,0)</f>
        <v>245</v>
      </c>
      <c r="X75" s="21"/>
      <c r="Y75" s="1">
        <f t="shared" si="38"/>
        <v>13.992805755395683</v>
      </c>
      <c r="Z75" s="1">
        <f t="shared" si="32"/>
        <v>5.1798561151079134</v>
      </c>
      <c r="AA75" s="1">
        <v>30.2</v>
      </c>
      <c r="AB75" s="1">
        <v>48.2</v>
      </c>
      <c r="AC75" s="1">
        <v>38.4</v>
      </c>
      <c r="AD75" s="1">
        <v>66</v>
      </c>
      <c r="AE75" s="1">
        <v>52.6</v>
      </c>
      <c r="AF75" s="1">
        <v>48.4</v>
      </c>
      <c r="AG75" s="1">
        <v>41.2</v>
      </c>
      <c r="AH75" s="1">
        <v>48.6</v>
      </c>
      <c r="AI75" s="1">
        <v>28</v>
      </c>
      <c r="AJ75" s="1">
        <v>25.8</v>
      </c>
      <c r="AK75" s="1"/>
      <c r="AL75" s="1">
        <f t="shared" si="34"/>
        <v>44.1</v>
      </c>
      <c r="AM75" s="1">
        <f t="shared" si="35"/>
        <v>44.1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1" t="s">
        <v>132</v>
      </c>
      <c r="B76" s="11" t="s">
        <v>40</v>
      </c>
      <c r="C76" s="11">
        <v>-12</v>
      </c>
      <c r="D76" s="11"/>
      <c r="E76" s="11">
        <v>2</v>
      </c>
      <c r="F76" s="11">
        <v>-14</v>
      </c>
      <c r="G76" s="11"/>
      <c r="H76" s="11">
        <f t="shared" si="27"/>
        <v>-14</v>
      </c>
      <c r="I76" s="12">
        <v>0</v>
      </c>
      <c r="J76" s="11">
        <v>120</v>
      </c>
      <c r="K76" s="11" t="s">
        <v>59</v>
      </c>
      <c r="L76" s="11"/>
      <c r="M76" s="11">
        <v>18</v>
      </c>
      <c r="N76" s="11">
        <f t="shared" si="28"/>
        <v>-16</v>
      </c>
      <c r="O76" s="11">
        <f t="shared" si="29"/>
        <v>2</v>
      </c>
      <c r="P76" s="11"/>
      <c r="Q76" s="11">
        <v>0</v>
      </c>
      <c r="R76" s="11"/>
      <c r="S76" s="11">
        <f t="shared" si="30"/>
        <v>0.4</v>
      </c>
      <c r="T76" s="13"/>
      <c r="U76" s="5">
        <f t="shared" si="36"/>
        <v>0</v>
      </c>
      <c r="V76" s="5">
        <f t="shared" si="33"/>
        <v>0</v>
      </c>
      <c r="W76" s="5"/>
      <c r="X76" s="20"/>
      <c r="Y76" s="1">
        <f t="shared" si="38"/>
        <v>-35</v>
      </c>
      <c r="Z76" s="11">
        <f t="shared" si="32"/>
        <v>-35</v>
      </c>
      <c r="AA76" s="11">
        <v>0</v>
      </c>
      <c r="AB76" s="11">
        <v>-0.6</v>
      </c>
      <c r="AC76" s="11">
        <v>0.8</v>
      </c>
      <c r="AD76" s="11">
        <v>1.6</v>
      </c>
      <c r="AE76" s="11">
        <v>0</v>
      </c>
      <c r="AF76" s="11">
        <v>1.4</v>
      </c>
      <c r="AG76" s="11">
        <v>1.8</v>
      </c>
      <c r="AH76" s="11">
        <v>3</v>
      </c>
      <c r="AI76" s="11">
        <v>2.4</v>
      </c>
      <c r="AJ76" s="11">
        <v>2.4</v>
      </c>
      <c r="AK76" s="11"/>
      <c r="AL76" s="1">
        <f t="shared" si="34"/>
        <v>0</v>
      </c>
      <c r="AM76" s="1">
        <f t="shared" si="35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1" t="s">
        <v>133</v>
      </c>
      <c r="B77" s="11" t="s">
        <v>36</v>
      </c>
      <c r="C77" s="11"/>
      <c r="D77" s="11"/>
      <c r="E77" s="11"/>
      <c r="F77" s="11"/>
      <c r="G77" s="11"/>
      <c r="H77" s="11">
        <f t="shared" si="27"/>
        <v>0</v>
      </c>
      <c r="I77" s="12">
        <v>0</v>
      </c>
      <c r="J77" s="11"/>
      <c r="K77" s="11" t="s">
        <v>37</v>
      </c>
      <c r="L77" s="11"/>
      <c r="M77" s="11">
        <v>115</v>
      </c>
      <c r="N77" s="11">
        <f t="shared" si="28"/>
        <v>-115</v>
      </c>
      <c r="O77" s="11">
        <f t="shared" si="29"/>
        <v>0</v>
      </c>
      <c r="P77" s="11"/>
      <c r="Q77" s="11">
        <v>0</v>
      </c>
      <c r="R77" s="11"/>
      <c r="S77" s="11">
        <f t="shared" si="30"/>
        <v>0</v>
      </c>
      <c r="T77" s="13"/>
      <c r="U77" s="5">
        <f t="shared" si="36"/>
        <v>0</v>
      </c>
      <c r="V77" s="5">
        <f t="shared" si="33"/>
        <v>0</v>
      </c>
      <c r="W77" s="5"/>
      <c r="X77" s="20"/>
      <c r="Y77" s="1" t="e">
        <f t="shared" si="38"/>
        <v>#DIV/0!</v>
      </c>
      <c r="Z77" s="11" t="e">
        <f t="shared" si="32"/>
        <v>#DIV/0!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 t="s">
        <v>97</v>
      </c>
      <c r="AL77" s="1">
        <f t="shared" si="34"/>
        <v>0</v>
      </c>
      <c r="AM77" s="1">
        <f t="shared" si="35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134</v>
      </c>
      <c r="B78" s="1" t="s">
        <v>40</v>
      </c>
      <c r="C78" s="1">
        <v>1024</v>
      </c>
      <c r="D78" s="1">
        <v>1188</v>
      </c>
      <c r="E78" s="1">
        <v>777</v>
      </c>
      <c r="F78" s="1">
        <v>1213</v>
      </c>
      <c r="G78" s="1"/>
      <c r="H78" s="1">
        <f t="shared" si="27"/>
        <v>1213</v>
      </c>
      <c r="I78" s="7">
        <v>0.35</v>
      </c>
      <c r="J78" s="1">
        <v>50</v>
      </c>
      <c r="K78" s="1" t="s">
        <v>37</v>
      </c>
      <c r="L78" s="1"/>
      <c r="M78" s="1">
        <v>977</v>
      </c>
      <c r="N78" s="1">
        <f t="shared" si="28"/>
        <v>-200</v>
      </c>
      <c r="O78" s="1">
        <f t="shared" si="29"/>
        <v>713</v>
      </c>
      <c r="P78" s="1">
        <v>64</v>
      </c>
      <c r="Q78" s="1">
        <v>0</v>
      </c>
      <c r="R78" s="1"/>
      <c r="S78" s="1">
        <f t="shared" si="30"/>
        <v>142.6</v>
      </c>
      <c r="T78" s="5">
        <f>15*S78-R78-Q78-H78</f>
        <v>926</v>
      </c>
      <c r="U78" s="5">
        <f t="shared" si="36"/>
        <v>926</v>
      </c>
      <c r="V78" s="5">
        <f t="shared" si="33"/>
        <v>463</v>
      </c>
      <c r="W78" s="5">
        <f>ROUND(U78*$W$1,0)</f>
        <v>463</v>
      </c>
      <c r="X78" s="21"/>
      <c r="Y78" s="1">
        <f t="shared" si="38"/>
        <v>15</v>
      </c>
      <c r="Z78" s="1">
        <f t="shared" si="32"/>
        <v>8.5063113604488088</v>
      </c>
      <c r="AA78" s="1">
        <v>114.6</v>
      </c>
      <c r="AB78" s="1">
        <v>173.6</v>
      </c>
      <c r="AC78" s="1">
        <v>169</v>
      </c>
      <c r="AD78" s="1">
        <v>124</v>
      </c>
      <c r="AE78" s="1">
        <v>132.19999999999999</v>
      </c>
      <c r="AF78" s="1">
        <v>175.6</v>
      </c>
      <c r="AG78" s="1">
        <v>149.80000000000001</v>
      </c>
      <c r="AH78" s="1">
        <v>176.6688</v>
      </c>
      <c r="AI78" s="1">
        <v>152.4</v>
      </c>
      <c r="AJ78" s="1">
        <v>142.6</v>
      </c>
      <c r="AK78" s="1"/>
      <c r="AL78" s="1">
        <f t="shared" si="34"/>
        <v>162.04999999999998</v>
      </c>
      <c r="AM78" s="1">
        <f t="shared" si="35"/>
        <v>162.04999999999998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s="27" customFormat="1" x14ac:dyDescent="0.25">
      <c r="A79" s="23" t="s">
        <v>135</v>
      </c>
      <c r="B79" s="23" t="s">
        <v>40</v>
      </c>
      <c r="C79" s="23"/>
      <c r="D79" s="23"/>
      <c r="E79" s="23"/>
      <c r="F79" s="23"/>
      <c r="G79" s="23"/>
      <c r="H79" s="23">
        <f t="shared" si="27"/>
        <v>0</v>
      </c>
      <c r="I79" s="24">
        <v>0.35</v>
      </c>
      <c r="J79" s="23"/>
      <c r="K79" s="23" t="s">
        <v>37</v>
      </c>
      <c r="L79" s="23"/>
      <c r="M79" s="23"/>
      <c r="N79" s="23">
        <f t="shared" si="28"/>
        <v>0</v>
      </c>
      <c r="O79" s="23">
        <f t="shared" si="29"/>
        <v>0</v>
      </c>
      <c r="P79" s="23"/>
      <c r="Q79" s="23">
        <v>0</v>
      </c>
      <c r="R79" s="23"/>
      <c r="S79" s="23">
        <f t="shared" si="30"/>
        <v>0</v>
      </c>
      <c r="T79" s="25"/>
      <c r="U79" s="5">
        <v>70</v>
      </c>
      <c r="V79" s="5">
        <f t="shared" si="33"/>
        <v>70</v>
      </c>
      <c r="W79" s="5"/>
      <c r="X79" s="26">
        <v>70</v>
      </c>
      <c r="Y79" s="1" t="e">
        <f t="shared" si="38"/>
        <v>#DIV/0!</v>
      </c>
      <c r="Z79" s="23" t="e">
        <f t="shared" si="32"/>
        <v>#DIV/0!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 t="s">
        <v>193</v>
      </c>
      <c r="AL79" s="1">
        <f t="shared" si="34"/>
        <v>24.5</v>
      </c>
      <c r="AM79" s="1">
        <f t="shared" si="35"/>
        <v>0</v>
      </c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</row>
    <row r="80" spans="1:53" x14ac:dyDescent="0.25">
      <c r="A80" s="1" t="s">
        <v>136</v>
      </c>
      <c r="B80" s="1" t="s">
        <v>36</v>
      </c>
      <c r="C80" s="1">
        <v>112.23699999999999</v>
      </c>
      <c r="D80" s="1">
        <v>342.71</v>
      </c>
      <c r="E80" s="1">
        <v>175.596</v>
      </c>
      <c r="F80" s="1">
        <v>223.72800000000001</v>
      </c>
      <c r="G80" s="1"/>
      <c r="H80" s="1">
        <f t="shared" si="27"/>
        <v>223.72800000000001</v>
      </c>
      <c r="I80" s="7">
        <v>1</v>
      </c>
      <c r="J80" s="1">
        <v>50</v>
      </c>
      <c r="K80" s="1" t="s">
        <v>37</v>
      </c>
      <c r="L80" s="1"/>
      <c r="M80" s="1">
        <v>176.5</v>
      </c>
      <c r="N80" s="1">
        <f t="shared" si="28"/>
        <v>-0.90399999999999636</v>
      </c>
      <c r="O80" s="1">
        <f t="shared" si="29"/>
        <v>153.47900000000001</v>
      </c>
      <c r="P80" s="1">
        <v>22.117000000000001</v>
      </c>
      <c r="Q80" s="1">
        <v>104</v>
      </c>
      <c r="R80" s="1">
        <v>105</v>
      </c>
      <c r="S80" s="1">
        <f t="shared" si="30"/>
        <v>30.695800000000002</v>
      </c>
      <c r="T80" s="5">
        <f>15*S80-R80-Q80-H80</f>
        <v>27.709000000000003</v>
      </c>
      <c r="U80" s="5">
        <f t="shared" si="36"/>
        <v>28</v>
      </c>
      <c r="V80" s="5">
        <f t="shared" si="33"/>
        <v>28</v>
      </c>
      <c r="W80" s="5"/>
      <c r="X80" s="21"/>
      <c r="Y80" s="1">
        <f t="shared" si="38"/>
        <v>15.009480124316681</v>
      </c>
      <c r="Z80" s="1">
        <f t="shared" si="32"/>
        <v>14.097303214120497</v>
      </c>
      <c r="AA80" s="1">
        <v>40.856200000000001</v>
      </c>
      <c r="AB80" s="1">
        <v>36.972200000000001</v>
      </c>
      <c r="AC80" s="1">
        <v>32.253599999999999</v>
      </c>
      <c r="AD80" s="1">
        <v>29.294</v>
      </c>
      <c r="AE80" s="1">
        <v>20.121400000000001</v>
      </c>
      <c r="AF80" s="1">
        <v>21.1388</v>
      </c>
      <c r="AG80" s="1">
        <v>21.977599999999999</v>
      </c>
      <c r="AH80" s="1">
        <v>24.486999999999998</v>
      </c>
      <c r="AI80" s="1">
        <v>16.852399999999999</v>
      </c>
      <c r="AJ80" s="1">
        <v>27.894400000000001</v>
      </c>
      <c r="AK80" s="1"/>
      <c r="AL80" s="1">
        <f t="shared" si="34"/>
        <v>28</v>
      </c>
      <c r="AM80" s="1">
        <f t="shared" si="35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1" t="s">
        <v>137</v>
      </c>
      <c r="B81" s="11" t="s">
        <v>40</v>
      </c>
      <c r="C81" s="11">
        <v>14</v>
      </c>
      <c r="D81" s="11"/>
      <c r="E81" s="11"/>
      <c r="F81" s="11">
        <v>14</v>
      </c>
      <c r="G81" s="11"/>
      <c r="H81" s="11">
        <f t="shared" si="27"/>
        <v>14</v>
      </c>
      <c r="I81" s="12">
        <v>0</v>
      </c>
      <c r="J81" s="11">
        <v>50</v>
      </c>
      <c r="K81" s="11" t="s">
        <v>59</v>
      </c>
      <c r="L81" s="11"/>
      <c r="M81" s="11">
        <v>3.3</v>
      </c>
      <c r="N81" s="11">
        <f t="shared" si="28"/>
        <v>-3.3</v>
      </c>
      <c r="O81" s="11">
        <f t="shared" si="29"/>
        <v>0</v>
      </c>
      <c r="P81" s="11"/>
      <c r="Q81" s="11">
        <v>0</v>
      </c>
      <c r="R81" s="11"/>
      <c r="S81" s="11">
        <f t="shared" si="30"/>
        <v>0</v>
      </c>
      <c r="T81" s="13"/>
      <c r="U81" s="5">
        <f t="shared" si="36"/>
        <v>0</v>
      </c>
      <c r="V81" s="5">
        <f t="shared" si="33"/>
        <v>0</v>
      </c>
      <c r="W81" s="5"/>
      <c r="X81" s="20"/>
      <c r="Y81" s="1" t="e">
        <f t="shared" si="38"/>
        <v>#DIV/0!</v>
      </c>
      <c r="Z81" s="11" t="e">
        <f t="shared" si="32"/>
        <v>#DIV/0!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4" t="s">
        <v>131</v>
      </c>
      <c r="AL81" s="1">
        <f t="shared" si="34"/>
        <v>0</v>
      </c>
      <c r="AM81" s="1">
        <f t="shared" si="35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138</v>
      </c>
      <c r="B82" s="1" t="s">
        <v>36</v>
      </c>
      <c r="C82" s="1">
        <v>277.00799999999998</v>
      </c>
      <c r="D82" s="1">
        <v>755.62099999999998</v>
      </c>
      <c r="E82" s="1">
        <v>265.40800000000002</v>
      </c>
      <c r="F82" s="1">
        <v>652.21600000000001</v>
      </c>
      <c r="G82" s="1">
        <f>VLOOKUP(A82,[1]TDSheet!$A:$B,2,0)</f>
        <v>39.25</v>
      </c>
      <c r="H82" s="1">
        <f t="shared" si="27"/>
        <v>612.96600000000001</v>
      </c>
      <c r="I82" s="7">
        <v>1</v>
      </c>
      <c r="J82" s="1">
        <v>50</v>
      </c>
      <c r="K82" s="1" t="s">
        <v>37</v>
      </c>
      <c r="L82" s="1"/>
      <c r="M82" s="1">
        <v>290</v>
      </c>
      <c r="N82" s="1">
        <f t="shared" si="28"/>
        <v>-24.591999999999985</v>
      </c>
      <c r="O82" s="1">
        <f t="shared" si="29"/>
        <v>220.52200000000002</v>
      </c>
      <c r="P82" s="1">
        <v>44.886000000000003</v>
      </c>
      <c r="Q82" s="1">
        <v>0</v>
      </c>
      <c r="R82" s="1"/>
      <c r="S82" s="1">
        <f t="shared" si="30"/>
        <v>44.104400000000005</v>
      </c>
      <c r="T82" s="5">
        <f t="shared" ref="T82:T86" si="40">15*S82-R82-Q82-H82</f>
        <v>48.600000000000023</v>
      </c>
      <c r="U82" s="5">
        <f t="shared" si="36"/>
        <v>49</v>
      </c>
      <c r="V82" s="5">
        <f t="shared" si="33"/>
        <v>49</v>
      </c>
      <c r="W82" s="5"/>
      <c r="X82" s="21"/>
      <c r="Y82" s="1">
        <f t="shared" si="38"/>
        <v>15.009069389902139</v>
      </c>
      <c r="Z82" s="1">
        <f t="shared" si="32"/>
        <v>13.898069126889833</v>
      </c>
      <c r="AA82" s="1">
        <v>53.6798</v>
      </c>
      <c r="AB82" s="1">
        <v>74.640200000000007</v>
      </c>
      <c r="AC82" s="1">
        <v>63.796799999999998</v>
      </c>
      <c r="AD82" s="1">
        <v>56.350199999999987</v>
      </c>
      <c r="AE82" s="1">
        <v>53.830199999999998</v>
      </c>
      <c r="AF82" s="1">
        <v>48.284999999999989</v>
      </c>
      <c r="AG82" s="1">
        <v>52.988399999999999</v>
      </c>
      <c r="AH82" s="1">
        <v>77.6614</v>
      </c>
      <c r="AI82" s="1">
        <v>51.933399999999992</v>
      </c>
      <c r="AJ82" s="1">
        <v>61.083799999999997</v>
      </c>
      <c r="AK82" s="1"/>
      <c r="AL82" s="1">
        <f t="shared" si="34"/>
        <v>49</v>
      </c>
      <c r="AM82" s="1">
        <f t="shared" si="35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139</v>
      </c>
      <c r="B83" s="1" t="s">
        <v>40</v>
      </c>
      <c r="C83" s="1">
        <v>1041</v>
      </c>
      <c r="D83" s="1">
        <v>1610</v>
      </c>
      <c r="E83" s="1">
        <v>701</v>
      </c>
      <c r="F83" s="1">
        <v>1687</v>
      </c>
      <c r="G83" s="1"/>
      <c r="H83" s="1">
        <f t="shared" si="27"/>
        <v>1687</v>
      </c>
      <c r="I83" s="7">
        <v>0.35</v>
      </c>
      <c r="J83" s="1">
        <v>50</v>
      </c>
      <c r="K83" s="1" t="s">
        <v>37</v>
      </c>
      <c r="L83" s="1"/>
      <c r="M83" s="1">
        <v>849</v>
      </c>
      <c r="N83" s="1">
        <f t="shared" si="28"/>
        <v>-148</v>
      </c>
      <c r="O83" s="1">
        <f t="shared" si="29"/>
        <v>701</v>
      </c>
      <c r="P83" s="1"/>
      <c r="Q83" s="1">
        <v>0</v>
      </c>
      <c r="R83" s="1"/>
      <c r="S83" s="1">
        <f t="shared" si="30"/>
        <v>140.19999999999999</v>
      </c>
      <c r="T83" s="5">
        <f t="shared" si="40"/>
        <v>416</v>
      </c>
      <c r="U83" s="5">
        <f t="shared" si="36"/>
        <v>416</v>
      </c>
      <c r="V83" s="5">
        <f t="shared" si="33"/>
        <v>208</v>
      </c>
      <c r="W83" s="5">
        <f>ROUND(U83*$W$1,0)</f>
        <v>208</v>
      </c>
      <c r="X83" s="21"/>
      <c r="Y83" s="1">
        <f t="shared" si="38"/>
        <v>15.000000000000002</v>
      </c>
      <c r="Z83" s="1">
        <f t="shared" si="32"/>
        <v>12.03281027104137</v>
      </c>
      <c r="AA83" s="1">
        <v>114.6</v>
      </c>
      <c r="AB83" s="1">
        <v>206.2</v>
      </c>
      <c r="AC83" s="1">
        <v>182</v>
      </c>
      <c r="AD83" s="1">
        <v>132.6</v>
      </c>
      <c r="AE83" s="1">
        <v>161.6</v>
      </c>
      <c r="AF83" s="1">
        <v>172.8</v>
      </c>
      <c r="AG83" s="1">
        <v>140.2818</v>
      </c>
      <c r="AH83" s="1">
        <v>173.4</v>
      </c>
      <c r="AI83" s="1">
        <v>162.80000000000001</v>
      </c>
      <c r="AJ83" s="1">
        <v>250.2</v>
      </c>
      <c r="AK83" s="1"/>
      <c r="AL83" s="1">
        <f t="shared" si="34"/>
        <v>72.8</v>
      </c>
      <c r="AM83" s="1">
        <f t="shared" si="35"/>
        <v>72.8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140</v>
      </c>
      <c r="B84" s="1" t="s">
        <v>40</v>
      </c>
      <c r="C84" s="1">
        <v>73</v>
      </c>
      <c r="D84" s="1">
        <v>207</v>
      </c>
      <c r="E84" s="1">
        <v>101</v>
      </c>
      <c r="F84" s="1">
        <v>152</v>
      </c>
      <c r="G84" s="1"/>
      <c r="H84" s="1">
        <f t="shared" si="27"/>
        <v>152</v>
      </c>
      <c r="I84" s="7">
        <v>0.3</v>
      </c>
      <c r="J84" s="1">
        <v>50</v>
      </c>
      <c r="K84" s="1" t="s">
        <v>37</v>
      </c>
      <c r="L84" s="1"/>
      <c r="M84" s="1">
        <v>124</v>
      </c>
      <c r="N84" s="1">
        <f t="shared" si="28"/>
        <v>-23</v>
      </c>
      <c r="O84" s="1">
        <f t="shared" si="29"/>
        <v>101</v>
      </c>
      <c r="P84" s="1"/>
      <c r="Q84" s="1">
        <v>14</v>
      </c>
      <c r="R84" s="1"/>
      <c r="S84" s="1">
        <f t="shared" si="30"/>
        <v>20.2</v>
      </c>
      <c r="T84" s="5">
        <f t="shared" si="40"/>
        <v>137</v>
      </c>
      <c r="U84" s="5">
        <f t="shared" si="36"/>
        <v>137</v>
      </c>
      <c r="V84" s="5">
        <f t="shared" si="33"/>
        <v>137</v>
      </c>
      <c r="W84" s="5"/>
      <c r="X84" s="21"/>
      <c r="Y84" s="1">
        <f t="shared" si="38"/>
        <v>15</v>
      </c>
      <c r="Z84" s="1">
        <f t="shared" si="32"/>
        <v>8.217821782178218</v>
      </c>
      <c r="AA84" s="1">
        <v>18.600000000000001</v>
      </c>
      <c r="AB84" s="1">
        <v>22.2</v>
      </c>
      <c r="AC84" s="1">
        <v>19</v>
      </c>
      <c r="AD84" s="1">
        <v>16.2</v>
      </c>
      <c r="AE84" s="1">
        <v>17</v>
      </c>
      <c r="AF84" s="1">
        <v>22</v>
      </c>
      <c r="AG84" s="1">
        <v>20.6</v>
      </c>
      <c r="AH84" s="1">
        <v>1</v>
      </c>
      <c r="AI84" s="1">
        <v>0</v>
      </c>
      <c r="AJ84" s="1">
        <v>0</v>
      </c>
      <c r="AK84" s="1"/>
      <c r="AL84" s="1">
        <f t="shared" si="34"/>
        <v>41.1</v>
      </c>
      <c r="AM84" s="1">
        <f t="shared" si="35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141</v>
      </c>
      <c r="B85" s="1" t="s">
        <v>40</v>
      </c>
      <c r="C85" s="1">
        <v>-3</v>
      </c>
      <c r="D85" s="1">
        <v>36</v>
      </c>
      <c r="E85" s="1">
        <v>49</v>
      </c>
      <c r="F85" s="1">
        <v>-21</v>
      </c>
      <c r="G85" s="1"/>
      <c r="H85" s="1">
        <f t="shared" si="27"/>
        <v>-21</v>
      </c>
      <c r="I85" s="7">
        <v>0.3</v>
      </c>
      <c r="J85" s="1">
        <v>60</v>
      </c>
      <c r="K85" s="1" t="s">
        <v>37</v>
      </c>
      <c r="L85" s="1"/>
      <c r="M85" s="1">
        <v>91</v>
      </c>
      <c r="N85" s="1">
        <f t="shared" si="28"/>
        <v>-42</v>
      </c>
      <c r="O85" s="1">
        <f t="shared" si="29"/>
        <v>49</v>
      </c>
      <c r="P85" s="1"/>
      <c r="Q85" s="1">
        <v>95</v>
      </c>
      <c r="R85" s="1">
        <v>96</v>
      </c>
      <c r="S85" s="1">
        <f t="shared" si="30"/>
        <v>9.8000000000000007</v>
      </c>
      <c r="T85" s="5"/>
      <c r="U85" s="5">
        <f t="shared" si="36"/>
        <v>0</v>
      </c>
      <c r="V85" s="5">
        <f t="shared" si="33"/>
        <v>0</v>
      </c>
      <c r="W85" s="5"/>
      <c r="X85" s="21"/>
      <c r="Y85" s="1">
        <f t="shared" si="38"/>
        <v>17.346938775510203</v>
      </c>
      <c r="Z85" s="1">
        <f t="shared" si="32"/>
        <v>17.346938775510203</v>
      </c>
      <c r="AA85" s="1">
        <v>18.600000000000001</v>
      </c>
      <c r="AB85" s="1">
        <v>8</v>
      </c>
      <c r="AC85" s="1">
        <v>9.1999999999999993</v>
      </c>
      <c r="AD85" s="1">
        <v>7.8</v>
      </c>
      <c r="AE85" s="1">
        <v>11</v>
      </c>
      <c r="AF85" s="1">
        <v>10.8</v>
      </c>
      <c r="AG85" s="1">
        <v>14.2</v>
      </c>
      <c r="AH85" s="1">
        <v>15</v>
      </c>
      <c r="AI85" s="1">
        <v>7.6</v>
      </c>
      <c r="AJ85" s="1">
        <v>19</v>
      </c>
      <c r="AK85" s="1"/>
      <c r="AL85" s="1">
        <f t="shared" si="34"/>
        <v>0</v>
      </c>
      <c r="AM85" s="1">
        <f t="shared" si="35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142</v>
      </c>
      <c r="B86" s="1" t="s">
        <v>40</v>
      </c>
      <c r="C86" s="1">
        <v>203</v>
      </c>
      <c r="D86" s="1">
        <v>78</v>
      </c>
      <c r="E86" s="1">
        <v>109</v>
      </c>
      <c r="F86" s="1">
        <v>110</v>
      </c>
      <c r="G86" s="1"/>
      <c r="H86" s="1">
        <f t="shared" si="27"/>
        <v>110</v>
      </c>
      <c r="I86" s="7">
        <v>0.28000000000000003</v>
      </c>
      <c r="J86" s="1">
        <v>50</v>
      </c>
      <c r="K86" s="1" t="s">
        <v>37</v>
      </c>
      <c r="L86" s="1"/>
      <c r="M86" s="1">
        <v>160</v>
      </c>
      <c r="N86" s="1">
        <f t="shared" si="28"/>
        <v>-51</v>
      </c>
      <c r="O86" s="1">
        <f t="shared" si="29"/>
        <v>93</v>
      </c>
      <c r="P86" s="1">
        <v>16</v>
      </c>
      <c r="Q86" s="1">
        <v>73</v>
      </c>
      <c r="R86" s="1">
        <v>74</v>
      </c>
      <c r="S86" s="1">
        <f t="shared" si="30"/>
        <v>18.600000000000001</v>
      </c>
      <c r="T86" s="5">
        <f t="shared" si="40"/>
        <v>22</v>
      </c>
      <c r="U86" s="5">
        <f t="shared" si="36"/>
        <v>22</v>
      </c>
      <c r="V86" s="5">
        <f t="shared" si="33"/>
        <v>22</v>
      </c>
      <c r="W86" s="5"/>
      <c r="X86" s="21"/>
      <c r="Y86" s="1">
        <f t="shared" si="38"/>
        <v>14.999999999999998</v>
      </c>
      <c r="Z86" s="1">
        <f t="shared" si="32"/>
        <v>13.817204301075268</v>
      </c>
      <c r="AA86" s="1">
        <v>24.4</v>
      </c>
      <c r="AB86" s="1">
        <v>18.399999999999999</v>
      </c>
      <c r="AC86" s="1">
        <v>31</v>
      </c>
      <c r="AD86" s="1">
        <v>29.2</v>
      </c>
      <c r="AE86" s="1">
        <v>23</v>
      </c>
      <c r="AF86" s="1">
        <v>27.2</v>
      </c>
      <c r="AG86" s="1">
        <v>25.2</v>
      </c>
      <c r="AH86" s="1">
        <v>32.6</v>
      </c>
      <c r="AI86" s="1">
        <v>18.8</v>
      </c>
      <c r="AJ86" s="1">
        <v>33.6</v>
      </c>
      <c r="AK86" s="1"/>
      <c r="AL86" s="1">
        <f t="shared" si="34"/>
        <v>6.16</v>
      </c>
      <c r="AM86" s="1">
        <f t="shared" si="35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143</v>
      </c>
      <c r="B87" s="1" t="s">
        <v>40</v>
      </c>
      <c r="C87" s="1">
        <v>213</v>
      </c>
      <c r="D87" s="1">
        <v>1442</v>
      </c>
      <c r="E87" s="1">
        <v>1149</v>
      </c>
      <c r="F87" s="1">
        <v>363</v>
      </c>
      <c r="G87" s="1"/>
      <c r="H87" s="1">
        <f t="shared" si="27"/>
        <v>363</v>
      </c>
      <c r="I87" s="7">
        <v>0.28000000000000003</v>
      </c>
      <c r="J87" s="1">
        <v>45</v>
      </c>
      <c r="K87" s="19" t="s">
        <v>70</v>
      </c>
      <c r="L87" s="1"/>
      <c r="M87" s="1">
        <v>1230</v>
      </c>
      <c r="N87" s="1">
        <f t="shared" si="28"/>
        <v>-81</v>
      </c>
      <c r="O87" s="1">
        <f t="shared" si="29"/>
        <v>1117</v>
      </c>
      <c r="P87" s="1">
        <v>32</v>
      </c>
      <c r="Q87" s="1">
        <v>100</v>
      </c>
      <c r="R87" s="1"/>
      <c r="S87" s="1">
        <f t="shared" si="30"/>
        <v>223.4</v>
      </c>
      <c r="T87" s="5">
        <v>400</v>
      </c>
      <c r="U87" s="5">
        <f>ROUND(T87,0)+500</f>
        <v>900</v>
      </c>
      <c r="V87" s="5">
        <f t="shared" si="33"/>
        <v>450</v>
      </c>
      <c r="W87" s="5">
        <f>ROUND(U87*$W$1,0)</f>
        <v>450</v>
      </c>
      <c r="X87" s="21" t="s">
        <v>189</v>
      </c>
      <c r="Y87" s="1">
        <f t="shared" si="38"/>
        <v>6.1011638316920322</v>
      </c>
      <c r="Z87" s="1">
        <f t="shared" si="32"/>
        <v>2.072515666965085</v>
      </c>
      <c r="AA87" s="1">
        <v>39.4</v>
      </c>
      <c r="AB87" s="1">
        <v>53.8</v>
      </c>
      <c r="AC87" s="1">
        <v>51.2</v>
      </c>
      <c r="AD87" s="1">
        <v>57.2</v>
      </c>
      <c r="AE87" s="1">
        <v>46.6</v>
      </c>
      <c r="AF87" s="1">
        <v>39</v>
      </c>
      <c r="AG87" s="1">
        <v>8.4</v>
      </c>
      <c r="AH87" s="1">
        <v>60.4</v>
      </c>
      <c r="AI87" s="1">
        <v>40.799999999999997</v>
      </c>
      <c r="AJ87" s="1">
        <v>41.2</v>
      </c>
      <c r="AK87" s="1" t="s">
        <v>205</v>
      </c>
      <c r="AL87" s="1">
        <f t="shared" si="34"/>
        <v>126.00000000000001</v>
      </c>
      <c r="AM87" s="1">
        <f t="shared" si="35"/>
        <v>126.00000000000001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1" t="s">
        <v>102</v>
      </c>
      <c r="B88" s="11" t="s">
        <v>40</v>
      </c>
      <c r="C88" s="11"/>
      <c r="D88" s="11"/>
      <c r="E88" s="11">
        <v>6</v>
      </c>
      <c r="F88" s="15">
        <f>-11+F49</f>
        <v>-14</v>
      </c>
      <c r="G88" s="11"/>
      <c r="H88" s="11">
        <f t="shared" si="27"/>
        <v>-14</v>
      </c>
      <c r="I88" s="12">
        <v>0</v>
      </c>
      <c r="J88" s="11">
        <v>45</v>
      </c>
      <c r="K88" s="11" t="s">
        <v>59</v>
      </c>
      <c r="L88" s="11"/>
      <c r="M88" s="11">
        <v>39</v>
      </c>
      <c r="N88" s="11">
        <f t="shared" si="28"/>
        <v>-33</v>
      </c>
      <c r="O88" s="11">
        <f t="shared" si="29"/>
        <v>6</v>
      </c>
      <c r="P88" s="11"/>
      <c r="Q88" s="11">
        <v>0</v>
      </c>
      <c r="R88" s="11"/>
      <c r="S88" s="11">
        <f t="shared" si="30"/>
        <v>1.2</v>
      </c>
      <c r="T88" s="13"/>
      <c r="U88" s="5">
        <f t="shared" si="36"/>
        <v>0</v>
      </c>
      <c r="V88" s="5">
        <f t="shared" si="33"/>
        <v>0</v>
      </c>
      <c r="W88" s="5"/>
      <c r="X88" s="20"/>
      <c r="Y88" s="1">
        <f t="shared" si="38"/>
        <v>-11.666666666666668</v>
      </c>
      <c r="Z88" s="11">
        <f t="shared" si="32"/>
        <v>-11.666666666666668</v>
      </c>
      <c r="AA88" s="11">
        <v>5.8</v>
      </c>
      <c r="AB88" s="11">
        <v>11</v>
      </c>
      <c r="AC88" s="11">
        <v>12</v>
      </c>
      <c r="AD88" s="11">
        <v>6.8</v>
      </c>
      <c r="AE88" s="11">
        <v>12.6</v>
      </c>
      <c r="AF88" s="11">
        <v>14.6</v>
      </c>
      <c r="AG88" s="11">
        <v>9.1999999999999993</v>
      </c>
      <c r="AH88" s="11">
        <v>10.8</v>
      </c>
      <c r="AI88" s="11">
        <v>17.600000000000001</v>
      </c>
      <c r="AJ88" s="11">
        <v>12</v>
      </c>
      <c r="AK88" s="11" t="s">
        <v>88</v>
      </c>
      <c r="AL88" s="1">
        <f t="shared" si="34"/>
        <v>0</v>
      </c>
      <c r="AM88" s="1">
        <f t="shared" si="35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144</v>
      </c>
      <c r="B89" s="1" t="s">
        <v>40</v>
      </c>
      <c r="C89" s="1">
        <v>56</v>
      </c>
      <c r="D89" s="1">
        <v>471</v>
      </c>
      <c r="E89" s="1">
        <v>217</v>
      </c>
      <c r="F89" s="1">
        <v>245</v>
      </c>
      <c r="G89" s="1"/>
      <c r="H89" s="1">
        <f t="shared" si="27"/>
        <v>245</v>
      </c>
      <c r="I89" s="7">
        <v>0.28000000000000003</v>
      </c>
      <c r="J89" s="1">
        <v>45</v>
      </c>
      <c r="K89" s="1" t="s">
        <v>37</v>
      </c>
      <c r="L89" s="1"/>
      <c r="M89" s="1">
        <v>359</v>
      </c>
      <c r="N89" s="1">
        <f t="shared" si="28"/>
        <v>-142</v>
      </c>
      <c r="O89" s="1">
        <f t="shared" si="29"/>
        <v>185</v>
      </c>
      <c r="P89" s="1">
        <v>32</v>
      </c>
      <c r="Q89" s="1">
        <v>28</v>
      </c>
      <c r="R89" s="1"/>
      <c r="S89" s="1">
        <f t="shared" si="30"/>
        <v>37</v>
      </c>
      <c r="T89" s="5">
        <f t="shared" ref="T89" si="41">15*S89-R89-Q89-H89</f>
        <v>282</v>
      </c>
      <c r="U89" s="5">
        <f t="shared" si="36"/>
        <v>282</v>
      </c>
      <c r="V89" s="5">
        <f t="shared" si="33"/>
        <v>141</v>
      </c>
      <c r="W89" s="5">
        <f t="shared" ref="W89:W90" si="42">ROUND(U89*$W$1,0)</f>
        <v>141</v>
      </c>
      <c r="X89" s="21"/>
      <c r="Y89" s="1">
        <f t="shared" si="38"/>
        <v>15</v>
      </c>
      <c r="Z89" s="1">
        <f t="shared" si="32"/>
        <v>7.3783783783783781</v>
      </c>
      <c r="AA89" s="1">
        <v>36</v>
      </c>
      <c r="AB89" s="1">
        <v>47.4</v>
      </c>
      <c r="AC89" s="1">
        <v>36.6</v>
      </c>
      <c r="AD89" s="1">
        <v>41.2</v>
      </c>
      <c r="AE89" s="1">
        <v>34</v>
      </c>
      <c r="AF89" s="1">
        <v>45.8</v>
      </c>
      <c r="AG89" s="1">
        <v>23.4</v>
      </c>
      <c r="AH89" s="1">
        <v>51</v>
      </c>
      <c r="AI89" s="1">
        <v>34</v>
      </c>
      <c r="AJ89" s="1">
        <v>10.8</v>
      </c>
      <c r="AK89" s="1"/>
      <c r="AL89" s="1">
        <f t="shared" si="34"/>
        <v>39.480000000000004</v>
      </c>
      <c r="AM89" s="1">
        <f t="shared" si="35"/>
        <v>39.480000000000004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145</v>
      </c>
      <c r="B90" s="1" t="s">
        <v>40</v>
      </c>
      <c r="C90" s="1">
        <v>3</v>
      </c>
      <c r="D90" s="1">
        <v>691</v>
      </c>
      <c r="E90" s="1">
        <v>321</v>
      </c>
      <c r="F90" s="1">
        <v>261</v>
      </c>
      <c r="G90" s="1"/>
      <c r="H90" s="1">
        <f t="shared" si="27"/>
        <v>261</v>
      </c>
      <c r="I90" s="7">
        <v>0.4</v>
      </c>
      <c r="J90" s="1">
        <v>50</v>
      </c>
      <c r="K90" s="1" t="s">
        <v>37</v>
      </c>
      <c r="L90" s="1"/>
      <c r="M90" s="1">
        <v>517</v>
      </c>
      <c r="N90" s="1">
        <f t="shared" si="28"/>
        <v>-196</v>
      </c>
      <c r="O90" s="1">
        <f t="shared" si="29"/>
        <v>315</v>
      </c>
      <c r="P90" s="1">
        <v>6</v>
      </c>
      <c r="Q90" s="1">
        <v>0</v>
      </c>
      <c r="R90" s="1"/>
      <c r="S90" s="1">
        <f t="shared" si="30"/>
        <v>63</v>
      </c>
      <c r="T90" s="5">
        <f>13*S90-R90-Q90-H90</f>
        <v>558</v>
      </c>
      <c r="U90" s="5">
        <f t="shared" si="36"/>
        <v>558</v>
      </c>
      <c r="V90" s="5">
        <f t="shared" si="33"/>
        <v>279</v>
      </c>
      <c r="W90" s="5">
        <f t="shared" si="42"/>
        <v>279</v>
      </c>
      <c r="X90" s="21"/>
      <c r="Y90" s="1">
        <f t="shared" si="38"/>
        <v>13</v>
      </c>
      <c r="Z90" s="1">
        <f t="shared" si="32"/>
        <v>4.1428571428571432</v>
      </c>
      <c r="AA90" s="1">
        <v>36.4</v>
      </c>
      <c r="AB90" s="1">
        <v>70.400000000000006</v>
      </c>
      <c r="AC90" s="1">
        <v>24.8</v>
      </c>
      <c r="AD90" s="1">
        <v>68</v>
      </c>
      <c r="AE90" s="1">
        <v>57.4</v>
      </c>
      <c r="AF90" s="1">
        <v>43.4</v>
      </c>
      <c r="AG90" s="1">
        <v>68.400000000000006</v>
      </c>
      <c r="AH90" s="1">
        <v>89.6</v>
      </c>
      <c r="AI90" s="1">
        <v>57.4</v>
      </c>
      <c r="AJ90" s="1">
        <v>83.4</v>
      </c>
      <c r="AK90" s="1"/>
      <c r="AL90" s="1">
        <f t="shared" si="34"/>
        <v>111.60000000000001</v>
      </c>
      <c r="AM90" s="1">
        <f t="shared" si="35"/>
        <v>111.60000000000001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1" t="s">
        <v>146</v>
      </c>
      <c r="B91" s="11" t="s">
        <v>40</v>
      </c>
      <c r="C91" s="11">
        <v>-8</v>
      </c>
      <c r="D91" s="11"/>
      <c r="E91" s="11"/>
      <c r="F91" s="11">
        <v>-9</v>
      </c>
      <c r="G91" s="11"/>
      <c r="H91" s="11">
        <f t="shared" si="27"/>
        <v>-9</v>
      </c>
      <c r="I91" s="12">
        <v>0</v>
      </c>
      <c r="J91" s="11">
        <v>50</v>
      </c>
      <c r="K91" s="11" t="s">
        <v>59</v>
      </c>
      <c r="L91" s="11"/>
      <c r="M91" s="11">
        <v>3</v>
      </c>
      <c r="N91" s="11">
        <f t="shared" si="28"/>
        <v>-3</v>
      </c>
      <c r="O91" s="11">
        <f t="shared" si="29"/>
        <v>0</v>
      </c>
      <c r="P91" s="11"/>
      <c r="Q91" s="11">
        <v>0</v>
      </c>
      <c r="R91" s="11"/>
      <c r="S91" s="11">
        <f t="shared" si="30"/>
        <v>0</v>
      </c>
      <c r="T91" s="13"/>
      <c r="U91" s="5">
        <f t="shared" si="36"/>
        <v>0</v>
      </c>
      <c r="V91" s="5">
        <f t="shared" si="33"/>
        <v>0</v>
      </c>
      <c r="W91" s="5"/>
      <c r="X91" s="20"/>
      <c r="Y91" s="1" t="e">
        <f t="shared" si="38"/>
        <v>#DIV/0!</v>
      </c>
      <c r="Z91" s="11" t="e">
        <f t="shared" si="32"/>
        <v>#DIV/0!</v>
      </c>
      <c r="AA91" s="11">
        <v>3.2</v>
      </c>
      <c r="AB91" s="11">
        <v>7.2</v>
      </c>
      <c r="AC91" s="11">
        <v>2.2000000000000002</v>
      </c>
      <c r="AD91" s="11">
        <v>3.6</v>
      </c>
      <c r="AE91" s="11">
        <v>1.4</v>
      </c>
      <c r="AF91" s="11">
        <v>2.2000000000000002</v>
      </c>
      <c r="AG91" s="11">
        <v>1.8</v>
      </c>
      <c r="AH91" s="11">
        <v>2.4</v>
      </c>
      <c r="AI91" s="11">
        <v>10.4</v>
      </c>
      <c r="AJ91" s="11">
        <v>6.2</v>
      </c>
      <c r="AK91" s="11"/>
      <c r="AL91" s="1">
        <f t="shared" si="34"/>
        <v>0</v>
      </c>
      <c r="AM91" s="1">
        <f t="shared" si="35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1" t="s">
        <v>147</v>
      </c>
      <c r="B92" s="11" t="s">
        <v>40</v>
      </c>
      <c r="C92" s="11">
        <v>-12</v>
      </c>
      <c r="D92" s="11"/>
      <c r="E92" s="11">
        <v>2</v>
      </c>
      <c r="F92" s="11">
        <v>-14</v>
      </c>
      <c r="G92" s="11"/>
      <c r="H92" s="11">
        <f t="shared" si="27"/>
        <v>-14</v>
      </c>
      <c r="I92" s="12">
        <v>0</v>
      </c>
      <c r="J92" s="11">
        <v>30</v>
      </c>
      <c r="K92" s="11" t="s">
        <v>59</v>
      </c>
      <c r="L92" s="11"/>
      <c r="M92" s="11">
        <v>32</v>
      </c>
      <c r="N92" s="11">
        <f t="shared" si="28"/>
        <v>-30</v>
      </c>
      <c r="O92" s="11">
        <f t="shared" si="29"/>
        <v>2</v>
      </c>
      <c r="P92" s="11"/>
      <c r="Q92" s="11">
        <v>0</v>
      </c>
      <c r="R92" s="11"/>
      <c r="S92" s="11">
        <f t="shared" si="30"/>
        <v>0.4</v>
      </c>
      <c r="T92" s="13"/>
      <c r="U92" s="5">
        <f t="shared" si="36"/>
        <v>0</v>
      </c>
      <c r="V92" s="5">
        <f t="shared" si="33"/>
        <v>0</v>
      </c>
      <c r="W92" s="5"/>
      <c r="X92" s="20"/>
      <c r="Y92" s="1">
        <f t="shared" si="38"/>
        <v>-35</v>
      </c>
      <c r="Z92" s="11">
        <f t="shared" si="32"/>
        <v>-35</v>
      </c>
      <c r="AA92" s="11">
        <v>0.8</v>
      </c>
      <c r="AB92" s="11">
        <v>0</v>
      </c>
      <c r="AC92" s="11">
        <v>0</v>
      </c>
      <c r="AD92" s="11">
        <v>2.4</v>
      </c>
      <c r="AE92" s="11">
        <v>4</v>
      </c>
      <c r="AF92" s="11">
        <v>1.6</v>
      </c>
      <c r="AG92" s="11">
        <v>3.4</v>
      </c>
      <c r="AH92" s="11">
        <v>3.6</v>
      </c>
      <c r="AI92" s="11">
        <v>2.8</v>
      </c>
      <c r="AJ92" s="11">
        <v>5.8</v>
      </c>
      <c r="AK92" s="11" t="s">
        <v>88</v>
      </c>
      <c r="AL92" s="1">
        <f t="shared" si="34"/>
        <v>0</v>
      </c>
      <c r="AM92" s="1">
        <f t="shared" si="35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1" t="s">
        <v>148</v>
      </c>
      <c r="B93" s="11" t="s">
        <v>40</v>
      </c>
      <c r="C93" s="11">
        <v>-13</v>
      </c>
      <c r="D93" s="11"/>
      <c r="E93" s="15">
        <v>-1</v>
      </c>
      <c r="F93" s="15">
        <v>-15</v>
      </c>
      <c r="G93" s="11"/>
      <c r="H93" s="11">
        <f t="shared" si="27"/>
        <v>-15</v>
      </c>
      <c r="I93" s="12">
        <v>0</v>
      </c>
      <c r="J93" s="11">
        <v>60</v>
      </c>
      <c r="K93" s="11" t="s">
        <v>59</v>
      </c>
      <c r="L93" s="11" t="s">
        <v>149</v>
      </c>
      <c r="M93" s="11">
        <v>100</v>
      </c>
      <c r="N93" s="11">
        <f t="shared" si="28"/>
        <v>-101</v>
      </c>
      <c r="O93" s="11">
        <f t="shared" si="29"/>
        <v>-1</v>
      </c>
      <c r="P93" s="11"/>
      <c r="Q93" s="11">
        <v>0</v>
      </c>
      <c r="R93" s="11"/>
      <c r="S93" s="11">
        <f t="shared" si="30"/>
        <v>-0.2</v>
      </c>
      <c r="T93" s="13"/>
      <c r="U93" s="5">
        <f t="shared" si="36"/>
        <v>0</v>
      </c>
      <c r="V93" s="5">
        <f t="shared" si="33"/>
        <v>0</v>
      </c>
      <c r="W93" s="5"/>
      <c r="X93" s="20"/>
      <c r="Y93" s="1">
        <f t="shared" si="38"/>
        <v>75</v>
      </c>
      <c r="Z93" s="11">
        <f t="shared" si="32"/>
        <v>75</v>
      </c>
      <c r="AA93" s="11">
        <v>0</v>
      </c>
      <c r="AB93" s="11">
        <v>6.8</v>
      </c>
      <c r="AC93" s="11">
        <v>5</v>
      </c>
      <c r="AD93" s="11">
        <v>9.6</v>
      </c>
      <c r="AE93" s="11">
        <v>5.6</v>
      </c>
      <c r="AF93" s="11">
        <v>5.2</v>
      </c>
      <c r="AG93" s="11">
        <v>9.8000000000000007</v>
      </c>
      <c r="AH93" s="11">
        <v>13</v>
      </c>
      <c r="AI93" s="11">
        <v>9.1999999999999993</v>
      </c>
      <c r="AJ93" s="11">
        <v>13.6</v>
      </c>
      <c r="AK93" s="11" t="s">
        <v>150</v>
      </c>
      <c r="AL93" s="1">
        <f t="shared" si="34"/>
        <v>0</v>
      </c>
      <c r="AM93" s="1">
        <f t="shared" si="35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151</v>
      </c>
      <c r="B94" s="1" t="s">
        <v>36</v>
      </c>
      <c r="C94" s="1">
        <v>2.2639999999999998</v>
      </c>
      <c r="D94" s="1">
        <v>160.28700000000001</v>
      </c>
      <c r="E94" s="1">
        <v>52.453000000000003</v>
      </c>
      <c r="F94" s="1">
        <v>97.876999999999995</v>
      </c>
      <c r="G94" s="1"/>
      <c r="H94" s="1">
        <f t="shared" si="27"/>
        <v>97.876999999999995</v>
      </c>
      <c r="I94" s="7">
        <v>1</v>
      </c>
      <c r="J94" s="1"/>
      <c r="K94" s="1" t="s">
        <v>37</v>
      </c>
      <c r="L94" s="1"/>
      <c r="M94" s="1">
        <v>90.631</v>
      </c>
      <c r="N94" s="1">
        <f t="shared" si="28"/>
        <v>-38.177999999999997</v>
      </c>
      <c r="O94" s="1">
        <f t="shared" si="29"/>
        <v>52.453000000000003</v>
      </c>
      <c r="P94" s="1"/>
      <c r="Q94" s="1">
        <v>137</v>
      </c>
      <c r="R94" s="1">
        <v>137</v>
      </c>
      <c r="S94" s="1">
        <f t="shared" si="30"/>
        <v>10.490600000000001</v>
      </c>
      <c r="T94" s="5"/>
      <c r="U94" s="5">
        <f t="shared" si="36"/>
        <v>0</v>
      </c>
      <c r="V94" s="5">
        <f t="shared" si="33"/>
        <v>0</v>
      </c>
      <c r="W94" s="5"/>
      <c r="X94" s="21"/>
      <c r="Y94" s="1">
        <f t="shared" si="38"/>
        <v>35.448592072903359</v>
      </c>
      <c r="Z94" s="1">
        <f t="shared" si="32"/>
        <v>35.448592072903359</v>
      </c>
      <c r="AA94" s="1">
        <v>31.147200000000002</v>
      </c>
      <c r="AB94" s="1">
        <v>0</v>
      </c>
      <c r="AC94" s="1">
        <v>9.9475999999999996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 t="s">
        <v>77</v>
      </c>
      <c r="AL94" s="1">
        <f t="shared" si="34"/>
        <v>0</v>
      </c>
      <c r="AM94" s="1">
        <f t="shared" si="35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152</v>
      </c>
      <c r="B95" s="1" t="s">
        <v>40</v>
      </c>
      <c r="C95" s="1">
        <v>2</v>
      </c>
      <c r="D95" s="1">
        <v>17</v>
      </c>
      <c r="E95" s="1">
        <v>13</v>
      </c>
      <c r="F95" s="1">
        <v>1</v>
      </c>
      <c r="G95" s="1"/>
      <c r="H95" s="1">
        <f t="shared" si="27"/>
        <v>1</v>
      </c>
      <c r="I95" s="7">
        <v>0.28000000000000003</v>
      </c>
      <c r="J95" s="1">
        <v>50</v>
      </c>
      <c r="K95" s="1" t="s">
        <v>37</v>
      </c>
      <c r="L95" s="1"/>
      <c r="M95" s="1">
        <v>16</v>
      </c>
      <c r="N95" s="1">
        <f t="shared" si="28"/>
        <v>-3</v>
      </c>
      <c r="O95" s="1">
        <f t="shared" si="29"/>
        <v>13</v>
      </c>
      <c r="P95" s="1"/>
      <c r="Q95" s="1">
        <v>39</v>
      </c>
      <c r="R95" s="1"/>
      <c r="S95" s="1">
        <f t="shared" si="30"/>
        <v>2.6</v>
      </c>
      <c r="T95" s="5"/>
      <c r="U95" s="5">
        <f t="shared" si="36"/>
        <v>0</v>
      </c>
      <c r="V95" s="5">
        <f t="shared" si="33"/>
        <v>0</v>
      </c>
      <c r="W95" s="5"/>
      <c r="X95" s="21"/>
      <c r="Y95" s="1">
        <f t="shared" si="38"/>
        <v>15.384615384615383</v>
      </c>
      <c r="Z95" s="1">
        <f t="shared" si="32"/>
        <v>15.384615384615383</v>
      </c>
      <c r="AA95" s="1">
        <v>4</v>
      </c>
      <c r="AB95" s="1">
        <v>2.4</v>
      </c>
      <c r="AC95" s="1">
        <v>2.4</v>
      </c>
      <c r="AD95" s="1">
        <v>1.2</v>
      </c>
      <c r="AE95" s="1">
        <v>3.6</v>
      </c>
      <c r="AF95" s="1">
        <v>3.8</v>
      </c>
      <c r="AG95" s="1">
        <v>2.8</v>
      </c>
      <c r="AH95" s="1">
        <v>4.4000000000000004</v>
      </c>
      <c r="AI95" s="1">
        <v>0.4</v>
      </c>
      <c r="AJ95" s="1">
        <v>3.2</v>
      </c>
      <c r="AK95" s="1"/>
      <c r="AL95" s="1">
        <f t="shared" si="34"/>
        <v>0</v>
      </c>
      <c r="AM95" s="1">
        <f t="shared" si="35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1" t="s">
        <v>153</v>
      </c>
      <c r="B96" s="11" t="s">
        <v>40</v>
      </c>
      <c r="C96" s="11">
        <v>-5</v>
      </c>
      <c r="D96" s="11"/>
      <c r="E96" s="11"/>
      <c r="F96" s="11">
        <v>-5</v>
      </c>
      <c r="G96" s="11"/>
      <c r="H96" s="11">
        <f t="shared" si="27"/>
        <v>-5</v>
      </c>
      <c r="I96" s="12">
        <v>0</v>
      </c>
      <c r="J96" s="11">
        <v>50</v>
      </c>
      <c r="K96" s="11" t="s">
        <v>59</v>
      </c>
      <c r="L96" s="11"/>
      <c r="M96" s="11">
        <v>123</v>
      </c>
      <c r="N96" s="11">
        <f t="shared" si="28"/>
        <v>-123</v>
      </c>
      <c r="O96" s="11">
        <f t="shared" si="29"/>
        <v>0</v>
      </c>
      <c r="P96" s="11"/>
      <c r="Q96" s="11">
        <v>0</v>
      </c>
      <c r="R96" s="11"/>
      <c r="S96" s="11">
        <f t="shared" si="30"/>
        <v>0</v>
      </c>
      <c r="T96" s="13"/>
      <c r="U96" s="5">
        <f t="shared" si="36"/>
        <v>0</v>
      </c>
      <c r="V96" s="5">
        <f t="shared" si="33"/>
        <v>0</v>
      </c>
      <c r="W96" s="5"/>
      <c r="X96" s="20"/>
      <c r="Y96" s="1" t="e">
        <f t="shared" si="38"/>
        <v>#DIV/0!</v>
      </c>
      <c r="Z96" s="11" t="e">
        <f t="shared" si="32"/>
        <v>#DIV/0!</v>
      </c>
      <c r="AA96" s="11">
        <v>0</v>
      </c>
      <c r="AB96" s="11">
        <v>1</v>
      </c>
      <c r="AC96" s="11">
        <v>6</v>
      </c>
      <c r="AD96" s="11">
        <v>3.4</v>
      </c>
      <c r="AE96" s="11">
        <v>0.2</v>
      </c>
      <c r="AF96" s="11">
        <v>1.4</v>
      </c>
      <c r="AG96" s="11">
        <v>3</v>
      </c>
      <c r="AH96" s="11">
        <v>4</v>
      </c>
      <c r="AI96" s="11">
        <v>0.2</v>
      </c>
      <c r="AJ96" s="11">
        <v>4.5999999999999996</v>
      </c>
      <c r="AK96" s="11"/>
      <c r="AL96" s="1">
        <f t="shared" si="34"/>
        <v>0</v>
      </c>
      <c r="AM96" s="1">
        <f t="shared" si="35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1" t="s">
        <v>154</v>
      </c>
      <c r="B97" s="11" t="s">
        <v>40</v>
      </c>
      <c r="C97" s="11">
        <v>-4</v>
      </c>
      <c r="D97" s="11"/>
      <c r="E97" s="11">
        <v>-4</v>
      </c>
      <c r="F97" s="11">
        <v>-7</v>
      </c>
      <c r="G97" s="11"/>
      <c r="H97" s="11">
        <f t="shared" si="27"/>
        <v>-7</v>
      </c>
      <c r="I97" s="12">
        <v>0</v>
      </c>
      <c r="J97" s="11">
        <v>45</v>
      </c>
      <c r="K97" s="11" t="s">
        <v>59</v>
      </c>
      <c r="L97" s="11"/>
      <c r="M97" s="11">
        <v>17</v>
      </c>
      <c r="N97" s="11">
        <f t="shared" si="28"/>
        <v>-21</v>
      </c>
      <c r="O97" s="11">
        <f t="shared" si="29"/>
        <v>-4</v>
      </c>
      <c r="P97" s="11"/>
      <c r="Q97" s="11">
        <v>0</v>
      </c>
      <c r="R97" s="11"/>
      <c r="S97" s="11">
        <f t="shared" si="30"/>
        <v>-0.8</v>
      </c>
      <c r="T97" s="13"/>
      <c r="U97" s="5">
        <f t="shared" si="36"/>
        <v>0</v>
      </c>
      <c r="V97" s="5">
        <f t="shared" si="33"/>
        <v>0</v>
      </c>
      <c r="W97" s="5"/>
      <c r="X97" s="20"/>
      <c r="Y97" s="1">
        <f t="shared" si="38"/>
        <v>8.75</v>
      </c>
      <c r="Z97" s="11">
        <f t="shared" si="32"/>
        <v>8.75</v>
      </c>
      <c r="AA97" s="11">
        <v>1.2</v>
      </c>
      <c r="AB97" s="11">
        <v>9.6</v>
      </c>
      <c r="AC97" s="11">
        <v>27.4</v>
      </c>
      <c r="AD97" s="11">
        <v>23.4</v>
      </c>
      <c r="AE97" s="11">
        <v>24.4</v>
      </c>
      <c r="AF97" s="11">
        <v>12.4</v>
      </c>
      <c r="AG97" s="11">
        <v>33.200000000000003</v>
      </c>
      <c r="AH97" s="11">
        <v>32.6</v>
      </c>
      <c r="AI97" s="11">
        <v>21</v>
      </c>
      <c r="AJ97" s="11">
        <v>33.6</v>
      </c>
      <c r="AK97" s="11" t="s">
        <v>88</v>
      </c>
      <c r="AL97" s="1">
        <f t="shared" si="34"/>
        <v>0</v>
      </c>
      <c r="AM97" s="1">
        <f t="shared" si="35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155</v>
      </c>
      <c r="B98" s="1" t="s">
        <v>40</v>
      </c>
      <c r="C98" s="1">
        <v>232</v>
      </c>
      <c r="D98" s="1">
        <v>402</v>
      </c>
      <c r="E98" s="1">
        <v>188</v>
      </c>
      <c r="F98" s="1">
        <v>395</v>
      </c>
      <c r="G98" s="1"/>
      <c r="H98" s="1">
        <f t="shared" si="27"/>
        <v>395</v>
      </c>
      <c r="I98" s="7">
        <v>0.12</v>
      </c>
      <c r="J98" s="1">
        <v>60</v>
      </c>
      <c r="K98" s="1" t="s">
        <v>37</v>
      </c>
      <c r="L98" s="1"/>
      <c r="M98" s="1">
        <v>223</v>
      </c>
      <c r="N98" s="1">
        <f t="shared" si="28"/>
        <v>-35</v>
      </c>
      <c r="O98" s="1">
        <f t="shared" si="29"/>
        <v>169</v>
      </c>
      <c r="P98" s="1">
        <v>19</v>
      </c>
      <c r="Q98" s="1">
        <v>0</v>
      </c>
      <c r="R98" s="1"/>
      <c r="S98" s="1">
        <f t="shared" si="30"/>
        <v>33.799999999999997</v>
      </c>
      <c r="T98" s="5">
        <f t="shared" ref="T98:T99" si="43">15*S98-R98-Q98-H98</f>
        <v>111.99999999999994</v>
      </c>
      <c r="U98" s="5">
        <f t="shared" si="36"/>
        <v>112</v>
      </c>
      <c r="V98" s="5">
        <f t="shared" si="33"/>
        <v>112</v>
      </c>
      <c r="W98" s="5"/>
      <c r="X98" s="21"/>
      <c r="Y98" s="1">
        <f t="shared" si="38"/>
        <v>15.000000000000002</v>
      </c>
      <c r="Z98" s="1">
        <f t="shared" si="32"/>
        <v>11.68639053254438</v>
      </c>
      <c r="AA98" s="1">
        <v>32.200000000000003</v>
      </c>
      <c r="AB98" s="1">
        <v>48.4</v>
      </c>
      <c r="AC98" s="1">
        <v>25</v>
      </c>
      <c r="AD98" s="1">
        <v>67</v>
      </c>
      <c r="AE98" s="1">
        <v>112.6</v>
      </c>
      <c r="AF98" s="1">
        <v>98</v>
      </c>
      <c r="AG98" s="1">
        <v>31</v>
      </c>
      <c r="AH98" s="1">
        <v>50.6</v>
      </c>
      <c r="AI98" s="1">
        <v>42.6</v>
      </c>
      <c r="AJ98" s="1">
        <v>30.8</v>
      </c>
      <c r="AK98" s="1"/>
      <c r="AL98" s="1">
        <f t="shared" si="34"/>
        <v>13.44</v>
      </c>
      <c r="AM98" s="1">
        <f t="shared" si="35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156</v>
      </c>
      <c r="B99" s="1" t="s">
        <v>40</v>
      </c>
      <c r="C99" s="1">
        <v>232</v>
      </c>
      <c r="D99" s="1">
        <v>184</v>
      </c>
      <c r="E99" s="1">
        <v>268</v>
      </c>
      <c r="F99" s="1">
        <v>20</v>
      </c>
      <c r="G99" s="1"/>
      <c r="H99" s="1">
        <f t="shared" si="27"/>
        <v>20</v>
      </c>
      <c r="I99" s="7">
        <v>0.33</v>
      </c>
      <c r="J99" s="1">
        <v>30</v>
      </c>
      <c r="K99" s="1" t="s">
        <v>37</v>
      </c>
      <c r="L99" s="1"/>
      <c r="M99" s="1">
        <v>410</v>
      </c>
      <c r="N99" s="1">
        <f t="shared" si="28"/>
        <v>-142</v>
      </c>
      <c r="O99" s="1">
        <f t="shared" si="29"/>
        <v>190</v>
      </c>
      <c r="P99" s="1">
        <v>78</v>
      </c>
      <c r="Q99" s="1">
        <v>120</v>
      </c>
      <c r="R99" s="1">
        <v>120</v>
      </c>
      <c r="S99" s="1">
        <f t="shared" si="30"/>
        <v>38</v>
      </c>
      <c r="T99" s="5">
        <f t="shared" si="43"/>
        <v>310</v>
      </c>
      <c r="U99" s="5">
        <f t="shared" si="36"/>
        <v>310</v>
      </c>
      <c r="V99" s="5">
        <f t="shared" si="33"/>
        <v>155</v>
      </c>
      <c r="W99" s="5">
        <f>ROUND(U99*$W$1,0)</f>
        <v>155</v>
      </c>
      <c r="X99" s="21"/>
      <c r="Y99" s="1">
        <f t="shared" si="38"/>
        <v>15</v>
      </c>
      <c r="Z99" s="1">
        <f t="shared" si="32"/>
        <v>6.8421052631578947</v>
      </c>
      <c r="AA99" s="1">
        <v>34.799999999999997</v>
      </c>
      <c r="AB99" s="1">
        <v>24.4</v>
      </c>
      <c r="AC99" s="1">
        <v>46.2</v>
      </c>
      <c r="AD99" s="1">
        <v>28</v>
      </c>
      <c r="AE99" s="1">
        <v>24</v>
      </c>
      <c r="AF99" s="1">
        <v>41.2</v>
      </c>
      <c r="AG99" s="1">
        <v>37.200000000000003</v>
      </c>
      <c r="AH99" s="1">
        <v>56.2</v>
      </c>
      <c r="AI99" s="1">
        <v>49.8</v>
      </c>
      <c r="AJ99" s="1">
        <v>31</v>
      </c>
      <c r="AK99" s="1"/>
      <c r="AL99" s="1">
        <f t="shared" si="34"/>
        <v>51.150000000000006</v>
      </c>
      <c r="AM99" s="1">
        <f t="shared" si="35"/>
        <v>51.150000000000006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157</v>
      </c>
      <c r="B100" s="1" t="s">
        <v>40</v>
      </c>
      <c r="C100" s="1">
        <v>51</v>
      </c>
      <c r="D100" s="1">
        <v>2</v>
      </c>
      <c r="E100" s="1">
        <v>49</v>
      </c>
      <c r="F100" s="1">
        <v>1</v>
      </c>
      <c r="G100" s="1"/>
      <c r="H100" s="1">
        <f t="shared" si="27"/>
        <v>1</v>
      </c>
      <c r="I100" s="7">
        <v>0.15</v>
      </c>
      <c r="J100" s="1">
        <v>60</v>
      </c>
      <c r="K100" s="1" t="s">
        <v>37</v>
      </c>
      <c r="L100" s="1"/>
      <c r="M100" s="1">
        <v>180</v>
      </c>
      <c r="N100" s="1">
        <f t="shared" si="28"/>
        <v>-131</v>
      </c>
      <c r="O100" s="1">
        <f t="shared" si="29"/>
        <v>49</v>
      </c>
      <c r="P100" s="1"/>
      <c r="Q100" s="1">
        <v>75</v>
      </c>
      <c r="R100" s="1">
        <v>75</v>
      </c>
      <c r="S100" s="1">
        <f t="shared" si="30"/>
        <v>9.8000000000000007</v>
      </c>
      <c r="T100" s="5">
        <v>30</v>
      </c>
      <c r="U100" s="5">
        <f>ROUND(T100,0)+60</f>
        <v>90</v>
      </c>
      <c r="V100" s="5">
        <f t="shared" si="33"/>
        <v>90</v>
      </c>
      <c r="W100" s="5"/>
      <c r="X100" s="21" t="s">
        <v>190</v>
      </c>
      <c r="Y100" s="1">
        <f t="shared" si="38"/>
        <v>24.591836734693874</v>
      </c>
      <c r="Z100" s="1">
        <f t="shared" si="32"/>
        <v>15.408163265306122</v>
      </c>
      <c r="AA100" s="1">
        <v>7.8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 t="s">
        <v>77</v>
      </c>
      <c r="AL100" s="1">
        <f t="shared" si="34"/>
        <v>13.5</v>
      </c>
      <c r="AM100" s="1">
        <f t="shared" si="35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1" t="s">
        <v>158</v>
      </c>
      <c r="B101" s="11" t="s">
        <v>40</v>
      </c>
      <c r="C101" s="11">
        <v>1</v>
      </c>
      <c r="D101" s="11"/>
      <c r="E101" s="11">
        <v>-3</v>
      </c>
      <c r="F101" s="11">
        <v>1</v>
      </c>
      <c r="G101" s="11"/>
      <c r="H101" s="11">
        <f t="shared" si="27"/>
        <v>1</v>
      </c>
      <c r="I101" s="12">
        <v>0</v>
      </c>
      <c r="J101" s="11">
        <v>45</v>
      </c>
      <c r="K101" s="11" t="s">
        <v>88</v>
      </c>
      <c r="L101" s="11"/>
      <c r="M101" s="11">
        <v>24</v>
      </c>
      <c r="N101" s="11">
        <f t="shared" si="28"/>
        <v>-27</v>
      </c>
      <c r="O101" s="11">
        <f t="shared" si="29"/>
        <v>-3</v>
      </c>
      <c r="P101" s="11"/>
      <c r="Q101" s="11">
        <v>0</v>
      </c>
      <c r="R101" s="11"/>
      <c r="S101" s="11">
        <f t="shared" si="30"/>
        <v>-0.6</v>
      </c>
      <c r="T101" s="13"/>
      <c r="U101" s="5">
        <f t="shared" si="36"/>
        <v>0</v>
      </c>
      <c r="V101" s="5">
        <f t="shared" si="33"/>
        <v>0</v>
      </c>
      <c r="W101" s="5"/>
      <c r="X101" s="20"/>
      <c r="Y101" s="1">
        <f t="shared" si="38"/>
        <v>-1.6666666666666667</v>
      </c>
      <c r="Z101" s="11">
        <f t="shared" si="32"/>
        <v>-1.6666666666666667</v>
      </c>
      <c r="AA101" s="11">
        <v>2.6</v>
      </c>
      <c r="AB101" s="11">
        <v>5</v>
      </c>
      <c r="AC101" s="11">
        <v>3.8</v>
      </c>
      <c r="AD101" s="11">
        <v>4.5999999999999996</v>
      </c>
      <c r="AE101" s="11">
        <v>4.4000000000000004</v>
      </c>
      <c r="AF101" s="11">
        <v>0</v>
      </c>
      <c r="AG101" s="11">
        <v>31.2</v>
      </c>
      <c r="AH101" s="11">
        <v>0</v>
      </c>
      <c r="AI101" s="11">
        <v>0</v>
      </c>
      <c r="AJ101" s="11">
        <v>0</v>
      </c>
      <c r="AK101" s="11" t="s">
        <v>88</v>
      </c>
      <c r="AL101" s="1">
        <f t="shared" si="34"/>
        <v>0</v>
      </c>
      <c r="AM101" s="1">
        <f t="shared" si="35"/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159</v>
      </c>
      <c r="B102" s="1" t="s">
        <v>40</v>
      </c>
      <c r="C102" s="1">
        <v>21</v>
      </c>
      <c r="D102" s="1"/>
      <c r="E102" s="1">
        <v>21</v>
      </c>
      <c r="F102" s="1">
        <v>-1</v>
      </c>
      <c r="G102" s="1"/>
      <c r="H102" s="1">
        <f t="shared" ref="H102:H119" si="44">F102-G102</f>
        <v>-1</v>
      </c>
      <c r="I102" s="7">
        <v>0.26</v>
      </c>
      <c r="J102" s="1">
        <v>45</v>
      </c>
      <c r="K102" s="1" t="s">
        <v>37</v>
      </c>
      <c r="L102" s="1"/>
      <c r="M102" s="1">
        <v>104</v>
      </c>
      <c r="N102" s="1">
        <f t="shared" ref="N102:N119" si="45">E102-M102</f>
        <v>-83</v>
      </c>
      <c r="O102" s="1">
        <f t="shared" ref="O102:O119" si="46">E102-P102</f>
        <v>21</v>
      </c>
      <c r="P102" s="1"/>
      <c r="Q102" s="1">
        <v>75</v>
      </c>
      <c r="R102" s="1"/>
      <c r="S102" s="1">
        <f t="shared" ref="S102:S125" si="47">O102/5</f>
        <v>4.2</v>
      </c>
      <c r="T102" s="5"/>
      <c r="U102" s="5">
        <f>ROUND(T102,0)+40</f>
        <v>40</v>
      </c>
      <c r="V102" s="5">
        <f t="shared" si="33"/>
        <v>40</v>
      </c>
      <c r="W102" s="5"/>
      <c r="X102" s="21" t="s">
        <v>191</v>
      </c>
      <c r="Y102" s="1">
        <f t="shared" si="38"/>
        <v>27.142857142857142</v>
      </c>
      <c r="Z102" s="1">
        <f t="shared" ref="Z102:Z125" si="48">(H102+Q102+R102)/S102</f>
        <v>17.619047619047617</v>
      </c>
      <c r="AA102" s="1">
        <v>0.6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 t="s">
        <v>77</v>
      </c>
      <c r="AL102" s="1">
        <f t="shared" si="34"/>
        <v>10.4</v>
      </c>
      <c r="AM102" s="1">
        <f t="shared" si="35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160</v>
      </c>
      <c r="B103" s="1" t="s">
        <v>40</v>
      </c>
      <c r="C103" s="1">
        <v>23</v>
      </c>
      <c r="D103" s="1">
        <v>1</v>
      </c>
      <c r="E103" s="1">
        <v>22</v>
      </c>
      <c r="F103" s="1"/>
      <c r="G103" s="1"/>
      <c r="H103" s="1">
        <f t="shared" si="44"/>
        <v>0</v>
      </c>
      <c r="I103" s="7">
        <v>0.31</v>
      </c>
      <c r="J103" s="1">
        <v>45</v>
      </c>
      <c r="K103" s="1" t="s">
        <v>37</v>
      </c>
      <c r="L103" s="1"/>
      <c r="M103" s="1">
        <v>87</v>
      </c>
      <c r="N103" s="1">
        <f t="shared" si="45"/>
        <v>-65</v>
      </c>
      <c r="O103" s="1">
        <f t="shared" si="46"/>
        <v>22</v>
      </c>
      <c r="P103" s="1"/>
      <c r="Q103" s="1">
        <v>75</v>
      </c>
      <c r="R103" s="1"/>
      <c r="S103" s="1">
        <f t="shared" si="47"/>
        <v>4.4000000000000004</v>
      </c>
      <c r="T103" s="5"/>
      <c r="U103" s="5">
        <f>ROUND(T103,0)+40</f>
        <v>40</v>
      </c>
      <c r="V103" s="5">
        <f t="shared" si="33"/>
        <v>40</v>
      </c>
      <c r="W103" s="5"/>
      <c r="X103" s="21" t="s">
        <v>191</v>
      </c>
      <c r="Y103" s="1">
        <f t="shared" si="38"/>
        <v>26.136363636363633</v>
      </c>
      <c r="Z103" s="1">
        <f t="shared" si="48"/>
        <v>17.045454545454543</v>
      </c>
      <c r="AA103" s="1">
        <v>0.2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 t="s">
        <v>77</v>
      </c>
      <c r="AL103" s="1">
        <f t="shared" si="34"/>
        <v>12.4</v>
      </c>
      <c r="AM103" s="1">
        <f t="shared" si="35"/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161</v>
      </c>
      <c r="B104" s="1" t="s">
        <v>40</v>
      </c>
      <c r="C104" s="1">
        <v>-6</v>
      </c>
      <c r="D104" s="1">
        <v>360</v>
      </c>
      <c r="E104" s="1">
        <v>150</v>
      </c>
      <c r="F104" s="1">
        <v>136</v>
      </c>
      <c r="G104" s="1"/>
      <c r="H104" s="1">
        <f t="shared" si="44"/>
        <v>136</v>
      </c>
      <c r="I104" s="7">
        <v>0.4</v>
      </c>
      <c r="J104" s="1">
        <v>60</v>
      </c>
      <c r="K104" s="1" t="s">
        <v>37</v>
      </c>
      <c r="L104" s="1"/>
      <c r="M104" s="1">
        <v>210</v>
      </c>
      <c r="N104" s="1">
        <f t="shared" si="45"/>
        <v>-60</v>
      </c>
      <c r="O104" s="1">
        <f t="shared" si="46"/>
        <v>108</v>
      </c>
      <c r="P104" s="1">
        <v>42</v>
      </c>
      <c r="Q104" s="1">
        <v>45</v>
      </c>
      <c r="R104" s="1"/>
      <c r="S104" s="1">
        <f t="shared" si="47"/>
        <v>21.6</v>
      </c>
      <c r="T104" s="5">
        <f t="shared" ref="T104" si="49">15*S104-R104-Q104-H104</f>
        <v>143</v>
      </c>
      <c r="U104" s="5">
        <f t="shared" si="36"/>
        <v>143</v>
      </c>
      <c r="V104" s="5">
        <f t="shared" si="33"/>
        <v>143</v>
      </c>
      <c r="W104" s="5"/>
      <c r="X104" s="21"/>
      <c r="Y104" s="1">
        <f t="shared" si="38"/>
        <v>14.999999999999998</v>
      </c>
      <c r="Z104" s="1">
        <f t="shared" si="48"/>
        <v>8.3796296296296298</v>
      </c>
      <c r="AA104" s="1">
        <v>25.6</v>
      </c>
      <c r="AB104" s="1">
        <v>34.799999999999997</v>
      </c>
      <c r="AC104" s="1">
        <v>20.2</v>
      </c>
      <c r="AD104" s="1">
        <v>25.8</v>
      </c>
      <c r="AE104" s="1">
        <v>39.4</v>
      </c>
      <c r="AF104" s="1">
        <v>20.399999999999999</v>
      </c>
      <c r="AG104" s="1">
        <v>9.4</v>
      </c>
      <c r="AH104" s="1">
        <v>35.200000000000003</v>
      </c>
      <c r="AI104" s="1">
        <v>13</v>
      </c>
      <c r="AJ104" s="1">
        <v>27.6</v>
      </c>
      <c r="AK104" s="1"/>
      <c r="AL104" s="1">
        <f t="shared" si="34"/>
        <v>57.2</v>
      </c>
      <c r="AM104" s="1">
        <f t="shared" si="35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67</v>
      </c>
      <c r="B105" s="1" t="s">
        <v>40</v>
      </c>
      <c r="C105" s="1">
        <v>-24</v>
      </c>
      <c r="D105" s="1">
        <v>24</v>
      </c>
      <c r="E105" s="1">
        <v>24</v>
      </c>
      <c r="F105" s="15">
        <f>-24+F30</f>
        <v>-20</v>
      </c>
      <c r="G105" s="1"/>
      <c r="H105" s="1">
        <f t="shared" si="44"/>
        <v>-20</v>
      </c>
      <c r="I105" s="7">
        <v>0.35</v>
      </c>
      <c r="J105" s="1">
        <v>60</v>
      </c>
      <c r="K105" s="1" t="s">
        <v>37</v>
      </c>
      <c r="L105" s="1"/>
      <c r="M105" s="1">
        <v>293</v>
      </c>
      <c r="N105" s="1">
        <f t="shared" si="45"/>
        <v>-269</v>
      </c>
      <c r="O105" s="1">
        <f t="shared" si="46"/>
        <v>24</v>
      </c>
      <c r="P105" s="1"/>
      <c r="Q105" s="1">
        <v>84</v>
      </c>
      <c r="R105" s="1">
        <v>85</v>
      </c>
      <c r="S105" s="1">
        <f t="shared" si="47"/>
        <v>4.8</v>
      </c>
      <c r="T105" s="5"/>
      <c r="U105" s="5">
        <f t="shared" si="36"/>
        <v>0</v>
      </c>
      <c r="V105" s="5">
        <f t="shared" si="33"/>
        <v>0</v>
      </c>
      <c r="W105" s="5"/>
      <c r="X105" s="21"/>
      <c r="Y105" s="1">
        <f t="shared" si="38"/>
        <v>31.041666666666668</v>
      </c>
      <c r="Z105" s="1">
        <f t="shared" si="48"/>
        <v>31.041666666666668</v>
      </c>
      <c r="AA105" s="1">
        <v>16.2</v>
      </c>
      <c r="AB105" s="1">
        <v>6.2</v>
      </c>
      <c r="AC105" s="1">
        <v>7</v>
      </c>
      <c r="AD105" s="1">
        <v>4.4000000000000004</v>
      </c>
      <c r="AE105" s="1">
        <v>1.4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 t="s">
        <v>162</v>
      </c>
      <c r="AL105" s="1">
        <f t="shared" si="34"/>
        <v>0</v>
      </c>
      <c r="AM105" s="1">
        <f t="shared" si="35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163</v>
      </c>
      <c r="B106" s="1" t="s">
        <v>36</v>
      </c>
      <c r="C106" s="1"/>
      <c r="D106" s="1"/>
      <c r="E106" s="1"/>
      <c r="F106" s="1"/>
      <c r="G106" s="1"/>
      <c r="H106" s="1">
        <f t="shared" si="44"/>
        <v>0</v>
      </c>
      <c r="I106" s="7">
        <v>1</v>
      </c>
      <c r="J106" s="1">
        <v>45</v>
      </c>
      <c r="K106" s="1" t="s">
        <v>37</v>
      </c>
      <c r="L106" s="1"/>
      <c r="M106" s="1">
        <v>11.81</v>
      </c>
      <c r="N106" s="1">
        <f t="shared" si="45"/>
        <v>-11.81</v>
      </c>
      <c r="O106" s="1">
        <f t="shared" si="46"/>
        <v>0</v>
      </c>
      <c r="P106" s="1"/>
      <c r="Q106" s="1">
        <v>80</v>
      </c>
      <c r="R106" s="1">
        <v>80</v>
      </c>
      <c r="S106" s="1">
        <f t="shared" si="47"/>
        <v>0</v>
      </c>
      <c r="T106" s="5"/>
      <c r="U106" s="5">
        <f t="shared" si="36"/>
        <v>0</v>
      </c>
      <c r="V106" s="5">
        <f t="shared" si="33"/>
        <v>0</v>
      </c>
      <c r="W106" s="5"/>
      <c r="X106" s="21"/>
      <c r="Y106" s="1" t="e">
        <f t="shared" si="38"/>
        <v>#DIV/0!</v>
      </c>
      <c r="Z106" s="1" t="e">
        <f t="shared" si="48"/>
        <v>#DIV/0!</v>
      </c>
      <c r="AA106" s="1">
        <v>1.7081999999999999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 t="s">
        <v>77</v>
      </c>
      <c r="AL106" s="1">
        <f t="shared" si="34"/>
        <v>0</v>
      </c>
      <c r="AM106" s="1">
        <f t="shared" si="35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164</v>
      </c>
      <c r="B107" s="1" t="s">
        <v>36</v>
      </c>
      <c r="C107" s="1">
        <v>4.125</v>
      </c>
      <c r="D107" s="1">
        <v>30.288</v>
      </c>
      <c r="E107" s="1">
        <v>19.373000000000001</v>
      </c>
      <c r="F107" s="1">
        <v>12.532999999999999</v>
      </c>
      <c r="G107" s="1"/>
      <c r="H107" s="1">
        <f t="shared" si="44"/>
        <v>12.532999999999999</v>
      </c>
      <c r="I107" s="7">
        <v>1</v>
      </c>
      <c r="J107" s="1">
        <v>45</v>
      </c>
      <c r="K107" s="1" t="s">
        <v>37</v>
      </c>
      <c r="L107" s="1"/>
      <c r="M107" s="1">
        <v>19</v>
      </c>
      <c r="N107" s="1">
        <f t="shared" si="45"/>
        <v>0.37300000000000111</v>
      </c>
      <c r="O107" s="1">
        <f t="shared" si="46"/>
        <v>19.373000000000001</v>
      </c>
      <c r="P107" s="1"/>
      <c r="Q107" s="1">
        <v>0</v>
      </c>
      <c r="R107" s="1"/>
      <c r="S107" s="1">
        <f t="shared" si="47"/>
        <v>3.8746</v>
      </c>
      <c r="T107" s="5">
        <f>12*S107-R107-Q107-H107</f>
        <v>33.962199999999996</v>
      </c>
      <c r="U107" s="5">
        <f t="shared" si="36"/>
        <v>34</v>
      </c>
      <c r="V107" s="5">
        <f t="shared" si="33"/>
        <v>34</v>
      </c>
      <c r="W107" s="5"/>
      <c r="X107" s="21"/>
      <c r="Y107" s="1">
        <f t="shared" si="38"/>
        <v>12.009755845764724</v>
      </c>
      <c r="Z107" s="1">
        <f t="shared" si="48"/>
        <v>3.2346564806689719</v>
      </c>
      <c r="AA107" s="1">
        <v>1.1996</v>
      </c>
      <c r="AB107" s="1">
        <v>3.2330000000000001</v>
      </c>
      <c r="AC107" s="1">
        <v>0.84600000000000009</v>
      </c>
      <c r="AD107" s="1">
        <v>0</v>
      </c>
      <c r="AE107" s="1">
        <v>2.0257999999999998</v>
      </c>
      <c r="AF107" s="1">
        <v>0.68120000000000003</v>
      </c>
      <c r="AG107" s="1">
        <v>1.6926000000000001</v>
      </c>
      <c r="AH107" s="1">
        <v>4.6631999999999998</v>
      </c>
      <c r="AI107" s="1">
        <v>0</v>
      </c>
      <c r="AJ107" s="1">
        <v>0</v>
      </c>
      <c r="AK107" s="1" t="s">
        <v>165</v>
      </c>
      <c r="AL107" s="1">
        <f t="shared" si="34"/>
        <v>34</v>
      </c>
      <c r="AM107" s="1">
        <f t="shared" si="35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1" t="s">
        <v>166</v>
      </c>
      <c r="B108" s="11" t="s">
        <v>40</v>
      </c>
      <c r="C108" s="11">
        <v>283</v>
      </c>
      <c r="D108" s="11">
        <v>7</v>
      </c>
      <c r="E108" s="11">
        <v>26</v>
      </c>
      <c r="F108" s="11">
        <v>251</v>
      </c>
      <c r="G108" s="11"/>
      <c r="H108" s="11">
        <f t="shared" si="44"/>
        <v>251</v>
      </c>
      <c r="I108" s="12">
        <v>0</v>
      </c>
      <c r="J108" s="11"/>
      <c r="K108" s="11" t="s">
        <v>59</v>
      </c>
      <c r="L108" s="11"/>
      <c r="M108" s="11">
        <v>45</v>
      </c>
      <c r="N108" s="11">
        <f t="shared" si="45"/>
        <v>-19</v>
      </c>
      <c r="O108" s="11">
        <f t="shared" si="46"/>
        <v>26</v>
      </c>
      <c r="P108" s="11"/>
      <c r="Q108" s="11">
        <v>0</v>
      </c>
      <c r="R108" s="11"/>
      <c r="S108" s="11">
        <f t="shared" si="47"/>
        <v>5.2</v>
      </c>
      <c r="T108" s="13"/>
      <c r="U108" s="5">
        <f t="shared" si="36"/>
        <v>0</v>
      </c>
      <c r="V108" s="5">
        <f t="shared" si="33"/>
        <v>0</v>
      </c>
      <c r="W108" s="5"/>
      <c r="X108" s="20"/>
      <c r="Y108" s="1">
        <f t="shared" si="38"/>
        <v>48.269230769230766</v>
      </c>
      <c r="Z108" s="11">
        <f t="shared" si="48"/>
        <v>48.269230769230766</v>
      </c>
      <c r="AA108" s="11">
        <v>3</v>
      </c>
      <c r="AB108" s="11">
        <v>0.4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4" t="s">
        <v>167</v>
      </c>
      <c r="AL108" s="1">
        <f t="shared" si="34"/>
        <v>0</v>
      </c>
      <c r="AM108" s="1">
        <f t="shared" si="35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168</v>
      </c>
      <c r="B109" s="1" t="s">
        <v>40</v>
      </c>
      <c r="C109" s="1">
        <v>127</v>
      </c>
      <c r="D109" s="1">
        <v>164</v>
      </c>
      <c r="E109" s="1">
        <v>126</v>
      </c>
      <c r="F109" s="1">
        <v>85</v>
      </c>
      <c r="G109" s="1"/>
      <c r="H109" s="1">
        <f t="shared" si="44"/>
        <v>85</v>
      </c>
      <c r="I109" s="7">
        <v>0.33</v>
      </c>
      <c r="J109" s="1">
        <v>45</v>
      </c>
      <c r="K109" s="1" t="s">
        <v>37</v>
      </c>
      <c r="L109" s="1"/>
      <c r="M109" s="1">
        <v>182</v>
      </c>
      <c r="N109" s="1">
        <f t="shared" si="45"/>
        <v>-56</v>
      </c>
      <c r="O109" s="1">
        <f t="shared" si="46"/>
        <v>78</v>
      </c>
      <c r="P109" s="1">
        <v>48</v>
      </c>
      <c r="Q109" s="1">
        <v>30</v>
      </c>
      <c r="R109" s="1"/>
      <c r="S109" s="1">
        <f t="shared" si="47"/>
        <v>15.6</v>
      </c>
      <c r="T109" s="5">
        <f t="shared" ref="T109:T114" si="50">15*S109-R109-Q109-H109</f>
        <v>119</v>
      </c>
      <c r="U109" s="5">
        <f t="shared" si="36"/>
        <v>119</v>
      </c>
      <c r="V109" s="5">
        <f t="shared" si="33"/>
        <v>119</v>
      </c>
      <c r="W109" s="5"/>
      <c r="X109" s="21"/>
      <c r="Y109" s="1">
        <f t="shared" si="38"/>
        <v>15</v>
      </c>
      <c r="Z109" s="1">
        <f t="shared" si="48"/>
        <v>7.3717948717948723</v>
      </c>
      <c r="AA109" s="1">
        <v>12.8</v>
      </c>
      <c r="AB109" s="1">
        <v>28.4</v>
      </c>
      <c r="AC109" s="1">
        <v>26.2</v>
      </c>
      <c r="AD109" s="1">
        <v>15</v>
      </c>
      <c r="AE109" s="1">
        <v>24.6</v>
      </c>
      <c r="AF109" s="1">
        <v>1</v>
      </c>
      <c r="AG109" s="1">
        <v>14.8</v>
      </c>
      <c r="AH109" s="1">
        <v>0</v>
      </c>
      <c r="AI109" s="1">
        <v>0</v>
      </c>
      <c r="AJ109" s="1">
        <v>0</v>
      </c>
      <c r="AK109" s="1" t="s">
        <v>169</v>
      </c>
      <c r="AL109" s="1">
        <f t="shared" si="34"/>
        <v>39.270000000000003</v>
      </c>
      <c r="AM109" s="1">
        <f t="shared" si="35"/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85</v>
      </c>
      <c r="B110" s="1" t="s">
        <v>40</v>
      </c>
      <c r="C110" s="1">
        <v>100</v>
      </c>
      <c r="D110" s="1">
        <v>3</v>
      </c>
      <c r="E110" s="15">
        <f>8+E38</f>
        <v>7</v>
      </c>
      <c r="F110" s="15">
        <f>86+F38</f>
        <v>23</v>
      </c>
      <c r="G110" s="1"/>
      <c r="H110" s="1">
        <f t="shared" si="44"/>
        <v>23</v>
      </c>
      <c r="I110" s="7">
        <v>0.1</v>
      </c>
      <c r="J110" s="1">
        <v>45</v>
      </c>
      <c r="K110" s="1" t="s">
        <v>37</v>
      </c>
      <c r="L110" s="1"/>
      <c r="M110" s="1">
        <v>166</v>
      </c>
      <c r="N110" s="1">
        <f t="shared" si="45"/>
        <v>-159</v>
      </c>
      <c r="O110" s="1">
        <f t="shared" si="46"/>
        <v>7</v>
      </c>
      <c r="P110" s="1"/>
      <c r="Q110" s="1">
        <v>0</v>
      </c>
      <c r="R110" s="1"/>
      <c r="S110" s="1">
        <f t="shared" si="47"/>
        <v>1.4</v>
      </c>
      <c r="T110" s="5"/>
      <c r="U110" s="5">
        <f t="shared" si="36"/>
        <v>0</v>
      </c>
      <c r="V110" s="5">
        <f t="shared" si="33"/>
        <v>0</v>
      </c>
      <c r="W110" s="5"/>
      <c r="X110" s="21"/>
      <c r="Y110" s="1">
        <f t="shared" si="38"/>
        <v>16.428571428571431</v>
      </c>
      <c r="Z110" s="1">
        <f t="shared" si="48"/>
        <v>16.428571428571431</v>
      </c>
      <c r="AA110" s="1">
        <v>2.4</v>
      </c>
      <c r="AB110" s="1">
        <v>4</v>
      </c>
      <c r="AC110" s="1">
        <v>2.8</v>
      </c>
      <c r="AD110" s="1">
        <v>11</v>
      </c>
      <c r="AE110" s="1">
        <v>4.2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8" t="s">
        <v>183</v>
      </c>
      <c r="AL110" s="1">
        <f t="shared" si="34"/>
        <v>0</v>
      </c>
      <c r="AM110" s="1">
        <f t="shared" si="35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 t="s">
        <v>149</v>
      </c>
      <c r="B111" s="1" t="s">
        <v>40</v>
      </c>
      <c r="C111" s="1">
        <v>79</v>
      </c>
      <c r="D111" s="1">
        <v>33</v>
      </c>
      <c r="E111" s="15">
        <f>13+E93</f>
        <v>12</v>
      </c>
      <c r="F111" s="15">
        <f>83+F93</f>
        <v>68</v>
      </c>
      <c r="G111" s="1"/>
      <c r="H111" s="1">
        <f t="shared" si="44"/>
        <v>68</v>
      </c>
      <c r="I111" s="7">
        <v>0.1</v>
      </c>
      <c r="J111" s="1">
        <v>60</v>
      </c>
      <c r="K111" s="1" t="s">
        <v>37</v>
      </c>
      <c r="L111" s="1"/>
      <c r="M111" s="1">
        <v>26</v>
      </c>
      <c r="N111" s="1">
        <f t="shared" si="45"/>
        <v>-14</v>
      </c>
      <c r="O111" s="1">
        <f t="shared" si="46"/>
        <v>12</v>
      </c>
      <c r="P111" s="1"/>
      <c r="Q111" s="1">
        <v>0</v>
      </c>
      <c r="R111" s="1"/>
      <c r="S111" s="1">
        <f t="shared" si="47"/>
        <v>2.4</v>
      </c>
      <c r="T111" s="5"/>
      <c r="U111" s="5">
        <f t="shared" si="36"/>
        <v>0</v>
      </c>
      <c r="V111" s="5">
        <f t="shared" si="33"/>
        <v>0</v>
      </c>
      <c r="W111" s="5"/>
      <c r="X111" s="21"/>
      <c r="Y111" s="1">
        <f t="shared" si="38"/>
        <v>28.333333333333336</v>
      </c>
      <c r="Z111" s="1">
        <f t="shared" si="48"/>
        <v>28.333333333333336</v>
      </c>
      <c r="AA111" s="1">
        <v>3.6</v>
      </c>
      <c r="AB111" s="1">
        <v>7</v>
      </c>
      <c r="AC111" s="1">
        <v>5.2</v>
      </c>
      <c r="AD111" s="1">
        <v>9.6</v>
      </c>
      <c r="AE111" s="1">
        <v>5.6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7" t="s">
        <v>184</v>
      </c>
      <c r="AL111" s="1">
        <f t="shared" si="34"/>
        <v>0</v>
      </c>
      <c r="AM111" s="1">
        <f t="shared" si="35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 t="s">
        <v>82</v>
      </c>
      <c r="B112" s="1" t="s">
        <v>40</v>
      </c>
      <c r="C112" s="1">
        <v>270</v>
      </c>
      <c r="D112" s="1">
        <v>49</v>
      </c>
      <c r="E112" s="1">
        <v>175</v>
      </c>
      <c r="F112" s="15">
        <f>103+F37</f>
        <v>102</v>
      </c>
      <c r="G112" s="1"/>
      <c r="H112" s="1">
        <f t="shared" si="44"/>
        <v>102</v>
      </c>
      <c r="I112" s="7">
        <v>0.1</v>
      </c>
      <c r="J112" s="1">
        <v>60</v>
      </c>
      <c r="K112" s="1" t="s">
        <v>37</v>
      </c>
      <c r="L112" s="1"/>
      <c r="M112" s="1">
        <v>202</v>
      </c>
      <c r="N112" s="1">
        <f t="shared" si="45"/>
        <v>-27</v>
      </c>
      <c r="O112" s="1">
        <f t="shared" si="46"/>
        <v>155</v>
      </c>
      <c r="P112" s="1">
        <v>20</v>
      </c>
      <c r="Q112" s="1">
        <v>182</v>
      </c>
      <c r="R112" s="1">
        <v>182</v>
      </c>
      <c r="S112" s="1">
        <f t="shared" si="47"/>
        <v>31</v>
      </c>
      <c r="T112" s="5"/>
      <c r="U112" s="5">
        <f t="shared" si="36"/>
        <v>0</v>
      </c>
      <c r="V112" s="5">
        <f t="shared" si="33"/>
        <v>0</v>
      </c>
      <c r="W112" s="5"/>
      <c r="X112" s="21"/>
      <c r="Y112" s="1">
        <f t="shared" si="38"/>
        <v>15.03225806451613</v>
      </c>
      <c r="Z112" s="1">
        <f t="shared" si="48"/>
        <v>15.03225806451613</v>
      </c>
      <c r="AA112" s="1">
        <v>42.2</v>
      </c>
      <c r="AB112" s="1">
        <v>1.8</v>
      </c>
      <c r="AC112" s="1">
        <v>6</v>
      </c>
      <c r="AD112" s="1">
        <v>38.799999999999997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 t="s">
        <v>170</v>
      </c>
      <c r="AL112" s="1">
        <f t="shared" si="34"/>
        <v>0</v>
      </c>
      <c r="AM112" s="1">
        <f t="shared" si="35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79</v>
      </c>
      <c r="B113" s="1" t="s">
        <v>40</v>
      </c>
      <c r="C113" s="1">
        <v>-7</v>
      </c>
      <c r="D113" s="1">
        <v>968</v>
      </c>
      <c r="E113" s="1">
        <v>347</v>
      </c>
      <c r="F113" s="15">
        <f>529+F36</f>
        <v>506</v>
      </c>
      <c r="G113" s="1"/>
      <c r="H113" s="1">
        <f t="shared" si="44"/>
        <v>506</v>
      </c>
      <c r="I113" s="7">
        <v>0.1</v>
      </c>
      <c r="J113" s="1">
        <v>60</v>
      </c>
      <c r="K113" s="1" t="s">
        <v>37</v>
      </c>
      <c r="L113" s="1"/>
      <c r="M113" s="1">
        <v>494</v>
      </c>
      <c r="N113" s="1">
        <f t="shared" si="45"/>
        <v>-147</v>
      </c>
      <c r="O113" s="1">
        <f t="shared" si="46"/>
        <v>327</v>
      </c>
      <c r="P113" s="1">
        <v>20</v>
      </c>
      <c r="Q113" s="1">
        <v>0</v>
      </c>
      <c r="R113" s="1"/>
      <c r="S113" s="1">
        <f t="shared" si="47"/>
        <v>65.400000000000006</v>
      </c>
      <c r="T113" s="5">
        <f t="shared" si="50"/>
        <v>475.00000000000011</v>
      </c>
      <c r="U113" s="5">
        <f t="shared" si="36"/>
        <v>475</v>
      </c>
      <c r="V113" s="5">
        <f t="shared" si="33"/>
        <v>237</v>
      </c>
      <c r="W113" s="5">
        <f t="shared" ref="W113:W114" si="51">ROUND(U113*$W$1,0)</f>
        <v>238</v>
      </c>
      <c r="X113" s="21"/>
      <c r="Y113" s="1">
        <f t="shared" si="38"/>
        <v>14.999999999999998</v>
      </c>
      <c r="Z113" s="1">
        <f t="shared" si="48"/>
        <v>7.7370030581039746</v>
      </c>
      <c r="AA113" s="1">
        <v>15</v>
      </c>
      <c r="AB113" s="1">
        <v>98</v>
      </c>
      <c r="AC113" s="1">
        <v>37.200000000000003</v>
      </c>
      <c r="AD113" s="1">
        <v>28.6</v>
      </c>
      <c r="AE113" s="1">
        <v>54.8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 t="s">
        <v>171</v>
      </c>
      <c r="AL113" s="1">
        <f t="shared" si="34"/>
        <v>23.700000000000003</v>
      </c>
      <c r="AM113" s="1">
        <f t="shared" si="35"/>
        <v>23.8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73</v>
      </c>
      <c r="B114" s="1" t="s">
        <v>40</v>
      </c>
      <c r="C114" s="1">
        <v>444</v>
      </c>
      <c r="D114" s="1">
        <v>543</v>
      </c>
      <c r="E114" s="15">
        <f>438+E33</f>
        <v>435</v>
      </c>
      <c r="F114" s="15">
        <f>441+F33</f>
        <v>435</v>
      </c>
      <c r="G114" s="1"/>
      <c r="H114" s="1">
        <f t="shared" si="44"/>
        <v>435</v>
      </c>
      <c r="I114" s="7">
        <v>0.4</v>
      </c>
      <c r="J114" s="1">
        <v>60</v>
      </c>
      <c r="K114" s="1" t="s">
        <v>37</v>
      </c>
      <c r="L114" s="1"/>
      <c r="M114" s="1">
        <v>528</v>
      </c>
      <c r="N114" s="1">
        <f t="shared" si="45"/>
        <v>-93</v>
      </c>
      <c r="O114" s="1">
        <f t="shared" si="46"/>
        <v>419</v>
      </c>
      <c r="P114" s="1">
        <v>16</v>
      </c>
      <c r="Q114" s="1">
        <v>56</v>
      </c>
      <c r="R114" s="1">
        <v>56</v>
      </c>
      <c r="S114" s="1">
        <f t="shared" si="47"/>
        <v>83.8</v>
      </c>
      <c r="T114" s="5">
        <f t="shared" si="50"/>
        <v>710</v>
      </c>
      <c r="U114" s="5">
        <f t="shared" si="36"/>
        <v>710</v>
      </c>
      <c r="V114" s="5">
        <f t="shared" si="33"/>
        <v>355</v>
      </c>
      <c r="W114" s="5">
        <f t="shared" si="51"/>
        <v>355</v>
      </c>
      <c r="X114" s="21"/>
      <c r="Y114" s="1">
        <f t="shared" si="38"/>
        <v>15</v>
      </c>
      <c r="Z114" s="1">
        <f t="shared" si="48"/>
        <v>6.5274463007159911</v>
      </c>
      <c r="AA114" s="1">
        <v>66.2</v>
      </c>
      <c r="AB114" s="1">
        <v>80.599999999999994</v>
      </c>
      <c r="AC114" s="1">
        <v>81</v>
      </c>
      <c r="AD114" s="1">
        <v>58.6</v>
      </c>
      <c r="AE114" s="1">
        <v>71.400000000000006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 t="s">
        <v>172</v>
      </c>
      <c r="AL114" s="1">
        <f t="shared" si="34"/>
        <v>142</v>
      </c>
      <c r="AM114" s="1">
        <f t="shared" si="35"/>
        <v>142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173</v>
      </c>
      <c r="B115" s="1" t="s">
        <v>40</v>
      </c>
      <c r="C115" s="1"/>
      <c r="D115" s="1">
        <v>51</v>
      </c>
      <c r="E115" s="1">
        <v>44</v>
      </c>
      <c r="F115" s="1">
        <v>4</v>
      </c>
      <c r="G115" s="1"/>
      <c r="H115" s="1">
        <f t="shared" si="44"/>
        <v>4</v>
      </c>
      <c r="I115" s="7">
        <v>0.1</v>
      </c>
      <c r="J115" s="1"/>
      <c r="K115" s="1" t="s">
        <v>37</v>
      </c>
      <c r="L115" s="1"/>
      <c r="M115" s="1">
        <v>73</v>
      </c>
      <c r="N115" s="1">
        <f t="shared" si="45"/>
        <v>-29</v>
      </c>
      <c r="O115" s="1">
        <f t="shared" si="46"/>
        <v>44</v>
      </c>
      <c r="P115" s="1"/>
      <c r="Q115" s="1">
        <v>100</v>
      </c>
      <c r="R115" s="1">
        <v>100</v>
      </c>
      <c r="S115" s="1">
        <f t="shared" si="47"/>
        <v>8.8000000000000007</v>
      </c>
      <c r="T115" s="5"/>
      <c r="U115" s="5">
        <f t="shared" ref="U115:U116" si="52">ROUND(T115,0)+40</f>
        <v>40</v>
      </c>
      <c r="V115" s="5">
        <f t="shared" si="33"/>
        <v>40</v>
      </c>
      <c r="W115" s="5"/>
      <c r="X115" s="21" t="s">
        <v>191</v>
      </c>
      <c r="Y115" s="1">
        <f t="shared" si="38"/>
        <v>27.727272727272727</v>
      </c>
      <c r="Z115" s="1">
        <f t="shared" si="48"/>
        <v>23.18181818181818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 t="s">
        <v>174</v>
      </c>
      <c r="AL115" s="1">
        <f t="shared" si="34"/>
        <v>4</v>
      </c>
      <c r="AM115" s="1">
        <f t="shared" si="35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 t="s">
        <v>175</v>
      </c>
      <c r="B116" s="1" t="s">
        <v>40</v>
      </c>
      <c r="C116" s="1"/>
      <c r="D116" s="1">
        <v>53</v>
      </c>
      <c r="E116" s="1">
        <v>44</v>
      </c>
      <c r="F116" s="1">
        <v>4</v>
      </c>
      <c r="G116" s="1"/>
      <c r="H116" s="1">
        <f t="shared" si="44"/>
        <v>4</v>
      </c>
      <c r="I116" s="7">
        <v>0.1</v>
      </c>
      <c r="J116" s="1"/>
      <c r="K116" s="1" t="s">
        <v>37</v>
      </c>
      <c r="L116" s="1"/>
      <c r="M116" s="1">
        <v>79.3</v>
      </c>
      <c r="N116" s="1">
        <f t="shared" si="45"/>
        <v>-35.299999999999997</v>
      </c>
      <c r="O116" s="1">
        <f t="shared" si="46"/>
        <v>44</v>
      </c>
      <c r="P116" s="1"/>
      <c r="Q116" s="1">
        <v>100</v>
      </c>
      <c r="R116" s="1">
        <v>100</v>
      </c>
      <c r="S116" s="1">
        <f t="shared" si="47"/>
        <v>8.8000000000000007</v>
      </c>
      <c r="T116" s="5"/>
      <c r="U116" s="5">
        <f t="shared" si="52"/>
        <v>40</v>
      </c>
      <c r="V116" s="5">
        <f t="shared" si="33"/>
        <v>40</v>
      </c>
      <c r="W116" s="5"/>
      <c r="X116" s="21" t="s">
        <v>191</v>
      </c>
      <c r="Y116" s="1">
        <f t="shared" si="38"/>
        <v>27.727272727272727</v>
      </c>
      <c r="Z116" s="1">
        <f t="shared" si="48"/>
        <v>23.18181818181818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 t="s">
        <v>174</v>
      </c>
      <c r="AL116" s="1">
        <f t="shared" si="34"/>
        <v>4</v>
      </c>
      <c r="AM116" s="1">
        <f t="shared" si="35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1" t="s">
        <v>176</v>
      </c>
      <c r="B117" s="11" t="s">
        <v>36</v>
      </c>
      <c r="C117" s="11">
        <v>129.63</v>
      </c>
      <c r="D117" s="11"/>
      <c r="E117" s="11"/>
      <c r="F117" s="15">
        <v>129.63</v>
      </c>
      <c r="G117" s="11"/>
      <c r="H117" s="11">
        <f t="shared" si="44"/>
        <v>129.63</v>
      </c>
      <c r="I117" s="12">
        <v>0</v>
      </c>
      <c r="J117" s="11"/>
      <c r="K117" s="11" t="s">
        <v>177</v>
      </c>
      <c r="L117" s="11" t="s">
        <v>65</v>
      </c>
      <c r="M117" s="11"/>
      <c r="N117" s="11">
        <f t="shared" si="45"/>
        <v>0</v>
      </c>
      <c r="O117" s="11">
        <f t="shared" si="46"/>
        <v>0</v>
      </c>
      <c r="P117" s="11"/>
      <c r="Q117" s="11">
        <v>0</v>
      </c>
      <c r="R117" s="11"/>
      <c r="S117" s="11">
        <f t="shared" si="47"/>
        <v>0</v>
      </c>
      <c r="T117" s="13"/>
      <c r="U117" s="5">
        <f t="shared" si="36"/>
        <v>0</v>
      </c>
      <c r="V117" s="5">
        <f t="shared" si="33"/>
        <v>0</v>
      </c>
      <c r="W117" s="5"/>
      <c r="X117" s="20"/>
      <c r="Y117" s="1" t="e">
        <f t="shared" si="38"/>
        <v>#DIV/0!</v>
      </c>
      <c r="Z117" s="11" t="e">
        <f t="shared" si="48"/>
        <v>#DIV/0!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/>
      <c r="AL117" s="1">
        <f t="shared" si="34"/>
        <v>0</v>
      </c>
      <c r="AM117" s="1">
        <f t="shared" si="35"/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1" t="s">
        <v>178</v>
      </c>
      <c r="B118" s="11" t="s">
        <v>40</v>
      </c>
      <c r="C118" s="11"/>
      <c r="D118" s="11"/>
      <c r="E118" s="15">
        <v>2</v>
      </c>
      <c r="F118" s="15">
        <v>-2</v>
      </c>
      <c r="G118" s="11"/>
      <c r="H118" s="11">
        <f t="shared" si="44"/>
        <v>-2</v>
      </c>
      <c r="I118" s="12">
        <v>0</v>
      </c>
      <c r="J118" s="11"/>
      <c r="K118" s="11" t="s">
        <v>177</v>
      </c>
      <c r="L118" s="11" t="s">
        <v>122</v>
      </c>
      <c r="M118" s="11">
        <v>4</v>
      </c>
      <c r="N118" s="11">
        <f t="shared" si="45"/>
        <v>-2</v>
      </c>
      <c r="O118" s="11">
        <f t="shared" si="46"/>
        <v>2</v>
      </c>
      <c r="P118" s="11"/>
      <c r="Q118" s="11"/>
      <c r="R118" s="11"/>
      <c r="S118" s="11">
        <f t="shared" si="47"/>
        <v>0.4</v>
      </c>
      <c r="T118" s="13"/>
      <c r="U118" s="5">
        <f t="shared" si="36"/>
        <v>0</v>
      </c>
      <c r="V118" s="5">
        <f t="shared" si="33"/>
        <v>0</v>
      </c>
      <c r="W118" s="5"/>
      <c r="X118" s="20"/>
      <c r="Y118" s="1">
        <f t="shared" si="38"/>
        <v>-5</v>
      </c>
      <c r="Z118" s="11">
        <f t="shared" si="48"/>
        <v>-5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/>
      <c r="AL118" s="1">
        <f t="shared" si="34"/>
        <v>0</v>
      </c>
      <c r="AM118" s="1">
        <f t="shared" si="35"/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1" t="s">
        <v>179</v>
      </c>
      <c r="B119" s="11" t="s">
        <v>36</v>
      </c>
      <c r="C119" s="11">
        <v>36.677</v>
      </c>
      <c r="D119" s="11"/>
      <c r="E119" s="11"/>
      <c r="F119" s="15">
        <v>36.677</v>
      </c>
      <c r="G119" s="11"/>
      <c r="H119" s="11">
        <f t="shared" si="44"/>
        <v>36.677</v>
      </c>
      <c r="I119" s="12">
        <v>0</v>
      </c>
      <c r="J119" s="11"/>
      <c r="K119" s="11" t="s">
        <v>177</v>
      </c>
      <c r="L119" s="11" t="s">
        <v>117</v>
      </c>
      <c r="M119" s="11"/>
      <c r="N119" s="11">
        <f t="shared" si="45"/>
        <v>0</v>
      </c>
      <c r="O119" s="11">
        <f t="shared" si="46"/>
        <v>0</v>
      </c>
      <c r="P119" s="11"/>
      <c r="Q119" s="11">
        <v>0</v>
      </c>
      <c r="R119" s="11"/>
      <c r="S119" s="11">
        <f t="shared" si="47"/>
        <v>0</v>
      </c>
      <c r="T119" s="13"/>
      <c r="U119" s="5">
        <f t="shared" si="36"/>
        <v>0</v>
      </c>
      <c r="V119" s="5">
        <f t="shared" si="33"/>
        <v>0</v>
      </c>
      <c r="W119" s="5"/>
      <c r="X119" s="20"/>
      <c r="Y119" s="1" t="e">
        <f t="shared" si="38"/>
        <v>#DIV/0!</v>
      </c>
      <c r="Z119" s="11" t="e">
        <f t="shared" si="48"/>
        <v>#DIV/0!</v>
      </c>
      <c r="AA119" s="11">
        <v>0</v>
      </c>
      <c r="AB119" s="11">
        <v>0</v>
      </c>
      <c r="AC119" s="11">
        <v>0</v>
      </c>
      <c r="AD119" s="11">
        <v>0.312</v>
      </c>
      <c r="AE119" s="11">
        <v>0.30940000000000001</v>
      </c>
      <c r="AF119" s="11">
        <v>6.8086000000000002</v>
      </c>
      <c r="AG119" s="11">
        <v>15.711600000000001</v>
      </c>
      <c r="AH119" s="11">
        <v>12.635999999999999</v>
      </c>
      <c r="AI119" s="11">
        <v>14.8812</v>
      </c>
      <c r="AJ119" s="11">
        <v>13.2858</v>
      </c>
      <c r="AK119" s="11"/>
      <c r="AL119" s="1">
        <f t="shared" si="34"/>
        <v>0</v>
      </c>
      <c r="AM119" s="1">
        <f t="shared" si="35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 t="s">
        <v>195</v>
      </c>
      <c r="B120" s="1" t="s">
        <v>36</v>
      </c>
      <c r="C120" s="1"/>
      <c r="D120" s="1"/>
      <c r="E120" s="1"/>
      <c r="F120" s="1"/>
      <c r="G120" s="1"/>
      <c r="H120" s="1"/>
      <c r="I120" s="7">
        <v>1</v>
      </c>
      <c r="J120" s="1"/>
      <c r="K120" s="1" t="s">
        <v>194</v>
      </c>
      <c r="L120" s="1"/>
      <c r="M120" s="1"/>
      <c r="N120" s="1"/>
      <c r="O120" s="1"/>
      <c r="P120" s="1"/>
      <c r="Q120" s="1"/>
      <c r="R120" s="1"/>
      <c r="S120" s="23">
        <f t="shared" si="47"/>
        <v>0</v>
      </c>
      <c r="T120" s="25"/>
      <c r="U120" s="5">
        <f>X120</f>
        <v>20</v>
      </c>
      <c r="V120" s="5">
        <f t="shared" si="33"/>
        <v>20</v>
      </c>
      <c r="W120" s="5"/>
      <c r="X120" s="1">
        <v>20</v>
      </c>
      <c r="Y120" s="1" t="e">
        <f t="shared" si="38"/>
        <v>#DIV/0!</v>
      </c>
      <c r="Z120" s="23" t="e">
        <f t="shared" si="48"/>
        <v>#DIV/0!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>
        <v>0</v>
      </c>
      <c r="AG120" s="23">
        <v>0</v>
      </c>
      <c r="AH120" s="23">
        <v>0</v>
      </c>
      <c r="AI120" s="23">
        <v>0</v>
      </c>
      <c r="AJ120" s="23">
        <v>0</v>
      </c>
      <c r="AK120" s="1">
        <v>1001010017536</v>
      </c>
      <c r="AL120" s="1">
        <f t="shared" si="34"/>
        <v>20</v>
      </c>
      <c r="AM120" s="1">
        <f t="shared" si="35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 t="s">
        <v>196</v>
      </c>
      <c r="B121" s="1" t="s">
        <v>36</v>
      </c>
      <c r="C121" s="1"/>
      <c r="D121" s="1"/>
      <c r="E121" s="1"/>
      <c r="F121" s="1"/>
      <c r="G121" s="1"/>
      <c r="H121" s="1"/>
      <c r="I121" s="7">
        <v>1</v>
      </c>
      <c r="J121" s="1"/>
      <c r="K121" s="1" t="s">
        <v>194</v>
      </c>
      <c r="L121" s="1"/>
      <c r="M121" s="1"/>
      <c r="N121" s="1"/>
      <c r="O121" s="1"/>
      <c r="P121" s="1"/>
      <c r="Q121" s="1"/>
      <c r="R121" s="1"/>
      <c r="S121" s="23">
        <f t="shared" si="47"/>
        <v>0</v>
      </c>
      <c r="T121" s="25"/>
      <c r="U121" s="5">
        <f t="shared" ref="U121:U125" si="53">X121</f>
        <v>20</v>
      </c>
      <c r="V121" s="5">
        <f t="shared" si="33"/>
        <v>20</v>
      </c>
      <c r="W121" s="5"/>
      <c r="X121" s="1">
        <v>20</v>
      </c>
      <c r="Y121" s="1" t="e">
        <f t="shared" si="38"/>
        <v>#DIV/0!</v>
      </c>
      <c r="Z121" s="23" t="e">
        <f t="shared" si="48"/>
        <v>#DIV/0!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3">
        <v>0</v>
      </c>
      <c r="AJ121" s="23">
        <v>0</v>
      </c>
      <c r="AK121" s="1">
        <v>1001017557514</v>
      </c>
      <c r="AL121" s="1">
        <f t="shared" si="34"/>
        <v>20</v>
      </c>
      <c r="AM121" s="1">
        <f t="shared" si="35"/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197</v>
      </c>
      <c r="B122" s="1" t="s">
        <v>36</v>
      </c>
      <c r="C122" s="1"/>
      <c r="D122" s="1"/>
      <c r="E122" s="1"/>
      <c r="F122" s="1"/>
      <c r="G122" s="1"/>
      <c r="H122" s="1"/>
      <c r="I122" s="7">
        <v>1</v>
      </c>
      <c r="J122" s="1"/>
      <c r="K122" s="1" t="s">
        <v>194</v>
      </c>
      <c r="L122" s="1"/>
      <c r="M122" s="1"/>
      <c r="N122" s="1"/>
      <c r="O122" s="1"/>
      <c r="P122" s="1"/>
      <c r="Q122" s="1"/>
      <c r="R122" s="1"/>
      <c r="S122" s="23">
        <f t="shared" si="47"/>
        <v>0</v>
      </c>
      <c r="T122" s="25"/>
      <c r="U122" s="5">
        <f t="shared" si="53"/>
        <v>30</v>
      </c>
      <c r="V122" s="5">
        <f t="shared" si="33"/>
        <v>30</v>
      </c>
      <c r="W122" s="5"/>
      <c r="X122" s="1">
        <v>30</v>
      </c>
      <c r="Y122" s="1" t="e">
        <f t="shared" si="38"/>
        <v>#DIV/0!</v>
      </c>
      <c r="Z122" s="23" t="e">
        <f t="shared" si="48"/>
        <v>#DIV/0!</v>
      </c>
      <c r="AA122" s="23">
        <v>0</v>
      </c>
      <c r="AB122" s="23">
        <v>0</v>
      </c>
      <c r="AC122" s="23">
        <v>0</v>
      </c>
      <c r="AD122" s="23">
        <v>0</v>
      </c>
      <c r="AE122" s="23">
        <v>0</v>
      </c>
      <c r="AF122" s="23">
        <v>0</v>
      </c>
      <c r="AG122" s="23">
        <v>0</v>
      </c>
      <c r="AH122" s="23">
        <v>0</v>
      </c>
      <c r="AI122" s="23">
        <v>0</v>
      </c>
      <c r="AJ122" s="23">
        <v>0</v>
      </c>
      <c r="AK122" s="1">
        <v>1001017567518</v>
      </c>
      <c r="AL122" s="1">
        <f t="shared" si="34"/>
        <v>30</v>
      </c>
      <c r="AM122" s="1">
        <f t="shared" si="35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 t="s">
        <v>198</v>
      </c>
      <c r="B123" s="1" t="s">
        <v>36</v>
      </c>
      <c r="C123" s="1"/>
      <c r="D123" s="1"/>
      <c r="E123" s="1"/>
      <c r="F123" s="1"/>
      <c r="G123" s="1"/>
      <c r="H123" s="1"/>
      <c r="I123" s="7">
        <v>1</v>
      </c>
      <c r="J123" s="1"/>
      <c r="K123" s="1" t="s">
        <v>194</v>
      </c>
      <c r="L123" s="1"/>
      <c r="M123" s="1"/>
      <c r="N123" s="1"/>
      <c r="O123" s="1"/>
      <c r="P123" s="1"/>
      <c r="Q123" s="1"/>
      <c r="R123" s="1"/>
      <c r="S123" s="23">
        <f t="shared" si="47"/>
        <v>0</v>
      </c>
      <c r="T123" s="25"/>
      <c r="U123" s="5">
        <f t="shared" si="53"/>
        <v>25</v>
      </c>
      <c r="V123" s="5">
        <f t="shared" si="33"/>
        <v>25</v>
      </c>
      <c r="W123" s="5"/>
      <c r="X123" s="1">
        <v>25</v>
      </c>
      <c r="Y123" s="1" t="e">
        <f t="shared" si="38"/>
        <v>#DIV/0!</v>
      </c>
      <c r="Z123" s="23" t="e">
        <f t="shared" si="48"/>
        <v>#DIV/0!</v>
      </c>
      <c r="AA123" s="23">
        <v>0</v>
      </c>
      <c r="AB123" s="23">
        <v>0</v>
      </c>
      <c r="AC123" s="23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0</v>
      </c>
      <c r="AI123" s="23">
        <v>0</v>
      </c>
      <c r="AJ123" s="23">
        <v>0</v>
      </c>
      <c r="AK123" s="1">
        <v>1001085476929</v>
      </c>
      <c r="AL123" s="1">
        <f t="shared" si="34"/>
        <v>25</v>
      </c>
      <c r="AM123" s="1">
        <f t="shared" si="35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199</v>
      </c>
      <c r="B124" s="1" t="s">
        <v>40</v>
      </c>
      <c r="C124" s="1"/>
      <c r="D124" s="1"/>
      <c r="E124" s="1"/>
      <c r="F124" s="1"/>
      <c r="G124" s="1"/>
      <c r="H124" s="1"/>
      <c r="I124" s="7">
        <v>0.1</v>
      </c>
      <c r="J124" s="1"/>
      <c r="K124" s="1" t="s">
        <v>194</v>
      </c>
      <c r="L124" s="1"/>
      <c r="M124" s="1"/>
      <c r="N124" s="1"/>
      <c r="O124" s="1"/>
      <c r="P124" s="1"/>
      <c r="Q124" s="1"/>
      <c r="R124" s="1"/>
      <c r="S124" s="23">
        <f t="shared" si="47"/>
        <v>0</v>
      </c>
      <c r="T124" s="25"/>
      <c r="U124" s="5">
        <f t="shared" si="53"/>
        <v>50</v>
      </c>
      <c r="V124" s="5">
        <f t="shared" si="33"/>
        <v>50</v>
      </c>
      <c r="W124" s="5"/>
      <c r="X124" s="1">
        <v>50</v>
      </c>
      <c r="Y124" s="1" t="e">
        <f t="shared" si="38"/>
        <v>#DIV/0!</v>
      </c>
      <c r="Z124" s="23" t="e">
        <f t="shared" si="48"/>
        <v>#DIV/0!</v>
      </c>
      <c r="AA124" s="23">
        <v>0</v>
      </c>
      <c r="AB124" s="23">
        <v>0</v>
      </c>
      <c r="AC124" s="23">
        <v>0</v>
      </c>
      <c r="AD124" s="23">
        <v>0</v>
      </c>
      <c r="AE124" s="23">
        <v>0</v>
      </c>
      <c r="AF124" s="23">
        <v>0</v>
      </c>
      <c r="AG124" s="23">
        <v>0</v>
      </c>
      <c r="AH124" s="23">
        <v>0</v>
      </c>
      <c r="AI124" s="23">
        <v>0</v>
      </c>
      <c r="AJ124" s="23">
        <v>0</v>
      </c>
      <c r="AK124" s="1">
        <v>1001066607626</v>
      </c>
      <c r="AL124" s="1">
        <f t="shared" si="34"/>
        <v>5</v>
      </c>
      <c r="AM124" s="1">
        <f t="shared" si="35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200</v>
      </c>
      <c r="B125" s="1" t="s">
        <v>36</v>
      </c>
      <c r="C125" s="1"/>
      <c r="D125" s="1"/>
      <c r="E125" s="1"/>
      <c r="F125" s="1"/>
      <c r="G125" s="1"/>
      <c r="H125" s="1"/>
      <c r="I125" s="7">
        <v>1</v>
      </c>
      <c r="J125" s="1"/>
      <c r="K125" s="1" t="s">
        <v>194</v>
      </c>
      <c r="L125" s="1"/>
      <c r="M125" s="1"/>
      <c r="N125" s="1"/>
      <c r="O125" s="1"/>
      <c r="P125" s="1"/>
      <c r="Q125" s="1"/>
      <c r="R125" s="1"/>
      <c r="S125" s="23">
        <f t="shared" si="47"/>
        <v>0</v>
      </c>
      <c r="T125" s="25"/>
      <c r="U125" s="5">
        <f t="shared" si="53"/>
        <v>25</v>
      </c>
      <c r="V125" s="5">
        <f t="shared" si="33"/>
        <v>25</v>
      </c>
      <c r="W125" s="5"/>
      <c r="X125" s="1">
        <v>25</v>
      </c>
      <c r="Y125" s="1" t="e">
        <f t="shared" si="38"/>
        <v>#DIV/0!</v>
      </c>
      <c r="Z125" s="23" t="e">
        <f t="shared" si="48"/>
        <v>#DIV/0!</v>
      </c>
      <c r="AA125" s="23">
        <v>0</v>
      </c>
      <c r="AB125" s="23">
        <v>0</v>
      </c>
      <c r="AC125" s="23">
        <v>0</v>
      </c>
      <c r="AD125" s="23">
        <v>0</v>
      </c>
      <c r="AE125" s="23">
        <v>0</v>
      </c>
      <c r="AF125" s="23">
        <v>0</v>
      </c>
      <c r="AG125" s="23">
        <v>0</v>
      </c>
      <c r="AH125" s="23">
        <v>0</v>
      </c>
      <c r="AI125" s="23">
        <v>0</v>
      </c>
      <c r="AJ125" s="23">
        <v>0</v>
      </c>
      <c r="AK125" s="1">
        <v>1001060720614</v>
      </c>
      <c r="AL125" s="1">
        <f t="shared" si="34"/>
        <v>25</v>
      </c>
      <c r="AM125" s="1">
        <f t="shared" si="35"/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</sheetData>
  <autoFilter ref="A3:AL125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2026-08-17T15:27:36Z</dcterms:created>
  <dcterms:modified xsi:type="dcterms:W3CDTF">2026-08-19T11:37:49Z</dcterms:modified>
</cp:coreProperties>
</file>