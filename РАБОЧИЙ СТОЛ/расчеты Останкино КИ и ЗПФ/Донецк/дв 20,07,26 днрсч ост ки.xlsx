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48473C0A-12A4-4F48-9894-0F1C9D6C008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AK7" i="1" l="1"/>
  <c r="AK11" i="1"/>
  <c r="AK12" i="1"/>
  <c r="AK14" i="1"/>
  <c r="AK15" i="1"/>
  <c r="AK16" i="1"/>
  <c r="AK18" i="1"/>
  <c r="AK19" i="1"/>
  <c r="AK21" i="1"/>
  <c r="AK22" i="1"/>
  <c r="AK23" i="1"/>
  <c r="AK26" i="1"/>
  <c r="AK27" i="1"/>
  <c r="AK29" i="1"/>
  <c r="AK31" i="1"/>
  <c r="AK32" i="1"/>
  <c r="AK33" i="1"/>
  <c r="AK34" i="1"/>
  <c r="AK35" i="1"/>
  <c r="AK36" i="1"/>
  <c r="AK37" i="1"/>
  <c r="AK38" i="1"/>
  <c r="AK39" i="1"/>
  <c r="AK40" i="1"/>
  <c r="AK41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2" i="1"/>
  <c r="AK63" i="1"/>
  <c r="AK65" i="1"/>
  <c r="AK67" i="1"/>
  <c r="AK69" i="1"/>
  <c r="AK70" i="1"/>
  <c r="AK72" i="1"/>
  <c r="AK75" i="1"/>
  <c r="AK78" i="1"/>
  <c r="AK79" i="1"/>
  <c r="AK82" i="1"/>
  <c r="AK85" i="1"/>
  <c r="AK86" i="1"/>
  <c r="AK87" i="1"/>
  <c r="AK88" i="1"/>
  <c r="AK89" i="1"/>
  <c r="AK90" i="1"/>
  <c r="AK94" i="1"/>
  <c r="AK95" i="1"/>
  <c r="AK96" i="1"/>
  <c r="AK97" i="1"/>
  <c r="AK98" i="1"/>
  <c r="AK99" i="1"/>
  <c r="AK100" i="1"/>
  <c r="AK101" i="1"/>
  <c r="AK103" i="1"/>
  <c r="AK104" i="1"/>
  <c r="AK105" i="1"/>
  <c r="AK106" i="1"/>
  <c r="AK108" i="1"/>
  <c r="AK109" i="1"/>
  <c r="AK110" i="1"/>
  <c r="AK111" i="1"/>
  <c r="AK112" i="1"/>
  <c r="AJ7" i="1"/>
  <c r="AJ11" i="1"/>
  <c r="AJ12" i="1"/>
  <c r="AJ14" i="1"/>
  <c r="AJ15" i="1"/>
  <c r="AJ16" i="1"/>
  <c r="AJ18" i="1"/>
  <c r="AJ19" i="1"/>
  <c r="AJ21" i="1"/>
  <c r="AJ22" i="1"/>
  <c r="AJ23" i="1"/>
  <c r="AJ26" i="1"/>
  <c r="AJ27" i="1"/>
  <c r="AJ29" i="1"/>
  <c r="AJ31" i="1"/>
  <c r="AJ32" i="1"/>
  <c r="AJ33" i="1"/>
  <c r="AJ34" i="1"/>
  <c r="AJ35" i="1"/>
  <c r="AJ36" i="1"/>
  <c r="AJ37" i="1"/>
  <c r="AJ38" i="1"/>
  <c r="AJ39" i="1"/>
  <c r="AJ40" i="1"/>
  <c r="AJ41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2" i="1"/>
  <c r="AJ63" i="1"/>
  <c r="AJ65" i="1"/>
  <c r="AJ67" i="1"/>
  <c r="AJ69" i="1"/>
  <c r="AJ70" i="1"/>
  <c r="AJ72" i="1"/>
  <c r="AJ75" i="1"/>
  <c r="AJ78" i="1"/>
  <c r="AJ79" i="1"/>
  <c r="AJ82" i="1"/>
  <c r="AJ85" i="1"/>
  <c r="AJ86" i="1"/>
  <c r="AJ87" i="1"/>
  <c r="AJ88" i="1"/>
  <c r="AJ89" i="1"/>
  <c r="AJ90" i="1"/>
  <c r="AJ94" i="1"/>
  <c r="AJ95" i="1"/>
  <c r="AJ96" i="1"/>
  <c r="AJ97" i="1"/>
  <c r="AJ98" i="1"/>
  <c r="AJ99" i="1"/>
  <c r="AJ100" i="1"/>
  <c r="AJ101" i="1"/>
  <c r="AJ103" i="1"/>
  <c r="AJ104" i="1"/>
  <c r="AJ105" i="1"/>
  <c r="AJ106" i="1"/>
  <c r="AJ108" i="1"/>
  <c r="AJ109" i="1"/>
  <c r="AJ110" i="1"/>
  <c r="AJ111" i="1"/>
  <c r="AJ112" i="1"/>
  <c r="T7" i="1" l="1"/>
  <c r="T11" i="1"/>
  <c r="T12" i="1"/>
  <c r="T14" i="1"/>
  <c r="T15" i="1"/>
  <c r="T16" i="1"/>
  <c r="T18" i="1"/>
  <c r="T19" i="1"/>
  <c r="T21" i="1"/>
  <c r="T22" i="1"/>
  <c r="T23" i="1"/>
  <c r="T26" i="1"/>
  <c r="T27" i="1"/>
  <c r="T29" i="1"/>
  <c r="T31" i="1"/>
  <c r="T32" i="1"/>
  <c r="T33" i="1"/>
  <c r="T34" i="1"/>
  <c r="T35" i="1"/>
  <c r="T36" i="1"/>
  <c r="T37" i="1"/>
  <c r="T38" i="1"/>
  <c r="T39" i="1"/>
  <c r="T40" i="1"/>
  <c r="T41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2" i="1"/>
  <c r="T63" i="1"/>
  <c r="T65" i="1"/>
  <c r="T67" i="1"/>
  <c r="T69" i="1"/>
  <c r="T70" i="1"/>
  <c r="T72" i="1"/>
  <c r="T75" i="1"/>
  <c r="T78" i="1"/>
  <c r="T79" i="1"/>
  <c r="T82" i="1"/>
  <c r="T85" i="1"/>
  <c r="T86" i="1"/>
  <c r="T87" i="1"/>
  <c r="T88" i="1"/>
  <c r="T89" i="1"/>
  <c r="T90" i="1"/>
  <c r="T94" i="1"/>
  <c r="T95" i="1"/>
  <c r="T96" i="1"/>
  <c r="T97" i="1"/>
  <c r="T98" i="1"/>
  <c r="T99" i="1"/>
  <c r="T100" i="1"/>
  <c r="T101" i="1"/>
  <c r="T103" i="1"/>
  <c r="T104" i="1"/>
  <c r="T105" i="1"/>
  <c r="T106" i="1"/>
  <c r="T108" i="1"/>
  <c r="T109" i="1"/>
  <c r="T110" i="1"/>
  <c r="T111" i="1"/>
  <c r="T112" i="1"/>
  <c r="S11" i="1"/>
  <c r="S14" i="1"/>
  <c r="S15" i="1"/>
  <c r="S23" i="1"/>
  <c r="S27" i="1"/>
  <c r="S29" i="1"/>
  <c r="S31" i="1"/>
  <c r="S32" i="1"/>
  <c r="S33" i="1"/>
  <c r="S34" i="1"/>
  <c r="S35" i="1"/>
  <c r="S36" i="1"/>
  <c r="S37" i="1"/>
  <c r="S38" i="1"/>
  <c r="S44" i="1"/>
  <c r="S45" i="1"/>
  <c r="S47" i="1"/>
  <c r="S48" i="1"/>
  <c r="S50" i="1"/>
  <c r="S54" i="1"/>
  <c r="S55" i="1"/>
  <c r="S57" i="1"/>
  <c r="S59" i="1"/>
  <c r="S60" i="1"/>
  <c r="S62" i="1"/>
  <c r="S63" i="1"/>
  <c r="S65" i="1"/>
  <c r="S68" i="1"/>
  <c r="S69" i="1"/>
  <c r="S72" i="1"/>
  <c r="S75" i="1"/>
  <c r="S82" i="1"/>
  <c r="S85" i="1"/>
  <c r="S86" i="1"/>
  <c r="S87" i="1"/>
  <c r="S88" i="1"/>
  <c r="S89" i="1"/>
  <c r="S90" i="1"/>
  <c r="S92" i="1"/>
  <c r="U92" i="1" s="1"/>
  <c r="AK92" i="1" s="1"/>
  <c r="S94" i="1"/>
  <c r="S97" i="1"/>
  <c r="S98" i="1"/>
  <c r="Y98" i="1" s="1"/>
  <c r="S101" i="1"/>
  <c r="S103" i="1"/>
  <c r="S104" i="1"/>
  <c r="S105" i="1"/>
  <c r="S106" i="1"/>
  <c r="S108" i="1"/>
  <c r="S109" i="1"/>
  <c r="S110" i="1"/>
  <c r="S111" i="1"/>
  <c r="S112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6" i="1"/>
  <c r="T92" i="1" l="1"/>
  <c r="AJ92" i="1" s="1"/>
  <c r="U68" i="1"/>
  <c r="AK68" i="1" l="1"/>
  <c r="T68" i="1"/>
  <c r="AJ68" i="1" s="1"/>
  <c r="Q112" i="1"/>
  <c r="Q111" i="1"/>
  <c r="Z111" i="1" l="1"/>
  <c r="Y111" i="1"/>
  <c r="Z112" i="1"/>
  <c r="Y112" i="1"/>
  <c r="Q92" i="1"/>
  <c r="Y92" i="1" s="1"/>
  <c r="Q68" i="1"/>
  <c r="Y68" i="1" s="1"/>
  <c r="Q110" i="1" l="1"/>
  <c r="Y110" i="1" s="1"/>
  <c r="Q109" i="1"/>
  <c r="Y109" i="1" s="1"/>
  <c r="Z109" i="1" l="1"/>
  <c r="Z110" i="1"/>
  <c r="Q108" i="1" l="1"/>
  <c r="Y108" i="1" s="1"/>
  <c r="Z108" i="1" l="1"/>
  <c r="F107" i="1"/>
  <c r="E107" i="1"/>
  <c r="Q107" i="1" s="1"/>
  <c r="Q106" i="1"/>
  <c r="L106" i="1"/>
  <c r="Q105" i="1"/>
  <c r="L105" i="1"/>
  <c r="Q104" i="1"/>
  <c r="Y104" i="1" s="1"/>
  <c r="L104" i="1"/>
  <c r="Q103" i="1"/>
  <c r="Y103" i="1" s="1"/>
  <c r="L103" i="1"/>
  <c r="F102" i="1"/>
  <c r="E102" i="1"/>
  <c r="L102" i="1" s="1"/>
  <c r="F101" i="1"/>
  <c r="E101" i="1"/>
  <c r="Q101" i="1" s="1"/>
  <c r="F100" i="1"/>
  <c r="E100" i="1"/>
  <c r="L100" i="1" s="1"/>
  <c r="F99" i="1"/>
  <c r="E99" i="1"/>
  <c r="Q99" i="1" s="1"/>
  <c r="L98" i="1"/>
  <c r="Q97" i="1"/>
  <c r="Y97" i="1" s="1"/>
  <c r="L97" i="1"/>
  <c r="Q96" i="1"/>
  <c r="L96" i="1"/>
  <c r="F96" i="1"/>
  <c r="Q95" i="1"/>
  <c r="L95" i="1"/>
  <c r="Q94" i="1"/>
  <c r="Y94" i="1" s="1"/>
  <c r="L94" i="1"/>
  <c r="Q93" i="1"/>
  <c r="L93" i="1"/>
  <c r="L92" i="1"/>
  <c r="Q91" i="1"/>
  <c r="L91" i="1"/>
  <c r="Q90" i="1"/>
  <c r="Y90" i="1" s="1"/>
  <c r="L90" i="1"/>
  <c r="Q89" i="1"/>
  <c r="Y89" i="1" s="1"/>
  <c r="L89" i="1"/>
  <c r="Q88" i="1"/>
  <c r="Y88" i="1" s="1"/>
  <c r="L88" i="1"/>
  <c r="Q87" i="1"/>
  <c r="Y87" i="1" s="1"/>
  <c r="L87" i="1"/>
  <c r="Q86" i="1"/>
  <c r="Y86" i="1" s="1"/>
  <c r="L86" i="1"/>
  <c r="Q85" i="1"/>
  <c r="L85" i="1"/>
  <c r="Q84" i="1"/>
  <c r="L84" i="1"/>
  <c r="Q83" i="1"/>
  <c r="L83" i="1"/>
  <c r="Q82" i="1"/>
  <c r="Y82" i="1" s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Y75" i="1" s="1"/>
  <c r="L75" i="1"/>
  <c r="Q74" i="1"/>
  <c r="L74" i="1"/>
  <c r="Q73" i="1"/>
  <c r="L73" i="1"/>
  <c r="Q72" i="1"/>
  <c r="Y72" i="1" s="1"/>
  <c r="L72" i="1"/>
  <c r="Q71" i="1"/>
  <c r="L71" i="1"/>
  <c r="Q70" i="1"/>
  <c r="R70" i="1" s="1"/>
  <c r="S70" i="1" s="1"/>
  <c r="L70" i="1"/>
  <c r="Q69" i="1"/>
  <c r="Y69" i="1" s="1"/>
  <c r="L69" i="1"/>
  <c r="L68" i="1"/>
  <c r="Q67" i="1"/>
  <c r="L67" i="1"/>
  <c r="F66" i="1"/>
  <c r="E66" i="1"/>
  <c r="L66" i="1" s="1"/>
  <c r="Q65" i="1"/>
  <c r="Y65" i="1" s="1"/>
  <c r="L65" i="1"/>
  <c r="F64" i="1"/>
  <c r="E64" i="1"/>
  <c r="Q64" i="1" s="1"/>
  <c r="Q63" i="1"/>
  <c r="Y63" i="1" s="1"/>
  <c r="L63" i="1"/>
  <c r="Q62" i="1"/>
  <c r="Y62" i="1" s="1"/>
  <c r="L62" i="1"/>
  <c r="Q61" i="1"/>
  <c r="R61" i="1" s="1"/>
  <c r="S61" i="1" s="1"/>
  <c r="U61" i="1" s="1"/>
  <c r="L61" i="1"/>
  <c r="Q60" i="1"/>
  <c r="Y60" i="1" s="1"/>
  <c r="L60" i="1"/>
  <c r="Q59" i="1"/>
  <c r="Y59" i="1" s="1"/>
  <c r="L59" i="1"/>
  <c r="Q58" i="1"/>
  <c r="L58" i="1"/>
  <c r="Q57" i="1"/>
  <c r="Y57" i="1" s="1"/>
  <c r="L57" i="1"/>
  <c r="Q56" i="1"/>
  <c r="L56" i="1"/>
  <c r="Q55" i="1"/>
  <c r="Y55" i="1" s="1"/>
  <c r="L55" i="1"/>
  <c r="Q54" i="1"/>
  <c r="Y54" i="1" s="1"/>
  <c r="L54" i="1"/>
  <c r="Q53" i="1"/>
  <c r="R53" i="1" s="1"/>
  <c r="Y53" i="1" s="1"/>
  <c r="L53" i="1"/>
  <c r="Q52" i="1"/>
  <c r="R52" i="1" s="1"/>
  <c r="S52" i="1" s="1"/>
  <c r="L52" i="1"/>
  <c r="Q51" i="1"/>
  <c r="Y51" i="1" s="1"/>
  <c r="L51" i="1"/>
  <c r="Q50" i="1"/>
  <c r="Y50" i="1" s="1"/>
  <c r="L50" i="1"/>
  <c r="Q49" i="1"/>
  <c r="L49" i="1"/>
  <c r="Q48" i="1"/>
  <c r="Y48" i="1" s="1"/>
  <c r="L48" i="1"/>
  <c r="Q47" i="1"/>
  <c r="Y47" i="1" s="1"/>
  <c r="L47" i="1"/>
  <c r="Q46" i="1"/>
  <c r="R46" i="1" s="1"/>
  <c r="Y46" i="1" s="1"/>
  <c r="L46" i="1"/>
  <c r="Q45" i="1"/>
  <c r="Y45" i="1" s="1"/>
  <c r="L45" i="1"/>
  <c r="Q44" i="1"/>
  <c r="Y44" i="1" s="1"/>
  <c r="L44" i="1"/>
  <c r="Q43" i="1"/>
  <c r="L43" i="1"/>
  <c r="Q42" i="1"/>
  <c r="L42" i="1"/>
  <c r="Q41" i="1"/>
  <c r="L41" i="1"/>
  <c r="Q40" i="1"/>
  <c r="L40" i="1"/>
  <c r="Q39" i="1"/>
  <c r="L39" i="1"/>
  <c r="Q38" i="1"/>
  <c r="Y38" i="1" s="1"/>
  <c r="L38" i="1"/>
  <c r="Q37" i="1"/>
  <c r="Y37" i="1" s="1"/>
  <c r="L37" i="1"/>
  <c r="Q36" i="1"/>
  <c r="Y36" i="1" s="1"/>
  <c r="L36" i="1"/>
  <c r="Q35" i="1"/>
  <c r="Y35" i="1" s="1"/>
  <c r="L35" i="1"/>
  <c r="Q34" i="1"/>
  <c r="Y34" i="1" s="1"/>
  <c r="L34" i="1"/>
  <c r="Q33" i="1"/>
  <c r="Y33" i="1" s="1"/>
  <c r="L33" i="1"/>
  <c r="Q32" i="1"/>
  <c r="L32" i="1"/>
  <c r="Q31" i="1"/>
  <c r="Y31" i="1" s="1"/>
  <c r="L31" i="1"/>
  <c r="Q30" i="1"/>
  <c r="L30" i="1"/>
  <c r="Q29" i="1"/>
  <c r="L29" i="1"/>
  <c r="Q28" i="1"/>
  <c r="L28" i="1"/>
  <c r="F28" i="1"/>
  <c r="Q27" i="1"/>
  <c r="Y27" i="1" s="1"/>
  <c r="L27" i="1"/>
  <c r="Q26" i="1"/>
  <c r="R26" i="1" s="1"/>
  <c r="S26" i="1" s="1"/>
  <c r="L26" i="1"/>
  <c r="Q25" i="1"/>
  <c r="L25" i="1"/>
  <c r="Q24" i="1"/>
  <c r="L24" i="1"/>
  <c r="Q23" i="1"/>
  <c r="Y23" i="1" s="1"/>
  <c r="L23" i="1"/>
  <c r="Q22" i="1"/>
  <c r="R22" i="1" s="1"/>
  <c r="S22" i="1" s="1"/>
  <c r="L22" i="1"/>
  <c r="Q21" i="1"/>
  <c r="R21" i="1" s="1"/>
  <c r="S21" i="1" s="1"/>
  <c r="L21" i="1"/>
  <c r="Q20" i="1"/>
  <c r="R20" i="1" s="1"/>
  <c r="S20" i="1" s="1"/>
  <c r="U20" i="1" s="1"/>
  <c r="L20" i="1"/>
  <c r="Q19" i="1"/>
  <c r="L19" i="1"/>
  <c r="Q18" i="1"/>
  <c r="R18" i="1" s="1"/>
  <c r="S18" i="1" s="1"/>
  <c r="L18" i="1"/>
  <c r="Q17" i="1"/>
  <c r="L17" i="1"/>
  <c r="Q16" i="1"/>
  <c r="R16" i="1" s="1"/>
  <c r="S16" i="1" s="1"/>
  <c r="L16" i="1"/>
  <c r="Q15" i="1"/>
  <c r="Y15" i="1" s="1"/>
  <c r="L15" i="1"/>
  <c r="Q14" i="1"/>
  <c r="Y14" i="1" s="1"/>
  <c r="L14" i="1"/>
  <c r="Q13" i="1"/>
  <c r="R13" i="1" s="1"/>
  <c r="S13" i="1" s="1"/>
  <c r="U13" i="1" s="1"/>
  <c r="L13" i="1"/>
  <c r="Q12" i="1"/>
  <c r="Y12" i="1" s="1"/>
  <c r="L12" i="1"/>
  <c r="Q11" i="1"/>
  <c r="Y11" i="1" s="1"/>
  <c r="L11" i="1"/>
  <c r="Q10" i="1"/>
  <c r="R10" i="1" s="1"/>
  <c r="S10" i="1" s="1"/>
  <c r="U10" i="1" s="1"/>
  <c r="L10" i="1"/>
  <c r="Q9" i="1"/>
  <c r="L9" i="1"/>
  <c r="Q8" i="1"/>
  <c r="R8" i="1" s="1"/>
  <c r="S8" i="1" s="1"/>
  <c r="U8" i="1" s="1"/>
  <c r="L8" i="1"/>
  <c r="Q7" i="1"/>
  <c r="R7" i="1" s="1"/>
  <c r="S7" i="1" s="1"/>
  <c r="L7" i="1"/>
  <c r="Q6" i="1"/>
  <c r="L6" i="1"/>
  <c r="AH5" i="1"/>
  <c r="AG5" i="1"/>
  <c r="AF5" i="1"/>
  <c r="AE5" i="1"/>
  <c r="AD5" i="1"/>
  <c r="AC5" i="1"/>
  <c r="AB5" i="1"/>
  <c r="AA5" i="1"/>
  <c r="P5" i="1"/>
  <c r="O5" i="1"/>
  <c r="N5" i="1"/>
  <c r="M5" i="1"/>
  <c r="K5" i="1"/>
  <c r="AK8" i="1" l="1"/>
  <c r="T8" i="1"/>
  <c r="AJ8" i="1" s="1"/>
  <c r="AK10" i="1"/>
  <c r="T10" i="1"/>
  <c r="AJ10" i="1" s="1"/>
  <c r="AK13" i="1"/>
  <c r="T13" i="1"/>
  <c r="AJ13" i="1" s="1"/>
  <c r="AK20" i="1"/>
  <c r="T20" i="1"/>
  <c r="AJ20" i="1" s="1"/>
  <c r="AK61" i="1"/>
  <c r="T61" i="1"/>
  <c r="AJ61" i="1" s="1"/>
  <c r="Y7" i="1"/>
  <c r="Y8" i="1"/>
  <c r="Y10" i="1"/>
  <c r="Y13" i="1"/>
  <c r="Y16" i="1"/>
  <c r="Y18" i="1"/>
  <c r="Y20" i="1"/>
  <c r="Y21" i="1"/>
  <c r="Y22" i="1"/>
  <c r="Y26" i="1"/>
  <c r="Y70" i="1"/>
  <c r="Y52" i="1"/>
  <c r="Y61" i="1"/>
  <c r="Z85" i="1"/>
  <c r="Y85" i="1"/>
  <c r="Z29" i="1"/>
  <c r="Y29" i="1"/>
  <c r="Z32" i="1"/>
  <c r="Y32" i="1"/>
  <c r="Y101" i="1"/>
  <c r="Z105" i="1"/>
  <c r="Y105" i="1"/>
  <c r="Z106" i="1"/>
  <c r="Y106" i="1"/>
  <c r="R99" i="1"/>
  <c r="R107" i="1"/>
  <c r="R64" i="1"/>
  <c r="Z39" i="1"/>
  <c r="R39" i="1"/>
  <c r="Z67" i="1"/>
  <c r="R67" i="1"/>
  <c r="Z74" i="1"/>
  <c r="R74" i="1"/>
  <c r="Z81" i="1"/>
  <c r="R81" i="1"/>
  <c r="R95" i="1"/>
  <c r="R73" i="1"/>
  <c r="Z45" i="1"/>
  <c r="R24" i="1"/>
  <c r="Z53" i="1"/>
  <c r="Z89" i="1"/>
  <c r="Z18" i="1"/>
  <c r="Z25" i="1"/>
  <c r="R25" i="1"/>
  <c r="R40" i="1"/>
  <c r="Z47" i="1"/>
  <c r="R96" i="1"/>
  <c r="R76" i="1"/>
  <c r="Z103" i="1"/>
  <c r="R17" i="1"/>
  <c r="Z41" i="1"/>
  <c r="R41" i="1"/>
  <c r="Z62" i="1"/>
  <c r="Z69" i="1"/>
  <c r="Z83" i="1"/>
  <c r="R83" i="1"/>
  <c r="R80" i="1"/>
  <c r="Z6" i="1"/>
  <c r="R6" i="1"/>
  <c r="R91" i="1"/>
  <c r="Z97" i="1"/>
  <c r="Z12" i="1"/>
  <c r="R12" i="1"/>
  <c r="Z77" i="1"/>
  <c r="R77" i="1"/>
  <c r="R42" i="1"/>
  <c r="R84" i="1"/>
  <c r="R19" i="1"/>
  <c r="Z20" i="1"/>
  <c r="Z27" i="1"/>
  <c r="Z7" i="1"/>
  <c r="Z49" i="1"/>
  <c r="R49" i="1"/>
  <c r="Z56" i="1"/>
  <c r="R56" i="1"/>
  <c r="Z92" i="1"/>
  <c r="Z10" i="1"/>
  <c r="Z11" i="1"/>
  <c r="Z33" i="1"/>
  <c r="R78" i="1"/>
  <c r="Z43" i="1"/>
  <c r="R43" i="1"/>
  <c r="Z71" i="1"/>
  <c r="R71" i="1"/>
  <c r="Z30" i="1"/>
  <c r="R30" i="1"/>
  <c r="Z8" i="1"/>
  <c r="R28" i="1"/>
  <c r="R93" i="1"/>
  <c r="Z13" i="1"/>
  <c r="Z15" i="1"/>
  <c r="Z79" i="1"/>
  <c r="R79" i="1"/>
  <c r="Z86" i="1"/>
  <c r="Z16" i="1"/>
  <c r="Z14" i="1"/>
  <c r="Z22" i="1"/>
  <c r="Z9" i="1"/>
  <c r="R9" i="1"/>
  <c r="Z51" i="1"/>
  <c r="Z58" i="1"/>
  <c r="R58" i="1"/>
  <c r="Z94" i="1"/>
  <c r="Z90" i="1"/>
  <c r="E5" i="1"/>
  <c r="F5" i="1"/>
  <c r="Z31" i="1"/>
  <c r="Z52" i="1"/>
  <c r="Z50" i="1"/>
  <c r="Z65" i="1"/>
  <c r="Z87" i="1"/>
  <c r="Z28" i="1"/>
  <c r="Z96" i="1"/>
  <c r="Q102" i="1"/>
  <c r="Z46" i="1"/>
  <c r="Z75" i="1"/>
  <c r="Z35" i="1"/>
  <c r="Z64" i="1"/>
  <c r="Z98" i="1"/>
  <c r="Z82" i="1"/>
  <c r="Z37" i="1"/>
  <c r="Z48" i="1"/>
  <c r="Q66" i="1"/>
  <c r="Z60" i="1"/>
  <c r="Q100" i="1"/>
  <c r="Z44" i="1"/>
  <c r="Z54" i="1"/>
  <c r="Z72" i="1"/>
  <c r="Z84" i="1"/>
  <c r="Z107" i="1"/>
  <c r="Z17" i="1"/>
  <c r="Z19" i="1"/>
  <c r="Z21" i="1"/>
  <c r="Z23" i="1"/>
  <c r="Z24" i="1"/>
  <c r="Z26" i="1"/>
  <c r="Z55" i="1"/>
  <c r="Z57" i="1"/>
  <c r="Z59" i="1"/>
  <c r="Z61" i="1"/>
  <c r="Z63" i="1"/>
  <c r="L64" i="1"/>
  <c r="Z73" i="1"/>
  <c r="Z91" i="1"/>
  <c r="Z93" i="1"/>
  <c r="Z95" i="1"/>
  <c r="Z99" i="1"/>
  <c r="Z101" i="1"/>
  <c r="Z34" i="1"/>
  <c r="Z36" i="1"/>
  <c r="Z38" i="1"/>
  <c r="Z40" i="1"/>
  <c r="Z42" i="1"/>
  <c r="Z68" i="1"/>
  <c r="Z70" i="1"/>
  <c r="Z76" i="1"/>
  <c r="Z78" i="1"/>
  <c r="Z80" i="1"/>
  <c r="Z88" i="1"/>
  <c r="L99" i="1"/>
  <c r="L101" i="1"/>
  <c r="Z104" i="1"/>
  <c r="S79" i="1" l="1"/>
  <c r="S28" i="1"/>
  <c r="U28" i="1" s="1"/>
  <c r="S84" i="1"/>
  <c r="U84" i="1" s="1"/>
  <c r="S6" i="1"/>
  <c r="U6" i="1" s="1"/>
  <c r="S80" i="1"/>
  <c r="U80" i="1" s="1"/>
  <c r="S96" i="1"/>
  <c r="Y40" i="1"/>
  <c r="S24" i="1"/>
  <c r="U24" i="1" s="1"/>
  <c r="S81" i="1"/>
  <c r="U81" i="1" s="1"/>
  <c r="S74" i="1"/>
  <c r="U74" i="1" s="1"/>
  <c r="S67" i="1"/>
  <c r="S39" i="1"/>
  <c r="S107" i="1"/>
  <c r="U107" i="1" s="1"/>
  <c r="S58" i="1"/>
  <c r="S9" i="1"/>
  <c r="U9" i="1" s="1"/>
  <c r="S93" i="1"/>
  <c r="U93" i="1" s="1"/>
  <c r="S30" i="1"/>
  <c r="U30" i="1" s="1"/>
  <c r="S71" i="1"/>
  <c r="U71" i="1" s="1"/>
  <c r="S43" i="1"/>
  <c r="S78" i="1"/>
  <c r="S56" i="1"/>
  <c r="S49" i="1"/>
  <c r="S19" i="1"/>
  <c r="S42" i="1"/>
  <c r="U42" i="1" s="1"/>
  <c r="S77" i="1"/>
  <c r="U77" i="1" s="1"/>
  <c r="S91" i="1"/>
  <c r="U91" i="1" s="1"/>
  <c r="S83" i="1"/>
  <c r="U83" i="1" s="1"/>
  <c r="S41" i="1"/>
  <c r="S17" i="1"/>
  <c r="U17" i="1" s="1"/>
  <c r="S76" i="1"/>
  <c r="U76" i="1" s="1"/>
  <c r="S25" i="1"/>
  <c r="U25" i="1" s="1"/>
  <c r="S73" i="1"/>
  <c r="U73" i="1" s="1"/>
  <c r="S95" i="1"/>
  <c r="S64" i="1"/>
  <c r="U64" i="1" s="1"/>
  <c r="S99" i="1"/>
  <c r="R100" i="1"/>
  <c r="R66" i="1"/>
  <c r="Z102" i="1"/>
  <c r="R102" i="1"/>
  <c r="Z100" i="1"/>
  <c r="Q5" i="1"/>
  <c r="Z66" i="1"/>
  <c r="L5" i="1"/>
  <c r="AK25" i="1" l="1"/>
  <c r="T25" i="1"/>
  <c r="AJ25" i="1" s="1"/>
  <c r="AK17" i="1"/>
  <c r="T17" i="1"/>
  <c r="AJ17" i="1" s="1"/>
  <c r="AK83" i="1"/>
  <c r="T83" i="1"/>
  <c r="AJ83" i="1" s="1"/>
  <c r="AK77" i="1"/>
  <c r="T77" i="1"/>
  <c r="AJ77" i="1" s="1"/>
  <c r="AK30" i="1"/>
  <c r="T30" i="1"/>
  <c r="AJ30" i="1" s="1"/>
  <c r="AK9" i="1"/>
  <c r="T9" i="1"/>
  <c r="AJ9" i="1" s="1"/>
  <c r="AK107" i="1"/>
  <c r="T107" i="1"/>
  <c r="AJ107" i="1" s="1"/>
  <c r="AK81" i="1"/>
  <c r="T81" i="1"/>
  <c r="AJ81" i="1" s="1"/>
  <c r="AK80" i="1"/>
  <c r="T80" i="1"/>
  <c r="AJ80" i="1" s="1"/>
  <c r="AK84" i="1"/>
  <c r="T84" i="1"/>
  <c r="AJ84" i="1" s="1"/>
  <c r="AK64" i="1"/>
  <c r="T64" i="1"/>
  <c r="AJ64" i="1" s="1"/>
  <c r="AK73" i="1"/>
  <c r="T73" i="1"/>
  <c r="AJ73" i="1" s="1"/>
  <c r="AK76" i="1"/>
  <c r="T76" i="1"/>
  <c r="AJ76" i="1" s="1"/>
  <c r="AK91" i="1"/>
  <c r="T91" i="1"/>
  <c r="AJ91" i="1" s="1"/>
  <c r="AK42" i="1"/>
  <c r="T42" i="1"/>
  <c r="AJ42" i="1" s="1"/>
  <c r="AK71" i="1"/>
  <c r="T71" i="1"/>
  <c r="AJ71" i="1" s="1"/>
  <c r="AK93" i="1"/>
  <c r="T93" i="1"/>
  <c r="AJ93" i="1" s="1"/>
  <c r="AK74" i="1"/>
  <c r="T74" i="1"/>
  <c r="AJ74" i="1" s="1"/>
  <c r="AK24" i="1"/>
  <c r="T24" i="1"/>
  <c r="AJ24" i="1" s="1"/>
  <c r="AK6" i="1"/>
  <c r="T6" i="1"/>
  <c r="AJ6" i="1" s="1"/>
  <c r="AK28" i="1"/>
  <c r="T28" i="1"/>
  <c r="AJ28" i="1" s="1"/>
  <c r="Y99" i="1"/>
  <c r="Y64" i="1"/>
  <c r="Y95" i="1"/>
  <c r="Y73" i="1"/>
  <c r="Y25" i="1"/>
  <c r="Y76" i="1"/>
  <c r="Y17" i="1"/>
  <c r="Y41" i="1"/>
  <c r="Y83" i="1"/>
  <c r="Y91" i="1"/>
  <c r="Y84" i="1"/>
  <c r="Y28" i="1"/>
  <c r="Y79" i="1"/>
  <c r="Y77" i="1"/>
  <c r="Y42" i="1"/>
  <c r="Y19" i="1"/>
  <c r="Y49" i="1"/>
  <c r="Y56" i="1"/>
  <c r="Y78" i="1"/>
  <c r="Y43" i="1"/>
  <c r="Y71" i="1"/>
  <c r="Y30" i="1"/>
  <c r="Y93" i="1"/>
  <c r="Y9" i="1"/>
  <c r="Y58" i="1"/>
  <c r="Y107" i="1"/>
  <c r="Y39" i="1"/>
  <c r="Y67" i="1"/>
  <c r="Y74" i="1"/>
  <c r="Y81" i="1"/>
  <c r="Y24" i="1"/>
  <c r="Y96" i="1"/>
  <c r="Y80" i="1"/>
  <c r="Y6" i="1"/>
  <c r="S102" i="1"/>
  <c r="U102" i="1" s="1"/>
  <c r="S66" i="1"/>
  <c r="U66" i="1" s="1"/>
  <c r="S100" i="1"/>
  <c r="R5" i="1"/>
  <c r="U5" i="1" l="1"/>
  <c r="AK66" i="1"/>
  <c r="T66" i="1"/>
  <c r="AJ66" i="1" s="1"/>
  <c r="AK102" i="1"/>
  <c r="T102" i="1"/>
  <c r="AJ102" i="1" s="1"/>
  <c r="AK5" i="1"/>
  <c r="Y100" i="1"/>
  <c r="Y66" i="1"/>
  <c r="Y102" i="1"/>
  <c r="S5" i="1"/>
  <c r="AJ5" i="1" l="1"/>
  <c r="T5" i="1"/>
</calcChain>
</file>

<file path=xl/sharedStrings.xml><?xml version="1.0" encoding="utf-8"?>
<sst xmlns="http://schemas.openxmlformats.org/spreadsheetml/2006/main" count="441" uniqueCount="190">
  <si>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</si>
  <si>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</si>
  <si>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</si>
  <si>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</si>
  <si>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</si>
  <si>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</si>
  <si>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</si>
  <si>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</si>
  <si>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</si>
  <si>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</si>
  <si>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</si>
  <si>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</si>
  <si>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</si>
  <si>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</si>
  <si>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</si>
  <si>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</si>
  <si>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</si>
  <si>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</si>
  <si>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</si>
  <si>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</si>
  <si>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</si>
  <si>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</si>
  <si>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</si>
  <si>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</si>
  <si>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</si>
  <si>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</si>
  <si>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</si>
  <si>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</si>
  <si>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</si>
  <si>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</si>
  <si>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</si>
  <si>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</si>
  <si>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</si>
  <si>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</si>
  <si>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</si>
  <si>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</si>
  <si>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</si>
  <si>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</si>
  <si>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</si>
  <si>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</si>
  <si>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</si>
  <si>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</si>
  <si>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</si>
  <si>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</si>
  <si>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</si>
  <si>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</si>
  <si>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</si>
  <si>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</si>
  <si>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</si>
  <si>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</si>
  <si>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</si>
  <si>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</si>
  <si>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</si>
  <si>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</si>
  <si>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</si>
  <si>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</si>
  <si>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</si>
  <si>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</si>
  <si>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</si>
  <si>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</si>
  <si>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</si>
  <si>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</si>
  <si>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</si>
  <si>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</si>
  <si>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</si>
  <si>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</si>
  <si>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</si>
  <si>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</si>
  <si>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</si>
  <si>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</si>
  <si>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</si>
  <si>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</si>
  <si>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</si>
  <si>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</si>
  <si>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</si>
  <si>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</si>
  <si>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</si>
  <si>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</si>
  <si>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</si>
  <si>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</si>
  <si>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</si>
  <si>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</si>
  <si>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</si>
  <si>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</si>
  <si>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</si>
  <si>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</si>
  <si>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</si>
  <si>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</si>
  <si>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</si>
  <si>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</si>
  <si>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</si>
  <si>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</si>
  <si>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</si>
  <si>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</si>
  <si>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</si>
  <si>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</si>
  <si>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</si>
  <si>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</si>
  <si>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</si>
  <si>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</si>
  <si>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</si>
  <si>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</si>
  <si>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</si>
  <si>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</si>
  <si>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</si>
  <si>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</si>
  <si>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</si>
  <si>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</si>
  <si>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</si>
  <si>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</si>
  <si>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</si>
  <si>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</si>
  <si>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</si>
  <si>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</si>
  <si>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</si>
  <si>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</si>
  <si>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</si>
  <si>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</si>
  <si>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</si>
  <si>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</si>
  <si>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</si>
  <si>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</si>
  <si>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</si>
  <si>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</si>
  <si>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</si>
  <si>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</si>
  <si>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</si>
  <si>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</si>
  <si>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</si>
  <si>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</si>
  <si>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</si>
  <si>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</si>
  <si>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</si>
  <si>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</si>
  <si>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</si>
  <si>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</si>
  <si>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</si>
  <si>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</si>
  <si>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</si>
  <si>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</si>
  <si>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</si>
  <si>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</si>
  <si>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</si>
  <si>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</si>
  <si>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</si>
  <si>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</si>
  <si>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</si>
  <si>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</si>
  <si>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</si>
  <si>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</si>
  <si>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</si>
  <si>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</si>
  <si>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</si>
  <si>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</si>
  <si>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</si>
  <si>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</si>
  <si>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</si>
  <si>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</si>
  <si>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</si>
  <si>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</si>
  <si>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t>вместо 6454</t>
  </si>
  <si>
    <t>7075 МОЛОЧ.ПРЕМИУМ ПМ сос п/о мгс 1,5*4_О_50с  Останкино</t>
  </si>
  <si>
    <t>не потребности</t>
  </si>
  <si>
    <t>6620 РЕБРЫШКИ к/в в/у_30с  Останкино</t>
  </si>
  <si>
    <t>7149 БАЛЫКОВАЯ Коровино п/к в/у 0,84кг_50с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</si>
  <si>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пересчет +155кг (12,07,26)</t>
    </r>
  </si>
  <si>
    <t>820шт в уценку (14,07,26) / 07,07,26 +600шт в заказ (просьба Босых под сети - просил 700)</t>
  </si>
  <si>
    <t>ТК</t>
  </si>
  <si>
    <t>минус 317</t>
  </si>
  <si>
    <t>22,07,26 уменьшить на 317шт (Босых)</t>
  </si>
  <si>
    <t>плюс 60</t>
  </si>
  <si>
    <t>плюс 14</t>
  </si>
  <si>
    <t>плюс 70</t>
  </si>
  <si>
    <t>1200 ЮгТех</t>
  </si>
  <si>
    <t>нужно увеличить продажи / 22,07,26 1200шт ЮгТех</t>
  </si>
  <si>
    <t>800 ЮгТех</t>
  </si>
  <si>
    <t>22,07,26 800шт ЮгТех</t>
  </si>
  <si>
    <t>ВНИМАНИЕ /матрица</t>
  </si>
  <si>
    <t>7040 С ИНДЕЙКОЙ ПМ сос ц/о в/у 1/270 8шт.  ОСТАНКИНО</t>
  </si>
  <si>
    <t>6411 ВЕТЧ.РУБЛЕНАЯ ПМ в/у срез 0.3кг 6шт.</t>
  </si>
  <si>
    <t>Босых</t>
  </si>
  <si>
    <t>Титенок</t>
  </si>
  <si>
    <t>итого</t>
  </si>
  <si>
    <t>заказ</t>
  </si>
  <si>
    <t>%</t>
  </si>
  <si>
    <t>26,07,</t>
  </si>
  <si>
    <t>27,07,</t>
  </si>
  <si>
    <t>27,07,доз</t>
  </si>
  <si>
    <t>7601 ДЛЯ ДЕТЕЙ Папа может сос п/о мгс 0.264кг</t>
  </si>
  <si>
    <t>помощь заводу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</si>
</sst>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4" fillId="5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07,26/20,07,26%20&#1054;&#1089;&#1090;&#1072;&#1085;&#1082;&#1080;&#1085;&#1086;%20&#1050;&#1048;%20&#1080;%20&#1047;&#1055;&#1060;/_&#1076;&#1074;%2020,07,26%20&#1076;&#1085;&#1088;&#1089;&#1095;%20&#1086;&#1089;&#1090;%20&#1082;&#1080;%20&#1086;&#109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19,07,</v>
          </cell>
          <cell r="P4" t="str">
            <v>20,07,</v>
          </cell>
          <cell r="Q4" t="str">
            <v>20,07,</v>
          </cell>
        </row>
        <row r="5">
          <cell r="E5">
            <v>15074.242999999999</v>
          </cell>
          <cell r="F5">
            <v>22827.185999999998</v>
          </cell>
          <cell r="K5">
            <v>22274.82</v>
          </cell>
          <cell r="L5">
            <v>-7394.5769999999993</v>
          </cell>
          <cell r="M5">
            <v>0</v>
          </cell>
          <cell r="N5">
            <v>0</v>
          </cell>
          <cell r="O5">
            <v>5943</v>
          </cell>
          <cell r="P5">
            <v>5768</v>
          </cell>
          <cell r="Q5">
            <v>3014.8485999999994</v>
          </cell>
          <cell r="R5">
            <v>13880.7328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66</v>
          </cell>
          <cell r="D6">
            <v>886</v>
          </cell>
          <cell r="E6">
            <v>273</v>
          </cell>
          <cell r="F6">
            <v>556</v>
          </cell>
          <cell r="G6">
            <v>0.4</v>
          </cell>
          <cell r="H6">
            <v>60</v>
          </cell>
          <cell r="I6" t="str">
            <v>матрица</v>
          </cell>
          <cell r="K6">
            <v>438</v>
          </cell>
          <cell r="L6">
            <v>-165</v>
          </cell>
          <cell r="O6">
            <v>92</v>
          </cell>
          <cell r="Q6">
            <v>54.6</v>
          </cell>
          <cell r="R6">
            <v>171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20.600999999999999</v>
          </cell>
          <cell r="E7">
            <v>10.557</v>
          </cell>
          <cell r="F7">
            <v>10.044</v>
          </cell>
          <cell r="G7">
            <v>1</v>
          </cell>
          <cell r="H7">
            <v>120</v>
          </cell>
          <cell r="I7" t="str">
            <v>матрица</v>
          </cell>
          <cell r="K7">
            <v>9.5</v>
          </cell>
          <cell r="L7">
            <v>1.0570000000000004</v>
          </cell>
          <cell r="O7">
            <v>8</v>
          </cell>
          <cell r="Q7">
            <v>2.1114000000000002</v>
          </cell>
          <cell r="R7">
            <v>24.184000000000001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16</v>
          </cell>
          <cell r="D8">
            <v>616</v>
          </cell>
          <cell r="E8">
            <v>185</v>
          </cell>
          <cell r="F8">
            <v>340</v>
          </cell>
          <cell r="G8">
            <v>0.25</v>
          </cell>
          <cell r="H8">
            <v>120</v>
          </cell>
          <cell r="I8" t="str">
            <v>матрица</v>
          </cell>
          <cell r="K8">
            <v>317</v>
          </cell>
          <cell r="L8">
            <v>-132</v>
          </cell>
          <cell r="O8">
            <v>97</v>
          </cell>
          <cell r="Q8">
            <v>37</v>
          </cell>
          <cell r="R8">
            <v>303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1158.201</v>
          </cell>
          <cell r="D9">
            <v>844.19299999999998</v>
          </cell>
          <cell r="E9">
            <v>1081.723</v>
          </cell>
          <cell r="F9">
            <v>715.66899999999998</v>
          </cell>
          <cell r="G9">
            <v>1</v>
          </cell>
          <cell r="H9">
            <v>60</v>
          </cell>
          <cell r="I9" t="str">
            <v>матрица</v>
          </cell>
          <cell r="K9">
            <v>1194.9000000000001</v>
          </cell>
          <cell r="L9">
            <v>-113.17700000000013</v>
          </cell>
          <cell r="O9">
            <v>358</v>
          </cell>
          <cell r="P9">
            <v>421</v>
          </cell>
          <cell r="Q9">
            <v>216.34459999999999</v>
          </cell>
          <cell r="R9">
            <v>1750.5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51.613999999999997</v>
          </cell>
          <cell r="E10">
            <v>37.676000000000002</v>
          </cell>
          <cell r="F10">
            <v>13.938000000000001</v>
          </cell>
          <cell r="G10">
            <v>1</v>
          </cell>
          <cell r="H10">
            <v>120</v>
          </cell>
          <cell r="I10" t="str">
            <v>матрица</v>
          </cell>
          <cell r="K10">
            <v>36.700000000000003</v>
          </cell>
          <cell r="L10">
            <v>0.97599999999999909</v>
          </cell>
          <cell r="O10">
            <v>15</v>
          </cell>
          <cell r="Q10">
            <v>7.5352000000000006</v>
          </cell>
          <cell r="R10">
            <v>114.2308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291.93700000000001</v>
          </cell>
          <cell r="D11">
            <v>6.7249999999999996</v>
          </cell>
          <cell r="E11">
            <v>64.417000000000002</v>
          </cell>
          <cell r="F11">
            <v>220.52799999999999</v>
          </cell>
          <cell r="G11">
            <v>1</v>
          </cell>
          <cell r="H11">
            <v>60</v>
          </cell>
          <cell r="I11" t="str">
            <v>матрица</v>
          </cell>
          <cell r="K11">
            <v>74.8</v>
          </cell>
          <cell r="L11">
            <v>-10.382999999999996</v>
          </cell>
          <cell r="O11">
            <v>53</v>
          </cell>
          <cell r="Q11">
            <v>12.8834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477.238</v>
          </cell>
          <cell r="D12">
            <v>637.93700000000001</v>
          </cell>
          <cell r="E12">
            <v>390.20400000000001</v>
          </cell>
          <cell r="F12">
            <v>638.75800000000004</v>
          </cell>
          <cell r="G12">
            <v>1</v>
          </cell>
          <cell r="H12">
            <v>60</v>
          </cell>
          <cell r="I12" t="str">
            <v>матрица</v>
          </cell>
          <cell r="K12">
            <v>451.4</v>
          </cell>
          <cell r="L12">
            <v>-61.19599999999997</v>
          </cell>
          <cell r="O12">
            <v>97</v>
          </cell>
          <cell r="P12">
            <v>115</v>
          </cell>
          <cell r="Q12">
            <v>78.040800000000004</v>
          </cell>
          <cell r="R12">
            <v>319.85400000000004</v>
          </cell>
          <cell r="S12">
            <v>500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156</v>
          </cell>
          <cell r="D13">
            <v>29</v>
          </cell>
          <cell r="E13">
            <v>62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117</v>
          </cell>
          <cell r="L13">
            <v>-55</v>
          </cell>
          <cell r="O13">
            <v>12</v>
          </cell>
          <cell r="Q13">
            <v>12.4</v>
          </cell>
          <cell r="R13">
            <v>148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132.13399999999999</v>
          </cell>
          <cell r="D14">
            <v>163.62</v>
          </cell>
          <cell r="E14">
            <v>63.38</v>
          </cell>
          <cell r="F14">
            <v>225.54599999999999</v>
          </cell>
          <cell r="G14">
            <v>1</v>
          </cell>
          <cell r="H14">
            <v>60</v>
          </cell>
          <cell r="I14" t="str">
            <v>матрица</v>
          </cell>
          <cell r="K14">
            <v>70.8</v>
          </cell>
          <cell r="L14">
            <v>-7.4199999999999946</v>
          </cell>
          <cell r="O14">
            <v>0</v>
          </cell>
          <cell r="Q14">
            <v>12.676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360</v>
          </cell>
          <cell r="D15">
            <v>5</v>
          </cell>
          <cell r="E15">
            <v>57</v>
          </cell>
          <cell r="F15">
            <v>297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172</v>
          </cell>
          <cell r="L15">
            <v>-115</v>
          </cell>
          <cell r="O15">
            <v>0</v>
          </cell>
          <cell r="Q15">
            <v>11.4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489</v>
          </cell>
          <cell r="D16">
            <v>665</v>
          </cell>
          <cell r="E16">
            <v>460</v>
          </cell>
          <cell r="F16">
            <v>571</v>
          </cell>
          <cell r="G16">
            <v>0.4</v>
          </cell>
          <cell r="H16">
            <v>60</v>
          </cell>
          <cell r="I16" t="str">
            <v>ВНИМАНИЕ / матрица</v>
          </cell>
          <cell r="K16">
            <v>667</v>
          </cell>
          <cell r="L16">
            <v>-207</v>
          </cell>
          <cell r="O16">
            <v>0</v>
          </cell>
          <cell r="Q16">
            <v>92</v>
          </cell>
          <cell r="R16">
            <v>717</v>
          </cell>
          <cell r="S16">
            <v>400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326.84399999999999</v>
          </cell>
          <cell r="D17">
            <v>246.93199999999999</v>
          </cell>
          <cell r="E17">
            <v>319.15300000000002</v>
          </cell>
          <cell r="F17">
            <v>189.46</v>
          </cell>
          <cell r="G17">
            <v>1</v>
          </cell>
          <cell r="H17">
            <v>45</v>
          </cell>
          <cell r="I17" t="str">
            <v>матрица</v>
          </cell>
          <cell r="K17">
            <v>340.7</v>
          </cell>
          <cell r="L17">
            <v>-21.546999999999969</v>
          </cell>
          <cell r="O17">
            <v>156</v>
          </cell>
          <cell r="P17">
            <v>183</v>
          </cell>
          <cell r="Q17">
            <v>63.830600000000004</v>
          </cell>
          <cell r="R17">
            <v>428.99900000000002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21.574000000000002</v>
          </cell>
          <cell r="E18">
            <v>21.062000000000001</v>
          </cell>
          <cell r="G18">
            <v>1</v>
          </cell>
          <cell r="H18">
            <v>120</v>
          </cell>
          <cell r="I18" t="str">
            <v>матрица</v>
          </cell>
          <cell r="K18">
            <v>36.200000000000003</v>
          </cell>
          <cell r="L18">
            <v>-15.138000000000002</v>
          </cell>
          <cell r="O18">
            <v>0</v>
          </cell>
          <cell r="Q18">
            <v>4.2124000000000006</v>
          </cell>
          <cell r="R18">
            <v>63.186000000000007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147</v>
          </cell>
          <cell r="D19">
            <v>676</v>
          </cell>
          <cell r="E19">
            <v>225</v>
          </cell>
          <cell r="F19">
            <v>487</v>
          </cell>
          <cell r="G19">
            <v>0.4</v>
          </cell>
          <cell r="H19">
            <v>45</v>
          </cell>
          <cell r="I19" t="str">
            <v>матрица</v>
          </cell>
          <cell r="K19">
            <v>369</v>
          </cell>
          <cell r="L19">
            <v>-144</v>
          </cell>
          <cell r="O19">
            <v>57</v>
          </cell>
          <cell r="P19">
            <v>68</v>
          </cell>
          <cell r="Q19">
            <v>45</v>
          </cell>
          <cell r="R19">
            <v>63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317.678</v>
          </cell>
          <cell r="D20">
            <v>412.471</v>
          </cell>
          <cell r="E20">
            <v>217.94300000000001</v>
          </cell>
          <cell r="F20">
            <v>472.01400000000001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246.1</v>
          </cell>
          <cell r="L20">
            <v>-28.156999999999982</v>
          </cell>
          <cell r="O20">
            <v>0</v>
          </cell>
          <cell r="Q20">
            <v>43.5886</v>
          </cell>
          <cell r="R20">
            <v>138.22640000000001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124</v>
          </cell>
          <cell r="D21">
            <v>336</v>
          </cell>
          <cell r="E21">
            <v>147</v>
          </cell>
          <cell r="F21">
            <v>287</v>
          </cell>
          <cell r="G21">
            <v>0.22</v>
          </cell>
          <cell r="H21">
            <v>120</v>
          </cell>
          <cell r="I21" t="str">
            <v>матрица</v>
          </cell>
          <cell r="K21">
            <v>240</v>
          </cell>
          <cell r="L21">
            <v>-93</v>
          </cell>
          <cell r="O21">
            <v>127</v>
          </cell>
          <cell r="P21">
            <v>150</v>
          </cell>
          <cell r="Q21">
            <v>29.4</v>
          </cell>
          <cell r="R21">
            <v>24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73.426000000000002</v>
          </cell>
          <cell r="D22">
            <v>51.323999999999998</v>
          </cell>
          <cell r="E22">
            <v>17.521999999999998</v>
          </cell>
          <cell r="F22">
            <v>39.53</v>
          </cell>
          <cell r="G22">
            <v>1</v>
          </cell>
          <cell r="H22">
            <v>40</v>
          </cell>
          <cell r="I22" t="str">
            <v>матрица</v>
          </cell>
          <cell r="K22">
            <v>16.876000000000001</v>
          </cell>
          <cell r="L22">
            <v>0.64599999999999724</v>
          </cell>
          <cell r="O22">
            <v>0</v>
          </cell>
          <cell r="Q22">
            <v>3.5043999999999995</v>
          </cell>
          <cell r="R22">
            <v>9.5315999999999903</v>
          </cell>
        </row>
        <row r="23">
          <cell r="A23" t="str">
            <v>6208 ДЫМОВИЦА ИЗ ЛОПАТКИ ПМ к/в с/н в/у 1/150  Останкино</v>
          </cell>
          <cell r="B23" t="str">
            <v>шт</v>
          </cell>
          <cell r="C23">
            <v>38</v>
          </cell>
          <cell r="D23">
            <v>1</v>
          </cell>
          <cell r="E23">
            <v>5</v>
          </cell>
          <cell r="F23">
            <v>18</v>
          </cell>
          <cell r="G23">
            <v>0</v>
          </cell>
          <cell r="H23">
            <v>45</v>
          </cell>
          <cell r="I23" t="str">
            <v>не в матрице</v>
          </cell>
          <cell r="K23">
            <v>8</v>
          </cell>
          <cell r="L23">
            <v>-3</v>
          </cell>
          <cell r="O23">
            <v>46</v>
          </cell>
          <cell r="Q23">
            <v>1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148.49100000000001</v>
          </cell>
          <cell r="D24">
            <v>250.78899999999999</v>
          </cell>
          <cell r="E24">
            <v>288.62299999999999</v>
          </cell>
          <cell r="F24">
            <v>80.897000000000006</v>
          </cell>
          <cell r="G24">
            <v>1</v>
          </cell>
          <cell r="H24">
            <v>60</v>
          </cell>
          <cell r="I24" t="str">
            <v>матрица</v>
          </cell>
          <cell r="K24">
            <v>309</v>
          </cell>
          <cell r="L24">
            <v>-20.37700000000001</v>
          </cell>
          <cell r="O24">
            <v>145</v>
          </cell>
          <cell r="P24">
            <v>169</v>
          </cell>
          <cell r="Q24">
            <v>57.724599999999995</v>
          </cell>
          <cell r="R24">
            <v>470.97199999999992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380</v>
          </cell>
          <cell r="D25">
            <v>402</v>
          </cell>
          <cell r="E25">
            <v>295</v>
          </cell>
          <cell r="F25">
            <v>368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440</v>
          </cell>
          <cell r="L25">
            <v>-145</v>
          </cell>
          <cell r="O25">
            <v>54</v>
          </cell>
          <cell r="P25">
            <v>64</v>
          </cell>
          <cell r="Q25">
            <v>59</v>
          </cell>
          <cell r="R25">
            <v>399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312</v>
          </cell>
          <cell r="D26">
            <v>13</v>
          </cell>
          <cell r="E26">
            <v>92</v>
          </cell>
          <cell r="F26">
            <v>215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178</v>
          </cell>
          <cell r="L26">
            <v>-86</v>
          </cell>
          <cell r="O26">
            <v>0</v>
          </cell>
          <cell r="Q26">
            <v>18.399999999999999</v>
          </cell>
          <cell r="R26">
            <v>42.599999999999966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280</v>
          </cell>
          <cell r="D27">
            <v>30</v>
          </cell>
          <cell r="E27">
            <v>9</v>
          </cell>
          <cell r="F27">
            <v>268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123</v>
          </cell>
          <cell r="L27">
            <v>-114</v>
          </cell>
          <cell r="O27">
            <v>0</v>
          </cell>
          <cell r="Q27">
            <v>1.8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147.94200000000001</v>
          </cell>
          <cell r="D28">
            <v>149.10300000000001</v>
          </cell>
          <cell r="E28">
            <v>244.297</v>
          </cell>
          <cell r="F28">
            <v>144.02500000000001</v>
          </cell>
          <cell r="G28">
            <v>1</v>
          </cell>
          <cell r="H28">
            <v>45</v>
          </cell>
          <cell r="I28" t="str">
            <v>матрица</v>
          </cell>
          <cell r="K28">
            <v>248.1</v>
          </cell>
          <cell r="L28">
            <v>-3.8029999999999973</v>
          </cell>
          <cell r="O28">
            <v>92</v>
          </cell>
          <cell r="P28">
            <v>107</v>
          </cell>
          <cell r="Q28">
            <v>48.859400000000001</v>
          </cell>
          <cell r="R28">
            <v>389.86599999999999</v>
          </cell>
        </row>
        <row r="29">
          <cell r="A29" t="str">
            <v>6324 ДОКТОРСКАЯ ГОСТ вар п/о 0,4кг 8шт  Останкино</v>
          </cell>
          <cell r="B29" t="str">
            <v>шт</v>
          </cell>
          <cell r="D29">
            <v>4</v>
          </cell>
          <cell r="F29">
            <v>4</v>
          </cell>
          <cell r="G29">
            <v>0</v>
          </cell>
          <cell r="I29" t="str">
            <v>не в матрице</v>
          </cell>
          <cell r="J29" t="str">
            <v>7539 ДОКТОРСКАЯ ГОСТ вар п/о 0,35кг ОСТАНКИНО</v>
          </cell>
          <cell r="K29">
            <v>27</v>
          </cell>
          <cell r="L29">
            <v>-27</v>
          </cell>
          <cell r="O29">
            <v>0</v>
          </cell>
          <cell r="Q29">
            <v>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7</v>
          </cell>
          <cell r="D30">
            <v>94</v>
          </cell>
          <cell r="E30">
            <v>79</v>
          </cell>
          <cell r="F30">
            <v>7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202</v>
          </cell>
          <cell r="L30">
            <v>-123</v>
          </cell>
          <cell r="O30">
            <v>58</v>
          </cell>
          <cell r="P30">
            <v>69</v>
          </cell>
          <cell r="Q30">
            <v>15.8</v>
          </cell>
          <cell r="R30">
            <v>103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839</v>
          </cell>
          <cell r="D31">
            <v>202</v>
          </cell>
          <cell r="E31">
            <v>346</v>
          </cell>
          <cell r="F31">
            <v>476</v>
          </cell>
          <cell r="G31">
            <v>0.4</v>
          </cell>
          <cell r="H31">
            <v>60</v>
          </cell>
          <cell r="I31" t="str">
            <v>матрица</v>
          </cell>
          <cell r="K31">
            <v>607</v>
          </cell>
          <cell r="L31">
            <v>-261</v>
          </cell>
          <cell r="O31">
            <v>485</v>
          </cell>
          <cell r="P31">
            <v>570</v>
          </cell>
          <cell r="Q31">
            <v>69.2</v>
          </cell>
          <cell r="S31">
            <v>1200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E32">
            <v>6</v>
          </cell>
          <cell r="F32">
            <v>-6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58</v>
          </cell>
          <cell r="L32">
            <v>-52</v>
          </cell>
          <cell r="O32">
            <v>0</v>
          </cell>
          <cell r="Q32">
            <v>1.2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471</v>
          </cell>
          <cell r="D33">
            <v>1319</v>
          </cell>
          <cell r="E33">
            <v>459</v>
          </cell>
          <cell r="F33">
            <v>1068</v>
          </cell>
          <cell r="G33">
            <v>0.4</v>
          </cell>
          <cell r="H33">
            <v>60</v>
          </cell>
          <cell r="I33" t="str">
            <v>матрица</v>
          </cell>
          <cell r="K33">
            <v>779</v>
          </cell>
          <cell r="L33">
            <v>-320</v>
          </cell>
          <cell r="O33">
            <v>305</v>
          </cell>
          <cell r="P33">
            <v>357</v>
          </cell>
          <cell r="Q33">
            <v>91.8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116</v>
          </cell>
          <cell r="D34">
            <v>8</v>
          </cell>
          <cell r="E34">
            <v>128</v>
          </cell>
          <cell r="F34">
            <v>-17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K34">
            <v>385</v>
          </cell>
          <cell r="L34">
            <v>-257</v>
          </cell>
          <cell r="O34">
            <v>0</v>
          </cell>
          <cell r="Q34">
            <v>25.6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234</v>
          </cell>
          <cell r="D35">
            <v>15</v>
          </cell>
          <cell r="E35">
            <v>194</v>
          </cell>
          <cell r="F35">
            <v>15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</v>
          </cell>
          <cell r="K35">
            <v>252</v>
          </cell>
          <cell r="L35">
            <v>-58</v>
          </cell>
          <cell r="Q35">
            <v>38.799999999999997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107</v>
          </cell>
          <cell r="E36">
            <v>52</v>
          </cell>
          <cell r="F36">
            <v>52</v>
          </cell>
          <cell r="G36">
            <v>0</v>
          </cell>
          <cell r="H36">
            <v>45</v>
          </cell>
          <cell r="I36" t="str">
            <v>не в матрице</v>
          </cell>
          <cell r="J36" t="str">
            <v>7608 СЕРВЕЛАТ ШВЕЙЦАРСК.в/к с/н в/у 1/100_Л11  ОСТАНКИНО</v>
          </cell>
          <cell r="K36">
            <v>92</v>
          </cell>
          <cell r="L36">
            <v>-40</v>
          </cell>
          <cell r="O36">
            <v>0</v>
          </cell>
          <cell r="Q36">
            <v>10.4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D37">
            <v>29.425000000000001</v>
          </cell>
          <cell r="E37">
            <v>13.51</v>
          </cell>
          <cell r="F37">
            <v>15.914999999999999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19.5</v>
          </cell>
          <cell r="L37">
            <v>-5.99</v>
          </cell>
          <cell r="O37">
            <v>24</v>
          </cell>
          <cell r="Q37">
            <v>2.702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29</v>
          </cell>
          <cell r="D38">
            <v>6</v>
          </cell>
          <cell r="E38">
            <v>27</v>
          </cell>
          <cell r="G38">
            <v>0.4</v>
          </cell>
          <cell r="H38">
            <v>45</v>
          </cell>
          <cell r="I38" t="str">
            <v>матрица</v>
          </cell>
          <cell r="K38">
            <v>77</v>
          </cell>
          <cell r="L38">
            <v>-50</v>
          </cell>
          <cell r="O38">
            <v>58</v>
          </cell>
          <cell r="P38">
            <v>69</v>
          </cell>
          <cell r="Q38">
            <v>5.4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175</v>
          </cell>
          <cell r="D39">
            <v>19</v>
          </cell>
          <cell r="E39">
            <v>115</v>
          </cell>
          <cell r="F39">
            <v>46</v>
          </cell>
          <cell r="G39">
            <v>0.3</v>
          </cell>
          <cell r="H39">
            <v>45</v>
          </cell>
          <cell r="I39" t="str">
            <v>матрица</v>
          </cell>
          <cell r="K39">
            <v>190</v>
          </cell>
          <cell r="L39">
            <v>-75</v>
          </cell>
          <cell r="O39">
            <v>124</v>
          </cell>
          <cell r="P39">
            <v>145</v>
          </cell>
          <cell r="Q39">
            <v>23</v>
          </cell>
          <cell r="R39">
            <v>30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82.918000000000006</v>
          </cell>
          <cell r="D40">
            <v>211.97499999999999</v>
          </cell>
          <cell r="E40">
            <v>115.227</v>
          </cell>
          <cell r="F40">
            <v>169.179</v>
          </cell>
          <cell r="G40">
            <v>1</v>
          </cell>
          <cell r="H40">
            <v>60</v>
          </cell>
          <cell r="I40" t="str">
            <v>матрица</v>
          </cell>
          <cell r="K40">
            <v>121.6</v>
          </cell>
          <cell r="L40">
            <v>-6.3729999999999905</v>
          </cell>
          <cell r="O40">
            <v>0</v>
          </cell>
          <cell r="Q40">
            <v>23.045400000000001</v>
          </cell>
          <cell r="R40">
            <v>176.50200000000004</v>
          </cell>
          <cell r="S40">
            <v>300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41.015999999999998</v>
          </cell>
          <cell r="D41">
            <v>59.798000000000002</v>
          </cell>
          <cell r="E41">
            <v>55.154000000000003</v>
          </cell>
          <cell r="F41">
            <v>24.954000000000001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69.343999999999994</v>
          </cell>
          <cell r="L41">
            <v>-14.189999999999991</v>
          </cell>
          <cell r="O41">
            <v>61</v>
          </cell>
          <cell r="P41">
            <v>71</v>
          </cell>
          <cell r="Q41">
            <v>11.030800000000001</v>
          </cell>
          <cell r="R41">
            <v>8.5080000000000169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110.749</v>
          </cell>
          <cell r="D42">
            <v>145.73500000000001</v>
          </cell>
          <cell r="E42">
            <v>102.836</v>
          </cell>
          <cell r="F42">
            <v>110.053</v>
          </cell>
          <cell r="G42">
            <v>1</v>
          </cell>
          <cell r="H42">
            <v>45</v>
          </cell>
          <cell r="I42" t="str">
            <v>матрица</v>
          </cell>
          <cell r="K42">
            <v>147.5</v>
          </cell>
          <cell r="L42">
            <v>-44.664000000000001</v>
          </cell>
          <cell r="O42">
            <v>24</v>
          </cell>
          <cell r="Q42">
            <v>20.5672</v>
          </cell>
          <cell r="R42">
            <v>174.45499999999998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271.55</v>
          </cell>
          <cell r="D43">
            <v>26.004000000000001</v>
          </cell>
          <cell r="E43">
            <v>122.53</v>
          </cell>
          <cell r="F43">
            <v>129.82</v>
          </cell>
          <cell r="G43">
            <v>1</v>
          </cell>
          <cell r="H43">
            <v>45</v>
          </cell>
          <cell r="I43" t="str">
            <v>матрица</v>
          </cell>
          <cell r="K43">
            <v>164.4</v>
          </cell>
          <cell r="L43">
            <v>-41.870000000000005</v>
          </cell>
          <cell r="O43">
            <v>63</v>
          </cell>
          <cell r="P43">
            <v>75</v>
          </cell>
          <cell r="Q43">
            <v>24.506</v>
          </cell>
          <cell r="R43">
            <v>99.770000000000039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1874</v>
          </cell>
          <cell r="D44">
            <v>36</v>
          </cell>
          <cell r="E44">
            <v>227</v>
          </cell>
          <cell r="F44">
            <v>1624</v>
          </cell>
          <cell r="G44">
            <v>0.3</v>
          </cell>
          <cell r="H44">
            <v>45</v>
          </cell>
          <cell r="I44" t="str">
            <v>матрица</v>
          </cell>
          <cell r="K44">
            <v>320</v>
          </cell>
          <cell r="L44">
            <v>-93</v>
          </cell>
          <cell r="O44">
            <v>0</v>
          </cell>
          <cell r="Q44">
            <v>45.4</v>
          </cell>
        </row>
        <row r="45">
          <cell r="A45" t="str">
            <v>6661 СОЧНЫЙ ГРИЛЬ ПМ сос п/о мгс 1,5*4_Маяк Останкино</v>
          </cell>
          <cell r="B45" t="str">
            <v>кг</v>
          </cell>
          <cell r="C45">
            <v>170.69</v>
          </cell>
          <cell r="F45">
            <v>170.69</v>
          </cell>
          <cell r="G45">
            <v>1</v>
          </cell>
          <cell r="H45">
            <v>45</v>
          </cell>
          <cell r="I45" t="str">
            <v>матрица</v>
          </cell>
          <cell r="L45">
            <v>0</v>
          </cell>
          <cell r="O45">
            <v>0</v>
          </cell>
          <cell r="Q45">
            <v>0</v>
          </cell>
        </row>
        <row r="46">
          <cell r="A46" t="str">
            <v>6697 СЕРВЕЛАТ ФИНСКИЙ ПМ в/к в/у 0,35кг 8шт  ОСТАНКИНО</v>
          </cell>
          <cell r="B46" t="str">
            <v>шт</v>
          </cell>
          <cell r="C46">
            <v>1113</v>
          </cell>
          <cell r="D46">
            <v>2013</v>
          </cell>
          <cell r="E46">
            <v>803</v>
          </cell>
          <cell r="F46">
            <v>1956</v>
          </cell>
          <cell r="G46">
            <v>0.35</v>
          </cell>
          <cell r="H46">
            <v>45</v>
          </cell>
          <cell r="I46" t="str">
            <v>матрица</v>
          </cell>
          <cell r="K46">
            <v>1216</v>
          </cell>
          <cell r="L46">
            <v>-413</v>
          </cell>
          <cell r="O46">
            <v>0</v>
          </cell>
          <cell r="Q46">
            <v>160.6</v>
          </cell>
          <cell r="R46">
            <v>453</v>
          </cell>
          <cell r="S46">
            <v>800</v>
          </cell>
        </row>
        <row r="47">
          <cell r="A47" t="str">
            <v>6713 СОЧНЫЙ ГРИЛЬ ПМ сос п/о мгс 0,41кг 8 шт.  ОСТАНКИНО</v>
          </cell>
          <cell r="B47" t="str">
            <v>шт</v>
          </cell>
          <cell r="C47">
            <v>563</v>
          </cell>
          <cell r="D47">
            <v>383</v>
          </cell>
          <cell r="E47">
            <v>186</v>
          </cell>
          <cell r="F47">
            <v>622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320</v>
          </cell>
          <cell r="L47">
            <v>-134</v>
          </cell>
          <cell r="O47">
            <v>0</v>
          </cell>
          <cell r="Q47">
            <v>37.200000000000003</v>
          </cell>
        </row>
        <row r="48">
          <cell r="A48" t="str">
            <v>6724 МОЛОЧНЫЕ ПМ сос п/о мгс 0,41кг 10шт  Останкино</v>
          </cell>
          <cell r="B48" t="str">
            <v>шт</v>
          </cell>
          <cell r="C48">
            <v>98</v>
          </cell>
          <cell r="D48">
            <v>55</v>
          </cell>
          <cell r="E48">
            <v>38</v>
          </cell>
          <cell r="F48">
            <v>84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63</v>
          </cell>
          <cell r="L48">
            <v>-25</v>
          </cell>
          <cell r="O48">
            <v>66</v>
          </cell>
          <cell r="Q48">
            <v>7.6</v>
          </cell>
        </row>
        <row r="49">
          <cell r="A49" t="str">
            <v>6765 РУБЛЕНЫЕ сос ц/о мгс 0,36кг 6шт  Останкино</v>
          </cell>
          <cell r="B49" t="str">
            <v>шт</v>
          </cell>
          <cell r="C49">
            <v>109</v>
          </cell>
          <cell r="D49">
            <v>591</v>
          </cell>
          <cell r="E49">
            <v>184</v>
          </cell>
          <cell r="F49">
            <v>501</v>
          </cell>
          <cell r="G49">
            <v>0.36</v>
          </cell>
          <cell r="H49">
            <v>45</v>
          </cell>
          <cell r="I49" t="str">
            <v>матрица</v>
          </cell>
          <cell r="K49">
            <v>246</v>
          </cell>
          <cell r="L49">
            <v>-62</v>
          </cell>
          <cell r="O49">
            <v>0</v>
          </cell>
          <cell r="Q49">
            <v>36.799999999999997</v>
          </cell>
          <cell r="R49">
            <v>51</v>
          </cell>
        </row>
        <row r="50">
          <cell r="A50" t="str">
            <v>6787 СЕРВЕЛАТ КРЕМЛЕВСКИЙ в/к в/у 0,33кг 8шт  Останкино</v>
          </cell>
          <cell r="B50" t="str">
            <v>шт</v>
          </cell>
          <cell r="C50">
            <v>385</v>
          </cell>
          <cell r="D50">
            <v>271</v>
          </cell>
          <cell r="E50">
            <v>132</v>
          </cell>
          <cell r="F50">
            <v>458</v>
          </cell>
          <cell r="G50">
            <v>0.33</v>
          </cell>
          <cell r="H50">
            <v>45</v>
          </cell>
          <cell r="I50" t="str">
            <v>матрица</v>
          </cell>
          <cell r="K50">
            <v>211</v>
          </cell>
          <cell r="L50">
            <v>-79</v>
          </cell>
          <cell r="O50">
            <v>0</v>
          </cell>
          <cell r="Q50">
            <v>26.4</v>
          </cell>
        </row>
        <row r="51">
          <cell r="A51" t="str">
            <v>6797 С ИНДЕЙКОЙ Папа может вар п/о 0,4кг 8шт. ОСТАНКИНО</v>
          </cell>
          <cell r="B51" t="str">
            <v>шт</v>
          </cell>
          <cell r="C51">
            <v>259</v>
          </cell>
          <cell r="D51">
            <v>18</v>
          </cell>
          <cell r="E51">
            <v>119</v>
          </cell>
          <cell r="F51">
            <v>130</v>
          </cell>
          <cell r="G51">
            <v>0.4</v>
          </cell>
          <cell r="H51">
            <v>60</v>
          </cell>
          <cell r="I51" t="str">
            <v>матрица</v>
          </cell>
          <cell r="K51">
            <v>162</v>
          </cell>
          <cell r="L51">
            <v>-43</v>
          </cell>
          <cell r="O51">
            <v>110</v>
          </cell>
          <cell r="P51">
            <v>129</v>
          </cell>
          <cell r="Q51">
            <v>23.8</v>
          </cell>
          <cell r="S51">
            <v>200</v>
          </cell>
        </row>
        <row r="52">
          <cell r="A52" t="str">
            <v>6807 СЕРВЕЛАТ ЕВРОПЕЙСКИЙ в/к в/у 0,33кг 8шт  Останкино</v>
          </cell>
          <cell r="B52" t="str">
            <v>шт</v>
          </cell>
          <cell r="C52">
            <v>305</v>
          </cell>
          <cell r="D52">
            <v>6</v>
          </cell>
          <cell r="E52">
            <v>18</v>
          </cell>
          <cell r="F52">
            <v>22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37</v>
          </cell>
          <cell r="L52">
            <v>-19</v>
          </cell>
          <cell r="O52">
            <v>0</v>
          </cell>
          <cell r="Q52">
            <v>3.6</v>
          </cell>
          <cell r="R52">
            <v>28.4</v>
          </cell>
        </row>
        <row r="53">
          <cell r="A53" t="str">
            <v>6829  МОЛОЧНЫЕ КЛАССИЧЕСКИЕ сос п/о мгс 2*4 С  Останккино</v>
          </cell>
          <cell r="B53" t="str">
            <v>кг</v>
          </cell>
          <cell r="C53">
            <v>523.39400000000001</v>
          </cell>
          <cell r="D53">
            <v>48.503</v>
          </cell>
          <cell r="E53">
            <v>334.54599999999999</v>
          </cell>
          <cell r="F53">
            <v>160.15600000000001</v>
          </cell>
          <cell r="G53">
            <v>1</v>
          </cell>
          <cell r="H53">
            <v>45</v>
          </cell>
          <cell r="I53" t="str">
            <v>матрица</v>
          </cell>
          <cell r="K53">
            <v>410.3</v>
          </cell>
          <cell r="L53">
            <v>-75.754000000000019</v>
          </cell>
          <cell r="O53">
            <v>305</v>
          </cell>
          <cell r="P53">
            <v>359</v>
          </cell>
          <cell r="Q53">
            <v>66.909199999999998</v>
          </cell>
          <cell r="R53">
            <v>179.48199999999991</v>
          </cell>
          <cell r="S53">
            <v>240</v>
          </cell>
        </row>
        <row r="54">
          <cell r="A54" t="str">
            <v>6832 АССОРТИ СЫРОКОПЧЕНЫХ КОЛБАС Коровино в/у  ОСТАНКИНО</v>
          </cell>
          <cell r="B54" t="str">
            <v>кг</v>
          </cell>
          <cell r="C54">
            <v>4.4240000000000004</v>
          </cell>
          <cell r="E54">
            <v>3.6120000000000001</v>
          </cell>
          <cell r="G54">
            <v>0</v>
          </cell>
          <cell r="H54">
            <v>30</v>
          </cell>
          <cell r="I54" t="str">
            <v>не в матрице</v>
          </cell>
          <cell r="K54">
            <v>19.3</v>
          </cell>
          <cell r="L54">
            <v>-15.688000000000001</v>
          </cell>
          <cell r="O54">
            <v>0</v>
          </cell>
          <cell r="Q54">
            <v>0.72240000000000004</v>
          </cell>
        </row>
        <row r="55">
          <cell r="A55" t="str">
            <v>6837 ФИЛЕЙНЫЕ Папа Может сос ц/о мгс 0,4кг  Останкино</v>
          </cell>
          <cell r="B55" t="str">
            <v>шт</v>
          </cell>
          <cell r="C55">
            <v>63</v>
          </cell>
          <cell r="D55">
            <v>5</v>
          </cell>
          <cell r="E55">
            <v>14</v>
          </cell>
          <cell r="F55">
            <v>38</v>
          </cell>
          <cell r="G55">
            <v>0.4</v>
          </cell>
          <cell r="H55">
            <v>45</v>
          </cell>
          <cell r="I55" t="str">
            <v>матрица</v>
          </cell>
          <cell r="K55">
            <v>24</v>
          </cell>
          <cell r="L55">
            <v>-10</v>
          </cell>
          <cell r="O55">
            <v>0</v>
          </cell>
          <cell r="Q55">
            <v>2.8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11.882</v>
          </cell>
          <cell r="D56">
            <v>15.760999999999999</v>
          </cell>
          <cell r="E56">
            <v>15.814</v>
          </cell>
          <cell r="F56">
            <v>11.829000000000001</v>
          </cell>
          <cell r="G56">
            <v>1</v>
          </cell>
          <cell r="H56">
            <v>60</v>
          </cell>
          <cell r="I56" t="str">
            <v>матрица</v>
          </cell>
          <cell r="K56">
            <v>18.2</v>
          </cell>
          <cell r="L56">
            <v>-2.3859999999999992</v>
          </cell>
          <cell r="O56">
            <v>7</v>
          </cell>
          <cell r="Q56">
            <v>3.1627999999999998</v>
          </cell>
          <cell r="R56">
            <v>28.613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12.03</v>
          </cell>
          <cell r="D57">
            <v>28.68</v>
          </cell>
          <cell r="E57">
            <v>10.56</v>
          </cell>
          <cell r="F57">
            <v>16.64</v>
          </cell>
          <cell r="G57">
            <v>1</v>
          </cell>
          <cell r="H57">
            <v>60</v>
          </cell>
          <cell r="I57" t="str">
            <v>матрица</v>
          </cell>
          <cell r="K57">
            <v>33</v>
          </cell>
          <cell r="L57">
            <v>-22.439999999999998</v>
          </cell>
          <cell r="O57">
            <v>36</v>
          </cell>
          <cell r="Q57">
            <v>2.1120000000000001</v>
          </cell>
        </row>
        <row r="58">
          <cell r="A58" t="str">
            <v>6925 ВЕТЧ.КЛАССИЧЕСКАЯ в/у 0,6кг 8шт. ОСТАНКИНО</v>
          </cell>
          <cell r="B58" t="str">
            <v>шт</v>
          </cell>
          <cell r="C58">
            <v>33</v>
          </cell>
          <cell r="E58">
            <v>24</v>
          </cell>
          <cell r="F58">
            <v>8</v>
          </cell>
          <cell r="G58">
            <v>0.6</v>
          </cell>
          <cell r="H58">
            <v>45</v>
          </cell>
          <cell r="I58" t="str">
            <v>матрица</v>
          </cell>
          <cell r="K58">
            <v>25</v>
          </cell>
          <cell r="L58">
            <v>-1</v>
          </cell>
          <cell r="O58">
            <v>27</v>
          </cell>
          <cell r="Q58">
            <v>4.8</v>
          </cell>
          <cell r="R58">
            <v>37</v>
          </cell>
        </row>
        <row r="59">
          <cell r="A59" t="str">
            <v>6946 СЕРВЕЛАТ КРЕМЛЕВСКИЙ в/к в/у ВЕС  0,84кг ОСТАНКИНО</v>
          </cell>
          <cell r="B59" t="str">
            <v>кг</v>
          </cell>
          <cell r="E59">
            <v>-0.85899999999999999</v>
          </cell>
          <cell r="G59">
            <v>0</v>
          </cell>
          <cell r="H59">
            <v>45</v>
          </cell>
          <cell r="I59" t="str">
            <v>не в матрице</v>
          </cell>
          <cell r="K59">
            <v>0.8</v>
          </cell>
          <cell r="L59">
            <v>-1.659</v>
          </cell>
          <cell r="O59">
            <v>17</v>
          </cell>
          <cell r="Q59">
            <v>-0.17180000000000001</v>
          </cell>
        </row>
        <row r="60">
          <cell r="A60" t="str">
            <v>6955 СОЧНЫЕ Папа может сос п/о мгс 1,5*4 А  Останкино</v>
          </cell>
          <cell r="B60" t="str">
            <v>кг</v>
          </cell>
          <cell r="E60">
            <v>12.435</v>
          </cell>
          <cell r="F60">
            <v>-12.435</v>
          </cell>
          <cell r="G60">
            <v>0</v>
          </cell>
          <cell r="H60">
            <v>0</v>
          </cell>
          <cell r="I60" t="str">
            <v>дубль</v>
          </cell>
          <cell r="J60" t="str">
            <v>7070 СОЧНЫЕ ПМ сос п/о 1,5*4_А_50с  Останкино</v>
          </cell>
          <cell r="K60">
            <v>16.5</v>
          </cell>
          <cell r="L60">
            <v>-4.0649999999999995</v>
          </cell>
          <cell r="Q60">
            <v>2.4870000000000001</v>
          </cell>
        </row>
        <row r="61">
          <cell r="A61" t="str">
            <v>6967 БУРГУНДИЯ Папа может с/к в/у 1/250 8шт  Останкино</v>
          </cell>
          <cell r="B61" t="str">
            <v>шт</v>
          </cell>
          <cell r="C61">
            <v>70</v>
          </cell>
          <cell r="D61">
            <v>47</v>
          </cell>
          <cell r="E61">
            <v>50</v>
          </cell>
          <cell r="F61">
            <v>57</v>
          </cell>
          <cell r="G61">
            <v>0.25</v>
          </cell>
          <cell r="H61">
            <v>120</v>
          </cell>
          <cell r="I61" t="str">
            <v>матрица</v>
          </cell>
          <cell r="K61">
            <v>77</v>
          </cell>
          <cell r="L61">
            <v>-27</v>
          </cell>
          <cell r="O61">
            <v>40</v>
          </cell>
          <cell r="Q61">
            <v>10</v>
          </cell>
          <cell r="R61">
            <v>103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8.2710000000000008</v>
          </cell>
          <cell r="D62">
            <v>10.301</v>
          </cell>
          <cell r="E62">
            <v>9.9760000000000009</v>
          </cell>
          <cell r="F62">
            <v>7.2220000000000004</v>
          </cell>
          <cell r="G62">
            <v>1</v>
          </cell>
          <cell r="H62">
            <v>45</v>
          </cell>
          <cell r="I62" t="str">
            <v>матрица</v>
          </cell>
          <cell r="K62">
            <v>12.3</v>
          </cell>
          <cell r="L62">
            <v>-2.3239999999999998</v>
          </cell>
          <cell r="O62">
            <v>18</v>
          </cell>
          <cell r="Q62">
            <v>1.9952000000000001</v>
          </cell>
          <cell r="R62">
            <v>6</v>
          </cell>
        </row>
        <row r="63">
          <cell r="A63" t="str">
            <v>7059 ШПИКАЧКИ СОЧНЫЕ С БЕК. п/о мгс 0,3кг 60с ОСТАНКИНО</v>
          </cell>
          <cell r="B63" t="str">
            <v>шт</v>
          </cell>
          <cell r="D63">
            <v>251</v>
          </cell>
          <cell r="E63">
            <v>79</v>
          </cell>
          <cell r="F63">
            <v>159</v>
          </cell>
          <cell r="G63">
            <v>0.3</v>
          </cell>
          <cell r="H63">
            <v>60</v>
          </cell>
          <cell r="I63" t="str">
            <v>матрица</v>
          </cell>
          <cell r="K63">
            <v>133</v>
          </cell>
          <cell r="L63">
            <v>-54</v>
          </cell>
          <cell r="O63">
            <v>52</v>
          </cell>
          <cell r="P63">
            <v>62</v>
          </cell>
          <cell r="Q63">
            <v>15.8</v>
          </cell>
        </row>
        <row r="64">
          <cell r="A64" t="str">
            <v>7066 СОЧНЫЕ ПМ сос п/о мгс 0,41кг 10шт 50с  Останкино</v>
          </cell>
          <cell r="B64" t="str">
            <v>шт</v>
          </cell>
          <cell r="C64">
            <v>200</v>
          </cell>
          <cell r="D64">
            <v>2796</v>
          </cell>
          <cell r="E64">
            <v>889</v>
          </cell>
          <cell r="F64">
            <v>1733</v>
          </cell>
          <cell r="G64">
            <v>0.41</v>
          </cell>
          <cell r="H64">
            <v>50</v>
          </cell>
          <cell r="I64" t="str">
            <v>матрица</v>
          </cell>
          <cell r="K64">
            <v>1419</v>
          </cell>
          <cell r="L64">
            <v>-530</v>
          </cell>
          <cell r="O64">
            <v>298</v>
          </cell>
          <cell r="P64">
            <v>350</v>
          </cell>
          <cell r="Q64">
            <v>177.8</v>
          </cell>
          <cell r="R64">
            <v>286</v>
          </cell>
        </row>
        <row r="65">
          <cell r="A65" t="str">
            <v>7067 СОЧНЫЕ ПМ сос. п/о мгс 0,41кг СНГ 50с ОСТАНКИНО</v>
          </cell>
          <cell r="B65" t="str">
            <v>шт</v>
          </cell>
          <cell r="C65">
            <v>1</v>
          </cell>
          <cell r="E65">
            <v>4</v>
          </cell>
          <cell r="F65">
            <v>-3</v>
          </cell>
          <cell r="G65">
            <v>0</v>
          </cell>
          <cell r="I65" t="str">
            <v>дубль</v>
          </cell>
          <cell r="J65" t="str">
            <v>7066 СОЧНЫЕ ПМ сос п/о мгс 0,41кг 10шт 50с  Останкино</v>
          </cell>
          <cell r="K65">
            <v>22</v>
          </cell>
          <cell r="L65">
            <v>-18</v>
          </cell>
          <cell r="O65">
            <v>0</v>
          </cell>
          <cell r="Q65">
            <v>0.8</v>
          </cell>
        </row>
        <row r="66">
          <cell r="A66" t="str">
            <v>7070 СОЧНЫЕ ПМ сос п/о 1,5*4_А_50с  Останкино</v>
          </cell>
          <cell r="B66" t="str">
            <v>кг</v>
          </cell>
          <cell r="C66">
            <v>465.98899999999998</v>
          </cell>
          <cell r="D66">
            <v>224.358</v>
          </cell>
          <cell r="E66">
            <v>344.12799999999999</v>
          </cell>
          <cell r="F66">
            <v>356.13</v>
          </cell>
          <cell r="G66">
            <v>1</v>
          </cell>
          <cell r="H66">
            <v>50</v>
          </cell>
          <cell r="I66" t="str">
            <v>матрица</v>
          </cell>
          <cell r="K66">
            <v>393.4</v>
          </cell>
          <cell r="L66">
            <v>-49.271999999999991</v>
          </cell>
          <cell r="O66">
            <v>103</v>
          </cell>
          <cell r="P66">
            <v>120</v>
          </cell>
          <cell r="Q66">
            <v>68.825599999999994</v>
          </cell>
          <cell r="R66">
            <v>453.25400000000002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25</v>
          </cell>
          <cell r="D67">
            <v>79</v>
          </cell>
          <cell r="E67">
            <v>47</v>
          </cell>
          <cell r="F67">
            <v>37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69</v>
          </cell>
          <cell r="L67">
            <v>-22</v>
          </cell>
          <cell r="O67">
            <v>26</v>
          </cell>
          <cell r="Q67">
            <v>9.4</v>
          </cell>
          <cell r="R67">
            <v>78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864</v>
          </cell>
          <cell r="D68">
            <v>609</v>
          </cell>
          <cell r="E68">
            <v>257</v>
          </cell>
          <cell r="F68">
            <v>145</v>
          </cell>
          <cell r="G68">
            <v>0.41</v>
          </cell>
          <cell r="H68">
            <v>50</v>
          </cell>
          <cell r="I68" t="str">
            <v>ВНИМАНИЕ / матрица</v>
          </cell>
          <cell r="K68">
            <v>938</v>
          </cell>
          <cell r="L68">
            <v>-681</v>
          </cell>
          <cell r="O68">
            <v>184</v>
          </cell>
          <cell r="P68">
            <v>216</v>
          </cell>
          <cell r="Q68">
            <v>51.4</v>
          </cell>
          <cell r="R68">
            <v>700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160.78899999999999</v>
          </cell>
          <cell r="D69">
            <v>23.260999999999999</v>
          </cell>
          <cell r="E69">
            <v>52.436</v>
          </cell>
          <cell r="F69">
            <v>111.125</v>
          </cell>
          <cell r="G69">
            <v>1</v>
          </cell>
          <cell r="H69">
            <v>50</v>
          </cell>
          <cell r="I69" t="str">
            <v>матрица</v>
          </cell>
          <cell r="K69">
            <v>66.099999999999994</v>
          </cell>
          <cell r="L69">
            <v>-13.663999999999994</v>
          </cell>
          <cell r="O69">
            <v>52</v>
          </cell>
          <cell r="P69">
            <v>62</v>
          </cell>
          <cell r="Q69">
            <v>10.4872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D70">
            <v>56</v>
          </cell>
          <cell r="E70">
            <v>43</v>
          </cell>
          <cell r="F70">
            <v>-1</v>
          </cell>
          <cell r="G70">
            <v>0.3</v>
          </cell>
          <cell r="H70">
            <v>50</v>
          </cell>
          <cell r="I70" t="str">
            <v>матрица</v>
          </cell>
          <cell r="K70">
            <v>163</v>
          </cell>
          <cell r="L70">
            <v>-120</v>
          </cell>
          <cell r="O70">
            <v>16</v>
          </cell>
          <cell r="Q70">
            <v>8.6</v>
          </cell>
          <cell r="R70">
            <v>88.199999999999989</v>
          </cell>
        </row>
        <row r="71">
          <cell r="A71" t="str">
            <v>7103 БЕКОН Останкино с/к с/н в/у 1/180_50с  Останкино</v>
          </cell>
          <cell r="B71" t="str">
            <v>шт</v>
          </cell>
          <cell r="C71">
            <v>89</v>
          </cell>
          <cell r="D71">
            <v>360</v>
          </cell>
          <cell r="E71">
            <v>330</v>
          </cell>
          <cell r="F71">
            <v>90</v>
          </cell>
          <cell r="G71">
            <v>0.18</v>
          </cell>
          <cell r="H71">
            <v>50</v>
          </cell>
          <cell r="I71" t="str">
            <v>матрица</v>
          </cell>
          <cell r="K71">
            <v>409</v>
          </cell>
          <cell r="L71">
            <v>-79</v>
          </cell>
          <cell r="O71">
            <v>156</v>
          </cell>
          <cell r="P71">
            <v>183</v>
          </cell>
          <cell r="Q71">
            <v>66</v>
          </cell>
          <cell r="R71">
            <v>561</v>
          </cell>
        </row>
        <row r="72">
          <cell r="A72" t="str">
            <v>7147 САЛЬЧИЧОН Останкино с/к в/у 1/220 8 шт  Останкино</v>
          </cell>
          <cell r="B72" t="str">
            <v>шт</v>
          </cell>
          <cell r="E72">
            <v>8</v>
          </cell>
          <cell r="F72">
            <v>-8</v>
          </cell>
          <cell r="G72">
            <v>0</v>
          </cell>
          <cell r="H72">
            <v>120</v>
          </cell>
          <cell r="I72" t="str">
            <v>не в матрице</v>
          </cell>
          <cell r="K72">
            <v>14</v>
          </cell>
          <cell r="L72">
            <v>-6</v>
          </cell>
          <cell r="O72">
            <v>24</v>
          </cell>
          <cell r="Q72">
            <v>1.6</v>
          </cell>
        </row>
        <row r="73">
          <cell r="A73" t="str">
            <v>7154 СЕРВЕЛАТ ЗЕРНИСТЫЙ ПМ в/к в/у 0,35кг_50с  Останкино</v>
          </cell>
          <cell r="B73" t="str">
            <v>шт</v>
          </cell>
          <cell r="C73">
            <v>747</v>
          </cell>
          <cell r="D73">
            <v>1447</v>
          </cell>
          <cell r="E73">
            <v>620</v>
          </cell>
          <cell r="F73">
            <v>1343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893</v>
          </cell>
          <cell r="L73">
            <v>-273</v>
          </cell>
          <cell r="O73">
            <v>0</v>
          </cell>
          <cell r="Q73">
            <v>124</v>
          </cell>
          <cell r="R73">
            <v>517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115.035</v>
          </cell>
          <cell r="D74">
            <v>109.806</v>
          </cell>
          <cell r="E74">
            <v>146.47</v>
          </cell>
          <cell r="F74">
            <v>75.039000000000001</v>
          </cell>
          <cell r="G74">
            <v>1</v>
          </cell>
          <cell r="H74">
            <v>50</v>
          </cell>
          <cell r="I74" t="str">
            <v>матрица</v>
          </cell>
          <cell r="K74">
            <v>156.30000000000001</v>
          </cell>
          <cell r="L74">
            <v>-9.8300000000000125</v>
          </cell>
          <cell r="O74">
            <v>81</v>
          </cell>
          <cell r="Q74">
            <v>29.294</v>
          </cell>
          <cell r="R74">
            <v>283.37100000000004</v>
          </cell>
        </row>
        <row r="75">
          <cell r="A75" t="str">
            <v>7163 СЕРВЕЛАТ КЛАССИЧ.ПМ в/к в/у 0,62кг_50с  Останкино</v>
          </cell>
          <cell r="B75" t="str">
            <v>шт</v>
          </cell>
          <cell r="C75">
            <v>14</v>
          </cell>
          <cell r="F75">
            <v>14</v>
          </cell>
          <cell r="G75">
            <v>0</v>
          </cell>
          <cell r="H75">
            <v>50</v>
          </cell>
          <cell r="I75" t="str">
            <v>не в матрице</v>
          </cell>
          <cell r="L75">
            <v>0</v>
          </cell>
          <cell r="O75">
            <v>0</v>
          </cell>
          <cell r="Q75">
            <v>0</v>
          </cell>
        </row>
        <row r="76">
          <cell r="A76" t="str">
            <v>7166 СЕРВЕЛАТ ОХОТНИЧИЙ ПМ в/к в/у_50с  Останкино</v>
          </cell>
          <cell r="B76" t="str">
            <v>кг</v>
          </cell>
          <cell r="C76">
            <v>256.61799999999999</v>
          </cell>
          <cell r="D76">
            <v>214.446</v>
          </cell>
          <cell r="E76">
            <v>281.75099999999998</v>
          </cell>
          <cell r="F76">
            <v>128.625</v>
          </cell>
          <cell r="G76">
            <v>1</v>
          </cell>
          <cell r="H76">
            <v>50</v>
          </cell>
          <cell r="I76" t="str">
            <v>матрица</v>
          </cell>
          <cell r="K76">
            <v>306.2</v>
          </cell>
          <cell r="L76">
            <v>-24.449000000000012</v>
          </cell>
          <cell r="O76">
            <v>162</v>
          </cell>
          <cell r="P76">
            <v>191</v>
          </cell>
          <cell r="Q76">
            <v>56.350199999999994</v>
          </cell>
          <cell r="R76">
            <v>363.62799999999993</v>
          </cell>
        </row>
        <row r="77">
          <cell r="A77" t="str">
            <v>7169 СЕРВЕЛАТ ОХОТНИЧИЙ ПМ в/к в/у 0,35кг_50с  Останкино</v>
          </cell>
          <cell r="B77" t="str">
            <v>шт</v>
          </cell>
          <cell r="C77">
            <v>331</v>
          </cell>
          <cell r="D77">
            <v>1924</v>
          </cell>
          <cell r="E77">
            <v>663</v>
          </cell>
          <cell r="F77">
            <v>1062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1101</v>
          </cell>
          <cell r="L77">
            <v>-438</v>
          </cell>
          <cell r="O77">
            <v>244</v>
          </cell>
          <cell r="P77">
            <v>287</v>
          </cell>
          <cell r="Q77">
            <v>132.6</v>
          </cell>
          <cell r="R77">
            <v>396</v>
          </cell>
        </row>
        <row r="78">
          <cell r="A78" t="str">
            <v>7187 ГРУДИНКА ПРЕМИУМ к/в мл/к в/у 0,3кг_50с  Останкино</v>
          </cell>
          <cell r="B78" t="str">
            <v>шт</v>
          </cell>
          <cell r="C78">
            <v>144</v>
          </cell>
          <cell r="D78">
            <v>106</v>
          </cell>
          <cell r="E78">
            <v>81</v>
          </cell>
          <cell r="F78">
            <v>144</v>
          </cell>
          <cell r="G78">
            <v>0.3</v>
          </cell>
          <cell r="H78">
            <v>50</v>
          </cell>
          <cell r="I78" t="str">
            <v>матрица</v>
          </cell>
          <cell r="K78">
            <v>104</v>
          </cell>
          <cell r="L78">
            <v>-23</v>
          </cell>
          <cell r="O78">
            <v>20</v>
          </cell>
          <cell r="Q78">
            <v>16.2</v>
          </cell>
          <cell r="R78">
            <v>79</v>
          </cell>
        </row>
        <row r="79">
          <cell r="A79" t="str">
            <v>7231 КЛАССИЧЕСКАЯ ПМ вар п/о 0,3кг 8 шт_209к  Останкино</v>
          </cell>
          <cell r="B79" t="str">
            <v>шт</v>
          </cell>
          <cell r="C79">
            <v>97</v>
          </cell>
          <cell r="E79">
            <v>39</v>
          </cell>
          <cell r="F79">
            <v>54</v>
          </cell>
          <cell r="G79">
            <v>0.3</v>
          </cell>
          <cell r="H79">
            <v>60</v>
          </cell>
          <cell r="I79" t="str">
            <v>матрица</v>
          </cell>
          <cell r="K79">
            <v>66</v>
          </cell>
          <cell r="L79">
            <v>-27</v>
          </cell>
          <cell r="O79">
            <v>46</v>
          </cell>
          <cell r="Q79">
            <v>7.8</v>
          </cell>
          <cell r="R79">
            <v>17</v>
          </cell>
        </row>
        <row r="80">
          <cell r="A80" t="str">
            <v>7232 БОЯNСКАЯ ПМ п/к в/у 0,28кг 8шт_209к  Останкино</v>
          </cell>
          <cell r="B80" t="str">
            <v>шт</v>
          </cell>
          <cell r="C80">
            <v>82</v>
          </cell>
          <cell r="D80">
            <v>227</v>
          </cell>
          <cell r="E80">
            <v>146</v>
          </cell>
          <cell r="F80">
            <v>125</v>
          </cell>
          <cell r="G80">
            <v>0.28000000000000003</v>
          </cell>
          <cell r="H80">
            <v>50</v>
          </cell>
          <cell r="I80" t="str">
            <v>матрица</v>
          </cell>
          <cell r="K80">
            <v>193</v>
          </cell>
          <cell r="L80">
            <v>-47</v>
          </cell>
          <cell r="O80">
            <v>64</v>
          </cell>
          <cell r="Q80">
            <v>29.2</v>
          </cell>
          <cell r="R80">
            <v>249</v>
          </cell>
        </row>
        <row r="81">
          <cell r="A81" t="str">
            <v>7236 СЕРВЕЛАТ КАРЕЛЬСКИЙ в/к в/у 0,28кг_209к  Останкино</v>
          </cell>
          <cell r="B81" t="str">
            <v>шт</v>
          </cell>
          <cell r="C81">
            <v>223</v>
          </cell>
          <cell r="D81">
            <v>130</v>
          </cell>
          <cell r="E81">
            <v>286</v>
          </cell>
          <cell r="F81">
            <v>12</v>
          </cell>
          <cell r="G81">
            <v>0.28000000000000003</v>
          </cell>
          <cell r="H81">
            <v>45</v>
          </cell>
          <cell r="I81" t="str">
            <v>матрица</v>
          </cell>
          <cell r="K81">
            <v>366</v>
          </cell>
          <cell r="L81">
            <v>-80</v>
          </cell>
          <cell r="O81">
            <v>170</v>
          </cell>
          <cell r="P81">
            <v>199</v>
          </cell>
          <cell r="Q81">
            <v>57.2</v>
          </cell>
          <cell r="R81">
            <v>477</v>
          </cell>
        </row>
        <row r="82">
          <cell r="A82" t="str">
            <v>7237 СЕРВЕЛАТ ШВАРЦЕР ПМ в/к в/у 0,28кг_209к  Останкино</v>
          </cell>
          <cell r="B82" t="str">
            <v>шт</v>
          </cell>
          <cell r="C82">
            <v>1</v>
          </cell>
          <cell r="D82">
            <v>163</v>
          </cell>
          <cell r="E82">
            <v>34</v>
          </cell>
          <cell r="F82">
            <v>110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57</v>
          </cell>
          <cell r="L82">
            <v>-23</v>
          </cell>
          <cell r="O82">
            <v>35</v>
          </cell>
          <cell r="Q82">
            <v>6.8</v>
          </cell>
        </row>
        <row r="83">
          <cell r="A83" t="str">
            <v>7241 САЛЯМИ Папа может п/к в/у 0,28кг ОСТАНКИНО</v>
          </cell>
          <cell r="B83" t="str">
            <v>шт</v>
          </cell>
          <cell r="C83">
            <v>193</v>
          </cell>
          <cell r="D83">
            <v>359</v>
          </cell>
          <cell r="E83">
            <v>206</v>
          </cell>
          <cell r="F83">
            <v>282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343</v>
          </cell>
          <cell r="L83">
            <v>-137</v>
          </cell>
          <cell r="O83">
            <v>0</v>
          </cell>
          <cell r="Q83">
            <v>41.2</v>
          </cell>
          <cell r="R83">
            <v>336</v>
          </cell>
        </row>
        <row r="84">
          <cell r="A84" t="str">
            <v>7255 МЯСНЫЕ С ГОВЯД.ПМ сос п/о мгс 0.4кг 6шт.  ОСТАНКИНО</v>
          </cell>
          <cell r="B84" t="str">
            <v>шт</v>
          </cell>
          <cell r="C84">
            <v>482</v>
          </cell>
          <cell r="D84">
            <v>72</v>
          </cell>
          <cell r="E84">
            <v>340</v>
          </cell>
          <cell r="F84">
            <v>116</v>
          </cell>
          <cell r="G84">
            <v>0.4</v>
          </cell>
          <cell r="H84">
            <v>50</v>
          </cell>
          <cell r="I84" t="str">
            <v>матрица</v>
          </cell>
          <cell r="K84">
            <v>478</v>
          </cell>
          <cell r="L84">
            <v>-138</v>
          </cell>
          <cell r="O84">
            <v>174</v>
          </cell>
          <cell r="P84">
            <v>205</v>
          </cell>
          <cell r="Q84">
            <v>68</v>
          </cell>
          <cell r="R84">
            <v>525</v>
          </cell>
        </row>
        <row r="85">
          <cell r="A85" t="str">
            <v>7276 СЛИВОЧНЫЕ ПМ сос п/о мгс 0,3кг 7шт  Останкино</v>
          </cell>
          <cell r="B85" t="str">
            <v>шт</v>
          </cell>
          <cell r="C85">
            <v>143</v>
          </cell>
          <cell r="D85">
            <v>14</v>
          </cell>
          <cell r="E85">
            <v>18</v>
          </cell>
          <cell r="F85">
            <v>123</v>
          </cell>
          <cell r="G85">
            <v>0</v>
          </cell>
          <cell r="H85">
            <v>50</v>
          </cell>
          <cell r="I85" t="str">
            <v>не в матрице</v>
          </cell>
          <cell r="K85">
            <v>37</v>
          </cell>
          <cell r="L85">
            <v>-19</v>
          </cell>
          <cell r="O85">
            <v>0</v>
          </cell>
          <cell r="Q85">
            <v>3.6</v>
          </cell>
        </row>
        <row r="86">
          <cell r="A86" t="str">
            <v>7284 ДЛЯ ДЕТЕЙ сос п/о мгс 0,33кг 6шт  Останкино</v>
          </cell>
          <cell r="B86" t="str">
            <v>шт</v>
          </cell>
          <cell r="C86">
            <v>5</v>
          </cell>
          <cell r="E86">
            <v>12</v>
          </cell>
          <cell r="F86">
            <v>-8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31</v>
          </cell>
          <cell r="L86">
            <v>-19</v>
          </cell>
          <cell r="O86">
            <v>39</v>
          </cell>
          <cell r="Q86">
            <v>2.4</v>
          </cell>
          <cell r="R86">
            <v>6</v>
          </cell>
        </row>
        <row r="87">
          <cell r="A87" t="str">
            <v>7288 БАЛЫК с/к с/н в/у 1/100 10шт ОСТАНКИНО</v>
          </cell>
          <cell r="B87" t="str">
            <v>шт</v>
          </cell>
          <cell r="C87">
            <v>92</v>
          </cell>
          <cell r="D87">
            <v>3</v>
          </cell>
          <cell r="E87">
            <v>48</v>
          </cell>
          <cell r="F87">
            <v>37</v>
          </cell>
          <cell r="G87">
            <v>0</v>
          </cell>
          <cell r="H87">
            <v>60</v>
          </cell>
          <cell r="I87" t="str">
            <v>не в матрице</v>
          </cell>
          <cell r="J87" t="str">
            <v>7612 БАЛЫК с/к с/н в/у 1/100 10шт_  ОСТАНКИНО</v>
          </cell>
          <cell r="K87">
            <v>55</v>
          </cell>
          <cell r="L87">
            <v>-7</v>
          </cell>
          <cell r="O87">
            <v>0</v>
          </cell>
          <cell r="Q87">
            <v>9.6</v>
          </cell>
        </row>
        <row r="88">
          <cell r="A88" t="str">
            <v>7299 НАБОР ДЛЯ ПИЦЦЫ Папа Может с/к в/у  ОСТАНКИНО</v>
          </cell>
          <cell r="B88" t="str">
            <v>кг</v>
          </cell>
          <cell r="D88">
            <v>49.738</v>
          </cell>
          <cell r="F88">
            <v>48.527999999999999</v>
          </cell>
          <cell r="G88">
            <v>1</v>
          </cell>
          <cell r="I88" t="str">
            <v>матрица</v>
          </cell>
          <cell r="L88">
            <v>0</v>
          </cell>
          <cell r="O88">
            <v>0</v>
          </cell>
          <cell r="Q88">
            <v>0</v>
          </cell>
        </row>
        <row r="89">
          <cell r="A89" t="str">
            <v>7332 БОЯРСКАЯ ПМ п/к в/у 0,28кг ОСТАНКИНО</v>
          </cell>
          <cell r="B89" t="str">
            <v>шт</v>
          </cell>
          <cell r="D89">
            <v>33</v>
          </cell>
          <cell r="E89">
            <v>6</v>
          </cell>
          <cell r="F89">
            <v>26</v>
          </cell>
          <cell r="G89">
            <v>0.28000000000000003</v>
          </cell>
          <cell r="H89">
            <v>50</v>
          </cell>
          <cell r="I89" t="str">
            <v>матрица</v>
          </cell>
          <cell r="K89">
            <v>14</v>
          </cell>
          <cell r="L89">
            <v>-8</v>
          </cell>
          <cell r="O89">
            <v>17</v>
          </cell>
          <cell r="Q89">
            <v>1.2</v>
          </cell>
        </row>
        <row r="90">
          <cell r="A90" t="str">
            <v>7333 СЕРВЕЛАТ ОХОТНИЧИЙ ПМ в/к в/у 0,28кг ОСТАНКИНО</v>
          </cell>
          <cell r="B90" t="str">
            <v>шт</v>
          </cell>
          <cell r="C90">
            <v>52</v>
          </cell>
          <cell r="D90">
            <v>6</v>
          </cell>
          <cell r="E90">
            <v>17</v>
          </cell>
          <cell r="F90">
            <v>30</v>
          </cell>
          <cell r="G90">
            <v>0</v>
          </cell>
          <cell r="H90">
            <v>50</v>
          </cell>
          <cell r="I90" t="str">
            <v>не в матрице</v>
          </cell>
          <cell r="K90">
            <v>34</v>
          </cell>
          <cell r="L90">
            <v>-17</v>
          </cell>
          <cell r="O90">
            <v>0</v>
          </cell>
          <cell r="Q90">
            <v>3.4</v>
          </cell>
        </row>
        <row r="91">
          <cell r="A91" t="str">
            <v>7371 БРЕСТСКИЕ сос п/о в/у 0,3кг 8шт. ОСТАНКИНО</v>
          </cell>
          <cell r="B91" t="str">
            <v>шт</v>
          </cell>
          <cell r="C91">
            <v>304</v>
          </cell>
          <cell r="D91">
            <v>35</v>
          </cell>
          <cell r="E91">
            <v>117</v>
          </cell>
          <cell r="F91">
            <v>172</v>
          </cell>
          <cell r="G91">
            <v>0.3</v>
          </cell>
          <cell r="H91">
            <v>45</v>
          </cell>
          <cell r="I91" t="str">
            <v>матрица</v>
          </cell>
          <cell r="K91">
            <v>164</v>
          </cell>
          <cell r="L91">
            <v>-47</v>
          </cell>
          <cell r="O91">
            <v>62</v>
          </cell>
          <cell r="Q91">
            <v>23.4</v>
          </cell>
          <cell r="R91">
            <v>117</v>
          </cell>
        </row>
        <row r="92">
          <cell r="A92" t="str">
            <v>7382  САЛЯМИ МЕЛКОЗЕРНЕНАЯ с/к в/у1/120 8шт.  ОСТАНКИНО</v>
          </cell>
          <cell r="B92" t="str">
            <v>шт</v>
          </cell>
          <cell r="C92">
            <v>126</v>
          </cell>
          <cell r="D92">
            <v>569</v>
          </cell>
          <cell r="E92">
            <v>335</v>
          </cell>
          <cell r="F92">
            <v>343</v>
          </cell>
          <cell r="G92">
            <v>0.12</v>
          </cell>
          <cell r="H92">
            <v>60</v>
          </cell>
          <cell r="I92" t="str">
            <v>ВНИМАНИЕ / матрица</v>
          </cell>
          <cell r="K92">
            <v>550</v>
          </cell>
          <cell r="L92">
            <v>-215</v>
          </cell>
          <cell r="O92">
            <v>92</v>
          </cell>
          <cell r="P92">
            <v>108</v>
          </cell>
          <cell r="Q92">
            <v>67</v>
          </cell>
          <cell r="R92">
            <v>250</v>
          </cell>
        </row>
        <row r="93">
          <cell r="A93" t="str">
            <v>7461 ДЛЯ ДЕТЕЙ Папа Может сос п/о мгс 0,33кг ОСТАНКИНО</v>
          </cell>
          <cell r="B93" t="str">
            <v>шт</v>
          </cell>
          <cell r="C93">
            <v>1</v>
          </cell>
          <cell r="D93">
            <v>391</v>
          </cell>
          <cell r="E93">
            <v>140</v>
          </cell>
          <cell r="F93">
            <v>185</v>
          </cell>
          <cell r="G93">
            <v>0.33</v>
          </cell>
          <cell r="H93">
            <v>30</v>
          </cell>
          <cell r="I93" t="str">
            <v>матрица</v>
          </cell>
          <cell r="K93">
            <v>217</v>
          </cell>
          <cell r="L93">
            <v>-77</v>
          </cell>
          <cell r="O93">
            <v>0</v>
          </cell>
          <cell r="Q93">
            <v>28</v>
          </cell>
          <cell r="R93">
            <v>235</v>
          </cell>
        </row>
        <row r="94">
          <cell r="A94" t="str">
            <v>7489 СЫРРРВЕЛАТ Папа Может в/к в/у 0,28кг 8шт. ОСТАНКИНО</v>
          </cell>
          <cell r="B94" t="str">
            <v>шт</v>
          </cell>
          <cell r="C94">
            <v>245</v>
          </cell>
          <cell r="D94">
            <v>24</v>
          </cell>
          <cell r="E94">
            <v>23</v>
          </cell>
          <cell r="F94">
            <v>221</v>
          </cell>
          <cell r="G94">
            <v>0.28000000000000003</v>
          </cell>
          <cell r="H94">
            <v>45</v>
          </cell>
          <cell r="I94" t="str">
            <v>матрица</v>
          </cell>
          <cell r="K94">
            <v>48</v>
          </cell>
          <cell r="L94">
            <v>-25</v>
          </cell>
          <cell r="O94">
            <v>0</v>
          </cell>
          <cell r="Q94">
            <v>4.5999999999999996</v>
          </cell>
        </row>
        <row r="95">
          <cell r="A95" t="str">
            <v>7523 ГОВЯЖЬЯ Папа Может вар п/о 0,4кг 6шт. ОСТАНКИНО</v>
          </cell>
          <cell r="B95" t="str">
            <v>шт</v>
          </cell>
          <cell r="C95">
            <v>132</v>
          </cell>
          <cell r="D95">
            <v>7</v>
          </cell>
          <cell r="E95">
            <v>129</v>
          </cell>
          <cell r="G95">
            <v>0.4</v>
          </cell>
          <cell r="H95">
            <v>60</v>
          </cell>
          <cell r="I95" t="str">
            <v>матрица</v>
          </cell>
          <cell r="K95">
            <v>230</v>
          </cell>
          <cell r="L95">
            <v>-101</v>
          </cell>
          <cell r="O95">
            <v>175</v>
          </cell>
          <cell r="P95">
            <v>205</v>
          </cell>
          <cell r="Q95">
            <v>25.8</v>
          </cell>
          <cell r="R95">
            <v>7</v>
          </cell>
        </row>
        <row r="96">
          <cell r="A96" t="str">
            <v>7539 ДОКТОРСКАЯ ГОСТ вар п/о 0,35кг ОСТАНКИНО</v>
          </cell>
          <cell r="B96" t="str">
            <v>шт</v>
          </cell>
          <cell r="C96">
            <v>74</v>
          </cell>
          <cell r="D96">
            <v>3</v>
          </cell>
          <cell r="E96">
            <v>22</v>
          </cell>
          <cell r="F96">
            <v>53</v>
          </cell>
          <cell r="G96">
            <v>0.35</v>
          </cell>
          <cell r="H96">
            <v>60</v>
          </cell>
          <cell r="I96" t="str">
            <v>матрица</v>
          </cell>
          <cell r="K96">
            <v>28</v>
          </cell>
          <cell r="L96">
            <v>-6</v>
          </cell>
          <cell r="O96">
            <v>0</v>
          </cell>
          <cell r="Q96">
            <v>4.4000000000000004</v>
          </cell>
          <cell r="R96">
            <v>13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G97">
            <v>1</v>
          </cell>
          <cell r="H97">
            <v>45</v>
          </cell>
          <cell r="I97" t="str">
            <v>матрица</v>
          </cell>
          <cell r="K97">
            <v>2</v>
          </cell>
          <cell r="L97">
            <v>-2</v>
          </cell>
          <cell r="O97">
            <v>24</v>
          </cell>
          <cell r="Q97">
            <v>0</v>
          </cell>
          <cell r="S97">
            <v>14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14</v>
          </cell>
          <cell r="E98">
            <v>13</v>
          </cell>
          <cell r="F98">
            <v>-7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138</v>
          </cell>
          <cell r="L98">
            <v>-125</v>
          </cell>
          <cell r="O98">
            <v>118</v>
          </cell>
          <cell r="P98">
            <v>139</v>
          </cell>
          <cell r="Q98">
            <v>2.6</v>
          </cell>
          <cell r="S98">
            <v>70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89</v>
          </cell>
          <cell r="E99">
            <v>55</v>
          </cell>
          <cell r="F99">
            <v>137</v>
          </cell>
          <cell r="G99">
            <v>0.1</v>
          </cell>
          <cell r="H99">
            <v>45</v>
          </cell>
          <cell r="I99" t="str">
            <v>матрица</v>
          </cell>
          <cell r="K99">
            <v>3</v>
          </cell>
          <cell r="L99">
            <v>52</v>
          </cell>
          <cell r="O99">
            <v>0</v>
          </cell>
          <cell r="Q99">
            <v>11</v>
          </cell>
          <cell r="R99">
            <v>28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29</v>
          </cell>
          <cell r="E100">
            <v>48</v>
          </cell>
          <cell r="F100">
            <v>66</v>
          </cell>
          <cell r="G100">
            <v>0.1</v>
          </cell>
          <cell r="H100">
            <v>60</v>
          </cell>
          <cell r="I100" t="str">
            <v>матрица</v>
          </cell>
          <cell r="L100">
            <v>48</v>
          </cell>
          <cell r="O100">
            <v>0</v>
          </cell>
          <cell r="Q100">
            <v>9.6</v>
          </cell>
          <cell r="R100">
            <v>78</v>
          </cell>
        </row>
        <row r="101">
          <cell r="A101" t="str">
            <v>7616 ЭКСТРА Папа может с/к с/н в/у 1/100_  ОСТАНКИНО</v>
          </cell>
          <cell r="B101" t="str">
            <v>шт</v>
          </cell>
          <cell r="C101">
            <v>80</v>
          </cell>
          <cell r="D101">
            <v>501</v>
          </cell>
          <cell r="E101">
            <v>143</v>
          </cell>
          <cell r="F101">
            <v>534</v>
          </cell>
          <cell r="G101">
            <v>0.1</v>
          </cell>
          <cell r="H101">
            <v>60</v>
          </cell>
          <cell r="I101" t="str">
            <v>матрица</v>
          </cell>
          <cell r="K101">
            <v>44</v>
          </cell>
          <cell r="L101">
            <v>99</v>
          </cell>
          <cell r="O101">
            <v>51</v>
          </cell>
          <cell r="P101">
            <v>60</v>
          </cell>
          <cell r="Q101">
            <v>28.6</v>
          </cell>
        </row>
        <row r="102">
          <cell r="A102" t="str">
            <v>7632 ЭКСТРА Папа может вар п/о 0.4кг 8шт_195к  ОСТАНКИНО</v>
          </cell>
          <cell r="B102" t="str">
            <v>шт</v>
          </cell>
          <cell r="C102">
            <v>225</v>
          </cell>
          <cell r="D102">
            <v>611</v>
          </cell>
          <cell r="E102">
            <v>293</v>
          </cell>
          <cell r="F102">
            <v>406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480</v>
          </cell>
          <cell r="L102">
            <v>-187</v>
          </cell>
          <cell r="O102">
            <v>168</v>
          </cell>
          <cell r="P102">
            <v>198</v>
          </cell>
          <cell r="Q102">
            <v>58.6</v>
          </cell>
          <cell r="R102">
            <v>107</v>
          </cell>
        </row>
        <row r="103">
          <cell r="A103" t="str">
            <v>7647  ХОЧУ ВЕТЧ. ИЗ СВИН.ОТРУБА с/н мгс 1/100</v>
          </cell>
          <cell r="B103" t="str">
            <v>шт</v>
          </cell>
          <cell r="G103">
            <v>0.1</v>
          </cell>
          <cell r="I103" t="str">
            <v>матрица</v>
          </cell>
          <cell r="L103">
            <v>0</v>
          </cell>
          <cell r="O103">
            <v>0</v>
          </cell>
          <cell r="Q103">
            <v>0</v>
          </cell>
          <cell r="R103">
            <v>100</v>
          </cell>
        </row>
        <row r="104">
          <cell r="A104" t="str">
            <v>7651  ХОЧУ ВЕТЧ. МРАМОР. ПМ с/н мгс 1/100_Л11</v>
          </cell>
          <cell r="B104" t="str">
            <v>шт</v>
          </cell>
          <cell r="G104">
            <v>0.1</v>
          </cell>
          <cell r="I104" t="str">
            <v>матрица</v>
          </cell>
          <cell r="L104">
            <v>0</v>
          </cell>
          <cell r="O104">
            <v>0</v>
          </cell>
          <cell r="Q104">
            <v>0</v>
          </cell>
          <cell r="R104">
            <v>100</v>
          </cell>
        </row>
        <row r="105">
          <cell r="A105" t="str">
            <v>БОНУС_6086 МЯСНЫЕ  Папа может сос п/о мгс 1.3*_UZ  ОСТАНКИНО</v>
          </cell>
          <cell r="B105" t="str">
            <v>кг</v>
          </cell>
          <cell r="C105">
            <v>129.63</v>
          </cell>
          <cell r="F105">
            <v>129.63</v>
          </cell>
          <cell r="G105">
            <v>0</v>
          </cell>
          <cell r="I105" t="str">
            <v>бонус</v>
          </cell>
          <cell r="J105" t="str">
            <v>6303 Мясные Папа может сос п/о мгс 1,5*3  Останкино</v>
          </cell>
          <cell r="L105">
            <v>0</v>
          </cell>
          <cell r="O105">
            <v>0</v>
          </cell>
          <cell r="Q105">
            <v>0</v>
          </cell>
        </row>
        <row r="106">
          <cell r="A106" t="str">
            <v>БОНУС_6954 СОЧНЫЕ Папа может сос п/о мгс 1.5*4_Х5  ОСТАНКИНО</v>
          </cell>
          <cell r="B106" t="str">
            <v>кг</v>
          </cell>
          <cell r="C106">
            <v>38.237000000000002</v>
          </cell>
          <cell r="D106">
            <v>1.56</v>
          </cell>
          <cell r="E106">
            <v>1.56</v>
          </cell>
          <cell r="F106">
            <v>36.677</v>
          </cell>
          <cell r="G106">
            <v>0</v>
          </cell>
          <cell r="I106" t="str">
            <v>бонус</v>
          </cell>
          <cell r="J106" t="str">
            <v>7070 СОЧНЫЕ ПМ сос п/о 1,5*4_А_50с  Останкино</v>
          </cell>
          <cell r="K106">
            <v>3</v>
          </cell>
          <cell r="L106">
            <v>-1.44</v>
          </cell>
          <cell r="O106">
            <v>0</v>
          </cell>
          <cell r="Q106">
            <v>0.312</v>
          </cell>
        </row>
        <row r="107">
          <cell r="A107" t="str">
            <v>7613 АРОМАТНАЯ с/к с/н в/у 1/100 10шт_Л10</v>
          </cell>
          <cell r="B107" t="str">
            <v>шт</v>
          </cell>
          <cell r="E107">
            <v>194</v>
          </cell>
          <cell r="F107">
            <v>15</v>
          </cell>
          <cell r="G107">
            <v>0.1</v>
          </cell>
          <cell r="H107">
            <v>60</v>
          </cell>
          <cell r="I107" t="str">
            <v>матрица</v>
          </cell>
          <cell r="O107">
            <v>53</v>
          </cell>
          <cell r="P107">
            <v>62</v>
          </cell>
          <cell r="Q107">
            <v>38.799999999999997</v>
          </cell>
          <cell r="R107">
            <v>374.4</v>
          </cell>
        </row>
        <row r="108">
          <cell r="A108" t="str">
            <v>7075 МОЛОЧ.ПРЕМИУМ ПМ сос п/о мгс 1,5*4_О_50с  Останкино</v>
          </cell>
          <cell r="B108" t="str">
            <v>кг</v>
          </cell>
          <cell r="G108">
            <v>0</v>
          </cell>
          <cell r="I108" t="str">
            <v>матрица</v>
          </cell>
          <cell r="Q108">
            <v>0</v>
          </cell>
        </row>
        <row r="109">
          <cell r="A109" t="str">
            <v>6620 РЕБРЫШКИ к/в в/у_30с  Останкино</v>
          </cell>
          <cell r="B109" t="str">
            <v>кг</v>
          </cell>
          <cell r="G109">
            <v>0</v>
          </cell>
          <cell r="I109" t="str">
            <v>матрица</v>
          </cell>
          <cell r="Q109">
            <v>0</v>
          </cell>
        </row>
        <row r="110">
          <cell r="A110" t="str">
            <v>7149 БАЛЫКОВАЯ Коровино п/к в/у 0,84кг_50с  Останкино</v>
          </cell>
          <cell r="B110" t="str">
            <v>кг</v>
          </cell>
          <cell r="G110">
            <v>0</v>
          </cell>
          <cell r="I110" t="str">
            <v>матрица</v>
          </cell>
          <cell r="Q1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2" width="7" customWidth="1"/>
    <col min="23" max="23" width="7.140625" style="23" customWidth="1"/>
    <col min="24" max="24" width="7.85546875" style="23" customWidth="1"/>
    <col min="25" max="26" width="5" customWidth="1"/>
    <col min="27" max="34" width="6" customWidth="1"/>
    <col min="35" max="35" width="35.42578125" customWidth="1"/>
    <col min="36" max="37" width="7" customWidth="1"/>
    <col min="38" max="53" width="3" customWidth="1"/>
  </cols>
  <sheetData>
    <row r="1" spans="1:53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29">
        <v>0.65</v>
      </c>
      <c r="V1" s="29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">
        <v>184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182</v>
      </c>
      <c r="T3" s="2" t="s">
        <v>183</v>
      </c>
      <c r="U3" s="2" t="s">
        <v>183</v>
      </c>
      <c r="V3" s="2" t="s">
        <v>183</v>
      </c>
      <c r="W3" s="2" t="s">
        <v>167</v>
      </c>
      <c r="X3" s="2" t="s">
        <v>167</v>
      </c>
      <c r="Y3" s="1" t="s">
        <v>17</v>
      </c>
      <c r="Z3" s="1" t="s">
        <v>18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 t="s">
        <v>185</v>
      </c>
      <c r="U4" s="6" t="s">
        <v>186</v>
      </c>
      <c r="V4" s="6" t="s">
        <v>187</v>
      </c>
      <c r="W4" s="6" t="s">
        <v>180</v>
      </c>
      <c r="X4" s="6" t="s">
        <v>181</v>
      </c>
      <c r="Y4" s="6"/>
      <c r="Z4" s="6"/>
      <c r="AA4" s="6" t="s">
        <v>24</v>
      </c>
      <c r="AB4" s="6" t="s">
        <v>25</v>
      </c>
      <c r="AC4" s="6" t="s">
        <v>26</v>
      </c>
      <c r="AD4" s="6" t="s">
        <v>27</v>
      </c>
      <c r="AE4" s="6" t="s">
        <v>28</v>
      </c>
      <c r="AF4" s="6" t="s">
        <v>29</v>
      </c>
      <c r="AG4" s="6" t="s">
        <v>30</v>
      </c>
      <c r="AH4" s="6" t="s">
        <v>31</v>
      </c>
      <c r="AI4" s="6"/>
      <c r="AJ4" s="6" t="s">
        <v>185</v>
      </c>
      <c r="AK4" s="6" t="s">
        <v>186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25">
      <c r="A5" s="6"/>
      <c r="B5" s="6"/>
      <c r="C5" s="6"/>
      <c r="D5" s="6"/>
      <c r="E5" s="3">
        <f>SUM(E6:E493)</f>
        <v>15074.242999999999</v>
      </c>
      <c r="F5" s="3">
        <f>SUM(F6:F493)</f>
        <v>22827.185999999998</v>
      </c>
      <c r="G5" s="7"/>
      <c r="H5" s="6"/>
      <c r="I5" s="6"/>
      <c r="J5" s="6"/>
      <c r="K5" s="3">
        <f t="shared" ref="K5:U5" si="0">SUM(K6:K493)</f>
        <v>22274.82</v>
      </c>
      <c r="L5" s="3">
        <f t="shared" si="0"/>
        <v>-7394.5769999999993</v>
      </c>
      <c r="M5" s="3">
        <f t="shared" si="0"/>
        <v>0</v>
      </c>
      <c r="N5" s="3">
        <f t="shared" si="0"/>
        <v>0</v>
      </c>
      <c r="O5" s="3">
        <f t="shared" si="0"/>
        <v>5943</v>
      </c>
      <c r="P5" s="3">
        <f t="shared" si="0"/>
        <v>5768</v>
      </c>
      <c r="Q5" s="3">
        <f t="shared" si="0"/>
        <v>3027.2485999999994</v>
      </c>
      <c r="R5" s="3">
        <f t="shared" si="0"/>
        <v>16113.7328</v>
      </c>
      <c r="S5" s="3">
        <f t="shared" si="0"/>
        <v>16215</v>
      </c>
      <c r="T5" s="3">
        <f t="shared" si="0"/>
        <v>9114</v>
      </c>
      <c r="U5" s="3">
        <f t="shared" si="0"/>
        <v>7101</v>
      </c>
      <c r="V5" s="3">
        <f t="shared" ref="V5" si="1">SUM(V6:V493)</f>
        <v>850</v>
      </c>
      <c r="W5" s="3"/>
      <c r="X5" s="3"/>
      <c r="Y5" s="6"/>
      <c r="Z5" s="6"/>
      <c r="AA5" s="3">
        <f t="shared" ref="AA5:AH5" si="2">SUM(AA6:AA493)</f>
        <v>3554.4295999999995</v>
      </c>
      <c r="AB5" s="3">
        <f t="shared" si="2"/>
        <v>3689.7988000000005</v>
      </c>
      <c r="AC5" s="3">
        <f t="shared" si="2"/>
        <v>3886.4230000000011</v>
      </c>
      <c r="AD5" s="3">
        <f t="shared" si="2"/>
        <v>5282.4044000000004</v>
      </c>
      <c r="AE5" s="3">
        <f t="shared" si="2"/>
        <v>3451.8326000000002</v>
      </c>
      <c r="AF5" s="3">
        <f t="shared" si="2"/>
        <v>3665.0409999999997</v>
      </c>
      <c r="AG5" s="3">
        <f t="shared" si="2"/>
        <v>3586.3323999999993</v>
      </c>
      <c r="AH5" s="3">
        <f t="shared" si="2"/>
        <v>3497.4075999999995</v>
      </c>
      <c r="AI5" s="6"/>
      <c r="AJ5" s="3">
        <f>SUM(AJ6:AJ493)</f>
        <v>4800.0700000000015</v>
      </c>
      <c r="AK5" s="3">
        <f>SUM(AK6:AK493)</f>
        <v>4164.3200000000006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x14ac:dyDescent="0.25">
      <c r="A6" s="6" t="s">
        <v>32</v>
      </c>
      <c r="B6" s="6" t="s">
        <v>33</v>
      </c>
      <c r="C6" s="6">
        <v>66</v>
      </c>
      <c r="D6" s="6">
        <v>886</v>
      </c>
      <c r="E6" s="6">
        <v>273</v>
      </c>
      <c r="F6" s="6">
        <v>556</v>
      </c>
      <c r="G6" s="7">
        <v>0.4</v>
      </c>
      <c r="H6" s="6">
        <v>60</v>
      </c>
      <c r="I6" s="6" t="s">
        <v>34</v>
      </c>
      <c r="J6" s="6"/>
      <c r="K6" s="6">
        <v>438</v>
      </c>
      <c r="L6" s="6">
        <f t="shared" ref="L6:L37" si="3">E6-K6</f>
        <v>-165</v>
      </c>
      <c r="M6" s="6"/>
      <c r="N6" s="6"/>
      <c r="O6" s="6">
        <v>92</v>
      </c>
      <c r="P6" s="6"/>
      <c r="Q6" s="6">
        <f t="shared" ref="Q6:Q37" si="4">E6/5</f>
        <v>54.6</v>
      </c>
      <c r="R6" s="8">
        <f>15*Q6-P6-O6-F6</f>
        <v>171</v>
      </c>
      <c r="S6" s="8">
        <f>ROUND(R6,0)</f>
        <v>171</v>
      </c>
      <c r="T6" s="8">
        <f>ROUND(S6-U6,0)</f>
        <v>60</v>
      </c>
      <c r="U6" s="8">
        <f>ROUND(S6*$U$1,0)</f>
        <v>111</v>
      </c>
      <c r="V6" s="8"/>
      <c r="W6" s="20"/>
      <c r="X6" s="20">
        <f>VLOOKUP(A6,[1]Sheet!$A:$S,19,0)</f>
        <v>0</v>
      </c>
      <c r="Y6" s="6">
        <f>(F6+O6+P6+S6)/Q6</f>
        <v>15</v>
      </c>
      <c r="Z6" s="6">
        <f t="shared" ref="Z6:Z37" si="5">(F6+O6+P6)/Q6</f>
        <v>11.868131868131869</v>
      </c>
      <c r="AA6" s="6">
        <v>62.6</v>
      </c>
      <c r="AB6" s="6">
        <v>77.400000000000006</v>
      </c>
      <c r="AC6" s="6">
        <v>50</v>
      </c>
      <c r="AD6" s="6">
        <v>76.400000000000006</v>
      </c>
      <c r="AE6" s="6">
        <v>59.8</v>
      </c>
      <c r="AF6" s="6">
        <v>79.8</v>
      </c>
      <c r="AG6" s="6">
        <v>60.4</v>
      </c>
      <c r="AH6" s="6">
        <v>56.2</v>
      </c>
      <c r="AI6" s="6"/>
      <c r="AJ6" s="6">
        <f>G6*T6</f>
        <v>24</v>
      </c>
      <c r="AK6" s="6">
        <f>G6*U6</f>
        <v>44.400000000000006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25">
      <c r="A7" s="6" t="s">
        <v>35</v>
      </c>
      <c r="B7" s="6" t="s">
        <v>36</v>
      </c>
      <c r="C7" s="6">
        <v>20.600999999999999</v>
      </c>
      <c r="D7" s="6"/>
      <c r="E7" s="6">
        <v>10.557</v>
      </c>
      <c r="F7" s="6">
        <v>10.044</v>
      </c>
      <c r="G7" s="7">
        <v>1</v>
      </c>
      <c r="H7" s="6">
        <v>120</v>
      </c>
      <c r="I7" s="6" t="s">
        <v>34</v>
      </c>
      <c r="J7" s="6"/>
      <c r="K7" s="6">
        <v>9.5</v>
      </c>
      <c r="L7" s="6">
        <f t="shared" si="3"/>
        <v>1.0570000000000004</v>
      </c>
      <c r="M7" s="6"/>
      <c r="N7" s="6"/>
      <c r="O7" s="6">
        <v>8</v>
      </c>
      <c r="P7" s="6"/>
      <c r="Q7" s="6">
        <f t="shared" si="4"/>
        <v>2.1114000000000002</v>
      </c>
      <c r="R7" s="8">
        <f>20*Q7-P7-O7-F7</f>
        <v>24.184000000000001</v>
      </c>
      <c r="S7" s="8">
        <f t="shared" ref="S7:S70" si="6">ROUND(R7,0)</f>
        <v>24</v>
      </c>
      <c r="T7" s="8">
        <f t="shared" ref="T7:T70" si="7">ROUND(S7-U7,0)</f>
        <v>24</v>
      </c>
      <c r="U7" s="8"/>
      <c r="V7" s="8"/>
      <c r="W7" s="20"/>
      <c r="X7" s="20">
        <f>VLOOKUP(A7,[1]Sheet!$A:$S,19,0)</f>
        <v>0</v>
      </c>
      <c r="Y7" s="6">
        <f t="shared" ref="Y7:Y70" si="8">(F7+O7+P7+S7)/Q7</f>
        <v>19.912854030501087</v>
      </c>
      <c r="Z7" s="6">
        <f t="shared" si="5"/>
        <v>8.5459884436866531</v>
      </c>
      <c r="AA7" s="6">
        <v>1.4079999999999999</v>
      </c>
      <c r="AB7" s="6">
        <v>0.70300000000000007</v>
      </c>
      <c r="AC7" s="6">
        <v>1.204</v>
      </c>
      <c r="AD7" s="6">
        <v>1.9656</v>
      </c>
      <c r="AE7" s="6">
        <v>1.6342000000000001</v>
      </c>
      <c r="AF7" s="6">
        <v>1.167</v>
      </c>
      <c r="AG7" s="6">
        <v>0.98599999999999999</v>
      </c>
      <c r="AH7" s="6">
        <v>1.5744</v>
      </c>
      <c r="AI7" s="6" t="s">
        <v>37</v>
      </c>
      <c r="AJ7" s="6">
        <f t="shared" ref="AJ7:AJ70" si="9">G7*T7</f>
        <v>24</v>
      </c>
      <c r="AK7" s="6">
        <f t="shared" ref="AK7:AK70" si="10">G7*U7</f>
        <v>0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x14ac:dyDescent="0.25">
      <c r="A8" s="6" t="s">
        <v>38</v>
      </c>
      <c r="B8" s="6" t="s">
        <v>33</v>
      </c>
      <c r="C8" s="6">
        <v>16</v>
      </c>
      <c r="D8" s="6">
        <v>616</v>
      </c>
      <c r="E8" s="6">
        <v>185</v>
      </c>
      <c r="F8" s="6">
        <v>340</v>
      </c>
      <c r="G8" s="7">
        <v>0.25</v>
      </c>
      <c r="H8" s="6">
        <v>120</v>
      </c>
      <c r="I8" s="6" t="s">
        <v>34</v>
      </c>
      <c r="J8" s="6"/>
      <c r="K8" s="6">
        <v>317</v>
      </c>
      <c r="L8" s="6">
        <f t="shared" si="3"/>
        <v>-132</v>
      </c>
      <c r="M8" s="6"/>
      <c r="N8" s="6"/>
      <c r="O8" s="6">
        <v>97</v>
      </c>
      <c r="P8" s="6"/>
      <c r="Q8" s="6">
        <f t="shared" si="4"/>
        <v>37</v>
      </c>
      <c r="R8" s="8">
        <f>20*Q8-P8-O8-F8</f>
        <v>303</v>
      </c>
      <c r="S8" s="8">
        <f t="shared" si="6"/>
        <v>303</v>
      </c>
      <c r="T8" s="8">
        <f t="shared" si="7"/>
        <v>106</v>
      </c>
      <c r="U8" s="8">
        <f t="shared" ref="U8:U10" si="11">ROUND(S8*$U$1,0)</f>
        <v>197</v>
      </c>
      <c r="V8" s="8"/>
      <c r="W8" s="20"/>
      <c r="X8" s="20">
        <f>VLOOKUP(A8,[1]Sheet!$A:$S,19,0)</f>
        <v>0</v>
      </c>
      <c r="Y8" s="6">
        <f t="shared" si="8"/>
        <v>20</v>
      </c>
      <c r="Z8" s="6">
        <f t="shared" si="5"/>
        <v>11.810810810810811</v>
      </c>
      <c r="AA8" s="6">
        <v>32</v>
      </c>
      <c r="AB8" s="6">
        <v>56.8</v>
      </c>
      <c r="AC8" s="6">
        <v>27</v>
      </c>
      <c r="AD8" s="6">
        <v>45.8</v>
      </c>
      <c r="AE8" s="6">
        <v>42.2</v>
      </c>
      <c r="AF8" s="6">
        <v>25.8</v>
      </c>
      <c r="AG8" s="6">
        <v>49.4</v>
      </c>
      <c r="AH8" s="6">
        <v>55.2</v>
      </c>
      <c r="AI8" s="6" t="s">
        <v>37</v>
      </c>
      <c r="AJ8" s="6">
        <f t="shared" si="9"/>
        <v>26.5</v>
      </c>
      <c r="AK8" s="6">
        <f t="shared" si="10"/>
        <v>49.25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25">
      <c r="A9" s="6" t="s">
        <v>39</v>
      </c>
      <c r="B9" s="6" t="s">
        <v>36</v>
      </c>
      <c r="C9" s="6">
        <v>1158.201</v>
      </c>
      <c r="D9" s="6">
        <v>844.19299999999998</v>
      </c>
      <c r="E9" s="6">
        <v>1081.723</v>
      </c>
      <c r="F9" s="6">
        <v>715.66899999999998</v>
      </c>
      <c r="G9" s="7">
        <v>1</v>
      </c>
      <c r="H9" s="6">
        <v>60</v>
      </c>
      <c r="I9" s="6" t="s">
        <v>34</v>
      </c>
      <c r="J9" s="6"/>
      <c r="K9" s="6">
        <v>1194.9000000000001</v>
      </c>
      <c r="L9" s="6">
        <f t="shared" si="3"/>
        <v>-113.17700000000013</v>
      </c>
      <c r="M9" s="6"/>
      <c r="N9" s="6"/>
      <c r="O9" s="6">
        <v>358</v>
      </c>
      <c r="P9" s="6">
        <v>421</v>
      </c>
      <c r="Q9" s="6">
        <f t="shared" si="4"/>
        <v>216.34459999999999</v>
      </c>
      <c r="R9" s="8">
        <f t="shared" ref="R9:R19" si="12">15*Q9-P9-O9-F9</f>
        <v>1750.5</v>
      </c>
      <c r="S9" s="8">
        <f t="shared" si="6"/>
        <v>1751</v>
      </c>
      <c r="T9" s="8">
        <f t="shared" si="7"/>
        <v>613</v>
      </c>
      <c r="U9" s="8">
        <f t="shared" si="11"/>
        <v>1138</v>
      </c>
      <c r="V9" s="8"/>
      <c r="W9" s="20"/>
      <c r="X9" s="20">
        <f>VLOOKUP(A9,[1]Sheet!$A:$S,19,0)</f>
        <v>0</v>
      </c>
      <c r="Y9" s="6">
        <f t="shared" si="8"/>
        <v>15.002311127710144</v>
      </c>
      <c r="Z9" s="6">
        <f t="shared" si="5"/>
        <v>6.9087418867861734</v>
      </c>
      <c r="AA9" s="6">
        <v>179.56120000000001</v>
      </c>
      <c r="AB9" s="6">
        <v>188.56039999999999</v>
      </c>
      <c r="AC9" s="6">
        <v>210.9682</v>
      </c>
      <c r="AD9" s="6">
        <v>273.19080000000002</v>
      </c>
      <c r="AE9" s="6">
        <v>182.46039999999999</v>
      </c>
      <c r="AF9" s="6">
        <v>221.37100000000001</v>
      </c>
      <c r="AG9" s="6">
        <v>197.34700000000001</v>
      </c>
      <c r="AH9" s="6">
        <v>222.8562</v>
      </c>
      <c r="AI9" s="6"/>
      <c r="AJ9" s="6">
        <f t="shared" si="9"/>
        <v>613</v>
      </c>
      <c r="AK9" s="6">
        <f t="shared" si="10"/>
        <v>1138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x14ac:dyDescent="0.25">
      <c r="A10" s="6" t="s">
        <v>40</v>
      </c>
      <c r="B10" s="6" t="s">
        <v>36</v>
      </c>
      <c r="C10" s="6">
        <v>51.613999999999997</v>
      </c>
      <c r="D10" s="6"/>
      <c r="E10" s="6">
        <v>37.676000000000002</v>
      </c>
      <c r="F10" s="6">
        <v>13.938000000000001</v>
      </c>
      <c r="G10" s="7">
        <v>1</v>
      </c>
      <c r="H10" s="6">
        <v>120</v>
      </c>
      <c r="I10" s="6" t="s">
        <v>34</v>
      </c>
      <c r="J10" s="6"/>
      <c r="K10" s="6">
        <v>36.700000000000003</v>
      </c>
      <c r="L10" s="6">
        <f t="shared" si="3"/>
        <v>0.97599999999999909</v>
      </c>
      <c r="M10" s="6"/>
      <c r="N10" s="6"/>
      <c r="O10" s="6">
        <v>15</v>
      </c>
      <c r="P10" s="6"/>
      <c r="Q10" s="6">
        <f t="shared" si="4"/>
        <v>7.5352000000000006</v>
      </c>
      <c r="R10" s="8">
        <f>19*Q10-P10-O10-F10</f>
        <v>114.2308</v>
      </c>
      <c r="S10" s="8">
        <f t="shared" si="6"/>
        <v>114</v>
      </c>
      <c r="T10" s="8">
        <f t="shared" si="7"/>
        <v>40</v>
      </c>
      <c r="U10" s="8">
        <f t="shared" si="11"/>
        <v>74</v>
      </c>
      <c r="V10" s="8"/>
      <c r="W10" s="20"/>
      <c r="X10" s="20">
        <f>VLOOKUP(A10,[1]Sheet!$A:$S,19,0)</f>
        <v>0</v>
      </c>
      <c r="Y10" s="6">
        <f t="shared" si="8"/>
        <v>18.969370421488478</v>
      </c>
      <c r="Z10" s="6">
        <f t="shared" si="5"/>
        <v>3.8403758360760167</v>
      </c>
      <c r="AA10" s="6">
        <v>4.4573999999999998</v>
      </c>
      <c r="AB10" s="6">
        <v>2.1379999999999999</v>
      </c>
      <c r="AC10" s="6">
        <v>1.2092000000000001</v>
      </c>
      <c r="AD10" s="6">
        <v>6.8614000000000006</v>
      </c>
      <c r="AE10" s="6">
        <v>1.8819999999999999</v>
      </c>
      <c r="AF10" s="6">
        <v>0.79900000000000004</v>
      </c>
      <c r="AG10" s="6">
        <v>6.34</v>
      </c>
      <c r="AH10" s="6">
        <v>3.8715999999999999</v>
      </c>
      <c r="AI10" s="6" t="s">
        <v>37</v>
      </c>
      <c r="AJ10" s="6">
        <f t="shared" si="9"/>
        <v>40</v>
      </c>
      <c r="AK10" s="6">
        <f t="shared" si="10"/>
        <v>74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25">
      <c r="A11" s="6" t="s">
        <v>41</v>
      </c>
      <c r="B11" s="6" t="s">
        <v>36</v>
      </c>
      <c r="C11" s="6">
        <v>291.93700000000001</v>
      </c>
      <c r="D11" s="6">
        <v>6.7249999999999996</v>
      </c>
      <c r="E11" s="6">
        <v>64.417000000000002</v>
      </c>
      <c r="F11" s="6">
        <v>220.52799999999999</v>
      </c>
      <c r="G11" s="7">
        <v>1</v>
      </c>
      <c r="H11" s="6">
        <v>60</v>
      </c>
      <c r="I11" s="6" t="s">
        <v>34</v>
      </c>
      <c r="J11" s="6"/>
      <c r="K11" s="6">
        <v>74.8</v>
      </c>
      <c r="L11" s="6">
        <f t="shared" si="3"/>
        <v>-10.382999999999996</v>
      </c>
      <c r="M11" s="6"/>
      <c r="N11" s="6"/>
      <c r="O11" s="6">
        <v>53</v>
      </c>
      <c r="P11" s="6"/>
      <c r="Q11" s="6">
        <f t="shared" si="4"/>
        <v>12.8834</v>
      </c>
      <c r="R11" s="8"/>
      <c r="S11" s="8">
        <f t="shared" si="6"/>
        <v>0</v>
      </c>
      <c r="T11" s="8">
        <f t="shared" si="7"/>
        <v>0</v>
      </c>
      <c r="U11" s="8"/>
      <c r="V11" s="8"/>
      <c r="W11" s="20"/>
      <c r="X11" s="20">
        <f>VLOOKUP(A11,[1]Sheet!$A:$S,19,0)</f>
        <v>0</v>
      </c>
      <c r="Y11" s="6">
        <f t="shared" si="8"/>
        <v>21.231041495257465</v>
      </c>
      <c r="Z11" s="6">
        <f t="shared" si="5"/>
        <v>21.231041495257465</v>
      </c>
      <c r="AA11" s="6">
        <v>22.982600000000001</v>
      </c>
      <c r="AB11" s="6">
        <v>20.1874</v>
      </c>
      <c r="AC11" s="6">
        <v>35.412799999999997</v>
      </c>
      <c r="AD11" s="6">
        <v>36.8416</v>
      </c>
      <c r="AE11" s="6">
        <v>21.529199999999999</v>
      </c>
      <c r="AF11" s="6">
        <v>24.9114</v>
      </c>
      <c r="AG11" s="6">
        <v>29.545400000000001</v>
      </c>
      <c r="AH11" s="6">
        <v>27.542200000000001</v>
      </c>
      <c r="AI11" s="17" t="s">
        <v>99</v>
      </c>
      <c r="AJ11" s="6">
        <f t="shared" si="9"/>
        <v>0</v>
      </c>
      <c r="AK11" s="6">
        <f t="shared" si="10"/>
        <v>0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x14ac:dyDescent="0.25">
      <c r="A12" s="6" t="s">
        <v>42</v>
      </c>
      <c r="B12" s="6" t="s">
        <v>36</v>
      </c>
      <c r="C12" s="6">
        <v>477.238</v>
      </c>
      <c r="D12" s="6">
        <v>637.93700000000001</v>
      </c>
      <c r="E12" s="6">
        <v>390.20400000000001</v>
      </c>
      <c r="F12" s="6">
        <v>638.75800000000004</v>
      </c>
      <c r="G12" s="7">
        <v>1</v>
      </c>
      <c r="H12" s="6">
        <v>60</v>
      </c>
      <c r="I12" s="6" t="s">
        <v>34</v>
      </c>
      <c r="J12" s="6"/>
      <c r="K12" s="6">
        <v>451.4</v>
      </c>
      <c r="L12" s="6">
        <f t="shared" si="3"/>
        <v>-61.19599999999997</v>
      </c>
      <c r="M12" s="6"/>
      <c r="N12" s="6"/>
      <c r="O12" s="6">
        <v>97</v>
      </c>
      <c r="P12" s="6">
        <v>115</v>
      </c>
      <c r="Q12" s="6">
        <f t="shared" si="4"/>
        <v>78.040800000000004</v>
      </c>
      <c r="R12" s="8">
        <f t="shared" si="12"/>
        <v>319.85400000000004</v>
      </c>
      <c r="S12" s="8">
        <v>400</v>
      </c>
      <c r="T12" s="8">
        <f t="shared" si="7"/>
        <v>400</v>
      </c>
      <c r="U12" s="8"/>
      <c r="V12" s="8"/>
      <c r="W12" s="20"/>
      <c r="X12" s="20">
        <f>VLOOKUP(A12,[1]Sheet!$A:$S,19,0)</f>
        <v>500</v>
      </c>
      <c r="Y12" s="6">
        <f t="shared" si="8"/>
        <v>16.026975633258502</v>
      </c>
      <c r="Z12" s="6">
        <f t="shared" si="5"/>
        <v>10.901451548420827</v>
      </c>
      <c r="AA12" s="6">
        <v>85.428200000000004</v>
      </c>
      <c r="AB12" s="6">
        <v>98.685399999999987</v>
      </c>
      <c r="AC12" s="6">
        <v>97.275999999999996</v>
      </c>
      <c r="AD12" s="6">
        <v>103.453</v>
      </c>
      <c r="AE12" s="6">
        <v>79.201400000000007</v>
      </c>
      <c r="AF12" s="6">
        <v>95.4328</v>
      </c>
      <c r="AG12" s="6">
        <v>114.4444</v>
      </c>
      <c r="AH12" s="6">
        <v>86.782200000000003</v>
      </c>
      <c r="AI12" s="6"/>
      <c r="AJ12" s="6">
        <f t="shared" si="9"/>
        <v>400</v>
      </c>
      <c r="AK12" s="6">
        <f t="shared" si="10"/>
        <v>0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25">
      <c r="A13" s="6" t="s">
        <v>43</v>
      </c>
      <c r="B13" s="6" t="s">
        <v>33</v>
      </c>
      <c r="C13" s="6">
        <v>156</v>
      </c>
      <c r="D13" s="6">
        <v>29</v>
      </c>
      <c r="E13" s="6">
        <v>62</v>
      </c>
      <c r="F13" s="6">
        <v>88</v>
      </c>
      <c r="G13" s="7">
        <v>0.25</v>
      </c>
      <c r="H13" s="6">
        <v>120</v>
      </c>
      <c r="I13" s="6" t="s">
        <v>34</v>
      </c>
      <c r="J13" s="6"/>
      <c r="K13" s="6">
        <v>117</v>
      </c>
      <c r="L13" s="6">
        <f t="shared" si="3"/>
        <v>-55</v>
      </c>
      <c r="M13" s="6"/>
      <c r="N13" s="6"/>
      <c r="O13" s="6">
        <v>12</v>
      </c>
      <c r="P13" s="6"/>
      <c r="Q13" s="6">
        <f t="shared" si="4"/>
        <v>12.4</v>
      </c>
      <c r="R13" s="8">
        <f>20*Q13-P13-O13-F13</f>
        <v>148</v>
      </c>
      <c r="S13" s="8">
        <f t="shared" si="6"/>
        <v>148</v>
      </c>
      <c r="T13" s="8">
        <f t="shared" si="7"/>
        <v>52</v>
      </c>
      <c r="U13" s="8">
        <f>ROUND(S13*$U$1,0)</f>
        <v>96</v>
      </c>
      <c r="V13" s="8"/>
      <c r="W13" s="20"/>
      <c r="X13" s="20">
        <f>VLOOKUP(A13,[1]Sheet!$A:$S,19,0)</f>
        <v>0</v>
      </c>
      <c r="Y13" s="6">
        <f t="shared" si="8"/>
        <v>20</v>
      </c>
      <c r="Z13" s="6">
        <f t="shared" si="5"/>
        <v>8.064516129032258</v>
      </c>
      <c r="AA13" s="6">
        <v>8.4</v>
      </c>
      <c r="AB13" s="6">
        <v>8.4</v>
      </c>
      <c r="AC13" s="6">
        <v>17.399999999999999</v>
      </c>
      <c r="AD13" s="6">
        <v>20.097200000000001</v>
      </c>
      <c r="AE13" s="6">
        <v>15.8</v>
      </c>
      <c r="AF13" s="6">
        <v>13.2</v>
      </c>
      <c r="AG13" s="6">
        <v>23</v>
      </c>
      <c r="AH13" s="6">
        <v>14.2</v>
      </c>
      <c r="AI13" s="6" t="s">
        <v>37</v>
      </c>
      <c r="AJ13" s="6">
        <f t="shared" si="9"/>
        <v>13</v>
      </c>
      <c r="AK13" s="6">
        <f t="shared" si="10"/>
        <v>24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x14ac:dyDescent="0.25">
      <c r="A14" s="6" t="s">
        <v>44</v>
      </c>
      <c r="B14" s="6" t="s">
        <v>36</v>
      </c>
      <c r="C14" s="6">
        <v>132.13399999999999</v>
      </c>
      <c r="D14" s="6">
        <v>163.62</v>
      </c>
      <c r="E14" s="6">
        <v>63.38</v>
      </c>
      <c r="F14" s="6">
        <v>225.54599999999999</v>
      </c>
      <c r="G14" s="7">
        <v>1</v>
      </c>
      <c r="H14" s="6">
        <v>60</v>
      </c>
      <c r="I14" s="6" t="s">
        <v>34</v>
      </c>
      <c r="J14" s="6"/>
      <c r="K14" s="6">
        <v>70.8</v>
      </c>
      <c r="L14" s="6">
        <f t="shared" si="3"/>
        <v>-7.4199999999999946</v>
      </c>
      <c r="M14" s="6"/>
      <c r="N14" s="6"/>
      <c r="O14" s="6">
        <v>0</v>
      </c>
      <c r="P14" s="6"/>
      <c r="Q14" s="6">
        <f t="shared" si="4"/>
        <v>12.676</v>
      </c>
      <c r="R14" s="8"/>
      <c r="S14" s="8">
        <f t="shared" si="6"/>
        <v>0</v>
      </c>
      <c r="T14" s="8">
        <f t="shared" si="7"/>
        <v>0</v>
      </c>
      <c r="U14" s="8"/>
      <c r="V14" s="8"/>
      <c r="W14" s="20"/>
      <c r="X14" s="20">
        <f>VLOOKUP(A14,[1]Sheet!$A:$S,19,0)</f>
        <v>0</v>
      </c>
      <c r="Y14" s="6">
        <f t="shared" si="8"/>
        <v>17.793152414010727</v>
      </c>
      <c r="Z14" s="6">
        <f t="shared" si="5"/>
        <v>17.793152414010727</v>
      </c>
      <c r="AA14" s="6">
        <v>10.680199999999999</v>
      </c>
      <c r="AB14" s="6">
        <v>23.291399999999999</v>
      </c>
      <c r="AC14" s="6">
        <v>15.771800000000001</v>
      </c>
      <c r="AD14" s="6">
        <v>13.082800000000001</v>
      </c>
      <c r="AE14" s="6">
        <v>7.8231999999999999</v>
      </c>
      <c r="AF14" s="6">
        <v>13.077400000000001</v>
      </c>
      <c r="AG14" s="6">
        <v>11.439399999999999</v>
      </c>
      <c r="AH14" s="6">
        <v>10.8256</v>
      </c>
      <c r="AI14" s="6"/>
      <c r="AJ14" s="6">
        <f t="shared" si="9"/>
        <v>0</v>
      </c>
      <c r="AK14" s="6">
        <f t="shared" si="10"/>
        <v>0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25">
      <c r="A15" s="6" t="s">
        <v>45</v>
      </c>
      <c r="B15" s="6" t="s">
        <v>33</v>
      </c>
      <c r="C15" s="6">
        <v>360</v>
      </c>
      <c r="D15" s="6">
        <v>5</v>
      </c>
      <c r="E15" s="6">
        <v>57</v>
      </c>
      <c r="F15" s="6">
        <v>297</v>
      </c>
      <c r="G15" s="7">
        <v>0.25</v>
      </c>
      <c r="H15" s="6">
        <v>120</v>
      </c>
      <c r="I15" s="6" t="s">
        <v>34</v>
      </c>
      <c r="J15" s="6"/>
      <c r="K15" s="6">
        <v>172</v>
      </c>
      <c r="L15" s="6">
        <f t="shared" si="3"/>
        <v>-115</v>
      </c>
      <c r="M15" s="6"/>
      <c r="N15" s="6"/>
      <c r="O15" s="6">
        <v>0</v>
      </c>
      <c r="P15" s="6"/>
      <c r="Q15" s="6">
        <f t="shared" si="4"/>
        <v>11.4</v>
      </c>
      <c r="R15" s="8"/>
      <c r="S15" s="8">
        <f t="shared" si="6"/>
        <v>0</v>
      </c>
      <c r="T15" s="8">
        <f t="shared" si="7"/>
        <v>0</v>
      </c>
      <c r="U15" s="8"/>
      <c r="V15" s="8"/>
      <c r="W15" s="20"/>
      <c r="X15" s="20">
        <f>VLOOKUP(A15,[1]Sheet!$A:$S,19,0)</f>
        <v>0</v>
      </c>
      <c r="Y15" s="6">
        <f t="shared" si="8"/>
        <v>26.052631578947366</v>
      </c>
      <c r="Z15" s="6">
        <f t="shared" si="5"/>
        <v>26.052631578947366</v>
      </c>
      <c r="AA15" s="6">
        <v>10</v>
      </c>
      <c r="AB15" s="6">
        <v>10.4</v>
      </c>
      <c r="AC15" s="6">
        <v>14</v>
      </c>
      <c r="AD15" s="6">
        <v>13.6</v>
      </c>
      <c r="AE15" s="6">
        <v>61</v>
      </c>
      <c r="AF15" s="6">
        <v>10.4</v>
      </c>
      <c r="AG15" s="6">
        <v>34</v>
      </c>
      <c r="AH15" s="6">
        <v>20.2</v>
      </c>
      <c r="AI15" s="13" t="s">
        <v>46</v>
      </c>
      <c r="AJ15" s="6">
        <f t="shared" si="9"/>
        <v>0</v>
      </c>
      <c r="AK15" s="6">
        <f t="shared" si="10"/>
        <v>0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x14ac:dyDescent="0.25">
      <c r="A16" s="6" t="s">
        <v>47</v>
      </c>
      <c r="B16" s="6" t="s">
        <v>33</v>
      </c>
      <c r="C16" s="6">
        <v>489</v>
      </c>
      <c r="D16" s="6">
        <v>665</v>
      </c>
      <c r="E16" s="6">
        <v>460</v>
      </c>
      <c r="F16" s="6">
        <v>571</v>
      </c>
      <c r="G16" s="7">
        <v>0.4</v>
      </c>
      <c r="H16" s="6">
        <v>60</v>
      </c>
      <c r="I16" s="15" t="s">
        <v>48</v>
      </c>
      <c r="J16" s="6"/>
      <c r="K16" s="6">
        <v>667</v>
      </c>
      <c r="L16" s="6">
        <f t="shared" si="3"/>
        <v>-207</v>
      </c>
      <c r="M16" s="6"/>
      <c r="N16" s="6"/>
      <c r="O16" s="6">
        <v>0</v>
      </c>
      <c r="P16" s="6"/>
      <c r="Q16" s="6">
        <f t="shared" si="4"/>
        <v>92</v>
      </c>
      <c r="R16" s="24">
        <f>14*Q16-P16-O16-F16-317</f>
        <v>400</v>
      </c>
      <c r="S16" s="8">
        <f t="shared" si="6"/>
        <v>400</v>
      </c>
      <c r="T16" s="8">
        <f t="shared" si="7"/>
        <v>400</v>
      </c>
      <c r="U16" s="8"/>
      <c r="V16" s="8">
        <v>300</v>
      </c>
      <c r="W16" s="25" t="s">
        <v>168</v>
      </c>
      <c r="X16" s="20">
        <f>VLOOKUP(A16,[1]Sheet!$A:$S,19,0)</f>
        <v>400</v>
      </c>
      <c r="Y16" s="6">
        <f t="shared" si="8"/>
        <v>10.554347826086957</v>
      </c>
      <c r="Z16" s="6">
        <f t="shared" si="5"/>
        <v>6.2065217391304346</v>
      </c>
      <c r="AA16" s="6">
        <v>271.2</v>
      </c>
      <c r="AB16" s="6">
        <v>117.8</v>
      </c>
      <c r="AC16" s="6">
        <v>83.6</v>
      </c>
      <c r="AD16" s="6">
        <v>90.4</v>
      </c>
      <c r="AE16" s="6">
        <v>68</v>
      </c>
      <c r="AF16" s="6">
        <v>82.4</v>
      </c>
      <c r="AG16" s="6">
        <v>65.400000000000006</v>
      </c>
      <c r="AH16" s="6">
        <v>74.8</v>
      </c>
      <c r="AI16" s="6" t="s">
        <v>169</v>
      </c>
      <c r="AJ16" s="6">
        <f t="shared" si="9"/>
        <v>160</v>
      </c>
      <c r="AK16" s="6">
        <f t="shared" si="10"/>
        <v>0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25">
      <c r="A17" s="6" t="s">
        <v>49</v>
      </c>
      <c r="B17" s="6" t="s">
        <v>36</v>
      </c>
      <c r="C17" s="6">
        <v>326.84399999999999</v>
      </c>
      <c r="D17" s="6">
        <v>246.93199999999999</v>
      </c>
      <c r="E17" s="6">
        <v>319.15300000000002</v>
      </c>
      <c r="F17" s="6">
        <v>189.46</v>
      </c>
      <c r="G17" s="7">
        <v>1</v>
      </c>
      <c r="H17" s="6">
        <v>45</v>
      </c>
      <c r="I17" s="6" t="s">
        <v>34</v>
      </c>
      <c r="J17" s="6"/>
      <c r="K17" s="6">
        <v>340.7</v>
      </c>
      <c r="L17" s="6">
        <f t="shared" si="3"/>
        <v>-21.546999999999969</v>
      </c>
      <c r="M17" s="6"/>
      <c r="N17" s="6"/>
      <c r="O17" s="6">
        <v>156</v>
      </c>
      <c r="P17" s="6">
        <v>183</v>
      </c>
      <c r="Q17" s="6">
        <f t="shared" si="4"/>
        <v>63.830600000000004</v>
      </c>
      <c r="R17" s="8">
        <f t="shared" si="12"/>
        <v>428.99900000000002</v>
      </c>
      <c r="S17" s="8">
        <f t="shared" si="6"/>
        <v>429</v>
      </c>
      <c r="T17" s="8">
        <f t="shared" si="7"/>
        <v>150</v>
      </c>
      <c r="U17" s="8">
        <f>ROUND(S17*$U$1,0)</f>
        <v>279</v>
      </c>
      <c r="V17" s="8"/>
      <c r="W17" s="20"/>
      <c r="X17" s="20">
        <f>VLOOKUP(A17,[1]Sheet!$A:$S,19,0)</f>
        <v>0</v>
      </c>
      <c r="Y17" s="6">
        <f t="shared" si="8"/>
        <v>15.00001566646718</v>
      </c>
      <c r="Z17" s="6">
        <f t="shared" si="5"/>
        <v>8.2791012461108</v>
      </c>
      <c r="AA17" s="6">
        <v>58.777599999999993</v>
      </c>
      <c r="AB17" s="6">
        <v>55.939200000000007</v>
      </c>
      <c r="AC17" s="6">
        <v>60.511800000000008</v>
      </c>
      <c r="AD17" s="6">
        <v>76.385400000000004</v>
      </c>
      <c r="AE17" s="6">
        <v>56.423400000000001</v>
      </c>
      <c r="AF17" s="6">
        <v>67.234400000000008</v>
      </c>
      <c r="AG17" s="6">
        <v>65.8172</v>
      </c>
      <c r="AH17" s="6">
        <v>70.875</v>
      </c>
      <c r="AI17" s="6"/>
      <c r="AJ17" s="6">
        <f t="shared" si="9"/>
        <v>150</v>
      </c>
      <c r="AK17" s="6">
        <f t="shared" si="10"/>
        <v>279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x14ac:dyDescent="0.25">
      <c r="A18" s="6" t="s">
        <v>50</v>
      </c>
      <c r="B18" s="6" t="s">
        <v>36</v>
      </c>
      <c r="C18" s="6">
        <v>21.574000000000002</v>
      </c>
      <c r="D18" s="6"/>
      <c r="E18" s="6">
        <v>21.062000000000001</v>
      </c>
      <c r="F18" s="6"/>
      <c r="G18" s="7">
        <v>1</v>
      </c>
      <c r="H18" s="6">
        <v>120</v>
      </c>
      <c r="I18" s="6" t="s">
        <v>34</v>
      </c>
      <c r="J18" s="6"/>
      <c r="K18" s="6">
        <v>36.200000000000003</v>
      </c>
      <c r="L18" s="6">
        <f t="shared" si="3"/>
        <v>-15.138000000000002</v>
      </c>
      <c r="M18" s="6"/>
      <c r="N18" s="6"/>
      <c r="O18" s="6">
        <v>0</v>
      </c>
      <c r="P18" s="6"/>
      <c r="Q18" s="6">
        <f t="shared" si="4"/>
        <v>4.2124000000000006</v>
      </c>
      <c r="R18" s="8">
        <f>15*Q18-P18-O18-F18</f>
        <v>63.186000000000007</v>
      </c>
      <c r="S18" s="8">
        <f t="shared" si="6"/>
        <v>63</v>
      </c>
      <c r="T18" s="8">
        <f t="shared" si="7"/>
        <v>63</v>
      </c>
      <c r="U18" s="8"/>
      <c r="V18" s="8"/>
      <c r="W18" s="20"/>
      <c r="X18" s="20">
        <f>VLOOKUP(A18,[1]Sheet!$A:$S,19,0)</f>
        <v>0</v>
      </c>
      <c r="Y18" s="6">
        <f t="shared" si="8"/>
        <v>14.955844649131135</v>
      </c>
      <c r="Z18" s="6">
        <f t="shared" si="5"/>
        <v>0</v>
      </c>
      <c r="AA18" s="6">
        <v>0.98399999999999999</v>
      </c>
      <c r="AB18" s="6">
        <v>2.4192</v>
      </c>
      <c r="AC18" s="6">
        <v>2.4304000000000001</v>
      </c>
      <c r="AD18" s="6">
        <v>0.68220000000000003</v>
      </c>
      <c r="AE18" s="6">
        <v>2.8746</v>
      </c>
      <c r="AF18" s="6">
        <v>0.99380000000000002</v>
      </c>
      <c r="AG18" s="6">
        <v>3.379</v>
      </c>
      <c r="AH18" s="6">
        <v>9.8799999999999999E-2</v>
      </c>
      <c r="AI18" s="6" t="s">
        <v>37</v>
      </c>
      <c r="AJ18" s="6">
        <f t="shared" si="9"/>
        <v>63</v>
      </c>
      <c r="AK18" s="6">
        <f t="shared" si="10"/>
        <v>0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25">
      <c r="A19" s="6" t="s">
        <v>51</v>
      </c>
      <c r="B19" s="6" t="s">
        <v>33</v>
      </c>
      <c r="C19" s="6">
        <v>147</v>
      </c>
      <c r="D19" s="6">
        <v>676</v>
      </c>
      <c r="E19" s="6">
        <v>225</v>
      </c>
      <c r="F19" s="6">
        <v>487</v>
      </c>
      <c r="G19" s="7">
        <v>0.4</v>
      </c>
      <c r="H19" s="6">
        <v>45</v>
      </c>
      <c r="I19" s="6" t="s">
        <v>34</v>
      </c>
      <c r="J19" s="6"/>
      <c r="K19" s="6">
        <v>369</v>
      </c>
      <c r="L19" s="6">
        <f t="shared" si="3"/>
        <v>-144</v>
      </c>
      <c r="M19" s="6"/>
      <c r="N19" s="6"/>
      <c r="O19" s="6">
        <v>57</v>
      </c>
      <c r="P19" s="6">
        <v>68</v>
      </c>
      <c r="Q19" s="6">
        <f t="shared" si="4"/>
        <v>45</v>
      </c>
      <c r="R19" s="8">
        <f t="shared" si="12"/>
        <v>63</v>
      </c>
      <c r="S19" s="8">
        <f t="shared" si="6"/>
        <v>63</v>
      </c>
      <c r="T19" s="8">
        <f t="shared" si="7"/>
        <v>63</v>
      </c>
      <c r="U19" s="8"/>
      <c r="V19" s="8"/>
      <c r="W19" s="20"/>
      <c r="X19" s="20">
        <f>VLOOKUP(A19,[1]Sheet!$A:$S,19,0)</f>
        <v>0</v>
      </c>
      <c r="Y19" s="6">
        <f t="shared" si="8"/>
        <v>15</v>
      </c>
      <c r="Z19" s="6">
        <f t="shared" si="5"/>
        <v>13.6</v>
      </c>
      <c r="AA19" s="6">
        <v>56.6</v>
      </c>
      <c r="AB19" s="6">
        <v>68.2</v>
      </c>
      <c r="AC19" s="6">
        <v>54.6</v>
      </c>
      <c r="AD19" s="6">
        <v>56.6</v>
      </c>
      <c r="AE19" s="6">
        <v>67.400000000000006</v>
      </c>
      <c r="AF19" s="6">
        <v>44</v>
      </c>
      <c r="AG19" s="6">
        <v>55</v>
      </c>
      <c r="AH19" s="6">
        <v>71.2</v>
      </c>
      <c r="AI19" s="6"/>
      <c r="AJ19" s="6">
        <f t="shared" si="9"/>
        <v>25.200000000000003</v>
      </c>
      <c r="AK19" s="6">
        <f t="shared" si="10"/>
        <v>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x14ac:dyDescent="0.25">
      <c r="A20" s="6" t="s">
        <v>52</v>
      </c>
      <c r="B20" s="6" t="s">
        <v>36</v>
      </c>
      <c r="C20" s="6">
        <v>317.678</v>
      </c>
      <c r="D20" s="6">
        <v>412.471</v>
      </c>
      <c r="E20" s="6">
        <v>217.94300000000001</v>
      </c>
      <c r="F20" s="6">
        <v>472.01400000000001</v>
      </c>
      <c r="G20" s="7">
        <v>1</v>
      </c>
      <c r="H20" s="6">
        <v>60</v>
      </c>
      <c r="I20" s="6" t="s">
        <v>34</v>
      </c>
      <c r="J20" s="6"/>
      <c r="K20" s="6">
        <v>246.1</v>
      </c>
      <c r="L20" s="6">
        <f t="shared" si="3"/>
        <v>-28.156999999999982</v>
      </c>
      <c r="M20" s="6"/>
      <c r="N20" s="6"/>
      <c r="O20" s="6">
        <v>0</v>
      </c>
      <c r="P20" s="6"/>
      <c r="Q20" s="6">
        <f t="shared" si="4"/>
        <v>43.5886</v>
      </c>
      <c r="R20" s="8">
        <f>14*Q20-P20-O20-F20</f>
        <v>138.22640000000001</v>
      </c>
      <c r="S20" s="8">
        <f t="shared" si="6"/>
        <v>138</v>
      </c>
      <c r="T20" s="8">
        <f t="shared" si="7"/>
        <v>48</v>
      </c>
      <c r="U20" s="8">
        <f>ROUND(S20*$U$1,0)</f>
        <v>90</v>
      </c>
      <c r="V20" s="8"/>
      <c r="W20" s="20"/>
      <c r="X20" s="20">
        <f>VLOOKUP(A20,[1]Sheet!$A:$S,19,0)</f>
        <v>0</v>
      </c>
      <c r="Y20" s="6">
        <f t="shared" si="8"/>
        <v>13.994805981380454</v>
      </c>
      <c r="Z20" s="6">
        <f t="shared" si="5"/>
        <v>10.8288405684055</v>
      </c>
      <c r="AA20" s="6">
        <v>30.848199999999999</v>
      </c>
      <c r="AB20" s="6">
        <v>57.430399999999999</v>
      </c>
      <c r="AC20" s="6">
        <v>43.7378</v>
      </c>
      <c r="AD20" s="6">
        <v>68.502600000000001</v>
      </c>
      <c r="AE20" s="6">
        <v>41.588000000000001</v>
      </c>
      <c r="AF20" s="6">
        <v>50.5824</v>
      </c>
      <c r="AG20" s="6">
        <v>56.876399999999997</v>
      </c>
      <c r="AH20" s="6">
        <v>42.729599999999998</v>
      </c>
      <c r="AI20" s="6"/>
      <c r="AJ20" s="6">
        <f t="shared" si="9"/>
        <v>48</v>
      </c>
      <c r="AK20" s="6">
        <f t="shared" si="10"/>
        <v>90</v>
      </c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25">
      <c r="A21" s="6" t="s">
        <v>53</v>
      </c>
      <c r="B21" s="6" t="s">
        <v>33</v>
      </c>
      <c r="C21" s="6">
        <v>124</v>
      </c>
      <c r="D21" s="6">
        <v>336</v>
      </c>
      <c r="E21" s="6">
        <v>147</v>
      </c>
      <c r="F21" s="6">
        <v>287</v>
      </c>
      <c r="G21" s="7">
        <v>0.22</v>
      </c>
      <c r="H21" s="6">
        <v>120</v>
      </c>
      <c r="I21" s="6" t="s">
        <v>34</v>
      </c>
      <c r="J21" s="6"/>
      <c r="K21" s="6">
        <v>240</v>
      </c>
      <c r="L21" s="6">
        <f t="shared" si="3"/>
        <v>-93</v>
      </c>
      <c r="M21" s="6"/>
      <c r="N21" s="6"/>
      <c r="O21" s="6">
        <v>127</v>
      </c>
      <c r="P21" s="6">
        <v>150</v>
      </c>
      <c r="Q21" s="6">
        <f t="shared" si="4"/>
        <v>29.4</v>
      </c>
      <c r="R21" s="8">
        <f>20*Q21-P21-O21-F21</f>
        <v>24</v>
      </c>
      <c r="S21" s="8">
        <f t="shared" si="6"/>
        <v>24</v>
      </c>
      <c r="T21" s="8">
        <f t="shared" si="7"/>
        <v>24</v>
      </c>
      <c r="U21" s="8"/>
      <c r="V21" s="8"/>
      <c r="W21" s="20"/>
      <c r="X21" s="20">
        <f>VLOOKUP(A21,[1]Sheet!$A:$S,19,0)</f>
        <v>0</v>
      </c>
      <c r="Y21" s="6">
        <f t="shared" si="8"/>
        <v>20</v>
      </c>
      <c r="Z21" s="6">
        <f t="shared" si="5"/>
        <v>19.183673469387756</v>
      </c>
      <c r="AA21" s="6">
        <v>36</v>
      </c>
      <c r="AB21" s="6">
        <v>41.8</v>
      </c>
      <c r="AC21" s="6">
        <v>34.799999999999997</v>
      </c>
      <c r="AD21" s="6">
        <v>44</v>
      </c>
      <c r="AE21" s="6">
        <v>26.4</v>
      </c>
      <c r="AF21" s="6">
        <v>17.2</v>
      </c>
      <c r="AG21" s="6">
        <v>28.8</v>
      </c>
      <c r="AH21" s="6">
        <v>17.399999999999999</v>
      </c>
      <c r="AI21" s="6" t="s">
        <v>37</v>
      </c>
      <c r="AJ21" s="6">
        <f t="shared" si="9"/>
        <v>5.28</v>
      </c>
      <c r="AK21" s="6">
        <f t="shared" si="10"/>
        <v>0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x14ac:dyDescent="0.25">
      <c r="A22" s="6" t="s">
        <v>54</v>
      </c>
      <c r="B22" s="6" t="s">
        <v>36</v>
      </c>
      <c r="C22" s="6">
        <v>73.426000000000002</v>
      </c>
      <c r="D22" s="6">
        <v>51.323999999999998</v>
      </c>
      <c r="E22" s="6">
        <v>17.521999999999998</v>
      </c>
      <c r="F22" s="6">
        <v>39.53</v>
      </c>
      <c r="G22" s="7">
        <v>1</v>
      </c>
      <c r="H22" s="6">
        <v>40</v>
      </c>
      <c r="I22" s="6" t="s">
        <v>34</v>
      </c>
      <c r="J22" s="6"/>
      <c r="K22" s="6">
        <v>16.876000000000001</v>
      </c>
      <c r="L22" s="6">
        <f t="shared" si="3"/>
        <v>0.64599999999999724</v>
      </c>
      <c r="M22" s="6"/>
      <c r="N22" s="6"/>
      <c r="O22" s="6">
        <v>0</v>
      </c>
      <c r="P22" s="6"/>
      <c r="Q22" s="6">
        <f t="shared" si="4"/>
        <v>3.5043999999999995</v>
      </c>
      <c r="R22" s="8">
        <f>14*Q22-P22-O22-F22</f>
        <v>9.5315999999999903</v>
      </c>
      <c r="S22" s="8">
        <f t="shared" si="6"/>
        <v>10</v>
      </c>
      <c r="T22" s="8">
        <f t="shared" si="7"/>
        <v>10</v>
      </c>
      <c r="U22" s="8"/>
      <c r="V22" s="8"/>
      <c r="W22" s="20"/>
      <c r="X22" s="20">
        <f>VLOOKUP(A22,[1]Sheet!$A:$S,19,0)</f>
        <v>0</v>
      </c>
      <c r="Y22" s="6">
        <f t="shared" si="8"/>
        <v>14.13366054103413</v>
      </c>
      <c r="Z22" s="6">
        <f t="shared" si="5"/>
        <v>11.280105010843513</v>
      </c>
      <c r="AA22" s="6">
        <v>4.4631999999999996</v>
      </c>
      <c r="AB22" s="6">
        <v>9.3635999999999999</v>
      </c>
      <c r="AC22" s="6">
        <v>8.4480000000000004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6">
        <f t="shared" si="9"/>
        <v>10</v>
      </c>
      <c r="AK22" s="6">
        <f t="shared" si="10"/>
        <v>0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25">
      <c r="A23" s="9" t="s">
        <v>55</v>
      </c>
      <c r="B23" s="9" t="s">
        <v>33</v>
      </c>
      <c r="C23" s="9">
        <v>38</v>
      </c>
      <c r="D23" s="9">
        <v>1</v>
      </c>
      <c r="E23" s="9">
        <v>5</v>
      </c>
      <c r="F23" s="9">
        <v>18</v>
      </c>
      <c r="G23" s="10">
        <v>0</v>
      </c>
      <c r="H23" s="9">
        <v>45</v>
      </c>
      <c r="I23" s="9" t="s">
        <v>56</v>
      </c>
      <c r="J23" s="9"/>
      <c r="K23" s="9">
        <v>8</v>
      </c>
      <c r="L23" s="9">
        <f t="shared" si="3"/>
        <v>-3</v>
      </c>
      <c r="M23" s="9"/>
      <c r="N23" s="9"/>
      <c r="O23" s="9">
        <v>46</v>
      </c>
      <c r="P23" s="9"/>
      <c r="Q23" s="9">
        <f t="shared" si="4"/>
        <v>1</v>
      </c>
      <c r="R23" s="11"/>
      <c r="S23" s="8">
        <f t="shared" si="6"/>
        <v>0</v>
      </c>
      <c r="T23" s="8">
        <f t="shared" si="7"/>
        <v>0</v>
      </c>
      <c r="U23" s="8"/>
      <c r="V23" s="8"/>
      <c r="W23" s="21"/>
      <c r="X23" s="20">
        <f>VLOOKUP(A23,[1]Sheet!$A:$S,19,0)</f>
        <v>0</v>
      </c>
      <c r="Y23" s="6">
        <f t="shared" si="8"/>
        <v>64</v>
      </c>
      <c r="Z23" s="9">
        <f t="shared" si="5"/>
        <v>64</v>
      </c>
      <c r="AA23" s="9">
        <v>5.6</v>
      </c>
      <c r="AB23" s="9">
        <v>0.8</v>
      </c>
      <c r="AC23" s="9">
        <v>3.8</v>
      </c>
      <c r="AD23" s="9">
        <v>2.2000000000000002</v>
      </c>
      <c r="AE23" s="9">
        <v>1.8</v>
      </c>
      <c r="AF23" s="9">
        <v>9</v>
      </c>
      <c r="AG23" s="9">
        <v>2.8</v>
      </c>
      <c r="AH23" s="9">
        <v>4</v>
      </c>
      <c r="AI23" s="13" t="s">
        <v>46</v>
      </c>
      <c r="AJ23" s="6">
        <f t="shared" si="9"/>
        <v>0</v>
      </c>
      <c r="AK23" s="6">
        <f t="shared" si="10"/>
        <v>0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25">
      <c r="A24" s="6" t="s">
        <v>57</v>
      </c>
      <c r="B24" s="6" t="s">
        <v>36</v>
      </c>
      <c r="C24" s="6">
        <v>148.49100000000001</v>
      </c>
      <c r="D24" s="6">
        <v>250.78899999999999</v>
      </c>
      <c r="E24" s="6">
        <v>288.62299999999999</v>
      </c>
      <c r="F24" s="6">
        <v>80.897000000000006</v>
      </c>
      <c r="G24" s="7">
        <v>1</v>
      </c>
      <c r="H24" s="6">
        <v>60</v>
      </c>
      <c r="I24" s="6" t="s">
        <v>34</v>
      </c>
      <c r="J24" s="6"/>
      <c r="K24" s="6">
        <v>309</v>
      </c>
      <c r="L24" s="6">
        <f t="shared" si="3"/>
        <v>-20.37700000000001</v>
      </c>
      <c r="M24" s="6"/>
      <c r="N24" s="6"/>
      <c r="O24" s="6">
        <v>145</v>
      </c>
      <c r="P24" s="6">
        <v>169</v>
      </c>
      <c r="Q24" s="6">
        <f t="shared" si="4"/>
        <v>57.724599999999995</v>
      </c>
      <c r="R24" s="8">
        <f t="shared" ref="R24:R28" si="13">15*Q24-P24-O24-F24</f>
        <v>470.97199999999992</v>
      </c>
      <c r="S24" s="8">
        <f t="shared" si="6"/>
        <v>471</v>
      </c>
      <c r="T24" s="8">
        <f t="shared" si="7"/>
        <v>165</v>
      </c>
      <c r="U24" s="8">
        <f t="shared" ref="U24:U25" si="14">ROUND(S24*$U$1,0)</f>
        <v>306</v>
      </c>
      <c r="V24" s="8"/>
      <c r="W24" s="20"/>
      <c r="X24" s="20">
        <f>VLOOKUP(A24,[1]Sheet!$A:$S,19,0)</f>
        <v>0</v>
      </c>
      <c r="Y24" s="6">
        <f t="shared" si="8"/>
        <v>15.00048506182806</v>
      </c>
      <c r="Z24" s="6">
        <f t="shared" si="5"/>
        <v>6.8410521683996084</v>
      </c>
      <c r="AA24" s="6">
        <v>46.6706</v>
      </c>
      <c r="AB24" s="6">
        <v>41.666800000000002</v>
      </c>
      <c r="AC24" s="6">
        <v>53.355600000000003</v>
      </c>
      <c r="AD24" s="6">
        <v>72.2042</v>
      </c>
      <c r="AE24" s="6">
        <v>33.979999999999997</v>
      </c>
      <c r="AF24" s="6">
        <v>58.654400000000003</v>
      </c>
      <c r="AG24" s="6">
        <v>38.292200000000001</v>
      </c>
      <c r="AH24" s="6">
        <v>37.873399999999997</v>
      </c>
      <c r="AI24" s="6"/>
      <c r="AJ24" s="6">
        <f t="shared" si="9"/>
        <v>165</v>
      </c>
      <c r="AK24" s="6">
        <f t="shared" si="10"/>
        <v>306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25">
      <c r="A25" s="6" t="s">
        <v>58</v>
      </c>
      <c r="B25" s="6" t="s">
        <v>33</v>
      </c>
      <c r="C25" s="6">
        <v>380</v>
      </c>
      <c r="D25" s="6">
        <v>402</v>
      </c>
      <c r="E25" s="6">
        <v>295</v>
      </c>
      <c r="F25" s="6">
        <v>368</v>
      </c>
      <c r="G25" s="7">
        <v>0.09</v>
      </c>
      <c r="H25" s="6">
        <v>60</v>
      </c>
      <c r="I25" s="6" t="s">
        <v>34</v>
      </c>
      <c r="J25" s="6"/>
      <c r="K25" s="6">
        <v>440</v>
      </c>
      <c r="L25" s="6">
        <f t="shared" si="3"/>
        <v>-145</v>
      </c>
      <c r="M25" s="6"/>
      <c r="N25" s="6"/>
      <c r="O25" s="6">
        <v>54</v>
      </c>
      <c r="P25" s="6">
        <v>64</v>
      </c>
      <c r="Q25" s="6">
        <f t="shared" si="4"/>
        <v>59</v>
      </c>
      <c r="R25" s="8">
        <f t="shared" si="13"/>
        <v>399</v>
      </c>
      <c r="S25" s="8">
        <f t="shared" si="6"/>
        <v>399</v>
      </c>
      <c r="T25" s="8">
        <f>ROUND(S25-U25,0)</f>
        <v>140</v>
      </c>
      <c r="U25" s="8">
        <f t="shared" si="14"/>
        <v>259</v>
      </c>
      <c r="V25" s="8"/>
      <c r="W25" s="20"/>
      <c r="X25" s="20">
        <f>VLOOKUP(A25,[1]Sheet!$A:$S,19,0)</f>
        <v>0</v>
      </c>
      <c r="Y25" s="6">
        <f t="shared" si="8"/>
        <v>15</v>
      </c>
      <c r="Z25" s="6">
        <f t="shared" si="5"/>
        <v>8.2372881355932197</v>
      </c>
      <c r="AA25" s="6">
        <v>53.4</v>
      </c>
      <c r="AB25" s="6">
        <v>74.400000000000006</v>
      </c>
      <c r="AC25" s="6">
        <v>83</v>
      </c>
      <c r="AD25" s="6">
        <v>88.8</v>
      </c>
      <c r="AE25" s="6">
        <v>72</v>
      </c>
      <c r="AF25" s="6">
        <v>76.599999999999994</v>
      </c>
      <c r="AG25" s="6">
        <v>96</v>
      </c>
      <c r="AH25" s="6">
        <v>71.8</v>
      </c>
      <c r="AI25" s="6"/>
      <c r="AJ25" s="6">
        <f t="shared" si="9"/>
        <v>12.6</v>
      </c>
      <c r="AK25" s="6">
        <f t="shared" si="10"/>
        <v>23.31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25">
      <c r="A26" s="6" t="s">
        <v>59</v>
      </c>
      <c r="B26" s="6" t="s">
        <v>33</v>
      </c>
      <c r="C26" s="6">
        <v>312</v>
      </c>
      <c r="D26" s="6">
        <v>13</v>
      </c>
      <c r="E26" s="6">
        <v>92</v>
      </c>
      <c r="F26" s="6">
        <v>215</v>
      </c>
      <c r="G26" s="7">
        <v>0.09</v>
      </c>
      <c r="H26" s="6">
        <v>45</v>
      </c>
      <c r="I26" s="6" t="s">
        <v>34</v>
      </c>
      <c r="J26" s="6"/>
      <c r="K26" s="6">
        <v>178</v>
      </c>
      <c r="L26" s="6">
        <f t="shared" si="3"/>
        <v>-86</v>
      </c>
      <c r="M26" s="6"/>
      <c r="N26" s="6"/>
      <c r="O26" s="6">
        <v>0</v>
      </c>
      <c r="P26" s="6"/>
      <c r="Q26" s="6">
        <f t="shared" si="4"/>
        <v>18.399999999999999</v>
      </c>
      <c r="R26" s="8">
        <f>14*Q26-P26-O26-F26</f>
        <v>42.599999999999966</v>
      </c>
      <c r="S26" s="8">
        <f t="shared" si="6"/>
        <v>43</v>
      </c>
      <c r="T26" s="8">
        <f t="shared" si="7"/>
        <v>43</v>
      </c>
      <c r="U26" s="8"/>
      <c r="V26" s="8"/>
      <c r="W26" s="20"/>
      <c r="X26" s="20">
        <f>VLOOKUP(A26,[1]Sheet!$A:$S,19,0)</f>
        <v>0</v>
      </c>
      <c r="Y26" s="6">
        <f t="shared" si="8"/>
        <v>14.021739130434783</v>
      </c>
      <c r="Z26" s="6">
        <f t="shared" si="5"/>
        <v>11.684782608695652</v>
      </c>
      <c r="AA26" s="6">
        <v>16</v>
      </c>
      <c r="AB26" s="6">
        <v>20.399999999999999</v>
      </c>
      <c r="AC26" s="6">
        <v>10</v>
      </c>
      <c r="AD26" s="6">
        <v>40.799999999999997</v>
      </c>
      <c r="AE26" s="6">
        <v>19</v>
      </c>
      <c r="AF26" s="6">
        <v>14.8</v>
      </c>
      <c r="AG26" s="6">
        <v>20.2</v>
      </c>
      <c r="AH26" s="6">
        <v>13.2</v>
      </c>
      <c r="AI26" s="6"/>
      <c r="AJ26" s="6">
        <f t="shared" si="9"/>
        <v>3.8699999999999997</v>
      </c>
      <c r="AK26" s="6">
        <f t="shared" si="10"/>
        <v>0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25">
      <c r="A27" s="6" t="s">
        <v>60</v>
      </c>
      <c r="B27" s="6" t="s">
        <v>33</v>
      </c>
      <c r="C27" s="6">
        <v>280</v>
      </c>
      <c r="D27" s="6">
        <v>30</v>
      </c>
      <c r="E27" s="6">
        <v>9</v>
      </c>
      <c r="F27" s="6">
        <v>268</v>
      </c>
      <c r="G27" s="7">
        <v>0.15</v>
      </c>
      <c r="H27" s="6">
        <v>45</v>
      </c>
      <c r="I27" s="6" t="s">
        <v>34</v>
      </c>
      <c r="J27" s="6"/>
      <c r="K27" s="6">
        <v>123</v>
      </c>
      <c r="L27" s="6">
        <f t="shared" si="3"/>
        <v>-114</v>
      </c>
      <c r="M27" s="6"/>
      <c r="N27" s="6"/>
      <c r="O27" s="6">
        <v>0</v>
      </c>
      <c r="P27" s="6"/>
      <c r="Q27" s="6">
        <f t="shared" si="4"/>
        <v>1.8</v>
      </c>
      <c r="R27" s="8"/>
      <c r="S27" s="8">
        <f t="shared" si="6"/>
        <v>0</v>
      </c>
      <c r="T27" s="8">
        <f t="shared" si="7"/>
        <v>0</v>
      </c>
      <c r="U27" s="8"/>
      <c r="V27" s="8"/>
      <c r="W27" s="20"/>
      <c r="X27" s="20">
        <f>VLOOKUP(A27,[1]Sheet!$A:$S,19,0)</f>
        <v>0</v>
      </c>
      <c r="Y27" s="6">
        <f t="shared" si="8"/>
        <v>148.88888888888889</v>
      </c>
      <c r="Z27" s="6">
        <f t="shared" si="5"/>
        <v>148.88888888888889</v>
      </c>
      <c r="AA27" s="6">
        <v>3.8</v>
      </c>
      <c r="AB27" s="6">
        <v>6</v>
      </c>
      <c r="AC27" s="6">
        <v>13.6</v>
      </c>
      <c r="AD27" s="6">
        <v>29.4</v>
      </c>
      <c r="AE27" s="6">
        <v>16.600000000000001</v>
      </c>
      <c r="AF27" s="6">
        <v>24.6</v>
      </c>
      <c r="AG27" s="6">
        <v>45.6</v>
      </c>
      <c r="AH27" s="6">
        <v>6.2</v>
      </c>
      <c r="AI27" s="13" t="s">
        <v>46</v>
      </c>
      <c r="AJ27" s="6">
        <f t="shared" si="9"/>
        <v>0</v>
      </c>
      <c r="AK27" s="6">
        <f t="shared" si="10"/>
        <v>0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25">
      <c r="A28" s="6" t="s">
        <v>61</v>
      </c>
      <c r="B28" s="6" t="s">
        <v>36</v>
      </c>
      <c r="C28" s="6">
        <v>147.94200000000001</v>
      </c>
      <c r="D28" s="6">
        <v>149.10300000000001</v>
      </c>
      <c r="E28" s="6">
        <v>244.297</v>
      </c>
      <c r="F28" s="14">
        <f>14.395+F105</f>
        <v>144.02500000000001</v>
      </c>
      <c r="G28" s="7">
        <v>1</v>
      </c>
      <c r="H28" s="6">
        <v>45</v>
      </c>
      <c r="I28" s="6" t="s">
        <v>34</v>
      </c>
      <c r="J28" s="6"/>
      <c r="K28" s="6">
        <v>248.1</v>
      </c>
      <c r="L28" s="6">
        <f t="shared" si="3"/>
        <v>-3.8029999999999973</v>
      </c>
      <c r="M28" s="6"/>
      <c r="N28" s="6"/>
      <c r="O28" s="6">
        <v>92</v>
      </c>
      <c r="P28" s="6">
        <v>107</v>
      </c>
      <c r="Q28" s="6">
        <f t="shared" si="4"/>
        <v>48.859400000000001</v>
      </c>
      <c r="R28" s="8">
        <f t="shared" si="13"/>
        <v>389.86599999999999</v>
      </c>
      <c r="S28" s="8">
        <f t="shared" si="6"/>
        <v>390</v>
      </c>
      <c r="T28" s="8">
        <f t="shared" si="7"/>
        <v>136</v>
      </c>
      <c r="U28" s="8">
        <f>ROUND(S28*$U$1,0)</f>
        <v>254</v>
      </c>
      <c r="V28" s="8"/>
      <c r="W28" s="20"/>
      <c r="X28" s="20">
        <f>VLOOKUP(A28,[1]Sheet!$A:$S,19,0)</f>
        <v>0</v>
      </c>
      <c r="Y28" s="6">
        <f t="shared" si="8"/>
        <v>15.002742563355259</v>
      </c>
      <c r="Z28" s="6">
        <f t="shared" si="5"/>
        <v>7.0206551861054365</v>
      </c>
      <c r="AA28" s="6">
        <v>40.973200000000013</v>
      </c>
      <c r="AB28" s="6">
        <v>46.067999999999998</v>
      </c>
      <c r="AC28" s="6">
        <v>42.266199999999998</v>
      </c>
      <c r="AD28" s="6">
        <v>73.7684</v>
      </c>
      <c r="AE28" s="6">
        <v>25.926400000000001</v>
      </c>
      <c r="AF28" s="6">
        <v>46.323399999999999</v>
      </c>
      <c r="AG28" s="6">
        <v>37.568800000000003</v>
      </c>
      <c r="AH28" s="6">
        <v>53.324800000000003</v>
      </c>
      <c r="AI28" s="6"/>
      <c r="AJ28" s="6">
        <f t="shared" si="9"/>
        <v>136</v>
      </c>
      <c r="AK28" s="6">
        <f t="shared" si="10"/>
        <v>254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25">
      <c r="A29" s="9" t="s">
        <v>62</v>
      </c>
      <c r="B29" s="9" t="s">
        <v>33</v>
      </c>
      <c r="C29" s="9"/>
      <c r="D29" s="9">
        <v>4</v>
      </c>
      <c r="E29" s="9"/>
      <c r="F29" s="14">
        <v>4</v>
      </c>
      <c r="G29" s="10">
        <v>0</v>
      </c>
      <c r="H29" s="9"/>
      <c r="I29" s="9" t="s">
        <v>56</v>
      </c>
      <c r="J29" s="9" t="s">
        <v>63</v>
      </c>
      <c r="K29" s="9">
        <v>27</v>
      </c>
      <c r="L29" s="9">
        <f t="shared" si="3"/>
        <v>-27</v>
      </c>
      <c r="M29" s="9"/>
      <c r="N29" s="9"/>
      <c r="O29" s="9">
        <v>0</v>
      </c>
      <c r="P29" s="9"/>
      <c r="Q29" s="9">
        <f t="shared" si="4"/>
        <v>0</v>
      </c>
      <c r="R29" s="11"/>
      <c r="S29" s="8">
        <f t="shared" si="6"/>
        <v>0</v>
      </c>
      <c r="T29" s="8">
        <f t="shared" si="7"/>
        <v>0</v>
      </c>
      <c r="U29" s="8"/>
      <c r="V29" s="8"/>
      <c r="W29" s="21"/>
      <c r="X29" s="20">
        <f>VLOOKUP(A29,[1]Sheet!$A:$S,19,0)</f>
        <v>0</v>
      </c>
      <c r="Y29" s="6" t="e">
        <f t="shared" si="8"/>
        <v>#DIV/0!</v>
      </c>
      <c r="Z29" s="9" t="e">
        <f t="shared" si="5"/>
        <v>#DIV/0!</v>
      </c>
      <c r="AA29" s="9">
        <v>0.2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/>
      <c r="AJ29" s="6">
        <f t="shared" si="9"/>
        <v>0</v>
      </c>
      <c r="AK29" s="6">
        <f t="shared" si="10"/>
        <v>0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25">
      <c r="A30" s="6" t="s">
        <v>64</v>
      </c>
      <c r="B30" s="6" t="s">
        <v>33</v>
      </c>
      <c r="C30" s="6">
        <v>7</v>
      </c>
      <c r="D30" s="6">
        <v>94</v>
      </c>
      <c r="E30" s="6">
        <v>79</v>
      </c>
      <c r="F30" s="6">
        <v>7</v>
      </c>
      <c r="G30" s="7">
        <v>0.4</v>
      </c>
      <c r="H30" s="6">
        <v>60</v>
      </c>
      <c r="I30" s="6" t="s">
        <v>34</v>
      </c>
      <c r="J30" s="6"/>
      <c r="K30" s="6">
        <v>202</v>
      </c>
      <c r="L30" s="6">
        <f t="shared" si="3"/>
        <v>-123</v>
      </c>
      <c r="M30" s="6"/>
      <c r="N30" s="6"/>
      <c r="O30" s="6">
        <v>58</v>
      </c>
      <c r="P30" s="6">
        <v>69</v>
      </c>
      <c r="Q30" s="6">
        <f t="shared" si="4"/>
        <v>15.8</v>
      </c>
      <c r="R30" s="8">
        <f t="shared" ref="R30" si="15">15*Q30-P30-O30-F30</f>
        <v>103</v>
      </c>
      <c r="S30" s="8">
        <f t="shared" si="6"/>
        <v>103</v>
      </c>
      <c r="T30" s="8">
        <f t="shared" si="7"/>
        <v>36</v>
      </c>
      <c r="U30" s="8">
        <f>ROUND(S30*$U$1,0)</f>
        <v>67</v>
      </c>
      <c r="V30" s="8"/>
      <c r="W30" s="20"/>
      <c r="X30" s="20">
        <f>VLOOKUP(A30,[1]Sheet!$A:$S,19,0)</f>
        <v>0</v>
      </c>
      <c r="Y30" s="6">
        <f t="shared" si="8"/>
        <v>15</v>
      </c>
      <c r="Z30" s="6">
        <f t="shared" si="5"/>
        <v>8.4810126582278471</v>
      </c>
      <c r="AA30" s="6">
        <v>14.4</v>
      </c>
      <c r="AB30" s="6">
        <v>10.8</v>
      </c>
      <c r="AC30" s="6">
        <v>7</v>
      </c>
      <c r="AD30" s="6">
        <v>9.1999999999999993</v>
      </c>
      <c r="AE30" s="6">
        <v>5.2</v>
      </c>
      <c r="AF30" s="6">
        <v>-0.2</v>
      </c>
      <c r="AG30" s="6">
        <v>6</v>
      </c>
      <c r="AH30" s="6">
        <v>-0.2</v>
      </c>
      <c r="AI30" s="6"/>
      <c r="AJ30" s="6">
        <f t="shared" si="9"/>
        <v>14.4</v>
      </c>
      <c r="AK30" s="6">
        <f t="shared" si="10"/>
        <v>26.8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25">
      <c r="A31" s="6" t="s">
        <v>65</v>
      </c>
      <c r="B31" s="6" t="s">
        <v>33</v>
      </c>
      <c r="C31" s="6">
        <v>839</v>
      </c>
      <c r="D31" s="6">
        <v>202</v>
      </c>
      <c r="E31" s="6">
        <v>346</v>
      </c>
      <c r="F31" s="6">
        <v>476</v>
      </c>
      <c r="G31" s="7">
        <v>0.4</v>
      </c>
      <c r="H31" s="6">
        <v>60</v>
      </c>
      <c r="I31" s="15" t="s">
        <v>177</v>
      </c>
      <c r="J31" s="6"/>
      <c r="K31" s="6">
        <v>607</v>
      </c>
      <c r="L31" s="6">
        <f t="shared" si="3"/>
        <v>-261</v>
      </c>
      <c r="M31" s="6"/>
      <c r="N31" s="6"/>
      <c r="O31" s="6">
        <v>485</v>
      </c>
      <c r="P31" s="6">
        <v>570</v>
      </c>
      <c r="Q31" s="6">
        <f t="shared" si="4"/>
        <v>69.2</v>
      </c>
      <c r="R31" s="8">
        <v>1200</v>
      </c>
      <c r="S31" s="8">
        <f t="shared" si="6"/>
        <v>1200</v>
      </c>
      <c r="T31" s="8">
        <f t="shared" si="7"/>
        <v>1200</v>
      </c>
      <c r="U31" s="8"/>
      <c r="V31" s="8"/>
      <c r="W31" s="20" t="s">
        <v>173</v>
      </c>
      <c r="X31" s="20">
        <f>VLOOKUP(A31,[1]Sheet!$A:$S,19,0)</f>
        <v>1200</v>
      </c>
      <c r="Y31" s="6">
        <f t="shared" si="8"/>
        <v>39.46531791907514</v>
      </c>
      <c r="Z31" s="6">
        <f t="shared" si="5"/>
        <v>22.124277456647398</v>
      </c>
      <c r="AA31" s="6">
        <v>126.4</v>
      </c>
      <c r="AB31" s="6">
        <v>97</v>
      </c>
      <c r="AC31" s="6">
        <v>134.6</v>
      </c>
      <c r="AD31" s="6">
        <v>131.6</v>
      </c>
      <c r="AE31" s="6">
        <v>108.6</v>
      </c>
      <c r="AF31" s="6">
        <v>119.2</v>
      </c>
      <c r="AG31" s="6">
        <v>106</v>
      </c>
      <c r="AH31" s="6">
        <v>145</v>
      </c>
      <c r="AI31" s="17" t="s">
        <v>174</v>
      </c>
      <c r="AJ31" s="6">
        <f t="shared" si="9"/>
        <v>480</v>
      </c>
      <c r="AK31" s="6">
        <f t="shared" si="10"/>
        <v>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25">
      <c r="A32" s="9" t="s">
        <v>66</v>
      </c>
      <c r="B32" s="9" t="s">
        <v>33</v>
      </c>
      <c r="C32" s="9"/>
      <c r="D32" s="9"/>
      <c r="E32" s="14">
        <v>6</v>
      </c>
      <c r="F32" s="14">
        <v>-6</v>
      </c>
      <c r="G32" s="10">
        <v>0</v>
      </c>
      <c r="H32" s="9">
        <v>60</v>
      </c>
      <c r="I32" s="9" t="s">
        <v>56</v>
      </c>
      <c r="J32" s="9" t="s">
        <v>67</v>
      </c>
      <c r="K32" s="9">
        <v>58</v>
      </c>
      <c r="L32" s="9">
        <f t="shared" si="3"/>
        <v>-52</v>
      </c>
      <c r="M32" s="9"/>
      <c r="N32" s="9"/>
      <c r="O32" s="9">
        <v>0</v>
      </c>
      <c r="P32" s="9"/>
      <c r="Q32" s="9">
        <f t="shared" si="4"/>
        <v>1.2</v>
      </c>
      <c r="R32" s="11"/>
      <c r="S32" s="8">
        <f t="shared" si="6"/>
        <v>0</v>
      </c>
      <c r="T32" s="8">
        <f t="shared" si="7"/>
        <v>0</v>
      </c>
      <c r="U32" s="8"/>
      <c r="V32" s="8"/>
      <c r="W32" s="21"/>
      <c r="X32" s="20">
        <f>VLOOKUP(A32,[1]Sheet!$A:$S,19,0)</f>
        <v>0</v>
      </c>
      <c r="Y32" s="6">
        <f t="shared" si="8"/>
        <v>-5</v>
      </c>
      <c r="Z32" s="9">
        <f t="shared" si="5"/>
        <v>-5</v>
      </c>
      <c r="AA32" s="9">
        <v>1</v>
      </c>
      <c r="AB32" s="9">
        <v>0</v>
      </c>
      <c r="AC32" s="9">
        <v>57.4</v>
      </c>
      <c r="AD32" s="9">
        <v>111</v>
      </c>
      <c r="AE32" s="9">
        <v>112.6</v>
      </c>
      <c r="AF32" s="9">
        <v>84</v>
      </c>
      <c r="AG32" s="9">
        <v>105.4</v>
      </c>
      <c r="AH32" s="9">
        <v>131.80000000000001</v>
      </c>
      <c r="AI32" s="9" t="s">
        <v>68</v>
      </c>
      <c r="AJ32" s="6">
        <f t="shared" si="9"/>
        <v>0</v>
      </c>
      <c r="AK32" s="6">
        <f t="shared" si="10"/>
        <v>0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25">
      <c r="A33" s="6" t="s">
        <v>69</v>
      </c>
      <c r="B33" s="6" t="s">
        <v>33</v>
      </c>
      <c r="C33" s="6">
        <v>471</v>
      </c>
      <c r="D33" s="6">
        <v>1319</v>
      </c>
      <c r="E33" s="6">
        <v>459</v>
      </c>
      <c r="F33" s="6">
        <v>1068</v>
      </c>
      <c r="G33" s="7">
        <v>0.4</v>
      </c>
      <c r="H33" s="6">
        <v>60</v>
      </c>
      <c r="I33" s="6" t="s">
        <v>34</v>
      </c>
      <c r="J33" s="6"/>
      <c r="K33" s="6">
        <v>779</v>
      </c>
      <c r="L33" s="6">
        <f t="shared" si="3"/>
        <v>-320</v>
      </c>
      <c r="M33" s="6"/>
      <c r="N33" s="6"/>
      <c r="O33" s="6">
        <v>305</v>
      </c>
      <c r="P33" s="6">
        <v>357</v>
      </c>
      <c r="Q33" s="6">
        <f t="shared" si="4"/>
        <v>91.8</v>
      </c>
      <c r="R33" s="8"/>
      <c r="S33" s="8">
        <f t="shared" si="6"/>
        <v>0</v>
      </c>
      <c r="T33" s="8">
        <f t="shared" si="7"/>
        <v>0</v>
      </c>
      <c r="U33" s="8"/>
      <c r="V33" s="8"/>
      <c r="W33" s="20"/>
      <c r="X33" s="20">
        <f>VLOOKUP(A33,[1]Sheet!$A:$S,19,0)</f>
        <v>0</v>
      </c>
      <c r="Y33" s="6">
        <f t="shared" si="8"/>
        <v>18.845315904139433</v>
      </c>
      <c r="Z33" s="6">
        <f t="shared" si="5"/>
        <v>18.845315904139433</v>
      </c>
      <c r="AA33" s="6">
        <v>147.6</v>
      </c>
      <c r="AB33" s="6">
        <v>152.4</v>
      </c>
      <c r="AC33" s="6">
        <v>133.94</v>
      </c>
      <c r="AD33" s="6">
        <v>162.6</v>
      </c>
      <c r="AE33" s="6">
        <v>195.6</v>
      </c>
      <c r="AF33" s="6">
        <v>155.80000000000001</v>
      </c>
      <c r="AG33" s="6">
        <v>136.4</v>
      </c>
      <c r="AH33" s="6">
        <v>189.4</v>
      </c>
      <c r="AI33" s="6"/>
      <c r="AJ33" s="6">
        <f t="shared" si="9"/>
        <v>0</v>
      </c>
      <c r="AK33" s="6">
        <f t="shared" si="10"/>
        <v>0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25">
      <c r="A34" s="9" t="s">
        <v>70</v>
      </c>
      <c r="B34" s="9" t="s">
        <v>33</v>
      </c>
      <c r="C34" s="9">
        <v>116</v>
      </c>
      <c r="D34" s="9">
        <v>8</v>
      </c>
      <c r="E34" s="14">
        <v>128</v>
      </c>
      <c r="F34" s="14">
        <v>-17</v>
      </c>
      <c r="G34" s="10">
        <v>0</v>
      </c>
      <c r="H34" s="9">
        <v>60</v>
      </c>
      <c r="I34" s="9" t="s">
        <v>56</v>
      </c>
      <c r="J34" s="9" t="s">
        <v>71</v>
      </c>
      <c r="K34" s="9">
        <v>385</v>
      </c>
      <c r="L34" s="9">
        <f t="shared" si="3"/>
        <v>-257</v>
      </c>
      <c r="M34" s="9"/>
      <c r="N34" s="9"/>
      <c r="O34" s="9">
        <v>0</v>
      </c>
      <c r="P34" s="9"/>
      <c r="Q34" s="9">
        <f t="shared" si="4"/>
        <v>25.6</v>
      </c>
      <c r="R34" s="11"/>
      <c r="S34" s="8">
        <f t="shared" si="6"/>
        <v>0</v>
      </c>
      <c r="T34" s="8">
        <f t="shared" si="7"/>
        <v>0</v>
      </c>
      <c r="U34" s="8"/>
      <c r="V34" s="8"/>
      <c r="W34" s="21"/>
      <c r="X34" s="20">
        <f>VLOOKUP(A34,[1]Sheet!$A:$S,19,0)</f>
        <v>0</v>
      </c>
      <c r="Y34" s="6">
        <f t="shared" si="8"/>
        <v>-0.6640625</v>
      </c>
      <c r="Z34" s="9">
        <f t="shared" si="5"/>
        <v>-0.6640625</v>
      </c>
      <c r="AA34" s="9">
        <v>54.8</v>
      </c>
      <c r="AB34" s="9">
        <v>70.599999999999994</v>
      </c>
      <c r="AC34" s="9">
        <v>60</v>
      </c>
      <c r="AD34" s="9">
        <v>72.400000000000006</v>
      </c>
      <c r="AE34" s="9">
        <v>65.2</v>
      </c>
      <c r="AF34" s="9">
        <v>59</v>
      </c>
      <c r="AG34" s="9">
        <v>96.6</v>
      </c>
      <c r="AH34" s="9">
        <v>47.6</v>
      </c>
      <c r="AI34" s="9" t="s">
        <v>72</v>
      </c>
      <c r="AJ34" s="6">
        <f t="shared" si="9"/>
        <v>0</v>
      </c>
      <c r="AK34" s="6">
        <f t="shared" si="10"/>
        <v>0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25">
      <c r="A35" s="9" t="s">
        <v>73</v>
      </c>
      <c r="B35" s="9" t="s">
        <v>33</v>
      </c>
      <c r="C35" s="9">
        <v>234</v>
      </c>
      <c r="D35" s="9">
        <v>15</v>
      </c>
      <c r="E35" s="14">
        <v>194</v>
      </c>
      <c r="F35" s="14">
        <v>15</v>
      </c>
      <c r="G35" s="10">
        <v>0</v>
      </c>
      <c r="H35" s="9">
        <v>60</v>
      </c>
      <c r="I35" s="9" t="s">
        <v>56</v>
      </c>
      <c r="J35" s="9" t="s">
        <v>74</v>
      </c>
      <c r="K35" s="9">
        <v>252</v>
      </c>
      <c r="L35" s="9">
        <f t="shared" si="3"/>
        <v>-58</v>
      </c>
      <c r="M35" s="9"/>
      <c r="N35" s="9"/>
      <c r="O35" s="9"/>
      <c r="P35" s="9"/>
      <c r="Q35" s="9">
        <f t="shared" si="4"/>
        <v>38.799999999999997</v>
      </c>
      <c r="R35" s="11"/>
      <c r="S35" s="8">
        <f t="shared" si="6"/>
        <v>0</v>
      </c>
      <c r="T35" s="8">
        <f t="shared" si="7"/>
        <v>0</v>
      </c>
      <c r="U35" s="8"/>
      <c r="V35" s="8"/>
      <c r="W35" s="21"/>
      <c r="X35" s="20">
        <f>VLOOKUP(A35,[1]Sheet!$A:$S,19,0)</f>
        <v>0</v>
      </c>
      <c r="Y35" s="6">
        <f t="shared" si="8"/>
        <v>0.38659793814432991</v>
      </c>
      <c r="Z35" s="9">
        <f t="shared" si="5"/>
        <v>0.38659793814432991</v>
      </c>
      <c r="AA35" s="9">
        <v>31.8</v>
      </c>
      <c r="AB35" s="9">
        <v>36.4</v>
      </c>
      <c r="AC35" s="9">
        <v>41.2</v>
      </c>
      <c r="AD35" s="9">
        <v>44</v>
      </c>
      <c r="AE35" s="9">
        <v>32.799999999999997</v>
      </c>
      <c r="AF35" s="9">
        <v>42.6</v>
      </c>
      <c r="AG35" s="9">
        <v>28</v>
      </c>
      <c r="AH35" s="9">
        <v>48.2</v>
      </c>
      <c r="AI35" s="9" t="s">
        <v>75</v>
      </c>
      <c r="AJ35" s="6">
        <f t="shared" si="9"/>
        <v>0</v>
      </c>
      <c r="AK35" s="6">
        <f t="shared" si="10"/>
        <v>0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25">
      <c r="A36" s="9" t="s">
        <v>76</v>
      </c>
      <c r="B36" s="9" t="s">
        <v>33</v>
      </c>
      <c r="C36" s="9">
        <v>107</v>
      </c>
      <c r="D36" s="9"/>
      <c r="E36" s="14">
        <v>52</v>
      </c>
      <c r="F36" s="14">
        <v>52</v>
      </c>
      <c r="G36" s="10">
        <v>0</v>
      </c>
      <c r="H36" s="9">
        <v>45</v>
      </c>
      <c r="I36" s="9" t="s">
        <v>56</v>
      </c>
      <c r="J36" s="9" t="s">
        <v>77</v>
      </c>
      <c r="K36" s="9">
        <v>92</v>
      </c>
      <c r="L36" s="9">
        <f t="shared" si="3"/>
        <v>-40</v>
      </c>
      <c r="M36" s="9"/>
      <c r="N36" s="9"/>
      <c r="O36" s="9">
        <v>0</v>
      </c>
      <c r="P36" s="9"/>
      <c r="Q36" s="9">
        <f t="shared" si="4"/>
        <v>10.4</v>
      </c>
      <c r="R36" s="11"/>
      <c r="S36" s="8">
        <f t="shared" si="6"/>
        <v>0</v>
      </c>
      <c r="T36" s="8">
        <f t="shared" si="7"/>
        <v>0</v>
      </c>
      <c r="U36" s="8"/>
      <c r="V36" s="8"/>
      <c r="W36" s="21"/>
      <c r="X36" s="20">
        <f>VLOOKUP(A36,[1]Sheet!$A:$S,19,0)</f>
        <v>0</v>
      </c>
      <c r="Y36" s="6">
        <f t="shared" si="8"/>
        <v>5</v>
      </c>
      <c r="Z36" s="9">
        <f t="shared" si="5"/>
        <v>5</v>
      </c>
      <c r="AA36" s="9">
        <v>4.2</v>
      </c>
      <c r="AB36" s="9">
        <v>14.4</v>
      </c>
      <c r="AC36" s="9">
        <v>21.2</v>
      </c>
      <c r="AD36" s="9">
        <v>25.2</v>
      </c>
      <c r="AE36" s="9">
        <v>13.4</v>
      </c>
      <c r="AF36" s="9">
        <v>5</v>
      </c>
      <c r="AG36" s="9">
        <v>20.6</v>
      </c>
      <c r="AH36" s="9">
        <v>13.2</v>
      </c>
      <c r="AI36" s="9" t="s">
        <v>78</v>
      </c>
      <c r="AJ36" s="6">
        <f t="shared" si="9"/>
        <v>0</v>
      </c>
      <c r="AK36" s="6">
        <f t="shared" si="10"/>
        <v>0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25">
      <c r="A37" s="9" t="s">
        <v>79</v>
      </c>
      <c r="B37" s="9" t="s">
        <v>36</v>
      </c>
      <c r="C37" s="9"/>
      <c r="D37" s="9">
        <v>29.425000000000001</v>
      </c>
      <c r="E37" s="9">
        <v>13.51</v>
      </c>
      <c r="F37" s="9">
        <v>15.914999999999999</v>
      </c>
      <c r="G37" s="10">
        <v>0</v>
      </c>
      <c r="H37" s="9">
        <v>45</v>
      </c>
      <c r="I37" s="9" t="s">
        <v>56</v>
      </c>
      <c r="J37" s="9"/>
      <c r="K37" s="9">
        <v>19.5</v>
      </c>
      <c r="L37" s="9">
        <f t="shared" si="3"/>
        <v>-5.99</v>
      </c>
      <c r="M37" s="9"/>
      <c r="N37" s="9"/>
      <c r="O37" s="9">
        <v>24</v>
      </c>
      <c r="P37" s="9"/>
      <c r="Q37" s="9">
        <f t="shared" si="4"/>
        <v>2.702</v>
      </c>
      <c r="R37" s="11"/>
      <c r="S37" s="8">
        <f t="shared" si="6"/>
        <v>0</v>
      </c>
      <c r="T37" s="8">
        <f t="shared" si="7"/>
        <v>0</v>
      </c>
      <c r="U37" s="8"/>
      <c r="V37" s="8"/>
      <c r="W37" s="21"/>
      <c r="X37" s="20">
        <f>VLOOKUP(A37,[1]Sheet!$A:$S,19,0)</f>
        <v>0</v>
      </c>
      <c r="Y37" s="6">
        <f t="shared" si="8"/>
        <v>14.772390821613619</v>
      </c>
      <c r="Z37" s="9">
        <f t="shared" si="5"/>
        <v>14.772390821613619</v>
      </c>
      <c r="AA37" s="9">
        <v>1.6173999999999999</v>
      </c>
      <c r="AB37" s="9">
        <v>4.3179999999999996</v>
      </c>
      <c r="AC37" s="9">
        <v>2.4239999999999999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 t="s">
        <v>80</v>
      </c>
      <c r="AJ37" s="6">
        <f t="shared" si="9"/>
        <v>0</v>
      </c>
      <c r="AK37" s="6">
        <f t="shared" si="10"/>
        <v>0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25">
      <c r="A38" s="6" t="s">
        <v>81</v>
      </c>
      <c r="B38" s="6" t="s">
        <v>33</v>
      </c>
      <c r="C38" s="6">
        <v>29</v>
      </c>
      <c r="D38" s="6">
        <v>6</v>
      </c>
      <c r="E38" s="6">
        <v>27</v>
      </c>
      <c r="F38" s="6"/>
      <c r="G38" s="7">
        <v>0.4</v>
      </c>
      <c r="H38" s="6">
        <v>45</v>
      </c>
      <c r="I38" s="6" t="s">
        <v>34</v>
      </c>
      <c r="J38" s="6"/>
      <c r="K38" s="6">
        <v>77</v>
      </c>
      <c r="L38" s="6">
        <f t="shared" ref="L38:L69" si="16">E38-K38</f>
        <v>-50</v>
      </c>
      <c r="M38" s="6"/>
      <c r="N38" s="6"/>
      <c r="O38" s="6">
        <v>58</v>
      </c>
      <c r="P38" s="6">
        <v>69</v>
      </c>
      <c r="Q38" s="6">
        <f t="shared" ref="Q38:Q69" si="17">E38/5</f>
        <v>5.4</v>
      </c>
      <c r="R38" s="8"/>
      <c r="S38" s="8">
        <f t="shared" si="6"/>
        <v>0</v>
      </c>
      <c r="T38" s="8">
        <f t="shared" si="7"/>
        <v>0</v>
      </c>
      <c r="U38" s="8"/>
      <c r="V38" s="8"/>
      <c r="W38" s="20"/>
      <c r="X38" s="20">
        <f>VLOOKUP(A38,[1]Sheet!$A:$S,19,0)</f>
        <v>0</v>
      </c>
      <c r="Y38" s="6">
        <f t="shared" si="8"/>
        <v>23.518518518518515</v>
      </c>
      <c r="Z38" s="6">
        <f t="shared" ref="Z38:Z69" si="18">(F38+O38+P38)/Q38</f>
        <v>23.518518518518515</v>
      </c>
      <c r="AA38" s="6">
        <v>13</v>
      </c>
      <c r="AB38" s="6">
        <v>1.2</v>
      </c>
      <c r="AC38" s="6">
        <v>10.6</v>
      </c>
      <c r="AD38" s="6">
        <v>3</v>
      </c>
      <c r="AE38" s="6">
        <v>7.4</v>
      </c>
      <c r="AF38" s="6">
        <v>1.6</v>
      </c>
      <c r="AG38" s="6">
        <v>0</v>
      </c>
      <c r="AH38" s="6">
        <v>1.2</v>
      </c>
      <c r="AI38" s="6"/>
      <c r="AJ38" s="6">
        <f t="shared" si="9"/>
        <v>0</v>
      </c>
      <c r="AK38" s="6">
        <f t="shared" si="10"/>
        <v>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25">
      <c r="A39" s="6" t="s">
        <v>82</v>
      </c>
      <c r="B39" s="6" t="s">
        <v>33</v>
      </c>
      <c r="C39" s="6">
        <v>175</v>
      </c>
      <c r="D39" s="6">
        <v>19</v>
      </c>
      <c r="E39" s="6">
        <v>115</v>
      </c>
      <c r="F39" s="6">
        <v>46</v>
      </c>
      <c r="G39" s="7">
        <v>0.3</v>
      </c>
      <c r="H39" s="6">
        <v>45</v>
      </c>
      <c r="I39" s="6" t="s">
        <v>34</v>
      </c>
      <c r="J39" s="6"/>
      <c r="K39" s="6">
        <v>190</v>
      </c>
      <c r="L39" s="6">
        <f t="shared" si="16"/>
        <v>-75</v>
      </c>
      <c r="M39" s="6"/>
      <c r="N39" s="6"/>
      <c r="O39" s="6">
        <v>124</v>
      </c>
      <c r="P39" s="6">
        <v>145</v>
      </c>
      <c r="Q39" s="6">
        <f t="shared" si="17"/>
        <v>23</v>
      </c>
      <c r="R39" s="8">
        <f t="shared" ref="R39:R49" si="19">15*Q39-P39-O39-F39</f>
        <v>30</v>
      </c>
      <c r="S39" s="8">
        <f t="shared" si="6"/>
        <v>30</v>
      </c>
      <c r="T39" s="8">
        <f t="shared" si="7"/>
        <v>30</v>
      </c>
      <c r="U39" s="8"/>
      <c r="V39" s="8"/>
      <c r="W39" s="20"/>
      <c r="X39" s="20">
        <f>VLOOKUP(A39,[1]Sheet!$A:$S,19,0)</f>
        <v>0</v>
      </c>
      <c r="Y39" s="6">
        <f t="shared" si="8"/>
        <v>15</v>
      </c>
      <c r="Z39" s="6">
        <f t="shared" si="18"/>
        <v>13.695652173913043</v>
      </c>
      <c r="AA39" s="6">
        <v>29.6</v>
      </c>
      <c r="AB39" s="6">
        <v>17.600000000000001</v>
      </c>
      <c r="AC39" s="6">
        <v>29.2</v>
      </c>
      <c r="AD39" s="6">
        <v>42</v>
      </c>
      <c r="AE39" s="6">
        <v>0</v>
      </c>
      <c r="AF39" s="6">
        <v>0</v>
      </c>
      <c r="AG39" s="6">
        <v>0</v>
      </c>
      <c r="AH39" s="6">
        <v>18.399999999999999</v>
      </c>
      <c r="AI39" s="6"/>
      <c r="AJ39" s="6">
        <f t="shared" si="9"/>
        <v>9</v>
      </c>
      <c r="AK39" s="6">
        <f t="shared" si="10"/>
        <v>0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x14ac:dyDescent="0.25">
      <c r="A40" s="6" t="s">
        <v>83</v>
      </c>
      <c r="B40" s="6" t="s">
        <v>36</v>
      </c>
      <c r="C40" s="6">
        <v>82.918000000000006</v>
      </c>
      <c r="D40" s="6">
        <v>211.97499999999999</v>
      </c>
      <c r="E40" s="6">
        <v>115.227</v>
      </c>
      <c r="F40" s="6">
        <v>169.179</v>
      </c>
      <c r="G40" s="7">
        <v>1</v>
      </c>
      <c r="H40" s="6">
        <v>60</v>
      </c>
      <c r="I40" s="6" t="s">
        <v>34</v>
      </c>
      <c r="J40" s="6"/>
      <c r="K40" s="6">
        <v>121.6</v>
      </c>
      <c r="L40" s="6">
        <f t="shared" si="16"/>
        <v>-6.3729999999999905</v>
      </c>
      <c r="M40" s="6"/>
      <c r="N40" s="6"/>
      <c r="O40" s="6">
        <v>0</v>
      </c>
      <c r="P40" s="6"/>
      <c r="Q40" s="6">
        <f t="shared" si="17"/>
        <v>23.045400000000001</v>
      </c>
      <c r="R40" s="8">
        <f t="shared" si="19"/>
        <v>176.50200000000004</v>
      </c>
      <c r="S40" s="8">
        <v>250</v>
      </c>
      <c r="T40" s="8">
        <f t="shared" si="7"/>
        <v>250</v>
      </c>
      <c r="U40" s="8"/>
      <c r="V40" s="8"/>
      <c r="W40" s="20"/>
      <c r="X40" s="20">
        <f>VLOOKUP(A40,[1]Sheet!$A:$S,19,0)</f>
        <v>300</v>
      </c>
      <c r="Y40" s="6">
        <f t="shared" si="8"/>
        <v>18.189269875983925</v>
      </c>
      <c r="Z40" s="6">
        <f t="shared" si="18"/>
        <v>7.3411179671431173</v>
      </c>
      <c r="AA40" s="6">
        <v>18.9406</v>
      </c>
      <c r="AB40" s="6">
        <v>26.659800000000001</v>
      </c>
      <c r="AC40" s="6">
        <v>21.777200000000001</v>
      </c>
      <c r="AD40" s="6">
        <v>22.845600000000001</v>
      </c>
      <c r="AE40" s="6">
        <v>21.195799999999998</v>
      </c>
      <c r="AF40" s="6">
        <v>26.767199999999999</v>
      </c>
      <c r="AG40" s="6">
        <v>22.452999999999999</v>
      </c>
      <c r="AH40" s="6">
        <v>14.877000000000001</v>
      </c>
      <c r="AI40" s="6"/>
      <c r="AJ40" s="6">
        <f t="shared" si="9"/>
        <v>250</v>
      </c>
      <c r="AK40" s="6">
        <f t="shared" si="10"/>
        <v>0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x14ac:dyDescent="0.25">
      <c r="A41" s="6" t="s">
        <v>84</v>
      </c>
      <c r="B41" s="6" t="s">
        <v>36</v>
      </c>
      <c r="C41" s="6">
        <v>41.015999999999998</v>
      </c>
      <c r="D41" s="6">
        <v>59.798000000000002</v>
      </c>
      <c r="E41" s="6">
        <v>55.154000000000003</v>
      </c>
      <c r="F41" s="6">
        <v>24.954000000000001</v>
      </c>
      <c r="G41" s="7">
        <v>1</v>
      </c>
      <c r="H41" s="6">
        <v>45</v>
      </c>
      <c r="I41" s="6" t="s">
        <v>34</v>
      </c>
      <c r="J41" s="6"/>
      <c r="K41" s="6">
        <v>69.343999999999994</v>
      </c>
      <c r="L41" s="6">
        <f t="shared" si="16"/>
        <v>-14.189999999999991</v>
      </c>
      <c r="M41" s="6"/>
      <c r="N41" s="6"/>
      <c r="O41" s="6">
        <v>61</v>
      </c>
      <c r="P41" s="6">
        <v>71</v>
      </c>
      <c r="Q41" s="6">
        <f t="shared" si="17"/>
        <v>11.030800000000001</v>
      </c>
      <c r="R41" s="8">
        <f t="shared" si="19"/>
        <v>8.5080000000000169</v>
      </c>
      <c r="S41" s="8">
        <f t="shared" si="6"/>
        <v>9</v>
      </c>
      <c r="T41" s="8">
        <f t="shared" si="7"/>
        <v>9</v>
      </c>
      <c r="U41" s="8"/>
      <c r="V41" s="8"/>
      <c r="W41" s="20"/>
      <c r="X41" s="20">
        <f>VLOOKUP(A41,[1]Sheet!$A:$S,19,0)</f>
        <v>0</v>
      </c>
      <c r="Y41" s="6">
        <f t="shared" si="8"/>
        <v>15.044602386046343</v>
      </c>
      <c r="Z41" s="6">
        <f t="shared" si="18"/>
        <v>14.228705080320557</v>
      </c>
      <c r="AA41" s="6">
        <v>15.082599999999999</v>
      </c>
      <c r="AB41" s="6">
        <v>11.778600000000001</v>
      </c>
      <c r="AC41" s="6">
        <v>11.2448</v>
      </c>
      <c r="AD41" s="6">
        <v>14.4396</v>
      </c>
      <c r="AE41" s="6">
        <v>14.8492</v>
      </c>
      <c r="AF41" s="6">
        <v>17.9648</v>
      </c>
      <c r="AG41" s="6">
        <v>14.7774</v>
      </c>
      <c r="AH41" s="6">
        <v>12.758800000000001</v>
      </c>
      <c r="AI41" s="6"/>
      <c r="AJ41" s="6">
        <f t="shared" si="9"/>
        <v>9</v>
      </c>
      <c r="AK41" s="6">
        <f t="shared" si="10"/>
        <v>0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x14ac:dyDescent="0.25">
      <c r="A42" s="6" t="s">
        <v>85</v>
      </c>
      <c r="B42" s="6" t="s">
        <v>36</v>
      </c>
      <c r="C42" s="6">
        <v>110.749</v>
      </c>
      <c r="D42" s="6">
        <v>145.73500000000001</v>
      </c>
      <c r="E42" s="6">
        <v>102.836</v>
      </c>
      <c r="F42" s="6">
        <v>110.053</v>
      </c>
      <c r="G42" s="7">
        <v>1</v>
      </c>
      <c r="H42" s="6">
        <v>45</v>
      </c>
      <c r="I42" s="6" t="s">
        <v>34</v>
      </c>
      <c r="J42" s="6"/>
      <c r="K42" s="6">
        <v>147.5</v>
      </c>
      <c r="L42" s="6">
        <f t="shared" si="16"/>
        <v>-44.664000000000001</v>
      </c>
      <c r="M42" s="6"/>
      <c r="N42" s="6"/>
      <c r="O42" s="6">
        <v>24</v>
      </c>
      <c r="P42" s="6"/>
      <c r="Q42" s="6">
        <f t="shared" si="17"/>
        <v>20.5672</v>
      </c>
      <c r="R42" s="8">
        <f t="shared" si="19"/>
        <v>174.45499999999998</v>
      </c>
      <c r="S42" s="8">
        <f t="shared" si="6"/>
        <v>174</v>
      </c>
      <c r="T42" s="8">
        <f t="shared" si="7"/>
        <v>61</v>
      </c>
      <c r="U42" s="8">
        <f>ROUND(S42*$U$1,0)</f>
        <v>113</v>
      </c>
      <c r="V42" s="8"/>
      <c r="W42" s="20"/>
      <c r="X42" s="20">
        <f>VLOOKUP(A42,[1]Sheet!$A:$S,19,0)</f>
        <v>0</v>
      </c>
      <c r="Y42" s="6">
        <f t="shared" si="8"/>
        <v>14.977877397020499</v>
      </c>
      <c r="Z42" s="6">
        <f t="shared" si="18"/>
        <v>6.5178050488155899</v>
      </c>
      <c r="AA42" s="6">
        <v>17.590800000000002</v>
      </c>
      <c r="AB42" s="6">
        <v>22.394200000000001</v>
      </c>
      <c r="AC42" s="6">
        <v>22.173999999999999</v>
      </c>
      <c r="AD42" s="6">
        <v>24.6816</v>
      </c>
      <c r="AE42" s="6">
        <v>17.996200000000002</v>
      </c>
      <c r="AF42" s="6">
        <v>17.272200000000002</v>
      </c>
      <c r="AG42" s="6">
        <v>10.6646</v>
      </c>
      <c r="AH42" s="6">
        <v>20.632000000000001</v>
      </c>
      <c r="AI42" s="6"/>
      <c r="AJ42" s="6">
        <f t="shared" si="9"/>
        <v>61</v>
      </c>
      <c r="AK42" s="6">
        <f t="shared" si="10"/>
        <v>113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25">
      <c r="A43" s="6" t="s">
        <v>86</v>
      </c>
      <c r="B43" s="6" t="s">
        <v>36</v>
      </c>
      <c r="C43" s="6">
        <v>271.55</v>
      </c>
      <c r="D43" s="6">
        <v>26.004000000000001</v>
      </c>
      <c r="E43" s="6">
        <v>122.53</v>
      </c>
      <c r="F43" s="6">
        <v>129.82</v>
      </c>
      <c r="G43" s="7">
        <v>1</v>
      </c>
      <c r="H43" s="6">
        <v>45</v>
      </c>
      <c r="I43" s="6" t="s">
        <v>34</v>
      </c>
      <c r="J43" s="6"/>
      <c r="K43" s="6">
        <v>164.4</v>
      </c>
      <c r="L43" s="6">
        <f t="shared" si="16"/>
        <v>-41.870000000000005</v>
      </c>
      <c r="M43" s="6"/>
      <c r="N43" s="6"/>
      <c r="O43" s="6">
        <v>63</v>
      </c>
      <c r="P43" s="6">
        <v>75</v>
      </c>
      <c r="Q43" s="6">
        <f t="shared" si="17"/>
        <v>24.506</v>
      </c>
      <c r="R43" s="8">
        <f t="shared" si="19"/>
        <v>99.770000000000039</v>
      </c>
      <c r="S43" s="8">
        <f t="shared" si="6"/>
        <v>100</v>
      </c>
      <c r="T43" s="8">
        <f t="shared" si="7"/>
        <v>100</v>
      </c>
      <c r="U43" s="8"/>
      <c r="V43" s="8"/>
      <c r="W43" s="20"/>
      <c r="X43" s="20">
        <f>VLOOKUP(A43,[1]Sheet!$A:$S,19,0)</f>
        <v>0</v>
      </c>
      <c r="Y43" s="6">
        <f t="shared" si="8"/>
        <v>15.009385456622867</v>
      </c>
      <c r="Z43" s="6">
        <f t="shared" si="18"/>
        <v>10.92875214233249</v>
      </c>
      <c r="AA43" s="6">
        <v>27.321200000000001</v>
      </c>
      <c r="AB43" s="6">
        <v>24.925999999999998</v>
      </c>
      <c r="AC43" s="6">
        <v>38.509399999999999</v>
      </c>
      <c r="AD43" s="6">
        <v>42.509799999999998</v>
      </c>
      <c r="AE43" s="6">
        <v>27.579799999999999</v>
      </c>
      <c r="AF43" s="6">
        <v>40.957799999999999</v>
      </c>
      <c r="AG43" s="6">
        <v>29.583200000000001</v>
      </c>
      <c r="AH43" s="6">
        <v>33.079799999999999</v>
      </c>
      <c r="AI43" s="6"/>
      <c r="AJ43" s="6">
        <f t="shared" si="9"/>
        <v>100</v>
      </c>
      <c r="AK43" s="6">
        <f t="shared" si="10"/>
        <v>0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x14ac:dyDescent="0.25">
      <c r="A44" s="6" t="s">
        <v>87</v>
      </c>
      <c r="B44" s="6" t="s">
        <v>33</v>
      </c>
      <c r="C44" s="6">
        <v>1874</v>
      </c>
      <c r="D44" s="6">
        <v>36</v>
      </c>
      <c r="E44" s="6">
        <v>227</v>
      </c>
      <c r="F44" s="6">
        <v>1624</v>
      </c>
      <c r="G44" s="7">
        <v>0.3</v>
      </c>
      <c r="H44" s="6">
        <v>45</v>
      </c>
      <c r="I44" s="6" t="s">
        <v>34</v>
      </c>
      <c r="J44" s="6"/>
      <c r="K44" s="6">
        <v>320</v>
      </c>
      <c r="L44" s="6">
        <f t="shared" si="16"/>
        <v>-93</v>
      </c>
      <c r="M44" s="6"/>
      <c r="N44" s="6"/>
      <c r="O44" s="6">
        <v>0</v>
      </c>
      <c r="P44" s="6"/>
      <c r="Q44" s="6">
        <f t="shared" si="17"/>
        <v>45.4</v>
      </c>
      <c r="R44" s="8"/>
      <c r="S44" s="8">
        <f t="shared" si="6"/>
        <v>0</v>
      </c>
      <c r="T44" s="8">
        <f t="shared" si="7"/>
        <v>0</v>
      </c>
      <c r="U44" s="8"/>
      <c r="V44" s="8"/>
      <c r="W44" s="20"/>
      <c r="X44" s="20">
        <f>VLOOKUP(A44,[1]Sheet!$A:$S,19,0)</f>
        <v>0</v>
      </c>
      <c r="Y44" s="6">
        <f t="shared" si="8"/>
        <v>35.770925110132161</v>
      </c>
      <c r="Z44" s="6">
        <f t="shared" si="18"/>
        <v>35.770925110132161</v>
      </c>
      <c r="AA44" s="6">
        <v>55.4</v>
      </c>
      <c r="AB44" s="6">
        <v>70.8</v>
      </c>
      <c r="AC44" s="6">
        <v>472.6</v>
      </c>
      <c r="AD44" s="6">
        <v>1125</v>
      </c>
      <c r="AE44" s="6">
        <v>88.8</v>
      </c>
      <c r="AF44" s="6">
        <v>92.2</v>
      </c>
      <c r="AG44" s="6">
        <v>90.2</v>
      </c>
      <c r="AH44" s="6">
        <v>75.2</v>
      </c>
      <c r="AI44" s="13" t="s">
        <v>46</v>
      </c>
      <c r="AJ44" s="6">
        <f t="shared" si="9"/>
        <v>0</v>
      </c>
      <c r="AK44" s="6">
        <f t="shared" si="10"/>
        <v>0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25">
      <c r="A45" s="6" t="s">
        <v>88</v>
      </c>
      <c r="B45" s="6" t="s">
        <v>36</v>
      </c>
      <c r="C45" s="6">
        <v>170.69</v>
      </c>
      <c r="D45" s="6"/>
      <c r="E45" s="6"/>
      <c r="F45" s="6">
        <v>170.69</v>
      </c>
      <c r="G45" s="7">
        <v>1</v>
      </c>
      <c r="H45" s="6">
        <v>45</v>
      </c>
      <c r="I45" s="6" t="s">
        <v>34</v>
      </c>
      <c r="J45" s="6"/>
      <c r="K45" s="6"/>
      <c r="L45" s="6">
        <f t="shared" si="16"/>
        <v>0</v>
      </c>
      <c r="M45" s="6"/>
      <c r="N45" s="6"/>
      <c r="O45" s="6">
        <v>0</v>
      </c>
      <c r="P45" s="6"/>
      <c r="Q45" s="6">
        <f t="shared" si="17"/>
        <v>0</v>
      </c>
      <c r="R45" s="8"/>
      <c r="S45" s="8">
        <f t="shared" si="6"/>
        <v>0</v>
      </c>
      <c r="T45" s="8">
        <f t="shared" si="7"/>
        <v>0</v>
      </c>
      <c r="U45" s="8"/>
      <c r="V45" s="8"/>
      <c r="W45" s="20"/>
      <c r="X45" s="20">
        <f>VLOOKUP(A45,[1]Sheet!$A:$S,19,0)</f>
        <v>0</v>
      </c>
      <c r="Y45" s="6" t="e">
        <f t="shared" si="8"/>
        <v>#DIV/0!</v>
      </c>
      <c r="Z45" s="6" t="e">
        <f t="shared" si="18"/>
        <v>#DIV/0!</v>
      </c>
      <c r="AA45" s="6">
        <v>2.1534</v>
      </c>
      <c r="AB45" s="6">
        <v>0.62980000000000003</v>
      </c>
      <c r="AC45" s="6">
        <v>2.1646000000000001</v>
      </c>
      <c r="AD45" s="6">
        <v>2.6646000000000001</v>
      </c>
      <c r="AE45" s="6">
        <v>1.2427999999999999</v>
      </c>
      <c r="AF45" s="6">
        <v>1.234</v>
      </c>
      <c r="AG45" s="6">
        <v>3.0461999999999998</v>
      </c>
      <c r="AH45" s="6">
        <v>2.7833999999999999</v>
      </c>
      <c r="AI45" s="18" t="s">
        <v>165</v>
      </c>
      <c r="AJ45" s="6">
        <f t="shared" si="9"/>
        <v>0</v>
      </c>
      <c r="AK45" s="6">
        <f t="shared" si="10"/>
        <v>0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x14ac:dyDescent="0.25">
      <c r="A46" s="6" t="s">
        <v>89</v>
      </c>
      <c r="B46" s="6" t="s">
        <v>33</v>
      </c>
      <c r="C46" s="6">
        <v>1113</v>
      </c>
      <c r="D46" s="6">
        <v>2013</v>
      </c>
      <c r="E46" s="6">
        <v>803</v>
      </c>
      <c r="F46" s="6">
        <v>1956</v>
      </c>
      <c r="G46" s="7">
        <v>0.35</v>
      </c>
      <c r="H46" s="6">
        <v>45</v>
      </c>
      <c r="I46" s="15" t="s">
        <v>177</v>
      </c>
      <c r="J46" s="6"/>
      <c r="K46" s="6">
        <v>1216</v>
      </c>
      <c r="L46" s="6">
        <f t="shared" si="16"/>
        <v>-413</v>
      </c>
      <c r="M46" s="6"/>
      <c r="N46" s="6"/>
      <c r="O46" s="6">
        <v>0</v>
      </c>
      <c r="P46" s="6"/>
      <c r="Q46" s="6">
        <f t="shared" si="17"/>
        <v>160.6</v>
      </c>
      <c r="R46" s="8">
        <f>15*Q46-P46-O46-F46+800</f>
        <v>1253</v>
      </c>
      <c r="S46" s="8">
        <v>1100</v>
      </c>
      <c r="T46" s="8">
        <f t="shared" si="7"/>
        <v>1100</v>
      </c>
      <c r="U46" s="8"/>
      <c r="V46" s="8"/>
      <c r="W46" s="20" t="s">
        <v>175</v>
      </c>
      <c r="X46" s="20">
        <f>VLOOKUP(A46,[1]Sheet!$A:$S,19,0)</f>
        <v>800</v>
      </c>
      <c r="Y46" s="6">
        <f t="shared" si="8"/>
        <v>19.028642590286427</v>
      </c>
      <c r="Z46" s="6">
        <f t="shared" si="18"/>
        <v>12.179327521793276</v>
      </c>
      <c r="AA46" s="6">
        <v>152.19999999999999</v>
      </c>
      <c r="AB46" s="6">
        <v>238</v>
      </c>
      <c r="AC46" s="6">
        <v>215.8</v>
      </c>
      <c r="AD46" s="6">
        <v>254.4</v>
      </c>
      <c r="AE46" s="6">
        <v>225.4</v>
      </c>
      <c r="AF46" s="6">
        <v>174.6</v>
      </c>
      <c r="AG46" s="6">
        <v>242.8</v>
      </c>
      <c r="AH46" s="6">
        <v>195.2</v>
      </c>
      <c r="AI46" s="6" t="s">
        <v>176</v>
      </c>
      <c r="AJ46" s="6">
        <f t="shared" si="9"/>
        <v>385</v>
      </c>
      <c r="AK46" s="6">
        <f t="shared" si="10"/>
        <v>0</v>
      </c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25">
      <c r="A47" s="6" t="s">
        <v>90</v>
      </c>
      <c r="B47" s="6" t="s">
        <v>33</v>
      </c>
      <c r="C47" s="6">
        <v>563</v>
      </c>
      <c r="D47" s="6">
        <v>383</v>
      </c>
      <c r="E47" s="6">
        <v>186</v>
      </c>
      <c r="F47" s="6">
        <v>622</v>
      </c>
      <c r="G47" s="7">
        <v>0.41</v>
      </c>
      <c r="H47" s="6">
        <v>45</v>
      </c>
      <c r="I47" s="6" t="s">
        <v>34</v>
      </c>
      <c r="J47" s="6"/>
      <c r="K47" s="6">
        <v>320</v>
      </c>
      <c r="L47" s="6">
        <f t="shared" si="16"/>
        <v>-134</v>
      </c>
      <c r="M47" s="6"/>
      <c r="N47" s="6"/>
      <c r="O47" s="6">
        <v>0</v>
      </c>
      <c r="P47" s="6"/>
      <c r="Q47" s="6">
        <f t="shared" si="17"/>
        <v>37.200000000000003</v>
      </c>
      <c r="R47" s="8"/>
      <c r="S47" s="8">
        <f t="shared" si="6"/>
        <v>0</v>
      </c>
      <c r="T47" s="8">
        <f t="shared" si="7"/>
        <v>0</v>
      </c>
      <c r="U47" s="8"/>
      <c r="V47" s="8"/>
      <c r="W47" s="20"/>
      <c r="X47" s="20">
        <f>VLOOKUP(A47,[1]Sheet!$A:$S,19,0)</f>
        <v>0</v>
      </c>
      <c r="Y47" s="6">
        <f t="shared" si="8"/>
        <v>16.72043010752688</v>
      </c>
      <c r="Z47" s="6">
        <f t="shared" si="18"/>
        <v>16.72043010752688</v>
      </c>
      <c r="AA47" s="6">
        <v>47.2</v>
      </c>
      <c r="AB47" s="6">
        <v>73.8</v>
      </c>
      <c r="AC47" s="6">
        <v>85.4</v>
      </c>
      <c r="AD47" s="6">
        <v>90</v>
      </c>
      <c r="AE47" s="6">
        <v>70.8</v>
      </c>
      <c r="AF47" s="6">
        <v>61</v>
      </c>
      <c r="AG47" s="6">
        <v>64.599999999999994</v>
      </c>
      <c r="AH47" s="6">
        <v>87.2</v>
      </c>
      <c r="AI47" s="6"/>
      <c r="AJ47" s="6">
        <f t="shared" si="9"/>
        <v>0</v>
      </c>
      <c r="AK47" s="6">
        <f t="shared" si="10"/>
        <v>0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x14ac:dyDescent="0.25">
      <c r="A48" s="6" t="s">
        <v>91</v>
      </c>
      <c r="B48" s="6" t="s">
        <v>33</v>
      </c>
      <c r="C48" s="6">
        <v>98</v>
      </c>
      <c r="D48" s="6">
        <v>55</v>
      </c>
      <c r="E48" s="6">
        <v>38</v>
      </c>
      <c r="F48" s="6">
        <v>84</v>
      </c>
      <c r="G48" s="7">
        <v>0.41</v>
      </c>
      <c r="H48" s="6">
        <v>45</v>
      </c>
      <c r="I48" s="6" t="s">
        <v>34</v>
      </c>
      <c r="J48" s="6"/>
      <c r="K48" s="6">
        <v>63</v>
      </c>
      <c r="L48" s="6">
        <f t="shared" si="16"/>
        <v>-25</v>
      </c>
      <c r="M48" s="6"/>
      <c r="N48" s="6"/>
      <c r="O48" s="6">
        <v>66</v>
      </c>
      <c r="P48" s="6"/>
      <c r="Q48" s="6">
        <f t="shared" si="17"/>
        <v>7.6</v>
      </c>
      <c r="R48" s="8"/>
      <c r="S48" s="8">
        <f t="shared" si="6"/>
        <v>0</v>
      </c>
      <c r="T48" s="8">
        <f t="shared" si="7"/>
        <v>0</v>
      </c>
      <c r="U48" s="8"/>
      <c r="V48" s="8"/>
      <c r="W48" s="20"/>
      <c r="X48" s="20">
        <f>VLOOKUP(A48,[1]Sheet!$A:$S,19,0)</f>
        <v>0</v>
      </c>
      <c r="Y48" s="6">
        <f t="shared" si="8"/>
        <v>19.736842105263158</v>
      </c>
      <c r="Z48" s="6">
        <f t="shared" si="18"/>
        <v>19.736842105263158</v>
      </c>
      <c r="AA48" s="6">
        <v>13.8</v>
      </c>
      <c r="AB48" s="6">
        <v>14</v>
      </c>
      <c r="AC48" s="6">
        <v>12.6</v>
      </c>
      <c r="AD48" s="6">
        <v>24.6</v>
      </c>
      <c r="AE48" s="6">
        <v>24.6</v>
      </c>
      <c r="AF48" s="6">
        <v>19</v>
      </c>
      <c r="AG48" s="6">
        <v>12.2</v>
      </c>
      <c r="AH48" s="6">
        <v>19.8</v>
      </c>
      <c r="AI48" s="6"/>
      <c r="AJ48" s="6">
        <f t="shared" si="9"/>
        <v>0</v>
      </c>
      <c r="AK48" s="6">
        <f t="shared" si="10"/>
        <v>0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25">
      <c r="A49" s="6" t="s">
        <v>92</v>
      </c>
      <c r="B49" s="6" t="s">
        <v>33</v>
      </c>
      <c r="C49" s="6">
        <v>109</v>
      </c>
      <c r="D49" s="6">
        <v>591</v>
      </c>
      <c r="E49" s="6">
        <v>184</v>
      </c>
      <c r="F49" s="6">
        <v>501</v>
      </c>
      <c r="G49" s="7">
        <v>0.36</v>
      </c>
      <c r="H49" s="6">
        <v>45</v>
      </c>
      <c r="I49" s="6" t="s">
        <v>34</v>
      </c>
      <c r="J49" s="6"/>
      <c r="K49" s="6">
        <v>246</v>
      </c>
      <c r="L49" s="6">
        <f t="shared" si="16"/>
        <v>-62</v>
      </c>
      <c r="M49" s="6"/>
      <c r="N49" s="6"/>
      <c r="O49" s="6">
        <v>0</v>
      </c>
      <c r="P49" s="6"/>
      <c r="Q49" s="6">
        <f t="shared" si="17"/>
        <v>36.799999999999997</v>
      </c>
      <c r="R49" s="8">
        <f t="shared" si="19"/>
        <v>51</v>
      </c>
      <c r="S49" s="8">
        <f t="shared" si="6"/>
        <v>51</v>
      </c>
      <c r="T49" s="8">
        <f t="shared" si="7"/>
        <v>51</v>
      </c>
      <c r="U49" s="8"/>
      <c r="V49" s="8"/>
      <c r="W49" s="20"/>
      <c r="X49" s="20">
        <f>VLOOKUP(A49,[1]Sheet!$A:$S,19,0)</f>
        <v>0</v>
      </c>
      <c r="Y49" s="6">
        <f t="shared" si="8"/>
        <v>15.000000000000002</v>
      </c>
      <c r="Z49" s="6">
        <f t="shared" si="18"/>
        <v>13.614130434782609</v>
      </c>
      <c r="AA49" s="6">
        <v>35.6</v>
      </c>
      <c r="AB49" s="6">
        <v>58.4</v>
      </c>
      <c r="AC49" s="6">
        <v>42.6</v>
      </c>
      <c r="AD49" s="6">
        <v>61.8</v>
      </c>
      <c r="AE49" s="6">
        <v>30.8</v>
      </c>
      <c r="AF49" s="6">
        <v>48.8</v>
      </c>
      <c r="AG49" s="6">
        <v>26.6</v>
      </c>
      <c r="AH49" s="6">
        <v>45.8</v>
      </c>
      <c r="AI49" s="6"/>
      <c r="AJ49" s="6">
        <f t="shared" si="9"/>
        <v>18.36</v>
      </c>
      <c r="AK49" s="6">
        <f t="shared" si="10"/>
        <v>0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25">
      <c r="A50" s="6" t="s">
        <v>93</v>
      </c>
      <c r="B50" s="6" t="s">
        <v>33</v>
      </c>
      <c r="C50" s="6">
        <v>385</v>
      </c>
      <c r="D50" s="6">
        <v>271</v>
      </c>
      <c r="E50" s="6">
        <v>132</v>
      </c>
      <c r="F50" s="6">
        <v>458</v>
      </c>
      <c r="G50" s="7">
        <v>0.33</v>
      </c>
      <c r="H50" s="6">
        <v>45</v>
      </c>
      <c r="I50" s="6" t="s">
        <v>34</v>
      </c>
      <c r="J50" s="6"/>
      <c r="K50" s="6">
        <v>211</v>
      </c>
      <c r="L50" s="6">
        <f t="shared" si="16"/>
        <v>-79</v>
      </c>
      <c r="M50" s="6"/>
      <c r="N50" s="6"/>
      <c r="O50" s="6">
        <v>0</v>
      </c>
      <c r="P50" s="6"/>
      <c r="Q50" s="6">
        <f t="shared" si="17"/>
        <v>26.4</v>
      </c>
      <c r="R50" s="8"/>
      <c r="S50" s="8">
        <f t="shared" si="6"/>
        <v>0</v>
      </c>
      <c r="T50" s="8">
        <f t="shared" si="7"/>
        <v>0</v>
      </c>
      <c r="U50" s="8"/>
      <c r="V50" s="8"/>
      <c r="W50" s="20"/>
      <c r="X50" s="20">
        <f>VLOOKUP(A50,[1]Sheet!$A:$S,19,0)</f>
        <v>0</v>
      </c>
      <c r="Y50" s="6">
        <f t="shared" si="8"/>
        <v>17.348484848484848</v>
      </c>
      <c r="Z50" s="6">
        <f t="shared" si="18"/>
        <v>17.348484848484848</v>
      </c>
      <c r="AA50" s="6">
        <v>39.4</v>
      </c>
      <c r="AB50" s="6">
        <v>53.2</v>
      </c>
      <c r="AC50" s="6">
        <v>56.4</v>
      </c>
      <c r="AD50" s="6">
        <v>54.2</v>
      </c>
      <c r="AE50" s="6">
        <v>59.2</v>
      </c>
      <c r="AF50" s="6">
        <v>41.2</v>
      </c>
      <c r="AG50" s="6">
        <v>51.6</v>
      </c>
      <c r="AH50" s="6">
        <v>54.8</v>
      </c>
      <c r="AI50" s="6"/>
      <c r="AJ50" s="6">
        <f t="shared" si="9"/>
        <v>0</v>
      </c>
      <c r="AK50" s="6">
        <f t="shared" si="10"/>
        <v>0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25">
      <c r="A51" s="6" t="s">
        <v>94</v>
      </c>
      <c r="B51" s="6" t="s">
        <v>33</v>
      </c>
      <c r="C51" s="6">
        <v>259</v>
      </c>
      <c r="D51" s="6">
        <v>18</v>
      </c>
      <c r="E51" s="6">
        <v>119</v>
      </c>
      <c r="F51" s="6">
        <v>130</v>
      </c>
      <c r="G51" s="7">
        <v>0.4</v>
      </c>
      <c r="H51" s="6">
        <v>60</v>
      </c>
      <c r="I51" s="6" t="s">
        <v>34</v>
      </c>
      <c r="J51" s="6"/>
      <c r="K51" s="6">
        <v>162</v>
      </c>
      <c r="L51" s="6">
        <f t="shared" si="16"/>
        <v>-43</v>
      </c>
      <c r="M51" s="6"/>
      <c r="N51" s="6"/>
      <c r="O51" s="6">
        <v>110</v>
      </c>
      <c r="P51" s="6">
        <v>129</v>
      </c>
      <c r="Q51" s="6">
        <f t="shared" si="17"/>
        <v>23.8</v>
      </c>
      <c r="R51" s="8"/>
      <c r="S51" s="8">
        <v>100</v>
      </c>
      <c r="T51" s="8">
        <f t="shared" si="7"/>
        <v>100</v>
      </c>
      <c r="U51" s="8"/>
      <c r="V51" s="8">
        <v>250</v>
      </c>
      <c r="W51" s="20"/>
      <c r="X51" s="20">
        <f>VLOOKUP(A51,[1]Sheet!$A:$S,19,0)</f>
        <v>200</v>
      </c>
      <c r="Y51" s="6">
        <f t="shared" si="8"/>
        <v>19.705882352941178</v>
      </c>
      <c r="Z51" s="6">
        <f t="shared" si="18"/>
        <v>15.504201680672269</v>
      </c>
      <c r="AA51" s="6">
        <v>33.200000000000003</v>
      </c>
      <c r="AB51" s="6">
        <v>20.8</v>
      </c>
      <c r="AC51" s="6">
        <v>38.799999999999997</v>
      </c>
      <c r="AD51" s="6">
        <v>37.4</v>
      </c>
      <c r="AE51" s="6">
        <v>0</v>
      </c>
      <c r="AF51" s="6">
        <v>0</v>
      </c>
      <c r="AG51" s="6">
        <v>11.2</v>
      </c>
      <c r="AH51" s="6">
        <v>40.200000000000003</v>
      </c>
      <c r="AI51" s="6"/>
      <c r="AJ51" s="6">
        <f t="shared" si="9"/>
        <v>40</v>
      </c>
      <c r="AK51" s="6">
        <f t="shared" si="10"/>
        <v>0</v>
      </c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x14ac:dyDescent="0.25">
      <c r="A52" s="6" t="s">
        <v>95</v>
      </c>
      <c r="B52" s="6" t="s">
        <v>33</v>
      </c>
      <c r="C52" s="6">
        <v>305</v>
      </c>
      <c r="D52" s="6">
        <v>6</v>
      </c>
      <c r="E52" s="6">
        <v>18</v>
      </c>
      <c r="F52" s="6">
        <v>22</v>
      </c>
      <c r="G52" s="7">
        <v>0.33</v>
      </c>
      <c r="H52" s="6">
        <v>45</v>
      </c>
      <c r="I52" s="6" t="s">
        <v>34</v>
      </c>
      <c r="J52" s="6"/>
      <c r="K52" s="6">
        <v>37</v>
      </c>
      <c r="L52" s="6">
        <f t="shared" si="16"/>
        <v>-19</v>
      </c>
      <c r="M52" s="6"/>
      <c r="N52" s="6"/>
      <c r="O52" s="6">
        <v>0</v>
      </c>
      <c r="P52" s="6"/>
      <c r="Q52" s="6">
        <f t="shared" si="17"/>
        <v>3.6</v>
      </c>
      <c r="R52" s="8">
        <f>14*Q52-P52-O52-F52</f>
        <v>28.4</v>
      </c>
      <c r="S52" s="8">
        <f t="shared" si="6"/>
        <v>28</v>
      </c>
      <c r="T52" s="8">
        <f t="shared" si="7"/>
        <v>28</v>
      </c>
      <c r="U52" s="8"/>
      <c r="V52" s="8"/>
      <c r="W52" s="20"/>
      <c r="X52" s="20">
        <f>VLOOKUP(A52,[1]Sheet!$A:$S,19,0)</f>
        <v>0</v>
      </c>
      <c r="Y52" s="6">
        <f t="shared" si="8"/>
        <v>13.888888888888889</v>
      </c>
      <c r="Z52" s="6">
        <f t="shared" si="18"/>
        <v>6.1111111111111107</v>
      </c>
      <c r="AA52" s="6">
        <v>3.6</v>
      </c>
      <c r="AB52" s="6">
        <v>4.5999999999999996</v>
      </c>
      <c r="AC52" s="6">
        <v>5.6</v>
      </c>
      <c r="AD52" s="6">
        <v>6.2</v>
      </c>
      <c r="AE52" s="6">
        <v>18</v>
      </c>
      <c r="AF52" s="6">
        <v>13</v>
      </c>
      <c r="AG52" s="6">
        <v>26.6</v>
      </c>
      <c r="AH52" s="6">
        <v>4.8</v>
      </c>
      <c r="AI52" s="6"/>
      <c r="AJ52" s="6">
        <f t="shared" si="9"/>
        <v>9.24</v>
      </c>
      <c r="AK52" s="6">
        <f t="shared" si="10"/>
        <v>0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25">
      <c r="A53" s="6" t="s">
        <v>96</v>
      </c>
      <c r="B53" s="6" t="s">
        <v>36</v>
      </c>
      <c r="C53" s="6">
        <v>523.39400000000001</v>
      </c>
      <c r="D53" s="6">
        <v>48.503</v>
      </c>
      <c r="E53" s="6">
        <v>334.54599999999999</v>
      </c>
      <c r="F53" s="6">
        <v>160.15600000000001</v>
      </c>
      <c r="G53" s="7">
        <v>1</v>
      </c>
      <c r="H53" s="6">
        <v>45</v>
      </c>
      <c r="I53" s="6" t="s">
        <v>34</v>
      </c>
      <c r="J53" s="6"/>
      <c r="K53" s="6">
        <v>410.3</v>
      </c>
      <c r="L53" s="6">
        <f t="shared" si="16"/>
        <v>-75.754000000000019</v>
      </c>
      <c r="M53" s="6"/>
      <c r="N53" s="6"/>
      <c r="O53" s="6">
        <v>305</v>
      </c>
      <c r="P53" s="6">
        <v>359</v>
      </c>
      <c r="Q53" s="6">
        <f t="shared" si="17"/>
        <v>66.909199999999998</v>
      </c>
      <c r="R53" s="8">
        <f>15*Q53-P53-O53-F53+60</f>
        <v>239.48199999999991</v>
      </c>
      <c r="S53" s="8">
        <v>240</v>
      </c>
      <c r="T53" s="8">
        <f t="shared" si="7"/>
        <v>240</v>
      </c>
      <c r="U53" s="8"/>
      <c r="V53" s="8"/>
      <c r="W53" s="20" t="s">
        <v>170</v>
      </c>
      <c r="X53" s="20">
        <f>VLOOKUP(A53,[1]Sheet!$A:$S,19,0)</f>
        <v>240</v>
      </c>
      <c r="Y53" s="6">
        <f t="shared" si="8"/>
        <v>15.904479503566026</v>
      </c>
      <c r="Z53" s="6">
        <f t="shared" si="18"/>
        <v>12.317528830116037</v>
      </c>
      <c r="AA53" s="6">
        <v>79.169799999999995</v>
      </c>
      <c r="AB53" s="6">
        <v>59.140799999999999</v>
      </c>
      <c r="AC53" s="6">
        <v>88.197000000000003</v>
      </c>
      <c r="AD53" s="6">
        <v>93.295600000000007</v>
      </c>
      <c r="AE53" s="6">
        <v>55.942399999999999</v>
      </c>
      <c r="AF53" s="6">
        <v>66.259600000000006</v>
      </c>
      <c r="AG53" s="6">
        <v>76.353999999999999</v>
      </c>
      <c r="AH53" s="6">
        <v>67.717999999999989</v>
      </c>
      <c r="AI53" s="6"/>
      <c r="AJ53" s="6">
        <f t="shared" si="9"/>
        <v>240</v>
      </c>
      <c r="AK53" s="6">
        <f t="shared" si="10"/>
        <v>0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x14ac:dyDescent="0.25">
      <c r="A54" s="9" t="s">
        <v>97</v>
      </c>
      <c r="B54" s="9" t="s">
        <v>36</v>
      </c>
      <c r="C54" s="9">
        <v>4.4240000000000004</v>
      </c>
      <c r="D54" s="9"/>
      <c r="E54" s="9">
        <v>3.6120000000000001</v>
      </c>
      <c r="F54" s="9"/>
      <c r="G54" s="10">
        <v>0</v>
      </c>
      <c r="H54" s="9">
        <v>30</v>
      </c>
      <c r="I54" s="9" t="s">
        <v>56</v>
      </c>
      <c r="J54" s="9"/>
      <c r="K54" s="9">
        <v>19.3</v>
      </c>
      <c r="L54" s="9">
        <f t="shared" si="16"/>
        <v>-15.688000000000001</v>
      </c>
      <c r="M54" s="9"/>
      <c r="N54" s="9"/>
      <c r="O54" s="9">
        <v>0</v>
      </c>
      <c r="P54" s="9"/>
      <c r="Q54" s="9">
        <f t="shared" si="17"/>
        <v>0.72240000000000004</v>
      </c>
      <c r="R54" s="11"/>
      <c r="S54" s="8">
        <f t="shared" si="6"/>
        <v>0</v>
      </c>
      <c r="T54" s="8">
        <f t="shared" si="7"/>
        <v>0</v>
      </c>
      <c r="U54" s="8"/>
      <c r="V54" s="8"/>
      <c r="W54" s="21"/>
      <c r="X54" s="20">
        <f>VLOOKUP(A54,[1]Sheet!$A:$S,19,0)</f>
        <v>0</v>
      </c>
      <c r="Y54" s="6">
        <f t="shared" si="8"/>
        <v>0</v>
      </c>
      <c r="Z54" s="9">
        <f t="shared" si="18"/>
        <v>0</v>
      </c>
      <c r="AA54" s="9">
        <v>6.4917999999999996</v>
      </c>
      <c r="AB54" s="9">
        <v>12.2532</v>
      </c>
      <c r="AC54" s="9">
        <v>3.6048</v>
      </c>
      <c r="AD54" s="9">
        <v>8.5906000000000002</v>
      </c>
      <c r="AE54" s="9">
        <v>5.4905999999999997</v>
      </c>
      <c r="AF54" s="9">
        <v>0.93459999999999999</v>
      </c>
      <c r="AG54" s="9">
        <v>5.4938000000000002</v>
      </c>
      <c r="AH54" s="9">
        <v>4.8000000000000001E-2</v>
      </c>
      <c r="AI54" s="9"/>
      <c r="AJ54" s="6">
        <f t="shared" si="9"/>
        <v>0</v>
      </c>
      <c r="AK54" s="6">
        <f t="shared" si="10"/>
        <v>0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25">
      <c r="A55" s="6" t="s">
        <v>98</v>
      </c>
      <c r="B55" s="6" t="s">
        <v>33</v>
      </c>
      <c r="C55" s="6">
        <v>63</v>
      </c>
      <c r="D55" s="6">
        <v>5</v>
      </c>
      <c r="E55" s="6">
        <v>14</v>
      </c>
      <c r="F55" s="6">
        <v>38</v>
      </c>
      <c r="G55" s="7">
        <v>0.4</v>
      </c>
      <c r="H55" s="6">
        <v>45</v>
      </c>
      <c r="I55" s="6" t="s">
        <v>34</v>
      </c>
      <c r="J55" s="6"/>
      <c r="K55" s="6">
        <v>24</v>
      </c>
      <c r="L55" s="6">
        <f t="shared" si="16"/>
        <v>-10</v>
      </c>
      <c r="M55" s="6"/>
      <c r="N55" s="6"/>
      <c r="O55" s="6">
        <v>0</v>
      </c>
      <c r="P55" s="6"/>
      <c r="Q55" s="6">
        <f t="shared" si="17"/>
        <v>2.8</v>
      </c>
      <c r="R55" s="8"/>
      <c r="S55" s="8">
        <f t="shared" si="6"/>
        <v>0</v>
      </c>
      <c r="T55" s="8">
        <f t="shared" si="7"/>
        <v>0</v>
      </c>
      <c r="U55" s="8"/>
      <c r="V55" s="8"/>
      <c r="W55" s="20"/>
      <c r="X55" s="20">
        <f>VLOOKUP(A55,[1]Sheet!$A:$S,19,0)</f>
        <v>0</v>
      </c>
      <c r="Y55" s="6">
        <f t="shared" si="8"/>
        <v>13.571428571428573</v>
      </c>
      <c r="Z55" s="6">
        <f t="shared" si="18"/>
        <v>13.571428571428573</v>
      </c>
      <c r="AA55" s="6">
        <v>3.4</v>
      </c>
      <c r="AB55" s="6">
        <v>1.6</v>
      </c>
      <c r="AC55" s="6">
        <v>4.2</v>
      </c>
      <c r="AD55" s="6">
        <v>9</v>
      </c>
      <c r="AE55" s="6">
        <v>6.2</v>
      </c>
      <c r="AF55" s="6">
        <v>7.2</v>
      </c>
      <c r="AG55" s="6">
        <v>7.2</v>
      </c>
      <c r="AH55" s="6">
        <v>2.6</v>
      </c>
      <c r="AI55" s="6"/>
      <c r="AJ55" s="6">
        <f t="shared" si="9"/>
        <v>0</v>
      </c>
      <c r="AK55" s="6">
        <f t="shared" si="10"/>
        <v>0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x14ac:dyDescent="0.25">
      <c r="A56" s="6" t="s">
        <v>100</v>
      </c>
      <c r="B56" s="6" t="s">
        <v>36</v>
      </c>
      <c r="C56" s="6">
        <v>11.882</v>
      </c>
      <c r="D56" s="6">
        <v>15.760999999999999</v>
      </c>
      <c r="E56" s="6">
        <v>15.814</v>
      </c>
      <c r="F56" s="6">
        <v>11.829000000000001</v>
      </c>
      <c r="G56" s="7">
        <v>1</v>
      </c>
      <c r="H56" s="6">
        <v>60</v>
      </c>
      <c r="I56" s="6" t="s">
        <v>34</v>
      </c>
      <c r="J56" s="6"/>
      <c r="K56" s="6">
        <v>18.2</v>
      </c>
      <c r="L56" s="6">
        <f t="shared" si="16"/>
        <v>-2.3859999999999992</v>
      </c>
      <c r="M56" s="6"/>
      <c r="N56" s="6"/>
      <c r="O56" s="6">
        <v>7</v>
      </c>
      <c r="P56" s="6"/>
      <c r="Q56" s="6">
        <f t="shared" si="17"/>
        <v>3.1627999999999998</v>
      </c>
      <c r="R56" s="8">
        <f t="shared" ref="R56:R58" si="20">15*Q56-P56-O56-F56</f>
        <v>28.613</v>
      </c>
      <c r="S56" s="8">
        <f t="shared" si="6"/>
        <v>29</v>
      </c>
      <c r="T56" s="8">
        <f t="shared" si="7"/>
        <v>29</v>
      </c>
      <c r="U56" s="8"/>
      <c r="V56" s="8"/>
      <c r="W56" s="20"/>
      <c r="X56" s="20">
        <f>VLOOKUP(A56,[1]Sheet!$A:$S,19,0)</f>
        <v>0</v>
      </c>
      <c r="Y56" s="6">
        <f t="shared" si="8"/>
        <v>15.122359934235488</v>
      </c>
      <c r="Z56" s="6">
        <f t="shared" si="18"/>
        <v>5.9532692550904267</v>
      </c>
      <c r="AA56" s="6">
        <v>2.3344</v>
      </c>
      <c r="AB56" s="6">
        <v>0.3916</v>
      </c>
      <c r="AC56" s="6">
        <v>2.6023999999999998</v>
      </c>
      <c r="AD56" s="6">
        <v>0.76580000000000004</v>
      </c>
      <c r="AE56" s="6">
        <v>4.7548000000000004</v>
      </c>
      <c r="AF56" s="6">
        <v>5.0624000000000002</v>
      </c>
      <c r="AG56" s="6">
        <v>3.1055999999999999</v>
      </c>
      <c r="AH56" s="6">
        <v>4.3197999999999999</v>
      </c>
      <c r="AI56" s="6"/>
      <c r="AJ56" s="6">
        <f t="shared" si="9"/>
        <v>29</v>
      </c>
      <c r="AK56" s="6">
        <f t="shared" si="10"/>
        <v>0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25">
      <c r="A57" s="6" t="s">
        <v>101</v>
      </c>
      <c r="B57" s="6" t="s">
        <v>36</v>
      </c>
      <c r="C57" s="6">
        <v>12.03</v>
      </c>
      <c r="D57" s="6">
        <v>28.68</v>
      </c>
      <c r="E57" s="6">
        <v>10.56</v>
      </c>
      <c r="F57" s="6">
        <v>16.64</v>
      </c>
      <c r="G57" s="7">
        <v>1</v>
      </c>
      <c r="H57" s="6">
        <v>60</v>
      </c>
      <c r="I57" s="6" t="s">
        <v>34</v>
      </c>
      <c r="J57" s="6"/>
      <c r="K57" s="6">
        <v>33</v>
      </c>
      <c r="L57" s="6">
        <f t="shared" si="16"/>
        <v>-22.439999999999998</v>
      </c>
      <c r="M57" s="6"/>
      <c r="N57" s="6"/>
      <c r="O57" s="6">
        <v>36</v>
      </c>
      <c r="P57" s="6"/>
      <c r="Q57" s="6">
        <f t="shared" si="17"/>
        <v>2.1120000000000001</v>
      </c>
      <c r="R57" s="8"/>
      <c r="S57" s="8">
        <f t="shared" si="6"/>
        <v>0</v>
      </c>
      <c r="T57" s="8">
        <f t="shared" si="7"/>
        <v>0</v>
      </c>
      <c r="U57" s="8"/>
      <c r="V57" s="8"/>
      <c r="W57" s="20"/>
      <c r="X57" s="20">
        <f>VLOOKUP(A57,[1]Sheet!$A:$S,19,0)</f>
        <v>0</v>
      </c>
      <c r="Y57" s="6">
        <f t="shared" si="8"/>
        <v>24.924242424242422</v>
      </c>
      <c r="Z57" s="6">
        <f t="shared" si="18"/>
        <v>24.924242424242422</v>
      </c>
      <c r="AA57" s="6">
        <v>4.5110000000000001</v>
      </c>
      <c r="AB57" s="6">
        <v>3.62</v>
      </c>
      <c r="AC57" s="6">
        <v>2.024</v>
      </c>
      <c r="AD57" s="6">
        <v>4.5279999999999996</v>
      </c>
      <c r="AE57" s="6">
        <v>3.6309999999999998</v>
      </c>
      <c r="AF57" s="6">
        <v>3.617</v>
      </c>
      <c r="AG57" s="6">
        <v>1.8580000000000001</v>
      </c>
      <c r="AH57" s="6">
        <v>2.8534000000000002</v>
      </c>
      <c r="AI57" s="6"/>
      <c r="AJ57" s="6">
        <f t="shared" si="9"/>
        <v>0</v>
      </c>
      <c r="AK57" s="6">
        <f t="shared" si="10"/>
        <v>0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x14ac:dyDescent="0.25">
      <c r="A58" s="6" t="s">
        <v>102</v>
      </c>
      <c r="B58" s="6" t="s">
        <v>33</v>
      </c>
      <c r="C58" s="6">
        <v>33</v>
      </c>
      <c r="D58" s="6"/>
      <c r="E58" s="6">
        <v>24</v>
      </c>
      <c r="F58" s="6">
        <v>8</v>
      </c>
      <c r="G58" s="7">
        <v>0.6</v>
      </c>
      <c r="H58" s="6">
        <v>45</v>
      </c>
      <c r="I58" s="6" t="s">
        <v>34</v>
      </c>
      <c r="J58" s="6"/>
      <c r="K58" s="6">
        <v>25</v>
      </c>
      <c r="L58" s="6">
        <f t="shared" si="16"/>
        <v>-1</v>
      </c>
      <c r="M58" s="6"/>
      <c r="N58" s="6"/>
      <c r="O58" s="6">
        <v>27</v>
      </c>
      <c r="P58" s="6"/>
      <c r="Q58" s="6">
        <f t="shared" si="17"/>
        <v>4.8</v>
      </c>
      <c r="R58" s="8">
        <f t="shared" si="20"/>
        <v>37</v>
      </c>
      <c r="S58" s="8">
        <f t="shared" si="6"/>
        <v>37</v>
      </c>
      <c r="T58" s="8">
        <f t="shared" si="7"/>
        <v>37</v>
      </c>
      <c r="U58" s="8"/>
      <c r="V58" s="8"/>
      <c r="W58" s="20"/>
      <c r="X58" s="20">
        <f>VLOOKUP(A58,[1]Sheet!$A:$S,19,0)</f>
        <v>0</v>
      </c>
      <c r="Y58" s="6">
        <f t="shared" si="8"/>
        <v>15</v>
      </c>
      <c r="Z58" s="6">
        <f t="shared" si="18"/>
        <v>7.291666666666667</v>
      </c>
      <c r="AA58" s="6">
        <v>4</v>
      </c>
      <c r="AB58" s="6">
        <v>-0.2</v>
      </c>
      <c r="AC58" s="6">
        <v>0.8</v>
      </c>
      <c r="AD58" s="6">
        <v>3</v>
      </c>
      <c r="AE58" s="6">
        <v>10.4</v>
      </c>
      <c r="AF58" s="6">
        <v>6</v>
      </c>
      <c r="AG58" s="6">
        <v>7</v>
      </c>
      <c r="AH58" s="6">
        <v>4.8</v>
      </c>
      <c r="AI58" s="6"/>
      <c r="AJ58" s="6">
        <f t="shared" si="9"/>
        <v>22.2</v>
      </c>
      <c r="AK58" s="6">
        <f t="shared" si="10"/>
        <v>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25">
      <c r="A59" s="9" t="s">
        <v>103</v>
      </c>
      <c r="B59" s="9" t="s">
        <v>36</v>
      </c>
      <c r="C59" s="9"/>
      <c r="D59" s="9"/>
      <c r="E59" s="9">
        <v>-0.85899999999999999</v>
      </c>
      <c r="F59" s="9"/>
      <c r="G59" s="10">
        <v>0</v>
      </c>
      <c r="H59" s="9">
        <v>45</v>
      </c>
      <c r="I59" s="9" t="s">
        <v>56</v>
      </c>
      <c r="J59" s="9"/>
      <c r="K59" s="9">
        <v>0.8</v>
      </c>
      <c r="L59" s="9">
        <f t="shared" si="16"/>
        <v>-1.659</v>
      </c>
      <c r="M59" s="9"/>
      <c r="N59" s="9"/>
      <c r="O59" s="9">
        <v>17</v>
      </c>
      <c r="P59" s="9"/>
      <c r="Q59" s="9">
        <f t="shared" si="17"/>
        <v>-0.17180000000000001</v>
      </c>
      <c r="R59" s="11"/>
      <c r="S59" s="8">
        <f t="shared" si="6"/>
        <v>0</v>
      </c>
      <c r="T59" s="8">
        <f t="shared" si="7"/>
        <v>0</v>
      </c>
      <c r="U59" s="8"/>
      <c r="V59" s="8"/>
      <c r="W59" s="21"/>
      <c r="X59" s="20">
        <f>VLOOKUP(A59,[1]Sheet!$A:$S,19,0)</f>
        <v>0</v>
      </c>
      <c r="Y59" s="6">
        <f t="shared" si="8"/>
        <v>-98.952270081490099</v>
      </c>
      <c r="Z59" s="9">
        <f t="shared" si="18"/>
        <v>-98.952270081490099</v>
      </c>
      <c r="AA59" s="9">
        <v>1.7132000000000001</v>
      </c>
      <c r="AB59" s="9">
        <v>1.03</v>
      </c>
      <c r="AC59" s="9">
        <v>0.85760000000000003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/>
      <c r="AJ59" s="6">
        <f t="shared" si="9"/>
        <v>0</v>
      </c>
      <c r="AK59" s="6">
        <f t="shared" si="10"/>
        <v>0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x14ac:dyDescent="0.25">
      <c r="A60" s="9" t="s">
        <v>104</v>
      </c>
      <c r="B60" s="9" t="s">
        <v>36</v>
      </c>
      <c r="C60" s="9"/>
      <c r="D60" s="9"/>
      <c r="E60" s="14">
        <v>12.435</v>
      </c>
      <c r="F60" s="14">
        <v>-12.435</v>
      </c>
      <c r="G60" s="10">
        <v>0</v>
      </c>
      <c r="H60" s="9">
        <v>0</v>
      </c>
      <c r="I60" s="9" t="s">
        <v>105</v>
      </c>
      <c r="J60" s="9" t="s">
        <v>106</v>
      </c>
      <c r="K60" s="9">
        <v>16.5</v>
      </c>
      <c r="L60" s="9">
        <f t="shared" si="16"/>
        <v>-4.0649999999999995</v>
      </c>
      <c r="M60" s="9"/>
      <c r="N60" s="9"/>
      <c r="O60" s="9"/>
      <c r="P60" s="9"/>
      <c r="Q60" s="9">
        <f t="shared" si="17"/>
        <v>2.4870000000000001</v>
      </c>
      <c r="R60" s="11"/>
      <c r="S60" s="8">
        <f t="shared" si="6"/>
        <v>0</v>
      </c>
      <c r="T60" s="8">
        <f t="shared" si="7"/>
        <v>0</v>
      </c>
      <c r="U60" s="8"/>
      <c r="V60" s="8"/>
      <c r="W60" s="21"/>
      <c r="X60" s="20">
        <f>VLOOKUP(A60,[1]Sheet!$A:$S,19,0)</f>
        <v>0</v>
      </c>
      <c r="Y60" s="6">
        <f t="shared" si="8"/>
        <v>-5</v>
      </c>
      <c r="Z60" s="9">
        <f t="shared" si="18"/>
        <v>-5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/>
      <c r="AJ60" s="6">
        <f t="shared" si="9"/>
        <v>0</v>
      </c>
      <c r="AK60" s="6">
        <f t="shared" si="10"/>
        <v>0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25">
      <c r="A61" s="6" t="s">
        <v>107</v>
      </c>
      <c r="B61" s="6" t="s">
        <v>33</v>
      </c>
      <c r="C61" s="6">
        <v>70</v>
      </c>
      <c r="D61" s="6">
        <v>47</v>
      </c>
      <c r="E61" s="6">
        <v>50</v>
      </c>
      <c r="F61" s="6">
        <v>57</v>
      </c>
      <c r="G61" s="7">
        <v>0.25</v>
      </c>
      <c r="H61" s="6">
        <v>120</v>
      </c>
      <c r="I61" s="6" t="s">
        <v>34</v>
      </c>
      <c r="J61" s="6"/>
      <c r="K61" s="6">
        <v>77</v>
      </c>
      <c r="L61" s="6">
        <f t="shared" si="16"/>
        <v>-27</v>
      </c>
      <c r="M61" s="6"/>
      <c r="N61" s="6"/>
      <c r="O61" s="6">
        <v>40</v>
      </c>
      <c r="P61" s="6"/>
      <c r="Q61" s="6">
        <f t="shared" si="17"/>
        <v>10</v>
      </c>
      <c r="R61" s="8">
        <f>20*Q61-P61-O61-F61</f>
        <v>103</v>
      </c>
      <c r="S61" s="8">
        <f t="shared" si="6"/>
        <v>103</v>
      </c>
      <c r="T61" s="8">
        <f t="shared" si="7"/>
        <v>36</v>
      </c>
      <c r="U61" s="8">
        <f>ROUND(S61*$U$1,0)</f>
        <v>67</v>
      </c>
      <c r="V61" s="8"/>
      <c r="W61" s="20"/>
      <c r="X61" s="20">
        <f>VLOOKUP(A61,[1]Sheet!$A:$S,19,0)</f>
        <v>0</v>
      </c>
      <c r="Y61" s="6">
        <f t="shared" si="8"/>
        <v>20</v>
      </c>
      <c r="Z61" s="6">
        <f t="shared" si="18"/>
        <v>9.6999999999999993</v>
      </c>
      <c r="AA61" s="6">
        <v>7.6</v>
      </c>
      <c r="AB61" s="6">
        <v>10</v>
      </c>
      <c r="AC61" s="6">
        <v>11.4</v>
      </c>
      <c r="AD61" s="6">
        <v>4.5999999999999996</v>
      </c>
      <c r="AE61" s="6">
        <v>7</v>
      </c>
      <c r="AF61" s="6">
        <v>8.8000000000000007</v>
      </c>
      <c r="AG61" s="6">
        <v>15.8</v>
      </c>
      <c r="AH61" s="6">
        <v>8</v>
      </c>
      <c r="AI61" s="6" t="s">
        <v>37</v>
      </c>
      <c r="AJ61" s="6">
        <f t="shared" si="9"/>
        <v>9</v>
      </c>
      <c r="AK61" s="6">
        <f t="shared" si="10"/>
        <v>16.75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x14ac:dyDescent="0.25">
      <c r="A62" s="6" t="s">
        <v>108</v>
      </c>
      <c r="B62" s="6" t="s">
        <v>36</v>
      </c>
      <c r="C62" s="6">
        <v>8.2710000000000008</v>
      </c>
      <c r="D62" s="6">
        <v>10.301</v>
      </c>
      <c r="E62" s="6">
        <v>9.9760000000000009</v>
      </c>
      <c r="F62" s="6">
        <v>7.2220000000000004</v>
      </c>
      <c r="G62" s="7">
        <v>1</v>
      </c>
      <c r="H62" s="6">
        <v>45</v>
      </c>
      <c r="I62" s="6" t="s">
        <v>34</v>
      </c>
      <c r="J62" s="6"/>
      <c r="K62" s="6">
        <v>12.3</v>
      </c>
      <c r="L62" s="6">
        <f t="shared" si="16"/>
        <v>-2.3239999999999998</v>
      </c>
      <c r="M62" s="6"/>
      <c r="N62" s="6"/>
      <c r="O62" s="6">
        <v>18</v>
      </c>
      <c r="P62" s="6"/>
      <c r="Q62" s="6">
        <f t="shared" si="17"/>
        <v>1.9952000000000001</v>
      </c>
      <c r="R62" s="8">
        <v>6</v>
      </c>
      <c r="S62" s="8">
        <f t="shared" si="6"/>
        <v>6</v>
      </c>
      <c r="T62" s="8">
        <f t="shared" si="7"/>
        <v>6</v>
      </c>
      <c r="U62" s="8"/>
      <c r="V62" s="8"/>
      <c r="W62" s="20"/>
      <c r="X62" s="20">
        <f>VLOOKUP(A62,[1]Sheet!$A:$S,19,0)</f>
        <v>0</v>
      </c>
      <c r="Y62" s="6">
        <f t="shared" si="8"/>
        <v>15.648556535685646</v>
      </c>
      <c r="Z62" s="6">
        <f t="shared" si="18"/>
        <v>12.641339214113874</v>
      </c>
      <c r="AA62" s="6">
        <v>2.8637999999999999</v>
      </c>
      <c r="AB62" s="6">
        <v>2.9007999999999998</v>
      </c>
      <c r="AC62" s="6">
        <v>3.1057999999999999</v>
      </c>
      <c r="AD62" s="6">
        <v>3.4205999999999999</v>
      </c>
      <c r="AE62" s="6">
        <v>3.7978000000000001</v>
      </c>
      <c r="AF62" s="6">
        <v>2.9956</v>
      </c>
      <c r="AG62" s="6">
        <v>3.9388000000000001</v>
      </c>
      <c r="AH62" s="6">
        <v>3.18</v>
      </c>
      <c r="AI62" s="6"/>
      <c r="AJ62" s="6">
        <f t="shared" si="9"/>
        <v>6</v>
      </c>
      <c r="AK62" s="6">
        <f t="shared" si="10"/>
        <v>0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25">
      <c r="A63" s="6" t="s">
        <v>109</v>
      </c>
      <c r="B63" s="6" t="s">
        <v>33</v>
      </c>
      <c r="C63" s="6"/>
      <c r="D63" s="6">
        <v>251</v>
      </c>
      <c r="E63" s="6">
        <v>79</v>
      </c>
      <c r="F63" s="6">
        <v>159</v>
      </c>
      <c r="G63" s="7">
        <v>0.3</v>
      </c>
      <c r="H63" s="6">
        <v>60</v>
      </c>
      <c r="I63" s="6" t="s">
        <v>34</v>
      </c>
      <c r="J63" s="6"/>
      <c r="K63" s="6">
        <v>133</v>
      </c>
      <c r="L63" s="6">
        <f t="shared" si="16"/>
        <v>-54</v>
      </c>
      <c r="M63" s="6"/>
      <c r="N63" s="6"/>
      <c r="O63" s="6">
        <v>52</v>
      </c>
      <c r="P63" s="6">
        <v>62</v>
      </c>
      <c r="Q63" s="6">
        <f t="shared" si="17"/>
        <v>15.8</v>
      </c>
      <c r="R63" s="8"/>
      <c r="S63" s="8">
        <f t="shared" si="6"/>
        <v>0</v>
      </c>
      <c r="T63" s="8">
        <f t="shared" si="7"/>
        <v>0</v>
      </c>
      <c r="U63" s="8"/>
      <c r="V63" s="8"/>
      <c r="W63" s="20"/>
      <c r="X63" s="20">
        <f>VLOOKUP(A63,[1]Sheet!$A:$S,19,0)</f>
        <v>0</v>
      </c>
      <c r="Y63" s="6">
        <f t="shared" si="8"/>
        <v>17.278481012658226</v>
      </c>
      <c r="Z63" s="6">
        <f t="shared" si="18"/>
        <v>17.278481012658226</v>
      </c>
      <c r="AA63" s="6">
        <v>24.4</v>
      </c>
      <c r="AB63" s="6">
        <v>27.4</v>
      </c>
      <c r="AC63" s="6">
        <v>18.399999999999999</v>
      </c>
      <c r="AD63" s="6">
        <v>26.2</v>
      </c>
      <c r="AE63" s="6">
        <v>33.4</v>
      </c>
      <c r="AF63" s="6">
        <v>35.6</v>
      </c>
      <c r="AG63" s="6">
        <v>17.600000000000001</v>
      </c>
      <c r="AH63" s="6">
        <v>13.2</v>
      </c>
      <c r="AI63" s="6"/>
      <c r="AJ63" s="6">
        <f t="shared" si="9"/>
        <v>0</v>
      </c>
      <c r="AK63" s="6">
        <f t="shared" si="10"/>
        <v>0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x14ac:dyDescent="0.25">
      <c r="A64" s="6" t="s">
        <v>110</v>
      </c>
      <c r="B64" s="6" t="s">
        <v>33</v>
      </c>
      <c r="C64" s="6">
        <v>200</v>
      </c>
      <c r="D64" s="6">
        <v>2796</v>
      </c>
      <c r="E64" s="14">
        <f>885+E65</f>
        <v>889</v>
      </c>
      <c r="F64" s="14">
        <f>1736+F65</f>
        <v>1733</v>
      </c>
      <c r="G64" s="7">
        <v>0.41</v>
      </c>
      <c r="H64" s="6">
        <v>50</v>
      </c>
      <c r="I64" s="6" t="s">
        <v>34</v>
      </c>
      <c r="J64" s="6"/>
      <c r="K64" s="6">
        <v>1419</v>
      </c>
      <c r="L64" s="6">
        <f t="shared" si="16"/>
        <v>-530</v>
      </c>
      <c r="M64" s="6"/>
      <c r="N64" s="6"/>
      <c r="O64" s="6">
        <v>298</v>
      </c>
      <c r="P64" s="6">
        <v>350</v>
      </c>
      <c r="Q64" s="6">
        <f t="shared" si="17"/>
        <v>177.8</v>
      </c>
      <c r="R64" s="8">
        <f t="shared" ref="R64" si="21">15*Q64-P64-O64-F64</f>
        <v>286</v>
      </c>
      <c r="S64" s="8">
        <f t="shared" si="6"/>
        <v>286</v>
      </c>
      <c r="T64" s="8">
        <f t="shared" si="7"/>
        <v>100</v>
      </c>
      <c r="U64" s="8">
        <f>ROUND(S64*$U$1,0)</f>
        <v>186</v>
      </c>
      <c r="V64" s="8"/>
      <c r="W64" s="20"/>
      <c r="X64" s="20">
        <f>VLOOKUP(A64,[1]Sheet!$A:$S,19,0)</f>
        <v>0</v>
      </c>
      <c r="Y64" s="6">
        <f t="shared" si="8"/>
        <v>14.999999999999998</v>
      </c>
      <c r="Z64" s="6">
        <f t="shared" si="18"/>
        <v>13.391451068616423</v>
      </c>
      <c r="AA64" s="6">
        <v>224.2</v>
      </c>
      <c r="AB64" s="6">
        <v>325.39999999999998</v>
      </c>
      <c r="AC64" s="6">
        <v>226.4</v>
      </c>
      <c r="AD64" s="6">
        <v>282</v>
      </c>
      <c r="AE64" s="6">
        <v>262.39999999999998</v>
      </c>
      <c r="AF64" s="6">
        <v>228</v>
      </c>
      <c r="AG64" s="6">
        <v>234</v>
      </c>
      <c r="AH64" s="6">
        <v>316.39999999999998</v>
      </c>
      <c r="AI64" s="6"/>
      <c r="AJ64" s="6">
        <f t="shared" si="9"/>
        <v>41</v>
      </c>
      <c r="AK64" s="6">
        <f t="shared" si="10"/>
        <v>76.259999999999991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25">
      <c r="A65" s="9" t="s">
        <v>111</v>
      </c>
      <c r="B65" s="9" t="s">
        <v>33</v>
      </c>
      <c r="C65" s="9">
        <v>1</v>
      </c>
      <c r="D65" s="9"/>
      <c r="E65" s="14">
        <v>4</v>
      </c>
      <c r="F65" s="14">
        <v>-3</v>
      </c>
      <c r="G65" s="10">
        <v>0</v>
      </c>
      <c r="H65" s="9"/>
      <c r="I65" s="9" t="s">
        <v>105</v>
      </c>
      <c r="J65" s="9" t="s">
        <v>110</v>
      </c>
      <c r="K65" s="9">
        <v>22</v>
      </c>
      <c r="L65" s="9">
        <f t="shared" si="16"/>
        <v>-18</v>
      </c>
      <c r="M65" s="9"/>
      <c r="N65" s="9"/>
      <c r="O65" s="9">
        <v>0</v>
      </c>
      <c r="P65" s="9"/>
      <c r="Q65" s="9">
        <f t="shared" si="17"/>
        <v>0.8</v>
      </c>
      <c r="R65" s="11"/>
      <c r="S65" s="8">
        <f t="shared" si="6"/>
        <v>0</v>
      </c>
      <c r="T65" s="8">
        <f t="shared" si="7"/>
        <v>0</v>
      </c>
      <c r="U65" s="8"/>
      <c r="V65" s="8"/>
      <c r="W65" s="21"/>
      <c r="X65" s="20">
        <f>VLOOKUP(A65,[1]Sheet!$A:$S,19,0)</f>
        <v>0</v>
      </c>
      <c r="Y65" s="6">
        <f t="shared" si="8"/>
        <v>-3.75</v>
      </c>
      <c r="Z65" s="9">
        <f t="shared" si="18"/>
        <v>-3.75</v>
      </c>
      <c r="AA65" s="9">
        <v>33.4</v>
      </c>
      <c r="AB65" s="9">
        <v>184.6</v>
      </c>
      <c r="AC65" s="9">
        <v>20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/>
      <c r="AJ65" s="6">
        <f t="shared" si="9"/>
        <v>0</v>
      </c>
      <c r="AK65" s="6">
        <f t="shared" si="10"/>
        <v>0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</row>
    <row r="66" spans="1:53" x14ac:dyDescent="0.25">
      <c r="A66" s="6" t="s">
        <v>106</v>
      </c>
      <c r="B66" s="6" t="s">
        <v>36</v>
      </c>
      <c r="C66" s="6">
        <v>465.98899999999998</v>
      </c>
      <c r="D66" s="6">
        <v>224.358</v>
      </c>
      <c r="E66" s="14">
        <f>330.133+E60+E106</f>
        <v>344.12799999999999</v>
      </c>
      <c r="F66" s="14">
        <f>331.888+F60+F106</f>
        <v>356.13</v>
      </c>
      <c r="G66" s="7">
        <v>1</v>
      </c>
      <c r="H66" s="6">
        <v>50</v>
      </c>
      <c r="I66" s="6" t="s">
        <v>34</v>
      </c>
      <c r="J66" s="6"/>
      <c r="K66" s="6">
        <v>393.4</v>
      </c>
      <c r="L66" s="6">
        <f t="shared" si="16"/>
        <v>-49.271999999999991</v>
      </c>
      <c r="M66" s="6"/>
      <c r="N66" s="6"/>
      <c r="O66" s="6">
        <v>103</v>
      </c>
      <c r="P66" s="6">
        <v>120</v>
      </c>
      <c r="Q66" s="6">
        <f t="shared" si="17"/>
        <v>68.825599999999994</v>
      </c>
      <c r="R66" s="8">
        <f t="shared" ref="R66:R71" si="22">15*Q66-P66-O66-F66</f>
        <v>453.25400000000002</v>
      </c>
      <c r="S66" s="8">
        <f t="shared" si="6"/>
        <v>453</v>
      </c>
      <c r="T66" s="8">
        <f t="shared" si="7"/>
        <v>159</v>
      </c>
      <c r="U66" s="8">
        <f>ROUND(S66*$U$1,0)</f>
        <v>294</v>
      </c>
      <c r="V66" s="8"/>
      <c r="W66" s="20"/>
      <c r="X66" s="20">
        <f>VLOOKUP(A66,[1]Sheet!$A:$S,19,0)</f>
        <v>0</v>
      </c>
      <c r="Y66" s="6">
        <f t="shared" si="8"/>
        <v>14.996309512739449</v>
      </c>
      <c r="Z66" s="6">
        <f t="shared" si="18"/>
        <v>8.4144562488376433</v>
      </c>
      <c r="AA66" s="6">
        <v>62.052600000000012</v>
      </c>
      <c r="AB66" s="6">
        <v>67.328400000000002</v>
      </c>
      <c r="AC66" s="6">
        <v>75.135400000000004</v>
      </c>
      <c r="AD66" s="6">
        <v>94.911000000000001</v>
      </c>
      <c r="AE66" s="6">
        <v>43.7624</v>
      </c>
      <c r="AF66" s="6">
        <v>79.599999999999994</v>
      </c>
      <c r="AG66" s="6">
        <v>20.056000000000001</v>
      </c>
      <c r="AH66" s="6">
        <v>51.692399999999999</v>
      </c>
      <c r="AI66" s="6"/>
      <c r="AJ66" s="6">
        <f t="shared" si="9"/>
        <v>159</v>
      </c>
      <c r="AK66" s="6">
        <f t="shared" si="10"/>
        <v>294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x14ac:dyDescent="0.25">
      <c r="A67" s="6" t="s">
        <v>112</v>
      </c>
      <c r="B67" s="6" t="s">
        <v>33</v>
      </c>
      <c r="C67" s="6">
        <v>25</v>
      </c>
      <c r="D67" s="6">
        <v>79</v>
      </c>
      <c r="E67" s="6">
        <v>47</v>
      </c>
      <c r="F67" s="6">
        <v>37</v>
      </c>
      <c r="G67" s="7">
        <v>0.35</v>
      </c>
      <c r="H67" s="6">
        <v>50</v>
      </c>
      <c r="I67" s="6" t="s">
        <v>34</v>
      </c>
      <c r="J67" s="6"/>
      <c r="K67" s="6">
        <v>69</v>
      </c>
      <c r="L67" s="6">
        <f t="shared" si="16"/>
        <v>-22</v>
      </c>
      <c r="M67" s="6"/>
      <c r="N67" s="6"/>
      <c r="O67" s="6">
        <v>26</v>
      </c>
      <c r="P67" s="6"/>
      <c r="Q67" s="6">
        <f t="shared" si="17"/>
        <v>9.4</v>
      </c>
      <c r="R67" s="8">
        <f t="shared" si="22"/>
        <v>78</v>
      </c>
      <c r="S67" s="8">
        <f t="shared" si="6"/>
        <v>78</v>
      </c>
      <c r="T67" s="8">
        <f t="shared" si="7"/>
        <v>78</v>
      </c>
      <c r="U67" s="8"/>
      <c r="V67" s="8"/>
      <c r="W67" s="20"/>
      <c r="X67" s="20">
        <f>VLOOKUP(A67,[1]Sheet!$A:$S,19,0)</f>
        <v>0</v>
      </c>
      <c r="Y67" s="6">
        <f t="shared" si="8"/>
        <v>15</v>
      </c>
      <c r="Z67" s="6">
        <f t="shared" si="18"/>
        <v>6.7021276595744679</v>
      </c>
      <c r="AA67" s="6">
        <v>8</v>
      </c>
      <c r="AB67" s="6">
        <v>9.8000000000000007</v>
      </c>
      <c r="AC67" s="6">
        <v>10</v>
      </c>
      <c r="AD67" s="6">
        <v>9.4</v>
      </c>
      <c r="AE67" s="6">
        <v>8</v>
      </c>
      <c r="AF67" s="6">
        <v>7.6</v>
      </c>
      <c r="AG67" s="6">
        <v>12.6</v>
      </c>
      <c r="AH67" s="6">
        <v>5.4</v>
      </c>
      <c r="AI67" s="6"/>
      <c r="AJ67" s="6">
        <f t="shared" si="9"/>
        <v>27.299999999999997</v>
      </c>
      <c r="AK67" s="6">
        <f t="shared" si="10"/>
        <v>0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x14ac:dyDescent="0.25">
      <c r="A68" s="6" t="s">
        <v>113</v>
      </c>
      <c r="B68" s="6" t="s">
        <v>33</v>
      </c>
      <c r="C68" s="6">
        <v>864</v>
      </c>
      <c r="D68" s="6">
        <v>609</v>
      </c>
      <c r="E68" s="6">
        <v>257</v>
      </c>
      <c r="F68" s="6">
        <v>145</v>
      </c>
      <c r="G68" s="7">
        <v>0.41</v>
      </c>
      <c r="H68" s="6">
        <v>50</v>
      </c>
      <c r="I68" s="15" t="s">
        <v>48</v>
      </c>
      <c r="J68" s="6"/>
      <c r="K68" s="6">
        <v>938</v>
      </c>
      <c r="L68" s="6">
        <f t="shared" si="16"/>
        <v>-681</v>
      </c>
      <c r="M68" s="6"/>
      <c r="N68" s="6"/>
      <c r="O68" s="6">
        <v>184</v>
      </c>
      <c r="P68" s="6">
        <v>216</v>
      </c>
      <c r="Q68" s="6">
        <f t="shared" si="17"/>
        <v>51.4</v>
      </c>
      <c r="R68" s="8">
        <v>700</v>
      </c>
      <c r="S68" s="8">
        <f t="shared" si="6"/>
        <v>700</v>
      </c>
      <c r="T68" s="8">
        <f t="shared" si="7"/>
        <v>245</v>
      </c>
      <c r="U68" s="8">
        <f>ROUND(S68*$U$1,0)</f>
        <v>455</v>
      </c>
      <c r="V68" s="8"/>
      <c r="W68" s="20"/>
      <c r="X68" s="20">
        <f>VLOOKUP(A68,[1]Sheet!$A:$S,19,0)</f>
        <v>0</v>
      </c>
      <c r="Y68" s="6">
        <f t="shared" si="8"/>
        <v>24.221789883268482</v>
      </c>
      <c r="Z68" s="6">
        <f t="shared" si="18"/>
        <v>10.603112840466926</v>
      </c>
      <c r="AA68" s="6">
        <v>131.80000000000001</v>
      </c>
      <c r="AB68" s="6">
        <v>48</v>
      </c>
      <c r="AC68" s="6">
        <v>131.4</v>
      </c>
      <c r="AD68" s="6">
        <v>124</v>
      </c>
      <c r="AE68" s="6">
        <v>154.19999999999999</v>
      </c>
      <c r="AF68" s="6">
        <v>270.60000000000002</v>
      </c>
      <c r="AG68" s="6">
        <v>133</v>
      </c>
      <c r="AH68" s="6">
        <v>136.80000000000001</v>
      </c>
      <c r="AI68" s="12" t="s">
        <v>166</v>
      </c>
      <c r="AJ68" s="6">
        <f t="shared" si="9"/>
        <v>100.44999999999999</v>
      </c>
      <c r="AK68" s="6">
        <f t="shared" si="10"/>
        <v>186.54999999999998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</row>
    <row r="69" spans="1:53" x14ac:dyDescent="0.25">
      <c r="A69" s="6" t="s">
        <v>114</v>
      </c>
      <c r="B69" s="6" t="s">
        <v>36</v>
      </c>
      <c r="C69" s="6">
        <v>160.78899999999999</v>
      </c>
      <c r="D69" s="6">
        <v>23.260999999999999</v>
      </c>
      <c r="E69" s="6">
        <v>52.436</v>
      </c>
      <c r="F69" s="6">
        <v>111.125</v>
      </c>
      <c r="G69" s="7">
        <v>1</v>
      </c>
      <c r="H69" s="6">
        <v>50</v>
      </c>
      <c r="I69" s="6" t="s">
        <v>34</v>
      </c>
      <c r="J69" s="6"/>
      <c r="K69" s="6">
        <v>66.099999999999994</v>
      </c>
      <c r="L69" s="6">
        <f t="shared" si="16"/>
        <v>-13.663999999999994</v>
      </c>
      <c r="M69" s="6"/>
      <c r="N69" s="6"/>
      <c r="O69" s="6">
        <v>52</v>
      </c>
      <c r="P69" s="6">
        <v>62</v>
      </c>
      <c r="Q69" s="6">
        <f t="shared" si="17"/>
        <v>10.4872</v>
      </c>
      <c r="R69" s="8"/>
      <c r="S69" s="8">
        <f t="shared" si="6"/>
        <v>0</v>
      </c>
      <c r="T69" s="8">
        <f t="shared" si="7"/>
        <v>0</v>
      </c>
      <c r="U69" s="8"/>
      <c r="V69" s="8"/>
      <c r="W69" s="20"/>
      <c r="X69" s="20">
        <f>VLOOKUP(A69,[1]Sheet!$A:$S,19,0)</f>
        <v>0</v>
      </c>
      <c r="Y69" s="6">
        <f t="shared" si="8"/>
        <v>21.466645053017011</v>
      </c>
      <c r="Z69" s="6">
        <f t="shared" si="18"/>
        <v>21.466645053017011</v>
      </c>
      <c r="AA69" s="6">
        <v>19.265799999999999</v>
      </c>
      <c r="AB69" s="6">
        <v>18.461200000000002</v>
      </c>
      <c r="AC69" s="6">
        <v>25.2182</v>
      </c>
      <c r="AD69" s="6">
        <v>39</v>
      </c>
      <c r="AE69" s="6">
        <v>44.2</v>
      </c>
      <c r="AF69" s="6">
        <v>23.9648</v>
      </c>
      <c r="AG69" s="6">
        <v>22.8184</v>
      </c>
      <c r="AH69" s="6">
        <v>27.2654</v>
      </c>
      <c r="AI69" s="17" t="s">
        <v>99</v>
      </c>
      <c r="AJ69" s="6">
        <f t="shared" si="9"/>
        <v>0</v>
      </c>
      <c r="AK69" s="6">
        <f t="shared" si="10"/>
        <v>0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x14ac:dyDescent="0.25">
      <c r="A70" s="6" t="s">
        <v>115</v>
      </c>
      <c r="B70" s="6" t="s">
        <v>33</v>
      </c>
      <c r="C70" s="6"/>
      <c r="D70" s="6">
        <v>56</v>
      </c>
      <c r="E70" s="6">
        <v>43</v>
      </c>
      <c r="F70" s="6">
        <v>-1</v>
      </c>
      <c r="G70" s="7">
        <v>0.3</v>
      </c>
      <c r="H70" s="6">
        <v>50</v>
      </c>
      <c r="I70" s="6" t="s">
        <v>34</v>
      </c>
      <c r="J70" s="6"/>
      <c r="K70" s="6">
        <v>163</v>
      </c>
      <c r="L70" s="6">
        <f t="shared" ref="L70:L101" si="23">E70-K70</f>
        <v>-120</v>
      </c>
      <c r="M70" s="6"/>
      <c r="N70" s="6"/>
      <c r="O70" s="6">
        <v>16</v>
      </c>
      <c r="P70" s="6"/>
      <c r="Q70" s="6">
        <f t="shared" ref="Q70:Q101" si="24">E70/5</f>
        <v>8.6</v>
      </c>
      <c r="R70" s="8">
        <f>12*Q70-P70-O70-F70</f>
        <v>88.199999999999989</v>
      </c>
      <c r="S70" s="8">
        <f t="shared" si="6"/>
        <v>88</v>
      </c>
      <c r="T70" s="8">
        <f t="shared" si="7"/>
        <v>88</v>
      </c>
      <c r="U70" s="8"/>
      <c r="V70" s="8"/>
      <c r="W70" s="20"/>
      <c r="X70" s="20">
        <f>VLOOKUP(A70,[1]Sheet!$A:$S,19,0)</f>
        <v>0</v>
      </c>
      <c r="Y70" s="6">
        <f t="shared" si="8"/>
        <v>11.976744186046512</v>
      </c>
      <c r="Z70" s="6">
        <f t="shared" ref="Z70:Z101" si="25">(F70+O70+P70)/Q70</f>
        <v>1.7441860465116279</v>
      </c>
      <c r="AA70" s="6">
        <v>4.4000000000000004</v>
      </c>
      <c r="AB70" s="6">
        <v>-0.6</v>
      </c>
      <c r="AC70" s="6">
        <v>3</v>
      </c>
      <c r="AD70" s="6">
        <v>-0.6</v>
      </c>
      <c r="AE70" s="6">
        <v>7.2</v>
      </c>
      <c r="AF70" s="6">
        <v>39.799999999999997</v>
      </c>
      <c r="AG70" s="6">
        <v>10.6</v>
      </c>
      <c r="AH70" s="6">
        <v>1.2</v>
      </c>
      <c r="AI70" s="6"/>
      <c r="AJ70" s="6">
        <f t="shared" si="9"/>
        <v>26.4</v>
      </c>
      <c r="AK70" s="6">
        <f t="shared" si="10"/>
        <v>0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3" x14ac:dyDescent="0.25">
      <c r="A71" s="6" t="s">
        <v>116</v>
      </c>
      <c r="B71" s="6" t="s">
        <v>33</v>
      </c>
      <c r="C71" s="6">
        <v>89</v>
      </c>
      <c r="D71" s="6">
        <v>360</v>
      </c>
      <c r="E71" s="6">
        <v>330</v>
      </c>
      <c r="F71" s="6">
        <v>90</v>
      </c>
      <c r="G71" s="7">
        <v>0.18</v>
      </c>
      <c r="H71" s="6">
        <v>50</v>
      </c>
      <c r="I71" s="6" t="s">
        <v>34</v>
      </c>
      <c r="J71" s="6"/>
      <c r="K71" s="6">
        <v>409</v>
      </c>
      <c r="L71" s="6">
        <f t="shared" si="23"/>
        <v>-79</v>
      </c>
      <c r="M71" s="6"/>
      <c r="N71" s="6"/>
      <c r="O71" s="6">
        <v>156</v>
      </c>
      <c r="P71" s="6">
        <v>183</v>
      </c>
      <c r="Q71" s="6">
        <f t="shared" si="24"/>
        <v>66</v>
      </c>
      <c r="R71" s="8">
        <f t="shared" si="22"/>
        <v>561</v>
      </c>
      <c r="S71" s="8">
        <f t="shared" ref="S71:S112" si="26">ROUND(R71,0)</f>
        <v>561</v>
      </c>
      <c r="T71" s="8">
        <f t="shared" ref="T71:T112" si="27">ROUND(S71-U71,0)</f>
        <v>196</v>
      </c>
      <c r="U71" s="8">
        <f>ROUND(S71*$U$1,0)</f>
        <v>365</v>
      </c>
      <c r="V71" s="8"/>
      <c r="W71" s="20"/>
      <c r="X71" s="20">
        <f>VLOOKUP(A71,[1]Sheet!$A:$S,19,0)</f>
        <v>0</v>
      </c>
      <c r="Y71" s="6">
        <f t="shared" ref="Y71:Y112" si="28">(F71+O71+P71+S71)/Q71</f>
        <v>15</v>
      </c>
      <c r="Z71" s="6">
        <f t="shared" si="25"/>
        <v>6.5</v>
      </c>
      <c r="AA71" s="6">
        <v>52.6</v>
      </c>
      <c r="AB71" s="6">
        <v>48.4</v>
      </c>
      <c r="AC71" s="6">
        <v>41.2</v>
      </c>
      <c r="AD71" s="6">
        <v>48.6</v>
      </c>
      <c r="AE71" s="6">
        <v>28</v>
      </c>
      <c r="AF71" s="6">
        <v>25.8</v>
      </c>
      <c r="AG71" s="6">
        <v>49.4</v>
      </c>
      <c r="AH71" s="6">
        <v>15.2</v>
      </c>
      <c r="AI71" s="6"/>
      <c r="AJ71" s="6">
        <f t="shared" ref="AJ71:AJ112" si="29">G71*T71</f>
        <v>35.28</v>
      </c>
      <c r="AK71" s="6">
        <f t="shared" ref="AK71:AK112" si="30">G71*U71</f>
        <v>65.7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</row>
    <row r="72" spans="1:53" x14ac:dyDescent="0.25">
      <c r="A72" s="9" t="s">
        <v>117</v>
      </c>
      <c r="B72" s="9" t="s">
        <v>33</v>
      </c>
      <c r="C72" s="9"/>
      <c r="D72" s="9"/>
      <c r="E72" s="9">
        <v>8</v>
      </c>
      <c r="F72" s="9">
        <v>-8</v>
      </c>
      <c r="G72" s="10">
        <v>0</v>
      </c>
      <c r="H72" s="9">
        <v>120</v>
      </c>
      <c r="I72" s="9" t="s">
        <v>56</v>
      </c>
      <c r="J72" s="9"/>
      <c r="K72" s="9">
        <v>14</v>
      </c>
      <c r="L72" s="9">
        <f t="shared" si="23"/>
        <v>-6</v>
      </c>
      <c r="M72" s="9"/>
      <c r="N72" s="9"/>
      <c r="O72" s="9">
        <v>24</v>
      </c>
      <c r="P72" s="9"/>
      <c r="Q72" s="9">
        <f t="shared" si="24"/>
        <v>1.6</v>
      </c>
      <c r="R72" s="11"/>
      <c r="S72" s="8">
        <f t="shared" si="26"/>
        <v>0</v>
      </c>
      <c r="T72" s="8">
        <f t="shared" si="27"/>
        <v>0</v>
      </c>
      <c r="U72" s="8"/>
      <c r="V72" s="8"/>
      <c r="W72" s="21"/>
      <c r="X72" s="20">
        <f>VLOOKUP(A72,[1]Sheet!$A:$S,19,0)</f>
        <v>0</v>
      </c>
      <c r="Y72" s="6">
        <f t="shared" si="28"/>
        <v>10</v>
      </c>
      <c r="Z72" s="9">
        <f t="shared" si="25"/>
        <v>10</v>
      </c>
      <c r="AA72" s="9">
        <v>0</v>
      </c>
      <c r="AB72" s="9">
        <v>1.4</v>
      </c>
      <c r="AC72" s="9">
        <v>1.8</v>
      </c>
      <c r="AD72" s="9">
        <v>3</v>
      </c>
      <c r="AE72" s="9">
        <v>2.4</v>
      </c>
      <c r="AF72" s="9">
        <v>2.4</v>
      </c>
      <c r="AG72" s="9">
        <v>1.6</v>
      </c>
      <c r="AH72" s="9">
        <v>5.2</v>
      </c>
      <c r="AI72" s="9"/>
      <c r="AJ72" s="6">
        <f t="shared" si="29"/>
        <v>0</v>
      </c>
      <c r="AK72" s="6">
        <f t="shared" si="30"/>
        <v>0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25">
      <c r="A73" s="6" t="s">
        <v>118</v>
      </c>
      <c r="B73" s="6" t="s">
        <v>33</v>
      </c>
      <c r="C73" s="6">
        <v>747</v>
      </c>
      <c r="D73" s="6">
        <v>1447</v>
      </c>
      <c r="E73" s="6">
        <v>620</v>
      </c>
      <c r="F73" s="6">
        <v>1343</v>
      </c>
      <c r="G73" s="7">
        <v>0.35</v>
      </c>
      <c r="H73" s="6">
        <v>50</v>
      </c>
      <c r="I73" s="6" t="s">
        <v>34</v>
      </c>
      <c r="J73" s="6"/>
      <c r="K73" s="6">
        <v>893</v>
      </c>
      <c r="L73" s="6">
        <f t="shared" si="23"/>
        <v>-273</v>
      </c>
      <c r="M73" s="6"/>
      <c r="N73" s="6"/>
      <c r="O73" s="6">
        <v>0</v>
      </c>
      <c r="P73" s="6"/>
      <c r="Q73" s="6">
        <f t="shared" si="24"/>
        <v>124</v>
      </c>
      <c r="R73" s="8">
        <f t="shared" ref="R73:R74" si="31">15*Q73-P73-O73-F73</f>
        <v>517</v>
      </c>
      <c r="S73" s="8">
        <f t="shared" si="26"/>
        <v>517</v>
      </c>
      <c r="T73" s="8">
        <f t="shared" si="27"/>
        <v>181</v>
      </c>
      <c r="U73" s="8">
        <f t="shared" ref="U73:U74" si="32">ROUND(S73*$U$1,0)</f>
        <v>336</v>
      </c>
      <c r="V73" s="8"/>
      <c r="W73" s="20"/>
      <c r="X73" s="20">
        <f>VLOOKUP(A73,[1]Sheet!$A:$S,19,0)</f>
        <v>0</v>
      </c>
      <c r="Y73" s="6">
        <f t="shared" si="28"/>
        <v>15</v>
      </c>
      <c r="Z73" s="6">
        <f t="shared" si="25"/>
        <v>10.830645161290322</v>
      </c>
      <c r="AA73" s="6">
        <v>132.19999999999999</v>
      </c>
      <c r="AB73" s="6">
        <v>175.6</v>
      </c>
      <c r="AC73" s="6">
        <v>149.80000000000001</v>
      </c>
      <c r="AD73" s="6">
        <v>176.6688</v>
      </c>
      <c r="AE73" s="6">
        <v>152.4</v>
      </c>
      <c r="AF73" s="6">
        <v>142.6</v>
      </c>
      <c r="AG73" s="6">
        <v>166</v>
      </c>
      <c r="AH73" s="6">
        <v>139</v>
      </c>
      <c r="AI73" s="6"/>
      <c r="AJ73" s="6">
        <f t="shared" si="29"/>
        <v>63.349999999999994</v>
      </c>
      <c r="AK73" s="6">
        <f t="shared" si="30"/>
        <v>117.6</v>
      </c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25">
      <c r="A74" s="6" t="s">
        <v>119</v>
      </c>
      <c r="B74" s="6" t="s">
        <v>36</v>
      </c>
      <c r="C74" s="6">
        <v>115.035</v>
      </c>
      <c r="D74" s="6">
        <v>109.806</v>
      </c>
      <c r="E74" s="6">
        <v>146.47</v>
      </c>
      <c r="F74" s="6">
        <v>75.039000000000001</v>
      </c>
      <c r="G74" s="7">
        <v>1</v>
      </c>
      <c r="H74" s="6">
        <v>50</v>
      </c>
      <c r="I74" s="6" t="s">
        <v>34</v>
      </c>
      <c r="J74" s="6"/>
      <c r="K74" s="6">
        <v>156.30000000000001</v>
      </c>
      <c r="L74" s="6">
        <f t="shared" si="23"/>
        <v>-9.8300000000000125</v>
      </c>
      <c r="M74" s="6"/>
      <c r="N74" s="6"/>
      <c r="O74" s="6">
        <v>81</v>
      </c>
      <c r="P74" s="6"/>
      <c r="Q74" s="6">
        <f t="shared" si="24"/>
        <v>29.294</v>
      </c>
      <c r="R74" s="8">
        <f t="shared" si="31"/>
        <v>283.37100000000004</v>
      </c>
      <c r="S74" s="8">
        <f t="shared" si="26"/>
        <v>283</v>
      </c>
      <c r="T74" s="8">
        <f t="shared" si="27"/>
        <v>99</v>
      </c>
      <c r="U74" s="8">
        <f t="shared" si="32"/>
        <v>184</v>
      </c>
      <c r="V74" s="8"/>
      <c r="W74" s="20"/>
      <c r="X74" s="20">
        <f>VLOOKUP(A74,[1]Sheet!$A:$S,19,0)</f>
        <v>0</v>
      </c>
      <c r="Y74" s="6">
        <f t="shared" si="28"/>
        <v>14.987335290503173</v>
      </c>
      <c r="Z74" s="6">
        <f t="shared" si="25"/>
        <v>5.3266539223049083</v>
      </c>
      <c r="AA74" s="6">
        <v>20.121400000000001</v>
      </c>
      <c r="AB74" s="6">
        <v>21.1388</v>
      </c>
      <c r="AC74" s="6">
        <v>21.977599999999999</v>
      </c>
      <c r="AD74" s="6">
        <v>24.486999999999998</v>
      </c>
      <c r="AE74" s="6">
        <v>16.852399999999999</v>
      </c>
      <c r="AF74" s="6">
        <v>27.894400000000001</v>
      </c>
      <c r="AG74" s="6">
        <v>17.2348</v>
      </c>
      <c r="AH74" s="6">
        <v>19.504200000000001</v>
      </c>
      <c r="AI74" s="6"/>
      <c r="AJ74" s="6">
        <f t="shared" si="29"/>
        <v>99</v>
      </c>
      <c r="AK74" s="6">
        <f t="shared" si="30"/>
        <v>184</v>
      </c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25">
      <c r="A75" s="9" t="s">
        <v>120</v>
      </c>
      <c r="B75" s="9" t="s">
        <v>33</v>
      </c>
      <c r="C75" s="9">
        <v>14</v>
      </c>
      <c r="D75" s="9"/>
      <c r="E75" s="9"/>
      <c r="F75" s="9">
        <v>14</v>
      </c>
      <c r="G75" s="10">
        <v>0</v>
      </c>
      <c r="H75" s="9">
        <v>50</v>
      </c>
      <c r="I75" s="9" t="s">
        <v>56</v>
      </c>
      <c r="J75" s="9"/>
      <c r="K75" s="9"/>
      <c r="L75" s="9">
        <f t="shared" si="23"/>
        <v>0</v>
      </c>
      <c r="M75" s="9"/>
      <c r="N75" s="9"/>
      <c r="O75" s="9">
        <v>0</v>
      </c>
      <c r="P75" s="9"/>
      <c r="Q75" s="9">
        <f t="shared" si="24"/>
        <v>0</v>
      </c>
      <c r="R75" s="11"/>
      <c r="S75" s="8">
        <f t="shared" si="26"/>
        <v>0</v>
      </c>
      <c r="T75" s="8">
        <f t="shared" si="27"/>
        <v>0</v>
      </c>
      <c r="U75" s="8"/>
      <c r="V75" s="8"/>
      <c r="W75" s="21"/>
      <c r="X75" s="20">
        <f>VLOOKUP(A75,[1]Sheet!$A:$S,19,0)</f>
        <v>0</v>
      </c>
      <c r="Y75" s="6" t="e">
        <f t="shared" si="28"/>
        <v>#DIV/0!</v>
      </c>
      <c r="Z75" s="9" t="e">
        <f t="shared" si="25"/>
        <v>#DIV/0!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13" t="s">
        <v>46</v>
      </c>
      <c r="AJ75" s="6">
        <f t="shared" si="29"/>
        <v>0</v>
      </c>
      <c r="AK75" s="6">
        <f t="shared" si="30"/>
        <v>0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25">
      <c r="A76" s="6" t="s">
        <v>121</v>
      </c>
      <c r="B76" s="6" t="s">
        <v>36</v>
      </c>
      <c r="C76" s="6">
        <v>256.61799999999999</v>
      </c>
      <c r="D76" s="6">
        <v>214.446</v>
      </c>
      <c r="E76" s="6">
        <v>281.75099999999998</v>
      </c>
      <c r="F76" s="6">
        <v>128.625</v>
      </c>
      <c r="G76" s="7">
        <v>1</v>
      </c>
      <c r="H76" s="6">
        <v>50</v>
      </c>
      <c r="I76" s="6" t="s">
        <v>34</v>
      </c>
      <c r="J76" s="6"/>
      <c r="K76" s="6">
        <v>306.2</v>
      </c>
      <c r="L76" s="6">
        <f t="shared" si="23"/>
        <v>-24.449000000000012</v>
      </c>
      <c r="M76" s="6"/>
      <c r="N76" s="6"/>
      <c r="O76" s="6">
        <v>162</v>
      </c>
      <c r="P76" s="6">
        <v>191</v>
      </c>
      <c r="Q76" s="6">
        <f t="shared" si="24"/>
        <v>56.350199999999994</v>
      </c>
      <c r="R76" s="8">
        <f t="shared" ref="R76:R84" si="33">15*Q76-P76-O76-F76</f>
        <v>363.62799999999993</v>
      </c>
      <c r="S76" s="8">
        <f t="shared" si="26"/>
        <v>364</v>
      </c>
      <c r="T76" s="8">
        <f t="shared" si="27"/>
        <v>127</v>
      </c>
      <c r="U76" s="8">
        <f t="shared" ref="U76:U77" si="34">ROUND(S76*$U$1,0)</f>
        <v>237</v>
      </c>
      <c r="V76" s="8"/>
      <c r="W76" s="20"/>
      <c r="X76" s="20">
        <f>VLOOKUP(A76,[1]Sheet!$A:$S,19,0)</f>
        <v>0</v>
      </c>
      <c r="Y76" s="6">
        <f t="shared" si="28"/>
        <v>15.006601573729997</v>
      </c>
      <c r="Z76" s="6">
        <f t="shared" si="25"/>
        <v>8.5469971712611503</v>
      </c>
      <c r="AA76" s="6">
        <v>53.830199999999998</v>
      </c>
      <c r="AB76" s="6">
        <v>48.284999999999989</v>
      </c>
      <c r="AC76" s="6">
        <v>52.988399999999999</v>
      </c>
      <c r="AD76" s="6">
        <v>77.6614</v>
      </c>
      <c r="AE76" s="6">
        <v>51.933399999999992</v>
      </c>
      <c r="AF76" s="6">
        <v>61.083799999999997</v>
      </c>
      <c r="AG76" s="6">
        <v>50.800600000000003</v>
      </c>
      <c r="AH76" s="6">
        <v>63.891399999999997</v>
      </c>
      <c r="AI76" s="6"/>
      <c r="AJ76" s="6">
        <f t="shared" si="29"/>
        <v>127</v>
      </c>
      <c r="AK76" s="6">
        <f t="shared" si="30"/>
        <v>237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25">
      <c r="A77" s="6" t="s">
        <v>122</v>
      </c>
      <c r="B77" s="6" t="s">
        <v>33</v>
      </c>
      <c r="C77" s="6">
        <v>331</v>
      </c>
      <c r="D77" s="6">
        <v>1924</v>
      </c>
      <c r="E77" s="6">
        <v>663</v>
      </c>
      <c r="F77" s="6">
        <v>1062</v>
      </c>
      <c r="G77" s="7">
        <v>0.35</v>
      </c>
      <c r="H77" s="6">
        <v>50</v>
      </c>
      <c r="I77" s="6" t="s">
        <v>34</v>
      </c>
      <c r="J77" s="6"/>
      <c r="K77" s="6">
        <v>1101</v>
      </c>
      <c r="L77" s="6">
        <f t="shared" si="23"/>
        <v>-438</v>
      </c>
      <c r="M77" s="6"/>
      <c r="N77" s="6"/>
      <c r="O77" s="6">
        <v>244</v>
      </c>
      <c r="P77" s="6">
        <v>287</v>
      </c>
      <c r="Q77" s="6">
        <f t="shared" si="24"/>
        <v>132.6</v>
      </c>
      <c r="R77" s="8">
        <f t="shared" si="33"/>
        <v>396</v>
      </c>
      <c r="S77" s="8">
        <f t="shared" si="26"/>
        <v>396</v>
      </c>
      <c r="T77" s="8">
        <f t="shared" si="27"/>
        <v>139</v>
      </c>
      <c r="U77" s="8">
        <f t="shared" si="34"/>
        <v>257</v>
      </c>
      <c r="V77" s="8"/>
      <c r="W77" s="20"/>
      <c r="X77" s="20">
        <f>VLOOKUP(A77,[1]Sheet!$A:$S,19,0)</f>
        <v>0</v>
      </c>
      <c r="Y77" s="6">
        <f t="shared" si="28"/>
        <v>15</v>
      </c>
      <c r="Z77" s="6">
        <f t="shared" si="25"/>
        <v>12.013574660633484</v>
      </c>
      <c r="AA77" s="6">
        <v>161.6</v>
      </c>
      <c r="AB77" s="6">
        <v>172.8</v>
      </c>
      <c r="AC77" s="6">
        <v>140.2818</v>
      </c>
      <c r="AD77" s="6">
        <v>173.4</v>
      </c>
      <c r="AE77" s="6">
        <v>162.80000000000001</v>
      </c>
      <c r="AF77" s="6">
        <v>250.2</v>
      </c>
      <c r="AG77" s="6">
        <v>195.6</v>
      </c>
      <c r="AH77" s="6">
        <v>125.8</v>
      </c>
      <c r="AI77" s="6"/>
      <c r="AJ77" s="6">
        <f t="shared" si="29"/>
        <v>48.65</v>
      </c>
      <c r="AK77" s="6">
        <f t="shared" si="30"/>
        <v>89.949999999999989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25">
      <c r="A78" s="6" t="s">
        <v>123</v>
      </c>
      <c r="B78" s="6" t="s">
        <v>33</v>
      </c>
      <c r="C78" s="6">
        <v>144</v>
      </c>
      <c r="D78" s="6">
        <v>106</v>
      </c>
      <c r="E78" s="6">
        <v>81</v>
      </c>
      <c r="F78" s="6">
        <v>144</v>
      </c>
      <c r="G78" s="7">
        <v>0.3</v>
      </c>
      <c r="H78" s="6">
        <v>50</v>
      </c>
      <c r="I78" s="6" t="s">
        <v>34</v>
      </c>
      <c r="J78" s="6"/>
      <c r="K78" s="6">
        <v>104</v>
      </c>
      <c r="L78" s="6">
        <f t="shared" si="23"/>
        <v>-23</v>
      </c>
      <c r="M78" s="6"/>
      <c r="N78" s="6"/>
      <c r="O78" s="6">
        <v>20</v>
      </c>
      <c r="P78" s="6"/>
      <c r="Q78" s="6">
        <f t="shared" si="24"/>
        <v>16.2</v>
      </c>
      <c r="R78" s="8">
        <f t="shared" si="33"/>
        <v>79</v>
      </c>
      <c r="S78" s="8">
        <f t="shared" si="26"/>
        <v>79</v>
      </c>
      <c r="T78" s="8">
        <f t="shared" si="27"/>
        <v>79</v>
      </c>
      <c r="U78" s="8"/>
      <c r="V78" s="8"/>
      <c r="W78" s="20"/>
      <c r="X78" s="20">
        <f>VLOOKUP(A78,[1]Sheet!$A:$S,19,0)</f>
        <v>0</v>
      </c>
      <c r="Y78" s="6">
        <f t="shared" si="28"/>
        <v>15</v>
      </c>
      <c r="Z78" s="6">
        <f t="shared" si="25"/>
        <v>10.123456790123457</v>
      </c>
      <c r="AA78" s="6">
        <v>17</v>
      </c>
      <c r="AB78" s="6">
        <v>22</v>
      </c>
      <c r="AC78" s="6">
        <v>20.6</v>
      </c>
      <c r="AD78" s="6">
        <v>1</v>
      </c>
      <c r="AE78" s="6">
        <v>0</v>
      </c>
      <c r="AF78" s="6">
        <v>0</v>
      </c>
      <c r="AG78" s="6">
        <v>0</v>
      </c>
      <c r="AH78" s="6">
        <v>17.8</v>
      </c>
      <c r="AI78" s="6"/>
      <c r="AJ78" s="6">
        <f t="shared" si="29"/>
        <v>23.7</v>
      </c>
      <c r="AK78" s="6">
        <f t="shared" si="30"/>
        <v>0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25">
      <c r="A79" s="6" t="s">
        <v>124</v>
      </c>
      <c r="B79" s="6" t="s">
        <v>33</v>
      </c>
      <c r="C79" s="6">
        <v>97</v>
      </c>
      <c r="D79" s="6"/>
      <c r="E79" s="6">
        <v>39</v>
      </c>
      <c r="F79" s="6">
        <v>54</v>
      </c>
      <c r="G79" s="7">
        <v>0.3</v>
      </c>
      <c r="H79" s="6">
        <v>60</v>
      </c>
      <c r="I79" s="6" t="s">
        <v>34</v>
      </c>
      <c r="J79" s="6"/>
      <c r="K79" s="6">
        <v>66</v>
      </c>
      <c r="L79" s="6">
        <f t="shared" si="23"/>
        <v>-27</v>
      </c>
      <c r="M79" s="6"/>
      <c r="N79" s="6"/>
      <c r="O79" s="6">
        <v>46</v>
      </c>
      <c r="P79" s="6"/>
      <c r="Q79" s="6">
        <f t="shared" si="24"/>
        <v>7.8</v>
      </c>
      <c r="R79" s="8">
        <f t="shared" si="33"/>
        <v>17</v>
      </c>
      <c r="S79" s="8">
        <f t="shared" si="26"/>
        <v>17</v>
      </c>
      <c r="T79" s="8">
        <f t="shared" si="27"/>
        <v>17</v>
      </c>
      <c r="U79" s="8"/>
      <c r="V79" s="8"/>
      <c r="W79" s="20"/>
      <c r="X79" s="20">
        <f>VLOOKUP(A79,[1]Sheet!$A:$S,19,0)</f>
        <v>0</v>
      </c>
      <c r="Y79" s="6">
        <f t="shared" si="28"/>
        <v>15</v>
      </c>
      <c r="Z79" s="6">
        <f t="shared" si="25"/>
        <v>12.820512820512821</v>
      </c>
      <c r="AA79" s="6">
        <v>11</v>
      </c>
      <c r="AB79" s="6">
        <v>10.8</v>
      </c>
      <c r="AC79" s="6">
        <v>14.2</v>
      </c>
      <c r="AD79" s="6">
        <v>15</v>
      </c>
      <c r="AE79" s="6">
        <v>7.6</v>
      </c>
      <c r="AF79" s="6">
        <v>19</v>
      </c>
      <c r="AG79" s="6">
        <v>10.199999999999999</v>
      </c>
      <c r="AH79" s="6">
        <v>9.6</v>
      </c>
      <c r="AI79" s="6"/>
      <c r="AJ79" s="6">
        <f t="shared" si="29"/>
        <v>5.0999999999999996</v>
      </c>
      <c r="AK79" s="6">
        <f t="shared" si="30"/>
        <v>0</v>
      </c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x14ac:dyDescent="0.25">
      <c r="A80" s="6" t="s">
        <v>125</v>
      </c>
      <c r="B80" s="6" t="s">
        <v>33</v>
      </c>
      <c r="C80" s="6">
        <v>82</v>
      </c>
      <c r="D80" s="6">
        <v>227</v>
      </c>
      <c r="E80" s="6">
        <v>146</v>
      </c>
      <c r="F80" s="6">
        <v>125</v>
      </c>
      <c r="G80" s="7">
        <v>0.28000000000000003</v>
      </c>
      <c r="H80" s="6">
        <v>50</v>
      </c>
      <c r="I80" s="6" t="s">
        <v>34</v>
      </c>
      <c r="J80" s="6"/>
      <c r="K80" s="6">
        <v>193</v>
      </c>
      <c r="L80" s="6">
        <f t="shared" si="23"/>
        <v>-47</v>
      </c>
      <c r="M80" s="6"/>
      <c r="N80" s="6"/>
      <c r="O80" s="6">
        <v>64</v>
      </c>
      <c r="P80" s="6"/>
      <c r="Q80" s="6">
        <f t="shared" si="24"/>
        <v>29.2</v>
      </c>
      <c r="R80" s="8">
        <f t="shared" si="33"/>
        <v>249</v>
      </c>
      <c r="S80" s="8">
        <f t="shared" si="26"/>
        <v>249</v>
      </c>
      <c r="T80" s="8">
        <f t="shared" si="27"/>
        <v>87</v>
      </c>
      <c r="U80" s="8">
        <f t="shared" ref="U80:U81" si="35">ROUND(S80*$U$1,0)</f>
        <v>162</v>
      </c>
      <c r="V80" s="8"/>
      <c r="W80" s="20"/>
      <c r="X80" s="20">
        <f>VLOOKUP(A80,[1]Sheet!$A:$S,19,0)</f>
        <v>0</v>
      </c>
      <c r="Y80" s="6">
        <f t="shared" si="28"/>
        <v>15</v>
      </c>
      <c r="Z80" s="6">
        <f t="shared" si="25"/>
        <v>6.4726027397260273</v>
      </c>
      <c r="AA80" s="6">
        <v>23</v>
      </c>
      <c r="AB80" s="6">
        <v>27.2</v>
      </c>
      <c r="AC80" s="6">
        <v>25.2</v>
      </c>
      <c r="AD80" s="6">
        <v>32.6</v>
      </c>
      <c r="AE80" s="6">
        <v>18.8</v>
      </c>
      <c r="AF80" s="6">
        <v>33.6</v>
      </c>
      <c r="AG80" s="6">
        <v>27</v>
      </c>
      <c r="AH80" s="6">
        <v>37</v>
      </c>
      <c r="AI80" s="6"/>
      <c r="AJ80" s="6">
        <f t="shared" si="29"/>
        <v>24.360000000000003</v>
      </c>
      <c r="AK80" s="6">
        <f t="shared" si="30"/>
        <v>45.360000000000007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  <row r="81" spans="1:53" x14ac:dyDescent="0.25">
      <c r="A81" s="6" t="s">
        <v>126</v>
      </c>
      <c r="B81" s="6" t="s">
        <v>33</v>
      </c>
      <c r="C81" s="6">
        <v>223</v>
      </c>
      <c r="D81" s="6">
        <v>130</v>
      </c>
      <c r="E81" s="6">
        <v>286</v>
      </c>
      <c r="F81" s="6">
        <v>12</v>
      </c>
      <c r="G81" s="7">
        <v>0.28000000000000003</v>
      </c>
      <c r="H81" s="6">
        <v>45</v>
      </c>
      <c r="I81" s="6" t="s">
        <v>34</v>
      </c>
      <c r="J81" s="6"/>
      <c r="K81" s="6">
        <v>366</v>
      </c>
      <c r="L81" s="6">
        <f t="shared" si="23"/>
        <v>-80</v>
      </c>
      <c r="M81" s="6"/>
      <c r="N81" s="6"/>
      <c r="O81" s="6">
        <v>170</v>
      </c>
      <c r="P81" s="6">
        <v>199</v>
      </c>
      <c r="Q81" s="6">
        <f t="shared" si="24"/>
        <v>57.2</v>
      </c>
      <c r="R81" s="8">
        <f t="shared" si="33"/>
        <v>477</v>
      </c>
      <c r="S81" s="8">
        <f t="shared" si="26"/>
        <v>477</v>
      </c>
      <c r="T81" s="8">
        <f t="shared" si="27"/>
        <v>167</v>
      </c>
      <c r="U81" s="8">
        <f t="shared" si="35"/>
        <v>310</v>
      </c>
      <c r="V81" s="8"/>
      <c r="W81" s="20"/>
      <c r="X81" s="20">
        <f>VLOOKUP(A81,[1]Sheet!$A:$S,19,0)</f>
        <v>0</v>
      </c>
      <c r="Y81" s="6">
        <f t="shared" si="28"/>
        <v>15</v>
      </c>
      <c r="Z81" s="6">
        <f t="shared" si="25"/>
        <v>6.6608391608391608</v>
      </c>
      <c r="AA81" s="6">
        <v>46.6</v>
      </c>
      <c r="AB81" s="6">
        <v>39</v>
      </c>
      <c r="AC81" s="6">
        <v>8.4</v>
      </c>
      <c r="AD81" s="6">
        <v>60.4</v>
      </c>
      <c r="AE81" s="6">
        <v>40.799999999999997</v>
      </c>
      <c r="AF81" s="6">
        <v>41.2</v>
      </c>
      <c r="AG81" s="6">
        <v>42.6</v>
      </c>
      <c r="AH81" s="6">
        <v>22.4</v>
      </c>
      <c r="AI81" s="6"/>
      <c r="AJ81" s="6">
        <f t="shared" si="29"/>
        <v>46.760000000000005</v>
      </c>
      <c r="AK81" s="6">
        <f t="shared" si="30"/>
        <v>86.800000000000011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</row>
    <row r="82" spans="1:53" x14ac:dyDescent="0.25">
      <c r="A82" s="6" t="s">
        <v>127</v>
      </c>
      <c r="B82" s="6" t="s">
        <v>33</v>
      </c>
      <c r="C82" s="6">
        <v>1</v>
      </c>
      <c r="D82" s="6">
        <v>163</v>
      </c>
      <c r="E82" s="6">
        <v>34</v>
      </c>
      <c r="F82" s="6">
        <v>110</v>
      </c>
      <c r="G82" s="7">
        <v>0.28000000000000003</v>
      </c>
      <c r="H82" s="6">
        <v>45</v>
      </c>
      <c r="I82" s="6" t="s">
        <v>34</v>
      </c>
      <c r="J82" s="6"/>
      <c r="K82" s="6">
        <v>57</v>
      </c>
      <c r="L82" s="6">
        <f t="shared" si="23"/>
        <v>-23</v>
      </c>
      <c r="M82" s="6"/>
      <c r="N82" s="6"/>
      <c r="O82" s="6">
        <v>35</v>
      </c>
      <c r="P82" s="6"/>
      <c r="Q82" s="6">
        <f t="shared" si="24"/>
        <v>6.8</v>
      </c>
      <c r="R82" s="8"/>
      <c r="S82" s="8">
        <f t="shared" si="26"/>
        <v>0</v>
      </c>
      <c r="T82" s="8">
        <f t="shared" si="27"/>
        <v>0</v>
      </c>
      <c r="U82" s="8"/>
      <c r="V82" s="8"/>
      <c r="W82" s="20"/>
      <c r="X82" s="20">
        <f>VLOOKUP(A82,[1]Sheet!$A:$S,19,0)</f>
        <v>0</v>
      </c>
      <c r="Y82" s="6">
        <f t="shared" si="28"/>
        <v>21.323529411764707</v>
      </c>
      <c r="Z82" s="6">
        <f t="shared" si="25"/>
        <v>21.323529411764707</v>
      </c>
      <c r="AA82" s="6">
        <v>12.6</v>
      </c>
      <c r="AB82" s="6">
        <v>14.6</v>
      </c>
      <c r="AC82" s="6">
        <v>9.1999999999999993</v>
      </c>
      <c r="AD82" s="6">
        <v>10.8</v>
      </c>
      <c r="AE82" s="6">
        <v>17.600000000000001</v>
      </c>
      <c r="AF82" s="6">
        <v>12</v>
      </c>
      <c r="AG82" s="6">
        <v>16.399999999999999</v>
      </c>
      <c r="AH82" s="6">
        <v>18.600000000000001</v>
      </c>
      <c r="AI82" s="6"/>
      <c r="AJ82" s="6">
        <f t="shared" si="29"/>
        <v>0</v>
      </c>
      <c r="AK82" s="6">
        <f t="shared" si="30"/>
        <v>0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</row>
    <row r="83" spans="1:53" x14ac:dyDescent="0.25">
      <c r="A83" s="6" t="s">
        <v>128</v>
      </c>
      <c r="B83" s="6" t="s">
        <v>33</v>
      </c>
      <c r="C83" s="6">
        <v>193</v>
      </c>
      <c r="D83" s="6">
        <v>359</v>
      </c>
      <c r="E83" s="6">
        <v>206</v>
      </c>
      <c r="F83" s="6">
        <v>282</v>
      </c>
      <c r="G83" s="7">
        <v>0.28000000000000003</v>
      </c>
      <c r="H83" s="6">
        <v>45</v>
      </c>
      <c r="I83" s="6" t="s">
        <v>34</v>
      </c>
      <c r="J83" s="6"/>
      <c r="K83" s="6">
        <v>343</v>
      </c>
      <c r="L83" s="6">
        <f t="shared" si="23"/>
        <v>-137</v>
      </c>
      <c r="M83" s="6"/>
      <c r="N83" s="6"/>
      <c r="O83" s="6">
        <v>0</v>
      </c>
      <c r="P83" s="6"/>
      <c r="Q83" s="6">
        <f t="shared" si="24"/>
        <v>41.2</v>
      </c>
      <c r="R83" s="8">
        <f t="shared" si="33"/>
        <v>336</v>
      </c>
      <c r="S83" s="8">
        <f t="shared" si="26"/>
        <v>336</v>
      </c>
      <c r="T83" s="8">
        <f t="shared" si="27"/>
        <v>118</v>
      </c>
      <c r="U83" s="8">
        <f t="shared" ref="U83:U84" si="36">ROUND(S83*$U$1,0)</f>
        <v>218</v>
      </c>
      <c r="V83" s="8"/>
      <c r="W83" s="20"/>
      <c r="X83" s="20">
        <f>VLOOKUP(A83,[1]Sheet!$A:$S,19,0)</f>
        <v>0</v>
      </c>
      <c r="Y83" s="6">
        <f t="shared" si="28"/>
        <v>14.999999999999998</v>
      </c>
      <c r="Z83" s="6">
        <f t="shared" si="25"/>
        <v>6.8446601941747565</v>
      </c>
      <c r="AA83" s="6">
        <v>34</v>
      </c>
      <c r="AB83" s="6">
        <v>45.8</v>
      </c>
      <c r="AC83" s="6">
        <v>23.4</v>
      </c>
      <c r="AD83" s="6">
        <v>51</v>
      </c>
      <c r="AE83" s="6">
        <v>34</v>
      </c>
      <c r="AF83" s="6">
        <v>10.8</v>
      </c>
      <c r="AG83" s="6">
        <v>50.6</v>
      </c>
      <c r="AH83" s="6">
        <v>9.1999999999999993</v>
      </c>
      <c r="AI83" s="6"/>
      <c r="AJ83" s="6">
        <f t="shared" si="29"/>
        <v>33.040000000000006</v>
      </c>
      <c r="AK83" s="6">
        <f t="shared" si="30"/>
        <v>61.040000000000006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x14ac:dyDescent="0.25">
      <c r="A84" s="6" t="s">
        <v>129</v>
      </c>
      <c r="B84" s="6" t="s">
        <v>33</v>
      </c>
      <c r="C84" s="6">
        <v>482</v>
      </c>
      <c r="D84" s="6">
        <v>72</v>
      </c>
      <c r="E84" s="6">
        <v>340</v>
      </c>
      <c r="F84" s="6">
        <v>116</v>
      </c>
      <c r="G84" s="7">
        <v>0.4</v>
      </c>
      <c r="H84" s="6">
        <v>50</v>
      </c>
      <c r="I84" s="6" t="s">
        <v>34</v>
      </c>
      <c r="J84" s="6"/>
      <c r="K84" s="6">
        <v>478</v>
      </c>
      <c r="L84" s="6">
        <f t="shared" si="23"/>
        <v>-138</v>
      </c>
      <c r="M84" s="6"/>
      <c r="N84" s="6"/>
      <c r="O84" s="6">
        <v>174</v>
      </c>
      <c r="P84" s="6">
        <v>205</v>
      </c>
      <c r="Q84" s="6">
        <f t="shared" si="24"/>
        <v>68</v>
      </c>
      <c r="R84" s="8">
        <f t="shared" si="33"/>
        <v>525</v>
      </c>
      <c r="S84" s="8">
        <f t="shared" si="26"/>
        <v>525</v>
      </c>
      <c r="T84" s="8">
        <f t="shared" si="27"/>
        <v>184</v>
      </c>
      <c r="U84" s="8">
        <f t="shared" si="36"/>
        <v>341</v>
      </c>
      <c r="V84" s="8"/>
      <c r="W84" s="20"/>
      <c r="X84" s="20">
        <f>VLOOKUP(A84,[1]Sheet!$A:$S,19,0)</f>
        <v>0</v>
      </c>
      <c r="Y84" s="6">
        <f t="shared" si="28"/>
        <v>15</v>
      </c>
      <c r="Z84" s="6">
        <f t="shared" si="25"/>
        <v>7.2794117647058822</v>
      </c>
      <c r="AA84" s="6">
        <v>57.4</v>
      </c>
      <c r="AB84" s="6">
        <v>43.4</v>
      </c>
      <c r="AC84" s="6">
        <v>68.400000000000006</v>
      </c>
      <c r="AD84" s="6">
        <v>89.6</v>
      </c>
      <c r="AE84" s="6">
        <v>57.4</v>
      </c>
      <c r="AF84" s="6">
        <v>83.4</v>
      </c>
      <c r="AG84" s="6">
        <v>67</v>
      </c>
      <c r="AH84" s="6">
        <v>52.6</v>
      </c>
      <c r="AI84" s="6"/>
      <c r="AJ84" s="6">
        <f t="shared" si="29"/>
        <v>73.600000000000009</v>
      </c>
      <c r="AK84" s="6">
        <f t="shared" si="30"/>
        <v>136.4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  <row r="85" spans="1:53" x14ac:dyDescent="0.25">
      <c r="A85" s="9" t="s">
        <v>130</v>
      </c>
      <c r="B85" s="9" t="s">
        <v>33</v>
      </c>
      <c r="C85" s="9">
        <v>143</v>
      </c>
      <c r="D85" s="9">
        <v>14</v>
      </c>
      <c r="E85" s="9">
        <v>18</v>
      </c>
      <c r="F85" s="9">
        <v>123</v>
      </c>
      <c r="G85" s="10">
        <v>0</v>
      </c>
      <c r="H85" s="9">
        <v>50</v>
      </c>
      <c r="I85" s="9" t="s">
        <v>56</v>
      </c>
      <c r="J85" s="9"/>
      <c r="K85" s="9">
        <v>37</v>
      </c>
      <c r="L85" s="9">
        <f t="shared" si="23"/>
        <v>-19</v>
      </c>
      <c r="M85" s="9"/>
      <c r="N85" s="9"/>
      <c r="O85" s="9">
        <v>0</v>
      </c>
      <c r="P85" s="9"/>
      <c r="Q85" s="9">
        <f t="shared" si="24"/>
        <v>3.6</v>
      </c>
      <c r="R85" s="11"/>
      <c r="S85" s="8">
        <f t="shared" si="26"/>
        <v>0</v>
      </c>
      <c r="T85" s="8">
        <f t="shared" si="27"/>
        <v>0</v>
      </c>
      <c r="U85" s="8"/>
      <c r="V85" s="8"/>
      <c r="W85" s="21"/>
      <c r="X85" s="20">
        <f>VLOOKUP(A85,[1]Sheet!$A:$S,19,0)</f>
        <v>0</v>
      </c>
      <c r="Y85" s="6">
        <f t="shared" si="28"/>
        <v>34.166666666666664</v>
      </c>
      <c r="Z85" s="9">
        <f t="shared" si="25"/>
        <v>34.166666666666664</v>
      </c>
      <c r="AA85" s="9">
        <v>1.4</v>
      </c>
      <c r="AB85" s="9">
        <v>2.2000000000000002</v>
      </c>
      <c r="AC85" s="9">
        <v>1.8</v>
      </c>
      <c r="AD85" s="9">
        <v>2.4</v>
      </c>
      <c r="AE85" s="9">
        <v>10.4</v>
      </c>
      <c r="AF85" s="9">
        <v>6.2</v>
      </c>
      <c r="AG85" s="9">
        <v>11.4</v>
      </c>
      <c r="AH85" s="9">
        <v>13.6</v>
      </c>
      <c r="AI85" s="13" t="s">
        <v>46</v>
      </c>
      <c r="AJ85" s="6">
        <f t="shared" si="29"/>
        <v>0</v>
      </c>
      <c r="AK85" s="6">
        <f t="shared" si="30"/>
        <v>0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</row>
    <row r="86" spans="1:53" x14ac:dyDescent="0.25">
      <c r="A86" s="6" t="s">
        <v>131</v>
      </c>
      <c r="B86" s="6" t="s">
        <v>33</v>
      </c>
      <c r="C86" s="6">
        <v>5</v>
      </c>
      <c r="D86" s="6"/>
      <c r="E86" s="6">
        <v>12</v>
      </c>
      <c r="F86" s="6">
        <v>-8</v>
      </c>
      <c r="G86" s="7">
        <v>0.33</v>
      </c>
      <c r="H86" s="6">
        <v>30</v>
      </c>
      <c r="I86" s="6" t="s">
        <v>34</v>
      </c>
      <c r="J86" s="6"/>
      <c r="K86" s="6">
        <v>31</v>
      </c>
      <c r="L86" s="6">
        <f t="shared" si="23"/>
        <v>-19</v>
      </c>
      <c r="M86" s="6"/>
      <c r="N86" s="6"/>
      <c r="O86" s="6">
        <v>39</v>
      </c>
      <c r="P86" s="6"/>
      <c r="Q86" s="6">
        <f t="shared" si="24"/>
        <v>2.4</v>
      </c>
      <c r="R86" s="8">
        <v>6</v>
      </c>
      <c r="S86" s="8">
        <f t="shared" si="26"/>
        <v>6</v>
      </c>
      <c r="T86" s="8">
        <f t="shared" si="27"/>
        <v>6</v>
      </c>
      <c r="U86" s="8"/>
      <c r="V86" s="8"/>
      <c r="W86" s="20"/>
      <c r="X86" s="20">
        <f>VLOOKUP(A86,[1]Sheet!$A:$S,19,0)</f>
        <v>0</v>
      </c>
      <c r="Y86" s="6">
        <f t="shared" si="28"/>
        <v>15.416666666666668</v>
      </c>
      <c r="Z86" s="6">
        <f t="shared" si="25"/>
        <v>12.916666666666668</v>
      </c>
      <c r="AA86" s="6">
        <v>4</v>
      </c>
      <c r="AB86" s="6">
        <v>1.6</v>
      </c>
      <c r="AC86" s="6">
        <v>3.4</v>
      </c>
      <c r="AD86" s="6">
        <v>3.6</v>
      </c>
      <c r="AE86" s="6">
        <v>2.8</v>
      </c>
      <c r="AF86" s="6">
        <v>5.8</v>
      </c>
      <c r="AG86" s="6">
        <v>4</v>
      </c>
      <c r="AH86" s="6">
        <v>1.4</v>
      </c>
      <c r="AI86" s="6"/>
      <c r="AJ86" s="6">
        <f t="shared" si="29"/>
        <v>1.98</v>
      </c>
      <c r="AK86" s="6">
        <f t="shared" si="30"/>
        <v>0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</row>
    <row r="87" spans="1:53" x14ac:dyDescent="0.25">
      <c r="A87" s="9" t="s">
        <v>132</v>
      </c>
      <c r="B87" s="9" t="s">
        <v>33</v>
      </c>
      <c r="C87" s="9">
        <v>92</v>
      </c>
      <c r="D87" s="9">
        <v>3</v>
      </c>
      <c r="E87" s="14">
        <v>48</v>
      </c>
      <c r="F87" s="14">
        <v>37</v>
      </c>
      <c r="G87" s="10">
        <v>0</v>
      </c>
      <c r="H87" s="9">
        <v>60</v>
      </c>
      <c r="I87" s="9" t="s">
        <v>56</v>
      </c>
      <c r="J87" s="9" t="s">
        <v>133</v>
      </c>
      <c r="K87" s="9">
        <v>55</v>
      </c>
      <c r="L87" s="9">
        <f t="shared" si="23"/>
        <v>-7</v>
      </c>
      <c r="M87" s="9"/>
      <c r="N87" s="9"/>
      <c r="O87" s="9">
        <v>0</v>
      </c>
      <c r="P87" s="9"/>
      <c r="Q87" s="9">
        <f t="shared" si="24"/>
        <v>9.6</v>
      </c>
      <c r="R87" s="11"/>
      <c r="S87" s="8">
        <f t="shared" si="26"/>
        <v>0</v>
      </c>
      <c r="T87" s="8">
        <f t="shared" si="27"/>
        <v>0</v>
      </c>
      <c r="U87" s="8"/>
      <c r="V87" s="8"/>
      <c r="W87" s="21"/>
      <c r="X87" s="20">
        <f>VLOOKUP(A87,[1]Sheet!$A:$S,19,0)</f>
        <v>0</v>
      </c>
      <c r="Y87" s="6">
        <f t="shared" si="28"/>
        <v>3.854166666666667</v>
      </c>
      <c r="Z87" s="9">
        <f t="shared" si="25"/>
        <v>3.854166666666667</v>
      </c>
      <c r="AA87" s="9">
        <v>5.6</v>
      </c>
      <c r="AB87" s="9">
        <v>5.2</v>
      </c>
      <c r="AC87" s="9">
        <v>9.8000000000000007</v>
      </c>
      <c r="AD87" s="9">
        <v>13</v>
      </c>
      <c r="AE87" s="9">
        <v>9.1999999999999993</v>
      </c>
      <c r="AF87" s="9">
        <v>13.6</v>
      </c>
      <c r="AG87" s="9">
        <v>8.8000000000000007</v>
      </c>
      <c r="AH87" s="9">
        <v>5.2</v>
      </c>
      <c r="AI87" s="9" t="s">
        <v>134</v>
      </c>
      <c r="AJ87" s="6">
        <f t="shared" si="29"/>
        <v>0</v>
      </c>
      <c r="AK87" s="6">
        <f t="shared" si="30"/>
        <v>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</row>
    <row r="88" spans="1:53" x14ac:dyDescent="0.25">
      <c r="A88" s="6" t="s">
        <v>135</v>
      </c>
      <c r="B88" s="6" t="s">
        <v>36</v>
      </c>
      <c r="C88" s="6"/>
      <c r="D88" s="6">
        <v>49.738</v>
      </c>
      <c r="E88" s="6"/>
      <c r="F88" s="6">
        <v>48.527999999999999</v>
      </c>
      <c r="G88" s="7">
        <v>1</v>
      </c>
      <c r="H88" s="6"/>
      <c r="I88" s="6" t="s">
        <v>34</v>
      </c>
      <c r="J88" s="6"/>
      <c r="K88" s="6"/>
      <c r="L88" s="6">
        <f t="shared" si="23"/>
        <v>0</v>
      </c>
      <c r="M88" s="6"/>
      <c r="N88" s="6"/>
      <c r="O88" s="6">
        <v>0</v>
      </c>
      <c r="P88" s="6"/>
      <c r="Q88" s="6">
        <f t="shared" si="24"/>
        <v>0</v>
      </c>
      <c r="R88" s="8"/>
      <c r="S88" s="8">
        <f t="shared" si="26"/>
        <v>0</v>
      </c>
      <c r="T88" s="8">
        <f t="shared" si="27"/>
        <v>0</v>
      </c>
      <c r="U88" s="8"/>
      <c r="V88" s="8"/>
      <c r="W88" s="20"/>
      <c r="X88" s="20">
        <f>VLOOKUP(A88,[1]Sheet!$A:$S,19,0)</f>
        <v>0</v>
      </c>
      <c r="Y88" s="6" t="e">
        <f t="shared" si="28"/>
        <v>#DIV/0!</v>
      </c>
      <c r="Z88" s="6" t="e">
        <f t="shared" si="25"/>
        <v>#DIV/0!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 t="s">
        <v>136</v>
      </c>
      <c r="AJ88" s="6">
        <f t="shared" si="29"/>
        <v>0</v>
      </c>
      <c r="AK88" s="6">
        <f t="shared" si="30"/>
        <v>0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</row>
    <row r="89" spans="1:53" x14ac:dyDescent="0.25">
      <c r="A89" s="6" t="s">
        <v>137</v>
      </c>
      <c r="B89" s="6" t="s">
        <v>33</v>
      </c>
      <c r="C89" s="6"/>
      <c r="D89" s="6">
        <v>33</v>
      </c>
      <c r="E89" s="6">
        <v>6</v>
      </c>
      <c r="F89" s="6">
        <v>26</v>
      </c>
      <c r="G89" s="7">
        <v>0.28000000000000003</v>
      </c>
      <c r="H89" s="6">
        <v>50</v>
      </c>
      <c r="I89" s="6" t="s">
        <v>34</v>
      </c>
      <c r="J89" s="6"/>
      <c r="K89" s="6">
        <v>14</v>
      </c>
      <c r="L89" s="6">
        <f t="shared" si="23"/>
        <v>-8</v>
      </c>
      <c r="M89" s="6"/>
      <c r="N89" s="6"/>
      <c r="O89" s="6">
        <v>17</v>
      </c>
      <c r="P89" s="6"/>
      <c r="Q89" s="6">
        <f t="shared" si="24"/>
        <v>1.2</v>
      </c>
      <c r="R89" s="8"/>
      <c r="S89" s="8">
        <f t="shared" si="26"/>
        <v>0</v>
      </c>
      <c r="T89" s="8">
        <f t="shared" si="27"/>
        <v>0</v>
      </c>
      <c r="U89" s="8"/>
      <c r="V89" s="8"/>
      <c r="W89" s="20"/>
      <c r="X89" s="20">
        <f>VLOOKUP(A89,[1]Sheet!$A:$S,19,0)</f>
        <v>0</v>
      </c>
      <c r="Y89" s="6">
        <f t="shared" si="28"/>
        <v>35.833333333333336</v>
      </c>
      <c r="Z89" s="6">
        <f t="shared" si="25"/>
        <v>35.833333333333336</v>
      </c>
      <c r="AA89" s="6">
        <v>3.6</v>
      </c>
      <c r="AB89" s="6">
        <v>3.8</v>
      </c>
      <c r="AC89" s="6">
        <v>2.8</v>
      </c>
      <c r="AD89" s="6">
        <v>4.4000000000000004</v>
      </c>
      <c r="AE89" s="6">
        <v>0.4</v>
      </c>
      <c r="AF89" s="6">
        <v>3.2</v>
      </c>
      <c r="AG89" s="6">
        <v>6.4</v>
      </c>
      <c r="AH89" s="6">
        <v>3.6</v>
      </c>
      <c r="AI89" s="6"/>
      <c r="AJ89" s="6">
        <f t="shared" si="29"/>
        <v>0</v>
      </c>
      <c r="AK89" s="6">
        <f t="shared" si="30"/>
        <v>0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</row>
    <row r="90" spans="1:53" x14ac:dyDescent="0.25">
      <c r="A90" s="9" t="s">
        <v>138</v>
      </c>
      <c r="B90" s="9" t="s">
        <v>33</v>
      </c>
      <c r="C90" s="9">
        <v>52</v>
      </c>
      <c r="D90" s="9">
        <v>6</v>
      </c>
      <c r="E90" s="9">
        <v>17</v>
      </c>
      <c r="F90" s="9">
        <v>30</v>
      </c>
      <c r="G90" s="10">
        <v>0</v>
      </c>
      <c r="H90" s="9">
        <v>50</v>
      </c>
      <c r="I90" s="9" t="s">
        <v>56</v>
      </c>
      <c r="J90" s="9"/>
      <c r="K90" s="9">
        <v>34</v>
      </c>
      <c r="L90" s="9">
        <f t="shared" si="23"/>
        <v>-17</v>
      </c>
      <c r="M90" s="9"/>
      <c r="N90" s="9"/>
      <c r="O90" s="9">
        <v>0</v>
      </c>
      <c r="P90" s="9"/>
      <c r="Q90" s="9">
        <f t="shared" si="24"/>
        <v>3.4</v>
      </c>
      <c r="R90" s="11"/>
      <c r="S90" s="8">
        <f t="shared" si="26"/>
        <v>0</v>
      </c>
      <c r="T90" s="8">
        <f t="shared" si="27"/>
        <v>0</v>
      </c>
      <c r="U90" s="8"/>
      <c r="V90" s="8"/>
      <c r="W90" s="21"/>
      <c r="X90" s="20">
        <f>VLOOKUP(A90,[1]Sheet!$A:$S,19,0)</f>
        <v>0</v>
      </c>
      <c r="Y90" s="6">
        <f t="shared" si="28"/>
        <v>8.8235294117647065</v>
      </c>
      <c r="Z90" s="9">
        <f t="shared" si="25"/>
        <v>8.8235294117647065</v>
      </c>
      <c r="AA90" s="9">
        <v>0.2</v>
      </c>
      <c r="AB90" s="9">
        <v>1.4</v>
      </c>
      <c r="AC90" s="9">
        <v>3</v>
      </c>
      <c r="AD90" s="9">
        <v>4</v>
      </c>
      <c r="AE90" s="9">
        <v>0.2</v>
      </c>
      <c r="AF90" s="9">
        <v>4.5999999999999996</v>
      </c>
      <c r="AG90" s="9">
        <v>6</v>
      </c>
      <c r="AH90" s="9">
        <v>3.4</v>
      </c>
      <c r="AI90" s="9"/>
      <c r="AJ90" s="6">
        <f t="shared" si="29"/>
        <v>0</v>
      </c>
      <c r="AK90" s="6">
        <f t="shared" si="30"/>
        <v>0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</row>
    <row r="91" spans="1:53" x14ac:dyDescent="0.25">
      <c r="A91" s="6" t="s">
        <v>139</v>
      </c>
      <c r="B91" s="6" t="s">
        <v>33</v>
      </c>
      <c r="C91" s="6">
        <v>304</v>
      </c>
      <c r="D91" s="6">
        <v>35</v>
      </c>
      <c r="E91" s="6">
        <v>117</v>
      </c>
      <c r="F91" s="6">
        <v>172</v>
      </c>
      <c r="G91" s="7">
        <v>0.3</v>
      </c>
      <c r="H91" s="6">
        <v>45</v>
      </c>
      <c r="I91" s="6" t="s">
        <v>34</v>
      </c>
      <c r="J91" s="6"/>
      <c r="K91" s="6">
        <v>164</v>
      </c>
      <c r="L91" s="6">
        <f t="shared" si="23"/>
        <v>-47</v>
      </c>
      <c r="M91" s="6"/>
      <c r="N91" s="6"/>
      <c r="O91" s="6">
        <v>62</v>
      </c>
      <c r="P91" s="6"/>
      <c r="Q91" s="6">
        <f t="shared" si="24"/>
        <v>23.4</v>
      </c>
      <c r="R91" s="8">
        <f t="shared" ref="R91:R102" si="37">15*Q91-P91-O91-F91</f>
        <v>117</v>
      </c>
      <c r="S91" s="8">
        <f t="shared" si="26"/>
        <v>117</v>
      </c>
      <c r="T91" s="8">
        <f t="shared" si="27"/>
        <v>41</v>
      </c>
      <c r="U91" s="8">
        <f t="shared" ref="U91:U93" si="38">ROUND(S91*$U$1,0)</f>
        <v>76</v>
      </c>
      <c r="V91" s="8"/>
      <c r="W91" s="20"/>
      <c r="X91" s="20">
        <f>VLOOKUP(A91,[1]Sheet!$A:$S,19,0)</f>
        <v>0</v>
      </c>
      <c r="Y91" s="6">
        <f t="shared" si="28"/>
        <v>15.000000000000002</v>
      </c>
      <c r="Z91" s="6">
        <f t="shared" si="25"/>
        <v>10</v>
      </c>
      <c r="AA91" s="6">
        <v>24.4</v>
      </c>
      <c r="AB91" s="6">
        <v>12.4</v>
      </c>
      <c r="AC91" s="6">
        <v>33.200000000000003</v>
      </c>
      <c r="AD91" s="6">
        <v>32.6</v>
      </c>
      <c r="AE91" s="6">
        <v>21</v>
      </c>
      <c r="AF91" s="6">
        <v>33.6</v>
      </c>
      <c r="AG91" s="6">
        <v>28.4</v>
      </c>
      <c r="AH91" s="6">
        <v>25.8</v>
      </c>
      <c r="AI91" s="6"/>
      <c r="AJ91" s="6">
        <f t="shared" si="29"/>
        <v>12.299999999999999</v>
      </c>
      <c r="AK91" s="6">
        <f t="shared" si="30"/>
        <v>22.8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</row>
    <row r="92" spans="1:53" x14ac:dyDescent="0.25">
      <c r="A92" s="6" t="s">
        <v>140</v>
      </c>
      <c r="B92" s="6" t="s">
        <v>33</v>
      </c>
      <c r="C92" s="6">
        <v>126</v>
      </c>
      <c r="D92" s="6">
        <v>569</v>
      </c>
      <c r="E92" s="6">
        <v>335</v>
      </c>
      <c r="F92" s="6">
        <v>343</v>
      </c>
      <c r="G92" s="7">
        <v>0.12</v>
      </c>
      <c r="H92" s="6">
        <v>60</v>
      </c>
      <c r="I92" s="15" t="s">
        <v>48</v>
      </c>
      <c r="J92" s="6"/>
      <c r="K92" s="6">
        <v>550</v>
      </c>
      <c r="L92" s="6">
        <f t="shared" si="23"/>
        <v>-215</v>
      </c>
      <c r="M92" s="6"/>
      <c r="N92" s="6"/>
      <c r="O92" s="6">
        <v>92</v>
      </c>
      <c r="P92" s="6">
        <v>108</v>
      </c>
      <c r="Q92" s="6">
        <f t="shared" si="24"/>
        <v>67</v>
      </c>
      <c r="R92" s="8">
        <v>250</v>
      </c>
      <c r="S92" s="8">
        <f t="shared" si="26"/>
        <v>250</v>
      </c>
      <c r="T92" s="8">
        <f t="shared" si="27"/>
        <v>87</v>
      </c>
      <c r="U92" s="8">
        <f t="shared" si="38"/>
        <v>163</v>
      </c>
      <c r="V92" s="8"/>
      <c r="W92" s="20"/>
      <c r="X92" s="20">
        <f>VLOOKUP(A92,[1]Sheet!$A:$S,19,0)</f>
        <v>0</v>
      </c>
      <c r="Y92" s="6">
        <f t="shared" si="28"/>
        <v>11.835820895522389</v>
      </c>
      <c r="Z92" s="6">
        <f t="shared" si="25"/>
        <v>8.1044776119402986</v>
      </c>
      <c r="AA92" s="6">
        <v>112.6</v>
      </c>
      <c r="AB92" s="6">
        <v>98</v>
      </c>
      <c r="AC92" s="6">
        <v>31</v>
      </c>
      <c r="AD92" s="6">
        <v>50.6</v>
      </c>
      <c r="AE92" s="6">
        <v>42.6</v>
      </c>
      <c r="AF92" s="6">
        <v>30.8</v>
      </c>
      <c r="AG92" s="6">
        <v>46.2</v>
      </c>
      <c r="AH92" s="6">
        <v>34.200000000000003</v>
      </c>
      <c r="AI92" s="6" t="s">
        <v>141</v>
      </c>
      <c r="AJ92" s="6">
        <f t="shared" si="29"/>
        <v>10.44</v>
      </c>
      <c r="AK92" s="6">
        <f t="shared" si="30"/>
        <v>19.559999999999999</v>
      </c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</row>
    <row r="93" spans="1:53" x14ac:dyDescent="0.25">
      <c r="A93" s="6" t="s">
        <v>142</v>
      </c>
      <c r="B93" s="6" t="s">
        <v>33</v>
      </c>
      <c r="C93" s="6">
        <v>1</v>
      </c>
      <c r="D93" s="6">
        <v>391</v>
      </c>
      <c r="E93" s="6">
        <v>140</v>
      </c>
      <c r="F93" s="6">
        <v>185</v>
      </c>
      <c r="G93" s="7">
        <v>0.33</v>
      </c>
      <c r="H93" s="6">
        <v>30</v>
      </c>
      <c r="I93" s="6" t="s">
        <v>34</v>
      </c>
      <c r="J93" s="6"/>
      <c r="K93" s="6">
        <v>217</v>
      </c>
      <c r="L93" s="6">
        <f t="shared" si="23"/>
        <v>-77</v>
      </c>
      <c r="M93" s="6"/>
      <c r="N93" s="6"/>
      <c r="O93" s="6">
        <v>0</v>
      </c>
      <c r="P93" s="6"/>
      <c r="Q93" s="6">
        <f t="shared" si="24"/>
        <v>28</v>
      </c>
      <c r="R93" s="8">
        <f t="shared" si="37"/>
        <v>235</v>
      </c>
      <c r="S93" s="8">
        <f t="shared" si="26"/>
        <v>235</v>
      </c>
      <c r="T93" s="8">
        <f t="shared" si="27"/>
        <v>82</v>
      </c>
      <c r="U93" s="8">
        <f t="shared" si="38"/>
        <v>153</v>
      </c>
      <c r="V93" s="8"/>
      <c r="W93" s="20"/>
      <c r="X93" s="20">
        <f>VLOOKUP(A93,[1]Sheet!$A:$S,19,0)</f>
        <v>0</v>
      </c>
      <c r="Y93" s="6">
        <f t="shared" si="28"/>
        <v>15</v>
      </c>
      <c r="Z93" s="6">
        <f t="shared" si="25"/>
        <v>6.6071428571428568</v>
      </c>
      <c r="AA93" s="6">
        <v>24</v>
      </c>
      <c r="AB93" s="6">
        <v>41.2</v>
      </c>
      <c r="AC93" s="6">
        <v>37.200000000000003</v>
      </c>
      <c r="AD93" s="6">
        <v>56.2</v>
      </c>
      <c r="AE93" s="6">
        <v>49.8</v>
      </c>
      <c r="AF93" s="6">
        <v>31</v>
      </c>
      <c r="AG93" s="6">
        <v>40.799999999999997</v>
      </c>
      <c r="AH93" s="6">
        <v>42.8</v>
      </c>
      <c r="AI93" s="6"/>
      <c r="AJ93" s="6">
        <f t="shared" si="29"/>
        <v>27.060000000000002</v>
      </c>
      <c r="AK93" s="6">
        <f t="shared" si="30"/>
        <v>50.49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</row>
    <row r="94" spans="1:53" x14ac:dyDescent="0.25">
      <c r="A94" s="6" t="s">
        <v>143</v>
      </c>
      <c r="B94" s="6" t="s">
        <v>33</v>
      </c>
      <c r="C94" s="6">
        <v>245</v>
      </c>
      <c r="D94" s="6">
        <v>24</v>
      </c>
      <c r="E94" s="6">
        <v>23</v>
      </c>
      <c r="F94" s="6">
        <v>221</v>
      </c>
      <c r="G94" s="7">
        <v>0.28000000000000003</v>
      </c>
      <c r="H94" s="6">
        <v>45</v>
      </c>
      <c r="I94" s="6" t="s">
        <v>34</v>
      </c>
      <c r="J94" s="6"/>
      <c r="K94" s="6">
        <v>48</v>
      </c>
      <c r="L94" s="6">
        <f t="shared" si="23"/>
        <v>-25</v>
      </c>
      <c r="M94" s="6"/>
      <c r="N94" s="6"/>
      <c r="O94" s="6">
        <v>0</v>
      </c>
      <c r="P94" s="6"/>
      <c r="Q94" s="6">
        <f t="shared" si="24"/>
        <v>4.5999999999999996</v>
      </c>
      <c r="R94" s="8"/>
      <c r="S94" s="8">
        <f t="shared" si="26"/>
        <v>0</v>
      </c>
      <c r="T94" s="8">
        <f t="shared" si="27"/>
        <v>0</v>
      </c>
      <c r="U94" s="8"/>
      <c r="V94" s="8"/>
      <c r="W94" s="20"/>
      <c r="X94" s="20">
        <f>VLOOKUP(A94,[1]Sheet!$A:$S,19,0)</f>
        <v>0</v>
      </c>
      <c r="Y94" s="6">
        <f t="shared" si="28"/>
        <v>48.04347826086957</v>
      </c>
      <c r="Z94" s="6">
        <f t="shared" si="25"/>
        <v>48.04347826086957</v>
      </c>
      <c r="AA94" s="6">
        <v>4.4000000000000004</v>
      </c>
      <c r="AB94" s="6">
        <v>0</v>
      </c>
      <c r="AC94" s="6">
        <v>31.2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13" t="s">
        <v>46</v>
      </c>
      <c r="AJ94" s="6">
        <f t="shared" si="29"/>
        <v>0</v>
      </c>
      <c r="AK94" s="6">
        <f t="shared" si="30"/>
        <v>0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</row>
    <row r="95" spans="1:53" x14ac:dyDescent="0.25">
      <c r="A95" s="6" t="s">
        <v>144</v>
      </c>
      <c r="B95" s="6" t="s">
        <v>33</v>
      </c>
      <c r="C95" s="6">
        <v>132</v>
      </c>
      <c r="D95" s="6">
        <v>7</v>
      </c>
      <c r="E95" s="6">
        <v>129</v>
      </c>
      <c r="F95" s="6"/>
      <c r="G95" s="7">
        <v>0.4</v>
      </c>
      <c r="H95" s="6">
        <v>60</v>
      </c>
      <c r="I95" s="6" t="s">
        <v>34</v>
      </c>
      <c r="J95" s="6"/>
      <c r="K95" s="6">
        <v>230</v>
      </c>
      <c r="L95" s="6">
        <f t="shared" si="23"/>
        <v>-101</v>
      </c>
      <c r="M95" s="6"/>
      <c r="N95" s="6"/>
      <c r="O95" s="6">
        <v>175</v>
      </c>
      <c r="P95" s="6">
        <v>205</v>
      </c>
      <c r="Q95" s="6">
        <f t="shared" si="24"/>
        <v>25.8</v>
      </c>
      <c r="R95" s="8">
        <f t="shared" si="37"/>
        <v>7</v>
      </c>
      <c r="S95" s="8">
        <f t="shared" si="26"/>
        <v>7</v>
      </c>
      <c r="T95" s="8">
        <f t="shared" si="27"/>
        <v>7</v>
      </c>
      <c r="U95" s="8"/>
      <c r="V95" s="8"/>
      <c r="W95" s="20"/>
      <c r="X95" s="20">
        <f>VLOOKUP(A95,[1]Sheet!$A:$S,19,0)</f>
        <v>0</v>
      </c>
      <c r="Y95" s="6">
        <f t="shared" si="28"/>
        <v>15</v>
      </c>
      <c r="Z95" s="6">
        <f t="shared" si="25"/>
        <v>14.728682170542635</v>
      </c>
      <c r="AA95" s="6">
        <v>39.4</v>
      </c>
      <c r="AB95" s="6">
        <v>20.399999999999999</v>
      </c>
      <c r="AC95" s="6">
        <v>9.4</v>
      </c>
      <c r="AD95" s="6">
        <v>35.200000000000003</v>
      </c>
      <c r="AE95" s="6">
        <v>13</v>
      </c>
      <c r="AF95" s="6">
        <v>27.6</v>
      </c>
      <c r="AG95" s="6">
        <v>20.2</v>
      </c>
      <c r="AH95" s="6">
        <v>18.8</v>
      </c>
      <c r="AI95" s="6"/>
      <c r="AJ95" s="6">
        <f t="shared" si="29"/>
        <v>2.8000000000000003</v>
      </c>
      <c r="AK95" s="6">
        <f t="shared" si="30"/>
        <v>0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</row>
    <row r="96" spans="1:53" x14ac:dyDescent="0.25">
      <c r="A96" s="6" t="s">
        <v>63</v>
      </c>
      <c r="B96" s="6" t="s">
        <v>33</v>
      </c>
      <c r="C96" s="6">
        <v>74</v>
      </c>
      <c r="D96" s="6">
        <v>3</v>
      </c>
      <c r="E96" s="6">
        <v>22</v>
      </c>
      <c r="F96" s="14">
        <f>49+F29</f>
        <v>53</v>
      </c>
      <c r="G96" s="7">
        <v>0.35</v>
      </c>
      <c r="H96" s="6">
        <v>60</v>
      </c>
      <c r="I96" s="6" t="s">
        <v>34</v>
      </c>
      <c r="J96" s="6"/>
      <c r="K96" s="6">
        <v>28</v>
      </c>
      <c r="L96" s="6">
        <f t="shared" si="23"/>
        <v>-6</v>
      </c>
      <c r="M96" s="6"/>
      <c r="N96" s="6"/>
      <c r="O96" s="6">
        <v>0</v>
      </c>
      <c r="P96" s="6"/>
      <c r="Q96" s="6">
        <f t="shared" si="24"/>
        <v>4.4000000000000004</v>
      </c>
      <c r="R96" s="8">
        <f t="shared" si="37"/>
        <v>13</v>
      </c>
      <c r="S96" s="8">
        <f t="shared" si="26"/>
        <v>13</v>
      </c>
      <c r="T96" s="8">
        <f t="shared" si="27"/>
        <v>13</v>
      </c>
      <c r="U96" s="8"/>
      <c r="V96" s="8"/>
      <c r="W96" s="20"/>
      <c r="X96" s="20">
        <f>VLOOKUP(A96,[1]Sheet!$A:$S,19,0)</f>
        <v>0</v>
      </c>
      <c r="Y96" s="6">
        <f t="shared" si="28"/>
        <v>14.999999999999998</v>
      </c>
      <c r="Z96" s="6">
        <f t="shared" si="25"/>
        <v>12.045454545454545</v>
      </c>
      <c r="AA96" s="6">
        <v>1.4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 t="s">
        <v>145</v>
      </c>
      <c r="AJ96" s="6">
        <f t="shared" si="29"/>
        <v>4.55</v>
      </c>
      <c r="AK96" s="6">
        <f t="shared" si="30"/>
        <v>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</row>
    <row r="97" spans="1:53" x14ac:dyDescent="0.25">
      <c r="A97" s="6" t="s">
        <v>146</v>
      </c>
      <c r="B97" s="6" t="s">
        <v>36</v>
      </c>
      <c r="C97" s="6"/>
      <c r="D97" s="6"/>
      <c r="E97" s="6"/>
      <c r="F97" s="6"/>
      <c r="G97" s="7">
        <v>1</v>
      </c>
      <c r="H97" s="6">
        <v>45</v>
      </c>
      <c r="I97" s="6" t="s">
        <v>34</v>
      </c>
      <c r="J97" s="6"/>
      <c r="K97" s="6">
        <v>2</v>
      </c>
      <c r="L97" s="6">
        <f t="shared" si="23"/>
        <v>-2</v>
      </c>
      <c r="M97" s="6"/>
      <c r="N97" s="6"/>
      <c r="O97" s="6">
        <v>24</v>
      </c>
      <c r="P97" s="6"/>
      <c r="Q97" s="6">
        <f t="shared" si="24"/>
        <v>0</v>
      </c>
      <c r="R97" s="19">
        <v>10</v>
      </c>
      <c r="S97" s="8">
        <f t="shared" si="26"/>
        <v>10</v>
      </c>
      <c r="T97" s="8">
        <f t="shared" si="27"/>
        <v>10</v>
      </c>
      <c r="U97" s="8"/>
      <c r="V97" s="8"/>
      <c r="W97" s="22" t="s">
        <v>171</v>
      </c>
      <c r="X97" s="20">
        <f>VLOOKUP(A97,[1]Sheet!$A:$S,19,0)</f>
        <v>14</v>
      </c>
      <c r="Y97" s="6" t="e">
        <f t="shared" si="28"/>
        <v>#DIV/0!</v>
      </c>
      <c r="Z97" s="6" t="e">
        <f t="shared" si="25"/>
        <v>#DIV/0!</v>
      </c>
      <c r="AA97" s="6">
        <v>2.0257999999999998</v>
      </c>
      <c r="AB97" s="6">
        <v>0.68120000000000003</v>
      </c>
      <c r="AC97" s="6">
        <v>1.6926000000000001</v>
      </c>
      <c r="AD97" s="6">
        <v>4.6631999999999998</v>
      </c>
      <c r="AE97" s="6">
        <v>0</v>
      </c>
      <c r="AF97" s="6">
        <v>0</v>
      </c>
      <c r="AG97" s="6">
        <v>0</v>
      </c>
      <c r="AH97" s="6">
        <v>2.8502000000000001</v>
      </c>
      <c r="AI97" s="6" t="s">
        <v>147</v>
      </c>
      <c r="AJ97" s="6">
        <f t="shared" si="29"/>
        <v>10</v>
      </c>
      <c r="AK97" s="6">
        <f t="shared" si="30"/>
        <v>0</v>
      </c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</row>
    <row r="98" spans="1:53" x14ac:dyDescent="0.25">
      <c r="A98" s="6" t="s">
        <v>148</v>
      </c>
      <c r="B98" s="6" t="s">
        <v>33</v>
      </c>
      <c r="C98" s="6">
        <v>14</v>
      </c>
      <c r="D98" s="6"/>
      <c r="E98" s="6">
        <v>13</v>
      </c>
      <c r="F98" s="6">
        <v>-7</v>
      </c>
      <c r="G98" s="7">
        <v>0.33</v>
      </c>
      <c r="H98" s="6">
        <v>45</v>
      </c>
      <c r="I98" s="6" t="s">
        <v>34</v>
      </c>
      <c r="J98" s="6"/>
      <c r="K98" s="6">
        <v>138</v>
      </c>
      <c r="L98" s="6">
        <f t="shared" si="23"/>
        <v>-125</v>
      </c>
      <c r="M98" s="6"/>
      <c r="N98" s="6"/>
      <c r="O98" s="6">
        <v>118</v>
      </c>
      <c r="P98" s="6">
        <v>139</v>
      </c>
      <c r="Q98" s="6">
        <v>15</v>
      </c>
      <c r="R98" s="19">
        <v>60</v>
      </c>
      <c r="S98" s="8">
        <f t="shared" si="26"/>
        <v>60</v>
      </c>
      <c r="T98" s="8">
        <f t="shared" si="27"/>
        <v>60</v>
      </c>
      <c r="U98" s="8"/>
      <c r="V98" s="8"/>
      <c r="W98" s="22" t="s">
        <v>172</v>
      </c>
      <c r="X98" s="20">
        <f>VLOOKUP(A98,[1]Sheet!$A:$S,19,0)</f>
        <v>70</v>
      </c>
      <c r="Y98" s="6">
        <f t="shared" si="28"/>
        <v>20.666666666666668</v>
      </c>
      <c r="Z98" s="6">
        <f t="shared" si="25"/>
        <v>16.666666666666668</v>
      </c>
      <c r="AA98" s="6">
        <v>24.6</v>
      </c>
      <c r="AB98" s="6">
        <v>1</v>
      </c>
      <c r="AC98" s="6">
        <v>14.8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 t="s">
        <v>149</v>
      </c>
      <c r="AJ98" s="6">
        <f t="shared" si="29"/>
        <v>19.8</v>
      </c>
      <c r="AK98" s="6">
        <f t="shared" si="30"/>
        <v>0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</row>
    <row r="99" spans="1:53" x14ac:dyDescent="0.25">
      <c r="A99" s="6" t="s">
        <v>77</v>
      </c>
      <c r="B99" s="6" t="s">
        <v>33</v>
      </c>
      <c r="C99" s="6">
        <v>89</v>
      </c>
      <c r="D99" s="6"/>
      <c r="E99" s="14">
        <f>3+E36</f>
        <v>55</v>
      </c>
      <c r="F99" s="14">
        <f>85+F36</f>
        <v>137</v>
      </c>
      <c r="G99" s="7">
        <v>0.1</v>
      </c>
      <c r="H99" s="6">
        <v>45</v>
      </c>
      <c r="I99" s="6" t="s">
        <v>34</v>
      </c>
      <c r="J99" s="6"/>
      <c r="K99" s="6">
        <v>3</v>
      </c>
      <c r="L99" s="6">
        <f t="shared" si="23"/>
        <v>52</v>
      </c>
      <c r="M99" s="6"/>
      <c r="N99" s="6"/>
      <c r="O99" s="6">
        <v>0</v>
      </c>
      <c r="P99" s="6"/>
      <c r="Q99" s="6">
        <f t="shared" si="24"/>
        <v>11</v>
      </c>
      <c r="R99" s="8">
        <f t="shared" si="37"/>
        <v>28</v>
      </c>
      <c r="S99" s="8">
        <f t="shared" si="26"/>
        <v>28</v>
      </c>
      <c r="T99" s="8">
        <f t="shared" si="27"/>
        <v>28</v>
      </c>
      <c r="U99" s="8"/>
      <c r="V99" s="8"/>
      <c r="W99" s="20"/>
      <c r="X99" s="20">
        <f>VLOOKUP(A99,[1]Sheet!$A:$S,19,0)</f>
        <v>0</v>
      </c>
      <c r="Y99" s="6">
        <f t="shared" si="28"/>
        <v>15</v>
      </c>
      <c r="Z99" s="6">
        <f t="shared" si="25"/>
        <v>12.454545454545455</v>
      </c>
      <c r="AA99" s="6">
        <v>4.2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 t="s">
        <v>150</v>
      </c>
      <c r="AJ99" s="6">
        <f t="shared" si="29"/>
        <v>2.8000000000000003</v>
      </c>
      <c r="AK99" s="6">
        <f t="shared" si="30"/>
        <v>0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</row>
    <row r="100" spans="1:53" x14ac:dyDescent="0.25">
      <c r="A100" s="6" t="s">
        <v>133</v>
      </c>
      <c r="B100" s="6" t="s">
        <v>33</v>
      </c>
      <c r="C100" s="6">
        <v>29</v>
      </c>
      <c r="D100" s="6"/>
      <c r="E100" s="14">
        <f>0+E87</f>
        <v>48</v>
      </c>
      <c r="F100" s="14">
        <f>29+F87</f>
        <v>66</v>
      </c>
      <c r="G100" s="7">
        <v>0.1</v>
      </c>
      <c r="H100" s="6">
        <v>60</v>
      </c>
      <c r="I100" s="6" t="s">
        <v>34</v>
      </c>
      <c r="J100" s="6"/>
      <c r="K100" s="6"/>
      <c r="L100" s="6">
        <f t="shared" si="23"/>
        <v>48</v>
      </c>
      <c r="M100" s="6"/>
      <c r="N100" s="6"/>
      <c r="O100" s="6">
        <v>0</v>
      </c>
      <c r="P100" s="6"/>
      <c r="Q100" s="6">
        <f t="shared" si="24"/>
        <v>9.6</v>
      </c>
      <c r="R100" s="8">
        <f t="shared" si="37"/>
        <v>78</v>
      </c>
      <c r="S100" s="8">
        <f t="shared" si="26"/>
        <v>78</v>
      </c>
      <c r="T100" s="8">
        <f t="shared" si="27"/>
        <v>78</v>
      </c>
      <c r="U100" s="8"/>
      <c r="V100" s="8"/>
      <c r="W100" s="20"/>
      <c r="X100" s="20">
        <f>VLOOKUP(A100,[1]Sheet!$A:$S,19,0)</f>
        <v>0</v>
      </c>
      <c r="Y100" s="6">
        <f t="shared" si="28"/>
        <v>15</v>
      </c>
      <c r="Z100" s="6">
        <f t="shared" si="25"/>
        <v>6.875</v>
      </c>
      <c r="AA100" s="6">
        <v>5.6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 t="s">
        <v>151</v>
      </c>
      <c r="AJ100" s="6">
        <f t="shared" si="29"/>
        <v>7.8000000000000007</v>
      </c>
      <c r="AK100" s="6">
        <f t="shared" si="30"/>
        <v>0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</row>
    <row r="101" spans="1:53" x14ac:dyDescent="0.25">
      <c r="A101" s="6" t="s">
        <v>71</v>
      </c>
      <c r="B101" s="6" t="s">
        <v>33</v>
      </c>
      <c r="C101" s="6">
        <v>80</v>
      </c>
      <c r="D101" s="6">
        <v>501</v>
      </c>
      <c r="E101" s="14">
        <f>15+E34</f>
        <v>143</v>
      </c>
      <c r="F101" s="14">
        <f>551+F34</f>
        <v>534</v>
      </c>
      <c r="G101" s="7">
        <v>0.1</v>
      </c>
      <c r="H101" s="6">
        <v>60</v>
      </c>
      <c r="I101" s="6" t="s">
        <v>34</v>
      </c>
      <c r="J101" s="6"/>
      <c r="K101" s="6">
        <v>44</v>
      </c>
      <c r="L101" s="6">
        <f t="shared" si="23"/>
        <v>99</v>
      </c>
      <c r="M101" s="6"/>
      <c r="N101" s="6"/>
      <c r="O101" s="6">
        <v>51</v>
      </c>
      <c r="P101" s="6">
        <v>60</v>
      </c>
      <c r="Q101" s="6">
        <f t="shared" si="24"/>
        <v>28.6</v>
      </c>
      <c r="R101" s="19"/>
      <c r="S101" s="8">
        <f t="shared" si="26"/>
        <v>0</v>
      </c>
      <c r="T101" s="8">
        <f t="shared" si="27"/>
        <v>0</v>
      </c>
      <c r="U101" s="8"/>
      <c r="V101" s="8"/>
      <c r="W101" s="22"/>
      <c r="X101" s="20">
        <f>VLOOKUP(A101,[1]Sheet!$A:$S,19,0)</f>
        <v>0</v>
      </c>
      <c r="Y101" s="6">
        <f t="shared" si="28"/>
        <v>22.55244755244755</v>
      </c>
      <c r="Z101" s="6">
        <f t="shared" si="25"/>
        <v>22.55244755244755</v>
      </c>
      <c r="AA101" s="6">
        <v>54.8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 t="s">
        <v>152</v>
      </c>
      <c r="AJ101" s="6">
        <f t="shared" si="29"/>
        <v>0</v>
      </c>
      <c r="AK101" s="6">
        <f t="shared" si="30"/>
        <v>0</v>
      </c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</row>
    <row r="102" spans="1:53" x14ac:dyDescent="0.25">
      <c r="A102" s="6" t="s">
        <v>67</v>
      </c>
      <c r="B102" s="6" t="s">
        <v>33</v>
      </c>
      <c r="C102" s="6">
        <v>225</v>
      </c>
      <c r="D102" s="6">
        <v>611</v>
      </c>
      <c r="E102" s="14">
        <f>287+E32</f>
        <v>293</v>
      </c>
      <c r="F102" s="14">
        <f>412+F32</f>
        <v>406</v>
      </c>
      <c r="G102" s="7">
        <v>0.4</v>
      </c>
      <c r="H102" s="6">
        <v>60</v>
      </c>
      <c r="I102" s="6" t="s">
        <v>34</v>
      </c>
      <c r="J102" s="6"/>
      <c r="K102" s="6">
        <v>480</v>
      </c>
      <c r="L102" s="6">
        <f t="shared" ref="L102:L106" si="39">E102-K102</f>
        <v>-187</v>
      </c>
      <c r="M102" s="6"/>
      <c r="N102" s="6"/>
      <c r="O102" s="6">
        <v>168</v>
      </c>
      <c r="P102" s="6">
        <v>198</v>
      </c>
      <c r="Q102" s="6">
        <f t="shared" ref="Q102:Q107" si="40">E102/5</f>
        <v>58.6</v>
      </c>
      <c r="R102" s="8">
        <f t="shared" si="37"/>
        <v>107</v>
      </c>
      <c r="S102" s="8">
        <f t="shared" si="26"/>
        <v>107</v>
      </c>
      <c r="T102" s="8">
        <f t="shared" si="27"/>
        <v>37</v>
      </c>
      <c r="U102" s="8">
        <f>ROUND(S102*$U$1,0)</f>
        <v>70</v>
      </c>
      <c r="V102" s="8"/>
      <c r="W102" s="20"/>
      <c r="X102" s="20">
        <f>VLOOKUP(A102,[1]Sheet!$A:$S,19,0)</f>
        <v>0</v>
      </c>
      <c r="Y102" s="6">
        <f t="shared" si="28"/>
        <v>15</v>
      </c>
      <c r="Z102" s="6">
        <f t="shared" ref="Z102:Z107" si="41">(F102+O102+P102)/Q102</f>
        <v>13.174061433447099</v>
      </c>
      <c r="AA102" s="6">
        <v>71.400000000000006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 t="s">
        <v>153</v>
      </c>
      <c r="AJ102" s="6">
        <f t="shared" si="29"/>
        <v>14.8</v>
      </c>
      <c r="AK102" s="6">
        <f t="shared" si="30"/>
        <v>28</v>
      </c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</row>
    <row r="103" spans="1:53" x14ac:dyDescent="0.25">
      <c r="A103" s="6" t="s">
        <v>154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 t="s">
        <v>34</v>
      </c>
      <c r="J103" s="6"/>
      <c r="K103" s="6"/>
      <c r="L103" s="6">
        <f t="shared" si="39"/>
        <v>0</v>
      </c>
      <c r="M103" s="6"/>
      <c r="N103" s="6"/>
      <c r="O103" s="6">
        <v>0</v>
      </c>
      <c r="P103" s="6"/>
      <c r="Q103" s="6">
        <f t="shared" si="40"/>
        <v>0</v>
      </c>
      <c r="R103" s="8">
        <v>100</v>
      </c>
      <c r="S103" s="8">
        <f t="shared" si="26"/>
        <v>100</v>
      </c>
      <c r="T103" s="8">
        <f t="shared" si="27"/>
        <v>100</v>
      </c>
      <c r="U103" s="8"/>
      <c r="V103" s="8"/>
      <c r="W103" s="20"/>
      <c r="X103" s="20">
        <f>VLOOKUP(A103,[1]Sheet!$A:$S,19,0)</f>
        <v>0</v>
      </c>
      <c r="Y103" s="6" t="e">
        <f t="shared" si="28"/>
        <v>#DIV/0!</v>
      </c>
      <c r="Z103" s="6" t="e">
        <f t="shared" si="41"/>
        <v>#DIV/0!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 t="s">
        <v>155</v>
      </c>
      <c r="AJ103" s="6">
        <f t="shared" si="29"/>
        <v>10</v>
      </c>
      <c r="AK103" s="6">
        <f t="shared" si="30"/>
        <v>0</v>
      </c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</row>
    <row r="104" spans="1:53" x14ac:dyDescent="0.25">
      <c r="A104" s="6" t="s">
        <v>156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 t="s">
        <v>34</v>
      </c>
      <c r="J104" s="6"/>
      <c r="K104" s="6"/>
      <c r="L104" s="6">
        <f t="shared" si="39"/>
        <v>0</v>
      </c>
      <c r="M104" s="6"/>
      <c r="N104" s="6"/>
      <c r="O104" s="6">
        <v>0</v>
      </c>
      <c r="P104" s="6"/>
      <c r="Q104" s="6">
        <f t="shared" si="40"/>
        <v>0</v>
      </c>
      <c r="R104" s="8">
        <v>100</v>
      </c>
      <c r="S104" s="8">
        <f t="shared" si="26"/>
        <v>100</v>
      </c>
      <c r="T104" s="8">
        <f t="shared" si="27"/>
        <v>100</v>
      </c>
      <c r="U104" s="8"/>
      <c r="V104" s="8"/>
      <c r="W104" s="20"/>
      <c r="X104" s="20">
        <f>VLOOKUP(A104,[1]Sheet!$A:$S,19,0)</f>
        <v>0</v>
      </c>
      <c r="Y104" s="6" t="e">
        <f t="shared" si="28"/>
        <v>#DIV/0!</v>
      </c>
      <c r="Z104" s="6" t="e">
        <f t="shared" si="41"/>
        <v>#DIV/0!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 t="s">
        <v>155</v>
      </c>
      <c r="AJ104" s="6">
        <f t="shared" si="29"/>
        <v>10</v>
      </c>
      <c r="AK104" s="6">
        <f t="shared" si="30"/>
        <v>0</v>
      </c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</row>
    <row r="105" spans="1:53" x14ac:dyDescent="0.25">
      <c r="A105" s="9" t="s">
        <v>157</v>
      </c>
      <c r="B105" s="9" t="s">
        <v>36</v>
      </c>
      <c r="C105" s="9">
        <v>129.63</v>
      </c>
      <c r="D105" s="9"/>
      <c r="E105" s="9"/>
      <c r="F105" s="14">
        <v>129.63</v>
      </c>
      <c r="G105" s="10">
        <v>0</v>
      </c>
      <c r="H105" s="9"/>
      <c r="I105" s="9" t="s">
        <v>158</v>
      </c>
      <c r="J105" s="9" t="s">
        <v>61</v>
      </c>
      <c r="K105" s="9"/>
      <c r="L105" s="9">
        <f t="shared" si="39"/>
        <v>0</v>
      </c>
      <c r="M105" s="9"/>
      <c r="N105" s="9"/>
      <c r="O105" s="9">
        <v>0</v>
      </c>
      <c r="P105" s="9"/>
      <c r="Q105" s="9">
        <f t="shared" si="40"/>
        <v>0</v>
      </c>
      <c r="R105" s="11"/>
      <c r="S105" s="8">
        <f t="shared" si="26"/>
        <v>0</v>
      </c>
      <c r="T105" s="8">
        <f t="shared" si="27"/>
        <v>0</v>
      </c>
      <c r="U105" s="8"/>
      <c r="V105" s="8"/>
      <c r="W105" s="21"/>
      <c r="X105" s="20">
        <f>VLOOKUP(A105,[1]Sheet!$A:$S,19,0)</f>
        <v>0</v>
      </c>
      <c r="Y105" s="6" t="e">
        <f t="shared" si="28"/>
        <v>#DIV/0!</v>
      </c>
      <c r="Z105" s="9" t="e">
        <f t="shared" si="41"/>
        <v>#DIV/0!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/>
      <c r="AJ105" s="6">
        <f t="shared" si="29"/>
        <v>0</v>
      </c>
      <c r="AK105" s="6">
        <f t="shared" si="30"/>
        <v>0</v>
      </c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</row>
    <row r="106" spans="1:53" x14ac:dyDescent="0.25">
      <c r="A106" s="9" t="s">
        <v>159</v>
      </c>
      <c r="B106" s="9" t="s">
        <v>36</v>
      </c>
      <c r="C106" s="9">
        <v>38.237000000000002</v>
      </c>
      <c r="D106" s="9">
        <v>1.56</v>
      </c>
      <c r="E106" s="14">
        <v>1.56</v>
      </c>
      <c r="F106" s="14">
        <v>36.677</v>
      </c>
      <c r="G106" s="10">
        <v>0</v>
      </c>
      <c r="H106" s="9"/>
      <c r="I106" s="9" t="s">
        <v>158</v>
      </c>
      <c r="J106" s="9" t="s">
        <v>106</v>
      </c>
      <c r="K106" s="9">
        <v>3</v>
      </c>
      <c r="L106" s="9">
        <f t="shared" si="39"/>
        <v>-1.44</v>
      </c>
      <c r="M106" s="9"/>
      <c r="N106" s="9"/>
      <c r="O106" s="9">
        <v>0</v>
      </c>
      <c r="P106" s="9"/>
      <c r="Q106" s="9">
        <f t="shared" si="40"/>
        <v>0.312</v>
      </c>
      <c r="R106" s="11"/>
      <c r="S106" s="8">
        <f t="shared" si="26"/>
        <v>0</v>
      </c>
      <c r="T106" s="8">
        <f t="shared" si="27"/>
        <v>0</v>
      </c>
      <c r="U106" s="8"/>
      <c r="V106" s="8"/>
      <c r="W106" s="21"/>
      <c r="X106" s="20">
        <f>VLOOKUP(A106,[1]Sheet!$A:$S,19,0)</f>
        <v>0</v>
      </c>
      <c r="Y106" s="6">
        <f t="shared" si="28"/>
        <v>117.55448717948718</v>
      </c>
      <c r="Z106" s="9">
        <f t="shared" si="41"/>
        <v>117.55448717948718</v>
      </c>
      <c r="AA106" s="9">
        <v>0.30940000000000001</v>
      </c>
      <c r="AB106" s="9">
        <v>6.8086000000000002</v>
      </c>
      <c r="AC106" s="9">
        <v>15.711600000000001</v>
      </c>
      <c r="AD106" s="9">
        <v>12.635999999999999</v>
      </c>
      <c r="AE106" s="9">
        <v>14.8812</v>
      </c>
      <c r="AF106" s="9">
        <v>13.2858</v>
      </c>
      <c r="AG106" s="9">
        <v>0.31219999999999998</v>
      </c>
      <c r="AH106" s="9">
        <v>0</v>
      </c>
      <c r="AI106" s="9"/>
      <c r="AJ106" s="6">
        <f t="shared" si="29"/>
        <v>0</v>
      </c>
      <c r="AK106" s="6">
        <f t="shared" si="30"/>
        <v>0</v>
      </c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</row>
    <row r="107" spans="1:53" x14ac:dyDescent="0.25">
      <c r="A107" s="12" t="s">
        <v>74</v>
      </c>
      <c r="B107" s="12" t="s">
        <v>33</v>
      </c>
      <c r="C107" s="6"/>
      <c r="D107" s="6"/>
      <c r="E107" s="14">
        <f>0+E35</f>
        <v>194</v>
      </c>
      <c r="F107" s="14">
        <f>0+F35</f>
        <v>15</v>
      </c>
      <c r="G107" s="7">
        <v>0.1</v>
      </c>
      <c r="H107" s="6">
        <v>60</v>
      </c>
      <c r="I107" s="6" t="s">
        <v>34</v>
      </c>
      <c r="J107" s="6"/>
      <c r="K107" s="6"/>
      <c r="L107" s="6"/>
      <c r="M107" s="6"/>
      <c r="N107" s="6"/>
      <c r="O107" s="6">
        <v>53</v>
      </c>
      <c r="P107" s="6">
        <v>62</v>
      </c>
      <c r="Q107" s="6">
        <f t="shared" si="40"/>
        <v>38.799999999999997</v>
      </c>
      <c r="R107" s="8">
        <f>13*Q107-P107-O107-F107</f>
        <v>374.4</v>
      </c>
      <c r="S107" s="8">
        <f t="shared" si="26"/>
        <v>374</v>
      </c>
      <c r="T107" s="8">
        <f t="shared" si="27"/>
        <v>131</v>
      </c>
      <c r="U107" s="8">
        <f>ROUND(S107*$U$1,0)</f>
        <v>243</v>
      </c>
      <c r="V107" s="8"/>
      <c r="W107" s="20"/>
      <c r="X107" s="20">
        <f>VLOOKUP(A107,[1]Sheet!$A:$S,19,0)</f>
        <v>0</v>
      </c>
      <c r="Y107" s="6">
        <f t="shared" si="28"/>
        <v>12.989690721649486</v>
      </c>
      <c r="Z107" s="6">
        <f t="shared" si="41"/>
        <v>3.3505154639175259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 t="s">
        <v>160</v>
      </c>
      <c r="AJ107" s="6">
        <f t="shared" si="29"/>
        <v>13.100000000000001</v>
      </c>
      <c r="AK107" s="6">
        <f t="shared" si="30"/>
        <v>24.3</v>
      </c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</row>
    <row r="108" spans="1:53" x14ac:dyDescent="0.25">
      <c r="A108" s="9" t="s">
        <v>161</v>
      </c>
      <c r="B108" s="9" t="s">
        <v>36</v>
      </c>
      <c r="C108" s="9"/>
      <c r="D108" s="9"/>
      <c r="E108" s="9"/>
      <c r="F108" s="9"/>
      <c r="G108" s="10">
        <v>0</v>
      </c>
      <c r="H108" s="9"/>
      <c r="I108" s="9" t="s">
        <v>34</v>
      </c>
      <c r="J108" s="9"/>
      <c r="K108" s="9"/>
      <c r="L108" s="9"/>
      <c r="M108" s="9"/>
      <c r="N108" s="9"/>
      <c r="O108" s="9"/>
      <c r="P108" s="9"/>
      <c r="Q108" s="9">
        <f t="shared" ref="Q108" si="42">E108/5</f>
        <v>0</v>
      </c>
      <c r="R108" s="11"/>
      <c r="S108" s="8">
        <f t="shared" si="26"/>
        <v>0</v>
      </c>
      <c r="T108" s="8">
        <f t="shared" si="27"/>
        <v>0</v>
      </c>
      <c r="U108" s="8"/>
      <c r="V108" s="8"/>
      <c r="W108" s="21"/>
      <c r="X108" s="20">
        <f>VLOOKUP(A108,[1]Sheet!$A:$S,19,0)</f>
        <v>0</v>
      </c>
      <c r="Y108" s="6" t="e">
        <f t="shared" si="28"/>
        <v>#DIV/0!</v>
      </c>
      <c r="Z108" s="9" t="e">
        <f t="shared" ref="Z108" si="43">(F108+O108+P108)/Q108</f>
        <v>#DIV/0!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162</v>
      </c>
      <c r="AJ108" s="6">
        <f t="shared" si="29"/>
        <v>0</v>
      </c>
      <c r="AK108" s="6">
        <f t="shared" si="30"/>
        <v>0</v>
      </c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</row>
    <row r="109" spans="1:53" x14ac:dyDescent="0.25">
      <c r="A109" s="9" t="s">
        <v>163</v>
      </c>
      <c r="B109" s="16" t="s">
        <v>36</v>
      </c>
      <c r="C109" s="9"/>
      <c r="D109" s="9"/>
      <c r="E109" s="9"/>
      <c r="F109" s="9"/>
      <c r="G109" s="10">
        <v>0</v>
      </c>
      <c r="H109" s="9"/>
      <c r="I109" s="9" t="s">
        <v>34</v>
      </c>
      <c r="J109" s="9"/>
      <c r="K109" s="9"/>
      <c r="L109" s="9"/>
      <c r="M109" s="9"/>
      <c r="N109" s="9"/>
      <c r="O109" s="9"/>
      <c r="P109" s="9"/>
      <c r="Q109" s="9">
        <f t="shared" ref="Q109" si="44">E109/5</f>
        <v>0</v>
      </c>
      <c r="R109" s="11"/>
      <c r="S109" s="8">
        <f t="shared" si="26"/>
        <v>0</v>
      </c>
      <c r="T109" s="8">
        <f t="shared" si="27"/>
        <v>0</v>
      </c>
      <c r="U109" s="8"/>
      <c r="V109" s="8"/>
      <c r="W109" s="21"/>
      <c r="X109" s="20">
        <f>VLOOKUP(A109,[1]Sheet!$A:$S,19,0)</f>
        <v>0</v>
      </c>
      <c r="Y109" s="6" t="e">
        <f t="shared" si="28"/>
        <v>#DIV/0!</v>
      </c>
      <c r="Z109" s="9" t="e">
        <f t="shared" ref="Z109" si="45">(F109+O109+P109)/Q109</f>
        <v>#DIV/0!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 t="s">
        <v>162</v>
      </c>
      <c r="AJ109" s="6">
        <f t="shared" si="29"/>
        <v>0</v>
      </c>
      <c r="AK109" s="6">
        <f t="shared" si="30"/>
        <v>0</v>
      </c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</row>
    <row r="110" spans="1:53" x14ac:dyDescent="0.25">
      <c r="A110" s="9" t="s">
        <v>164</v>
      </c>
      <c r="B110" s="16" t="s">
        <v>36</v>
      </c>
      <c r="C110" s="9"/>
      <c r="D110" s="9"/>
      <c r="E110" s="9"/>
      <c r="F110" s="9"/>
      <c r="G110" s="10">
        <v>0</v>
      </c>
      <c r="H110" s="9"/>
      <c r="I110" s="9" t="s">
        <v>34</v>
      </c>
      <c r="J110" s="9"/>
      <c r="K110" s="9"/>
      <c r="L110" s="9"/>
      <c r="M110" s="9"/>
      <c r="N110" s="9"/>
      <c r="O110" s="9"/>
      <c r="P110" s="9"/>
      <c r="Q110" s="9">
        <f t="shared" ref="Q110:Q112" si="46">E110/5</f>
        <v>0</v>
      </c>
      <c r="R110" s="11"/>
      <c r="S110" s="8">
        <f t="shared" si="26"/>
        <v>0</v>
      </c>
      <c r="T110" s="8">
        <f t="shared" si="27"/>
        <v>0</v>
      </c>
      <c r="U110" s="8"/>
      <c r="V110" s="8"/>
      <c r="W110" s="21"/>
      <c r="X110" s="20">
        <f>VLOOKUP(A110,[1]Sheet!$A:$S,19,0)</f>
        <v>0</v>
      </c>
      <c r="Y110" s="6" t="e">
        <f t="shared" si="28"/>
        <v>#DIV/0!</v>
      </c>
      <c r="Z110" s="9" t="e">
        <f t="shared" ref="Z110:Z112" si="47">(F110+O110+P110)/Q110</f>
        <v>#DIV/0!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 t="s">
        <v>162</v>
      </c>
      <c r="AJ110" s="6">
        <f t="shared" si="29"/>
        <v>0</v>
      </c>
      <c r="AK110" s="6">
        <f t="shared" si="30"/>
        <v>0</v>
      </c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</row>
    <row r="111" spans="1:53" x14ac:dyDescent="0.25">
      <c r="A111" s="26" t="s">
        <v>178</v>
      </c>
      <c r="B111" s="26" t="s">
        <v>33</v>
      </c>
      <c r="C111" s="26"/>
      <c r="D111" s="26"/>
      <c r="E111" s="26"/>
      <c r="F111" s="26"/>
      <c r="G111" s="27">
        <v>0.27</v>
      </c>
      <c r="H111" s="26"/>
      <c r="I111" s="26" t="s">
        <v>34</v>
      </c>
      <c r="J111" s="26"/>
      <c r="K111" s="26"/>
      <c r="L111" s="26"/>
      <c r="M111" s="26"/>
      <c r="N111" s="26"/>
      <c r="O111" s="26"/>
      <c r="P111" s="26"/>
      <c r="Q111" s="26">
        <f t="shared" si="46"/>
        <v>0</v>
      </c>
      <c r="R111" s="28">
        <v>300</v>
      </c>
      <c r="S111" s="8">
        <f t="shared" si="26"/>
        <v>300</v>
      </c>
      <c r="T111" s="8">
        <f t="shared" si="27"/>
        <v>300</v>
      </c>
      <c r="U111" s="8"/>
      <c r="V111" s="8"/>
      <c r="W111" s="26"/>
      <c r="X111" s="20"/>
      <c r="Y111" s="6" t="e">
        <f t="shared" si="28"/>
        <v>#DIV/0!</v>
      </c>
      <c r="Z111" s="26" t="e">
        <f t="shared" si="47"/>
        <v>#DIV/0!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  <c r="AI111" s="26" t="s">
        <v>136</v>
      </c>
      <c r="AJ111" s="6">
        <f t="shared" si="29"/>
        <v>81</v>
      </c>
      <c r="AK111" s="6">
        <f t="shared" si="30"/>
        <v>0</v>
      </c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</row>
    <row r="112" spans="1:53" x14ac:dyDescent="0.25">
      <c r="A112" s="26" t="s">
        <v>179</v>
      </c>
      <c r="B112" s="26" t="s">
        <v>33</v>
      </c>
      <c r="C112" s="26"/>
      <c r="D112" s="26"/>
      <c r="E112" s="26"/>
      <c r="F112" s="26"/>
      <c r="G112" s="27">
        <v>0.3</v>
      </c>
      <c r="H112" s="26">
        <v>45</v>
      </c>
      <c r="I112" s="26" t="s">
        <v>34</v>
      </c>
      <c r="J112" s="26"/>
      <c r="K112" s="26"/>
      <c r="L112" s="26"/>
      <c r="M112" s="26"/>
      <c r="N112" s="26"/>
      <c r="O112" s="26"/>
      <c r="P112" s="26"/>
      <c r="Q112" s="26">
        <f t="shared" si="46"/>
        <v>0</v>
      </c>
      <c r="R112" s="28">
        <v>120</v>
      </c>
      <c r="S112" s="8">
        <f t="shared" si="26"/>
        <v>120</v>
      </c>
      <c r="T112" s="8">
        <f t="shared" si="27"/>
        <v>120</v>
      </c>
      <c r="U112" s="8"/>
      <c r="V112" s="8"/>
      <c r="W112" s="26"/>
      <c r="X112" s="20"/>
      <c r="Y112" s="6" t="e">
        <f t="shared" si="28"/>
        <v>#DIV/0!</v>
      </c>
      <c r="Z112" s="26" t="e">
        <f t="shared" si="47"/>
        <v>#DIV/0!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  <c r="AI112" s="26" t="s">
        <v>136</v>
      </c>
      <c r="AJ112" s="6">
        <f t="shared" si="29"/>
        <v>36</v>
      </c>
      <c r="AK112" s="6">
        <f t="shared" si="30"/>
        <v>0</v>
      </c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</row>
    <row r="113" spans="1:53" x14ac:dyDescent="0.25">
      <c r="A113" s="6" t="s">
        <v>188</v>
      </c>
      <c r="B113" s="12" t="s">
        <v>33</v>
      </c>
      <c r="C113" s="6"/>
      <c r="D113" s="6"/>
      <c r="E113" s="6"/>
      <c r="F113" s="6"/>
      <c r="G113" s="7">
        <v>0</v>
      </c>
      <c r="H113" s="6"/>
      <c r="I113" s="6" t="s">
        <v>56</v>
      </c>
      <c r="J113" s="6"/>
      <c r="K113" s="6"/>
      <c r="L113" s="6"/>
      <c r="M113" s="6"/>
      <c r="N113" s="6"/>
      <c r="O113" s="6"/>
      <c r="P113" s="6"/>
      <c r="Q113" s="6">
        <v>0</v>
      </c>
      <c r="R113" s="6"/>
      <c r="S113" s="6"/>
      <c r="T113" s="6"/>
      <c r="U113" s="6"/>
      <c r="V113" s="6">
        <v>300</v>
      </c>
      <c r="W113" s="6"/>
      <c r="X113" s="6"/>
      <c r="Y113" s="6"/>
      <c r="Z113" s="6"/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 t="s">
        <v>189</v>
      </c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</row>
    <row r="114" spans="1:53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</row>
    <row r="115" spans="1:53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</row>
    <row r="116" spans="1:53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</row>
    <row r="117" spans="1:53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</row>
    <row r="118" spans="1:53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</row>
    <row r="119" spans="1:53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</row>
    <row r="120" spans="1:53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</row>
    <row r="121" spans="1:53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</row>
    <row r="122" spans="1:53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</row>
    <row r="123" spans="1:53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</row>
    <row r="124" spans="1:53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</row>
    <row r="125" spans="1:53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</row>
    <row r="126" spans="1:53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</row>
    <row r="127" spans="1:53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</row>
    <row r="128" spans="1:53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</row>
    <row r="129" spans="1:53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</row>
    <row r="130" spans="1:53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</row>
    <row r="131" spans="1:53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</row>
    <row r="132" spans="1:53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</row>
    <row r="133" spans="1:53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</row>
    <row r="134" spans="1:53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</row>
    <row r="135" spans="1:53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</row>
    <row r="136" spans="1:53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</row>
    <row r="137" spans="1:53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</row>
    <row r="138" spans="1:53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</row>
    <row r="139" spans="1:53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</row>
    <row r="140" spans="1:53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</row>
    <row r="141" spans="1:53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</row>
    <row r="142" spans="1:53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</row>
    <row r="143" spans="1:53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</row>
    <row r="144" spans="1:53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</row>
    <row r="145" spans="1:53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</row>
    <row r="146" spans="1:53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</row>
    <row r="147" spans="1:53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</row>
    <row r="148" spans="1:53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</row>
    <row r="149" spans="1:53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</row>
    <row r="150" spans="1:53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</row>
    <row r="151" spans="1:53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</row>
    <row r="152" spans="1:53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</row>
    <row r="153" spans="1:53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</row>
    <row r="154" spans="1:53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</row>
    <row r="155" spans="1:53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</row>
    <row r="156" spans="1:53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</row>
    <row r="157" spans="1:53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</row>
    <row r="158" spans="1:53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</row>
    <row r="159" spans="1:53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</row>
    <row r="160" spans="1:53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</row>
    <row r="161" spans="1:53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</row>
    <row r="162" spans="1:53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</row>
    <row r="163" spans="1:53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</row>
    <row r="164" spans="1:53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</row>
    <row r="165" spans="1:53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</row>
    <row r="166" spans="1:53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</row>
    <row r="167" spans="1:53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</row>
    <row r="168" spans="1:53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</row>
    <row r="169" spans="1:53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</row>
    <row r="170" spans="1:53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</row>
    <row r="171" spans="1:53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</row>
    <row r="172" spans="1:53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</row>
    <row r="173" spans="1:53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</row>
    <row r="174" spans="1:53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</row>
    <row r="175" spans="1:53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</row>
    <row r="176" spans="1:53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</row>
    <row r="177" spans="1:53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</row>
    <row r="178" spans="1:53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</row>
    <row r="179" spans="1:53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</row>
    <row r="180" spans="1:53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</row>
    <row r="181" spans="1:53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</row>
    <row r="182" spans="1:53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</row>
    <row r="183" spans="1:53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</row>
    <row r="184" spans="1:53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</row>
    <row r="185" spans="1:53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</row>
    <row r="186" spans="1:53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</row>
    <row r="187" spans="1:53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</row>
    <row r="188" spans="1:53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</row>
    <row r="189" spans="1:53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</row>
    <row r="190" spans="1:53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</row>
    <row r="191" spans="1:53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</row>
    <row r="192" spans="1:53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</row>
    <row r="193" spans="1:53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</row>
    <row r="194" spans="1:53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</row>
    <row r="195" spans="1:53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</row>
    <row r="196" spans="1:53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</row>
    <row r="197" spans="1:53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</row>
    <row r="198" spans="1:53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</row>
    <row r="199" spans="1:53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</row>
    <row r="200" spans="1:53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</row>
    <row r="201" spans="1:53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</row>
    <row r="202" spans="1:53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</row>
    <row r="203" spans="1:53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</row>
    <row r="204" spans="1:53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</row>
    <row r="205" spans="1:53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</row>
    <row r="206" spans="1:53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</row>
    <row r="207" spans="1:53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</row>
    <row r="208" spans="1:53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</row>
    <row r="209" spans="1:53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</row>
    <row r="210" spans="1:53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</row>
    <row r="211" spans="1:53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</row>
    <row r="212" spans="1:53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</row>
    <row r="213" spans="1:53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</row>
    <row r="214" spans="1:53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</row>
    <row r="215" spans="1:53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</row>
    <row r="216" spans="1:53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</row>
    <row r="217" spans="1:53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</row>
    <row r="218" spans="1:53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</row>
    <row r="219" spans="1:53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</row>
    <row r="220" spans="1:53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</row>
    <row r="221" spans="1:53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</row>
    <row r="222" spans="1:53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</row>
    <row r="223" spans="1:53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</row>
    <row r="224" spans="1:53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</row>
    <row r="225" spans="1:53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</row>
    <row r="226" spans="1:53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</row>
    <row r="227" spans="1:53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</row>
    <row r="228" spans="1:53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</row>
    <row r="229" spans="1:53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</row>
    <row r="230" spans="1:53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</row>
    <row r="231" spans="1:53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</row>
    <row r="232" spans="1:53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</row>
    <row r="233" spans="1:53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</row>
    <row r="234" spans="1:53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</row>
    <row r="235" spans="1:53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</row>
    <row r="236" spans="1:53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</row>
    <row r="237" spans="1:53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</row>
    <row r="238" spans="1:53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</row>
    <row r="239" spans="1:53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</row>
    <row r="240" spans="1:53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</row>
    <row r="241" spans="1:53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</row>
    <row r="242" spans="1:53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</row>
    <row r="243" spans="1:53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</row>
    <row r="244" spans="1:53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</row>
    <row r="245" spans="1:53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</row>
    <row r="246" spans="1:53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</row>
    <row r="247" spans="1:53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</row>
    <row r="248" spans="1:53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</row>
    <row r="249" spans="1:53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</row>
    <row r="250" spans="1:53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</row>
    <row r="251" spans="1:53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</row>
    <row r="252" spans="1:53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</row>
    <row r="253" spans="1:53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</row>
    <row r="254" spans="1:53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</row>
    <row r="255" spans="1:53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</row>
    <row r="256" spans="1:53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</row>
    <row r="257" spans="1:53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</row>
    <row r="258" spans="1:53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</row>
    <row r="259" spans="1:53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</row>
    <row r="260" spans="1:53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</row>
    <row r="261" spans="1:53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</row>
    <row r="262" spans="1:53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</row>
    <row r="263" spans="1:53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</row>
    <row r="264" spans="1:53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</row>
    <row r="265" spans="1:53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</row>
    <row r="266" spans="1:53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</row>
    <row r="267" spans="1:53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</row>
    <row r="268" spans="1:53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</row>
    <row r="269" spans="1:53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</row>
    <row r="270" spans="1:53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</row>
    <row r="271" spans="1:53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</row>
    <row r="272" spans="1:53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</row>
    <row r="273" spans="1:53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</row>
    <row r="274" spans="1:53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</row>
    <row r="275" spans="1:53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</row>
    <row r="276" spans="1:53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</row>
    <row r="277" spans="1:53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</row>
    <row r="278" spans="1:53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</row>
    <row r="279" spans="1:53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</row>
    <row r="280" spans="1:53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</row>
    <row r="281" spans="1:53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</row>
    <row r="282" spans="1:53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</row>
    <row r="283" spans="1:53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</row>
    <row r="284" spans="1:53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</row>
    <row r="285" spans="1:53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</row>
    <row r="286" spans="1:53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</row>
    <row r="287" spans="1:53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</row>
    <row r="288" spans="1:53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</row>
    <row r="289" spans="1:53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</row>
    <row r="290" spans="1:53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</row>
    <row r="291" spans="1:53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</row>
    <row r="292" spans="1:53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</row>
    <row r="293" spans="1:53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</row>
    <row r="294" spans="1:53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</row>
    <row r="295" spans="1:53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</row>
    <row r="296" spans="1:53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</row>
    <row r="297" spans="1:53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</row>
    <row r="298" spans="1:53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</row>
    <row r="299" spans="1:53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</row>
    <row r="300" spans="1:53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</row>
    <row r="301" spans="1:53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</row>
    <row r="302" spans="1:53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</row>
    <row r="303" spans="1:53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</row>
    <row r="304" spans="1:53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</row>
    <row r="305" spans="1:53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</row>
    <row r="306" spans="1:53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</row>
    <row r="307" spans="1:53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</row>
    <row r="308" spans="1:53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</row>
    <row r="309" spans="1:53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</row>
    <row r="310" spans="1:53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</row>
    <row r="311" spans="1:53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</row>
    <row r="312" spans="1:53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</row>
    <row r="313" spans="1:53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</row>
    <row r="314" spans="1:53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</row>
    <row r="315" spans="1:53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</row>
    <row r="316" spans="1:53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</row>
    <row r="317" spans="1:53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</row>
    <row r="318" spans="1:53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</row>
    <row r="319" spans="1:53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</row>
    <row r="320" spans="1:53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</row>
    <row r="321" spans="1:53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</row>
    <row r="322" spans="1:53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</row>
    <row r="323" spans="1:53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</row>
    <row r="324" spans="1:53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</row>
    <row r="325" spans="1:53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</row>
    <row r="326" spans="1:53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</row>
    <row r="327" spans="1:53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</row>
    <row r="328" spans="1:53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</row>
    <row r="329" spans="1:53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</row>
    <row r="330" spans="1:53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</row>
    <row r="331" spans="1:53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</row>
    <row r="332" spans="1:53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</row>
    <row r="333" spans="1:53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</row>
    <row r="334" spans="1:53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</row>
    <row r="335" spans="1:53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</row>
    <row r="336" spans="1:53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</row>
    <row r="337" spans="1:53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</row>
    <row r="338" spans="1:53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</row>
    <row r="339" spans="1:53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</row>
    <row r="340" spans="1:53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</row>
    <row r="341" spans="1:53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</row>
    <row r="342" spans="1:53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</row>
    <row r="343" spans="1:53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</row>
    <row r="344" spans="1:53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</row>
    <row r="345" spans="1:53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</row>
    <row r="346" spans="1:53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</row>
    <row r="347" spans="1:53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</row>
    <row r="348" spans="1:53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</row>
    <row r="349" spans="1:53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</row>
    <row r="350" spans="1:53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</row>
    <row r="351" spans="1:53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</row>
    <row r="352" spans="1:53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</row>
    <row r="353" spans="1:53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</row>
    <row r="354" spans="1:53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</row>
    <row r="355" spans="1:53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</row>
    <row r="356" spans="1:53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</row>
    <row r="357" spans="1:53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</row>
    <row r="358" spans="1:53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</row>
    <row r="359" spans="1:53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</row>
    <row r="360" spans="1:53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</row>
    <row r="361" spans="1:53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</row>
    <row r="362" spans="1:53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</row>
    <row r="363" spans="1:53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</row>
    <row r="364" spans="1:53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</row>
    <row r="365" spans="1:53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</row>
    <row r="366" spans="1:53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</row>
    <row r="367" spans="1:53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</row>
    <row r="368" spans="1:53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</row>
    <row r="369" spans="1:53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</row>
    <row r="370" spans="1:53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</row>
    <row r="371" spans="1:53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</row>
    <row r="372" spans="1:53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</row>
    <row r="373" spans="1:53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</row>
    <row r="374" spans="1:53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</row>
    <row r="375" spans="1:53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</row>
    <row r="376" spans="1:53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</row>
    <row r="377" spans="1:53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</row>
    <row r="378" spans="1:53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</row>
    <row r="379" spans="1:53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</row>
    <row r="380" spans="1:53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</row>
    <row r="381" spans="1:53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</row>
    <row r="382" spans="1:53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</row>
    <row r="383" spans="1:53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</row>
    <row r="384" spans="1:53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</row>
    <row r="385" spans="1:53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</row>
    <row r="386" spans="1:53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</row>
    <row r="387" spans="1:53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</row>
    <row r="388" spans="1:53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</row>
    <row r="389" spans="1:53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</row>
    <row r="390" spans="1:53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</row>
    <row r="391" spans="1:53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</row>
    <row r="392" spans="1:53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</row>
    <row r="393" spans="1:53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</row>
    <row r="394" spans="1:53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</row>
    <row r="395" spans="1:53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</row>
    <row r="396" spans="1:53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</row>
    <row r="397" spans="1:53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</row>
    <row r="398" spans="1:53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</row>
    <row r="399" spans="1:53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</row>
    <row r="400" spans="1:53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</row>
    <row r="401" spans="1:53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</row>
    <row r="402" spans="1:53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</row>
    <row r="403" spans="1:53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</row>
    <row r="404" spans="1:53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</row>
    <row r="405" spans="1:53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</row>
    <row r="406" spans="1:53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</row>
    <row r="407" spans="1:53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</row>
    <row r="408" spans="1:53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</row>
    <row r="409" spans="1:53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</row>
    <row r="410" spans="1:53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</row>
    <row r="411" spans="1:53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</row>
    <row r="412" spans="1:53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</row>
    <row r="413" spans="1:53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</row>
    <row r="414" spans="1:53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</row>
    <row r="415" spans="1:53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</row>
    <row r="416" spans="1:53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</row>
    <row r="417" spans="1:53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</row>
    <row r="418" spans="1:53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</row>
    <row r="419" spans="1:53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</row>
    <row r="420" spans="1:53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</row>
    <row r="421" spans="1:53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</row>
    <row r="422" spans="1:53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</row>
    <row r="423" spans="1:53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</row>
    <row r="424" spans="1:53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</row>
    <row r="425" spans="1:53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</row>
    <row r="426" spans="1:53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</row>
    <row r="427" spans="1:53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</row>
    <row r="428" spans="1:53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</row>
    <row r="429" spans="1:53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</row>
    <row r="430" spans="1:53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</row>
    <row r="431" spans="1:53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</row>
    <row r="433" spans="1:53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</row>
    <row r="434" spans="1:53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</row>
    <row r="435" spans="1:53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</row>
    <row r="436" spans="1:53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</row>
    <row r="437" spans="1:53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</row>
    <row r="438" spans="1:53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</row>
    <row r="439" spans="1:53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</row>
    <row r="440" spans="1:53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</row>
    <row r="441" spans="1:53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</row>
    <row r="442" spans="1:53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</row>
    <row r="443" spans="1:53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</row>
    <row r="444" spans="1:53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</row>
    <row r="445" spans="1:53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</row>
    <row r="446" spans="1:53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</row>
    <row r="447" spans="1:53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</row>
    <row r="448" spans="1:53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</row>
    <row r="449" spans="1:53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</row>
    <row r="450" spans="1:53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</row>
    <row r="451" spans="1:53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</row>
    <row r="452" spans="1:53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</row>
    <row r="453" spans="1:53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</row>
    <row r="454" spans="1:53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</row>
    <row r="455" spans="1:53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</row>
    <row r="456" spans="1:53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</row>
    <row r="457" spans="1:53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</row>
    <row r="458" spans="1:53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</row>
    <row r="459" spans="1:53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</row>
    <row r="460" spans="1:53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</row>
    <row r="461" spans="1:53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</row>
    <row r="462" spans="1:53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</row>
    <row r="463" spans="1:53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</row>
    <row r="464" spans="1:53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</row>
    <row r="465" spans="1:53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</row>
    <row r="466" spans="1:53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</row>
    <row r="467" spans="1:53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</row>
    <row r="468" spans="1:53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</row>
    <row r="469" spans="1:53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</row>
    <row r="470" spans="1:53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</row>
    <row r="471" spans="1:53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</row>
    <row r="472" spans="1:53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</row>
    <row r="473" spans="1:53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</row>
    <row r="474" spans="1:53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</row>
    <row r="475" spans="1:53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</row>
    <row r="476" spans="1:53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</row>
    <row r="477" spans="1:53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</row>
    <row r="478" spans="1:53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</row>
    <row r="479" spans="1:53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</row>
    <row r="480" spans="1:53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</row>
    <row r="481" spans="1:53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</row>
    <row r="482" spans="1:53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</row>
    <row r="483" spans="1:53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 spans="1:53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</row>
    <row r="485" spans="1:53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</row>
    <row r="486" spans="1:53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</row>
    <row r="487" spans="1:53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</row>
    <row r="488" spans="1:53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</row>
    <row r="489" spans="1:53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</row>
    <row r="490" spans="1:53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</row>
    <row r="491" spans="1:53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</row>
    <row r="492" spans="1:53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</row>
    <row r="493" spans="1:53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</row>
  </sheetData>
  <autoFilter ref="A3:AJ11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2026-07-20T13:38:35Z</dcterms:created>
  <dcterms:modified xsi:type="dcterms:W3CDTF">2026-07-27T09:33:20Z</dcterms:modified>
</cp:coreProperties>
</file>