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46041938-D363-4D1A-B3F4-C68002F6C0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9" i="1" l="1"/>
  <c r="Q139" i="1" s="1"/>
  <c r="L139" i="1"/>
  <c r="M138" i="1"/>
  <c r="Q138" i="1" s="1"/>
  <c r="S138" i="1" s="1"/>
  <c r="L138" i="1"/>
  <c r="M137" i="1"/>
  <c r="Q137" i="1" s="1"/>
  <c r="T137" i="1" s="1"/>
  <c r="L137" i="1"/>
  <c r="M136" i="1"/>
  <c r="Q136" i="1" s="1"/>
  <c r="L136" i="1"/>
  <c r="M135" i="1"/>
  <c r="Q135" i="1" s="1"/>
  <c r="T135" i="1" s="1"/>
  <c r="L135" i="1"/>
  <c r="M134" i="1"/>
  <c r="Q134" i="1" s="1"/>
  <c r="L134" i="1"/>
  <c r="M133" i="1"/>
  <c r="Q133" i="1" s="1"/>
  <c r="R133" i="1" s="1"/>
  <c r="L133" i="1"/>
  <c r="M132" i="1"/>
  <c r="Q132" i="1" s="1"/>
  <c r="L132" i="1"/>
  <c r="M131" i="1"/>
  <c r="Q131" i="1" s="1"/>
  <c r="L131" i="1"/>
  <c r="E130" i="1"/>
  <c r="M130" i="1" s="1"/>
  <c r="Q130" i="1" s="1"/>
  <c r="M129" i="1"/>
  <c r="Q129" i="1" s="1"/>
  <c r="R129" i="1" s="1"/>
  <c r="L129" i="1"/>
  <c r="M128" i="1"/>
  <c r="Q128" i="1" s="1"/>
  <c r="L128" i="1"/>
  <c r="M127" i="1"/>
  <c r="Q127" i="1" s="1"/>
  <c r="R127" i="1" s="1"/>
  <c r="L127" i="1"/>
  <c r="M126" i="1"/>
  <c r="Q126" i="1" s="1"/>
  <c r="L126" i="1"/>
  <c r="M125" i="1"/>
  <c r="Q125" i="1" s="1"/>
  <c r="L125" i="1"/>
  <c r="M124" i="1"/>
  <c r="Q124" i="1" s="1"/>
  <c r="T124" i="1" s="1"/>
  <c r="L124" i="1"/>
  <c r="M123" i="1"/>
  <c r="Q123" i="1" s="1"/>
  <c r="R123" i="1" s="1"/>
  <c r="L123" i="1"/>
  <c r="M122" i="1"/>
  <c r="Q122" i="1" s="1"/>
  <c r="T122" i="1" s="1"/>
  <c r="L122" i="1"/>
  <c r="M121" i="1"/>
  <c r="Q121" i="1" s="1"/>
  <c r="R121" i="1" s="1"/>
  <c r="L121" i="1"/>
  <c r="M120" i="1"/>
  <c r="Q120" i="1" s="1"/>
  <c r="T120" i="1" s="1"/>
  <c r="L120" i="1"/>
  <c r="M119" i="1"/>
  <c r="Q119" i="1" s="1"/>
  <c r="L119" i="1"/>
  <c r="M118" i="1"/>
  <c r="Q118" i="1" s="1"/>
  <c r="T118" i="1" s="1"/>
  <c r="L118" i="1"/>
  <c r="M117" i="1"/>
  <c r="Q117" i="1" s="1"/>
  <c r="L117" i="1"/>
  <c r="M116" i="1"/>
  <c r="Q116" i="1" s="1"/>
  <c r="T116" i="1" s="1"/>
  <c r="L116" i="1"/>
  <c r="M115" i="1"/>
  <c r="Q115" i="1" s="1"/>
  <c r="R115" i="1" s="1"/>
  <c r="L115" i="1"/>
  <c r="M114" i="1"/>
  <c r="Q114" i="1" s="1"/>
  <c r="R114" i="1" s="1"/>
  <c r="L114" i="1"/>
  <c r="M113" i="1"/>
  <c r="Q113" i="1" s="1"/>
  <c r="S113" i="1" s="1"/>
  <c r="L113" i="1"/>
  <c r="M112" i="1"/>
  <c r="Q112" i="1" s="1"/>
  <c r="R112" i="1" s="1"/>
  <c r="L112" i="1"/>
  <c r="M111" i="1"/>
  <c r="Q111" i="1" s="1"/>
  <c r="S111" i="1" s="1"/>
  <c r="L111" i="1"/>
  <c r="M110" i="1"/>
  <c r="Q110" i="1" s="1"/>
  <c r="T110" i="1" s="1"/>
  <c r="L110" i="1"/>
  <c r="M109" i="1"/>
  <c r="Q109" i="1" s="1"/>
  <c r="L109" i="1"/>
  <c r="M108" i="1"/>
  <c r="Q108" i="1" s="1"/>
  <c r="L108" i="1"/>
  <c r="M107" i="1"/>
  <c r="Q107" i="1" s="1"/>
  <c r="R107" i="1" s="1"/>
  <c r="L107" i="1"/>
  <c r="M106" i="1"/>
  <c r="Q106" i="1" s="1"/>
  <c r="L106" i="1"/>
  <c r="M105" i="1"/>
  <c r="Q105" i="1" s="1"/>
  <c r="L105" i="1"/>
  <c r="M104" i="1"/>
  <c r="Q104" i="1" s="1"/>
  <c r="L104" i="1"/>
  <c r="M103" i="1"/>
  <c r="Q103" i="1" s="1"/>
  <c r="S103" i="1" s="1"/>
  <c r="L103" i="1"/>
  <c r="M102" i="1"/>
  <c r="Q102" i="1" s="1"/>
  <c r="T102" i="1" s="1"/>
  <c r="L102" i="1"/>
  <c r="M101" i="1"/>
  <c r="Q101" i="1" s="1"/>
  <c r="L101" i="1"/>
  <c r="M100" i="1"/>
  <c r="Q100" i="1" s="1"/>
  <c r="T100" i="1" s="1"/>
  <c r="L100" i="1"/>
  <c r="M99" i="1"/>
  <c r="Q99" i="1" s="1"/>
  <c r="L99" i="1"/>
  <c r="M98" i="1"/>
  <c r="Q98" i="1" s="1"/>
  <c r="T98" i="1" s="1"/>
  <c r="L98" i="1"/>
  <c r="M97" i="1"/>
  <c r="Q97" i="1" s="1"/>
  <c r="R97" i="1" s="1"/>
  <c r="L97" i="1"/>
  <c r="M96" i="1"/>
  <c r="Q96" i="1" s="1"/>
  <c r="L96" i="1"/>
  <c r="M95" i="1"/>
  <c r="Q95" i="1" s="1"/>
  <c r="T95" i="1" s="1"/>
  <c r="L95" i="1"/>
  <c r="M94" i="1"/>
  <c r="Q94" i="1" s="1"/>
  <c r="L94" i="1"/>
  <c r="M93" i="1"/>
  <c r="Q93" i="1" s="1"/>
  <c r="R93" i="1" s="1"/>
  <c r="L93" i="1"/>
  <c r="M92" i="1"/>
  <c r="Q92" i="1" s="1"/>
  <c r="R92" i="1" s="1"/>
  <c r="L92" i="1"/>
  <c r="M91" i="1"/>
  <c r="Q91" i="1" s="1"/>
  <c r="T91" i="1" s="1"/>
  <c r="L91" i="1"/>
  <c r="M90" i="1"/>
  <c r="Q90" i="1" s="1"/>
  <c r="R90" i="1" s="1"/>
  <c r="L90" i="1"/>
  <c r="M89" i="1"/>
  <c r="Q89" i="1" s="1"/>
  <c r="T89" i="1" s="1"/>
  <c r="L89" i="1"/>
  <c r="M88" i="1"/>
  <c r="Q88" i="1" s="1"/>
  <c r="L88" i="1"/>
  <c r="M87" i="1"/>
  <c r="Q87" i="1" s="1"/>
  <c r="T87" i="1" s="1"/>
  <c r="L87" i="1"/>
  <c r="M86" i="1"/>
  <c r="Q86" i="1" s="1"/>
  <c r="S86" i="1" s="1"/>
  <c r="L86" i="1"/>
  <c r="M85" i="1"/>
  <c r="Q85" i="1" s="1"/>
  <c r="T85" i="1" s="1"/>
  <c r="L85" i="1"/>
  <c r="M84" i="1"/>
  <c r="Q84" i="1" s="1"/>
  <c r="L84" i="1"/>
  <c r="M83" i="1"/>
  <c r="Q83" i="1" s="1"/>
  <c r="T83" i="1" s="1"/>
  <c r="L83" i="1"/>
  <c r="M82" i="1"/>
  <c r="Q82" i="1" s="1"/>
  <c r="R82" i="1" s="1"/>
  <c r="L82" i="1"/>
  <c r="M81" i="1"/>
  <c r="Q81" i="1" s="1"/>
  <c r="T81" i="1" s="1"/>
  <c r="L81" i="1"/>
  <c r="M80" i="1"/>
  <c r="Q80" i="1" s="1"/>
  <c r="L80" i="1"/>
  <c r="M79" i="1"/>
  <c r="Q79" i="1" s="1"/>
  <c r="T79" i="1" s="1"/>
  <c r="L79" i="1"/>
  <c r="M78" i="1"/>
  <c r="Q78" i="1" s="1"/>
  <c r="L78" i="1"/>
  <c r="N77" i="1"/>
  <c r="E77" i="1"/>
  <c r="M76" i="1"/>
  <c r="Q76" i="1" s="1"/>
  <c r="S76" i="1" s="1"/>
  <c r="L76" i="1"/>
  <c r="E75" i="1"/>
  <c r="L75" i="1" s="1"/>
  <c r="M74" i="1"/>
  <c r="Q74" i="1" s="1"/>
  <c r="T74" i="1" s="1"/>
  <c r="L74" i="1"/>
  <c r="M73" i="1"/>
  <c r="Q73" i="1" s="1"/>
  <c r="L73" i="1"/>
  <c r="M72" i="1"/>
  <c r="Q72" i="1" s="1"/>
  <c r="L72" i="1"/>
  <c r="M71" i="1"/>
  <c r="Q71" i="1" s="1"/>
  <c r="L71" i="1"/>
  <c r="M70" i="1"/>
  <c r="Q70" i="1" s="1"/>
  <c r="T70" i="1" s="1"/>
  <c r="L70" i="1"/>
  <c r="M69" i="1"/>
  <c r="Q69" i="1" s="1"/>
  <c r="S69" i="1" s="1"/>
  <c r="L69" i="1"/>
  <c r="M68" i="1"/>
  <c r="Q68" i="1" s="1"/>
  <c r="T68" i="1" s="1"/>
  <c r="L68" i="1"/>
  <c r="M67" i="1"/>
  <c r="Q67" i="1" s="1"/>
  <c r="S67" i="1" s="1"/>
  <c r="L67" i="1"/>
  <c r="M66" i="1"/>
  <c r="Q66" i="1" s="1"/>
  <c r="T66" i="1" s="1"/>
  <c r="L66" i="1"/>
  <c r="M65" i="1"/>
  <c r="Q65" i="1" s="1"/>
  <c r="R65" i="1" s="1"/>
  <c r="L65" i="1"/>
  <c r="M64" i="1"/>
  <c r="Q64" i="1" s="1"/>
  <c r="L64" i="1"/>
  <c r="M63" i="1"/>
  <c r="Q63" i="1" s="1"/>
  <c r="L63" i="1"/>
  <c r="M62" i="1"/>
  <c r="Q62" i="1" s="1"/>
  <c r="T62" i="1" s="1"/>
  <c r="L62" i="1"/>
  <c r="M61" i="1"/>
  <c r="Q61" i="1" s="1"/>
  <c r="L61" i="1"/>
  <c r="M60" i="1"/>
  <c r="Q60" i="1" s="1"/>
  <c r="L60" i="1"/>
  <c r="M59" i="1"/>
  <c r="Q59" i="1" s="1"/>
  <c r="R59" i="1" s="1"/>
  <c r="L59" i="1"/>
  <c r="M58" i="1"/>
  <c r="Q58" i="1" s="1"/>
  <c r="T58" i="1" s="1"/>
  <c r="L58" i="1"/>
  <c r="M57" i="1"/>
  <c r="Q57" i="1" s="1"/>
  <c r="L57" i="1"/>
  <c r="M56" i="1"/>
  <c r="Q56" i="1" s="1"/>
  <c r="T56" i="1" s="1"/>
  <c r="L56" i="1"/>
  <c r="M55" i="1"/>
  <c r="Q55" i="1" s="1"/>
  <c r="L55" i="1"/>
  <c r="M54" i="1"/>
  <c r="Q54" i="1" s="1"/>
  <c r="R54" i="1" s="1"/>
  <c r="L54" i="1"/>
  <c r="M53" i="1"/>
  <c r="Q53" i="1" s="1"/>
  <c r="L53" i="1"/>
  <c r="M52" i="1"/>
  <c r="Q52" i="1" s="1"/>
  <c r="T52" i="1" s="1"/>
  <c r="L52" i="1"/>
  <c r="M51" i="1"/>
  <c r="Q51" i="1" s="1"/>
  <c r="L51" i="1"/>
  <c r="M50" i="1"/>
  <c r="Q50" i="1" s="1"/>
  <c r="T50" i="1" s="1"/>
  <c r="L50" i="1"/>
  <c r="M49" i="1"/>
  <c r="Q49" i="1" s="1"/>
  <c r="L49" i="1"/>
  <c r="M48" i="1"/>
  <c r="Q48" i="1" s="1"/>
  <c r="R48" i="1" s="1"/>
  <c r="L48" i="1"/>
  <c r="M47" i="1"/>
  <c r="Q47" i="1" s="1"/>
  <c r="L47" i="1"/>
  <c r="M46" i="1"/>
  <c r="Q46" i="1" s="1"/>
  <c r="R46" i="1" s="1"/>
  <c r="L46" i="1"/>
  <c r="M45" i="1"/>
  <c r="Q45" i="1" s="1"/>
  <c r="R45" i="1" s="1"/>
  <c r="L45" i="1"/>
  <c r="M44" i="1"/>
  <c r="Q44" i="1" s="1"/>
  <c r="T44" i="1" s="1"/>
  <c r="L44" i="1"/>
  <c r="M43" i="1"/>
  <c r="Q43" i="1" s="1"/>
  <c r="L43" i="1"/>
  <c r="M42" i="1"/>
  <c r="Q42" i="1" s="1"/>
  <c r="L42" i="1"/>
  <c r="M41" i="1"/>
  <c r="Q41" i="1" s="1"/>
  <c r="S41" i="1" s="1"/>
  <c r="L41" i="1"/>
  <c r="M40" i="1"/>
  <c r="Q40" i="1" s="1"/>
  <c r="T40" i="1" s="1"/>
  <c r="L40" i="1"/>
  <c r="M39" i="1"/>
  <c r="Q39" i="1" s="1"/>
  <c r="S39" i="1" s="1"/>
  <c r="L39" i="1"/>
  <c r="M38" i="1"/>
  <c r="Q38" i="1" s="1"/>
  <c r="T38" i="1" s="1"/>
  <c r="L38" i="1"/>
  <c r="M37" i="1"/>
  <c r="Q37" i="1" s="1"/>
  <c r="S37" i="1" s="1"/>
  <c r="L37" i="1"/>
  <c r="M36" i="1"/>
  <c r="Q36" i="1" s="1"/>
  <c r="T36" i="1" s="1"/>
  <c r="L36" i="1"/>
  <c r="M35" i="1"/>
  <c r="Q35" i="1" s="1"/>
  <c r="L35" i="1"/>
  <c r="M34" i="1"/>
  <c r="Q34" i="1" s="1"/>
  <c r="R34" i="1" s="1"/>
  <c r="L34" i="1"/>
  <c r="M33" i="1"/>
  <c r="Q33" i="1" s="1"/>
  <c r="S33" i="1" s="1"/>
  <c r="L33" i="1"/>
  <c r="M32" i="1"/>
  <c r="Q32" i="1" s="1"/>
  <c r="L32" i="1"/>
  <c r="M31" i="1"/>
  <c r="Q31" i="1" s="1"/>
  <c r="T31" i="1" s="1"/>
  <c r="L31" i="1"/>
  <c r="M30" i="1"/>
  <c r="Q30" i="1" s="1"/>
  <c r="L30" i="1"/>
  <c r="N29" i="1"/>
  <c r="E29" i="1"/>
  <c r="L29" i="1" s="1"/>
  <c r="M28" i="1"/>
  <c r="Q28" i="1" s="1"/>
  <c r="L28" i="1"/>
  <c r="M27" i="1"/>
  <c r="Q27" i="1" s="1"/>
  <c r="T27" i="1" s="1"/>
  <c r="L27" i="1"/>
  <c r="M26" i="1"/>
  <c r="Q26" i="1" s="1"/>
  <c r="L26" i="1"/>
  <c r="M25" i="1"/>
  <c r="Q25" i="1" s="1"/>
  <c r="T25" i="1" s="1"/>
  <c r="L25" i="1"/>
  <c r="M24" i="1"/>
  <c r="Q24" i="1" s="1"/>
  <c r="L24" i="1"/>
  <c r="M23" i="1"/>
  <c r="Q23" i="1" s="1"/>
  <c r="T23" i="1" s="1"/>
  <c r="L23" i="1"/>
  <c r="M22" i="1"/>
  <c r="Q22" i="1" s="1"/>
  <c r="L22" i="1"/>
  <c r="M21" i="1"/>
  <c r="Q21" i="1" s="1"/>
  <c r="T21" i="1" s="1"/>
  <c r="L21" i="1"/>
  <c r="M20" i="1"/>
  <c r="Q20" i="1" s="1"/>
  <c r="L20" i="1"/>
  <c r="M19" i="1"/>
  <c r="Q19" i="1" s="1"/>
  <c r="T19" i="1" s="1"/>
  <c r="L19" i="1"/>
  <c r="M18" i="1"/>
  <c r="Q18" i="1" s="1"/>
  <c r="L18" i="1"/>
  <c r="M17" i="1"/>
  <c r="Q17" i="1" s="1"/>
  <c r="T17" i="1" s="1"/>
  <c r="L17" i="1"/>
  <c r="M16" i="1"/>
  <c r="Q16" i="1" s="1"/>
  <c r="L16" i="1"/>
  <c r="M15" i="1"/>
  <c r="Q15" i="1" s="1"/>
  <c r="T15" i="1" s="1"/>
  <c r="L15" i="1"/>
  <c r="M14" i="1"/>
  <c r="Q14" i="1" s="1"/>
  <c r="L14" i="1"/>
  <c r="M13" i="1"/>
  <c r="Q13" i="1" s="1"/>
  <c r="T13" i="1" s="1"/>
  <c r="L13" i="1"/>
  <c r="M12" i="1"/>
  <c r="Q12" i="1" s="1"/>
  <c r="R12" i="1" s="1"/>
  <c r="L12" i="1"/>
  <c r="M11" i="1"/>
  <c r="Q11" i="1" s="1"/>
  <c r="T11" i="1" s="1"/>
  <c r="L11" i="1"/>
  <c r="M10" i="1"/>
  <c r="Q10" i="1" s="1"/>
  <c r="L10" i="1"/>
  <c r="M9" i="1"/>
  <c r="Q9" i="1" s="1"/>
  <c r="T9" i="1" s="1"/>
  <c r="L9" i="1"/>
  <c r="M8" i="1"/>
  <c r="Q8" i="1" s="1"/>
  <c r="L8" i="1"/>
  <c r="M7" i="1"/>
  <c r="Q7" i="1" s="1"/>
  <c r="T7" i="1" s="1"/>
  <c r="L7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K5" i="1"/>
  <c r="F5" i="1"/>
  <c r="R23" i="1" l="1"/>
  <c r="S118" i="1"/>
  <c r="R124" i="1"/>
  <c r="S124" i="1" s="1"/>
  <c r="M77" i="1"/>
  <c r="Q77" i="1" s="1"/>
  <c r="R77" i="1" s="1"/>
  <c r="S77" i="1" s="1"/>
  <c r="T114" i="1"/>
  <c r="S122" i="1"/>
  <c r="E5" i="1"/>
  <c r="AF74" i="1"/>
  <c r="L77" i="1"/>
  <c r="S116" i="1"/>
  <c r="S120" i="1"/>
  <c r="L130" i="1"/>
  <c r="S132" i="1"/>
  <c r="T132" i="1"/>
  <c r="S47" i="1"/>
  <c r="T47" i="1"/>
  <c r="S55" i="1"/>
  <c r="T55" i="1"/>
  <c r="S36" i="1"/>
  <c r="T37" i="1"/>
  <c r="S40" i="1"/>
  <c r="T41" i="1"/>
  <c r="R44" i="1"/>
  <c r="S44" i="1" s="1"/>
  <c r="S68" i="1"/>
  <c r="T69" i="1"/>
  <c r="N5" i="1"/>
  <c r="S79" i="1"/>
  <c r="R81" i="1"/>
  <c r="AF81" i="1" s="1"/>
  <c r="S87" i="1"/>
  <c r="AF89" i="1"/>
  <c r="R95" i="1"/>
  <c r="S95" i="1" s="1"/>
  <c r="S98" i="1"/>
  <c r="R100" i="1"/>
  <c r="AF100" i="1" s="1"/>
  <c r="S102" i="1"/>
  <c r="T103" i="1"/>
  <c r="S110" i="1"/>
  <c r="T111" i="1"/>
  <c r="T113" i="1"/>
  <c r="T128" i="1"/>
  <c r="T133" i="1"/>
  <c r="S137" i="1"/>
  <c r="T138" i="1"/>
  <c r="T6" i="1"/>
  <c r="S6" i="1"/>
  <c r="T10" i="1"/>
  <c r="R10" i="1"/>
  <c r="T14" i="1"/>
  <c r="T18" i="1"/>
  <c r="R18" i="1"/>
  <c r="T22" i="1"/>
  <c r="T26" i="1"/>
  <c r="R26" i="1"/>
  <c r="T32" i="1"/>
  <c r="R32" i="1"/>
  <c r="AF46" i="1"/>
  <c r="S46" i="1"/>
  <c r="AF48" i="1"/>
  <c r="S48" i="1"/>
  <c r="AF54" i="1"/>
  <c r="S54" i="1"/>
  <c r="AF60" i="1"/>
  <c r="S60" i="1"/>
  <c r="AF72" i="1"/>
  <c r="S72" i="1"/>
  <c r="AF97" i="1"/>
  <c r="S97" i="1"/>
  <c r="T8" i="1"/>
  <c r="T12" i="1"/>
  <c r="T16" i="1"/>
  <c r="T20" i="1"/>
  <c r="R20" i="1"/>
  <c r="T24" i="1"/>
  <c r="S24" i="1"/>
  <c r="T28" i="1"/>
  <c r="R28" i="1"/>
  <c r="T30" i="1"/>
  <c r="S30" i="1"/>
  <c r="T34" i="1"/>
  <c r="AF42" i="1"/>
  <c r="S42" i="1"/>
  <c r="AF64" i="1"/>
  <c r="S64" i="1"/>
  <c r="AF93" i="1"/>
  <c r="S93" i="1"/>
  <c r="T130" i="1"/>
  <c r="R130" i="1"/>
  <c r="M29" i="1"/>
  <c r="T33" i="1"/>
  <c r="T42" i="1"/>
  <c r="T45" i="1"/>
  <c r="T46" i="1"/>
  <c r="T48" i="1"/>
  <c r="AF50" i="1"/>
  <c r="S50" i="1"/>
  <c r="T51" i="1"/>
  <c r="R51" i="1"/>
  <c r="T53" i="1"/>
  <c r="R53" i="1"/>
  <c r="T54" i="1"/>
  <c r="T57" i="1"/>
  <c r="T59" i="1"/>
  <c r="T60" i="1"/>
  <c r="AF62" i="1"/>
  <c r="S62" i="1"/>
  <c r="T63" i="1"/>
  <c r="T64" i="1"/>
  <c r="AF66" i="1"/>
  <c r="S66" i="1"/>
  <c r="T71" i="1"/>
  <c r="T72" i="1"/>
  <c r="S74" i="1"/>
  <c r="T82" i="1"/>
  <c r="T84" i="1"/>
  <c r="S89" i="1"/>
  <c r="T90" i="1"/>
  <c r="T92" i="1"/>
  <c r="T93" i="1"/>
  <c r="T96" i="1"/>
  <c r="R96" i="1"/>
  <c r="T97" i="1"/>
  <c r="T104" i="1"/>
  <c r="S104" i="1"/>
  <c r="T106" i="1"/>
  <c r="S106" i="1"/>
  <c r="T108" i="1"/>
  <c r="S108" i="1"/>
  <c r="AF112" i="1"/>
  <c r="S112" i="1"/>
  <c r="T125" i="1"/>
  <c r="R125" i="1"/>
  <c r="T127" i="1"/>
  <c r="AF131" i="1"/>
  <c r="S131" i="1"/>
  <c r="S136" i="1"/>
  <c r="T136" i="1"/>
  <c r="R7" i="1"/>
  <c r="R9" i="1"/>
  <c r="R13" i="1"/>
  <c r="R15" i="1"/>
  <c r="R17" i="1"/>
  <c r="R21" i="1"/>
  <c r="R25" i="1"/>
  <c r="R31" i="1"/>
  <c r="T35" i="1"/>
  <c r="S38" i="1"/>
  <c r="T39" i="1"/>
  <c r="T43" i="1"/>
  <c r="T49" i="1"/>
  <c r="S52" i="1"/>
  <c r="S56" i="1"/>
  <c r="S58" i="1"/>
  <c r="T61" i="1"/>
  <c r="T65" i="1"/>
  <c r="T67" i="1"/>
  <c r="S70" i="1"/>
  <c r="T73" i="1"/>
  <c r="R73" i="1"/>
  <c r="M75" i="1"/>
  <c r="Q75" i="1" s="1"/>
  <c r="T76" i="1"/>
  <c r="T78" i="1"/>
  <c r="R78" i="1"/>
  <c r="T80" i="1"/>
  <c r="R80" i="1"/>
  <c r="S83" i="1"/>
  <c r="S85" i="1"/>
  <c r="T86" i="1"/>
  <c r="T88" i="1"/>
  <c r="R88" i="1"/>
  <c r="S91" i="1"/>
  <c r="T94" i="1"/>
  <c r="R94" i="1"/>
  <c r="S101" i="1"/>
  <c r="T101" i="1"/>
  <c r="T105" i="1"/>
  <c r="R105" i="1"/>
  <c r="T107" i="1"/>
  <c r="S109" i="1"/>
  <c r="T109" i="1"/>
  <c r="T112" i="1"/>
  <c r="AF114" i="1"/>
  <c r="S114" i="1"/>
  <c r="T126" i="1"/>
  <c r="S126" i="1"/>
  <c r="AF128" i="1"/>
  <c r="S128" i="1"/>
  <c r="T131" i="1"/>
  <c r="AF133" i="1"/>
  <c r="S133" i="1"/>
  <c r="AF135" i="1"/>
  <c r="S135" i="1"/>
  <c r="T139" i="1"/>
  <c r="S139" i="1"/>
  <c r="T99" i="1"/>
  <c r="R99" i="1"/>
  <c r="T115" i="1"/>
  <c r="T117" i="1"/>
  <c r="R117" i="1"/>
  <c r="T119" i="1"/>
  <c r="R119" i="1"/>
  <c r="T121" i="1"/>
  <c r="T123" i="1"/>
  <c r="T129" i="1"/>
  <c r="T134" i="1"/>
  <c r="R134" i="1"/>
  <c r="AF77" i="1" l="1"/>
  <c r="T77" i="1"/>
  <c r="S81" i="1"/>
  <c r="AF124" i="1"/>
  <c r="S100" i="1"/>
  <c r="AF95" i="1"/>
  <c r="AF44" i="1"/>
  <c r="L5" i="1"/>
  <c r="AF88" i="1"/>
  <c r="S88" i="1"/>
  <c r="T75" i="1"/>
  <c r="R75" i="1"/>
  <c r="AF49" i="1"/>
  <c r="S49" i="1"/>
  <c r="AF43" i="1"/>
  <c r="S43" i="1"/>
  <c r="AF35" i="1"/>
  <c r="S35" i="1"/>
  <c r="AF31" i="1"/>
  <c r="S31" i="1"/>
  <c r="AF25" i="1"/>
  <c r="S25" i="1"/>
  <c r="AF21" i="1"/>
  <c r="S21" i="1"/>
  <c r="AF17" i="1"/>
  <c r="S17" i="1"/>
  <c r="AF13" i="1"/>
  <c r="S13" i="1"/>
  <c r="AF9" i="1"/>
  <c r="S9" i="1"/>
  <c r="S127" i="1"/>
  <c r="AF127" i="1"/>
  <c r="S125" i="1"/>
  <c r="AF125" i="1"/>
  <c r="S92" i="1"/>
  <c r="AF92" i="1"/>
  <c r="S90" i="1"/>
  <c r="AF90" i="1"/>
  <c r="S84" i="1"/>
  <c r="AF84" i="1"/>
  <c r="S82" i="1"/>
  <c r="AF82" i="1"/>
  <c r="S71" i="1"/>
  <c r="AF71" i="1"/>
  <c r="S59" i="1"/>
  <c r="AF59" i="1"/>
  <c r="S57" i="1"/>
  <c r="AF57" i="1"/>
  <c r="S130" i="1"/>
  <c r="AF130" i="1"/>
  <c r="AF34" i="1"/>
  <c r="S34" i="1"/>
  <c r="AF28" i="1"/>
  <c r="S28" i="1"/>
  <c r="AF20" i="1"/>
  <c r="S20" i="1"/>
  <c r="AF16" i="1"/>
  <c r="S16" i="1"/>
  <c r="AF12" i="1"/>
  <c r="S12" i="1"/>
  <c r="AF8" i="1"/>
  <c r="S8" i="1"/>
  <c r="AF134" i="1"/>
  <c r="S134" i="1"/>
  <c r="AF129" i="1"/>
  <c r="S129" i="1"/>
  <c r="AF123" i="1"/>
  <c r="S123" i="1"/>
  <c r="AF121" i="1"/>
  <c r="S121" i="1"/>
  <c r="AF119" i="1"/>
  <c r="S119" i="1"/>
  <c r="AF117" i="1"/>
  <c r="S117" i="1"/>
  <c r="AF115" i="1"/>
  <c r="S115" i="1"/>
  <c r="AF99" i="1"/>
  <c r="S99" i="1"/>
  <c r="S107" i="1"/>
  <c r="AF107" i="1"/>
  <c r="S105" i="1"/>
  <c r="AF105" i="1"/>
  <c r="AF94" i="1"/>
  <c r="S94" i="1"/>
  <c r="AF80" i="1"/>
  <c r="S80" i="1"/>
  <c r="AF78" i="1"/>
  <c r="S78" i="1"/>
  <c r="AF73" i="1"/>
  <c r="S73" i="1"/>
  <c r="AF65" i="1"/>
  <c r="S65" i="1"/>
  <c r="AF61" i="1"/>
  <c r="S61" i="1"/>
  <c r="AF27" i="1"/>
  <c r="S27" i="1"/>
  <c r="AF23" i="1"/>
  <c r="S23" i="1"/>
  <c r="AF19" i="1"/>
  <c r="S19" i="1"/>
  <c r="AF15" i="1"/>
  <c r="S15" i="1"/>
  <c r="AF11" i="1"/>
  <c r="S11" i="1"/>
  <c r="AF7" i="1"/>
  <c r="S7" i="1"/>
  <c r="S96" i="1"/>
  <c r="AF96" i="1"/>
  <c r="S63" i="1"/>
  <c r="AF63" i="1"/>
  <c r="S53" i="1"/>
  <c r="AF53" i="1"/>
  <c r="S51" i="1"/>
  <c r="AF51" i="1"/>
  <c r="S45" i="1"/>
  <c r="AF45" i="1"/>
  <c r="Q29" i="1"/>
  <c r="M5" i="1"/>
  <c r="AF32" i="1"/>
  <c r="S32" i="1"/>
  <c r="AF26" i="1"/>
  <c r="S26" i="1"/>
  <c r="AF22" i="1"/>
  <c r="S22" i="1"/>
  <c r="AF18" i="1"/>
  <c r="S18" i="1"/>
  <c r="AF14" i="1"/>
  <c r="S14" i="1"/>
  <c r="AF10" i="1"/>
  <c r="S10" i="1"/>
  <c r="T29" i="1" l="1"/>
  <c r="Q5" i="1"/>
  <c r="AF75" i="1"/>
  <c r="S75" i="1"/>
  <c r="AF29" i="1" l="1"/>
  <c r="AF5" i="1" s="1"/>
  <c r="S29" i="1"/>
  <c r="R5" i="1"/>
</calcChain>
</file>

<file path=xl/sharedStrings.xml><?xml version="1.0" encoding="utf-8"?>
<sst xmlns="http://schemas.openxmlformats.org/spreadsheetml/2006/main" count="509" uniqueCount="208">
  <si>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</si>
  <si>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</si>
  <si>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</si>
  <si>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</si>
  <si>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</si>
  <si>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</si>
  <si>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</si>
  <si>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</si>
  <si>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</si>
  <si>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</si>
  <si>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</si>
  <si>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</si>
  <si>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</si>
  <si>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</si>
  <si>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</si>
  <si>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</si>
  <si>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</si>
  <si>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</si>
  <si>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</si>
  <si>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</si>
  <si>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</si>
  <si>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</si>
  <si>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23,08,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</si>
  <si>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</si>
  <si>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</si>
  <si>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</si>
  <si>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</si>
  <si>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</si>
  <si>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</si>
  <si>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</si>
  <si>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</si>
  <si>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</si>
  <si>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</si>
  <si>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</si>
  <si>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0614 ПРАЗДНИЧНАЯ с/к в/с дек.спец.мгс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</si>
  <si>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</si>
  <si>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</si>
  <si>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</si>
  <si>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</si>
  <si>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</si>
  <si>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</si>
  <si>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</si>
  <si>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</si>
  <si>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</si>
  <si>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</si>
  <si>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</si>
  <si>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</si>
  <si>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</si>
  <si>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</si>
  <si>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</si>
  <si>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</si>
  <si>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</si>
  <si>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</si>
  <si>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</si>
  <si>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</si>
  <si>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</si>
  <si>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</si>
  <si>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600 шт Обжора (19,08,26)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</si>
  <si>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</si>
  <si>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</si>
  <si>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</si>
  <si>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</si>
  <si>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</si>
  <si>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</si>
  <si>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</si>
  <si>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</si>
  <si>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</si>
  <si>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</si>
  <si>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</si>
  <si>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</si>
  <si>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</si>
  <si>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</si>
  <si>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</si>
  <si>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</si>
  <si>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</si>
  <si>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</si>
  <si>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</si>
  <si>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</si>
  <si>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новинка</t>
  </si>
  <si>
    <t>6448 Свинина Останкино 100г Мадера с/к в/у нарезка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</si>
  <si>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</si>
  <si>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</si>
  <si>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</si>
  <si>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</si>
  <si>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</si>
  <si>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</si>
  <si>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</si>
  <si>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</si>
  <si>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</si>
  <si>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</si>
  <si>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</si>
  <si>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</si>
  <si>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</si>
  <si>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</si>
  <si>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</si>
  <si>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</si>
  <si>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</si>
  <si>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</si>
  <si>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</si>
  <si>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</si>
  <si>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</si>
  <si>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</si>
  <si>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</si>
  <si>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</si>
  <si>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</si>
  <si>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</si>
  <si>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</si>
  <si>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</si>
  <si>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</si>
  <si>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</si>
  <si>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</si>
  <si>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</si>
  <si>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</si>
  <si>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</si>
  <si>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</si>
  <si>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</si>
  <si>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</si>
  <si>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</si>
  <si>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</si>
  <si>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</si>
  <si>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</si>
  <si>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КАРБОНAД ДОМАШНИЙ ПМ к/в кр/к в/у</t>
  </si>
  <si>
    <t>6937 САЛЯМИ Папа может с/к в/у 1/250 8шт 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</si>
  <si>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</si>
  <si>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</si>
  <si>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</si>
  <si>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</si>
  <si>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</si>
  <si>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</si>
  <si>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</si>
  <si>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</si>
  <si>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</si>
  <si>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</si>
  <si>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</si>
  <si>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</si>
  <si>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</si>
  <si>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</si>
  <si>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</si>
  <si>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</si>
  <si>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</si>
  <si>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</si>
  <si>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</si>
  <si>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</si>
  <si>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</si>
  <si>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</si>
  <si>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</si>
  <si>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</si>
  <si>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</si>
  <si>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</si>
  <si>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</si>
  <si>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</si>
  <si>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</si>
  <si>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</si>
  <si>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</si>
  <si>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</si>
  <si>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</si>
  <si>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</si>
  <si>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</si>
  <si>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</si>
  <si>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</si>
  <si>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</si>
  <si>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</si>
  <si>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</si>
  <si>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</si>
  <si>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</si>
  <si>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</si>
  <si>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</si>
  <si>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</si>
  <si>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</si>
  <si>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</si>
  <si>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</si>
  <si>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</si>
  <si>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</si>
  <si>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</si>
  <si>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</si>
  <si>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</si>
  <si>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</si>
  <si>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</si>
  <si>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ц/о в/у</t>
  </si>
  <si>
    <t>7516 НОВОМОСКОВСКАЯ в/к в/у срез 0.31кг  ОСТАНКИНО</t>
  </si>
  <si>
    <t>7518 ТЕЛЯЧЬЯ ГОСТ Останкино вар н/о в/у</t>
  </si>
  <si>
    <t>7523 ГОВЯЖЬЯ Папа Может вар п/о 0,4кг 6шт. ОСТАНКИНО</t>
  </si>
  <si>
    <t>7536 ДОКТОРСКАЯ ГОСТ Останкино вар п/о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</si>
  <si>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</si>
  <si>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</si>
  <si>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</si>
  <si>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</si>
  <si>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</si>
  <si>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</si>
  <si>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</si>
  <si>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</si>
  <si>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6459</t>
  </si>
  <si>
    <t>вместо 6454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</si>
  <si>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</si>
  <si>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</si>
  <si>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</si>
  <si>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</si>
  <si>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</si>
  <si>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</si>
  <si>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</si>
  <si>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</si>
  <si>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</si>
  <si>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</si>
  <si>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</si>
  <si>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</si>
  <si>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новинка</t>
  </si>
  <si>
    <t>пересчет +155кг (12,07,26)</t>
  </si>
  <si>
    <t>вместо 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</si>
</sst>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0" borderId="1" xfId="1" applyNumberFormat="1"/>
    <xf numFmtId="164" fontId="5" fillId="7" borderId="1" xfId="1" applyNumberFormat="1" applyFont="1" applyFill="1"/>
    <xf numFmtId="164" fontId="4" fillId="0" borderId="1" xfId="1" applyNumberFormat="1" applyFont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3.42578125" customWidth="1"/>
    <col min="32" max="32" width="7" customWidth="1"/>
    <col min="33" max="47" width="3" customWidth="1"/>
  </cols>
  <sheetData>
    <row r="1" spans="1:47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47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</row>
    <row r="4" spans="1:47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23</v>
      </c>
      <c r="R4" s="16"/>
      <c r="S4" s="16"/>
      <c r="T4" s="16"/>
      <c r="U4" s="16" t="s">
        <v>24</v>
      </c>
      <c r="V4" s="16" t="s">
        <v>25</v>
      </c>
      <c r="W4" s="16" t="s">
        <v>26</v>
      </c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31</v>
      </c>
      <c r="AC4" s="16" t="s">
        <v>32</v>
      </c>
      <c r="AD4" s="16" t="s">
        <v>33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x14ac:dyDescent="0.25">
      <c r="A5" s="16"/>
      <c r="B5" s="16"/>
      <c r="C5" s="16"/>
      <c r="D5" s="16"/>
      <c r="E5" s="3">
        <f>SUM(E6:E499)</f>
        <v>21346.251</v>
      </c>
      <c r="F5" s="3">
        <f>SUM(F6:F499)</f>
        <v>13658.043999999998</v>
      </c>
      <c r="G5" s="6"/>
      <c r="H5" s="16"/>
      <c r="I5" s="16"/>
      <c r="J5" s="16"/>
      <c r="K5" s="3">
        <f t="shared" ref="K5:R5" si="0">SUM(K6:K499)</f>
        <v>25858.512000000006</v>
      </c>
      <c r="L5" s="3">
        <f t="shared" si="0"/>
        <v>-4512.2609999999986</v>
      </c>
      <c r="M5" s="3">
        <f t="shared" si="0"/>
        <v>18551.203999999998</v>
      </c>
      <c r="N5" s="3">
        <f t="shared" si="0"/>
        <v>2795.0470000000005</v>
      </c>
      <c r="O5" s="3">
        <f t="shared" si="0"/>
        <v>13540</v>
      </c>
      <c r="P5" s="3">
        <f t="shared" si="0"/>
        <v>11084</v>
      </c>
      <c r="Q5" s="3">
        <f t="shared" si="0"/>
        <v>3710.2408000000009</v>
      </c>
      <c r="R5" s="3">
        <f t="shared" si="0"/>
        <v>18039.2114</v>
      </c>
      <c r="S5" s="16"/>
      <c r="T5" s="16"/>
      <c r="U5" s="3">
        <f t="shared" ref="U5:AD5" si="1">SUM(U6:U499)</f>
        <v>3924.640800000001</v>
      </c>
      <c r="V5" s="3">
        <f t="shared" si="1"/>
        <v>3001.8939999999989</v>
      </c>
      <c r="W5" s="3">
        <f t="shared" si="1"/>
        <v>3808.1220000000017</v>
      </c>
      <c r="X5" s="3">
        <f t="shared" si="1"/>
        <v>3515.7242000000001</v>
      </c>
      <c r="Y5" s="3">
        <f t="shared" si="1"/>
        <v>3023.8241999999991</v>
      </c>
      <c r="Z5" s="3">
        <f t="shared" si="1"/>
        <v>3546.3203999999992</v>
      </c>
      <c r="AA5" s="3">
        <f t="shared" si="1"/>
        <v>3673.2276000000006</v>
      </c>
      <c r="AB5" s="3">
        <f t="shared" si="1"/>
        <v>3880.3942000000011</v>
      </c>
      <c r="AC5" s="3">
        <f t="shared" si="1"/>
        <v>5273.8137999999999</v>
      </c>
      <c r="AD5" s="3">
        <f t="shared" si="1"/>
        <v>3446.3420000000001</v>
      </c>
      <c r="AE5" s="16"/>
      <c r="AF5" s="3">
        <f>SUM(AF6:AF499)</f>
        <v>9280.6763999999948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</row>
    <row r="6" spans="1:47" x14ac:dyDescent="0.25">
      <c r="A6" s="12" t="s">
        <v>34</v>
      </c>
      <c r="B6" s="12" t="s">
        <v>35</v>
      </c>
      <c r="C6" s="12"/>
      <c r="D6" s="12"/>
      <c r="E6" s="12"/>
      <c r="F6" s="12"/>
      <c r="G6" s="13">
        <v>0</v>
      </c>
      <c r="H6" s="12"/>
      <c r="I6" s="12" t="s">
        <v>36</v>
      </c>
      <c r="J6" s="12"/>
      <c r="K6" s="12"/>
      <c r="L6" s="12">
        <f t="shared" ref="L6:L37" si="2">E6-K6</f>
        <v>0</v>
      </c>
      <c r="M6" s="12">
        <f t="shared" ref="M6:M37" si="3">E6-N6</f>
        <v>0</v>
      </c>
      <c r="N6" s="12"/>
      <c r="O6" s="12">
        <v>25</v>
      </c>
      <c r="P6" s="12"/>
      <c r="Q6" s="12">
        <f t="shared" ref="Q6:Q37" si="4">M6/5</f>
        <v>0</v>
      </c>
      <c r="R6" s="14"/>
      <c r="S6" s="12" t="e">
        <f t="shared" ref="S6:S37" si="5">(F6+O6+P6+R6)/Q6</f>
        <v>#DIV/0!</v>
      </c>
      <c r="T6" s="12" t="e">
        <f t="shared" ref="T6:T37" si="6">(F6+O6+P6)/Q6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1001060720614</v>
      </c>
      <c r="AF6" s="12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x14ac:dyDescent="0.25">
      <c r="A7" s="16" t="s">
        <v>37</v>
      </c>
      <c r="B7" s="16" t="s">
        <v>38</v>
      </c>
      <c r="C7" s="16">
        <v>424</v>
      </c>
      <c r="D7" s="16">
        <v>974.09799999999996</v>
      </c>
      <c r="E7" s="16">
        <v>269</v>
      </c>
      <c r="F7" s="16">
        <v>282</v>
      </c>
      <c r="G7" s="6">
        <v>0.4</v>
      </c>
      <c r="H7" s="16">
        <v>60</v>
      </c>
      <c r="I7" s="16" t="s">
        <v>39</v>
      </c>
      <c r="J7" s="16"/>
      <c r="K7" s="16">
        <v>302</v>
      </c>
      <c r="L7" s="16">
        <f t="shared" si="2"/>
        <v>-33</v>
      </c>
      <c r="M7" s="16">
        <f t="shared" si="3"/>
        <v>253</v>
      </c>
      <c r="N7" s="16">
        <v>16</v>
      </c>
      <c r="O7" s="16">
        <v>169</v>
      </c>
      <c r="P7" s="16">
        <v>169</v>
      </c>
      <c r="Q7" s="16">
        <f t="shared" si="4"/>
        <v>50.6</v>
      </c>
      <c r="R7" s="4">
        <f t="shared" ref="R7:R21" si="7">15*Q7-P7-O7-F7</f>
        <v>139</v>
      </c>
      <c r="S7" s="16">
        <f t="shared" si="5"/>
        <v>15</v>
      </c>
      <c r="T7" s="16">
        <f t="shared" si="6"/>
        <v>12.252964426877471</v>
      </c>
      <c r="U7" s="16">
        <v>53.6</v>
      </c>
      <c r="V7" s="16">
        <v>52.4</v>
      </c>
      <c r="W7" s="16">
        <v>61.6</v>
      </c>
      <c r="X7" s="16">
        <v>64.599999999999994</v>
      </c>
      <c r="Y7" s="16">
        <v>54.6</v>
      </c>
      <c r="Z7" s="16">
        <v>62.6</v>
      </c>
      <c r="AA7" s="16">
        <v>77.400000000000006</v>
      </c>
      <c r="AB7" s="16">
        <v>50</v>
      </c>
      <c r="AC7" s="16">
        <v>76.400000000000006</v>
      </c>
      <c r="AD7" s="16">
        <v>59.8</v>
      </c>
      <c r="AE7" s="16"/>
      <c r="AF7" s="16">
        <f t="shared" ref="AF7:AF23" si="8">G7*R7</f>
        <v>55.6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x14ac:dyDescent="0.25">
      <c r="A8" s="16" t="s">
        <v>40</v>
      </c>
      <c r="B8" s="16" t="s">
        <v>35</v>
      </c>
      <c r="C8" s="16">
        <v>29.617999999999999</v>
      </c>
      <c r="D8" s="16">
        <v>16.995999999999999</v>
      </c>
      <c r="E8" s="16">
        <v>8.0169999999999995</v>
      </c>
      <c r="F8" s="16">
        <v>19.068000000000001</v>
      </c>
      <c r="G8" s="6">
        <v>1</v>
      </c>
      <c r="H8" s="16">
        <v>120</v>
      </c>
      <c r="I8" s="16" t="s">
        <v>39</v>
      </c>
      <c r="J8" s="16"/>
      <c r="K8" s="16">
        <v>8.0079999999999991</v>
      </c>
      <c r="L8" s="16">
        <f t="shared" si="2"/>
        <v>9.0000000000003411E-3</v>
      </c>
      <c r="M8" s="16">
        <f t="shared" si="3"/>
        <v>8.0169999999999995</v>
      </c>
      <c r="N8" s="16"/>
      <c r="O8" s="16">
        <v>12</v>
      </c>
      <c r="P8" s="16"/>
      <c r="Q8" s="16">
        <f t="shared" si="4"/>
        <v>1.6033999999999999</v>
      </c>
      <c r="R8" s="4"/>
      <c r="S8" s="16">
        <f t="shared" si="5"/>
        <v>19.376325308718975</v>
      </c>
      <c r="T8" s="16">
        <f t="shared" si="6"/>
        <v>19.376325308718975</v>
      </c>
      <c r="U8" s="16">
        <v>3.3054000000000001</v>
      </c>
      <c r="V8" s="16">
        <v>2.7782</v>
      </c>
      <c r="W8" s="16">
        <v>1.0962000000000001</v>
      </c>
      <c r="X8" s="16">
        <v>3.3123999999999998</v>
      </c>
      <c r="Y8" s="16">
        <v>2.1114000000000002</v>
      </c>
      <c r="Z8" s="16">
        <v>1.4079999999999999</v>
      </c>
      <c r="AA8" s="16">
        <v>0.70300000000000007</v>
      </c>
      <c r="AB8" s="16">
        <v>1.204</v>
      </c>
      <c r="AC8" s="16">
        <v>1.9656</v>
      </c>
      <c r="AD8" s="16">
        <v>1.6342000000000001</v>
      </c>
      <c r="AE8" s="16" t="s">
        <v>41</v>
      </c>
      <c r="AF8" s="16">
        <f t="shared" si="8"/>
        <v>0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x14ac:dyDescent="0.25">
      <c r="A9" s="16" t="s">
        <v>42</v>
      </c>
      <c r="B9" s="16" t="s">
        <v>38</v>
      </c>
      <c r="C9" s="16">
        <v>602</v>
      </c>
      <c r="D9" s="16">
        <v>617</v>
      </c>
      <c r="E9" s="16">
        <v>226</v>
      </c>
      <c r="F9" s="16">
        <v>376</v>
      </c>
      <c r="G9" s="6">
        <v>0.25</v>
      </c>
      <c r="H9" s="16">
        <v>120</v>
      </c>
      <c r="I9" s="16" t="s">
        <v>39</v>
      </c>
      <c r="J9" s="16"/>
      <c r="K9" s="16">
        <v>277</v>
      </c>
      <c r="L9" s="16">
        <f t="shared" si="2"/>
        <v>-51</v>
      </c>
      <c r="M9" s="16">
        <f t="shared" si="3"/>
        <v>210</v>
      </c>
      <c r="N9" s="16">
        <v>16</v>
      </c>
      <c r="O9" s="16">
        <v>0</v>
      </c>
      <c r="P9" s="16"/>
      <c r="Q9" s="16">
        <f t="shared" si="4"/>
        <v>42</v>
      </c>
      <c r="R9" s="4">
        <f t="shared" si="7"/>
        <v>254</v>
      </c>
      <c r="S9" s="16">
        <f t="shared" si="5"/>
        <v>15</v>
      </c>
      <c r="T9" s="16">
        <f t="shared" si="6"/>
        <v>8.9523809523809526</v>
      </c>
      <c r="U9" s="16">
        <v>36.200000000000003</v>
      </c>
      <c r="V9" s="16">
        <v>28.4</v>
      </c>
      <c r="W9" s="16">
        <v>46.4</v>
      </c>
      <c r="X9" s="16">
        <v>58.6</v>
      </c>
      <c r="Y9" s="16">
        <v>37</v>
      </c>
      <c r="Z9" s="16">
        <v>32</v>
      </c>
      <c r="AA9" s="16">
        <v>56.8</v>
      </c>
      <c r="AB9" s="16">
        <v>27</v>
      </c>
      <c r="AC9" s="16">
        <v>45.8</v>
      </c>
      <c r="AD9" s="16">
        <v>42.2</v>
      </c>
      <c r="AE9" s="16" t="s">
        <v>41</v>
      </c>
      <c r="AF9" s="16">
        <f t="shared" si="8"/>
        <v>63.5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x14ac:dyDescent="0.25">
      <c r="A10" s="16" t="s">
        <v>43</v>
      </c>
      <c r="B10" s="16" t="s">
        <v>35</v>
      </c>
      <c r="C10" s="16">
        <v>690.45100000000002</v>
      </c>
      <c r="D10" s="16">
        <v>2284.3690000000001</v>
      </c>
      <c r="E10" s="16">
        <v>1227.6610000000001</v>
      </c>
      <c r="F10" s="16">
        <v>442.53300000000002</v>
      </c>
      <c r="G10" s="6">
        <v>1</v>
      </c>
      <c r="H10" s="16">
        <v>60</v>
      </c>
      <c r="I10" s="16" t="s">
        <v>39</v>
      </c>
      <c r="J10" s="16"/>
      <c r="K10" s="16">
        <v>1247.42</v>
      </c>
      <c r="L10" s="16">
        <f t="shared" si="2"/>
        <v>-19.759000000000015</v>
      </c>
      <c r="M10" s="16">
        <f t="shared" si="3"/>
        <v>1076.741</v>
      </c>
      <c r="N10" s="16">
        <v>150.91999999999999</v>
      </c>
      <c r="O10" s="16">
        <v>1046</v>
      </c>
      <c r="P10" s="16">
        <v>1046</v>
      </c>
      <c r="Q10" s="16">
        <f t="shared" si="4"/>
        <v>215.34819999999999</v>
      </c>
      <c r="R10" s="4">
        <f t="shared" si="7"/>
        <v>695.68999999999994</v>
      </c>
      <c r="S10" s="16">
        <f t="shared" si="5"/>
        <v>15</v>
      </c>
      <c r="T10" s="16">
        <f t="shared" si="6"/>
        <v>11.769464523037573</v>
      </c>
      <c r="U10" s="16">
        <v>230.37479999999999</v>
      </c>
      <c r="V10" s="16">
        <v>177.86240000000001</v>
      </c>
      <c r="W10" s="16">
        <v>189.81739999999999</v>
      </c>
      <c r="X10" s="16">
        <v>205.5994</v>
      </c>
      <c r="Y10" s="16">
        <v>216.34460000000001</v>
      </c>
      <c r="Z10" s="16">
        <v>179.56120000000001</v>
      </c>
      <c r="AA10" s="16">
        <v>188.56039999999999</v>
      </c>
      <c r="AB10" s="16">
        <v>210.9682</v>
      </c>
      <c r="AC10" s="16">
        <v>273.19080000000002</v>
      </c>
      <c r="AD10" s="16">
        <v>182.46039999999999</v>
      </c>
      <c r="AE10" s="16"/>
      <c r="AF10" s="16">
        <f t="shared" si="8"/>
        <v>695.68999999999994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x14ac:dyDescent="0.25">
      <c r="A11" s="16" t="s">
        <v>44</v>
      </c>
      <c r="B11" s="16" t="s">
        <v>35</v>
      </c>
      <c r="C11" s="16">
        <v>119.31100000000001</v>
      </c>
      <c r="D11" s="16">
        <v>30.959</v>
      </c>
      <c r="E11" s="16">
        <v>5.4729999999999999</v>
      </c>
      <c r="F11" s="16">
        <v>123.681</v>
      </c>
      <c r="G11" s="6">
        <v>1</v>
      </c>
      <c r="H11" s="16">
        <v>120</v>
      </c>
      <c r="I11" s="16" t="s">
        <v>39</v>
      </c>
      <c r="J11" s="16"/>
      <c r="K11" s="16">
        <v>5.5</v>
      </c>
      <c r="L11" s="16">
        <f t="shared" si="2"/>
        <v>-2.7000000000000135E-2</v>
      </c>
      <c r="M11" s="16">
        <f t="shared" si="3"/>
        <v>5.4729999999999999</v>
      </c>
      <c r="N11" s="16"/>
      <c r="O11" s="16">
        <v>0</v>
      </c>
      <c r="P11" s="16"/>
      <c r="Q11" s="16">
        <f t="shared" si="4"/>
        <v>1.0946</v>
      </c>
      <c r="R11" s="4"/>
      <c r="S11" s="16">
        <f t="shared" si="5"/>
        <v>112.99196053352823</v>
      </c>
      <c r="T11" s="16">
        <f t="shared" si="6"/>
        <v>112.99196053352823</v>
      </c>
      <c r="U11" s="16">
        <v>4.2603999999999997</v>
      </c>
      <c r="V11" s="16">
        <v>2.5825999999999998</v>
      </c>
      <c r="W11" s="16">
        <v>1.2851999999999999</v>
      </c>
      <c r="X11" s="16">
        <v>7.2028000000000008</v>
      </c>
      <c r="Y11" s="16">
        <v>7.5352000000000006</v>
      </c>
      <c r="Z11" s="16">
        <v>4.4573999999999998</v>
      </c>
      <c r="AA11" s="16">
        <v>2.1379999999999999</v>
      </c>
      <c r="AB11" s="16">
        <v>1.2092000000000001</v>
      </c>
      <c r="AC11" s="16">
        <v>6.8614000000000006</v>
      </c>
      <c r="AD11" s="16">
        <v>1.8819999999999999</v>
      </c>
      <c r="AE11" s="19" t="s">
        <v>204</v>
      </c>
      <c r="AF11" s="16">
        <f t="shared" si="8"/>
        <v>0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</row>
    <row r="12" spans="1:47" x14ac:dyDescent="0.25">
      <c r="A12" s="16" t="s">
        <v>45</v>
      </c>
      <c r="B12" s="16" t="s">
        <v>35</v>
      </c>
      <c r="C12" s="16">
        <v>178.32599999999999</v>
      </c>
      <c r="D12" s="16">
        <v>290.24400000000003</v>
      </c>
      <c r="E12" s="16">
        <v>220.82900000000001</v>
      </c>
      <c r="F12" s="16">
        <v>55.402999999999999</v>
      </c>
      <c r="G12" s="6">
        <v>1</v>
      </c>
      <c r="H12" s="16">
        <v>60</v>
      </c>
      <c r="I12" s="16" t="s">
        <v>39</v>
      </c>
      <c r="J12" s="16"/>
      <c r="K12" s="16">
        <v>235.06200000000001</v>
      </c>
      <c r="L12" s="16">
        <f t="shared" si="2"/>
        <v>-14.233000000000004</v>
      </c>
      <c r="M12" s="16">
        <f t="shared" si="3"/>
        <v>192.96700000000001</v>
      </c>
      <c r="N12" s="16">
        <v>27.861999999999998</v>
      </c>
      <c r="O12" s="16">
        <v>0</v>
      </c>
      <c r="P12" s="16"/>
      <c r="Q12" s="16">
        <f t="shared" si="4"/>
        <v>38.593400000000003</v>
      </c>
      <c r="R12" s="4">
        <f>9*Q12-P12-O12-F12</f>
        <v>291.93759999999997</v>
      </c>
      <c r="S12" s="16">
        <f t="shared" si="5"/>
        <v>9</v>
      </c>
      <c r="T12" s="16">
        <f t="shared" si="6"/>
        <v>1.435556338648577</v>
      </c>
      <c r="U12" s="16">
        <v>13.6388</v>
      </c>
      <c r="V12" s="16">
        <v>20.777999999999999</v>
      </c>
      <c r="W12" s="16">
        <v>25.1952</v>
      </c>
      <c r="X12" s="16">
        <v>19.961600000000001</v>
      </c>
      <c r="Y12" s="16">
        <v>12.8834</v>
      </c>
      <c r="Z12" s="16">
        <v>22.982600000000001</v>
      </c>
      <c r="AA12" s="16">
        <v>20.1874</v>
      </c>
      <c r="AB12" s="16">
        <v>35.412799999999997</v>
      </c>
      <c r="AC12" s="16">
        <v>36.8416</v>
      </c>
      <c r="AD12" s="16">
        <v>21.529199999999999</v>
      </c>
      <c r="AE12" s="16"/>
      <c r="AF12" s="16">
        <f t="shared" si="8"/>
        <v>291.93759999999997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x14ac:dyDescent="0.25">
      <c r="A13" s="16" t="s">
        <v>46</v>
      </c>
      <c r="B13" s="16" t="s">
        <v>35</v>
      </c>
      <c r="C13" s="16">
        <v>572.60400000000004</v>
      </c>
      <c r="D13" s="16">
        <v>939.41</v>
      </c>
      <c r="E13" s="16">
        <v>532.25400000000002</v>
      </c>
      <c r="F13" s="16">
        <v>252.679</v>
      </c>
      <c r="G13" s="6">
        <v>1</v>
      </c>
      <c r="H13" s="16">
        <v>60</v>
      </c>
      <c r="I13" s="16" t="s">
        <v>39</v>
      </c>
      <c r="J13" s="16"/>
      <c r="K13" s="16">
        <v>565.30399999999997</v>
      </c>
      <c r="L13" s="16">
        <f t="shared" si="2"/>
        <v>-33.049999999999955</v>
      </c>
      <c r="M13" s="16">
        <f t="shared" si="3"/>
        <v>463.55</v>
      </c>
      <c r="N13" s="16">
        <v>68.703999999999994</v>
      </c>
      <c r="O13" s="16">
        <v>474</v>
      </c>
      <c r="P13" s="16">
        <v>475</v>
      </c>
      <c r="Q13" s="16">
        <f t="shared" si="4"/>
        <v>92.710000000000008</v>
      </c>
      <c r="R13" s="4">
        <f t="shared" si="7"/>
        <v>188.97100000000009</v>
      </c>
      <c r="S13" s="16">
        <f t="shared" si="5"/>
        <v>15</v>
      </c>
      <c r="T13" s="16">
        <f t="shared" si="6"/>
        <v>12.961697767231151</v>
      </c>
      <c r="U13" s="16">
        <v>102.6878</v>
      </c>
      <c r="V13" s="16">
        <v>70.695400000000006</v>
      </c>
      <c r="W13" s="16">
        <v>93.634</v>
      </c>
      <c r="X13" s="16">
        <v>104.53</v>
      </c>
      <c r="Y13" s="16">
        <v>78.040800000000004</v>
      </c>
      <c r="Z13" s="16">
        <v>85.428200000000004</v>
      </c>
      <c r="AA13" s="16">
        <v>98.685399999999987</v>
      </c>
      <c r="AB13" s="16">
        <v>97.275999999999996</v>
      </c>
      <c r="AC13" s="16">
        <v>103.453</v>
      </c>
      <c r="AD13" s="16">
        <v>79.201400000000007</v>
      </c>
      <c r="AE13" s="16"/>
      <c r="AF13" s="16">
        <f t="shared" si="8"/>
        <v>188.97100000000009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spans="1:47" x14ac:dyDescent="0.25">
      <c r="A14" s="16" t="s">
        <v>47</v>
      </c>
      <c r="B14" s="16" t="s">
        <v>38</v>
      </c>
      <c r="C14" s="16">
        <v>206</v>
      </c>
      <c r="D14" s="16">
        <v>163</v>
      </c>
      <c r="E14" s="16">
        <v>41</v>
      </c>
      <c r="F14" s="16">
        <v>178</v>
      </c>
      <c r="G14" s="6">
        <v>0.25</v>
      </c>
      <c r="H14" s="16">
        <v>120</v>
      </c>
      <c r="I14" s="16" t="s">
        <v>39</v>
      </c>
      <c r="J14" s="16"/>
      <c r="K14" s="16">
        <v>43</v>
      </c>
      <c r="L14" s="16">
        <f t="shared" si="2"/>
        <v>-2</v>
      </c>
      <c r="M14" s="16">
        <f t="shared" si="3"/>
        <v>41</v>
      </c>
      <c r="N14" s="16"/>
      <c r="O14" s="16">
        <v>0</v>
      </c>
      <c r="P14" s="16"/>
      <c r="Q14" s="16">
        <f t="shared" si="4"/>
        <v>8.1999999999999993</v>
      </c>
      <c r="R14" s="4"/>
      <c r="S14" s="16">
        <f t="shared" si="5"/>
        <v>21.707317073170735</v>
      </c>
      <c r="T14" s="16">
        <f t="shared" si="6"/>
        <v>21.707317073170735</v>
      </c>
      <c r="U14" s="16">
        <v>12.2</v>
      </c>
      <c r="V14" s="16">
        <v>7</v>
      </c>
      <c r="W14" s="16">
        <v>15</v>
      </c>
      <c r="X14" s="16">
        <v>19.8</v>
      </c>
      <c r="Y14" s="16">
        <v>12.4</v>
      </c>
      <c r="Z14" s="16">
        <v>8.4</v>
      </c>
      <c r="AA14" s="16">
        <v>8.4</v>
      </c>
      <c r="AB14" s="16">
        <v>17.399999999999999</v>
      </c>
      <c r="AC14" s="16">
        <v>20.097200000000001</v>
      </c>
      <c r="AD14" s="16">
        <v>15.8</v>
      </c>
      <c r="AE14" s="16" t="s">
        <v>41</v>
      </c>
      <c r="AF14" s="16">
        <f t="shared" si="8"/>
        <v>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</row>
    <row r="15" spans="1:47" x14ac:dyDescent="0.25">
      <c r="A15" s="16" t="s">
        <v>48</v>
      </c>
      <c r="B15" s="16" t="s">
        <v>35</v>
      </c>
      <c r="C15" s="16">
        <v>130.91499999999999</v>
      </c>
      <c r="D15" s="16">
        <v>117.92100000000001</v>
      </c>
      <c r="E15" s="16">
        <v>110.069</v>
      </c>
      <c r="F15" s="16">
        <v>36.567</v>
      </c>
      <c r="G15" s="6">
        <v>1</v>
      </c>
      <c r="H15" s="16">
        <v>60</v>
      </c>
      <c r="I15" s="16" t="s">
        <v>39</v>
      </c>
      <c r="J15" s="16"/>
      <c r="K15" s="16">
        <v>108.827</v>
      </c>
      <c r="L15" s="16">
        <f t="shared" si="2"/>
        <v>1.2420000000000044</v>
      </c>
      <c r="M15" s="16">
        <f t="shared" si="3"/>
        <v>93.542000000000002</v>
      </c>
      <c r="N15" s="16">
        <v>16.527000000000001</v>
      </c>
      <c r="O15" s="16">
        <v>129</v>
      </c>
      <c r="P15" s="16"/>
      <c r="Q15" s="16">
        <f t="shared" si="4"/>
        <v>18.708400000000001</v>
      </c>
      <c r="R15" s="4">
        <f t="shared" si="7"/>
        <v>115.05900000000003</v>
      </c>
      <c r="S15" s="16">
        <f t="shared" si="5"/>
        <v>15.000000000000002</v>
      </c>
      <c r="T15" s="16">
        <f t="shared" si="6"/>
        <v>8.849874922494708</v>
      </c>
      <c r="U15" s="16">
        <v>17.046800000000001</v>
      </c>
      <c r="V15" s="16">
        <v>10.5136</v>
      </c>
      <c r="W15" s="16">
        <v>19.4328</v>
      </c>
      <c r="X15" s="16">
        <v>11.792199999999999</v>
      </c>
      <c r="Y15" s="16">
        <v>12.676</v>
      </c>
      <c r="Z15" s="16">
        <v>10.680199999999999</v>
      </c>
      <c r="AA15" s="16">
        <v>23.291399999999999</v>
      </c>
      <c r="AB15" s="16">
        <v>15.771800000000001</v>
      </c>
      <c r="AC15" s="16">
        <v>13.082800000000001</v>
      </c>
      <c r="AD15" s="16">
        <v>7.8231999999999999</v>
      </c>
      <c r="AE15" s="16"/>
      <c r="AF15" s="16">
        <f t="shared" si="8"/>
        <v>115.05900000000003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x14ac:dyDescent="0.25">
      <c r="A16" s="16" t="s">
        <v>49</v>
      </c>
      <c r="B16" s="16" t="s">
        <v>38</v>
      </c>
      <c r="C16" s="16">
        <v>285</v>
      </c>
      <c r="D16" s="16">
        <v>141</v>
      </c>
      <c r="E16" s="16">
        <v>98</v>
      </c>
      <c r="F16" s="16">
        <v>203</v>
      </c>
      <c r="G16" s="6">
        <v>0.25</v>
      </c>
      <c r="H16" s="16">
        <v>120</v>
      </c>
      <c r="I16" s="16" t="s">
        <v>39</v>
      </c>
      <c r="J16" s="16"/>
      <c r="K16" s="16">
        <v>102</v>
      </c>
      <c r="L16" s="16">
        <f t="shared" si="2"/>
        <v>-4</v>
      </c>
      <c r="M16" s="16">
        <f t="shared" si="3"/>
        <v>66</v>
      </c>
      <c r="N16" s="16">
        <v>32</v>
      </c>
      <c r="O16" s="16">
        <v>0</v>
      </c>
      <c r="P16" s="16"/>
      <c r="Q16" s="16">
        <f t="shared" si="4"/>
        <v>13.2</v>
      </c>
      <c r="R16" s="4"/>
      <c r="S16" s="16">
        <f t="shared" si="5"/>
        <v>15.378787878787879</v>
      </c>
      <c r="T16" s="16">
        <f t="shared" si="6"/>
        <v>15.378787878787879</v>
      </c>
      <c r="U16" s="16">
        <v>14.4</v>
      </c>
      <c r="V16" s="16">
        <v>7.6</v>
      </c>
      <c r="W16" s="16">
        <v>31</v>
      </c>
      <c r="X16" s="16">
        <v>9.4</v>
      </c>
      <c r="Y16" s="16">
        <v>11.4</v>
      </c>
      <c r="Z16" s="16">
        <v>10</v>
      </c>
      <c r="AA16" s="16">
        <v>10.4</v>
      </c>
      <c r="AB16" s="16">
        <v>14</v>
      </c>
      <c r="AC16" s="16">
        <v>13.6</v>
      </c>
      <c r="AD16" s="16">
        <v>61</v>
      </c>
      <c r="AE16" s="16" t="s">
        <v>41</v>
      </c>
      <c r="AF16" s="16">
        <f t="shared" si="8"/>
        <v>0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</row>
    <row r="17" spans="1:47" x14ac:dyDescent="0.25">
      <c r="A17" s="16" t="s">
        <v>50</v>
      </c>
      <c r="B17" s="16" t="s">
        <v>38</v>
      </c>
      <c r="C17" s="16">
        <v>274</v>
      </c>
      <c r="D17" s="16">
        <v>878</v>
      </c>
      <c r="E17" s="16">
        <v>482</v>
      </c>
      <c r="F17" s="16">
        <v>167</v>
      </c>
      <c r="G17" s="6">
        <v>0.4</v>
      </c>
      <c r="H17" s="16">
        <v>60</v>
      </c>
      <c r="I17" s="16" t="s">
        <v>39</v>
      </c>
      <c r="J17" s="16"/>
      <c r="K17" s="16">
        <v>526</v>
      </c>
      <c r="L17" s="16">
        <f t="shared" si="2"/>
        <v>-44</v>
      </c>
      <c r="M17" s="16">
        <f t="shared" si="3"/>
        <v>362</v>
      </c>
      <c r="N17" s="16">
        <v>120</v>
      </c>
      <c r="O17" s="16">
        <v>336</v>
      </c>
      <c r="P17" s="16">
        <v>336</v>
      </c>
      <c r="Q17" s="16">
        <f t="shared" si="4"/>
        <v>72.400000000000006</v>
      </c>
      <c r="R17" s="4">
        <f t="shared" si="7"/>
        <v>247</v>
      </c>
      <c r="S17" s="16">
        <f t="shared" si="5"/>
        <v>14.999999999999998</v>
      </c>
      <c r="T17" s="16">
        <f t="shared" si="6"/>
        <v>11.588397790055248</v>
      </c>
      <c r="U17" s="16">
        <v>75.599999999999994</v>
      </c>
      <c r="V17" s="16">
        <v>61</v>
      </c>
      <c r="W17" s="16">
        <v>63.2</v>
      </c>
      <c r="X17" s="16">
        <v>82.8</v>
      </c>
      <c r="Y17" s="16">
        <v>92</v>
      </c>
      <c r="Z17" s="16">
        <v>271.2</v>
      </c>
      <c r="AA17" s="16">
        <v>117.8</v>
      </c>
      <c r="AB17" s="16">
        <v>83.6</v>
      </c>
      <c r="AC17" s="16">
        <v>90.4</v>
      </c>
      <c r="AD17" s="16">
        <v>68</v>
      </c>
      <c r="AE17" s="16"/>
      <c r="AF17" s="16">
        <f t="shared" si="8"/>
        <v>98.800000000000011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</row>
    <row r="18" spans="1:47" x14ac:dyDescent="0.25">
      <c r="A18" s="16" t="s">
        <v>51</v>
      </c>
      <c r="B18" s="16" t="s">
        <v>35</v>
      </c>
      <c r="C18" s="16">
        <v>502.84399999999999</v>
      </c>
      <c r="D18" s="16">
        <v>333.62</v>
      </c>
      <c r="E18" s="16">
        <v>266.96100000000001</v>
      </c>
      <c r="F18" s="16">
        <v>327.86799999999999</v>
      </c>
      <c r="G18" s="6">
        <v>1</v>
      </c>
      <c r="H18" s="16">
        <v>45</v>
      </c>
      <c r="I18" s="16" t="s">
        <v>39</v>
      </c>
      <c r="J18" s="16"/>
      <c r="K18" s="16">
        <v>263.00299999999999</v>
      </c>
      <c r="L18" s="16">
        <f t="shared" si="2"/>
        <v>3.9580000000000268</v>
      </c>
      <c r="M18" s="16">
        <f t="shared" si="3"/>
        <v>216.05800000000002</v>
      </c>
      <c r="N18" s="16">
        <v>50.902999999999999</v>
      </c>
      <c r="O18" s="16">
        <v>4</v>
      </c>
      <c r="P18" s="16"/>
      <c r="Q18" s="16">
        <f t="shared" si="4"/>
        <v>43.211600000000004</v>
      </c>
      <c r="R18" s="4">
        <f t="shared" si="7"/>
        <v>316.3060000000001</v>
      </c>
      <c r="S18" s="16">
        <f t="shared" si="5"/>
        <v>15</v>
      </c>
      <c r="T18" s="16">
        <f t="shared" si="6"/>
        <v>7.6800673893121285</v>
      </c>
      <c r="U18" s="16">
        <v>32.240600000000001</v>
      </c>
      <c r="V18" s="16">
        <v>32.985400000000013</v>
      </c>
      <c r="W18" s="16">
        <v>53.372999999999998</v>
      </c>
      <c r="X18" s="16">
        <v>45.478000000000002</v>
      </c>
      <c r="Y18" s="16">
        <v>63.830599999999997</v>
      </c>
      <c r="Z18" s="16">
        <v>58.777599999999993</v>
      </c>
      <c r="AA18" s="16">
        <v>55.939200000000007</v>
      </c>
      <c r="AB18" s="16">
        <v>60.511800000000008</v>
      </c>
      <c r="AC18" s="16">
        <v>76.385400000000004</v>
      </c>
      <c r="AD18" s="16">
        <v>56.423400000000001</v>
      </c>
      <c r="AE18" s="16"/>
      <c r="AF18" s="16">
        <f t="shared" si="8"/>
        <v>316.3060000000001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x14ac:dyDescent="0.25">
      <c r="A19" s="16" t="s">
        <v>52</v>
      </c>
      <c r="B19" s="16" t="s">
        <v>35</v>
      </c>
      <c r="C19" s="16">
        <v>1.5580000000000001</v>
      </c>
      <c r="D19" s="16">
        <v>84.418999999999997</v>
      </c>
      <c r="E19" s="16">
        <v>13.090999999999999</v>
      </c>
      <c r="F19" s="16">
        <v>46.616</v>
      </c>
      <c r="G19" s="6">
        <v>1</v>
      </c>
      <c r="H19" s="16">
        <v>120</v>
      </c>
      <c r="I19" s="16" t="s">
        <v>39</v>
      </c>
      <c r="J19" s="16"/>
      <c r="K19" s="16">
        <v>17.161999999999999</v>
      </c>
      <c r="L19" s="16">
        <f t="shared" si="2"/>
        <v>-4.0709999999999997</v>
      </c>
      <c r="M19" s="16">
        <f t="shared" si="3"/>
        <v>5.0289999999999999</v>
      </c>
      <c r="N19" s="16">
        <v>8.0619999999999994</v>
      </c>
      <c r="O19" s="16">
        <v>37</v>
      </c>
      <c r="P19" s="16"/>
      <c r="Q19" s="16">
        <f t="shared" si="4"/>
        <v>1.0058</v>
      </c>
      <c r="R19" s="4"/>
      <c r="S19" s="16">
        <f t="shared" si="5"/>
        <v>83.13382382183336</v>
      </c>
      <c r="T19" s="16">
        <f t="shared" si="6"/>
        <v>83.13382382183336</v>
      </c>
      <c r="U19" s="16">
        <v>5.9120000000000008</v>
      </c>
      <c r="V19" s="16">
        <v>4.2256</v>
      </c>
      <c r="W19" s="16">
        <v>1.1032</v>
      </c>
      <c r="X19" s="16">
        <v>0</v>
      </c>
      <c r="Y19" s="16">
        <v>4.2124000000000006</v>
      </c>
      <c r="Z19" s="16">
        <v>0.98399999999999999</v>
      </c>
      <c r="AA19" s="16">
        <v>2.4192</v>
      </c>
      <c r="AB19" s="16">
        <v>2.4304000000000001</v>
      </c>
      <c r="AC19" s="16">
        <v>0.68220000000000003</v>
      </c>
      <c r="AD19" s="16">
        <v>2.8746</v>
      </c>
      <c r="AE19" s="16" t="s">
        <v>41</v>
      </c>
      <c r="AF19" s="16">
        <f t="shared" si="8"/>
        <v>0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</row>
    <row r="20" spans="1:47" x14ac:dyDescent="0.25">
      <c r="A20" s="16" t="s">
        <v>53</v>
      </c>
      <c r="B20" s="16" t="s">
        <v>38</v>
      </c>
      <c r="C20" s="16">
        <v>83</v>
      </c>
      <c r="D20" s="16">
        <v>2152</v>
      </c>
      <c r="E20" s="16">
        <v>312</v>
      </c>
      <c r="F20" s="16">
        <v>485</v>
      </c>
      <c r="G20" s="6">
        <v>0.4</v>
      </c>
      <c r="H20" s="16">
        <v>45</v>
      </c>
      <c r="I20" s="16" t="s">
        <v>39</v>
      </c>
      <c r="J20" s="16"/>
      <c r="K20" s="16">
        <v>377</v>
      </c>
      <c r="L20" s="16">
        <f t="shared" si="2"/>
        <v>-65</v>
      </c>
      <c r="M20" s="16">
        <f t="shared" si="3"/>
        <v>312</v>
      </c>
      <c r="N20" s="16"/>
      <c r="O20" s="16">
        <v>144</v>
      </c>
      <c r="P20" s="16">
        <v>144</v>
      </c>
      <c r="Q20" s="16">
        <f t="shared" si="4"/>
        <v>62.4</v>
      </c>
      <c r="R20" s="4">
        <f t="shared" si="7"/>
        <v>163</v>
      </c>
      <c r="S20" s="16">
        <f t="shared" si="5"/>
        <v>15</v>
      </c>
      <c r="T20" s="16">
        <f t="shared" si="6"/>
        <v>12.387820512820513</v>
      </c>
      <c r="U20" s="16">
        <v>72.2</v>
      </c>
      <c r="V20" s="16">
        <v>78.2</v>
      </c>
      <c r="W20" s="16">
        <v>26.4</v>
      </c>
      <c r="X20" s="16">
        <v>82.6</v>
      </c>
      <c r="Y20" s="16">
        <v>45</v>
      </c>
      <c r="Z20" s="16">
        <v>56.6</v>
      </c>
      <c r="AA20" s="16">
        <v>68.2</v>
      </c>
      <c r="AB20" s="16">
        <v>54.6</v>
      </c>
      <c r="AC20" s="16">
        <v>56.6</v>
      </c>
      <c r="AD20" s="16">
        <v>67.400000000000006</v>
      </c>
      <c r="AE20" s="16"/>
      <c r="AF20" s="16">
        <f t="shared" si="8"/>
        <v>65.2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x14ac:dyDescent="0.25">
      <c r="A21" s="16" t="s">
        <v>54</v>
      </c>
      <c r="B21" s="16" t="s">
        <v>35</v>
      </c>
      <c r="C21" s="16">
        <v>390.28399999999999</v>
      </c>
      <c r="D21" s="16">
        <v>638.65099999999995</v>
      </c>
      <c r="E21" s="16">
        <v>349.47899999999998</v>
      </c>
      <c r="F21" s="16">
        <v>178.56899999999999</v>
      </c>
      <c r="G21" s="6">
        <v>1</v>
      </c>
      <c r="H21" s="16">
        <v>60</v>
      </c>
      <c r="I21" s="16" t="s">
        <v>39</v>
      </c>
      <c r="J21" s="16"/>
      <c r="K21" s="16">
        <v>353.67399999999998</v>
      </c>
      <c r="L21" s="16">
        <f t="shared" si="2"/>
        <v>-4.1949999999999932</v>
      </c>
      <c r="M21" s="16">
        <f t="shared" si="3"/>
        <v>321.20499999999998</v>
      </c>
      <c r="N21" s="16">
        <v>28.274000000000001</v>
      </c>
      <c r="O21" s="16">
        <v>177</v>
      </c>
      <c r="P21" s="16">
        <v>178</v>
      </c>
      <c r="Q21" s="16">
        <f t="shared" si="4"/>
        <v>64.241</v>
      </c>
      <c r="R21" s="4">
        <f t="shared" si="7"/>
        <v>430.04600000000005</v>
      </c>
      <c r="S21" s="16">
        <f t="shared" si="5"/>
        <v>15</v>
      </c>
      <c r="T21" s="16">
        <f t="shared" si="6"/>
        <v>8.3057393253529668</v>
      </c>
      <c r="U21" s="16">
        <v>46.517200000000003</v>
      </c>
      <c r="V21" s="16">
        <v>34.347799999999999</v>
      </c>
      <c r="W21" s="16">
        <v>52.350999999999999</v>
      </c>
      <c r="X21" s="16">
        <v>58.570799999999998</v>
      </c>
      <c r="Y21" s="16">
        <v>43.5886</v>
      </c>
      <c r="Z21" s="16">
        <v>30.848199999999999</v>
      </c>
      <c r="AA21" s="16">
        <v>57.430399999999999</v>
      </c>
      <c r="AB21" s="16">
        <v>43.7378</v>
      </c>
      <c r="AC21" s="16">
        <v>68.502600000000001</v>
      </c>
      <c r="AD21" s="16">
        <v>41.588000000000001</v>
      </c>
      <c r="AE21" s="16"/>
      <c r="AF21" s="16">
        <f t="shared" si="8"/>
        <v>430.04600000000005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x14ac:dyDescent="0.25">
      <c r="A22" s="16" t="s">
        <v>55</v>
      </c>
      <c r="B22" s="16" t="s">
        <v>38</v>
      </c>
      <c r="C22" s="16">
        <v>400</v>
      </c>
      <c r="D22" s="16">
        <v>259</v>
      </c>
      <c r="E22" s="16">
        <v>241</v>
      </c>
      <c r="F22" s="16">
        <v>177</v>
      </c>
      <c r="G22" s="6">
        <v>0.22</v>
      </c>
      <c r="H22" s="16">
        <v>120</v>
      </c>
      <c r="I22" s="15" t="s">
        <v>56</v>
      </c>
      <c r="J22" s="16"/>
      <c r="K22" s="16">
        <v>250</v>
      </c>
      <c r="L22" s="16">
        <f t="shared" si="2"/>
        <v>-9</v>
      </c>
      <c r="M22" s="16">
        <f t="shared" si="3"/>
        <v>217</v>
      </c>
      <c r="N22" s="16">
        <v>24</v>
      </c>
      <c r="O22" s="16">
        <v>321</v>
      </c>
      <c r="P22" s="16">
        <v>321</v>
      </c>
      <c r="Q22" s="16">
        <f t="shared" si="4"/>
        <v>43.4</v>
      </c>
      <c r="R22" s="4">
        <v>200</v>
      </c>
      <c r="S22" s="16">
        <f t="shared" si="5"/>
        <v>23.47926267281106</v>
      </c>
      <c r="T22" s="16">
        <f t="shared" si="6"/>
        <v>18.870967741935484</v>
      </c>
      <c r="U22" s="16">
        <v>27.8</v>
      </c>
      <c r="V22" s="16">
        <v>20.399999999999999</v>
      </c>
      <c r="W22" s="16">
        <v>30.4</v>
      </c>
      <c r="X22" s="16">
        <v>40.799999999999997</v>
      </c>
      <c r="Y22" s="16">
        <v>29.4</v>
      </c>
      <c r="Z22" s="16">
        <v>36</v>
      </c>
      <c r="AA22" s="16">
        <v>41.8</v>
      </c>
      <c r="AB22" s="16">
        <v>34.799999999999997</v>
      </c>
      <c r="AC22" s="16">
        <v>44</v>
      </c>
      <c r="AD22" s="16">
        <v>26.4</v>
      </c>
      <c r="AE22" s="16" t="s">
        <v>57</v>
      </c>
      <c r="AF22" s="16">
        <f t="shared" si="8"/>
        <v>44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x14ac:dyDescent="0.25">
      <c r="A23" s="16" t="s">
        <v>58</v>
      </c>
      <c r="B23" s="16" t="s">
        <v>35</v>
      </c>
      <c r="C23" s="16">
        <v>18.952000000000002</v>
      </c>
      <c r="D23" s="16">
        <v>21.995999999999999</v>
      </c>
      <c r="E23" s="16">
        <v>18.62</v>
      </c>
      <c r="F23" s="16">
        <v>0.34200000000000003</v>
      </c>
      <c r="G23" s="6">
        <v>1</v>
      </c>
      <c r="H23" s="16">
        <v>40</v>
      </c>
      <c r="I23" s="16" t="s">
        <v>39</v>
      </c>
      <c r="J23" s="16"/>
      <c r="K23" s="16">
        <v>24.655999999999999</v>
      </c>
      <c r="L23" s="16">
        <f t="shared" si="2"/>
        <v>-6.0359999999999978</v>
      </c>
      <c r="M23" s="16">
        <f t="shared" si="3"/>
        <v>18.62</v>
      </c>
      <c r="N23" s="16"/>
      <c r="O23" s="16">
        <v>16</v>
      </c>
      <c r="P23" s="16"/>
      <c r="Q23" s="16">
        <f t="shared" si="4"/>
        <v>3.7240000000000002</v>
      </c>
      <c r="R23" s="4">
        <f>12*Q23-P23-O23-F23</f>
        <v>28.346000000000004</v>
      </c>
      <c r="S23" s="16">
        <f t="shared" si="5"/>
        <v>12</v>
      </c>
      <c r="T23" s="16">
        <f t="shared" si="6"/>
        <v>4.3882921589688504</v>
      </c>
      <c r="U23" s="16">
        <v>2.7128000000000001</v>
      </c>
      <c r="V23" s="16">
        <v>2.968</v>
      </c>
      <c r="W23" s="16">
        <v>3.1092</v>
      </c>
      <c r="X23" s="16">
        <v>3.777600000000001</v>
      </c>
      <c r="Y23" s="16">
        <v>3.5044</v>
      </c>
      <c r="Z23" s="16">
        <v>4.4631999999999996</v>
      </c>
      <c r="AA23" s="16">
        <v>9.3635999999999999</v>
      </c>
      <c r="AB23" s="16">
        <v>8.4480000000000004</v>
      </c>
      <c r="AC23" s="16">
        <v>0</v>
      </c>
      <c r="AD23" s="16">
        <v>0</v>
      </c>
      <c r="AE23" s="16"/>
      <c r="AF23" s="16">
        <f t="shared" si="8"/>
        <v>28.346000000000004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x14ac:dyDescent="0.25">
      <c r="A24" s="8" t="s">
        <v>59</v>
      </c>
      <c r="B24" s="8" t="s">
        <v>38</v>
      </c>
      <c r="C24" s="8">
        <v>15</v>
      </c>
      <c r="D24" s="8">
        <v>8</v>
      </c>
      <c r="E24" s="8"/>
      <c r="F24" s="8">
        <v>19</v>
      </c>
      <c r="G24" s="9">
        <v>0</v>
      </c>
      <c r="H24" s="8">
        <v>45</v>
      </c>
      <c r="I24" s="8" t="s">
        <v>60</v>
      </c>
      <c r="J24" s="8"/>
      <c r="K24" s="8">
        <v>46</v>
      </c>
      <c r="L24" s="8">
        <f t="shared" si="2"/>
        <v>-46</v>
      </c>
      <c r="M24" s="8">
        <f t="shared" si="3"/>
        <v>0</v>
      </c>
      <c r="N24" s="8"/>
      <c r="O24" s="8">
        <v>0</v>
      </c>
      <c r="P24" s="8"/>
      <c r="Q24" s="8">
        <f t="shared" si="4"/>
        <v>0</v>
      </c>
      <c r="R24" s="10"/>
      <c r="S24" s="8" t="e">
        <f t="shared" si="5"/>
        <v>#DIV/0!</v>
      </c>
      <c r="T24" s="8" t="e">
        <f t="shared" si="6"/>
        <v>#DIV/0!</v>
      </c>
      <c r="U24" s="8">
        <v>0.2</v>
      </c>
      <c r="V24" s="8">
        <v>1</v>
      </c>
      <c r="W24" s="8">
        <v>4</v>
      </c>
      <c r="X24" s="8">
        <v>2</v>
      </c>
      <c r="Y24" s="8">
        <v>1</v>
      </c>
      <c r="Z24" s="8">
        <v>5.6</v>
      </c>
      <c r="AA24" s="8">
        <v>0.8</v>
      </c>
      <c r="AB24" s="8">
        <v>3.8</v>
      </c>
      <c r="AC24" s="8">
        <v>2.2000000000000002</v>
      </c>
      <c r="AD24" s="8">
        <v>1.8</v>
      </c>
      <c r="AE24" s="8"/>
      <c r="AF24" s="8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</row>
    <row r="25" spans="1:47" x14ac:dyDescent="0.25">
      <c r="A25" s="16" t="s">
        <v>61</v>
      </c>
      <c r="B25" s="16" t="s">
        <v>35</v>
      </c>
      <c r="C25" s="16">
        <v>337.48099999999999</v>
      </c>
      <c r="D25" s="16">
        <v>783.28200000000004</v>
      </c>
      <c r="E25" s="16">
        <v>406.95299999999997</v>
      </c>
      <c r="F25" s="16">
        <v>218.61199999999999</v>
      </c>
      <c r="G25" s="6">
        <v>1</v>
      </c>
      <c r="H25" s="16">
        <v>60</v>
      </c>
      <c r="I25" s="16" t="s">
        <v>39</v>
      </c>
      <c r="J25" s="16"/>
      <c r="K25" s="16">
        <v>410.39600000000002</v>
      </c>
      <c r="L25" s="16">
        <f t="shared" si="2"/>
        <v>-3.4430000000000405</v>
      </c>
      <c r="M25" s="16">
        <f t="shared" si="3"/>
        <v>351.25699999999995</v>
      </c>
      <c r="N25" s="16">
        <v>55.695999999999998</v>
      </c>
      <c r="O25" s="16">
        <v>357</v>
      </c>
      <c r="P25" s="16">
        <v>357</v>
      </c>
      <c r="Q25" s="16">
        <f t="shared" si="4"/>
        <v>70.25139999999999</v>
      </c>
      <c r="R25" s="4">
        <f>15*Q25-P25-O25-F25</f>
        <v>121.15899999999974</v>
      </c>
      <c r="S25" s="16">
        <f t="shared" si="5"/>
        <v>14.999999999999998</v>
      </c>
      <c r="T25" s="16">
        <f t="shared" si="6"/>
        <v>13.275351096205913</v>
      </c>
      <c r="U25" s="16">
        <v>82.190599999999989</v>
      </c>
      <c r="V25" s="16">
        <v>43.906599999999997</v>
      </c>
      <c r="W25" s="16">
        <v>67.56280000000001</v>
      </c>
      <c r="X25" s="16">
        <v>53.627400000000002</v>
      </c>
      <c r="Y25" s="16">
        <v>57.724600000000002</v>
      </c>
      <c r="Z25" s="16">
        <v>46.6706</v>
      </c>
      <c r="AA25" s="16">
        <v>41.666800000000002</v>
      </c>
      <c r="AB25" s="16">
        <v>53.355600000000003</v>
      </c>
      <c r="AC25" s="16">
        <v>72.2042</v>
      </c>
      <c r="AD25" s="16">
        <v>33.979999999999997</v>
      </c>
      <c r="AE25" s="16"/>
      <c r="AF25" s="16">
        <f>G25*R25</f>
        <v>121.15899999999974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</row>
    <row r="26" spans="1:47" x14ac:dyDescent="0.25">
      <c r="A26" s="16" t="s">
        <v>62</v>
      </c>
      <c r="B26" s="16" t="s">
        <v>38</v>
      </c>
      <c r="C26" s="16">
        <v>431</v>
      </c>
      <c r="D26" s="16">
        <v>1787</v>
      </c>
      <c r="E26" s="16">
        <v>450</v>
      </c>
      <c r="F26" s="16">
        <v>580</v>
      </c>
      <c r="G26" s="6">
        <v>0.09</v>
      </c>
      <c r="H26" s="16">
        <v>60</v>
      </c>
      <c r="I26" s="16" t="s">
        <v>39</v>
      </c>
      <c r="J26" s="16"/>
      <c r="K26" s="16">
        <v>517</v>
      </c>
      <c r="L26" s="16">
        <f t="shared" si="2"/>
        <v>-67</v>
      </c>
      <c r="M26" s="16">
        <f t="shared" si="3"/>
        <v>410</v>
      </c>
      <c r="N26" s="16">
        <v>40</v>
      </c>
      <c r="O26" s="16">
        <v>138</v>
      </c>
      <c r="P26" s="16"/>
      <c r="Q26" s="16">
        <f t="shared" si="4"/>
        <v>82</v>
      </c>
      <c r="R26" s="4">
        <f>15*Q26-P26-O26-F26</f>
        <v>512</v>
      </c>
      <c r="S26" s="16">
        <f t="shared" si="5"/>
        <v>15</v>
      </c>
      <c r="T26" s="16">
        <f t="shared" si="6"/>
        <v>8.7560975609756095</v>
      </c>
      <c r="U26" s="16">
        <v>75</v>
      </c>
      <c r="V26" s="16">
        <v>93.2</v>
      </c>
      <c r="W26" s="16">
        <v>85.8</v>
      </c>
      <c r="X26" s="16">
        <v>84.6</v>
      </c>
      <c r="Y26" s="16">
        <v>59</v>
      </c>
      <c r="Z26" s="16">
        <v>53.4</v>
      </c>
      <c r="AA26" s="16">
        <v>74.400000000000006</v>
      </c>
      <c r="AB26" s="16">
        <v>83</v>
      </c>
      <c r="AC26" s="16">
        <v>88.8</v>
      </c>
      <c r="AD26" s="16">
        <v>72</v>
      </c>
      <c r="AE26" s="16"/>
      <c r="AF26" s="16">
        <f>G26*R26</f>
        <v>46.08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</row>
    <row r="27" spans="1:47" x14ac:dyDescent="0.25">
      <c r="A27" s="16" t="s">
        <v>63</v>
      </c>
      <c r="B27" s="16" t="s">
        <v>38</v>
      </c>
      <c r="C27" s="16">
        <v>-1</v>
      </c>
      <c r="D27" s="16">
        <v>276</v>
      </c>
      <c r="E27" s="16">
        <v>17</v>
      </c>
      <c r="F27" s="16"/>
      <c r="G27" s="6">
        <v>0.09</v>
      </c>
      <c r="H27" s="16">
        <v>45</v>
      </c>
      <c r="I27" s="16" t="s">
        <v>39</v>
      </c>
      <c r="J27" s="16"/>
      <c r="K27" s="16">
        <v>193</v>
      </c>
      <c r="L27" s="16">
        <f t="shared" si="2"/>
        <v>-176</v>
      </c>
      <c r="M27" s="16">
        <f t="shared" si="3"/>
        <v>-3</v>
      </c>
      <c r="N27" s="16">
        <v>20</v>
      </c>
      <c r="O27" s="16">
        <v>60</v>
      </c>
      <c r="P27" s="16"/>
      <c r="Q27" s="16">
        <f t="shared" si="4"/>
        <v>-0.6</v>
      </c>
      <c r="R27" s="4">
        <v>80</v>
      </c>
      <c r="S27" s="16">
        <f t="shared" si="5"/>
        <v>-233.33333333333334</v>
      </c>
      <c r="T27" s="16">
        <f t="shared" si="6"/>
        <v>-100</v>
      </c>
      <c r="U27" s="16">
        <v>13</v>
      </c>
      <c r="V27" s="16">
        <v>4.5999999999999996</v>
      </c>
      <c r="W27" s="16">
        <v>15</v>
      </c>
      <c r="X27" s="16">
        <v>4.5999999999999996</v>
      </c>
      <c r="Y27" s="16">
        <v>18.399999999999999</v>
      </c>
      <c r="Z27" s="16">
        <v>16</v>
      </c>
      <c r="AA27" s="16">
        <v>20.399999999999999</v>
      </c>
      <c r="AB27" s="16">
        <v>10</v>
      </c>
      <c r="AC27" s="16">
        <v>40.799999999999997</v>
      </c>
      <c r="AD27" s="16">
        <v>19</v>
      </c>
      <c r="AE27" s="16"/>
      <c r="AF27" s="16">
        <f>G27*R27</f>
        <v>7.1999999999999993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</row>
    <row r="28" spans="1:47" x14ac:dyDescent="0.25">
      <c r="A28" s="16" t="s">
        <v>64</v>
      </c>
      <c r="B28" s="16" t="s">
        <v>38</v>
      </c>
      <c r="C28" s="16">
        <v>26</v>
      </c>
      <c r="D28" s="16">
        <v>383</v>
      </c>
      <c r="E28" s="16">
        <v>60</v>
      </c>
      <c r="F28" s="16"/>
      <c r="G28" s="6">
        <v>0.15</v>
      </c>
      <c r="H28" s="16">
        <v>45</v>
      </c>
      <c r="I28" s="16" t="s">
        <v>39</v>
      </c>
      <c r="J28" s="16"/>
      <c r="K28" s="16">
        <v>191</v>
      </c>
      <c r="L28" s="16">
        <f t="shared" si="2"/>
        <v>-131</v>
      </c>
      <c r="M28" s="16">
        <f t="shared" si="3"/>
        <v>36</v>
      </c>
      <c r="N28" s="16">
        <v>24</v>
      </c>
      <c r="O28" s="16">
        <v>85</v>
      </c>
      <c r="P28" s="16"/>
      <c r="Q28" s="16">
        <f t="shared" si="4"/>
        <v>7.2</v>
      </c>
      <c r="R28" s="4">
        <f>15*Q28-P28-O28-F28</f>
        <v>23</v>
      </c>
      <c r="S28" s="16">
        <f t="shared" si="5"/>
        <v>15</v>
      </c>
      <c r="T28" s="16">
        <f t="shared" si="6"/>
        <v>11.805555555555555</v>
      </c>
      <c r="U28" s="16">
        <v>9.1999999999999993</v>
      </c>
      <c r="V28" s="16">
        <v>4.4000000000000004</v>
      </c>
      <c r="W28" s="16">
        <v>0</v>
      </c>
      <c r="X28" s="16">
        <v>1.6</v>
      </c>
      <c r="Y28" s="16">
        <v>1.8</v>
      </c>
      <c r="Z28" s="16">
        <v>3.8</v>
      </c>
      <c r="AA28" s="16">
        <v>6</v>
      </c>
      <c r="AB28" s="16">
        <v>13.6</v>
      </c>
      <c r="AC28" s="16">
        <v>29.4</v>
      </c>
      <c r="AD28" s="16">
        <v>16.600000000000001</v>
      </c>
      <c r="AE28" s="16" t="s">
        <v>65</v>
      </c>
      <c r="AF28" s="16">
        <f>G28*R28</f>
        <v>3.4499999999999997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</row>
    <row r="29" spans="1:47" x14ac:dyDescent="0.25">
      <c r="A29" s="16" t="s">
        <v>66</v>
      </c>
      <c r="B29" s="16" t="s">
        <v>35</v>
      </c>
      <c r="C29" s="16">
        <v>198.63800000000001</v>
      </c>
      <c r="D29" s="16">
        <v>861.40599999999995</v>
      </c>
      <c r="E29" s="17">
        <f>343.432+E137</f>
        <v>417.25900000000001</v>
      </c>
      <c r="F29" s="16">
        <v>411.75</v>
      </c>
      <c r="G29" s="6">
        <v>1</v>
      </c>
      <c r="H29" s="16">
        <v>45</v>
      </c>
      <c r="I29" s="16" t="s">
        <v>39</v>
      </c>
      <c r="J29" s="16"/>
      <c r="K29" s="16">
        <v>349.05</v>
      </c>
      <c r="L29" s="16">
        <f t="shared" si="2"/>
        <v>68.209000000000003</v>
      </c>
      <c r="M29" s="16">
        <f t="shared" si="3"/>
        <v>255.48200000000003</v>
      </c>
      <c r="N29" s="17">
        <f>87.95+N137</f>
        <v>161.77699999999999</v>
      </c>
      <c r="O29" s="16">
        <v>268</v>
      </c>
      <c r="P29" s="16">
        <v>268</v>
      </c>
      <c r="Q29" s="16">
        <f t="shared" si="4"/>
        <v>51.096400000000003</v>
      </c>
      <c r="R29" s="4"/>
      <c r="S29" s="16">
        <f t="shared" si="5"/>
        <v>18.548273459578365</v>
      </c>
      <c r="T29" s="16">
        <f t="shared" si="6"/>
        <v>18.548273459578365</v>
      </c>
      <c r="U29" s="16">
        <v>66.051999999999992</v>
      </c>
      <c r="V29" s="16">
        <v>52.612400000000001</v>
      </c>
      <c r="W29" s="16">
        <v>56.536999999999999</v>
      </c>
      <c r="X29" s="16">
        <v>48.489400000000003</v>
      </c>
      <c r="Y29" s="16">
        <v>48.859400000000001</v>
      </c>
      <c r="Z29" s="16">
        <v>40.973200000000013</v>
      </c>
      <c r="AA29" s="16">
        <v>46.067999999999998</v>
      </c>
      <c r="AB29" s="16">
        <v>42.266199999999998</v>
      </c>
      <c r="AC29" s="16">
        <v>73.7684</v>
      </c>
      <c r="AD29" s="16">
        <v>25.926400000000001</v>
      </c>
      <c r="AE29" s="16"/>
      <c r="AF29" s="16">
        <f>G29*R29</f>
        <v>0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</row>
    <row r="30" spans="1:47" x14ac:dyDescent="0.25">
      <c r="A30" s="8" t="s">
        <v>67</v>
      </c>
      <c r="B30" s="8" t="s">
        <v>38</v>
      </c>
      <c r="C30" s="8">
        <v>4</v>
      </c>
      <c r="D30" s="8"/>
      <c r="E30" s="8"/>
      <c r="F30" s="8"/>
      <c r="G30" s="9">
        <v>0</v>
      </c>
      <c r="H30" s="8"/>
      <c r="I30" s="8" t="s">
        <v>60</v>
      </c>
      <c r="J30" s="8" t="s">
        <v>68</v>
      </c>
      <c r="K30" s="8">
        <v>62</v>
      </c>
      <c r="L30" s="8">
        <f t="shared" si="2"/>
        <v>-62</v>
      </c>
      <c r="M30" s="8">
        <f t="shared" si="3"/>
        <v>0</v>
      </c>
      <c r="N30" s="8"/>
      <c r="O30" s="8">
        <v>0</v>
      </c>
      <c r="P30" s="8"/>
      <c r="Q30" s="8">
        <f t="shared" si="4"/>
        <v>0</v>
      </c>
      <c r="R30" s="10"/>
      <c r="S30" s="8" t="e">
        <f t="shared" si="5"/>
        <v>#DIV/0!</v>
      </c>
      <c r="T30" s="8" t="e">
        <f t="shared" si="6"/>
        <v>#DIV/0!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0.2</v>
      </c>
      <c r="AA30" s="8">
        <v>0</v>
      </c>
      <c r="AB30" s="8">
        <v>0</v>
      </c>
      <c r="AC30" s="8">
        <v>0</v>
      </c>
      <c r="AD30" s="8">
        <v>0</v>
      </c>
      <c r="AE30" s="8"/>
      <c r="AF30" s="8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</row>
    <row r="31" spans="1:47" x14ac:dyDescent="0.25">
      <c r="A31" s="16" t="s">
        <v>69</v>
      </c>
      <c r="B31" s="16" t="s">
        <v>38</v>
      </c>
      <c r="C31" s="16">
        <v>53</v>
      </c>
      <c r="D31" s="16">
        <v>356</v>
      </c>
      <c r="E31" s="16">
        <v>109</v>
      </c>
      <c r="F31" s="16">
        <v>174</v>
      </c>
      <c r="G31" s="6">
        <v>0.4</v>
      </c>
      <c r="H31" s="16">
        <v>60</v>
      </c>
      <c r="I31" s="16" t="s">
        <v>39</v>
      </c>
      <c r="J31" s="16"/>
      <c r="K31" s="16">
        <v>118</v>
      </c>
      <c r="L31" s="16">
        <f t="shared" si="2"/>
        <v>-9</v>
      </c>
      <c r="M31" s="16">
        <f t="shared" si="3"/>
        <v>93</v>
      </c>
      <c r="N31" s="16">
        <v>16</v>
      </c>
      <c r="O31" s="16">
        <v>0</v>
      </c>
      <c r="P31" s="16"/>
      <c r="Q31" s="16">
        <f t="shared" si="4"/>
        <v>18.600000000000001</v>
      </c>
      <c r="R31" s="4">
        <f>15*Q31-P31-O31-F31</f>
        <v>105</v>
      </c>
      <c r="S31" s="16">
        <f t="shared" si="5"/>
        <v>14.999999999999998</v>
      </c>
      <c r="T31" s="16">
        <f t="shared" si="6"/>
        <v>9.3548387096774182</v>
      </c>
      <c r="U31" s="16">
        <v>9</v>
      </c>
      <c r="V31" s="16">
        <v>22.4</v>
      </c>
      <c r="W31" s="16">
        <v>12.8</v>
      </c>
      <c r="X31" s="16">
        <v>10.199999999999999</v>
      </c>
      <c r="Y31" s="16">
        <v>15.8</v>
      </c>
      <c r="Z31" s="16">
        <v>14.4</v>
      </c>
      <c r="AA31" s="16">
        <v>10.8</v>
      </c>
      <c r="AB31" s="16">
        <v>7</v>
      </c>
      <c r="AC31" s="16">
        <v>9.1999999999999993</v>
      </c>
      <c r="AD31" s="16">
        <v>5.2</v>
      </c>
      <c r="AE31" s="16"/>
      <c r="AF31" s="16">
        <f>G31*R31</f>
        <v>42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</row>
    <row r="32" spans="1:47" x14ac:dyDescent="0.25">
      <c r="A32" s="16" t="s">
        <v>70</v>
      </c>
      <c r="B32" s="16" t="s">
        <v>38</v>
      </c>
      <c r="C32" s="16">
        <v>612</v>
      </c>
      <c r="D32" s="16">
        <v>2766.8</v>
      </c>
      <c r="E32" s="16">
        <v>703.8</v>
      </c>
      <c r="F32" s="16">
        <v>250</v>
      </c>
      <c r="G32" s="6">
        <v>0.4</v>
      </c>
      <c r="H32" s="16">
        <v>60</v>
      </c>
      <c r="I32" s="15" t="s">
        <v>56</v>
      </c>
      <c r="J32" s="16"/>
      <c r="K32" s="16">
        <v>796.8</v>
      </c>
      <c r="L32" s="16">
        <f t="shared" si="2"/>
        <v>-93</v>
      </c>
      <c r="M32" s="16">
        <f t="shared" si="3"/>
        <v>663.8</v>
      </c>
      <c r="N32" s="16">
        <v>40</v>
      </c>
      <c r="O32" s="16">
        <v>500</v>
      </c>
      <c r="P32" s="16">
        <v>500</v>
      </c>
      <c r="Q32" s="16">
        <f t="shared" si="4"/>
        <v>132.76</v>
      </c>
      <c r="R32" s="4">
        <f>15*Q32-P32-O32-F32</f>
        <v>741.39999999999986</v>
      </c>
      <c r="S32" s="16">
        <f t="shared" si="5"/>
        <v>15</v>
      </c>
      <c r="T32" s="16">
        <f t="shared" si="6"/>
        <v>9.4154865923470936</v>
      </c>
      <c r="U32" s="16">
        <v>248</v>
      </c>
      <c r="V32" s="16">
        <v>160</v>
      </c>
      <c r="W32" s="16">
        <v>318.2</v>
      </c>
      <c r="X32" s="16">
        <v>139.80000000000001</v>
      </c>
      <c r="Y32" s="16">
        <v>69.2</v>
      </c>
      <c r="Z32" s="16">
        <v>126.4</v>
      </c>
      <c r="AA32" s="16">
        <v>97</v>
      </c>
      <c r="AB32" s="16">
        <v>134.6</v>
      </c>
      <c r="AC32" s="16">
        <v>131.6</v>
      </c>
      <c r="AD32" s="16">
        <v>108.6</v>
      </c>
      <c r="AE32" s="16" t="s">
        <v>71</v>
      </c>
      <c r="AF32" s="16">
        <f>G32*R32</f>
        <v>296.55999999999995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</row>
    <row r="33" spans="1:47" x14ac:dyDescent="0.25">
      <c r="A33" s="8" t="s">
        <v>72</v>
      </c>
      <c r="B33" s="8" t="s">
        <v>38</v>
      </c>
      <c r="C33" s="8">
        <v>-6</v>
      </c>
      <c r="D33" s="8">
        <v>6</v>
      </c>
      <c r="E33" s="8"/>
      <c r="F33" s="8"/>
      <c r="G33" s="9">
        <v>0</v>
      </c>
      <c r="H33" s="8">
        <v>60</v>
      </c>
      <c r="I33" s="8" t="s">
        <v>60</v>
      </c>
      <c r="J33" s="8" t="s">
        <v>73</v>
      </c>
      <c r="K33" s="8">
        <v>1</v>
      </c>
      <c r="L33" s="8">
        <f t="shared" si="2"/>
        <v>-1</v>
      </c>
      <c r="M33" s="8">
        <f t="shared" si="3"/>
        <v>0</v>
      </c>
      <c r="N33" s="8"/>
      <c r="O33" s="8">
        <v>0</v>
      </c>
      <c r="P33" s="8"/>
      <c r="Q33" s="8">
        <f t="shared" si="4"/>
        <v>0</v>
      </c>
      <c r="R33" s="10"/>
      <c r="S33" s="8" t="e">
        <f t="shared" si="5"/>
        <v>#DIV/0!</v>
      </c>
      <c r="T33" s="8" t="e">
        <f t="shared" si="6"/>
        <v>#DIV/0!</v>
      </c>
      <c r="U33" s="8">
        <v>-0.6</v>
      </c>
      <c r="V33" s="8">
        <v>0</v>
      </c>
      <c r="W33" s="8">
        <v>-0.2</v>
      </c>
      <c r="X33" s="8">
        <v>0</v>
      </c>
      <c r="Y33" s="8">
        <v>1.2</v>
      </c>
      <c r="Z33" s="8">
        <v>1</v>
      </c>
      <c r="AA33" s="8">
        <v>0</v>
      </c>
      <c r="AB33" s="8">
        <v>57.4</v>
      </c>
      <c r="AC33" s="8">
        <v>111</v>
      </c>
      <c r="AD33" s="8">
        <v>112.6</v>
      </c>
      <c r="AE33" s="8" t="s">
        <v>74</v>
      </c>
      <c r="AF33" s="8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</row>
    <row r="34" spans="1:47" x14ac:dyDescent="0.25">
      <c r="A34" s="16" t="s">
        <v>75</v>
      </c>
      <c r="B34" s="16" t="s">
        <v>38</v>
      </c>
      <c r="C34" s="16">
        <v>1154</v>
      </c>
      <c r="D34" s="16">
        <v>4193.6000000000004</v>
      </c>
      <c r="E34" s="16">
        <v>962.6</v>
      </c>
      <c r="F34" s="16">
        <v>485</v>
      </c>
      <c r="G34" s="6">
        <v>0.4</v>
      </c>
      <c r="H34" s="16">
        <v>60</v>
      </c>
      <c r="I34" s="15" t="s">
        <v>56</v>
      </c>
      <c r="J34" s="16"/>
      <c r="K34" s="16">
        <v>1091.5999999999999</v>
      </c>
      <c r="L34" s="16">
        <f t="shared" si="2"/>
        <v>-128.99999999999989</v>
      </c>
      <c r="M34" s="16">
        <f t="shared" si="3"/>
        <v>930.6</v>
      </c>
      <c r="N34" s="16">
        <v>32</v>
      </c>
      <c r="O34" s="16">
        <v>700</v>
      </c>
      <c r="P34" s="16">
        <v>700</v>
      </c>
      <c r="Q34" s="16">
        <f t="shared" si="4"/>
        <v>186.12</v>
      </c>
      <c r="R34" s="4">
        <f>14*Q34-P34-O34-F34</f>
        <v>720.68000000000029</v>
      </c>
      <c r="S34" s="16">
        <f t="shared" si="5"/>
        <v>14.000000000000002</v>
      </c>
      <c r="T34" s="16">
        <f t="shared" si="6"/>
        <v>10.127874489576618</v>
      </c>
      <c r="U34" s="16">
        <v>301.39999999999998</v>
      </c>
      <c r="V34" s="16">
        <v>140</v>
      </c>
      <c r="W34" s="16">
        <v>155</v>
      </c>
      <c r="X34" s="16">
        <v>162.80000000000001</v>
      </c>
      <c r="Y34" s="16">
        <v>91.8</v>
      </c>
      <c r="Z34" s="16">
        <v>147.6</v>
      </c>
      <c r="AA34" s="16">
        <v>152.4</v>
      </c>
      <c r="AB34" s="16">
        <v>133.94</v>
      </c>
      <c r="AC34" s="16">
        <v>162.6</v>
      </c>
      <c r="AD34" s="16">
        <v>195.6</v>
      </c>
      <c r="AE34" s="16" t="s">
        <v>76</v>
      </c>
      <c r="AF34" s="16">
        <f>G34*R34</f>
        <v>288.27200000000011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</row>
    <row r="35" spans="1:47" x14ac:dyDescent="0.25">
      <c r="A35" s="16" t="s">
        <v>77</v>
      </c>
      <c r="B35" s="16" t="s">
        <v>38</v>
      </c>
      <c r="C35" s="16">
        <v>73</v>
      </c>
      <c r="D35" s="16">
        <v>3</v>
      </c>
      <c r="E35" s="16">
        <v>16</v>
      </c>
      <c r="F35" s="16">
        <v>58</v>
      </c>
      <c r="G35" s="6">
        <v>0.3</v>
      </c>
      <c r="H35" s="16">
        <v>45</v>
      </c>
      <c r="I35" s="16" t="s">
        <v>39</v>
      </c>
      <c r="J35" s="16"/>
      <c r="K35" s="16">
        <v>24</v>
      </c>
      <c r="L35" s="16">
        <f t="shared" si="2"/>
        <v>-8</v>
      </c>
      <c r="M35" s="16">
        <f t="shared" si="3"/>
        <v>16</v>
      </c>
      <c r="N35" s="16"/>
      <c r="O35" s="16">
        <v>35</v>
      </c>
      <c r="P35" s="16"/>
      <c r="Q35" s="16">
        <f t="shared" si="4"/>
        <v>3.2</v>
      </c>
      <c r="R35" s="4"/>
      <c r="S35" s="16">
        <f t="shared" si="5"/>
        <v>29.0625</v>
      </c>
      <c r="T35" s="16">
        <f t="shared" si="6"/>
        <v>29.0625</v>
      </c>
      <c r="U35" s="16">
        <v>7.2</v>
      </c>
      <c r="V35" s="16">
        <v>0.8</v>
      </c>
      <c r="W35" s="16">
        <v>1.4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9" t="s">
        <v>205</v>
      </c>
      <c r="AF35" s="16">
        <f>G35*R35</f>
        <v>0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</row>
    <row r="36" spans="1:47" x14ac:dyDescent="0.25">
      <c r="A36" s="8" t="s">
        <v>79</v>
      </c>
      <c r="B36" s="8" t="s">
        <v>38</v>
      </c>
      <c r="C36" s="8"/>
      <c r="D36" s="8">
        <v>26</v>
      </c>
      <c r="E36" s="8">
        <v>20</v>
      </c>
      <c r="F36" s="8"/>
      <c r="G36" s="9">
        <v>0</v>
      </c>
      <c r="H36" s="8"/>
      <c r="I36" s="11" t="s">
        <v>60</v>
      </c>
      <c r="J36" s="8"/>
      <c r="K36" s="8">
        <v>23</v>
      </c>
      <c r="L36" s="8">
        <f t="shared" si="2"/>
        <v>-3</v>
      </c>
      <c r="M36" s="8">
        <f t="shared" si="3"/>
        <v>0</v>
      </c>
      <c r="N36" s="8">
        <v>20</v>
      </c>
      <c r="O36" s="8"/>
      <c r="P36" s="8"/>
      <c r="Q36" s="8">
        <f t="shared" si="4"/>
        <v>0</v>
      </c>
      <c r="R36" s="10"/>
      <c r="S36" s="8" t="e">
        <f t="shared" si="5"/>
        <v>#DIV/0!</v>
      </c>
      <c r="T36" s="8" t="e">
        <f t="shared" si="6"/>
        <v>#DIV/0!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/>
      <c r="AF36" s="8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</row>
    <row r="37" spans="1:47" x14ac:dyDescent="0.25">
      <c r="A37" s="8" t="s">
        <v>80</v>
      </c>
      <c r="B37" s="8" t="s">
        <v>38</v>
      </c>
      <c r="C37" s="8">
        <v>-23</v>
      </c>
      <c r="D37" s="8">
        <v>61</v>
      </c>
      <c r="E37" s="8"/>
      <c r="F37" s="8"/>
      <c r="G37" s="9">
        <v>0</v>
      </c>
      <c r="H37" s="8">
        <v>60</v>
      </c>
      <c r="I37" s="8" t="s">
        <v>60</v>
      </c>
      <c r="J37" s="8" t="s">
        <v>81</v>
      </c>
      <c r="K37" s="8">
        <v>2</v>
      </c>
      <c r="L37" s="8">
        <f t="shared" si="2"/>
        <v>-2</v>
      </c>
      <c r="M37" s="8">
        <f t="shared" si="3"/>
        <v>0</v>
      </c>
      <c r="N37" s="8"/>
      <c r="O37" s="8">
        <v>0</v>
      </c>
      <c r="P37" s="8"/>
      <c r="Q37" s="8">
        <f t="shared" si="4"/>
        <v>0</v>
      </c>
      <c r="R37" s="10"/>
      <c r="S37" s="8" t="e">
        <f t="shared" si="5"/>
        <v>#DIV/0!</v>
      </c>
      <c r="T37" s="8" t="e">
        <f t="shared" si="6"/>
        <v>#DIV/0!</v>
      </c>
      <c r="U37" s="8">
        <v>0</v>
      </c>
      <c r="V37" s="8">
        <v>0</v>
      </c>
      <c r="W37" s="8">
        <v>0</v>
      </c>
      <c r="X37" s="8">
        <v>1.6</v>
      </c>
      <c r="Y37" s="8">
        <v>25.6</v>
      </c>
      <c r="Z37" s="8">
        <v>54.8</v>
      </c>
      <c r="AA37" s="8">
        <v>70.599999999999994</v>
      </c>
      <c r="AB37" s="8">
        <v>60</v>
      </c>
      <c r="AC37" s="8">
        <v>72.400000000000006</v>
      </c>
      <c r="AD37" s="8">
        <v>65.2</v>
      </c>
      <c r="AE37" s="8" t="s">
        <v>82</v>
      </c>
      <c r="AF37" s="8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</row>
    <row r="38" spans="1:47" x14ac:dyDescent="0.25">
      <c r="A38" s="8" t="s">
        <v>83</v>
      </c>
      <c r="B38" s="8" t="s">
        <v>38</v>
      </c>
      <c r="C38" s="8">
        <v>-1</v>
      </c>
      <c r="D38" s="8">
        <v>2</v>
      </c>
      <c r="E38" s="17">
        <v>1</v>
      </c>
      <c r="F38" s="8"/>
      <c r="G38" s="9">
        <v>0</v>
      </c>
      <c r="H38" s="8">
        <v>60</v>
      </c>
      <c r="I38" s="8" t="s">
        <v>60</v>
      </c>
      <c r="J38" s="8" t="s">
        <v>84</v>
      </c>
      <c r="K38" s="8">
        <v>68</v>
      </c>
      <c r="L38" s="8">
        <f t="shared" ref="L38:L69" si="9">E38-K38</f>
        <v>-67</v>
      </c>
      <c r="M38" s="8">
        <f t="shared" ref="M38:M69" si="10">E38-N38</f>
        <v>1</v>
      </c>
      <c r="N38" s="8"/>
      <c r="O38" s="8">
        <v>0</v>
      </c>
      <c r="P38" s="8"/>
      <c r="Q38" s="8">
        <f t="shared" ref="Q38:Q69" si="11">M38/5</f>
        <v>0.2</v>
      </c>
      <c r="R38" s="10"/>
      <c r="S38" s="8">
        <f t="shared" ref="S38:S69" si="12">(F38+O38+P38+R38)/Q38</f>
        <v>0</v>
      </c>
      <c r="T38" s="8">
        <f t="shared" ref="T38:T69" si="13">(F38+O38+P38)/Q38</f>
        <v>0</v>
      </c>
      <c r="U38" s="8">
        <v>0</v>
      </c>
      <c r="V38" s="8">
        <v>1.4</v>
      </c>
      <c r="W38" s="8">
        <v>0.6</v>
      </c>
      <c r="X38" s="8">
        <v>6</v>
      </c>
      <c r="Y38" s="8">
        <v>38.799999999999997</v>
      </c>
      <c r="Z38" s="8">
        <v>31.8</v>
      </c>
      <c r="AA38" s="8">
        <v>36.4</v>
      </c>
      <c r="AB38" s="8">
        <v>41.2</v>
      </c>
      <c r="AC38" s="8">
        <v>44</v>
      </c>
      <c r="AD38" s="8">
        <v>32.799999999999997</v>
      </c>
      <c r="AE38" s="8" t="s">
        <v>85</v>
      </c>
      <c r="AF38" s="8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1:47" x14ac:dyDescent="0.25">
      <c r="A39" s="8" t="s">
        <v>86</v>
      </c>
      <c r="B39" s="8" t="s">
        <v>38</v>
      </c>
      <c r="C39" s="8">
        <v>-63</v>
      </c>
      <c r="D39" s="8">
        <v>63</v>
      </c>
      <c r="E39" s="8"/>
      <c r="F39" s="8"/>
      <c r="G39" s="9">
        <v>0</v>
      </c>
      <c r="H39" s="8">
        <v>45</v>
      </c>
      <c r="I39" s="8" t="s">
        <v>60</v>
      </c>
      <c r="J39" s="8" t="s">
        <v>87</v>
      </c>
      <c r="K39" s="8"/>
      <c r="L39" s="8">
        <f t="shared" si="9"/>
        <v>0</v>
      </c>
      <c r="M39" s="8">
        <f t="shared" si="10"/>
        <v>0</v>
      </c>
      <c r="N39" s="8"/>
      <c r="O39" s="8">
        <v>0</v>
      </c>
      <c r="P39" s="8"/>
      <c r="Q39" s="8">
        <f t="shared" si="11"/>
        <v>0</v>
      </c>
      <c r="R39" s="10"/>
      <c r="S39" s="8" t="e">
        <f t="shared" si="12"/>
        <v>#DIV/0!</v>
      </c>
      <c r="T39" s="8" t="e">
        <f t="shared" si="13"/>
        <v>#DIV/0!</v>
      </c>
      <c r="U39" s="8">
        <v>-0.2</v>
      </c>
      <c r="V39" s="8">
        <v>1.4</v>
      </c>
      <c r="W39" s="8">
        <v>4</v>
      </c>
      <c r="X39" s="8">
        <v>2.6</v>
      </c>
      <c r="Y39" s="8">
        <v>10.4</v>
      </c>
      <c r="Z39" s="8">
        <v>4.2</v>
      </c>
      <c r="AA39" s="8">
        <v>14.4</v>
      </c>
      <c r="AB39" s="8">
        <v>21.2</v>
      </c>
      <c r="AC39" s="8">
        <v>25.2</v>
      </c>
      <c r="AD39" s="8">
        <v>13.4</v>
      </c>
      <c r="AE39" s="8" t="s">
        <v>88</v>
      </c>
      <c r="AF39" s="8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1:47" x14ac:dyDescent="0.25">
      <c r="A40" s="8" t="s">
        <v>89</v>
      </c>
      <c r="B40" s="8" t="s">
        <v>35</v>
      </c>
      <c r="C40" s="8"/>
      <c r="D40" s="8">
        <v>7.165</v>
      </c>
      <c r="E40" s="8">
        <v>1</v>
      </c>
      <c r="F40" s="8"/>
      <c r="G40" s="9">
        <v>0</v>
      </c>
      <c r="H40" s="8"/>
      <c r="I40" s="11" t="s">
        <v>60</v>
      </c>
      <c r="J40" s="8"/>
      <c r="K40" s="8">
        <v>15.1</v>
      </c>
      <c r="L40" s="8">
        <f t="shared" si="9"/>
        <v>-14.1</v>
      </c>
      <c r="M40" s="8">
        <f t="shared" si="10"/>
        <v>1</v>
      </c>
      <c r="N40" s="8"/>
      <c r="O40" s="8"/>
      <c r="P40" s="8"/>
      <c r="Q40" s="8">
        <f t="shared" si="11"/>
        <v>0.2</v>
      </c>
      <c r="R40" s="10"/>
      <c r="S40" s="8">
        <f t="shared" si="12"/>
        <v>0</v>
      </c>
      <c r="T40" s="8">
        <f t="shared" si="13"/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/>
      <c r="AF40" s="8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</row>
    <row r="41" spans="1:47" x14ac:dyDescent="0.25">
      <c r="A41" s="8" t="s">
        <v>90</v>
      </c>
      <c r="B41" s="8" t="s">
        <v>38</v>
      </c>
      <c r="C41" s="8">
        <v>2</v>
      </c>
      <c r="D41" s="8">
        <v>41</v>
      </c>
      <c r="E41" s="8">
        <v>10</v>
      </c>
      <c r="F41" s="8">
        <v>7</v>
      </c>
      <c r="G41" s="9">
        <v>0</v>
      </c>
      <c r="H41" s="8">
        <v>45</v>
      </c>
      <c r="I41" s="8" t="s">
        <v>60</v>
      </c>
      <c r="J41" s="8"/>
      <c r="K41" s="8">
        <v>78</v>
      </c>
      <c r="L41" s="8">
        <f t="shared" si="9"/>
        <v>-68</v>
      </c>
      <c r="M41" s="8">
        <f t="shared" si="10"/>
        <v>-2</v>
      </c>
      <c r="N41" s="8">
        <v>12</v>
      </c>
      <c r="O41" s="8">
        <v>0</v>
      </c>
      <c r="P41" s="8"/>
      <c r="Q41" s="8">
        <f t="shared" si="11"/>
        <v>-0.4</v>
      </c>
      <c r="R41" s="10"/>
      <c r="S41" s="8">
        <f t="shared" si="12"/>
        <v>-17.5</v>
      </c>
      <c r="T41" s="8">
        <f t="shared" si="13"/>
        <v>-17.5</v>
      </c>
      <c r="U41" s="8">
        <v>-0.2</v>
      </c>
      <c r="V41" s="8">
        <v>3</v>
      </c>
      <c r="W41" s="8">
        <v>9.8000000000000007</v>
      </c>
      <c r="X41" s="8">
        <v>10</v>
      </c>
      <c r="Y41" s="8">
        <v>5.4</v>
      </c>
      <c r="Z41" s="8">
        <v>13</v>
      </c>
      <c r="AA41" s="8">
        <v>1.2</v>
      </c>
      <c r="AB41" s="8">
        <v>10.6</v>
      </c>
      <c r="AC41" s="8">
        <v>3</v>
      </c>
      <c r="AD41" s="8">
        <v>7.4</v>
      </c>
      <c r="AE41" s="8" t="s">
        <v>91</v>
      </c>
      <c r="AF41" s="8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</row>
    <row r="42" spans="1:47" x14ac:dyDescent="0.25">
      <c r="A42" s="16" t="s">
        <v>92</v>
      </c>
      <c r="B42" s="16" t="s">
        <v>38</v>
      </c>
      <c r="C42" s="16">
        <v>7</v>
      </c>
      <c r="D42" s="16">
        <v>190</v>
      </c>
      <c r="E42" s="16">
        <v>25</v>
      </c>
      <c r="F42" s="16">
        <v>8</v>
      </c>
      <c r="G42" s="6">
        <v>0.3</v>
      </c>
      <c r="H42" s="16">
        <v>45</v>
      </c>
      <c r="I42" s="16" t="s">
        <v>39</v>
      </c>
      <c r="J42" s="16"/>
      <c r="K42" s="16">
        <v>107</v>
      </c>
      <c r="L42" s="16">
        <f t="shared" si="9"/>
        <v>-82</v>
      </c>
      <c r="M42" s="16">
        <f t="shared" si="10"/>
        <v>25</v>
      </c>
      <c r="N42" s="16"/>
      <c r="O42" s="16">
        <v>190</v>
      </c>
      <c r="P42" s="16">
        <v>191</v>
      </c>
      <c r="Q42" s="16">
        <f t="shared" si="11"/>
        <v>5</v>
      </c>
      <c r="R42" s="4">
        <v>18</v>
      </c>
      <c r="S42" s="16">
        <f t="shared" si="12"/>
        <v>81.400000000000006</v>
      </c>
      <c r="T42" s="16">
        <f t="shared" si="13"/>
        <v>77.8</v>
      </c>
      <c r="U42" s="16">
        <v>40.4</v>
      </c>
      <c r="V42" s="16">
        <v>16.8</v>
      </c>
      <c r="W42" s="16">
        <v>20.6</v>
      </c>
      <c r="X42" s="16">
        <v>16.2</v>
      </c>
      <c r="Y42" s="16">
        <v>23</v>
      </c>
      <c r="Z42" s="16">
        <v>29.6</v>
      </c>
      <c r="AA42" s="16">
        <v>17.600000000000001</v>
      </c>
      <c r="AB42" s="16">
        <v>29.2</v>
      </c>
      <c r="AC42" s="16">
        <v>42</v>
      </c>
      <c r="AD42" s="16">
        <v>0</v>
      </c>
      <c r="AE42" s="16"/>
      <c r="AF42" s="16">
        <f>G42*R42</f>
        <v>5.3999999999999995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</row>
    <row r="43" spans="1:47" x14ac:dyDescent="0.25">
      <c r="A43" s="16" t="s">
        <v>93</v>
      </c>
      <c r="B43" s="16" t="s">
        <v>35</v>
      </c>
      <c r="C43" s="16">
        <v>135.02500000000001</v>
      </c>
      <c r="D43" s="16">
        <v>293.72300000000001</v>
      </c>
      <c r="E43" s="16">
        <v>176.108</v>
      </c>
      <c r="F43" s="16">
        <v>196.96199999999999</v>
      </c>
      <c r="G43" s="6">
        <v>1</v>
      </c>
      <c r="H43" s="16">
        <v>60</v>
      </c>
      <c r="I43" s="16" t="s">
        <v>39</v>
      </c>
      <c r="J43" s="16"/>
      <c r="K43" s="16">
        <v>180.78700000000001</v>
      </c>
      <c r="L43" s="16">
        <f t="shared" si="9"/>
        <v>-4.679000000000002</v>
      </c>
      <c r="M43" s="16">
        <f t="shared" si="10"/>
        <v>147.92099999999999</v>
      </c>
      <c r="N43" s="16">
        <v>28.187000000000001</v>
      </c>
      <c r="O43" s="16">
        <v>128</v>
      </c>
      <c r="P43" s="16">
        <v>128</v>
      </c>
      <c r="Q43" s="16">
        <f t="shared" si="11"/>
        <v>29.584199999999999</v>
      </c>
      <c r="R43" s="4"/>
      <c r="S43" s="16">
        <f t="shared" si="12"/>
        <v>15.310943003359901</v>
      </c>
      <c r="T43" s="16">
        <f t="shared" si="13"/>
        <v>15.310943003359901</v>
      </c>
      <c r="U43" s="16">
        <v>27.789000000000001</v>
      </c>
      <c r="V43" s="16">
        <v>19.216000000000001</v>
      </c>
      <c r="W43" s="16">
        <v>22.330400000000001</v>
      </c>
      <c r="X43" s="16">
        <v>28.0184</v>
      </c>
      <c r="Y43" s="16">
        <v>23.045400000000001</v>
      </c>
      <c r="Z43" s="16">
        <v>18.9406</v>
      </c>
      <c r="AA43" s="16">
        <v>26.659800000000001</v>
      </c>
      <c r="AB43" s="16">
        <v>21.777200000000001</v>
      </c>
      <c r="AC43" s="16">
        <v>22.845600000000001</v>
      </c>
      <c r="AD43" s="16">
        <v>21.195799999999998</v>
      </c>
      <c r="AE43" s="16"/>
      <c r="AF43" s="16">
        <f>G43*R43</f>
        <v>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</row>
    <row r="44" spans="1:47" x14ac:dyDescent="0.25">
      <c r="A44" s="16" t="s">
        <v>94</v>
      </c>
      <c r="B44" s="16" t="s">
        <v>35</v>
      </c>
      <c r="C44" s="16">
        <v>100.896</v>
      </c>
      <c r="D44" s="16">
        <v>85.253</v>
      </c>
      <c r="E44" s="16">
        <v>63.691000000000003</v>
      </c>
      <c r="F44" s="16">
        <v>52.859000000000002</v>
      </c>
      <c r="G44" s="6">
        <v>1</v>
      </c>
      <c r="H44" s="16">
        <v>45</v>
      </c>
      <c r="I44" s="16" t="s">
        <v>39</v>
      </c>
      <c r="J44" s="16"/>
      <c r="K44" s="16">
        <v>71.2</v>
      </c>
      <c r="L44" s="16">
        <f t="shared" si="9"/>
        <v>-7.5090000000000003</v>
      </c>
      <c r="M44" s="16">
        <f t="shared" si="10"/>
        <v>63.691000000000003</v>
      </c>
      <c r="N44" s="16"/>
      <c r="O44" s="16">
        <v>54</v>
      </c>
      <c r="P44" s="16"/>
      <c r="Q44" s="16">
        <f t="shared" si="11"/>
        <v>12.738200000000001</v>
      </c>
      <c r="R44" s="4">
        <f>15*Q44-P44-O44-F44</f>
        <v>84.213999999999999</v>
      </c>
      <c r="S44" s="16">
        <f t="shared" si="12"/>
        <v>15</v>
      </c>
      <c r="T44" s="16">
        <f t="shared" si="13"/>
        <v>8.3888618486128337</v>
      </c>
      <c r="U44" s="16">
        <v>10.3902</v>
      </c>
      <c r="V44" s="16">
        <v>10.955399999999999</v>
      </c>
      <c r="W44" s="16">
        <v>12.7638</v>
      </c>
      <c r="X44" s="16">
        <v>13.176600000000001</v>
      </c>
      <c r="Y44" s="16">
        <v>11.030799999999999</v>
      </c>
      <c r="Z44" s="16">
        <v>15.082599999999999</v>
      </c>
      <c r="AA44" s="16">
        <v>11.778600000000001</v>
      </c>
      <c r="AB44" s="16">
        <v>11.2448</v>
      </c>
      <c r="AC44" s="16">
        <v>14.4396</v>
      </c>
      <c r="AD44" s="16">
        <v>14.8492</v>
      </c>
      <c r="AE44" s="16"/>
      <c r="AF44" s="16">
        <f>G44*R44</f>
        <v>84.213999999999999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47" x14ac:dyDescent="0.25">
      <c r="A45" s="16" t="s">
        <v>95</v>
      </c>
      <c r="B45" s="16" t="s">
        <v>35</v>
      </c>
      <c r="C45" s="16">
        <v>290.5</v>
      </c>
      <c r="D45" s="16">
        <v>121.217</v>
      </c>
      <c r="E45" s="16">
        <v>167.642</v>
      </c>
      <c r="F45" s="16">
        <v>144.268</v>
      </c>
      <c r="G45" s="6">
        <v>1</v>
      </c>
      <c r="H45" s="16">
        <v>45</v>
      </c>
      <c r="I45" s="16" t="s">
        <v>39</v>
      </c>
      <c r="J45" s="16"/>
      <c r="K45" s="16">
        <v>177.697</v>
      </c>
      <c r="L45" s="16">
        <f t="shared" si="9"/>
        <v>-10.055000000000007</v>
      </c>
      <c r="M45" s="16">
        <f t="shared" si="10"/>
        <v>135.94499999999999</v>
      </c>
      <c r="N45" s="16">
        <v>31.696999999999999</v>
      </c>
      <c r="O45" s="16">
        <v>0</v>
      </c>
      <c r="P45" s="16"/>
      <c r="Q45" s="16">
        <f t="shared" si="11"/>
        <v>27.189</v>
      </c>
      <c r="R45" s="4">
        <f>13*Q45-P45-O45-F45</f>
        <v>209.18899999999999</v>
      </c>
      <c r="S45" s="16">
        <f t="shared" si="12"/>
        <v>13</v>
      </c>
      <c r="T45" s="16">
        <f t="shared" si="13"/>
        <v>5.3061164441502076</v>
      </c>
      <c r="U45" s="16">
        <v>11.9834</v>
      </c>
      <c r="V45" s="16">
        <v>13.699400000000001</v>
      </c>
      <c r="W45" s="16">
        <v>35.602999999999987</v>
      </c>
      <c r="X45" s="16">
        <v>14.5686</v>
      </c>
      <c r="Y45" s="16">
        <v>20.5672</v>
      </c>
      <c r="Z45" s="16">
        <v>17.590800000000002</v>
      </c>
      <c r="AA45" s="16">
        <v>22.394200000000001</v>
      </c>
      <c r="AB45" s="16">
        <v>22.173999999999999</v>
      </c>
      <c r="AC45" s="16">
        <v>24.6816</v>
      </c>
      <c r="AD45" s="16">
        <v>17.996200000000002</v>
      </c>
      <c r="AE45" s="16"/>
      <c r="AF45" s="16">
        <f>G45*R45</f>
        <v>209.18899999999999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1:47" x14ac:dyDescent="0.25">
      <c r="A46" s="16" t="s">
        <v>96</v>
      </c>
      <c r="B46" s="16" t="s">
        <v>35</v>
      </c>
      <c r="C46" s="16">
        <v>329.19799999999998</v>
      </c>
      <c r="D46" s="16">
        <v>279.87299999999999</v>
      </c>
      <c r="E46" s="16">
        <v>182.273</v>
      </c>
      <c r="F46" s="16">
        <v>149.24199999999999</v>
      </c>
      <c r="G46" s="6">
        <v>1</v>
      </c>
      <c r="H46" s="16">
        <v>45</v>
      </c>
      <c r="I46" s="16" t="s">
        <v>39</v>
      </c>
      <c r="J46" s="16"/>
      <c r="K46" s="16">
        <v>197.48</v>
      </c>
      <c r="L46" s="16">
        <f t="shared" si="9"/>
        <v>-15.206999999999994</v>
      </c>
      <c r="M46" s="16">
        <f t="shared" si="10"/>
        <v>151.09299999999999</v>
      </c>
      <c r="N46" s="16">
        <v>31.18</v>
      </c>
      <c r="O46" s="16">
        <v>124</v>
      </c>
      <c r="P46" s="16">
        <v>125</v>
      </c>
      <c r="Q46" s="16">
        <f t="shared" si="11"/>
        <v>30.218599999999999</v>
      </c>
      <c r="R46" s="4">
        <f>15*Q46-P46-O46-F46</f>
        <v>55.037000000000006</v>
      </c>
      <c r="S46" s="16">
        <f t="shared" si="12"/>
        <v>15</v>
      </c>
      <c r="T46" s="16">
        <f t="shared" si="13"/>
        <v>13.178704506495999</v>
      </c>
      <c r="U46" s="16">
        <v>37.081000000000003</v>
      </c>
      <c r="V46" s="16">
        <v>15.3294</v>
      </c>
      <c r="W46" s="16">
        <v>39.705199999999998</v>
      </c>
      <c r="X46" s="16">
        <v>34.675600000000003</v>
      </c>
      <c r="Y46" s="16">
        <v>24.506</v>
      </c>
      <c r="Z46" s="16">
        <v>27.321200000000001</v>
      </c>
      <c r="AA46" s="16">
        <v>24.925999999999998</v>
      </c>
      <c r="AB46" s="16">
        <v>38.509399999999999</v>
      </c>
      <c r="AC46" s="16">
        <v>42.509799999999998</v>
      </c>
      <c r="AD46" s="16">
        <v>27.579799999999999</v>
      </c>
      <c r="AE46" s="16"/>
      <c r="AF46" s="16">
        <f>G46*R46</f>
        <v>55.037000000000006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</row>
    <row r="47" spans="1:47" x14ac:dyDescent="0.25">
      <c r="A47" s="8" t="s">
        <v>97</v>
      </c>
      <c r="B47" s="8" t="s">
        <v>38</v>
      </c>
      <c r="C47" s="8"/>
      <c r="D47" s="8">
        <v>60</v>
      </c>
      <c r="E47" s="8">
        <v>60</v>
      </c>
      <c r="F47" s="8"/>
      <c r="G47" s="9">
        <v>0</v>
      </c>
      <c r="H47" s="8"/>
      <c r="I47" s="11" t="s">
        <v>60</v>
      </c>
      <c r="J47" s="8"/>
      <c r="K47" s="8">
        <v>85</v>
      </c>
      <c r="L47" s="8">
        <f t="shared" si="9"/>
        <v>-25</v>
      </c>
      <c r="M47" s="8">
        <f t="shared" si="10"/>
        <v>0</v>
      </c>
      <c r="N47" s="8">
        <v>60</v>
      </c>
      <c r="O47" s="8"/>
      <c r="P47" s="8"/>
      <c r="Q47" s="8">
        <f t="shared" si="11"/>
        <v>0</v>
      </c>
      <c r="R47" s="10"/>
      <c r="S47" s="8" t="e">
        <f t="shared" si="12"/>
        <v>#DIV/0!</v>
      </c>
      <c r="T47" s="8" t="e">
        <f t="shared" si="13"/>
        <v>#DIV/0!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/>
      <c r="AF47" s="8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</row>
    <row r="48" spans="1:47" x14ac:dyDescent="0.25">
      <c r="A48" s="16" t="s">
        <v>98</v>
      </c>
      <c r="B48" s="16" t="s">
        <v>38</v>
      </c>
      <c r="C48" s="16">
        <v>-23</v>
      </c>
      <c r="D48" s="16">
        <v>630</v>
      </c>
      <c r="E48" s="16">
        <v>211</v>
      </c>
      <c r="F48" s="16">
        <v>28</v>
      </c>
      <c r="G48" s="6">
        <v>0.3</v>
      </c>
      <c r="H48" s="16">
        <v>45</v>
      </c>
      <c r="I48" s="16" t="s">
        <v>39</v>
      </c>
      <c r="J48" s="16"/>
      <c r="K48" s="16">
        <v>342</v>
      </c>
      <c r="L48" s="16">
        <f t="shared" si="9"/>
        <v>-131</v>
      </c>
      <c r="M48" s="16">
        <f t="shared" si="10"/>
        <v>179</v>
      </c>
      <c r="N48" s="16">
        <v>32</v>
      </c>
      <c r="O48" s="16">
        <v>200</v>
      </c>
      <c r="P48" s="16"/>
      <c r="Q48" s="16">
        <f t="shared" si="11"/>
        <v>35.799999999999997</v>
      </c>
      <c r="R48" s="4">
        <f>14*Q48-P48-O48-F48</f>
        <v>273.19999999999993</v>
      </c>
      <c r="S48" s="16">
        <f t="shared" si="12"/>
        <v>14</v>
      </c>
      <c r="T48" s="16">
        <f t="shared" si="13"/>
        <v>6.3687150837988833</v>
      </c>
      <c r="U48" s="16">
        <v>-5.2</v>
      </c>
      <c r="V48" s="16">
        <v>18</v>
      </c>
      <c r="W48" s="16">
        <v>45.2</v>
      </c>
      <c r="X48" s="16">
        <v>46</v>
      </c>
      <c r="Y48" s="16">
        <v>45.4</v>
      </c>
      <c r="Z48" s="16">
        <v>55.4</v>
      </c>
      <c r="AA48" s="16">
        <v>70.8</v>
      </c>
      <c r="AB48" s="16">
        <v>472.6</v>
      </c>
      <c r="AC48" s="16">
        <v>1125</v>
      </c>
      <c r="AD48" s="16">
        <v>88.8</v>
      </c>
      <c r="AE48" s="16" t="s">
        <v>99</v>
      </c>
      <c r="AF48" s="16">
        <f>G48*R48</f>
        <v>81.95999999999998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1:47" x14ac:dyDescent="0.25">
      <c r="A49" s="16" t="s">
        <v>100</v>
      </c>
      <c r="B49" s="16" t="s">
        <v>35</v>
      </c>
      <c r="C49" s="16"/>
      <c r="D49" s="16"/>
      <c r="E49" s="16"/>
      <c r="F49" s="16"/>
      <c r="G49" s="6">
        <v>1</v>
      </c>
      <c r="H49" s="16"/>
      <c r="I49" s="16" t="s">
        <v>39</v>
      </c>
      <c r="J49" s="16"/>
      <c r="K49" s="16"/>
      <c r="L49" s="16">
        <f t="shared" si="9"/>
        <v>0</v>
      </c>
      <c r="M49" s="16">
        <f t="shared" si="10"/>
        <v>0</v>
      </c>
      <c r="N49" s="16"/>
      <c r="O49" s="16">
        <v>50</v>
      </c>
      <c r="P49" s="16"/>
      <c r="Q49" s="16">
        <f t="shared" si="11"/>
        <v>0</v>
      </c>
      <c r="R49" s="4"/>
      <c r="S49" s="16" t="e">
        <f t="shared" si="12"/>
        <v>#DIV/0!</v>
      </c>
      <c r="T49" s="16" t="e">
        <f t="shared" si="13"/>
        <v>#DIV/0!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 t="s">
        <v>101</v>
      </c>
      <c r="AF49" s="16">
        <f>G49*R49</f>
        <v>0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 x14ac:dyDescent="0.25">
      <c r="A50" s="16" t="s">
        <v>102</v>
      </c>
      <c r="B50" s="16" t="s">
        <v>35</v>
      </c>
      <c r="C50" s="16">
        <v>153.608</v>
      </c>
      <c r="D50" s="16"/>
      <c r="E50" s="16"/>
      <c r="F50" s="16"/>
      <c r="G50" s="6">
        <v>1</v>
      </c>
      <c r="H50" s="16">
        <v>45</v>
      </c>
      <c r="I50" s="16" t="s">
        <v>39</v>
      </c>
      <c r="J50" s="16"/>
      <c r="K50" s="16">
        <v>15</v>
      </c>
      <c r="L50" s="16">
        <f t="shared" si="9"/>
        <v>-15</v>
      </c>
      <c r="M50" s="16">
        <f t="shared" si="10"/>
        <v>0</v>
      </c>
      <c r="N50" s="16"/>
      <c r="O50" s="16">
        <v>0</v>
      </c>
      <c r="P50" s="16"/>
      <c r="Q50" s="16">
        <f t="shared" si="11"/>
        <v>0</v>
      </c>
      <c r="R50" s="4">
        <v>15</v>
      </c>
      <c r="S50" s="16" t="e">
        <f t="shared" si="12"/>
        <v>#DIV/0!</v>
      </c>
      <c r="T50" s="16" t="e">
        <f t="shared" si="13"/>
        <v>#DIV/0!</v>
      </c>
      <c r="U50" s="16">
        <v>-0.1052</v>
      </c>
      <c r="V50" s="16">
        <v>0.93140000000000001</v>
      </c>
      <c r="W50" s="16">
        <v>0.25059999999999999</v>
      </c>
      <c r="X50" s="16">
        <v>1.5486</v>
      </c>
      <c r="Y50" s="16">
        <v>0</v>
      </c>
      <c r="Z50" s="16">
        <v>2.1534</v>
      </c>
      <c r="AA50" s="16">
        <v>0.62980000000000003</v>
      </c>
      <c r="AB50" s="16">
        <v>2.1646000000000001</v>
      </c>
      <c r="AC50" s="16">
        <v>2.6646000000000001</v>
      </c>
      <c r="AD50" s="16">
        <v>1.2427999999999999</v>
      </c>
      <c r="AE50" s="18" t="s">
        <v>206</v>
      </c>
      <c r="AF50" s="16">
        <f>G50*R50</f>
        <v>15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x14ac:dyDescent="0.25">
      <c r="A51" s="16" t="s">
        <v>103</v>
      </c>
      <c r="B51" s="16" t="s">
        <v>38</v>
      </c>
      <c r="C51" s="16">
        <v>767.28800000000001</v>
      </c>
      <c r="D51" s="16">
        <v>4748.7120000000004</v>
      </c>
      <c r="E51" s="16">
        <v>1023</v>
      </c>
      <c r="F51" s="16">
        <v>439</v>
      </c>
      <c r="G51" s="6">
        <v>0.35</v>
      </c>
      <c r="H51" s="16">
        <v>45</v>
      </c>
      <c r="I51" s="15" t="s">
        <v>56</v>
      </c>
      <c r="J51" s="16"/>
      <c r="K51" s="16">
        <v>1148</v>
      </c>
      <c r="L51" s="16">
        <f t="shared" si="9"/>
        <v>-125</v>
      </c>
      <c r="M51" s="16">
        <f t="shared" si="10"/>
        <v>967</v>
      </c>
      <c r="N51" s="16">
        <v>56</v>
      </c>
      <c r="O51" s="16">
        <v>849</v>
      </c>
      <c r="P51" s="16">
        <v>850</v>
      </c>
      <c r="Q51" s="16">
        <f t="shared" si="11"/>
        <v>193.4</v>
      </c>
      <c r="R51" s="4">
        <f>15*Q51-P51-O51-F51</f>
        <v>763</v>
      </c>
      <c r="S51" s="16">
        <f t="shared" si="12"/>
        <v>15</v>
      </c>
      <c r="T51" s="16">
        <f t="shared" si="13"/>
        <v>11.054808686659772</v>
      </c>
      <c r="U51" s="16">
        <v>235.3424</v>
      </c>
      <c r="V51" s="16">
        <v>191.6</v>
      </c>
      <c r="W51" s="16">
        <v>300.8</v>
      </c>
      <c r="X51" s="16">
        <v>181</v>
      </c>
      <c r="Y51" s="16">
        <v>160.6</v>
      </c>
      <c r="Z51" s="16">
        <v>152.19999999999999</v>
      </c>
      <c r="AA51" s="16">
        <v>238</v>
      </c>
      <c r="AB51" s="16">
        <v>215.8</v>
      </c>
      <c r="AC51" s="16">
        <v>254.4</v>
      </c>
      <c r="AD51" s="16">
        <v>225.4</v>
      </c>
      <c r="AE51" s="16" t="s">
        <v>104</v>
      </c>
      <c r="AF51" s="16">
        <f>G51*R51</f>
        <v>267.05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</row>
    <row r="52" spans="1:47" x14ac:dyDescent="0.25">
      <c r="A52" s="8" t="s">
        <v>105</v>
      </c>
      <c r="B52" s="8" t="s">
        <v>38</v>
      </c>
      <c r="C52" s="8">
        <v>-3</v>
      </c>
      <c r="D52" s="8">
        <v>3</v>
      </c>
      <c r="E52" s="8"/>
      <c r="F52" s="8"/>
      <c r="G52" s="9">
        <v>0</v>
      </c>
      <c r="H52" s="8"/>
      <c r="I52" s="8" t="s">
        <v>60</v>
      </c>
      <c r="J52" s="8" t="s">
        <v>106</v>
      </c>
      <c r="K52" s="8">
        <v>1</v>
      </c>
      <c r="L52" s="8">
        <f t="shared" si="9"/>
        <v>-1</v>
      </c>
      <c r="M52" s="8">
        <f t="shared" si="10"/>
        <v>0</v>
      </c>
      <c r="N52" s="8"/>
      <c r="O52" s="8">
        <v>0</v>
      </c>
      <c r="P52" s="8"/>
      <c r="Q52" s="8">
        <f t="shared" si="11"/>
        <v>0</v>
      </c>
      <c r="R52" s="10"/>
      <c r="S52" s="8" t="e">
        <f t="shared" si="12"/>
        <v>#DIV/0!</v>
      </c>
      <c r="T52" s="8" t="e">
        <f t="shared" si="13"/>
        <v>#DIV/0!</v>
      </c>
      <c r="U52" s="8">
        <v>0</v>
      </c>
      <c r="V52" s="8">
        <v>0</v>
      </c>
      <c r="W52" s="8">
        <v>0.6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/>
      <c r="AF52" s="8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x14ac:dyDescent="0.25">
      <c r="A53" s="16" t="s">
        <v>107</v>
      </c>
      <c r="B53" s="16" t="s">
        <v>38</v>
      </c>
      <c r="C53" s="16">
        <v>204</v>
      </c>
      <c r="D53" s="16">
        <v>1256</v>
      </c>
      <c r="E53" s="16">
        <v>270.89999999999998</v>
      </c>
      <c r="F53" s="16">
        <v>398</v>
      </c>
      <c r="G53" s="6">
        <v>0.41</v>
      </c>
      <c r="H53" s="16">
        <v>45</v>
      </c>
      <c r="I53" s="16" t="s">
        <v>39</v>
      </c>
      <c r="J53" s="16"/>
      <c r="K53" s="16">
        <v>413</v>
      </c>
      <c r="L53" s="16">
        <f t="shared" si="9"/>
        <v>-142.10000000000002</v>
      </c>
      <c r="M53" s="16">
        <f t="shared" si="10"/>
        <v>222.89999999999998</v>
      </c>
      <c r="N53" s="16">
        <v>48</v>
      </c>
      <c r="O53" s="16">
        <v>0</v>
      </c>
      <c r="P53" s="16"/>
      <c r="Q53" s="16">
        <f t="shared" si="11"/>
        <v>44.58</v>
      </c>
      <c r="R53" s="4">
        <f>15*Q53-P53-O53-F53</f>
        <v>270.69999999999993</v>
      </c>
      <c r="S53" s="16">
        <f t="shared" si="12"/>
        <v>14.999999999999998</v>
      </c>
      <c r="T53" s="16">
        <f t="shared" si="13"/>
        <v>8.9277703005832212</v>
      </c>
      <c r="U53" s="16">
        <v>45.2</v>
      </c>
      <c r="V53" s="16">
        <v>67.599999999999994</v>
      </c>
      <c r="W53" s="16">
        <v>26.2</v>
      </c>
      <c r="X53" s="16">
        <v>72</v>
      </c>
      <c r="Y53" s="16">
        <v>37.200000000000003</v>
      </c>
      <c r="Z53" s="16">
        <v>47.2</v>
      </c>
      <c r="AA53" s="16">
        <v>73.8</v>
      </c>
      <c r="AB53" s="16">
        <v>85.4</v>
      </c>
      <c r="AC53" s="16">
        <v>90</v>
      </c>
      <c r="AD53" s="16">
        <v>70.8</v>
      </c>
      <c r="AE53" s="16"/>
      <c r="AF53" s="16">
        <f>G53*R53</f>
        <v>110.98699999999997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 x14ac:dyDescent="0.25">
      <c r="A54" s="16" t="s">
        <v>108</v>
      </c>
      <c r="B54" s="16" t="s">
        <v>38</v>
      </c>
      <c r="C54" s="16">
        <v>204</v>
      </c>
      <c r="D54" s="16">
        <v>76</v>
      </c>
      <c r="E54" s="16">
        <v>150</v>
      </c>
      <c r="F54" s="16">
        <v>44</v>
      </c>
      <c r="G54" s="6">
        <v>0.41</v>
      </c>
      <c r="H54" s="16">
        <v>45</v>
      </c>
      <c r="I54" s="16" t="s">
        <v>39</v>
      </c>
      <c r="J54" s="16"/>
      <c r="K54" s="16">
        <v>159</v>
      </c>
      <c r="L54" s="16">
        <f t="shared" si="9"/>
        <v>-9</v>
      </c>
      <c r="M54" s="16">
        <f t="shared" si="10"/>
        <v>150</v>
      </c>
      <c r="N54" s="16"/>
      <c r="O54" s="16">
        <v>0</v>
      </c>
      <c r="P54" s="16"/>
      <c r="Q54" s="16">
        <f t="shared" si="11"/>
        <v>30</v>
      </c>
      <c r="R54" s="4">
        <f>8*Q54-P54-O54-F54</f>
        <v>196</v>
      </c>
      <c r="S54" s="16">
        <f t="shared" si="12"/>
        <v>8</v>
      </c>
      <c r="T54" s="16">
        <f t="shared" si="13"/>
        <v>1.4666666666666666</v>
      </c>
      <c r="U54" s="16">
        <v>8.1999999999999993</v>
      </c>
      <c r="V54" s="16">
        <v>7.6</v>
      </c>
      <c r="W54" s="16">
        <v>19</v>
      </c>
      <c r="X54" s="16">
        <v>10.199999999999999</v>
      </c>
      <c r="Y54" s="16">
        <v>7.6</v>
      </c>
      <c r="Z54" s="16">
        <v>13.8</v>
      </c>
      <c r="AA54" s="16">
        <v>14</v>
      </c>
      <c r="AB54" s="16">
        <v>12.6</v>
      </c>
      <c r="AC54" s="16">
        <v>24.6</v>
      </c>
      <c r="AD54" s="16">
        <v>24.6</v>
      </c>
      <c r="AE54" s="16"/>
      <c r="AF54" s="16">
        <f>G54*R54</f>
        <v>80.36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 x14ac:dyDescent="0.25">
      <c r="A55" s="8" t="s">
        <v>109</v>
      </c>
      <c r="B55" s="8" t="s">
        <v>38</v>
      </c>
      <c r="C55" s="8"/>
      <c r="D55" s="8">
        <v>21</v>
      </c>
      <c r="E55" s="8">
        <v>16</v>
      </c>
      <c r="F55" s="8"/>
      <c r="G55" s="9">
        <v>0</v>
      </c>
      <c r="H55" s="8"/>
      <c r="I55" s="11" t="s">
        <v>60</v>
      </c>
      <c r="J55" s="8"/>
      <c r="K55" s="8">
        <v>16</v>
      </c>
      <c r="L55" s="8">
        <f t="shared" si="9"/>
        <v>0</v>
      </c>
      <c r="M55" s="8">
        <f t="shared" si="10"/>
        <v>0</v>
      </c>
      <c r="N55" s="8">
        <v>16</v>
      </c>
      <c r="O55" s="8"/>
      <c r="P55" s="8"/>
      <c r="Q55" s="8">
        <f t="shared" si="11"/>
        <v>0</v>
      </c>
      <c r="R55" s="10"/>
      <c r="S55" s="8" t="e">
        <f t="shared" si="12"/>
        <v>#DIV/0!</v>
      </c>
      <c r="T55" s="8" t="e">
        <f t="shared" si="13"/>
        <v>#DIV/0!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/>
      <c r="AF55" s="8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 x14ac:dyDescent="0.25">
      <c r="A56" s="8" t="s">
        <v>110</v>
      </c>
      <c r="B56" s="8" t="s">
        <v>38</v>
      </c>
      <c r="C56" s="8"/>
      <c r="D56" s="8">
        <v>11</v>
      </c>
      <c r="E56" s="8"/>
      <c r="F56" s="8"/>
      <c r="G56" s="9">
        <v>0</v>
      </c>
      <c r="H56" s="8"/>
      <c r="I56" s="11" t="s">
        <v>60</v>
      </c>
      <c r="J56" s="8"/>
      <c r="K56" s="8"/>
      <c r="L56" s="8">
        <f t="shared" si="9"/>
        <v>0</v>
      </c>
      <c r="M56" s="8">
        <f t="shared" si="10"/>
        <v>0</v>
      </c>
      <c r="N56" s="8"/>
      <c r="O56" s="8"/>
      <c r="P56" s="8"/>
      <c r="Q56" s="8">
        <f t="shared" si="11"/>
        <v>0</v>
      </c>
      <c r="R56" s="10"/>
      <c r="S56" s="8" t="e">
        <f t="shared" si="12"/>
        <v>#DIV/0!</v>
      </c>
      <c r="T56" s="8" t="e">
        <f t="shared" si="13"/>
        <v>#DIV/0!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/>
      <c r="AF56" s="8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 x14ac:dyDescent="0.25">
      <c r="A57" s="16" t="s">
        <v>111</v>
      </c>
      <c r="B57" s="16" t="s">
        <v>38</v>
      </c>
      <c r="C57" s="16">
        <v>130</v>
      </c>
      <c r="D57" s="16">
        <v>561</v>
      </c>
      <c r="E57" s="16">
        <v>227</v>
      </c>
      <c r="F57" s="16"/>
      <c r="G57" s="6">
        <v>0.36</v>
      </c>
      <c r="H57" s="16">
        <v>45</v>
      </c>
      <c r="I57" s="16" t="s">
        <v>39</v>
      </c>
      <c r="J57" s="16"/>
      <c r="K57" s="16">
        <v>382</v>
      </c>
      <c r="L57" s="16">
        <f t="shared" si="9"/>
        <v>-155</v>
      </c>
      <c r="M57" s="16">
        <f t="shared" si="10"/>
        <v>131</v>
      </c>
      <c r="N57" s="16">
        <v>96</v>
      </c>
      <c r="O57" s="16">
        <v>254</v>
      </c>
      <c r="P57" s="16">
        <v>255</v>
      </c>
      <c r="Q57" s="16">
        <f t="shared" si="11"/>
        <v>26.2</v>
      </c>
      <c r="R57" s="4"/>
      <c r="S57" s="16">
        <f t="shared" si="12"/>
        <v>19.427480916030536</v>
      </c>
      <c r="T57" s="16">
        <f t="shared" si="13"/>
        <v>19.427480916030536</v>
      </c>
      <c r="U57" s="16">
        <v>56.2</v>
      </c>
      <c r="V57" s="16">
        <v>19.600000000000001</v>
      </c>
      <c r="W57" s="16">
        <v>40.4</v>
      </c>
      <c r="X57" s="16">
        <v>28</v>
      </c>
      <c r="Y57" s="16">
        <v>36.799999999999997</v>
      </c>
      <c r="Z57" s="16">
        <v>35.6</v>
      </c>
      <c r="AA57" s="16">
        <v>58.4</v>
      </c>
      <c r="AB57" s="16">
        <v>42.6</v>
      </c>
      <c r="AC57" s="16">
        <v>61.8</v>
      </c>
      <c r="AD57" s="16">
        <v>30.8</v>
      </c>
      <c r="AE57" s="16"/>
      <c r="AF57" s="16">
        <f>G57*R57</f>
        <v>0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 x14ac:dyDescent="0.25">
      <c r="A58" s="8" t="s">
        <v>112</v>
      </c>
      <c r="B58" s="8" t="s">
        <v>35</v>
      </c>
      <c r="C58" s="8"/>
      <c r="D58" s="8">
        <v>8.7170000000000005</v>
      </c>
      <c r="E58" s="8">
        <v>8.7170000000000005</v>
      </c>
      <c r="F58" s="8"/>
      <c r="G58" s="9">
        <v>0</v>
      </c>
      <c r="H58" s="8"/>
      <c r="I58" s="11" t="s">
        <v>60</v>
      </c>
      <c r="J58" s="8"/>
      <c r="K58" s="8">
        <v>8.7170000000000005</v>
      </c>
      <c r="L58" s="8">
        <f t="shared" si="9"/>
        <v>0</v>
      </c>
      <c r="M58" s="8">
        <f t="shared" si="10"/>
        <v>0</v>
      </c>
      <c r="N58" s="8">
        <v>8.7170000000000005</v>
      </c>
      <c r="O58" s="8"/>
      <c r="P58" s="8"/>
      <c r="Q58" s="8">
        <f t="shared" si="11"/>
        <v>0</v>
      </c>
      <c r="R58" s="10"/>
      <c r="S58" s="8" t="e">
        <f t="shared" si="12"/>
        <v>#DIV/0!</v>
      </c>
      <c r="T58" s="8" t="e">
        <f t="shared" si="13"/>
        <v>#DIV/0!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/>
      <c r="AF58" s="8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 x14ac:dyDescent="0.25">
      <c r="A59" s="16" t="s">
        <v>113</v>
      </c>
      <c r="B59" s="16" t="s">
        <v>38</v>
      </c>
      <c r="C59" s="16">
        <v>111</v>
      </c>
      <c r="D59" s="16">
        <v>1709</v>
      </c>
      <c r="E59" s="16">
        <v>304</v>
      </c>
      <c r="F59" s="16">
        <v>568</v>
      </c>
      <c r="G59" s="6">
        <v>0.33</v>
      </c>
      <c r="H59" s="16">
        <v>45</v>
      </c>
      <c r="I59" s="16" t="s">
        <v>39</v>
      </c>
      <c r="J59" s="16"/>
      <c r="K59" s="16">
        <v>362</v>
      </c>
      <c r="L59" s="16">
        <f t="shared" si="9"/>
        <v>-58</v>
      </c>
      <c r="M59" s="16">
        <f t="shared" si="10"/>
        <v>304</v>
      </c>
      <c r="N59" s="16"/>
      <c r="O59" s="16">
        <v>0</v>
      </c>
      <c r="P59" s="16"/>
      <c r="Q59" s="16">
        <f t="shared" si="11"/>
        <v>60.8</v>
      </c>
      <c r="R59" s="4">
        <f>14*Q59-P59-O59-F59</f>
        <v>283.19999999999993</v>
      </c>
      <c r="S59" s="16">
        <f t="shared" si="12"/>
        <v>14</v>
      </c>
      <c r="T59" s="16">
        <f t="shared" si="13"/>
        <v>9.3421052631578956</v>
      </c>
      <c r="U59" s="16">
        <v>13.8</v>
      </c>
      <c r="V59" s="16">
        <v>81.2</v>
      </c>
      <c r="W59" s="16">
        <v>11.4</v>
      </c>
      <c r="X59" s="16">
        <v>46.8</v>
      </c>
      <c r="Y59" s="16">
        <v>26.4</v>
      </c>
      <c r="Z59" s="16">
        <v>39.4</v>
      </c>
      <c r="AA59" s="16">
        <v>53.2</v>
      </c>
      <c r="AB59" s="16">
        <v>56.4</v>
      </c>
      <c r="AC59" s="16">
        <v>54.2</v>
      </c>
      <c r="AD59" s="16">
        <v>59.2</v>
      </c>
      <c r="AE59" s="16"/>
      <c r="AF59" s="16">
        <f t="shared" ref="AF59:AF66" si="14">G59*R59</f>
        <v>93.455999999999989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 x14ac:dyDescent="0.25">
      <c r="A60" s="16" t="s">
        <v>114</v>
      </c>
      <c r="B60" s="16" t="s">
        <v>38</v>
      </c>
      <c r="C60" s="16">
        <v>116</v>
      </c>
      <c r="D60" s="16">
        <v>486</v>
      </c>
      <c r="E60" s="16">
        <v>90</v>
      </c>
      <c r="F60" s="16">
        <v>347</v>
      </c>
      <c r="G60" s="6">
        <v>0.4</v>
      </c>
      <c r="H60" s="16">
        <v>60</v>
      </c>
      <c r="I60" s="16" t="s">
        <v>39</v>
      </c>
      <c r="J60" s="16"/>
      <c r="K60" s="16">
        <v>94</v>
      </c>
      <c r="L60" s="16">
        <f t="shared" si="9"/>
        <v>-4</v>
      </c>
      <c r="M60" s="16">
        <f t="shared" si="10"/>
        <v>90</v>
      </c>
      <c r="N60" s="16"/>
      <c r="O60" s="16">
        <v>0</v>
      </c>
      <c r="P60" s="16"/>
      <c r="Q60" s="16">
        <f t="shared" si="11"/>
        <v>18</v>
      </c>
      <c r="R60" s="4"/>
      <c r="S60" s="16">
        <f t="shared" si="12"/>
        <v>19.277777777777779</v>
      </c>
      <c r="T60" s="16">
        <f t="shared" si="13"/>
        <v>19.277777777777779</v>
      </c>
      <c r="U60" s="16">
        <v>27.2</v>
      </c>
      <c r="V60" s="16">
        <v>39.6</v>
      </c>
      <c r="W60" s="16">
        <v>24.4</v>
      </c>
      <c r="X60" s="16">
        <v>28.2</v>
      </c>
      <c r="Y60" s="16">
        <v>23.8</v>
      </c>
      <c r="Z60" s="16">
        <v>33.200000000000003</v>
      </c>
      <c r="AA60" s="16">
        <v>20.8</v>
      </c>
      <c r="AB60" s="16">
        <v>38.799999999999997</v>
      </c>
      <c r="AC60" s="16">
        <v>37.4</v>
      </c>
      <c r="AD60" s="16">
        <v>0</v>
      </c>
      <c r="AE60" s="16"/>
      <c r="AF60" s="16">
        <f t="shared" si="14"/>
        <v>0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 x14ac:dyDescent="0.25">
      <c r="A61" s="16" t="s">
        <v>115</v>
      </c>
      <c r="B61" s="16" t="s">
        <v>38</v>
      </c>
      <c r="C61" s="16">
        <v>17</v>
      </c>
      <c r="D61" s="16">
        <v>46</v>
      </c>
      <c r="E61" s="16">
        <v>6</v>
      </c>
      <c r="F61" s="16">
        <v>47</v>
      </c>
      <c r="G61" s="6">
        <v>0.33</v>
      </c>
      <c r="H61" s="16">
        <v>45</v>
      </c>
      <c r="I61" s="16" t="s">
        <v>39</v>
      </c>
      <c r="J61" s="16"/>
      <c r="K61" s="16">
        <v>9</v>
      </c>
      <c r="L61" s="16">
        <f t="shared" si="9"/>
        <v>-3</v>
      </c>
      <c r="M61" s="16">
        <f t="shared" si="10"/>
        <v>6</v>
      </c>
      <c r="N61" s="16"/>
      <c r="O61" s="16">
        <v>0</v>
      </c>
      <c r="P61" s="16"/>
      <c r="Q61" s="16">
        <f t="shared" si="11"/>
        <v>1.2</v>
      </c>
      <c r="R61" s="4"/>
      <c r="S61" s="16">
        <f t="shared" si="12"/>
        <v>39.166666666666671</v>
      </c>
      <c r="T61" s="16">
        <f t="shared" si="13"/>
        <v>39.166666666666671</v>
      </c>
      <c r="U61" s="16">
        <v>2.8</v>
      </c>
      <c r="V61" s="16">
        <v>4.8</v>
      </c>
      <c r="W61" s="16">
        <v>4</v>
      </c>
      <c r="X61" s="16">
        <v>4.2</v>
      </c>
      <c r="Y61" s="16">
        <v>3.6</v>
      </c>
      <c r="Z61" s="16">
        <v>3.6</v>
      </c>
      <c r="AA61" s="16">
        <v>4.5999999999999996</v>
      </c>
      <c r="AB61" s="16">
        <v>5.6</v>
      </c>
      <c r="AC61" s="16">
        <v>6.2</v>
      </c>
      <c r="AD61" s="16">
        <v>18</v>
      </c>
      <c r="AE61" s="16"/>
      <c r="AF61" s="16">
        <f t="shared" si="14"/>
        <v>0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 x14ac:dyDescent="0.25">
      <c r="A62" s="16" t="s">
        <v>116</v>
      </c>
      <c r="B62" s="16" t="s">
        <v>35</v>
      </c>
      <c r="C62" s="16">
        <v>386.767</v>
      </c>
      <c r="D62" s="16">
        <v>828.36500000000001</v>
      </c>
      <c r="E62" s="16">
        <v>394.27</v>
      </c>
      <c r="F62" s="16">
        <v>68.78</v>
      </c>
      <c r="G62" s="6">
        <v>1</v>
      </c>
      <c r="H62" s="16">
        <v>45</v>
      </c>
      <c r="I62" s="16" t="s">
        <v>39</v>
      </c>
      <c r="J62" s="16"/>
      <c r="K62" s="16">
        <v>413.49599999999998</v>
      </c>
      <c r="L62" s="16">
        <f t="shared" si="9"/>
        <v>-19.225999999999999</v>
      </c>
      <c r="M62" s="16">
        <f t="shared" si="10"/>
        <v>361.07399999999996</v>
      </c>
      <c r="N62" s="16">
        <v>33.195999999999998</v>
      </c>
      <c r="O62" s="16">
        <v>520</v>
      </c>
      <c r="P62" s="16">
        <v>521</v>
      </c>
      <c r="Q62" s="16">
        <f t="shared" si="11"/>
        <v>72.214799999999997</v>
      </c>
      <c r="R62" s="4">
        <v>100</v>
      </c>
      <c r="S62" s="16">
        <f t="shared" si="12"/>
        <v>16.752521643762776</v>
      </c>
      <c r="T62" s="16">
        <f t="shared" si="13"/>
        <v>15.367763948664264</v>
      </c>
      <c r="U62" s="16">
        <v>115.35380000000001</v>
      </c>
      <c r="V62" s="16">
        <v>57.2836</v>
      </c>
      <c r="W62" s="16">
        <v>83.705999999999989</v>
      </c>
      <c r="X62" s="16">
        <v>83.758600000000001</v>
      </c>
      <c r="Y62" s="16">
        <v>66.909199999999998</v>
      </c>
      <c r="Z62" s="16">
        <v>79.169799999999995</v>
      </c>
      <c r="AA62" s="16">
        <v>59.140799999999999</v>
      </c>
      <c r="AB62" s="16">
        <v>88.197000000000003</v>
      </c>
      <c r="AC62" s="16">
        <v>93.295600000000007</v>
      </c>
      <c r="AD62" s="16">
        <v>55.942399999999999</v>
      </c>
      <c r="AE62" s="16"/>
      <c r="AF62" s="16">
        <f t="shared" si="14"/>
        <v>100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 x14ac:dyDescent="0.25">
      <c r="A63" s="16" t="s">
        <v>117</v>
      </c>
      <c r="B63" s="16" t="s">
        <v>38</v>
      </c>
      <c r="C63" s="16">
        <v>-5</v>
      </c>
      <c r="D63" s="16">
        <v>15</v>
      </c>
      <c r="E63" s="16">
        <v>2</v>
      </c>
      <c r="F63" s="16">
        <v>3</v>
      </c>
      <c r="G63" s="6">
        <v>0.4</v>
      </c>
      <c r="H63" s="16">
        <v>45</v>
      </c>
      <c r="I63" s="16" t="s">
        <v>39</v>
      </c>
      <c r="J63" s="16"/>
      <c r="K63" s="16">
        <v>43</v>
      </c>
      <c r="L63" s="16">
        <f t="shared" si="9"/>
        <v>-41</v>
      </c>
      <c r="M63" s="16">
        <f t="shared" si="10"/>
        <v>2</v>
      </c>
      <c r="N63" s="16"/>
      <c r="O63" s="16">
        <v>70</v>
      </c>
      <c r="P63" s="16"/>
      <c r="Q63" s="16">
        <f t="shared" si="11"/>
        <v>0.4</v>
      </c>
      <c r="R63" s="4"/>
      <c r="S63" s="16">
        <f t="shared" si="12"/>
        <v>182.5</v>
      </c>
      <c r="T63" s="16">
        <f t="shared" si="13"/>
        <v>182.5</v>
      </c>
      <c r="U63" s="16">
        <v>8.6</v>
      </c>
      <c r="V63" s="16">
        <v>2.2000000000000002</v>
      </c>
      <c r="W63" s="16">
        <v>3.2</v>
      </c>
      <c r="X63" s="16">
        <v>4.8</v>
      </c>
      <c r="Y63" s="16">
        <v>2.8</v>
      </c>
      <c r="Z63" s="16">
        <v>3.4</v>
      </c>
      <c r="AA63" s="16">
        <v>1.6</v>
      </c>
      <c r="AB63" s="16">
        <v>4.2</v>
      </c>
      <c r="AC63" s="16">
        <v>9</v>
      </c>
      <c r="AD63" s="16">
        <v>6.2</v>
      </c>
      <c r="AE63" s="16"/>
      <c r="AF63" s="16">
        <f t="shared" si="14"/>
        <v>0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</row>
    <row r="64" spans="1:47" x14ac:dyDescent="0.25">
      <c r="A64" s="16" t="s">
        <v>118</v>
      </c>
      <c r="B64" s="16" t="s">
        <v>35</v>
      </c>
      <c r="C64" s="16">
        <v>5.6000000000000001E-2</v>
      </c>
      <c r="D64" s="16">
        <v>39.146999999999998</v>
      </c>
      <c r="E64" s="16">
        <v>11.821</v>
      </c>
      <c r="F64" s="16">
        <v>3.9649999999999999</v>
      </c>
      <c r="G64" s="6">
        <v>1</v>
      </c>
      <c r="H64" s="16">
        <v>60</v>
      </c>
      <c r="I64" s="16" t="s">
        <v>39</v>
      </c>
      <c r="J64" s="16"/>
      <c r="K64" s="16">
        <v>51.6</v>
      </c>
      <c r="L64" s="16">
        <f t="shared" si="9"/>
        <v>-39.779000000000003</v>
      </c>
      <c r="M64" s="16">
        <f t="shared" si="10"/>
        <v>11.821</v>
      </c>
      <c r="N64" s="16"/>
      <c r="O64" s="16">
        <v>37</v>
      </c>
      <c r="P64" s="16"/>
      <c r="Q64" s="16">
        <f t="shared" si="11"/>
        <v>2.3641999999999999</v>
      </c>
      <c r="R64" s="4">
        <v>15</v>
      </c>
      <c r="S64" s="16">
        <f t="shared" si="12"/>
        <v>23.671855172997212</v>
      </c>
      <c r="T64" s="16">
        <f t="shared" si="13"/>
        <v>17.327214279671772</v>
      </c>
      <c r="U64" s="16">
        <v>4.2598000000000003</v>
      </c>
      <c r="V64" s="16">
        <v>2.7410000000000001</v>
      </c>
      <c r="W64" s="16">
        <v>2.54</v>
      </c>
      <c r="X64" s="16">
        <v>3.1259999999999999</v>
      </c>
      <c r="Y64" s="16">
        <v>3.1627999999999998</v>
      </c>
      <c r="Z64" s="16">
        <v>2.3344</v>
      </c>
      <c r="AA64" s="16">
        <v>0.3916</v>
      </c>
      <c r="AB64" s="16">
        <v>2.6023999999999998</v>
      </c>
      <c r="AC64" s="16">
        <v>0.76580000000000004</v>
      </c>
      <c r="AD64" s="16">
        <v>4.7548000000000004</v>
      </c>
      <c r="AE64" s="16"/>
      <c r="AF64" s="16">
        <f t="shared" si="14"/>
        <v>15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</row>
    <row r="65" spans="1:47" x14ac:dyDescent="0.25">
      <c r="A65" s="16" t="s">
        <v>119</v>
      </c>
      <c r="B65" s="16" t="s">
        <v>35</v>
      </c>
      <c r="C65" s="16">
        <v>4.51</v>
      </c>
      <c r="D65" s="16">
        <v>42.305</v>
      </c>
      <c r="E65" s="16">
        <v>25.684999999999999</v>
      </c>
      <c r="F65" s="16">
        <v>9.07</v>
      </c>
      <c r="G65" s="6">
        <v>1</v>
      </c>
      <c r="H65" s="16">
        <v>60</v>
      </c>
      <c r="I65" s="16" t="s">
        <v>39</v>
      </c>
      <c r="J65" s="16"/>
      <c r="K65" s="16">
        <v>34.1</v>
      </c>
      <c r="L65" s="16">
        <f t="shared" si="9"/>
        <v>-8.4150000000000027</v>
      </c>
      <c r="M65" s="16">
        <f t="shared" si="10"/>
        <v>25.684999999999999</v>
      </c>
      <c r="N65" s="16"/>
      <c r="O65" s="16">
        <v>9</v>
      </c>
      <c r="P65" s="16"/>
      <c r="Q65" s="16">
        <f t="shared" si="11"/>
        <v>5.1369999999999996</v>
      </c>
      <c r="R65" s="4">
        <f>12*Q65-P65-O65-F65</f>
        <v>43.573999999999991</v>
      </c>
      <c r="S65" s="16">
        <f t="shared" si="12"/>
        <v>12</v>
      </c>
      <c r="T65" s="16">
        <f t="shared" si="13"/>
        <v>3.5176172863539032</v>
      </c>
      <c r="U65" s="16">
        <v>3.0150000000000001</v>
      </c>
      <c r="V65" s="16">
        <v>3.6160000000000001</v>
      </c>
      <c r="W65" s="16">
        <v>2.7080000000000002</v>
      </c>
      <c r="X65" s="16">
        <v>3.3220000000000001</v>
      </c>
      <c r="Y65" s="16">
        <v>2.1120000000000001</v>
      </c>
      <c r="Z65" s="16">
        <v>4.5110000000000001</v>
      </c>
      <c r="AA65" s="16">
        <v>3.62</v>
      </c>
      <c r="AB65" s="16">
        <v>2.024</v>
      </c>
      <c r="AC65" s="16">
        <v>4.5279999999999996</v>
      </c>
      <c r="AD65" s="16">
        <v>3.6309999999999998</v>
      </c>
      <c r="AE65" s="16"/>
      <c r="AF65" s="16">
        <f t="shared" si="14"/>
        <v>43.573999999999991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</row>
    <row r="66" spans="1:47" x14ac:dyDescent="0.25">
      <c r="A66" s="16" t="s">
        <v>120</v>
      </c>
      <c r="B66" s="16" t="s">
        <v>38</v>
      </c>
      <c r="C66" s="16">
        <v>21</v>
      </c>
      <c r="D66" s="16">
        <v>11</v>
      </c>
      <c r="E66" s="16">
        <v>2</v>
      </c>
      <c r="F66" s="16">
        <v>28</v>
      </c>
      <c r="G66" s="6">
        <v>0.6</v>
      </c>
      <c r="H66" s="16">
        <v>45</v>
      </c>
      <c r="I66" s="16" t="s">
        <v>39</v>
      </c>
      <c r="J66" s="16"/>
      <c r="K66" s="16">
        <v>6</v>
      </c>
      <c r="L66" s="16">
        <f t="shared" si="9"/>
        <v>-4</v>
      </c>
      <c r="M66" s="16">
        <f t="shared" si="10"/>
        <v>2</v>
      </c>
      <c r="N66" s="16"/>
      <c r="O66" s="16">
        <v>0</v>
      </c>
      <c r="P66" s="16"/>
      <c r="Q66" s="16">
        <f t="shared" si="11"/>
        <v>0.4</v>
      </c>
      <c r="R66" s="4"/>
      <c r="S66" s="16">
        <f t="shared" si="12"/>
        <v>70</v>
      </c>
      <c r="T66" s="16">
        <f t="shared" si="13"/>
        <v>70</v>
      </c>
      <c r="U66" s="16">
        <v>2</v>
      </c>
      <c r="V66" s="16">
        <v>3.2</v>
      </c>
      <c r="W66" s="16">
        <v>2.8</v>
      </c>
      <c r="X66" s="16">
        <v>3.8</v>
      </c>
      <c r="Y66" s="16">
        <v>4.8</v>
      </c>
      <c r="Z66" s="16">
        <v>4</v>
      </c>
      <c r="AA66" s="16">
        <v>-0.2</v>
      </c>
      <c r="AB66" s="16">
        <v>0.8</v>
      </c>
      <c r="AC66" s="16">
        <v>3</v>
      </c>
      <c r="AD66" s="16">
        <v>10.4</v>
      </c>
      <c r="AE66" s="16"/>
      <c r="AF66" s="16">
        <f t="shared" si="14"/>
        <v>0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</row>
    <row r="67" spans="1:47" x14ac:dyDescent="0.25">
      <c r="A67" s="12" t="s">
        <v>121</v>
      </c>
      <c r="B67" s="12" t="s">
        <v>35</v>
      </c>
      <c r="C67" s="12"/>
      <c r="D67" s="12"/>
      <c r="E67" s="12"/>
      <c r="F67" s="12"/>
      <c r="G67" s="13">
        <v>0</v>
      </c>
      <c r="H67" s="12"/>
      <c r="I67" s="12" t="s">
        <v>36</v>
      </c>
      <c r="J67" s="12"/>
      <c r="K67" s="12"/>
      <c r="L67" s="12">
        <f t="shared" si="9"/>
        <v>0</v>
      </c>
      <c r="M67" s="12">
        <f t="shared" si="10"/>
        <v>0</v>
      </c>
      <c r="N67" s="12"/>
      <c r="O67" s="12">
        <v>25</v>
      </c>
      <c r="P67" s="12"/>
      <c r="Q67" s="12">
        <f t="shared" si="11"/>
        <v>0</v>
      </c>
      <c r="R67" s="14"/>
      <c r="S67" s="12" t="e">
        <f t="shared" si="12"/>
        <v>#DIV/0!</v>
      </c>
      <c r="T67" s="12" t="e">
        <f t="shared" si="13"/>
        <v>#DIV/0!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1001085476929</v>
      </c>
      <c r="AF67" s="12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</row>
    <row r="68" spans="1:47" x14ac:dyDescent="0.25">
      <c r="A68" s="8" t="s">
        <v>122</v>
      </c>
      <c r="B68" s="8" t="s">
        <v>38</v>
      </c>
      <c r="C68" s="8"/>
      <c r="D68" s="8">
        <v>40</v>
      </c>
      <c r="E68" s="8">
        <v>40</v>
      </c>
      <c r="F68" s="8"/>
      <c r="G68" s="9">
        <v>0</v>
      </c>
      <c r="H68" s="8"/>
      <c r="I68" s="11" t="s">
        <v>60</v>
      </c>
      <c r="J68" s="8"/>
      <c r="K68" s="8">
        <v>40</v>
      </c>
      <c r="L68" s="8">
        <f t="shared" si="9"/>
        <v>0</v>
      </c>
      <c r="M68" s="8">
        <f t="shared" si="10"/>
        <v>0</v>
      </c>
      <c r="N68" s="8">
        <v>40</v>
      </c>
      <c r="O68" s="8"/>
      <c r="P68" s="8"/>
      <c r="Q68" s="8">
        <f t="shared" si="11"/>
        <v>0</v>
      </c>
      <c r="R68" s="10"/>
      <c r="S68" s="8" t="e">
        <f t="shared" si="12"/>
        <v>#DIV/0!</v>
      </c>
      <c r="T68" s="8" t="e">
        <f t="shared" si="13"/>
        <v>#DIV/0!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/>
      <c r="AF68" s="8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</row>
    <row r="69" spans="1:47" x14ac:dyDescent="0.25">
      <c r="A69" s="8" t="s">
        <v>123</v>
      </c>
      <c r="B69" s="8" t="s">
        <v>35</v>
      </c>
      <c r="C69" s="8">
        <v>1.6950000000000001</v>
      </c>
      <c r="D69" s="8"/>
      <c r="E69" s="8"/>
      <c r="F69" s="8"/>
      <c r="G69" s="9">
        <v>0</v>
      </c>
      <c r="H69" s="8">
        <v>45</v>
      </c>
      <c r="I69" s="8" t="s">
        <v>60</v>
      </c>
      <c r="J69" s="8"/>
      <c r="K69" s="8">
        <v>8.6</v>
      </c>
      <c r="L69" s="8">
        <f t="shared" si="9"/>
        <v>-8.6</v>
      </c>
      <c r="M69" s="8">
        <f t="shared" si="10"/>
        <v>0</v>
      </c>
      <c r="N69" s="8"/>
      <c r="O69" s="8">
        <v>0</v>
      </c>
      <c r="P69" s="8"/>
      <c r="Q69" s="8">
        <f t="shared" si="11"/>
        <v>0</v>
      </c>
      <c r="R69" s="10"/>
      <c r="S69" s="8" t="e">
        <f t="shared" si="12"/>
        <v>#DIV/0!</v>
      </c>
      <c r="T69" s="8" t="e">
        <f t="shared" si="13"/>
        <v>#DIV/0!</v>
      </c>
      <c r="U69" s="8">
        <v>-0.17219999999999999</v>
      </c>
      <c r="V69" s="8">
        <v>0.50739999999999996</v>
      </c>
      <c r="W69" s="8">
        <v>1.0152000000000001</v>
      </c>
      <c r="X69" s="8">
        <v>1.0162</v>
      </c>
      <c r="Y69" s="8">
        <v>-0.17180000000000001</v>
      </c>
      <c r="Z69" s="8">
        <v>1.7132000000000001</v>
      </c>
      <c r="AA69" s="8">
        <v>1.03</v>
      </c>
      <c r="AB69" s="8">
        <v>0.85760000000000003</v>
      </c>
      <c r="AC69" s="8">
        <v>0</v>
      </c>
      <c r="AD69" s="8">
        <v>0</v>
      </c>
      <c r="AE69" s="8"/>
      <c r="AF69" s="8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</row>
    <row r="70" spans="1:47" x14ac:dyDescent="0.25">
      <c r="A70" s="8" t="s">
        <v>124</v>
      </c>
      <c r="B70" s="8" t="s">
        <v>35</v>
      </c>
      <c r="C70" s="8">
        <v>-12.435</v>
      </c>
      <c r="D70" s="8">
        <v>12.435</v>
      </c>
      <c r="E70" s="8"/>
      <c r="F70" s="8"/>
      <c r="G70" s="9">
        <v>0</v>
      </c>
      <c r="H70" s="8">
        <v>0</v>
      </c>
      <c r="I70" s="8" t="s">
        <v>125</v>
      </c>
      <c r="J70" s="8" t="s">
        <v>126</v>
      </c>
      <c r="K70" s="8"/>
      <c r="L70" s="8">
        <f t="shared" ref="L70:L101" si="15">E70-K70</f>
        <v>0</v>
      </c>
      <c r="M70" s="8">
        <f t="shared" ref="M70:M101" si="16">E70-N70</f>
        <v>0</v>
      </c>
      <c r="N70" s="8"/>
      <c r="O70" s="8">
        <v>0</v>
      </c>
      <c r="P70" s="8"/>
      <c r="Q70" s="8">
        <f t="shared" ref="Q70:Q101" si="17">M70/5</f>
        <v>0</v>
      </c>
      <c r="R70" s="10"/>
      <c r="S70" s="8" t="e">
        <f t="shared" ref="S70:S101" si="18">(F70+O70+P70+R70)/Q70</f>
        <v>#DIV/0!</v>
      </c>
      <c r="T70" s="8" t="e">
        <f t="shared" ref="T70:T101" si="19">(F70+O70+P70)/Q70</f>
        <v>#DIV/0!</v>
      </c>
      <c r="U70" s="8">
        <v>0</v>
      </c>
      <c r="V70" s="8">
        <v>0</v>
      </c>
      <c r="W70" s="8">
        <v>0</v>
      </c>
      <c r="X70" s="8">
        <v>0</v>
      </c>
      <c r="Y70" s="8">
        <v>2.4870000000000001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/>
      <c r="AF70" s="8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</row>
    <row r="71" spans="1:47" x14ac:dyDescent="0.25">
      <c r="A71" s="16" t="s">
        <v>127</v>
      </c>
      <c r="B71" s="16" t="s">
        <v>38</v>
      </c>
      <c r="C71" s="16">
        <v>37</v>
      </c>
      <c r="D71" s="16">
        <v>421</v>
      </c>
      <c r="E71" s="16">
        <v>79</v>
      </c>
      <c r="F71" s="16">
        <v>183</v>
      </c>
      <c r="G71" s="6">
        <v>0.25</v>
      </c>
      <c r="H71" s="16">
        <v>120</v>
      </c>
      <c r="I71" s="16" t="s">
        <v>39</v>
      </c>
      <c r="J71" s="16"/>
      <c r="K71" s="16">
        <v>85</v>
      </c>
      <c r="L71" s="16">
        <f t="shared" si="15"/>
        <v>-6</v>
      </c>
      <c r="M71" s="16">
        <f t="shared" si="16"/>
        <v>63</v>
      </c>
      <c r="N71" s="16">
        <v>16</v>
      </c>
      <c r="O71" s="16">
        <v>0</v>
      </c>
      <c r="P71" s="16"/>
      <c r="Q71" s="16">
        <f t="shared" si="17"/>
        <v>12.6</v>
      </c>
      <c r="R71" s="4">
        <v>8</v>
      </c>
      <c r="S71" s="16">
        <f t="shared" si="18"/>
        <v>15.15873015873016</v>
      </c>
      <c r="T71" s="16">
        <f t="shared" si="19"/>
        <v>14.523809523809524</v>
      </c>
      <c r="U71" s="16">
        <v>10.8</v>
      </c>
      <c r="V71" s="16">
        <v>17.2</v>
      </c>
      <c r="W71" s="16">
        <v>8.6</v>
      </c>
      <c r="X71" s="16">
        <v>12.4</v>
      </c>
      <c r="Y71" s="16">
        <v>10</v>
      </c>
      <c r="Z71" s="16">
        <v>7.6</v>
      </c>
      <c r="AA71" s="16">
        <v>10</v>
      </c>
      <c r="AB71" s="16">
        <v>11.4</v>
      </c>
      <c r="AC71" s="16">
        <v>4.5999999999999996</v>
      </c>
      <c r="AD71" s="16">
        <v>7</v>
      </c>
      <c r="AE71" s="16" t="s">
        <v>41</v>
      </c>
      <c r="AF71" s="16">
        <f>G71*R71</f>
        <v>2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</row>
    <row r="72" spans="1:47" x14ac:dyDescent="0.25">
      <c r="A72" s="16" t="s">
        <v>128</v>
      </c>
      <c r="B72" s="16" t="s">
        <v>35</v>
      </c>
      <c r="C72" s="16">
        <v>-8.34</v>
      </c>
      <c r="D72" s="16">
        <v>91.034000000000006</v>
      </c>
      <c r="E72" s="16">
        <v>13.914999999999999</v>
      </c>
      <c r="F72" s="16">
        <v>44.927</v>
      </c>
      <c r="G72" s="6">
        <v>1</v>
      </c>
      <c r="H72" s="16">
        <v>45</v>
      </c>
      <c r="I72" s="16" t="s">
        <v>39</v>
      </c>
      <c r="J72" s="16"/>
      <c r="K72" s="16">
        <v>24.2</v>
      </c>
      <c r="L72" s="16">
        <f t="shared" si="15"/>
        <v>-10.285</v>
      </c>
      <c r="M72" s="16">
        <f t="shared" si="16"/>
        <v>13.914999999999999</v>
      </c>
      <c r="N72" s="16"/>
      <c r="O72" s="16">
        <v>0</v>
      </c>
      <c r="P72" s="16"/>
      <c r="Q72" s="16">
        <f t="shared" si="17"/>
        <v>2.7829999999999999</v>
      </c>
      <c r="R72" s="4">
        <v>6</v>
      </c>
      <c r="S72" s="16">
        <f t="shared" si="18"/>
        <v>18.299317283507008</v>
      </c>
      <c r="T72" s="16">
        <f t="shared" si="19"/>
        <v>16.143370463528566</v>
      </c>
      <c r="U72" s="16">
        <v>3.653</v>
      </c>
      <c r="V72" s="16">
        <v>6.1457999999999986</v>
      </c>
      <c r="W72" s="16">
        <v>1.8888</v>
      </c>
      <c r="X72" s="16">
        <v>4.4606000000000003</v>
      </c>
      <c r="Y72" s="16">
        <v>1.9952000000000001</v>
      </c>
      <c r="Z72" s="16">
        <v>2.8637999999999999</v>
      </c>
      <c r="AA72" s="16">
        <v>2.9007999999999998</v>
      </c>
      <c r="AB72" s="16">
        <v>3.1057999999999999</v>
      </c>
      <c r="AC72" s="16">
        <v>3.4205999999999999</v>
      </c>
      <c r="AD72" s="16">
        <v>3.7978000000000001</v>
      </c>
      <c r="AE72" s="16"/>
      <c r="AF72" s="16">
        <f>G72*R72</f>
        <v>6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</row>
    <row r="73" spans="1:47" x14ac:dyDescent="0.25">
      <c r="A73" s="16" t="s">
        <v>129</v>
      </c>
      <c r="B73" s="16" t="s">
        <v>38</v>
      </c>
      <c r="C73" s="16">
        <v>143</v>
      </c>
      <c r="D73" s="16">
        <v>8</v>
      </c>
      <c r="E73" s="16">
        <v>53</v>
      </c>
      <c r="F73" s="16">
        <v>95</v>
      </c>
      <c r="G73" s="6">
        <v>0.27</v>
      </c>
      <c r="H73" s="16"/>
      <c r="I73" s="16" t="s">
        <v>39</v>
      </c>
      <c r="J73" s="16"/>
      <c r="K73" s="16">
        <v>74</v>
      </c>
      <c r="L73" s="16">
        <f t="shared" si="15"/>
        <v>-21</v>
      </c>
      <c r="M73" s="16">
        <f t="shared" si="16"/>
        <v>53</v>
      </c>
      <c r="N73" s="16"/>
      <c r="O73" s="16">
        <v>34</v>
      </c>
      <c r="P73" s="16"/>
      <c r="Q73" s="16">
        <f t="shared" si="17"/>
        <v>10.6</v>
      </c>
      <c r="R73" s="4">
        <f>15*Q73-P73-O73-F73</f>
        <v>30</v>
      </c>
      <c r="S73" s="16">
        <f t="shared" si="18"/>
        <v>15</v>
      </c>
      <c r="T73" s="16">
        <f t="shared" si="19"/>
        <v>12.169811320754718</v>
      </c>
      <c r="U73" s="16">
        <v>11.2</v>
      </c>
      <c r="V73" s="16">
        <v>9.4</v>
      </c>
      <c r="W73" s="16">
        <v>10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 t="s">
        <v>78</v>
      </c>
      <c r="AF73" s="16">
        <f>G73*R73</f>
        <v>8.1000000000000014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</row>
    <row r="74" spans="1:47" x14ac:dyDescent="0.25">
      <c r="A74" s="16" t="s">
        <v>130</v>
      </c>
      <c r="B74" s="16" t="s">
        <v>38</v>
      </c>
      <c r="C74" s="16">
        <v>13</v>
      </c>
      <c r="D74" s="16">
        <v>118</v>
      </c>
      <c r="E74" s="16">
        <v>64</v>
      </c>
      <c r="F74" s="16">
        <v>21</v>
      </c>
      <c r="G74" s="6">
        <v>0.3</v>
      </c>
      <c r="H74" s="16">
        <v>60</v>
      </c>
      <c r="I74" s="16" t="s">
        <v>39</v>
      </c>
      <c r="J74" s="16"/>
      <c r="K74" s="16">
        <v>119</v>
      </c>
      <c r="L74" s="16">
        <f t="shared" si="15"/>
        <v>-55</v>
      </c>
      <c r="M74" s="16">
        <f t="shared" si="16"/>
        <v>64</v>
      </c>
      <c r="N74" s="16"/>
      <c r="O74" s="16">
        <v>169</v>
      </c>
      <c r="P74" s="16"/>
      <c r="Q74" s="16">
        <f t="shared" si="17"/>
        <v>12.8</v>
      </c>
      <c r="R74" s="4">
        <v>8</v>
      </c>
      <c r="S74" s="16">
        <f t="shared" si="18"/>
        <v>15.46875</v>
      </c>
      <c r="T74" s="16">
        <f t="shared" si="19"/>
        <v>14.84375</v>
      </c>
      <c r="U74" s="16">
        <v>24.8</v>
      </c>
      <c r="V74" s="16">
        <v>22</v>
      </c>
      <c r="W74" s="16">
        <v>6</v>
      </c>
      <c r="X74" s="16">
        <v>25</v>
      </c>
      <c r="Y74" s="16">
        <v>15.8</v>
      </c>
      <c r="Z74" s="16">
        <v>24.4</v>
      </c>
      <c r="AA74" s="16">
        <v>27.4</v>
      </c>
      <c r="AB74" s="16">
        <v>18.399999999999999</v>
      </c>
      <c r="AC74" s="16">
        <v>26.2</v>
      </c>
      <c r="AD74" s="16">
        <v>33.4</v>
      </c>
      <c r="AE74" s="16"/>
      <c r="AF74" s="16">
        <f>G74*R74</f>
        <v>2.4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</row>
    <row r="75" spans="1:47" x14ac:dyDescent="0.25">
      <c r="A75" s="16" t="s">
        <v>131</v>
      </c>
      <c r="B75" s="16" t="s">
        <v>38</v>
      </c>
      <c r="C75" s="16">
        <v>1559</v>
      </c>
      <c r="D75" s="16">
        <v>4009</v>
      </c>
      <c r="E75" s="17">
        <f>1432+E76</f>
        <v>1433</v>
      </c>
      <c r="F75" s="16">
        <v>146</v>
      </c>
      <c r="G75" s="6">
        <v>0.41</v>
      </c>
      <c r="H75" s="16">
        <v>50</v>
      </c>
      <c r="I75" s="16" t="s">
        <v>39</v>
      </c>
      <c r="J75" s="16"/>
      <c r="K75" s="16">
        <v>1683</v>
      </c>
      <c r="L75" s="16">
        <f t="shared" si="15"/>
        <v>-250</v>
      </c>
      <c r="M75" s="16">
        <f t="shared" si="16"/>
        <v>1353</v>
      </c>
      <c r="N75" s="16">
        <v>80</v>
      </c>
      <c r="O75" s="16">
        <v>1184</v>
      </c>
      <c r="P75" s="16">
        <v>1184</v>
      </c>
      <c r="Q75" s="16">
        <f t="shared" si="17"/>
        <v>270.60000000000002</v>
      </c>
      <c r="R75" s="4">
        <f>15*Q75-P75-O75-F75</f>
        <v>1545.0000000000005</v>
      </c>
      <c r="S75" s="16">
        <f t="shared" si="18"/>
        <v>15</v>
      </c>
      <c r="T75" s="16">
        <f t="shared" si="19"/>
        <v>9.2904656319290453</v>
      </c>
      <c r="U75" s="16">
        <v>254.6</v>
      </c>
      <c r="V75" s="16">
        <v>162</v>
      </c>
      <c r="W75" s="16">
        <v>255.8</v>
      </c>
      <c r="X75" s="16">
        <v>295.60000000000002</v>
      </c>
      <c r="Y75" s="16">
        <v>177.8</v>
      </c>
      <c r="Z75" s="16">
        <v>224.2</v>
      </c>
      <c r="AA75" s="16">
        <v>325.39999999999998</v>
      </c>
      <c r="AB75" s="16">
        <v>226.4</v>
      </c>
      <c r="AC75" s="16">
        <v>282</v>
      </c>
      <c r="AD75" s="16">
        <v>262.39999999999998</v>
      </c>
      <c r="AE75" s="16"/>
      <c r="AF75" s="16">
        <f>G75*R75</f>
        <v>633.45000000000016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</row>
    <row r="76" spans="1:47" x14ac:dyDescent="0.25">
      <c r="A76" s="8" t="s">
        <v>132</v>
      </c>
      <c r="B76" s="8" t="s">
        <v>38</v>
      </c>
      <c r="C76" s="8">
        <v>-3</v>
      </c>
      <c r="D76" s="8">
        <v>4</v>
      </c>
      <c r="E76" s="17">
        <v>1</v>
      </c>
      <c r="F76" s="8"/>
      <c r="G76" s="9">
        <v>0</v>
      </c>
      <c r="H76" s="8"/>
      <c r="I76" s="8" t="s">
        <v>125</v>
      </c>
      <c r="J76" s="8" t="s">
        <v>131</v>
      </c>
      <c r="K76" s="8">
        <v>9</v>
      </c>
      <c r="L76" s="8">
        <f t="shared" si="15"/>
        <v>-8</v>
      </c>
      <c r="M76" s="8">
        <f t="shared" si="16"/>
        <v>1</v>
      </c>
      <c r="N76" s="8"/>
      <c r="O76" s="8">
        <v>0</v>
      </c>
      <c r="P76" s="8"/>
      <c r="Q76" s="8">
        <f t="shared" si="17"/>
        <v>0.2</v>
      </c>
      <c r="R76" s="10"/>
      <c r="S76" s="8">
        <f t="shared" si="18"/>
        <v>0</v>
      </c>
      <c r="T76" s="8">
        <f t="shared" si="19"/>
        <v>0</v>
      </c>
      <c r="U76" s="8">
        <v>0</v>
      </c>
      <c r="V76" s="8">
        <v>0</v>
      </c>
      <c r="W76" s="8">
        <v>0</v>
      </c>
      <c r="X76" s="8">
        <v>0</v>
      </c>
      <c r="Y76" s="8">
        <v>0.8</v>
      </c>
      <c r="Z76" s="8">
        <v>33.4</v>
      </c>
      <c r="AA76" s="8">
        <v>184.6</v>
      </c>
      <c r="AB76" s="8">
        <v>20</v>
      </c>
      <c r="AC76" s="8">
        <v>0</v>
      </c>
      <c r="AD76" s="8">
        <v>0</v>
      </c>
      <c r="AE76" s="8"/>
      <c r="AF76" s="8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</row>
    <row r="77" spans="1:47" x14ac:dyDescent="0.25">
      <c r="A77" s="16" t="s">
        <v>126</v>
      </c>
      <c r="B77" s="16" t="s">
        <v>35</v>
      </c>
      <c r="C77" s="16">
        <v>179.84800000000001</v>
      </c>
      <c r="D77" s="16">
        <v>1751.79</v>
      </c>
      <c r="E77" s="17">
        <f>437.24+E139</f>
        <v>566.87</v>
      </c>
      <c r="F77" s="16">
        <v>627.39800000000002</v>
      </c>
      <c r="G77" s="6">
        <v>1</v>
      </c>
      <c r="H77" s="16">
        <v>50</v>
      </c>
      <c r="I77" s="16" t="s">
        <v>39</v>
      </c>
      <c r="J77" s="16"/>
      <c r="K77" s="16">
        <v>583.20799999999997</v>
      </c>
      <c r="L77" s="16">
        <f t="shared" si="15"/>
        <v>-16.337999999999965</v>
      </c>
      <c r="M77" s="16">
        <f t="shared" si="16"/>
        <v>338.33199999999999</v>
      </c>
      <c r="N77" s="17">
        <f>98.908+N139</f>
        <v>228.53800000000001</v>
      </c>
      <c r="O77" s="16">
        <v>0</v>
      </c>
      <c r="P77" s="16"/>
      <c r="Q77" s="16">
        <f t="shared" si="17"/>
        <v>67.666399999999996</v>
      </c>
      <c r="R77" s="4">
        <f>15*Q77-P77-O77-F77</f>
        <v>387.59799999999996</v>
      </c>
      <c r="S77" s="16">
        <f t="shared" si="18"/>
        <v>15</v>
      </c>
      <c r="T77" s="16">
        <f t="shared" si="19"/>
        <v>9.271928165234149</v>
      </c>
      <c r="U77" s="16">
        <v>54.068199999999997</v>
      </c>
      <c r="V77" s="16">
        <v>90.557999999999993</v>
      </c>
      <c r="W77" s="16">
        <v>58.315199999999997</v>
      </c>
      <c r="X77" s="16">
        <v>77.043800000000005</v>
      </c>
      <c r="Y77" s="16">
        <v>68.825599999999994</v>
      </c>
      <c r="Z77" s="16">
        <v>62.052600000000012</v>
      </c>
      <c r="AA77" s="16">
        <v>67.328400000000002</v>
      </c>
      <c r="AB77" s="16">
        <v>75.135400000000004</v>
      </c>
      <c r="AC77" s="16">
        <v>94.911000000000001</v>
      </c>
      <c r="AD77" s="16">
        <v>43.7624</v>
      </c>
      <c r="AE77" s="16"/>
      <c r="AF77" s="16">
        <f>G77*R77</f>
        <v>387.59799999999996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</row>
    <row r="78" spans="1:47" x14ac:dyDescent="0.25">
      <c r="A78" s="16" t="s">
        <v>133</v>
      </c>
      <c r="B78" s="16" t="s">
        <v>38</v>
      </c>
      <c r="C78" s="16">
        <v>2</v>
      </c>
      <c r="D78" s="16">
        <v>184</v>
      </c>
      <c r="E78" s="16">
        <v>47</v>
      </c>
      <c r="F78" s="16">
        <v>20</v>
      </c>
      <c r="G78" s="6">
        <v>0.35</v>
      </c>
      <c r="H78" s="16">
        <v>50</v>
      </c>
      <c r="I78" s="16" t="s">
        <v>39</v>
      </c>
      <c r="J78" s="16"/>
      <c r="K78" s="16">
        <v>58</v>
      </c>
      <c r="L78" s="16">
        <f t="shared" si="15"/>
        <v>-11</v>
      </c>
      <c r="M78" s="16">
        <f t="shared" si="16"/>
        <v>47</v>
      </c>
      <c r="N78" s="16"/>
      <c r="O78" s="16">
        <v>70</v>
      </c>
      <c r="P78" s="16"/>
      <c r="Q78" s="16">
        <f t="shared" si="17"/>
        <v>9.4</v>
      </c>
      <c r="R78" s="4">
        <f>15*Q78-P78-O78-F78</f>
        <v>51</v>
      </c>
      <c r="S78" s="16">
        <f t="shared" si="18"/>
        <v>15</v>
      </c>
      <c r="T78" s="16">
        <f t="shared" si="19"/>
        <v>9.5744680851063819</v>
      </c>
      <c r="U78" s="16">
        <v>10.4</v>
      </c>
      <c r="V78" s="16">
        <v>9.8000000000000007</v>
      </c>
      <c r="W78" s="16">
        <v>6.8</v>
      </c>
      <c r="X78" s="16">
        <v>8.4</v>
      </c>
      <c r="Y78" s="16">
        <v>9.4</v>
      </c>
      <c r="Z78" s="16">
        <v>8</v>
      </c>
      <c r="AA78" s="16">
        <v>9.8000000000000007</v>
      </c>
      <c r="AB78" s="16">
        <v>10</v>
      </c>
      <c r="AC78" s="16">
        <v>9.4</v>
      </c>
      <c r="AD78" s="16">
        <v>8</v>
      </c>
      <c r="AE78" s="16"/>
      <c r="AF78" s="16">
        <f>G78*R78</f>
        <v>17.849999999999998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</row>
    <row r="79" spans="1:47" x14ac:dyDescent="0.25">
      <c r="A79" s="8" t="s">
        <v>134</v>
      </c>
      <c r="B79" s="8" t="s">
        <v>35</v>
      </c>
      <c r="C79" s="8"/>
      <c r="D79" s="8"/>
      <c r="E79" s="8"/>
      <c r="F79" s="8"/>
      <c r="G79" s="9">
        <v>0</v>
      </c>
      <c r="H79" s="8"/>
      <c r="I79" s="8" t="s">
        <v>39</v>
      </c>
      <c r="J79" s="8"/>
      <c r="K79" s="8">
        <v>1.5</v>
      </c>
      <c r="L79" s="8">
        <f t="shared" si="15"/>
        <v>-1.5</v>
      </c>
      <c r="M79" s="8">
        <f t="shared" si="16"/>
        <v>0</v>
      </c>
      <c r="N79" s="8"/>
      <c r="O79" s="8">
        <v>0</v>
      </c>
      <c r="P79" s="8"/>
      <c r="Q79" s="8">
        <f t="shared" si="17"/>
        <v>0</v>
      </c>
      <c r="R79" s="10"/>
      <c r="S79" s="8" t="e">
        <f t="shared" si="18"/>
        <v>#DIV/0!</v>
      </c>
      <c r="T79" s="8" t="e">
        <f t="shared" si="19"/>
        <v>#DIV/0!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 t="s">
        <v>135</v>
      </c>
      <c r="AF79" s="8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</row>
    <row r="80" spans="1:47" x14ac:dyDescent="0.25">
      <c r="A80" s="16" t="s">
        <v>136</v>
      </c>
      <c r="B80" s="16" t="s">
        <v>38</v>
      </c>
      <c r="C80" s="16">
        <v>596</v>
      </c>
      <c r="D80" s="16">
        <v>2544</v>
      </c>
      <c r="E80" s="16">
        <v>612</v>
      </c>
      <c r="F80" s="16">
        <v>21</v>
      </c>
      <c r="G80" s="6">
        <v>0.41</v>
      </c>
      <c r="H80" s="16">
        <v>50</v>
      </c>
      <c r="I80" s="15" t="s">
        <v>56</v>
      </c>
      <c r="J80" s="16"/>
      <c r="K80" s="16">
        <v>884</v>
      </c>
      <c r="L80" s="16">
        <f t="shared" si="15"/>
        <v>-272</v>
      </c>
      <c r="M80" s="16">
        <f t="shared" si="16"/>
        <v>612</v>
      </c>
      <c r="N80" s="16"/>
      <c r="O80" s="16">
        <v>700</v>
      </c>
      <c r="P80" s="16">
        <v>700</v>
      </c>
      <c r="Q80" s="16">
        <f t="shared" si="17"/>
        <v>122.4</v>
      </c>
      <c r="R80" s="4">
        <f>15*Q80-P80-O80-F80</f>
        <v>415</v>
      </c>
      <c r="S80" s="16">
        <f t="shared" si="18"/>
        <v>15</v>
      </c>
      <c r="T80" s="16">
        <f t="shared" si="19"/>
        <v>11.609477124183005</v>
      </c>
      <c r="U80" s="16">
        <v>168.2</v>
      </c>
      <c r="V80" s="16">
        <v>97.6</v>
      </c>
      <c r="W80" s="16">
        <v>131.19999999999999</v>
      </c>
      <c r="X80" s="16">
        <v>115.8</v>
      </c>
      <c r="Y80" s="16">
        <v>51.4</v>
      </c>
      <c r="Z80" s="16">
        <v>131.80000000000001</v>
      </c>
      <c r="AA80" s="16">
        <v>48</v>
      </c>
      <c r="AB80" s="16">
        <v>131.4</v>
      </c>
      <c r="AC80" s="16">
        <v>124</v>
      </c>
      <c r="AD80" s="16">
        <v>154.19999999999999</v>
      </c>
      <c r="AE80" s="16" t="s">
        <v>137</v>
      </c>
      <c r="AF80" s="16">
        <f>G80*R80</f>
        <v>170.14999999999998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</row>
    <row r="81" spans="1:47" x14ac:dyDescent="0.25">
      <c r="A81" s="16" t="s">
        <v>138</v>
      </c>
      <c r="B81" s="16" t="s">
        <v>35</v>
      </c>
      <c r="C81" s="16">
        <v>142.172</v>
      </c>
      <c r="D81" s="16">
        <v>91.96</v>
      </c>
      <c r="E81" s="16">
        <v>129.34700000000001</v>
      </c>
      <c r="F81" s="16"/>
      <c r="G81" s="6">
        <v>1</v>
      </c>
      <c r="H81" s="16">
        <v>50</v>
      </c>
      <c r="I81" s="16" t="s">
        <v>39</v>
      </c>
      <c r="J81" s="16"/>
      <c r="K81" s="16">
        <v>140.5</v>
      </c>
      <c r="L81" s="16">
        <f t="shared" si="15"/>
        <v>-11.152999999999992</v>
      </c>
      <c r="M81" s="16">
        <f t="shared" si="16"/>
        <v>129.34700000000001</v>
      </c>
      <c r="N81" s="16"/>
      <c r="O81" s="16">
        <v>102</v>
      </c>
      <c r="P81" s="16">
        <v>102</v>
      </c>
      <c r="Q81" s="16">
        <f t="shared" si="17"/>
        <v>25.869400000000002</v>
      </c>
      <c r="R81" s="4">
        <f>15*Q81-P81-O81-F81</f>
        <v>184.04100000000005</v>
      </c>
      <c r="S81" s="16">
        <f t="shared" si="18"/>
        <v>15</v>
      </c>
      <c r="T81" s="16">
        <f t="shared" si="19"/>
        <v>7.8857646485809481</v>
      </c>
      <c r="U81" s="16">
        <v>22.477799999999991</v>
      </c>
      <c r="V81" s="16">
        <v>10.4636</v>
      </c>
      <c r="W81" s="16">
        <v>20.153400000000001</v>
      </c>
      <c r="X81" s="16">
        <v>17.823599999999999</v>
      </c>
      <c r="Y81" s="16">
        <v>10.4872</v>
      </c>
      <c r="Z81" s="16">
        <v>19.265799999999999</v>
      </c>
      <c r="AA81" s="16">
        <v>18.461200000000002</v>
      </c>
      <c r="AB81" s="16">
        <v>25.2182</v>
      </c>
      <c r="AC81" s="16">
        <v>39</v>
      </c>
      <c r="AD81" s="16">
        <v>44.2</v>
      </c>
      <c r="AE81" s="16"/>
      <c r="AF81" s="16">
        <f>G81*R81</f>
        <v>184.04100000000005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</row>
    <row r="82" spans="1:47" x14ac:dyDescent="0.25">
      <c r="A82" s="16" t="s">
        <v>139</v>
      </c>
      <c r="B82" s="16" t="s">
        <v>38</v>
      </c>
      <c r="C82" s="16">
        <v>143</v>
      </c>
      <c r="D82" s="16">
        <v>236</v>
      </c>
      <c r="E82" s="16">
        <v>147</v>
      </c>
      <c r="F82" s="16">
        <v>24</v>
      </c>
      <c r="G82" s="6">
        <v>0.3</v>
      </c>
      <c r="H82" s="16">
        <v>50</v>
      </c>
      <c r="I82" s="16" t="s">
        <v>39</v>
      </c>
      <c r="J82" s="16"/>
      <c r="K82" s="16">
        <v>156</v>
      </c>
      <c r="L82" s="16">
        <f t="shared" si="15"/>
        <v>-9</v>
      </c>
      <c r="M82" s="16">
        <f t="shared" si="16"/>
        <v>129</v>
      </c>
      <c r="N82" s="16">
        <v>18</v>
      </c>
      <c r="O82" s="16">
        <v>121</v>
      </c>
      <c r="P82" s="16"/>
      <c r="Q82" s="16">
        <f t="shared" si="17"/>
        <v>25.8</v>
      </c>
      <c r="R82" s="4">
        <f>14*Q82-P82-O82-F82</f>
        <v>216.2</v>
      </c>
      <c r="S82" s="16">
        <f t="shared" si="18"/>
        <v>14</v>
      </c>
      <c r="T82" s="16">
        <f t="shared" si="19"/>
        <v>5.6201550387596901</v>
      </c>
      <c r="U82" s="16">
        <v>17.399999999999999</v>
      </c>
      <c r="V82" s="16">
        <v>15.2</v>
      </c>
      <c r="W82" s="16">
        <v>25.8</v>
      </c>
      <c r="X82" s="16">
        <v>3.6</v>
      </c>
      <c r="Y82" s="16">
        <v>8.6</v>
      </c>
      <c r="Z82" s="16">
        <v>4.4000000000000004</v>
      </c>
      <c r="AA82" s="16">
        <v>-0.6</v>
      </c>
      <c r="AB82" s="16">
        <v>3</v>
      </c>
      <c r="AC82" s="16">
        <v>-0.6</v>
      </c>
      <c r="AD82" s="16">
        <v>7.2</v>
      </c>
      <c r="AE82" s="16"/>
      <c r="AF82" s="16">
        <f>G82*R82</f>
        <v>64.86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</row>
    <row r="83" spans="1:47" x14ac:dyDescent="0.25">
      <c r="A83" s="8" t="s">
        <v>140</v>
      </c>
      <c r="B83" s="8" t="s">
        <v>38</v>
      </c>
      <c r="C83" s="8"/>
      <c r="D83" s="8">
        <v>26</v>
      </c>
      <c r="E83" s="8">
        <v>20</v>
      </c>
      <c r="F83" s="8"/>
      <c r="G83" s="9">
        <v>0</v>
      </c>
      <c r="H83" s="8"/>
      <c r="I83" s="11" t="s">
        <v>60</v>
      </c>
      <c r="J83" s="8"/>
      <c r="K83" s="8">
        <v>29</v>
      </c>
      <c r="L83" s="8">
        <f t="shared" si="15"/>
        <v>-9</v>
      </c>
      <c r="M83" s="8">
        <f t="shared" si="16"/>
        <v>0</v>
      </c>
      <c r="N83" s="8">
        <v>20</v>
      </c>
      <c r="O83" s="8"/>
      <c r="P83" s="8"/>
      <c r="Q83" s="8">
        <f t="shared" si="17"/>
        <v>0</v>
      </c>
      <c r="R83" s="10"/>
      <c r="S83" s="8" t="e">
        <f t="shared" si="18"/>
        <v>#DIV/0!</v>
      </c>
      <c r="T83" s="8" t="e">
        <f t="shared" si="19"/>
        <v>#DIV/0!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/>
      <c r="AF83" s="8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</row>
    <row r="84" spans="1:47" x14ac:dyDescent="0.25">
      <c r="A84" s="16" t="s">
        <v>141</v>
      </c>
      <c r="B84" s="16" t="s">
        <v>38</v>
      </c>
      <c r="C84" s="16">
        <v>321</v>
      </c>
      <c r="D84" s="16">
        <v>399</v>
      </c>
      <c r="E84" s="16">
        <v>209</v>
      </c>
      <c r="F84" s="16">
        <v>140</v>
      </c>
      <c r="G84" s="6">
        <v>0.18</v>
      </c>
      <c r="H84" s="16">
        <v>50</v>
      </c>
      <c r="I84" s="16" t="s">
        <v>39</v>
      </c>
      <c r="J84" s="16"/>
      <c r="K84" s="16">
        <v>214</v>
      </c>
      <c r="L84" s="16">
        <f t="shared" si="15"/>
        <v>-5</v>
      </c>
      <c r="M84" s="16">
        <f t="shared" si="16"/>
        <v>179</v>
      </c>
      <c r="N84" s="16">
        <v>30</v>
      </c>
      <c r="O84" s="16">
        <v>245</v>
      </c>
      <c r="P84" s="16">
        <v>245</v>
      </c>
      <c r="Q84" s="16">
        <f t="shared" si="17"/>
        <v>35.799999999999997</v>
      </c>
      <c r="R84" s="4"/>
      <c r="S84" s="16">
        <f t="shared" si="18"/>
        <v>17.597765363128492</v>
      </c>
      <c r="T84" s="16">
        <f t="shared" si="19"/>
        <v>17.597765363128492</v>
      </c>
      <c r="U84" s="16">
        <v>55.6</v>
      </c>
      <c r="V84" s="16">
        <v>30.2</v>
      </c>
      <c r="W84" s="16">
        <v>48.2</v>
      </c>
      <c r="X84" s="16">
        <v>38.4</v>
      </c>
      <c r="Y84" s="16">
        <v>66</v>
      </c>
      <c r="Z84" s="16">
        <v>52.6</v>
      </c>
      <c r="AA84" s="16">
        <v>48.4</v>
      </c>
      <c r="AB84" s="16">
        <v>41.2</v>
      </c>
      <c r="AC84" s="16">
        <v>48.6</v>
      </c>
      <c r="AD84" s="16">
        <v>28</v>
      </c>
      <c r="AE84" s="16"/>
      <c r="AF84" s="16">
        <f>G84*R84</f>
        <v>0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</row>
    <row r="85" spans="1:47" x14ac:dyDescent="0.25">
      <c r="A85" s="8" t="s">
        <v>142</v>
      </c>
      <c r="B85" s="8" t="s">
        <v>38</v>
      </c>
      <c r="C85" s="8"/>
      <c r="D85" s="8">
        <v>12</v>
      </c>
      <c r="E85" s="8">
        <v>12</v>
      </c>
      <c r="F85" s="8"/>
      <c r="G85" s="9">
        <v>0</v>
      </c>
      <c r="H85" s="8"/>
      <c r="I85" s="11" t="s">
        <v>60</v>
      </c>
      <c r="J85" s="8"/>
      <c r="K85" s="8">
        <v>12</v>
      </c>
      <c r="L85" s="8">
        <f t="shared" si="15"/>
        <v>0</v>
      </c>
      <c r="M85" s="8">
        <f t="shared" si="16"/>
        <v>0</v>
      </c>
      <c r="N85" s="8">
        <v>12</v>
      </c>
      <c r="O85" s="8"/>
      <c r="P85" s="8"/>
      <c r="Q85" s="8">
        <f t="shared" si="17"/>
        <v>0</v>
      </c>
      <c r="R85" s="10"/>
      <c r="S85" s="8" t="e">
        <f t="shared" si="18"/>
        <v>#DIV/0!</v>
      </c>
      <c r="T85" s="8" t="e">
        <f t="shared" si="19"/>
        <v>#DIV/0!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/>
      <c r="AF85" s="8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</row>
    <row r="86" spans="1:47" x14ac:dyDescent="0.25">
      <c r="A86" s="8" t="s">
        <v>143</v>
      </c>
      <c r="B86" s="8" t="s">
        <v>38</v>
      </c>
      <c r="C86" s="8">
        <v>-14</v>
      </c>
      <c r="D86" s="8">
        <v>46</v>
      </c>
      <c r="E86" s="8">
        <v>29</v>
      </c>
      <c r="F86" s="8"/>
      <c r="G86" s="9">
        <v>0</v>
      </c>
      <c r="H86" s="8">
        <v>120</v>
      </c>
      <c r="I86" s="8" t="s">
        <v>60</v>
      </c>
      <c r="J86" s="8"/>
      <c r="K86" s="8">
        <v>32</v>
      </c>
      <c r="L86" s="8">
        <f t="shared" si="15"/>
        <v>-3</v>
      </c>
      <c r="M86" s="8">
        <f t="shared" si="16"/>
        <v>-3</v>
      </c>
      <c r="N86" s="8">
        <v>32</v>
      </c>
      <c r="O86" s="8">
        <v>0</v>
      </c>
      <c r="P86" s="8"/>
      <c r="Q86" s="8">
        <f t="shared" si="17"/>
        <v>-0.6</v>
      </c>
      <c r="R86" s="10"/>
      <c r="S86" s="8">
        <f t="shared" si="18"/>
        <v>0</v>
      </c>
      <c r="T86" s="8">
        <f t="shared" si="19"/>
        <v>0</v>
      </c>
      <c r="U86" s="8">
        <v>0.4</v>
      </c>
      <c r="V86" s="8">
        <v>0</v>
      </c>
      <c r="W86" s="8">
        <v>-0.6</v>
      </c>
      <c r="X86" s="8">
        <v>0.8</v>
      </c>
      <c r="Y86" s="8">
        <v>1.6</v>
      </c>
      <c r="Z86" s="8">
        <v>0</v>
      </c>
      <c r="AA86" s="8">
        <v>1.4</v>
      </c>
      <c r="AB86" s="8">
        <v>1.8</v>
      </c>
      <c r="AC86" s="8">
        <v>3</v>
      </c>
      <c r="AD86" s="8">
        <v>2.4</v>
      </c>
      <c r="AE86" s="8"/>
      <c r="AF86" s="8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</row>
    <row r="87" spans="1:47" x14ac:dyDescent="0.25">
      <c r="A87" s="8" t="s">
        <v>144</v>
      </c>
      <c r="B87" s="8" t="s">
        <v>35</v>
      </c>
      <c r="C87" s="8"/>
      <c r="D87" s="8"/>
      <c r="E87" s="8"/>
      <c r="F87" s="8"/>
      <c r="G87" s="9">
        <v>0</v>
      </c>
      <c r="H87" s="8"/>
      <c r="I87" s="8" t="s">
        <v>39</v>
      </c>
      <c r="J87" s="8"/>
      <c r="K87" s="8">
        <v>1</v>
      </c>
      <c r="L87" s="8">
        <f t="shared" si="15"/>
        <v>-1</v>
      </c>
      <c r="M87" s="8">
        <f t="shared" si="16"/>
        <v>0</v>
      </c>
      <c r="N87" s="8"/>
      <c r="O87" s="8">
        <v>0</v>
      </c>
      <c r="P87" s="8"/>
      <c r="Q87" s="8">
        <f t="shared" si="17"/>
        <v>0</v>
      </c>
      <c r="R87" s="10"/>
      <c r="S87" s="8" t="e">
        <f t="shared" si="18"/>
        <v>#DIV/0!</v>
      </c>
      <c r="T87" s="8" t="e">
        <f t="shared" si="19"/>
        <v>#DIV/0!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 t="s">
        <v>135</v>
      </c>
      <c r="AF87" s="8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</row>
    <row r="88" spans="1:47" x14ac:dyDescent="0.25">
      <c r="A88" s="16" t="s">
        <v>145</v>
      </c>
      <c r="B88" s="16" t="s">
        <v>38</v>
      </c>
      <c r="C88" s="16">
        <v>1316</v>
      </c>
      <c r="D88" s="16">
        <v>2880</v>
      </c>
      <c r="E88" s="16">
        <v>883</v>
      </c>
      <c r="F88" s="16">
        <v>479</v>
      </c>
      <c r="G88" s="6">
        <v>0.35</v>
      </c>
      <c r="H88" s="16">
        <v>50</v>
      </c>
      <c r="I88" s="16" t="s">
        <v>39</v>
      </c>
      <c r="J88" s="16"/>
      <c r="K88" s="16">
        <v>999</v>
      </c>
      <c r="L88" s="16">
        <f t="shared" si="15"/>
        <v>-116</v>
      </c>
      <c r="M88" s="16">
        <f t="shared" si="16"/>
        <v>827</v>
      </c>
      <c r="N88" s="16">
        <v>56</v>
      </c>
      <c r="O88" s="16">
        <v>463</v>
      </c>
      <c r="P88" s="16">
        <v>463</v>
      </c>
      <c r="Q88" s="16">
        <f t="shared" si="17"/>
        <v>165.4</v>
      </c>
      <c r="R88" s="4">
        <f>15*Q88-P88-O88-F88</f>
        <v>1076</v>
      </c>
      <c r="S88" s="16">
        <f t="shared" si="18"/>
        <v>15</v>
      </c>
      <c r="T88" s="16">
        <f t="shared" si="19"/>
        <v>8.4945586457073752</v>
      </c>
      <c r="U88" s="16">
        <v>142.6</v>
      </c>
      <c r="V88" s="16">
        <v>114.6</v>
      </c>
      <c r="W88" s="16">
        <v>173.6</v>
      </c>
      <c r="X88" s="16">
        <v>169</v>
      </c>
      <c r="Y88" s="16">
        <v>124</v>
      </c>
      <c r="Z88" s="16">
        <v>132.19999999999999</v>
      </c>
      <c r="AA88" s="16">
        <v>175.6</v>
      </c>
      <c r="AB88" s="16">
        <v>149.80000000000001</v>
      </c>
      <c r="AC88" s="16">
        <v>176.6688</v>
      </c>
      <c r="AD88" s="16">
        <v>152.4</v>
      </c>
      <c r="AE88" s="16"/>
      <c r="AF88" s="16">
        <f>G88*R88</f>
        <v>376.59999999999997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</row>
    <row r="89" spans="1:47" x14ac:dyDescent="0.25">
      <c r="A89" s="16" t="s">
        <v>146</v>
      </c>
      <c r="B89" s="16" t="s">
        <v>38</v>
      </c>
      <c r="C89" s="16"/>
      <c r="D89" s="16"/>
      <c r="E89" s="16"/>
      <c r="F89" s="16"/>
      <c r="G89" s="6">
        <v>0.35</v>
      </c>
      <c r="H89" s="16"/>
      <c r="I89" s="16" t="s">
        <v>39</v>
      </c>
      <c r="J89" s="16"/>
      <c r="K89" s="16"/>
      <c r="L89" s="16">
        <f t="shared" si="15"/>
        <v>0</v>
      </c>
      <c r="M89" s="16">
        <f t="shared" si="16"/>
        <v>0</v>
      </c>
      <c r="N89" s="16"/>
      <c r="O89" s="16">
        <v>70</v>
      </c>
      <c r="P89" s="16"/>
      <c r="Q89" s="16">
        <f t="shared" si="17"/>
        <v>0</v>
      </c>
      <c r="R89" s="4"/>
      <c r="S89" s="16" t="e">
        <f t="shared" si="18"/>
        <v>#DIV/0!</v>
      </c>
      <c r="T89" s="16" t="e">
        <f t="shared" si="19"/>
        <v>#DIV/0!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 t="s">
        <v>101</v>
      </c>
      <c r="AF89" s="16">
        <f>G89*R89</f>
        <v>0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</row>
    <row r="90" spans="1:47" x14ac:dyDescent="0.25">
      <c r="A90" s="16" t="s">
        <v>147</v>
      </c>
      <c r="B90" s="16" t="s">
        <v>35</v>
      </c>
      <c r="C90" s="16">
        <v>265.11599999999999</v>
      </c>
      <c r="D90" s="16">
        <v>580.46900000000005</v>
      </c>
      <c r="E90" s="16">
        <v>298.286</v>
      </c>
      <c r="F90" s="16">
        <v>186.583</v>
      </c>
      <c r="G90" s="6">
        <v>1</v>
      </c>
      <c r="H90" s="16">
        <v>50</v>
      </c>
      <c r="I90" s="16" t="s">
        <v>39</v>
      </c>
      <c r="J90" s="16"/>
      <c r="K90" s="16">
        <v>290.82600000000002</v>
      </c>
      <c r="L90" s="16">
        <f t="shared" si="15"/>
        <v>7.4599999999999795</v>
      </c>
      <c r="M90" s="16">
        <f t="shared" si="16"/>
        <v>265.95999999999998</v>
      </c>
      <c r="N90" s="16">
        <v>32.326000000000001</v>
      </c>
      <c r="O90" s="16">
        <v>28</v>
      </c>
      <c r="P90" s="16"/>
      <c r="Q90" s="16">
        <f t="shared" si="17"/>
        <v>53.191999999999993</v>
      </c>
      <c r="R90" s="4">
        <f>12*Q90-P90-O90-F90</f>
        <v>423.72099999999989</v>
      </c>
      <c r="S90" s="16">
        <f t="shared" si="18"/>
        <v>11.999999999999998</v>
      </c>
      <c r="T90" s="16">
        <f t="shared" si="19"/>
        <v>4.0341216724319455</v>
      </c>
      <c r="U90" s="16">
        <v>30.695799999999998</v>
      </c>
      <c r="V90" s="16">
        <v>40.856200000000001</v>
      </c>
      <c r="W90" s="16">
        <v>36.972200000000001</v>
      </c>
      <c r="X90" s="16">
        <v>32.253599999999999</v>
      </c>
      <c r="Y90" s="16">
        <v>29.294</v>
      </c>
      <c r="Z90" s="16">
        <v>20.121400000000001</v>
      </c>
      <c r="AA90" s="16">
        <v>21.1388</v>
      </c>
      <c r="AB90" s="16">
        <v>21.977599999999999</v>
      </c>
      <c r="AC90" s="16">
        <v>24.486999999999998</v>
      </c>
      <c r="AD90" s="16">
        <v>16.852399999999999</v>
      </c>
      <c r="AE90" s="16"/>
      <c r="AF90" s="16">
        <f>G90*R90</f>
        <v>423.72099999999989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</row>
    <row r="91" spans="1:47" x14ac:dyDescent="0.25">
      <c r="A91" s="8" t="s">
        <v>148</v>
      </c>
      <c r="B91" s="8" t="s">
        <v>38</v>
      </c>
      <c r="C91" s="8">
        <v>14</v>
      </c>
      <c r="D91" s="8"/>
      <c r="E91" s="8"/>
      <c r="F91" s="8">
        <v>14</v>
      </c>
      <c r="G91" s="9">
        <v>0</v>
      </c>
      <c r="H91" s="8">
        <v>50</v>
      </c>
      <c r="I91" s="8" t="s">
        <v>60</v>
      </c>
      <c r="J91" s="8"/>
      <c r="K91" s="8"/>
      <c r="L91" s="8">
        <f t="shared" si="15"/>
        <v>0</v>
      </c>
      <c r="M91" s="8">
        <f t="shared" si="16"/>
        <v>0</v>
      </c>
      <c r="N91" s="8"/>
      <c r="O91" s="8">
        <v>0</v>
      </c>
      <c r="P91" s="8"/>
      <c r="Q91" s="8">
        <f t="shared" si="17"/>
        <v>0</v>
      </c>
      <c r="R91" s="10"/>
      <c r="S91" s="8" t="e">
        <f t="shared" si="18"/>
        <v>#DIV/0!</v>
      </c>
      <c r="T91" s="8" t="e">
        <f t="shared" si="19"/>
        <v>#DIV/0!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 t="s">
        <v>149</v>
      </c>
      <c r="AF91" s="8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</row>
    <row r="92" spans="1:47" x14ac:dyDescent="0.25">
      <c r="A92" s="16" t="s">
        <v>150</v>
      </c>
      <c r="B92" s="16" t="s">
        <v>35</v>
      </c>
      <c r="C92" s="16">
        <v>664.875</v>
      </c>
      <c r="D92" s="16">
        <v>611.87800000000004</v>
      </c>
      <c r="E92" s="16">
        <v>411.339</v>
      </c>
      <c r="F92" s="16">
        <v>292.68799999999999</v>
      </c>
      <c r="G92" s="6">
        <v>1</v>
      </c>
      <c r="H92" s="16">
        <v>50</v>
      </c>
      <c r="I92" s="16" t="s">
        <v>39</v>
      </c>
      <c r="J92" s="16"/>
      <c r="K92" s="16">
        <v>390.37200000000001</v>
      </c>
      <c r="L92" s="16">
        <f t="shared" si="15"/>
        <v>20.966999999999985</v>
      </c>
      <c r="M92" s="16">
        <f t="shared" si="16"/>
        <v>360.96699999999998</v>
      </c>
      <c r="N92" s="16">
        <v>50.372</v>
      </c>
      <c r="O92" s="16">
        <v>49</v>
      </c>
      <c r="P92" s="16"/>
      <c r="Q92" s="16">
        <f t="shared" si="17"/>
        <v>72.193399999999997</v>
      </c>
      <c r="R92" s="4">
        <f>13*Q92-P92-O92-F92</f>
        <v>596.82619999999997</v>
      </c>
      <c r="S92" s="16">
        <f t="shared" si="18"/>
        <v>13</v>
      </c>
      <c r="T92" s="16">
        <f t="shared" si="19"/>
        <v>4.7329534278756782</v>
      </c>
      <c r="U92" s="16">
        <v>44.104400000000012</v>
      </c>
      <c r="V92" s="16">
        <v>53.6798</v>
      </c>
      <c r="W92" s="16">
        <v>74.640200000000007</v>
      </c>
      <c r="X92" s="16">
        <v>63.796799999999998</v>
      </c>
      <c r="Y92" s="16">
        <v>56.350199999999987</v>
      </c>
      <c r="Z92" s="16">
        <v>53.830199999999998</v>
      </c>
      <c r="AA92" s="16">
        <v>48.284999999999989</v>
      </c>
      <c r="AB92" s="16">
        <v>52.988399999999999</v>
      </c>
      <c r="AC92" s="16">
        <v>77.6614</v>
      </c>
      <c r="AD92" s="16">
        <v>51.933399999999992</v>
      </c>
      <c r="AE92" s="16"/>
      <c r="AF92" s="16">
        <f t="shared" ref="AF92:AF97" si="20">G92*R92</f>
        <v>596.82619999999997</v>
      </c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</row>
    <row r="93" spans="1:47" x14ac:dyDescent="0.25">
      <c r="A93" s="16" t="s">
        <v>151</v>
      </c>
      <c r="B93" s="16" t="s">
        <v>38</v>
      </c>
      <c r="C93" s="16">
        <v>1801</v>
      </c>
      <c r="D93" s="16">
        <v>2325</v>
      </c>
      <c r="E93" s="16">
        <v>918</v>
      </c>
      <c r="F93" s="16">
        <v>864</v>
      </c>
      <c r="G93" s="6">
        <v>0.35</v>
      </c>
      <c r="H93" s="16">
        <v>50</v>
      </c>
      <c r="I93" s="16" t="s">
        <v>39</v>
      </c>
      <c r="J93" s="16"/>
      <c r="K93" s="16">
        <v>1090</v>
      </c>
      <c r="L93" s="16">
        <f t="shared" si="15"/>
        <v>-172</v>
      </c>
      <c r="M93" s="16">
        <f t="shared" si="16"/>
        <v>918</v>
      </c>
      <c r="N93" s="16"/>
      <c r="O93" s="16">
        <v>208</v>
      </c>
      <c r="P93" s="16">
        <v>208</v>
      </c>
      <c r="Q93" s="16">
        <f t="shared" si="17"/>
        <v>183.6</v>
      </c>
      <c r="R93" s="4">
        <f t="shared" ref="R93:R96" si="21">15*Q93-P93-O93-F93</f>
        <v>1474</v>
      </c>
      <c r="S93" s="16">
        <f t="shared" si="18"/>
        <v>15</v>
      </c>
      <c r="T93" s="16">
        <f t="shared" si="19"/>
        <v>6.9716775599128544</v>
      </c>
      <c r="U93" s="16">
        <v>140.19999999999999</v>
      </c>
      <c r="V93" s="16">
        <v>114.6</v>
      </c>
      <c r="W93" s="16">
        <v>206.2</v>
      </c>
      <c r="X93" s="16">
        <v>182</v>
      </c>
      <c r="Y93" s="16">
        <v>132.6</v>
      </c>
      <c r="Z93" s="16">
        <v>161.6</v>
      </c>
      <c r="AA93" s="16">
        <v>172.8</v>
      </c>
      <c r="AB93" s="16">
        <v>140.2818</v>
      </c>
      <c r="AC93" s="16">
        <v>173.4</v>
      </c>
      <c r="AD93" s="16">
        <v>162.80000000000001</v>
      </c>
      <c r="AE93" s="16"/>
      <c r="AF93" s="16">
        <f t="shared" si="20"/>
        <v>515.9</v>
      </c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</row>
    <row r="94" spans="1:47" x14ac:dyDescent="0.25">
      <c r="A94" s="16" t="s">
        <v>152</v>
      </c>
      <c r="B94" s="16" t="s">
        <v>38</v>
      </c>
      <c r="C94" s="16">
        <v>160</v>
      </c>
      <c r="D94" s="16">
        <v>174</v>
      </c>
      <c r="E94" s="16">
        <v>143</v>
      </c>
      <c r="F94" s="16">
        <v>55</v>
      </c>
      <c r="G94" s="6">
        <v>0.3</v>
      </c>
      <c r="H94" s="16">
        <v>50</v>
      </c>
      <c r="I94" s="16" t="s">
        <v>39</v>
      </c>
      <c r="J94" s="16"/>
      <c r="K94" s="16">
        <v>183</v>
      </c>
      <c r="L94" s="16">
        <f t="shared" si="15"/>
        <v>-40</v>
      </c>
      <c r="M94" s="16">
        <f t="shared" si="16"/>
        <v>125</v>
      </c>
      <c r="N94" s="16">
        <v>18</v>
      </c>
      <c r="O94" s="16">
        <v>137</v>
      </c>
      <c r="P94" s="16"/>
      <c r="Q94" s="16">
        <f t="shared" si="17"/>
        <v>25</v>
      </c>
      <c r="R94" s="4">
        <f t="shared" si="21"/>
        <v>183</v>
      </c>
      <c r="S94" s="16">
        <f t="shared" si="18"/>
        <v>15</v>
      </c>
      <c r="T94" s="16">
        <f t="shared" si="19"/>
        <v>7.68</v>
      </c>
      <c r="U94" s="16">
        <v>20.2</v>
      </c>
      <c r="V94" s="16">
        <v>18.600000000000001</v>
      </c>
      <c r="W94" s="16">
        <v>22.2</v>
      </c>
      <c r="X94" s="16">
        <v>19</v>
      </c>
      <c r="Y94" s="16">
        <v>16.2</v>
      </c>
      <c r="Z94" s="16">
        <v>17</v>
      </c>
      <c r="AA94" s="16">
        <v>22</v>
      </c>
      <c r="AB94" s="16">
        <v>20.6</v>
      </c>
      <c r="AC94" s="16">
        <v>1</v>
      </c>
      <c r="AD94" s="16">
        <v>0</v>
      </c>
      <c r="AE94" s="16"/>
      <c r="AF94" s="16">
        <f t="shared" si="20"/>
        <v>54.9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</row>
    <row r="95" spans="1:47" x14ac:dyDescent="0.25">
      <c r="A95" s="16" t="s">
        <v>153</v>
      </c>
      <c r="B95" s="16" t="s">
        <v>38</v>
      </c>
      <c r="C95" s="16">
        <v>-20</v>
      </c>
      <c r="D95" s="16">
        <v>360</v>
      </c>
      <c r="E95" s="16">
        <v>49</v>
      </c>
      <c r="F95" s="16">
        <v>88</v>
      </c>
      <c r="G95" s="6">
        <v>0.3</v>
      </c>
      <c r="H95" s="16">
        <v>60</v>
      </c>
      <c r="I95" s="16" t="s">
        <v>39</v>
      </c>
      <c r="J95" s="16"/>
      <c r="K95" s="16">
        <v>79</v>
      </c>
      <c r="L95" s="16">
        <f t="shared" si="15"/>
        <v>-30</v>
      </c>
      <c r="M95" s="16">
        <f t="shared" si="16"/>
        <v>49</v>
      </c>
      <c r="N95" s="16"/>
      <c r="O95" s="16">
        <v>0</v>
      </c>
      <c r="P95" s="16"/>
      <c r="Q95" s="16">
        <f t="shared" si="17"/>
        <v>9.8000000000000007</v>
      </c>
      <c r="R95" s="4">
        <f t="shared" si="21"/>
        <v>59</v>
      </c>
      <c r="S95" s="16">
        <f t="shared" si="18"/>
        <v>14.999999999999998</v>
      </c>
      <c r="T95" s="16">
        <f t="shared" si="19"/>
        <v>8.9795918367346932</v>
      </c>
      <c r="U95" s="16">
        <v>9.8000000000000007</v>
      </c>
      <c r="V95" s="16">
        <v>18.600000000000001</v>
      </c>
      <c r="W95" s="16">
        <v>8</v>
      </c>
      <c r="X95" s="16">
        <v>9.1999999999999993</v>
      </c>
      <c r="Y95" s="16">
        <v>7.8</v>
      </c>
      <c r="Z95" s="16">
        <v>11</v>
      </c>
      <c r="AA95" s="16">
        <v>10.8</v>
      </c>
      <c r="AB95" s="16">
        <v>14.2</v>
      </c>
      <c r="AC95" s="16">
        <v>15</v>
      </c>
      <c r="AD95" s="16">
        <v>7.6</v>
      </c>
      <c r="AE95" s="16"/>
      <c r="AF95" s="16">
        <f t="shared" si="20"/>
        <v>17.7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</row>
    <row r="96" spans="1:47" x14ac:dyDescent="0.25">
      <c r="A96" s="16" t="s">
        <v>154</v>
      </c>
      <c r="B96" s="16" t="s">
        <v>38</v>
      </c>
      <c r="C96" s="16">
        <v>122</v>
      </c>
      <c r="D96" s="16">
        <v>552</v>
      </c>
      <c r="E96" s="16">
        <v>123</v>
      </c>
      <c r="F96" s="16">
        <v>199</v>
      </c>
      <c r="G96" s="6">
        <v>0.28000000000000003</v>
      </c>
      <c r="H96" s="16">
        <v>50</v>
      </c>
      <c r="I96" s="16" t="s">
        <v>39</v>
      </c>
      <c r="J96" s="16"/>
      <c r="K96" s="16">
        <v>150</v>
      </c>
      <c r="L96" s="16">
        <f t="shared" si="15"/>
        <v>-27</v>
      </c>
      <c r="M96" s="16">
        <f t="shared" si="16"/>
        <v>99</v>
      </c>
      <c r="N96" s="16">
        <v>24</v>
      </c>
      <c r="O96" s="16">
        <v>22</v>
      </c>
      <c r="P96" s="16"/>
      <c r="Q96" s="16">
        <f t="shared" si="17"/>
        <v>19.8</v>
      </c>
      <c r="R96" s="4">
        <f t="shared" si="21"/>
        <v>76</v>
      </c>
      <c r="S96" s="16">
        <f t="shared" si="18"/>
        <v>15</v>
      </c>
      <c r="T96" s="16">
        <f t="shared" si="19"/>
        <v>11.161616161616161</v>
      </c>
      <c r="U96" s="16">
        <v>18.600000000000001</v>
      </c>
      <c r="V96" s="16">
        <v>24.4</v>
      </c>
      <c r="W96" s="16">
        <v>18.399999999999999</v>
      </c>
      <c r="X96" s="16">
        <v>31</v>
      </c>
      <c r="Y96" s="16">
        <v>29.2</v>
      </c>
      <c r="Z96" s="16">
        <v>23</v>
      </c>
      <c r="AA96" s="16">
        <v>27.2</v>
      </c>
      <c r="AB96" s="16">
        <v>25.2</v>
      </c>
      <c r="AC96" s="16">
        <v>32.6</v>
      </c>
      <c r="AD96" s="16">
        <v>18.8</v>
      </c>
      <c r="AE96" s="16"/>
      <c r="AF96" s="16">
        <f t="shared" si="20"/>
        <v>21.28</v>
      </c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</row>
    <row r="97" spans="1:47" x14ac:dyDescent="0.25">
      <c r="A97" s="16" t="s">
        <v>155</v>
      </c>
      <c r="B97" s="16" t="s">
        <v>38</v>
      </c>
      <c r="C97" s="16">
        <v>423</v>
      </c>
      <c r="D97" s="16">
        <v>1596</v>
      </c>
      <c r="E97" s="16">
        <v>412</v>
      </c>
      <c r="F97" s="16">
        <v>111</v>
      </c>
      <c r="G97" s="6">
        <v>0.28000000000000003</v>
      </c>
      <c r="H97" s="16">
        <v>45</v>
      </c>
      <c r="I97" s="15" t="s">
        <v>56</v>
      </c>
      <c r="J97" s="16"/>
      <c r="K97" s="16">
        <v>728</v>
      </c>
      <c r="L97" s="16">
        <f t="shared" si="15"/>
        <v>-316</v>
      </c>
      <c r="M97" s="16">
        <f t="shared" si="16"/>
        <v>380</v>
      </c>
      <c r="N97" s="16">
        <v>32</v>
      </c>
      <c r="O97" s="16">
        <v>450</v>
      </c>
      <c r="P97" s="16">
        <v>450</v>
      </c>
      <c r="Q97" s="16">
        <f t="shared" si="17"/>
        <v>76</v>
      </c>
      <c r="R97" s="4">
        <f>14*Q97-P97-O97-F97</f>
        <v>53</v>
      </c>
      <c r="S97" s="16">
        <f t="shared" si="18"/>
        <v>14</v>
      </c>
      <c r="T97" s="16">
        <f t="shared" si="19"/>
        <v>13.302631578947368</v>
      </c>
      <c r="U97" s="16">
        <v>223.4</v>
      </c>
      <c r="V97" s="16">
        <v>39.4</v>
      </c>
      <c r="W97" s="16">
        <v>53.8</v>
      </c>
      <c r="X97" s="16">
        <v>51.2</v>
      </c>
      <c r="Y97" s="16">
        <v>57.2</v>
      </c>
      <c r="Z97" s="16">
        <v>46.6</v>
      </c>
      <c r="AA97" s="16">
        <v>39</v>
      </c>
      <c r="AB97" s="16">
        <v>8.4</v>
      </c>
      <c r="AC97" s="16">
        <v>60.4</v>
      </c>
      <c r="AD97" s="16">
        <v>40.799999999999997</v>
      </c>
      <c r="AE97" s="16" t="s">
        <v>156</v>
      </c>
      <c r="AF97" s="16">
        <f t="shared" si="20"/>
        <v>14.840000000000002</v>
      </c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</row>
    <row r="98" spans="1:47" x14ac:dyDescent="0.25">
      <c r="A98" s="8" t="s">
        <v>106</v>
      </c>
      <c r="B98" s="8" t="s">
        <v>38</v>
      </c>
      <c r="C98" s="8">
        <v>-11</v>
      </c>
      <c r="D98" s="8">
        <v>12</v>
      </c>
      <c r="E98" s="8">
        <v>-1</v>
      </c>
      <c r="F98" s="8"/>
      <c r="G98" s="9">
        <v>0</v>
      </c>
      <c r="H98" s="8">
        <v>45</v>
      </c>
      <c r="I98" s="8" t="s">
        <v>60</v>
      </c>
      <c r="J98" s="8"/>
      <c r="K98" s="8">
        <v>39</v>
      </c>
      <c r="L98" s="8">
        <f t="shared" si="15"/>
        <v>-40</v>
      </c>
      <c r="M98" s="8">
        <f t="shared" si="16"/>
        <v>-1</v>
      </c>
      <c r="N98" s="8"/>
      <c r="O98" s="8">
        <v>0</v>
      </c>
      <c r="P98" s="8"/>
      <c r="Q98" s="8">
        <f t="shared" si="17"/>
        <v>-0.2</v>
      </c>
      <c r="R98" s="10"/>
      <c r="S98" s="8">
        <f t="shared" si="18"/>
        <v>0</v>
      </c>
      <c r="T98" s="8">
        <f t="shared" si="19"/>
        <v>0</v>
      </c>
      <c r="U98" s="8">
        <v>1.2</v>
      </c>
      <c r="V98" s="8">
        <v>5.8</v>
      </c>
      <c r="W98" s="8">
        <v>11</v>
      </c>
      <c r="X98" s="8">
        <v>12</v>
      </c>
      <c r="Y98" s="8">
        <v>6.8</v>
      </c>
      <c r="Z98" s="8">
        <v>12.6</v>
      </c>
      <c r="AA98" s="8">
        <v>14.6</v>
      </c>
      <c r="AB98" s="8">
        <v>9.1999999999999993</v>
      </c>
      <c r="AC98" s="8">
        <v>10.8</v>
      </c>
      <c r="AD98" s="8">
        <v>17.600000000000001</v>
      </c>
      <c r="AE98" s="8" t="s">
        <v>91</v>
      </c>
      <c r="AF98" s="8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</row>
    <row r="99" spans="1:47" x14ac:dyDescent="0.25">
      <c r="A99" s="16" t="s">
        <v>157</v>
      </c>
      <c r="B99" s="16" t="s">
        <v>38</v>
      </c>
      <c r="C99" s="16">
        <v>283</v>
      </c>
      <c r="D99" s="16">
        <v>717</v>
      </c>
      <c r="E99" s="16">
        <v>211</v>
      </c>
      <c r="F99" s="16">
        <v>111</v>
      </c>
      <c r="G99" s="6">
        <v>0.28000000000000003</v>
      </c>
      <c r="H99" s="16">
        <v>45</v>
      </c>
      <c r="I99" s="16" t="s">
        <v>39</v>
      </c>
      <c r="J99" s="16"/>
      <c r="K99" s="16">
        <v>306</v>
      </c>
      <c r="L99" s="16">
        <f t="shared" si="15"/>
        <v>-95</v>
      </c>
      <c r="M99" s="16">
        <f t="shared" si="16"/>
        <v>211</v>
      </c>
      <c r="N99" s="16"/>
      <c r="O99" s="16">
        <v>141</v>
      </c>
      <c r="P99" s="16">
        <v>141</v>
      </c>
      <c r="Q99" s="16">
        <f t="shared" si="17"/>
        <v>42.2</v>
      </c>
      <c r="R99" s="4">
        <f>15*Q99-P99-O99-F99</f>
        <v>240</v>
      </c>
      <c r="S99" s="16">
        <f t="shared" si="18"/>
        <v>14.999999999999998</v>
      </c>
      <c r="T99" s="16">
        <f t="shared" si="19"/>
        <v>9.3127962085308056</v>
      </c>
      <c r="U99" s="16">
        <v>37</v>
      </c>
      <c r="V99" s="16">
        <v>36</v>
      </c>
      <c r="W99" s="16">
        <v>47.4</v>
      </c>
      <c r="X99" s="16">
        <v>36.6</v>
      </c>
      <c r="Y99" s="16">
        <v>41.2</v>
      </c>
      <c r="Z99" s="16">
        <v>34</v>
      </c>
      <c r="AA99" s="16">
        <v>45.8</v>
      </c>
      <c r="AB99" s="16">
        <v>23.4</v>
      </c>
      <c r="AC99" s="16">
        <v>51</v>
      </c>
      <c r="AD99" s="16">
        <v>34</v>
      </c>
      <c r="AE99" s="16"/>
      <c r="AF99" s="16">
        <f>G99*R99</f>
        <v>67.2</v>
      </c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</row>
    <row r="100" spans="1:47" x14ac:dyDescent="0.25">
      <c r="A100" s="16" t="s">
        <v>158</v>
      </c>
      <c r="B100" s="16" t="s">
        <v>38</v>
      </c>
      <c r="C100" s="16">
        <v>359</v>
      </c>
      <c r="D100" s="16">
        <v>561</v>
      </c>
      <c r="E100" s="16">
        <v>396</v>
      </c>
      <c r="F100" s="16"/>
      <c r="G100" s="6">
        <v>0.4</v>
      </c>
      <c r="H100" s="16">
        <v>50</v>
      </c>
      <c r="I100" s="16" t="s">
        <v>39</v>
      </c>
      <c r="J100" s="16"/>
      <c r="K100" s="16">
        <v>528</v>
      </c>
      <c r="L100" s="16">
        <f t="shared" si="15"/>
        <v>-132</v>
      </c>
      <c r="M100" s="16">
        <f t="shared" si="16"/>
        <v>360</v>
      </c>
      <c r="N100" s="16">
        <v>36</v>
      </c>
      <c r="O100" s="16">
        <v>279</v>
      </c>
      <c r="P100" s="16">
        <v>279</v>
      </c>
      <c r="Q100" s="16">
        <f t="shared" si="17"/>
        <v>72</v>
      </c>
      <c r="R100" s="4">
        <f>15*Q100-P100-O100-F100</f>
        <v>522</v>
      </c>
      <c r="S100" s="16">
        <f t="shared" si="18"/>
        <v>15</v>
      </c>
      <c r="T100" s="16">
        <f t="shared" si="19"/>
        <v>7.75</v>
      </c>
      <c r="U100" s="16">
        <v>63</v>
      </c>
      <c r="V100" s="16">
        <v>36.4</v>
      </c>
      <c r="W100" s="16">
        <v>70.400000000000006</v>
      </c>
      <c r="X100" s="16">
        <v>24.8</v>
      </c>
      <c r="Y100" s="16">
        <v>68</v>
      </c>
      <c r="Z100" s="16">
        <v>57.4</v>
      </c>
      <c r="AA100" s="16">
        <v>43.4</v>
      </c>
      <c r="AB100" s="16">
        <v>68.400000000000006</v>
      </c>
      <c r="AC100" s="16">
        <v>89.6</v>
      </c>
      <c r="AD100" s="16">
        <v>57.4</v>
      </c>
      <c r="AE100" s="16"/>
      <c r="AF100" s="16">
        <f>G100*R100</f>
        <v>208.8</v>
      </c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</row>
    <row r="101" spans="1:47" x14ac:dyDescent="0.25">
      <c r="A101" s="8" t="s">
        <v>159</v>
      </c>
      <c r="B101" s="8" t="s">
        <v>35</v>
      </c>
      <c r="C101" s="8"/>
      <c r="D101" s="8">
        <v>50.694000000000003</v>
      </c>
      <c r="E101" s="8">
        <v>31.652000000000001</v>
      </c>
      <c r="F101" s="8"/>
      <c r="G101" s="9">
        <v>0</v>
      </c>
      <c r="H101" s="8"/>
      <c r="I101" s="11" t="s">
        <v>60</v>
      </c>
      <c r="J101" s="8"/>
      <c r="K101" s="8">
        <v>31.652000000000001</v>
      </c>
      <c r="L101" s="8">
        <f t="shared" si="15"/>
        <v>0</v>
      </c>
      <c r="M101" s="8">
        <f t="shared" si="16"/>
        <v>0</v>
      </c>
      <c r="N101" s="8">
        <v>31.652000000000001</v>
      </c>
      <c r="O101" s="8"/>
      <c r="P101" s="8"/>
      <c r="Q101" s="8">
        <f t="shared" si="17"/>
        <v>0</v>
      </c>
      <c r="R101" s="10"/>
      <c r="S101" s="8" t="e">
        <f t="shared" si="18"/>
        <v>#DIV/0!</v>
      </c>
      <c r="T101" s="8" t="e">
        <f t="shared" si="19"/>
        <v>#DIV/0!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/>
      <c r="AF101" s="8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</row>
    <row r="102" spans="1:47" x14ac:dyDescent="0.25">
      <c r="A102" s="8" t="s">
        <v>160</v>
      </c>
      <c r="B102" s="8" t="s">
        <v>38</v>
      </c>
      <c r="C102" s="8">
        <v>-9</v>
      </c>
      <c r="D102" s="8">
        <v>36</v>
      </c>
      <c r="E102" s="8">
        <v>-2</v>
      </c>
      <c r="F102" s="8"/>
      <c r="G102" s="9">
        <v>0</v>
      </c>
      <c r="H102" s="8">
        <v>50</v>
      </c>
      <c r="I102" s="8" t="s">
        <v>60</v>
      </c>
      <c r="J102" s="8"/>
      <c r="K102" s="8">
        <v>7</v>
      </c>
      <c r="L102" s="8">
        <f t="shared" ref="L102:L133" si="22">E102-K102</f>
        <v>-9</v>
      </c>
      <c r="M102" s="8">
        <f t="shared" ref="M102:M133" si="23">E102-N102</f>
        <v>-2</v>
      </c>
      <c r="N102" s="8"/>
      <c r="O102" s="8">
        <v>0</v>
      </c>
      <c r="P102" s="8"/>
      <c r="Q102" s="8">
        <f t="shared" ref="Q102:Q133" si="24">M102/5</f>
        <v>-0.4</v>
      </c>
      <c r="R102" s="10"/>
      <c r="S102" s="8">
        <f t="shared" ref="S102:S133" si="25">(F102+O102+P102+R102)/Q102</f>
        <v>0</v>
      </c>
      <c r="T102" s="8">
        <f t="shared" ref="T102:T133" si="26">(F102+O102+P102)/Q102</f>
        <v>0</v>
      </c>
      <c r="U102" s="8">
        <v>0</v>
      </c>
      <c r="V102" s="8">
        <v>3.2</v>
      </c>
      <c r="W102" s="8">
        <v>7.2</v>
      </c>
      <c r="X102" s="8">
        <v>2.2000000000000002</v>
      </c>
      <c r="Y102" s="8">
        <v>3.6</v>
      </c>
      <c r="Z102" s="8">
        <v>1.4</v>
      </c>
      <c r="AA102" s="8">
        <v>2.2000000000000002</v>
      </c>
      <c r="AB102" s="8">
        <v>1.8</v>
      </c>
      <c r="AC102" s="8">
        <v>2.4</v>
      </c>
      <c r="AD102" s="8">
        <v>10.4</v>
      </c>
      <c r="AE102" s="8"/>
      <c r="AF102" s="8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</row>
    <row r="103" spans="1:47" x14ac:dyDescent="0.25">
      <c r="A103" s="8" t="s">
        <v>161</v>
      </c>
      <c r="B103" s="8" t="s">
        <v>38</v>
      </c>
      <c r="C103" s="8">
        <v>-14</v>
      </c>
      <c r="D103" s="8">
        <v>16</v>
      </c>
      <c r="E103" s="8">
        <v>2</v>
      </c>
      <c r="F103" s="8"/>
      <c r="G103" s="9">
        <v>0</v>
      </c>
      <c r="H103" s="8">
        <v>30</v>
      </c>
      <c r="I103" s="8" t="s">
        <v>60</v>
      </c>
      <c r="J103" s="8"/>
      <c r="K103" s="8">
        <v>11</v>
      </c>
      <c r="L103" s="8">
        <f t="shared" si="22"/>
        <v>-9</v>
      </c>
      <c r="M103" s="8">
        <f t="shared" si="23"/>
        <v>2</v>
      </c>
      <c r="N103" s="8"/>
      <c r="O103" s="8">
        <v>0</v>
      </c>
      <c r="P103" s="8"/>
      <c r="Q103" s="8">
        <f t="shared" si="24"/>
        <v>0.4</v>
      </c>
      <c r="R103" s="10"/>
      <c r="S103" s="8">
        <f t="shared" si="25"/>
        <v>0</v>
      </c>
      <c r="T103" s="8">
        <f t="shared" si="26"/>
        <v>0</v>
      </c>
      <c r="U103" s="8">
        <v>0.4</v>
      </c>
      <c r="V103" s="8">
        <v>0.8</v>
      </c>
      <c r="W103" s="8">
        <v>0</v>
      </c>
      <c r="X103" s="8">
        <v>0</v>
      </c>
      <c r="Y103" s="8">
        <v>2.4</v>
      </c>
      <c r="Z103" s="8">
        <v>4</v>
      </c>
      <c r="AA103" s="8">
        <v>1.6</v>
      </c>
      <c r="AB103" s="8">
        <v>3.4</v>
      </c>
      <c r="AC103" s="8">
        <v>3.6</v>
      </c>
      <c r="AD103" s="8">
        <v>2.8</v>
      </c>
      <c r="AE103" s="8" t="s">
        <v>91</v>
      </c>
      <c r="AF103" s="8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</row>
    <row r="104" spans="1:47" x14ac:dyDescent="0.25">
      <c r="A104" s="8" t="s">
        <v>162</v>
      </c>
      <c r="B104" s="8" t="s">
        <v>38</v>
      </c>
      <c r="C104" s="8">
        <v>-15</v>
      </c>
      <c r="D104" s="8">
        <v>15</v>
      </c>
      <c r="E104" s="8"/>
      <c r="F104" s="8"/>
      <c r="G104" s="9">
        <v>0</v>
      </c>
      <c r="H104" s="8">
        <v>60</v>
      </c>
      <c r="I104" s="8" t="s">
        <v>60</v>
      </c>
      <c r="J104" s="8" t="s">
        <v>163</v>
      </c>
      <c r="K104" s="8">
        <v>1</v>
      </c>
      <c r="L104" s="8">
        <f t="shared" si="22"/>
        <v>-1</v>
      </c>
      <c r="M104" s="8">
        <f t="shared" si="23"/>
        <v>0</v>
      </c>
      <c r="N104" s="8"/>
      <c r="O104" s="8">
        <v>0</v>
      </c>
      <c r="P104" s="8"/>
      <c r="Q104" s="8">
        <f t="shared" si="24"/>
        <v>0</v>
      </c>
      <c r="R104" s="10"/>
      <c r="S104" s="8" t="e">
        <f t="shared" si="25"/>
        <v>#DIV/0!</v>
      </c>
      <c r="T104" s="8" t="e">
        <f t="shared" si="26"/>
        <v>#DIV/0!</v>
      </c>
      <c r="U104" s="8">
        <v>-0.2</v>
      </c>
      <c r="V104" s="8">
        <v>0</v>
      </c>
      <c r="W104" s="8">
        <v>6.8</v>
      </c>
      <c r="X104" s="8">
        <v>5</v>
      </c>
      <c r="Y104" s="8">
        <v>9.6</v>
      </c>
      <c r="Z104" s="8">
        <v>5.6</v>
      </c>
      <c r="AA104" s="8">
        <v>5.2</v>
      </c>
      <c r="AB104" s="8">
        <v>9.8000000000000007</v>
      </c>
      <c r="AC104" s="8">
        <v>13</v>
      </c>
      <c r="AD104" s="8">
        <v>9.1999999999999993</v>
      </c>
      <c r="AE104" s="8" t="s">
        <v>164</v>
      </c>
      <c r="AF104" s="8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</row>
    <row r="105" spans="1:47" x14ac:dyDescent="0.25">
      <c r="A105" s="16" t="s">
        <v>165</v>
      </c>
      <c r="B105" s="16" t="s">
        <v>35</v>
      </c>
      <c r="C105" s="16">
        <v>109.04</v>
      </c>
      <c r="D105" s="16">
        <v>339.14499999999998</v>
      </c>
      <c r="E105" s="16">
        <v>148.72900000000001</v>
      </c>
      <c r="F105" s="16">
        <v>229.73400000000001</v>
      </c>
      <c r="G105" s="6">
        <v>1</v>
      </c>
      <c r="H105" s="16"/>
      <c r="I105" s="16" t="s">
        <v>39</v>
      </c>
      <c r="J105" s="16"/>
      <c r="K105" s="16">
        <v>145.31200000000001</v>
      </c>
      <c r="L105" s="16">
        <f t="shared" si="22"/>
        <v>3.4170000000000016</v>
      </c>
      <c r="M105" s="16">
        <f t="shared" si="23"/>
        <v>148.72900000000001</v>
      </c>
      <c r="N105" s="16"/>
      <c r="O105" s="16">
        <v>0</v>
      </c>
      <c r="P105" s="16"/>
      <c r="Q105" s="16">
        <f t="shared" si="24"/>
        <v>29.745800000000003</v>
      </c>
      <c r="R105" s="4">
        <f>15*Q105-P105-O105-F105</f>
        <v>216.453</v>
      </c>
      <c r="S105" s="16">
        <f t="shared" si="25"/>
        <v>14.999999999999998</v>
      </c>
      <c r="T105" s="16">
        <f t="shared" si="26"/>
        <v>7.723241600494859</v>
      </c>
      <c r="U105" s="16">
        <v>10.490600000000001</v>
      </c>
      <c r="V105" s="16">
        <v>31.147200000000002</v>
      </c>
      <c r="W105" s="16">
        <v>0</v>
      </c>
      <c r="X105" s="16">
        <v>9.9475999999999996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 t="s">
        <v>78</v>
      </c>
      <c r="AF105" s="16">
        <f>G105*R105</f>
        <v>216.453</v>
      </c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</row>
    <row r="106" spans="1:47" x14ac:dyDescent="0.25">
      <c r="A106" s="8" t="s">
        <v>166</v>
      </c>
      <c r="B106" s="8" t="s">
        <v>38</v>
      </c>
      <c r="C106" s="8"/>
      <c r="D106" s="8">
        <v>9</v>
      </c>
      <c r="E106" s="8">
        <v>7</v>
      </c>
      <c r="F106" s="8"/>
      <c r="G106" s="9">
        <v>0</v>
      </c>
      <c r="H106" s="8"/>
      <c r="I106" s="11" t="s">
        <v>60</v>
      </c>
      <c r="J106" s="8"/>
      <c r="K106" s="8">
        <v>7</v>
      </c>
      <c r="L106" s="8">
        <f t="shared" si="22"/>
        <v>0</v>
      </c>
      <c r="M106" s="8">
        <f t="shared" si="23"/>
        <v>0</v>
      </c>
      <c r="N106" s="8">
        <v>7</v>
      </c>
      <c r="O106" s="8"/>
      <c r="P106" s="8"/>
      <c r="Q106" s="8">
        <f t="shared" si="24"/>
        <v>0</v>
      </c>
      <c r="R106" s="10"/>
      <c r="S106" s="8" t="e">
        <f t="shared" si="25"/>
        <v>#DIV/0!</v>
      </c>
      <c r="T106" s="8" t="e">
        <f t="shared" si="26"/>
        <v>#DIV/0!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/>
      <c r="AF106" s="8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</row>
    <row r="107" spans="1:47" x14ac:dyDescent="0.25">
      <c r="A107" s="16" t="s">
        <v>167</v>
      </c>
      <c r="B107" s="16" t="s">
        <v>38</v>
      </c>
      <c r="C107" s="16">
        <v>4</v>
      </c>
      <c r="D107" s="16">
        <v>46</v>
      </c>
      <c r="E107" s="16">
        <v>17</v>
      </c>
      <c r="F107" s="16"/>
      <c r="G107" s="6">
        <v>0.28000000000000003</v>
      </c>
      <c r="H107" s="16">
        <v>50</v>
      </c>
      <c r="I107" s="16" t="s">
        <v>39</v>
      </c>
      <c r="J107" s="16"/>
      <c r="K107" s="16">
        <v>27</v>
      </c>
      <c r="L107" s="16">
        <f t="shared" si="22"/>
        <v>-10</v>
      </c>
      <c r="M107" s="16">
        <f t="shared" si="23"/>
        <v>17</v>
      </c>
      <c r="N107" s="16"/>
      <c r="O107" s="16">
        <v>0</v>
      </c>
      <c r="P107" s="16"/>
      <c r="Q107" s="16">
        <f t="shared" si="24"/>
        <v>3.4</v>
      </c>
      <c r="R107" s="4">
        <f>8*Q107-P107-O107-F107</f>
        <v>27.2</v>
      </c>
      <c r="S107" s="16">
        <f t="shared" si="25"/>
        <v>8</v>
      </c>
      <c r="T107" s="16">
        <f t="shared" si="26"/>
        <v>0</v>
      </c>
      <c r="U107" s="16">
        <v>2.6</v>
      </c>
      <c r="V107" s="16">
        <v>4</v>
      </c>
      <c r="W107" s="16">
        <v>2.4</v>
      </c>
      <c r="X107" s="16">
        <v>2.4</v>
      </c>
      <c r="Y107" s="16">
        <v>1.2</v>
      </c>
      <c r="Z107" s="16">
        <v>3.6</v>
      </c>
      <c r="AA107" s="16">
        <v>3.8</v>
      </c>
      <c r="AB107" s="16">
        <v>2.8</v>
      </c>
      <c r="AC107" s="16">
        <v>4.4000000000000004</v>
      </c>
      <c r="AD107" s="16">
        <v>0.4</v>
      </c>
      <c r="AE107" s="16"/>
      <c r="AF107" s="16">
        <f>G107*R107</f>
        <v>7.6160000000000005</v>
      </c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</row>
    <row r="108" spans="1:47" x14ac:dyDescent="0.25">
      <c r="A108" s="8" t="s">
        <v>168</v>
      </c>
      <c r="B108" s="8" t="s">
        <v>38</v>
      </c>
      <c r="C108" s="8">
        <v>-5</v>
      </c>
      <c r="D108" s="8">
        <v>47</v>
      </c>
      <c r="E108" s="8">
        <v>32</v>
      </c>
      <c r="F108" s="8">
        <v>6</v>
      </c>
      <c r="G108" s="9">
        <v>0</v>
      </c>
      <c r="H108" s="8">
        <v>50</v>
      </c>
      <c r="I108" s="8" t="s">
        <v>60</v>
      </c>
      <c r="J108" s="8"/>
      <c r="K108" s="8">
        <v>39</v>
      </c>
      <c r="L108" s="8">
        <f t="shared" si="22"/>
        <v>-7</v>
      </c>
      <c r="M108" s="8">
        <f t="shared" si="23"/>
        <v>0</v>
      </c>
      <c r="N108" s="8">
        <v>32</v>
      </c>
      <c r="O108" s="8">
        <v>0</v>
      </c>
      <c r="P108" s="8"/>
      <c r="Q108" s="8">
        <f t="shared" si="24"/>
        <v>0</v>
      </c>
      <c r="R108" s="10"/>
      <c r="S108" s="8" t="e">
        <f t="shared" si="25"/>
        <v>#DIV/0!</v>
      </c>
      <c r="T108" s="8" t="e">
        <f t="shared" si="26"/>
        <v>#DIV/0!</v>
      </c>
      <c r="U108" s="8">
        <v>0</v>
      </c>
      <c r="V108" s="8">
        <v>0</v>
      </c>
      <c r="W108" s="8">
        <v>1</v>
      </c>
      <c r="X108" s="8">
        <v>6</v>
      </c>
      <c r="Y108" s="8">
        <v>3.4</v>
      </c>
      <c r="Z108" s="8">
        <v>0.2</v>
      </c>
      <c r="AA108" s="8">
        <v>1.4</v>
      </c>
      <c r="AB108" s="8">
        <v>3</v>
      </c>
      <c r="AC108" s="8">
        <v>4</v>
      </c>
      <c r="AD108" s="8">
        <v>0.2</v>
      </c>
      <c r="AE108" s="8"/>
      <c r="AF108" s="8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</row>
    <row r="109" spans="1:47" x14ac:dyDescent="0.25">
      <c r="A109" s="8" t="s">
        <v>169</v>
      </c>
      <c r="B109" s="8" t="s">
        <v>38</v>
      </c>
      <c r="C109" s="8"/>
      <c r="D109" s="8">
        <v>38</v>
      </c>
      <c r="E109" s="8">
        <v>24</v>
      </c>
      <c r="F109" s="8"/>
      <c r="G109" s="9">
        <v>0</v>
      </c>
      <c r="H109" s="8"/>
      <c r="I109" s="11" t="s">
        <v>60</v>
      </c>
      <c r="J109" s="8"/>
      <c r="K109" s="8">
        <v>24</v>
      </c>
      <c r="L109" s="8">
        <f t="shared" si="22"/>
        <v>0</v>
      </c>
      <c r="M109" s="8">
        <f t="shared" si="23"/>
        <v>0</v>
      </c>
      <c r="N109" s="8">
        <v>24</v>
      </c>
      <c r="O109" s="8"/>
      <c r="P109" s="8"/>
      <c r="Q109" s="8">
        <f t="shared" si="24"/>
        <v>0</v>
      </c>
      <c r="R109" s="10"/>
      <c r="S109" s="8" t="e">
        <f t="shared" si="25"/>
        <v>#DIV/0!</v>
      </c>
      <c r="T109" s="8" t="e">
        <f t="shared" si="26"/>
        <v>#DIV/0!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/>
      <c r="AF109" s="8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</row>
    <row r="110" spans="1:47" x14ac:dyDescent="0.25">
      <c r="A110" s="8" t="s">
        <v>170</v>
      </c>
      <c r="B110" s="8" t="s">
        <v>38</v>
      </c>
      <c r="C110" s="8"/>
      <c r="D110" s="8">
        <v>42</v>
      </c>
      <c r="E110" s="8">
        <v>32</v>
      </c>
      <c r="F110" s="8"/>
      <c r="G110" s="9">
        <v>0</v>
      </c>
      <c r="H110" s="8"/>
      <c r="I110" s="11" t="s">
        <v>60</v>
      </c>
      <c r="J110" s="8"/>
      <c r="K110" s="8">
        <v>32</v>
      </c>
      <c r="L110" s="8">
        <f t="shared" si="22"/>
        <v>0</v>
      </c>
      <c r="M110" s="8">
        <f t="shared" si="23"/>
        <v>0</v>
      </c>
      <c r="N110" s="8">
        <v>32</v>
      </c>
      <c r="O110" s="8"/>
      <c r="P110" s="8"/>
      <c r="Q110" s="8">
        <f t="shared" si="24"/>
        <v>0</v>
      </c>
      <c r="R110" s="10"/>
      <c r="S110" s="8" t="e">
        <f t="shared" si="25"/>
        <v>#DIV/0!</v>
      </c>
      <c r="T110" s="8" t="e">
        <f t="shared" si="26"/>
        <v>#DIV/0!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/>
      <c r="AF110" s="8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</row>
    <row r="111" spans="1:47" x14ac:dyDescent="0.25">
      <c r="A111" s="8" t="s">
        <v>171</v>
      </c>
      <c r="B111" s="8" t="s">
        <v>38</v>
      </c>
      <c r="C111" s="8">
        <v>-7</v>
      </c>
      <c r="D111" s="8">
        <v>13</v>
      </c>
      <c r="E111" s="8">
        <v>-3</v>
      </c>
      <c r="F111" s="8"/>
      <c r="G111" s="9">
        <v>0</v>
      </c>
      <c r="H111" s="8">
        <v>45</v>
      </c>
      <c r="I111" s="8" t="s">
        <v>60</v>
      </c>
      <c r="J111" s="8"/>
      <c r="K111" s="8">
        <v>15</v>
      </c>
      <c r="L111" s="8">
        <f t="shared" si="22"/>
        <v>-18</v>
      </c>
      <c r="M111" s="8">
        <f t="shared" si="23"/>
        <v>-3</v>
      </c>
      <c r="N111" s="8"/>
      <c r="O111" s="8">
        <v>0</v>
      </c>
      <c r="P111" s="8"/>
      <c r="Q111" s="8">
        <f t="shared" si="24"/>
        <v>-0.6</v>
      </c>
      <c r="R111" s="10"/>
      <c r="S111" s="8">
        <f t="shared" si="25"/>
        <v>0</v>
      </c>
      <c r="T111" s="8">
        <f t="shared" si="26"/>
        <v>0</v>
      </c>
      <c r="U111" s="8">
        <v>-0.8</v>
      </c>
      <c r="V111" s="8">
        <v>1.2</v>
      </c>
      <c r="W111" s="8">
        <v>9.6</v>
      </c>
      <c r="X111" s="8">
        <v>27.4</v>
      </c>
      <c r="Y111" s="8">
        <v>23.4</v>
      </c>
      <c r="Z111" s="8">
        <v>24.4</v>
      </c>
      <c r="AA111" s="8">
        <v>12.4</v>
      </c>
      <c r="AB111" s="8">
        <v>33.200000000000003</v>
      </c>
      <c r="AC111" s="8">
        <v>32.6</v>
      </c>
      <c r="AD111" s="8">
        <v>21</v>
      </c>
      <c r="AE111" s="8" t="s">
        <v>91</v>
      </c>
      <c r="AF111" s="8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</row>
    <row r="112" spans="1:47" x14ac:dyDescent="0.25">
      <c r="A112" s="16" t="s">
        <v>172</v>
      </c>
      <c r="B112" s="16" t="s">
        <v>38</v>
      </c>
      <c r="C112" s="16">
        <v>412</v>
      </c>
      <c r="D112" s="16">
        <v>573</v>
      </c>
      <c r="E112" s="16">
        <v>224</v>
      </c>
      <c r="F112" s="16">
        <v>238</v>
      </c>
      <c r="G112" s="6">
        <v>0.12</v>
      </c>
      <c r="H112" s="16">
        <v>60</v>
      </c>
      <c r="I112" s="16" t="s">
        <v>39</v>
      </c>
      <c r="J112" s="16"/>
      <c r="K112" s="16">
        <v>239</v>
      </c>
      <c r="L112" s="16">
        <f t="shared" si="22"/>
        <v>-15</v>
      </c>
      <c r="M112" s="16">
        <f t="shared" si="23"/>
        <v>184</v>
      </c>
      <c r="N112" s="16">
        <v>40</v>
      </c>
      <c r="O112" s="16">
        <v>112</v>
      </c>
      <c r="P112" s="16"/>
      <c r="Q112" s="16">
        <f t="shared" si="24"/>
        <v>36.799999999999997</v>
      </c>
      <c r="R112" s="4">
        <f>15*Q112-P112-O112-F112</f>
        <v>202</v>
      </c>
      <c r="S112" s="16">
        <f t="shared" si="25"/>
        <v>15.000000000000002</v>
      </c>
      <c r="T112" s="16">
        <f t="shared" si="26"/>
        <v>9.5108695652173925</v>
      </c>
      <c r="U112" s="16">
        <v>33.799999999999997</v>
      </c>
      <c r="V112" s="16">
        <v>32.200000000000003</v>
      </c>
      <c r="W112" s="16">
        <v>48.4</v>
      </c>
      <c r="X112" s="16">
        <v>25</v>
      </c>
      <c r="Y112" s="16">
        <v>67</v>
      </c>
      <c r="Z112" s="16">
        <v>112.6</v>
      </c>
      <c r="AA112" s="16">
        <v>98</v>
      </c>
      <c r="AB112" s="16">
        <v>31</v>
      </c>
      <c r="AC112" s="16">
        <v>50.6</v>
      </c>
      <c r="AD112" s="16">
        <v>42.6</v>
      </c>
      <c r="AE112" s="16"/>
      <c r="AF112" s="16">
        <f>G112*R112</f>
        <v>24.24</v>
      </c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</row>
    <row r="113" spans="1:47" x14ac:dyDescent="0.25">
      <c r="A113" s="8" t="s">
        <v>173</v>
      </c>
      <c r="B113" s="8" t="s">
        <v>38</v>
      </c>
      <c r="C113" s="8"/>
      <c r="D113" s="8">
        <v>21</v>
      </c>
      <c r="E113" s="8">
        <v>16</v>
      </c>
      <c r="F113" s="8"/>
      <c r="G113" s="9">
        <v>0</v>
      </c>
      <c r="H113" s="8"/>
      <c r="I113" s="11" t="s">
        <v>60</v>
      </c>
      <c r="J113" s="8"/>
      <c r="K113" s="8">
        <v>16</v>
      </c>
      <c r="L113" s="8">
        <f t="shared" si="22"/>
        <v>0</v>
      </c>
      <c r="M113" s="8">
        <f t="shared" si="23"/>
        <v>0</v>
      </c>
      <c r="N113" s="8">
        <v>16</v>
      </c>
      <c r="O113" s="8"/>
      <c r="P113" s="8"/>
      <c r="Q113" s="8">
        <f t="shared" si="24"/>
        <v>0</v>
      </c>
      <c r="R113" s="10"/>
      <c r="S113" s="8" t="e">
        <f t="shared" si="25"/>
        <v>#DIV/0!</v>
      </c>
      <c r="T113" s="8" t="e">
        <f t="shared" si="26"/>
        <v>#DIV/0!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/>
      <c r="AF113" s="8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</row>
    <row r="114" spans="1:47" x14ac:dyDescent="0.25">
      <c r="A114" s="16" t="s">
        <v>174</v>
      </c>
      <c r="B114" s="16" t="s">
        <v>38</v>
      </c>
      <c r="C114" s="16">
        <v>56</v>
      </c>
      <c r="D114" s="16">
        <v>424</v>
      </c>
      <c r="E114" s="16">
        <v>239</v>
      </c>
      <c r="F114" s="16">
        <v>49</v>
      </c>
      <c r="G114" s="6">
        <v>0.33</v>
      </c>
      <c r="H114" s="16">
        <v>30</v>
      </c>
      <c r="I114" s="16" t="s">
        <v>39</v>
      </c>
      <c r="J114" s="16"/>
      <c r="K114" s="16">
        <v>273</v>
      </c>
      <c r="L114" s="16">
        <f t="shared" si="22"/>
        <v>-34</v>
      </c>
      <c r="M114" s="16">
        <f t="shared" si="23"/>
        <v>239</v>
      </c>
      <c r="N114" s="16"/>
      <c r="O114" s="16">
        <v>155</v>
      </c>
      <c r="P114" s="16">
        <v>155</v>
      </c>
      <c r="Q114" s="16">
        <f t="shared" si="24"/>
        <v>47.8</v>
      </c>
      <c r="R114" s="4">
        <f>15*Q114-P114-O114-F114</f>
        <v>358</v>
      </c>
      <c r="S114" s="16">
        <f t="shared" si="25"/>
        <v>15.000000000000002</v>
      </c>
      <c r="T114" s="16">
        <f t="shared" si="26"/>
        <v>7.5104602510460259</v>
      </c>
      <c r="U114" s="16">
        <v>38</v>
      </c>
      <c r="V114" s="16">
        <v>34.799999999999997</v>
      </c>
      <c r="W114" s="16">
        <v>24.4</v>
      </c>
      <c r="X114" s="16">
        <v>46.2</v>
      </c>
      <c r="Y114" s="16">
        <v>28</v>
      </c>
      <c r="Z114" s="16">
        <v>24</v>
      </c>
      <c r="AA114" s="16">
        <v>41.2</v>
      </c>
      <c r="AB114" s="16">
        <v>37.200000000000003</v>
      </c>
      <c r="AC114" s="16">
        <v>56.2</v>
      </c>
      <c r="AD114" s="16">
        <v>49.8</v>
      </c>
      <c r="AE114" s="16"/>
      <c r="AF114" s="16">
        <f>G114*R114</f>
        <v>118.14</v>
      </c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</row>
    <row r="115" spans="1:47" x14ac:dyDescent="0.25">
      <c r="A115" s="16" t="s">
        <v>175</v>
      </c>
      <c r="B115" s="16" t="s">
        <v>38</v>
      </c>
      <c r="C115" s="16">
        <v>1</v>
      </c>
      <c r="D115" s="16">
        <v>194</v>
      </c>
      <c r="E115" s="16">
        <v>115</v>
      </c>
      <c r="F115" s="16">
        <v>29</v>
      </c>
      <c r="G115" s="6">
        <v>0.15</v>
      </c>
      <c r="H115" s="16">
        <v>60</v>
      </c>
      <c r="I115" s="16" t="s">
        <v>39</v>
      </c>
      <c r="J115" s="16"/>
      <c r="K115" s="16">
        <v>136</v>
      </c>
      <c r="L115" s="16">
        <f t="shared" si="22"/>
        <v>-21</v>
      </c>
      <c r="M115" s="16">
        <f t="shared" si="23"/>
        <v>115</v>
      </c>
      <c r="N115" s="16"/>
      <c r="O115" s="16">
        <v>90</v>
      </c>
      <c r="P115" s="16"/>
      <c r="Q115" s="16">
        <f t="shared" si="24"/>
        <v>23</v>
      </c>
      <c r="R115" s="4">
        <f>13*Q115-P115-O115-F115</f>
        <v>180</v>
      </c>
      <c r="S115" s="16">
        <f t="shared" si="25"/>
        <v>13</v>
      </c>
      <c r="T115" s="16">
        <f t="shared" si="26"/>
        <v>5.1739130434782608</v>
      </c>
      <c r="U115" s="16">
        <v>9.8000000000000007</v>
      </c>
      <c r="V115" s="16">
        <v>7.8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 t="s">
        <v>78</v>
      </c>
      <c r="AF115" s="16">
        <f>G115*R115</f>
        <v>27</v>
      </c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</row>
    <row r="116" spans="1:47" x14ac:dyDescent="0.25">
      <c r="A116" s="8" t="s">
        <v>176</v>
      </c>
      <c r="B116" s="8" t="s">
        <v>38</v>
      </c>
      <c r="C116" s="8">
        <v>1</v>
      </c>
      <c r="D116" s="8">
        <v>1</v>
      </c>
      <c r="E116" s="8">
        <v>-7</v>
      </c>
      <c r="F116" s="8"/>
      <c r="G116" s="9">
        <v>0</v>
      </c>
      <c r="H116" s="8">
        <v>45</v>
      </c>
      <c r="I116" s="8" t="s">
        <v>91</v>
      </c>
      <c r="J116" s="8"/>
      <c r="K116" s="8">
        <v>22</v>
      </c>
      <c r="L116" s="8">
        <f t="shared" si="22"/>
        <v>-29</v>
      </c>
      <c r="M116" s="8">
        <f t="shared" si="23"/>
        <v>-7</v>
      </c>
      <c r="N116" s="8"/>
      <c r="O116" s="8">
        <v>0</v>
      </c>
      <c r="P116" s="8"/>
      <c r="Q116" s="8">
        <f t="shared" si="24"/>
        <v>-1.4</v>
      </c>
      <c r="R116" s="10"/>
      <c r="S116" s="8">
        <f t="shared" si="25"/>
        <v>0</v>
      </c>
      <c r="T116" s="8">
        <f t="shared" si="26"/>
        <v>0</v>
      </c>
      <c r="U116" s="8">
        <v>-0.6</v>
      </c>
      <c r="V116" s="8">
        <v>2.6</v>
      </c>
      <c r="W116" s="8">
        <v>5</v>
      </c>
      <c r="X116" s="8">
        <v>3.8</v>
      </c>
      <c r="Y116" s="8">
        <v>4.5999999999999996</v>
      </c>
      <c r="Z116" s="8">
        <v>4.4000000000000004</v>
      </c>
      <c r="AA116" s="8">
        <v>0</v>
      </c>
      <c r="AB116" s="8">
        <v>31.2</v>
      </c>
      <c r="AC116" s="8">
        <v>0</v>
      </c>
      <c r="AD116" s="8">
        <v>0</v>
      </c>
      <c r="AE116" s="8" t="s">
        <v>91</v>
      </c>
      <c r="AF116" s="8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</row>
    <row r="117" spans="1:47" x14ac:dyDescent="0.25">
      <c r="A117" s="16" t="s">
        <v>177</v>
      </c>
      <c r="B117" s="16" t="s">
        <v>38</v>
      </c>
      <c r="C117" s="16">
        <v>-1</v>
      </c>
      <c r="D117" s="16">
        <v>80</v>
      </c>
      <c r="E117" s="16">
        <v>43</v>
      </c>
      <c r="F117" s="16">
        <v>26</v>
      </c>
      <c r="G117" s="6">
        <v>0.26</v>
      </c>
      <c r="H117" s="16">
        <v>45</v>
      </c>
      <c r="I117" s="16" t="s">
        <v>39</v>
      </c>
      <c r="J117" s="16"/>
      <c r="K117" s="16">
        <v>73</v>
      </c>
      <c r="L117" s="16">
        <f t="shared" si="22"/>
        <v>-30</v>
      </c>
      <c r="M117" s="16">
        <f t="shared" si="23"/>
        <v>43</v>
      </c>
      <c r="N117" s="16"/>
      <c r="O117" s="16">
        <v>40</v>
      </c>
      <c r="P117" s="16"/>
      <c r="Q117" s="16">
        <f t="shared" si="24"/>
        <v>8.6</v>
      </c>
      <c r="R117" s="4">
        <f>15*Q117-P117-O117-F117</f>
        <v>63</v>
      </c>
      <c r="S117" s="16">
        <f t="shared" si="25"/>
        <v>15</v>
      </c>
      <c r="T117" s="16">
        <f t="shared" si="26"/>
        <v>7.6744186046511631</v>
      </c>
      <c r="U117" s="16">
        <v>4.2</v>
      </c>
      <c r="V117" s="16">
        <v>0.6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 t="s">
        <v>78</v>
      </c>
      <c r="AF117" s="16">
        <f>G117*R117</f>
        <v>16.38</v>
      </c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</row>
    <row r="118" spans="1:47" x14ac:dyDescent="0.25">
      <c r="A118" s="12" t="s">
        <v>178</v>
      </c>
      <c r="B118" s="12" t="s">
        <v>35</v>
      </c>
      <c r="C118" s="12"/>
      <c r="D118" s="12"/>
      <c r="E118" s="12"/>
      <c r="F118" s="12"/>
      <c r="G118" s="13">
        <v>0</v>
      </c>
      <c r="H118" s="12"/>
      <c r="I118" s="12" t="s">
        <v>36</v>
      </c>
      <c r="J118" s="12"/>
      <c r="K118" s="12"/>
      <c r="L118" s="12">
        <f t="shared" si="22"/>
        <v>0</v>
      </c>
      <c r="M118" s="12">
        <f t="shared" si="23"/>
        <v>0</v>
      </c>
      <c r="N118" s="12"/>
      <c r="O118" s="12">
        <v>20</v>
      </c>
      <c r="P118" s="12"/>
      <c r="Q118" s="12">
        <f t="shared" si="24"/>
        <v>0</v>
      </c>
      <c r="R118" s="14"/>
      <c r="S118" s="12" t="e">
        <f t="shared" si="25"/>
        <v>#DIV/0!</v>
      </c>
      <c r="T118" s="12" t="e">
        <f t="shared" si="26"/>
        <v>#DIV/0!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1001017557514</v>
      </c>
      <c r="AF118" s="12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</row>
    <row r="119" spans="1:47" x14ac:dyDescent="0.25">
      <c r="A119" s="16" t="s">
        <v>179</v>
      </c>
      <c r="B119" s="16" t="s">
        <v>38</v>
      </c>
      <c r="C119" s="16"/>
      <c r="D119" s="16">
        <v>85</v>
      </c>
      <c r="E119" s="16">
        <v>38</v>
      </c>
      <c r="F119" s="16">
        <v>33</v>
      </c>
      <c r="G119" s="6">
        <v>0.31</v>
      </c>
      <c r="H119" s="16">
        <v>45</v>
      </c>
      <c r="I119" s="16" t="s">
        <v>39</v>
      </c>
      <c r="J119" s="16"/>
      <c r="K119" s="16">
        <v>49</v>
      </c>
      <c r="L119" s="16">
        <f t="shared" si="22"/>
        <v>-11</v>
      </c>
      <c r="M119" s="16">
        <f t="shared" si="23"/>
        <v>38</v>
      </c>
      <c r="N119" s="16"/>
      <c r="O119" s="16">
        <v>40</v>
      </c>
      <c r="P119" s="16"/>
      <c r="Q119" s="16">
        <f t="shared" si="24"/>
        <v>7.6</v>
      </c>
      <c r="R119" s="4">
        <f>15*Q119-P119-O119-F119</f>
        <v>41</v>
      </c>
      <c r="S119" s="16">
        <f t="shared" si="25"/>
        <v>15</v>
      </c>
      <c r="T119" s="16">
        <f t="shared" si="26"/>
        <v>9.6052631578947381</v>
      </c>
      <c r="U119" s="16">
        <v>4.4000000000000004</v>
      </c>
      <c r="V119" s="16">
        <v>0.2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 t="s">
        <v>78</v>
      </c>
      <c r="AF119" s="16">
        <f>G119*R119</f>
        <v>12.709999999999999</v>
      </c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</row>
    <row r="120" spans="1:47" x14ac:dyDescent="0.25">
      <c r="A120" s="12" t="s">
        <v>180</v>
      </c>
      <c r="B120" s="12" t="s">
        <v>35</v>
      </c>
      <c r="C120" s="12"/>
      <c r="D120" s="12"/>
      <c r="E120" s="12"/>
      <c r="F120" s="12"/>
      <c r="G120" s="13">
        <v>0</v>
      </c>
      <c r="H120" s="12"/>
      <c r="I120" s="12" t="s">
        <v>36</v>
      </c>
      <c r="J120" s="12"/>
      <c r="K120" s="12"/>
      <c r="L120" s="12">
        <f t="shared" si="22"/>
        <v>0</v>
      </c>
      <c r="M120" s="12">
        <f t="shared" si="23"/>
        <v>0</v>
      </c>
      <c r="N120" s="12"/>
      <c r="O120" s="12">
        <v>30</v>
      </c>
      <c r="P120" s="12"/>
      <c r="Q120" s="12">
        <f t="shared" si="24"/>
        <v>0</v>
      </c>
      <c r="R120" s="14"/>
      <c r="S120" s="12" t="e">
        <f t="shared" si="25"/>
        <v>#DIV/0!</v>
      </c>
      <c r="T120" s="12" t="e">
        <f t="shared" si="26"/>
        <v>#DIV/0!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1001017567518</v>
      </c>
      <c r="AF120" s="12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</row>
    <row r="121" spans="1:47" x14ac:dyDescent="0.25">
      <c r="A121" s="16" t="s">
        <v>181</v>
      </c>
      <c r="B121" s="16" t="s">
        <v>38</v>
      </c>
      <c r="C121" s="16">
        <v>187</v>
      </c>
      <c r="D121" s="16">
        <v>316</v>
      </c>
      <c r="E121" s="16">
        <v>274</v>
      </c>
      <c r="F121" s="16">
        <v>25</v>
      </c>
      <c r="G121" s="6">
        <v>0.4</v>
      </c>
      <c r="H121" s="16">
        <v>60</v>
      </c>
      <c r="I121" s="16" t="s">
        <v>39</v>
      </c>
      <c r="J121" s="16"/>
      <c r="K121" s="16">
        <v>295</v>
      </c>
      <c r="L121" s="16">
        <f t="shared" si="22"/>
        <v>-21</v>
      </c>
      <c r="M121" s="16">
        <f t="shared" si="23"/>
        <v>214</v>
      </c>
      <c r="N121" s="16">
        <v>60</v>
      </c>
      <c r="O121" s="16">
        <v>143</v>
      </c>
      <c r="P121" s="16"/>
      <c r="Q121" s="16">
        <f t="shared" si="24"/>
        <v>42.8</v>
      </c>
      <c r="R121" s="4">
        <f>12*Q121-P121-O121-F121</f>
        <v>345.59999999999991</v>
      </c>
      <c r="S121" s="16">
        <f t="shared" si="25"/>
        <v>11.999999999999998</v>
      </c>
      <c r="T121" s="16">
        <f t="shared" si="26"/>
        <v>3.9252336448598135</v>
      </c>
      <c r="U121" s="16">
        <v>21.6</v>
      </c>
      <c r="V121" s="16">
        <v>25.6</v>
      </c>
      <c r="W121" s="16">
        <v>34.799999999999997</v>
      </c>
      <c r="X121" s="16">
        <v>20.2</v>
      </c>
      <c r="Y121" s="16">
        <v>25.8</v>
      </c>
      <c r="Z121" s="16">
        <v>39.4</v>
      </c>
      <c r="AA121" s="16">
        <v>20.399999999999999</v>
      </c>
      <c r="AB121" s="16">
        <v>9.4</v>
      </c>
      <c r="AC121" s="16">
        <v>35.200000000000003</v>
      </c>
      <c r="AD121" s="16">
        <v>13</v>
      </c>
      <c r="AE121" s="16"/>
      <c r="AF121" s="16">
        <f>G121*R121</f>
        <v>138.23999999999998</v>
      </c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</row>
    <row r="122" spans="1:47" x14ac:dyDescent="0.25">
      <c r="A122" s="12" t="s">
        <v>182</v>
      </c>
      <c r="B122" s="12" t="s">
        <v>35</v>
      </c>
      <c r="C122" s="12"/>
      <c r="D122" s="12"/>
      <c r="E122" s="12"/>
      <c r="F122" s="12"/>
      <c r="G122" s="13">
        <v>0</v>
      </c>
      <c r="H122" s="12"/>
      <c r="I122" s="12" t="s">
        <v>36</v>
      </c>
      <c r="J122" s="12"/>
      <c r="K122" s="12"/>
      <c r="L122" s="12">
        <f t="shared" si="22"/>
        <v>0</v>
      </c>
      <c r="M122" s="12">
        <f t="shared" si="23"/>
        <v>0</v>
      </c>
      <c r="N122" s="12"/>
      <c r="O122" s="12">
        <v>20</v>
      </c>
      <c r="P122" s="12"/>
      <c r="Q122" s="12">
        <f t="shared" si="24"/>
        <v>0</v>
      </c>
      <c r="R122" s="14"/>
      <c r="S122" s="12" t="e">
        <f t="shared" si="25"/>
        <v>#DIV/0!</v>
      </c>
      <c r="T122" s="12" t="e">
        <f t="shared" si="26"/>
        <v>#DIV/0!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1001010017536</v>
      </c>
      <c r="AF122" s="12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</row>
    <row r="123" spans="1:47" x14ac:dyDescent="0.25">
      <c r="A123" s="16" t="s">
        <v>68</v>
      </c>
      <c r="B123" s="16" t="s">
        <v>38</v>
      </c>
      <c r="C123" s="16">
        <v>-24</v>
      </c>
      <c r="D123" s="16">
        <v>336</v>
      </c>
      <c r="E123" s="16">
        <v>130</v>
      </c>
      <c r="F123" s="16">
        <v>2</v>
      </c>
      <c r="G123" s="6">
        <v>0.35</v>
      </c>
      <c r="H123" s="16">
        <v>60</v>
      </c>
      <c r="I123" s="16" t="s">
        <v>39</v>
      </c>
      <c r="J123" s="16"/>
      <c r="K123" s="16">
        <v>242</v>
      </c>
      <c r="L123" s="16">
        <f t="shared" si="22"/>
        <v>-112</v>
      </c>
      <c r="M123" s="16">
        <f t="shared" si="23"/>
        <v>130</v>
      </c>
      <c r="N123" s="16"/>
      <c r="O123" s="16">
        <v>0</v>
      </c>
      <c r="P123" s="16"/>
      <c r="Q123" s="16">
        <f t="shared" si="24"/>
        <v>26</v>
      </c>
      <c r="R123" s="4">
        <f>7*Q123-P123-O123-F123</f>
        <v>180</v>
      </c>
      <c r="S123" s="16">
        <f t="shared" si="25"/>
        <v>7</v>
      </c>
      <c r="T123" s="16">
        <f t="shared" si="26"/>
        <v>7.6923076923076927E-2</v>
      </c>
      <c r="U123" s="16">
        <v>4.8</v>
      </c>
      <c r="V123" s="16">
        <v>16.2</v>
      </c>
      <c r="W123" s="16">
        <v>6.2</v>
      </c>
      <c r="X123" s="16">
        <v>7</v>
      </c>
      <c r="Y123" s="16">
        <v>4.4000000000000004</v>
      </c>
      <c r="Z123" s="16">
        <v>1.4</v>
      </c>
      <c r="AA123" s="16">
        <v>0</v>
      </c>
      <c r="AB123" s="16">
        <v>0</v>
      </c>
      <c r="AC123" s="16">
        <v>0</v>
      </c>
      <c r="AD123" s="16">
        <v>0</v>
      </c>
      <c r="AE123" s="16" t="s">
        <v>183</v>
      </c>
      <c r="AF123" s="16">
        <f>G123*R123</f>
        <v>62.999999999999993</v>
      </c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</row>
    <row r="124" spans="1:47" x14ac:dyDescent="0.25">
      <c r="A124" s="16" t="s">
        <v>184</v>
      </c>
      <c r="B124" s="16" t="s">
        <v>35</v>
      </c>
      <c r="C124" s="16"/>
      <c r="D124" s="16">
        <v>220.566</v>
      </c>
      <c r="E124" s="16">
        <v>128.36099999999999</v>
      </c>
      <c r="F124" s="16">
        <v>29.88</v>
      </c>
      <c r="G124" s="6">
        <v>1</v>
      </c>
      <c r="H124" s="16">
        <v>45</v>
      </c>
      <c r="I124" s="16" t="s">
        <v>39</v>
      </c>
      <c r="J124" s="16"/>
      <c r="K124" s="16">
        <v>190.446</v>
      </c>
      <c r="L124" s="16">
        <f t="shared" si="22"/>
        <v>-62.085000000000008</v>
      </c>
      <c r="M124" s="16">
        <f t="shared" si="23"/>
        <v>128.36099999999999</v>
      </c>
      <c r="N124" s="16"/>
      <c r="O124" s="16">
        <v>0</v>
      </c>
      <c r="P124" s="16"/>
      <c r="Q124" s="16">
        <f t="shared" si="24"/>
        <v>25.672199999999997</v>
      </c>
      <c r="R124" s="4">
        <f>8*Q124-P124-O124-F124</f>
        <v>175.49759999999998</v>
      </c>
      <c r="S124" s="16">
        <f t="shared" si="25"/>
        <v>8</v>
      </c>
      <c r="T124" s="16">
        <f t="shared" si="26"/>
        <v>1.1639049243929231</v>
      </c>
      <c r="U124" s="16">
        <v>0</v>
      </c>
      <c r="V124" s="16">
        <v>1.7081999999999999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 t="s">
        <v>78</v>
      </c>
      <c r="AF124" s="16">
        <f>G124*R124</f>
        <v>175.49759999999998</v>
      </c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</row>
    <row r="125" spans="1:47" x14ac:dyDescent="0.25">
      <c r="A125" s="16" t="s">
        <v>185</v>
      </c>
      <c r="B125" s="16" t="s">
        <v>35</v>
      </c>
      <c r="C125" s="16">
        <v>15.04</v>
      </c>
      <c r="D125" s="16">
        <v>9.3520000000000003</v>
      </c>
      <c r="E125" s="16">
        <v>15.122</v>
      </c>
      <c r="F125" s="16"/>
      <c r="G125" s="6">
        <v>1</v>
      </c>
      <c r="H125" s="16">
        <v>45</v>
      </c>
      <c r="I125" s="16" t="s">
        <v>39</v>
      </c>
      <c r="J125" s="16"/>
      <c r="K125" s="16">
        <v>15.8</v>
      </c>
      <c r="L125" s="16">
        <f t="shared" si="22"/>
        <v>-0.67800000000000082</v>
      </c>
      <c r="M125" s="16">
        <f t="shared" si="23"/>
        <v>15.122</v>
      </c>
      <c r="N125" s="16"/>
      <c r="O125" s="16">
        <v>34</v>
      </c>
      <c r="P125" s="16"/>
      <c r="Q125" s="16">
        <f t="shared" si="24"/>
        <v>3.0244</v>
      </c>
      <c r="R125" s="4">
        <f>15*Q125-P125-O125-F125</f>
        <v>11.366</v>
      </c>
      <c r="S125" s="16">
        <f t="shared" si="25"/>
        <v>15</v>
      </c>
      <c r="T125" s="16">
        <f t="shared" si="26"/>
        <v>11.241899219679937</v>
      </c>
      <c r="U125" s="16">
        <v>3.8746</v>
      </c>
      <c r="V125" s="16">
        <v>1.1996</v>
      </c>
      <c r="W125" s="16">
        <v>3.2330000000000001</v>
      </c>
      <c r="X125" s="16">
        <v>0.84600000000000009</v>
      </c>
      <c r="Y125" s="16">
        <v>0</v>
      </c>
      <c r="Z125" s="16">
        <v>2.0257999999999998</v>
      </c>
      <c r="AA125" s="16">
        <v>0.68120000000000003</v>
      </c>
      <c r="AB125" s="16">
        <v>1.6926000000000001</v>
      </c>
      <c r="AC125" s="16">
        <v>4.6631999999999998</v>
      </c>
      <c r="AD125" s="16">
        <v>0</v>
      </c>
      <c r="AE125" s="16" t="s">
        <v>186</v>
      </c>
      <c r="AF125" s="16">
        <f>G125*R125</f>
        <v>11.366</v>
      </c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</row>
    <row r="126" spans="1:47" x14ac:dyDescent="0.25">
      <c r="A126" s="8" t="s">
        <v>187</v>
      </c>
      <c r="B126" s="8" t="s">
        <v>38</v>
      </c>
      <c r="C126" s="8">
        <v>257</v>
      </c>
      <c r="D126" s="8">
        <v>7</v>
      </c>
      <c r="E126" s="8">
        <v>44</v>
      </c>
      <c r="F126" s="8">
        <v>216</v>
      </c>
      <c r="G126" s="9">
        <v>0</v>
      </c>
      <c r="H126" s="8"/>
      <c r="I126" s="8" t="s">
        <v>60</v>
      </c>
      <c r="J126" s="8"/>
      <c r="K126" s="8">
        <v>96</v>
      </c>
      <c r="L126" s="8">
        <f t="shared" si="22"/>
        <v>-52</v>
      </c>
      <c r="M126" s="8">
        <f t="shared" si="23"/>
        <v>44</v>
      </c>
      <c r="N126" s="8"/>
      <c r="O126" s="8">
        <v>0</v>
      </c>
      <c r="P126" s="8"/>
      <c r="Q126" s="8">
        <f t="shared" si="24"/>
        <v>8.8000000000000007</v>
      </c>
      <c r="R126" s="10"/>
      <c r="S126" s="8">
        <f t="shared" si="25"/>
        <v>24.545454545454543</v>
      </c>
      <c r="T126" s="8">
        <f t="shared" si="26"/>
        <v>24.545454545454543</v>
      </c>
      <c r="U126" s="8">
        <v>5.2</v>
      </c>
      <c r="V126" s="8">
        <v>3</v>
      </c>
      <c r="W126" s="8">
        <v>0.4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 t="s">
        <v>188</v>
      </c>
      <c r="AF126" s="8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</row>
    <row r="127" spans="1:47" x14ac:dyDescent="0.25">
      <c r="A127" s="16" t="s">
        <v>189</v>
      </c>
      <c r="B127" s="16" t="s">
        <v>38</v>
      </c>
      <c r="C127" s="16">
        <v>113</v>
      </c>
      <c r="D127" s="16">
        <v>493</v>
      </c>
      <c r="E127" s="16">
        <v>153</v>
      </c>
      <c r="F127" s="16">
        <v>3</v>
      </c>
      <c r="G127" s="6">
        <v>0.33</v>
      </c>
      <c r="H127" s="16">
        <v>45</v>
      </c>
      <c r="I127" s="16" t="s">
        <v>39</v>
      </c>
      <c r="J127" s="16"/>
      <c r="K127" s="16">
        <v>199</v>
      </c>
      <c r="L127" s="16">
        <f t="shared" si="22"/>
        <v>-46</v>
      </c>
      <c r="M127" s="16">
        <f t="shared" si="23"/>
        <v>113</v>
      </c>
      <c r="N127" s="16">
        <v>40</v>
      </c>
      <c r="O127" s="16">
        <v>119</v>
      </c>
      <c r="P127" s="16"/>
      <c r="Q127" s="16">
        <f t="shared" si="24"/>
        <v>22.6</v>
      </c>
      <c r="R127" s="4">
        <f>13*Q127-P127-O127-F127</f>
        <v>171.8</v>
      </c>
      <c r="S127" s="16">
        <f t="shared" si="25"/>
        <v>13</v>
      </c>
      <c r="T127" s="16">
        <f t="shared" si="26"/>
        <v>5.3982300884955752</v>
      </c>
      <c r="U127" s="16">
        <v>15.6</v>
      </c>
      <c r="V127" s="16">
        <v>12.8</v>
      </c>
      <c r="W127" s="16">
        <v>28.4</v>
      </c>
      <c r="X127" s="16">
        <v>26.2</v>
      </c>
      <c r="Y127" s="16">
        <v>15</v>
      </c>
      <c r="Z127" s="16">
        <v>24.6</v>
      </c>
      <c r="AA127" s="16">
        <v>1</v>
      </c>
      <c r="AB127" s="16">
        <v>14.8</v>
      </c>
      <c r="AC127" s="16">
        <v>0</v>
      </c>
      <c r="AD127" s="16">
        <v>0</v>
      </c>
      <c r="AE127" s="16" t="s">
        <v>190</v>
      </c>
      <c r="AF127" s="16">
        <f>G127*R127</f>
        <v>56.69400000000001</v>
      </c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</row>
    <row r="128" spans="1:47" x14ac:dyDescent="0.25">
      <c r="A128" s="16" t="s">
        <v>87</v>
      </c>
      <c r="B128" s="16" t="s">
        <v>38</v>
      </c>
      <c r="C128" s="16">
        <v>92</v>
      </c>
      <c r="D128" s="16">
        <v>3</v>
      </c>
      <c r="E128" s="16">
        <v>6</v>
      </c>
      <c r="F128" s="16">
        <v>25</v>
      </c>
      <c r="G128" s="6">
        <v>0.1</v>
      </c>
      <c r="H128" s="16">
        <v>45</v>
      </c>
      <c r="I128" s="16" t="s">
        <v>39</v>
      </c>
      <c r="J128" s="16"/>
      <c r="K128" s="16">
        <v>172</v>
      </c>
      <c r="L128" s="16">
        <f t="shared" si="22"/>
        <v>-166</v>
      </c>
      <c r="M128" s="16">
        <f t="shared" si="23"/>
        <v>6</v>
      </c>
      <c r="N128" s="16"/>
      <c r="O128" s="16">
        <v>0</v>
      </c>
      <c r="P128" s="16"/>
      <c r="Q128" s="16">
        <f t="shared" si="24"/>
        <v>1.2</v>
      </c>
      <c r="R128" s="4"/>
      <c r="S128" s="16">
        <f t="shared" si="25"/>
        <v>20.833333333333336</v>
      </c>
      <c r="T128" s="16">
        <f t="shared" si="26"/>
        <v>20.833333333333336</v>
      </c>
      <c r="U128" s="16">
        <v>1.4</v>
      </c>
      <c r="V128" s="16">
        <v>2.4</v>
      </c>
      <c r="W128" s="16">
        <v>4</v>
      </c>
      <c r="X128" s="16">
        <v>2.8</v>
      </c>
      <c r="Y128" s="16">
        <v>11</v>
      </c>
      <c r="Z128" s="16">
        <v>4.2</v>
      </c>
      <c r="AA128" s="16">
        <v>0</v>
      </c>
      <c r="AB128" s="16">
        <v>0</v>
      </c>
      <c r="AC128" s="16">
        <v>0</v>
      </c>
      <c r="AD128" s="16">
        <v>0</v>
      </c>
      <c r="AE128" s="16" t="s">
        <v>191</v>
      </c>
      <c r="AF128" s="16">
        <f>G128*R128</f>
        <v>0</v>
      </c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</row>
    <row r="129" spans="1:47" x14ac:dyDescent="0.25">
      <c r="A129" s="16" t="s">
        <v>163</v>
      </c>
      <c r="B129" s="16" t="s">
        <v>38</v>
      </c>
      <c r="C129" s="16">
        <v>86</v>
      </c>
      <c r="D129" s="16">
        <v>61</v>
      </c>
      <c r="E129" s="16">
        <v>71</v>
      </c>
      <c r="F129" s="16">
        <v>25</v>
      </c>
      <c r="G129" s="6">
        <v>0.1</v>
      </c>
      <c r="H129" s="16">
        <v>60</v>
      </c>
      <c r="I129" s="16" t="s">
        <v>39</v>
      </c>
      <c r="J129" s="16"/>
      <c r="K129" s="16">
        <v>81</v>
      </c>
      <c r="L129" s="16">
        <f t="shared" si="22"/>
        <v>-10</v>
      </c>
      <c r="M129" s="16">
        <f t="shared" si="23"/>
        <v>41</v>
      </c>
      <c r="N129" s="16">
        <v>30</v>
      </c>
      <c r="O129" s="16">
        <v>0</v>
      </c>
      <c r="P129" s="16"/>
      <c r="Q129" s="16">
        <f t="shared" si="24"/>
        <v>8.1999999999999993</v>
      </c>
      <c r="R129" s="4">
        <f>11*Q129-P129-O129-F129</f>
        <v>65.199999999999989</v>
      </c>
      <c r="S129" s="16">
        <f t="shared" si="25"/>
        <v>11</v>
      </c>
      <c r="T129" s="16">
        <f t="shared" si="26"/>
        <v>3.0487804878048781</v>
      </c>
      <c r="U129" s="16">
        <v>2.4</v>
      </c>
      <c r="V129" s="16">
        <v>3.6</v>
      </c>
      <c r="W129" s="16">
        <v>7</v>
      </c>
      <c r="X129" s="16">
        <v>5.2</v>
      </c>
      <c r="Y129" s="16">
        <v>9.6</v>
      </c>
      <c r="Z129" s="16">
        <v>5.6</v>
      </c>
      <c r="AA129" s="16">
        <v>0</v>
      </c>
      <c r="AB129" s="16">
        <v>0</v>
      </c>
      <c r="AC129" s="16">
        <v>0</v>
      </c>
      <c r="AD129" s="16">
        <v>0</v>
      </c>
      <c r="AE129" s="18" t="s">
        <v>207</v>
      </c>
      <c r="AF129" s="16">
        <f>G129*R129</f>
        <v>6.52</v>
      </c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</row>
    <row r="130" spans="1:47" x14ac:dyDescent="0.25">
      <c r="A130" s="16" t="s">
        <v>84</v>
      </c>
      <c r="B130" s="16" t="s">
        <v>38</v>
      </c>
      <c r="C130" s="16">
        <v>115</v>
      </c>
      <c r="D130" s="16">
        <v>526</v>
      </c>
      <c r="E130" s="17">
        <f>165+E38</f>
        <v>166</v>
      </c>
      <c r="F130" s="16">
        <v>302</v>
      </c>
      <c r="G130" s="6">
        <v>0.1</v>
      </c>
      <c r="H130" s="16">
        <v>60</v>
      </c>
      <c r="I130" s="16" t="s">
        <v>39</v>
      </c>
      <c r="J130" s="16"/>
      <c r="K130" s="16">
        <v>172</v>
      </c>
      <c r="L130" s="16">
        <f t="shared" si="22"/>
        <v>-6</v>
      </c>
      <c r="M130" s="16">
        <f t="shared" si="23"/>
        <v>126</v>
      </c>
      <c r="N130" s="16">
        <v>40</v>
      </c>
      <c r="O130" s="16">
        <v>0</v>
      </c>
      <c r="P130" s="16"/>
      <c r="Q130" s="16">
        <f t="shared" si="24"/>
        <v>25.2</v>
      </c>
      <c r="R130" s="4">
        <f>15*Q130-P130-O130-F130</f>
        <v>76</v>
      </c>
      <c r="S130" s="16">
        <f t="shared" si="25"/>
        <v>15</v>
      </c>
      <c r="T130" s="16">
        <f t="shared" si="26"/>
        <v>11.984126984126984</v>
      </c>
      <c r="U130" s="16">
        <v>31</v>
      </c>
      <c r="V130" s="16">
        <v>42.2</v>
      </c>
      <c r="W130" s="16">
        <v>1.8</v>
      </c>
      <c r="X130" s="16">
        <v>6</v>
      </c>
      <c r="Y130" s="16">
        <v>38.799999999999997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 t="s">
        <v>192</v>
      </c>
      <c r="AF130" s="16">
        <f>G130*R130</f>
        <v>7.6000000000000005</v>
      </c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</row>
    <row r="131" spans="1:47" x14ac:dyDescent="0.25">
      <c r="A131" s="16" t="s">
        <v>81</v>
      </c>
      <c r="B131" s="16" t="s">
        <v>38</v>
      </c>
      <c r="C131" s="16">
        <v>554</v>
      </c>
      <c r="D131" s="16">
        <v>998</v>
      </c>
      <c r="E131" s="16">
        <v>248</v>
      </c>
      <c r="F131" s="16">
        <v>312</v>
      </c>
      <c r="G131" s="6">
        <v>0.1</v>
      </c>
      <c r="H131" s="16">
        <v>60</v>
      </c>
      <c r="I131" s="16" t="s">
        <v>39</v>
      </c>
      <c r="J131" s="16"/>
      <c r="K131" s="16">
        <v>307</v>
      </c>
      <c r="L131" s="16">
        <f t="shared" si="22"/>
        <v>-59</v>
      </c>
      <c r="M131" s="16">
        <f t="shared" si="23"/>
        <v>208</v>
      </c>
      <c r="N131" s="16">
        <v>40</v>
      </c>
      <c r="O131" s="16">
        <v>237</v>
      </c>
      <c r="P131" s="16">
        <v>238</v>
      </c>
      <c r="Q131" s="16">
        <f t="shared" si="24"/>
        <v>41.6</v>
      </c>
      <c r="R131" s="4"/>
      <c r="S131" s="16">
        <f t="shared" si="25"/>
        <v>18.91826923076923</v>
      </c>
      <c r="T131" s="16">
        <f t="shared" si="26"/>
        <v>18.91826923076923</v>
      </c>
      <c r="U131" s="16">
        <v>65.400000000000006</v>
      </c>
      <c r="V131" s="16">
        <v>15</v>
      </c>
      <c r="W131" s="16">
        <v>98</v>
      </c>
      <c r="X131" s="16">
        <v>37.200000000000003</v>
      </c>
      <c r="Y131" s="16">
        <v>28.6</v>
      </c>
      <c r="Z131" s="16">
        <v>54.8</v>
      </c>
      <c r="AA131" s="16">
        <v>0</v>
      </c>
      <c r="AB131" s="16">
        <v>0</v>
      </c>
      <c r="AC131" s="16">
        <v>0</v>
      </c>
      <c r="AD131" s="16">
        <v>0</v>
      </c>
      <c r="AE131" s="16" t="s">
        <v>193</v>
      </c>
      <c r="AF131" s="16">
        <f>G131*R131</f>
        <v>0</v>
      </c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</row>
    <row r="132" spans="1:47" x14ac:dyDescent="0.25">
      <c r="A132" s="12" t="s">
        <v>194</v>
      </c>
      <c r="B132" s="12" t="s">
        <v>38</v>
      </c>
      <c r="C132" s="12"/>
      <c r="D132" s="12">
        <v>26</v>
      </c>
      <c r="E132" s="12">
        <v>20</v>
      </c>
      <c r="F132" s="12"/>
      <c r="G132" s="13">
        <v>0</v>
      </c>
      <c r="H132" s="12"/>
      <c r="I132" s="12" t="s">
        <v>36</v>
      </c>
      <c r="J132" s="12"/>
      <c r="K132" s="12">
        <v>20</v>
      </c>
      <c r="L132" s="12">
        <f t="shared" si="22"/>
        <v>0</v>
      </c>
      <c r="M132" s="12">
        <f t="shared" si="23"/>
        <v>0</v>
      </c>
      <c r="N132" s="12">
        <v>20</v>
      </c>
      <c r="O132" s="12">
        <v>50</v>
      </c>
      <c r="P132" s="12"/>
      <c r="Q132" s="12">
        <f t="shared" si="24"/>
        <v>0</v>
      </c>
      <c r="R132" s="14"/>
      <c r="S132" s="12" t="e">
        <f t="shared" si="25"/>
        <v>#DIV/0!</v>
      </c>
      <c r="T132" s="12" t="e">
        <f t="shared" si="26"/>
        <v>#DIV/0!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1001066607626</v>
      </c>
      <c r="AF132" s="12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</row>
    <row r="133" spans="1:47" x14ac:dyDescent="0.25">
      <c r="A133" s="16" t="s">
        <v>73</v>
      </c>
      <c r="B133" s="16" t="s">
        <v>38</v>
      </c>
      <c r="C133" s="16">
        <v>460</v>
      </c>
      <c r="D133" s="16">
        <v>1687</v>
      </c>
      <c r="E133" s="16">
        <v>501</v>
      </c>
      <c r="F133" s="16">
        <v>36</v>
      </c>
      <c r="G133" s="6">
        <v>0.4</v>
      </c>
      <c r="H133" s="16">
        <v>60</v>
      </c>
      <c r="I133" s="16" t="s">
        <v>39</v>
      </c>
      <c r="J133" s="16"/>
      <c r="K133" s="16">
        <v>612</v>
      </c>
      <c r="L133" s="16">
        <f t="shared" si="22"/>
        <v>-111</v>
      </c>
      <c r="M133" s="16">
        <f t="shared" si="23"/>
        <v>469</v>
      </c>
      <c r="N133" s="16">
        <v>32</v>
      </c>
      <c r="O133" s="16">
        <v>355</v>
      </c>
      <c r="P133" s="16">
        <v>355</v>
      </c>
      <c r="Q133" s="16">
        <f t="shared" si="24"/>
        <v>93.8</v>
      </c>
      <c r="R133" s="4">
        <f>15*Q133-P133-O133-F133</f>
        <v>661</v>
      </c>
      <c r="S133" s="16">
        <f t="shared" si="25"/>
        <v>15</v>
      </c>
      <c r="T133" s="16">
        <f t="shared" si="26"/>
        <v>7.9530916844349679</v>
      </c>
      <c r="U133" s="16">
        <v>83.8</v>
      </c>
      <c r="V133" s="16">
        <v>66.2</v>
      </c>
      <c r="W133" s="16">
        <v>80.599999999999994</v>
      </c>
      <c r="X133" s="16">
        <v>81</v>
      </c>
      <c r="Y133" s="16">
        <v>58.6</v>
      </c>
      <c r="Z133" s="16">
        <v>71.400000000000006</v>
      </c>
      <c r="AA133" s="16">
        <v>0</v>
      </c>
      <c r="AB133" s="16">
        <v>0</v>
      </c>
      <c r="AC133" s="16">
        <v>0</v>
      </c>
      <c r="AD133" s="16">
        <v>0</v>
      </c>
      <c r="AE133" s="16" t="s">
        <v>195</v>
      </c>
      <c r="AF133" s="16">
        <f>G133*R133</f>
        <v>264.40000000000003</v>
      </c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</row>
    <row r="134" spans="1:47" x14ac:dyDescent="0.25">
      <c r="A134" s="16" t="s">
        <v>196</v>
      </c>
      <c r="B134" s="16" t="s">
        <v>38</v>
      </c>
      <c r="C134" s="16">
        <v>4</v>
      </c>
      <c r="D134" s="16">
        <v>192</v>
      </c>
      <c r="E134" s="16">
        <v>59</v>
      </c>
      <c r="F134" s="16">
        <v>125</v>
      </c>
      <c r="G134" s="6">
        <v>0.1</v>
      </c>
      <c r="H134" s="16"/>
      <c r="I134" s="16" t="s">
        <v>39</v>
      </c>
      <c r="J134" s="16"/>
      <c r="K134" s="16">
        <v>79</v>
      </c>
      <c r="L134" s="16">
        <f t="shared" ref="L134:L139" si="27">E134-K134</f>
        <v>-20</v>
      </c>
      <c r="M134" s="16">
        <f t="shared" ref="M134:M139" si="28">E134-N134</f>
        <v>59</v>
      </c>
      <c r="N134" s="16"/>
      <c r="O134" s="16">
        <v>40</v>
      </c>
      <c r="P134" s="16"/>
      <c r="Q134" s="16">
        <f t="shared" ref="Q134:Q139" si="29">M134/5</f>
        <v>11.8</v>
      </c>
      <c r="R134" s="4">
        <f>15*Q134-P134-O134-F134</f>
        <v>12</v>
      </c>
      <c r="S134" s="16">
        <f t="shared" ref="S134:S139" si="30">(F134+O134+P134+R134)/Q134</f>
        <v>14.999999999999998</v>
      </c>
      <c r="T134" s="16">
        <f t="shared" ref="T134:T139" si="31">(F134+O134+P134)/Q134</f>
        <v>13.983050847457626</v>
      </c>
      <c r="U134" s="16">
        <v>8.8000000000000007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 t="s">
        <v>78</v>
      </c>
      <c r="AF134" s="16">
        <f>G134*R134</f>
        <v>1.2000000000000002</v>
      </c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</row>
    <row r="135" spans="1:47" x14ac:dyDescent="0.25">
      <c r="A135" s="16" t="s">
        <v>197</v>
      </c>
      <c r="B135" s="16" t="s">
        <v>38</v>
      </c>
      <c r="C135" s="16">
        <v>4</v>
      </c>
      <c r="D135" s="16">
        <v>204</v>
      </c>
      <c r="E135" s="16">
        <v>57</v>
      </c>
      <c r="F135" s="16">
        <v>134</v>
      </c>
      <c r="G135" s="6">
        <v>0.1</v>
      </c>
      <c r="H135" s="16"/>
      <c r="I135" s="16" t="s">
        <v>39</v>
      </c>
      <c r="J135" s="16"/>
      <c r="K135" s="16">
        <v>78</v>
      </c>
      <c r="L135" s="16">
        <f t="shared" si="27"/>
        <v>-21</v>
      </c>
      <c r="M135" s="16">
        <f t="shared" si="28"/>
        <v>57</v>
      </c>
      <c r="N135" s="16"/>
      <c r="O135" s="16">
        <v>40</v>
      </c>
      <c r="P135" s="16"/>
      <c r="Q135" s="16">
        <f t="shared" si="29"/>
        <v>11.4</v>
      </c>
      <c r="R135" s="4"/>
      <c r="S135" s="16">
        <f t="shared" si="30"/>
        <v>15.263157894736842</v>
      </c>
      <c r="T135" s="16">
        <f t="shared" si="31"/>
        <v>15.263157894736842</v>
      </c>
      <c r="U135" s="16">
        <v>8.8000000000000007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8" t="s">
        <v>78</v>
      </c>
      <c r="AF135" s="16">
        <f>G135*R135</f>
        <v>0</v>
      </c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</row>
    <row r="136" spans="1:47" x14ac:dyDescent="0.25">
      <c r="A136" s="8" t="s">
        <v>198</v>
      </c>
      <c r="B136" s="8" t="s">
        <v>35</v>
      </c>
      <c r="C136" s="8"/>
      <c r="D136" s="8"/>
      <c r="E136" s="8"/>
      <c r="F136" s="8"/>
      <c r="G136" s="9">
        <v>0</v>
      </c>
      <c r="H136" s="8"/>
      <c r="I136" s="8" t="s">
        <v>39</v>
      </c>
      <c r="J136" s="8"/>
      <c r="K136" s="8"/>
      <c r="L136" s="8">
        <f t="shared" si="27"/>
        <v>0</v>
      </c>
      <c r="M136" s="8">
        <f t="shared" si="28"/>
        <v>0</v>
      </c>
      <c r="N136" s="8"/>
      <c r="O136" s="8">
        <v>0</v>
      </c>
      <c r="P136" s="8"/>
      <c r="Q136" s="8">
        <f t="shared" si="29"/>
        <v>0</v>
      </c>
      <c r="R136" s="10"/>
      <c r="S136" s="8" t="e">
        <f t="shared" si="30"/>
        <v>#DIV/0!</v>
      </c>
      <c r="T136" s="8" t="e">
        <f t="shared" si="31"/>
        <v>#DIV/0!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 t="s">
        <v>199</v>
      </c>
      <c r="AF136" s="8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</row>
    <row r="137" spans="1:47" x14ac:dyDescent="0.25">
      <c r="A137" s="8" t="s">
        <v>200</v>
      </c>
      <c r="B137" s="8" t="s">
        <v>35</v>
      </c>
      <c r="C137" s="8">
        <v>129.63</v>
      </c>
      <c r="D137" s="8"/>
      <c r="E137" s="17">
        <v>73.826999999999998</v>
      </c>
      <c r="F137" s="8"/>
      <c r="G137" s="9">
        <v>0</v>
      </c>
      <c r="H137" s="8"/>
      <c r="I137" s="8" t="s">
        <v>201</v>
      </c>
      <c r="J137" s="8" t="s">
        <v>66</v>
      </c>
      <c r="K137" s="8">
        <v>73.826999999999998</v>
      </c>
      <c r="L137" s="8">
        <f t="shared" si="27"/>
        <v>0</v>
      </c>
      <c r="M137" s="8">
        <f t="shared" si="28"/>
        <v>0</v>
      </c>
      <c r="N137" s="17">
        <v>73.826999999999998</v>
      </c>
      <c r="O137" s="8">
        <v>0</v>
      </c>
      <c r="P137" s="8"/>
      <c r="Q137" s="8">
        <f t="shared" si="29"/>
        <v>0</v>
      </c>
      <c r="R137" s="10"/>
      <c r="S137" s="8" t="e">
        <f t="shared" si="30"/>
        <v>#DIV/0!</v>
      </c>
      <c r="T137" s="8" t="e">
        <f t="shared" si="31"/>
        <v>#DIV/0!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/>
      <c r="AF137" s="8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</row>
    <row r="138" spans="1:47" x14ac:dyDescent="0.25">
      <c r="A138" s="8" t="s">
        <v>202</v>
      </c>
      <c r="B138" s="8" t="s">
        <v>38</v>
      </c>
      <c r="C138" s="8">
        <v>-2</v>
      </c>
      <c r="D138" s="8">
        <v>2</v>
      </c>
      <c r="E138" s="8"/>
      <c r="F138" s="8"/>
      <c r="G138" s="9">
        <v>0</v>
      </c>
      <c r="H138" s="8"/>
      <c r="I138" s="8" t="s">
        <v>201</v>
      </c>
      <c r="J138" s="8" t="s">
        <v>131</v>
      </c>
      <c r="K138" s="8">
        <v>2</v>
      </c>
      <c r="L138" s="8">
        <f t="shared" si="27"/>
        <v>-2</v>
      </c>
      <c r="M138" s="8">
        <f t="shared" si="28"/>
        <v>0</v>
      </c>
      <c r="N138" s="8"/>
      <c r="O138" s="8">
        <v>0</v>
      </c>
      <c r="P138" s="8"/>
      <c r="Q138" s="8">
        <f t="shared" si="29"/>
        <v>0</v>
      </c>
      <c r="R138" s="10"/>
      <c r="S138" s="8" t="e">
        <f t="shared" si="30"/>
        <v>#DIV/0!</v>
      </c>
      <c r="T138" s="8" t="e">
        <f t="shared" si="31"/>
        <v>#DIV/0!</v>
      </c>
      <c r="U138" s="8">
        <v>0.4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/>
      <c r="AF138" s="8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</row>
    <row r="139" spans="1:47" x14ac:dyDescent="0.25">
      <c r="A139" s="8" t="s">
        <v>203</v>
      </c>
      <c r="B139" s="8" t="s">
        <v>35</v>
      </c>
      <c r="C139" s="8">
        <v>36.677</v>
      </c>
      <c r="D139" s="8">
        <v>92.953000000000003</v>
      </c>
      <c r="E139" s="17">
        <v>129.63</v>
      </c>
      <c r="F139" s="8"/>
      <c r="G139" s="9">
        <v>0</v>
      </c>
      <c r="H139" s="8"/>
      <c r="I139" s="8" t="s">
        <v>201</v>
      </c>
      <c r="J139" s="8" t="s">
        <v>126</v>
      </c>
      <c r="K139" s="8">
        <v>129.63</v>
      </c>
      <c r="L139" s="8">
        <f t="shared" si="27"/>
        <v>0</v>
      </c>
      <c r="M139" s="8">
        <f t="shared" si="28"/>
        <v>0</v>
      </c>
      <c r="N139" s="17">
        <v>129.63</v>
      </c>
      <c r="O139" s="8">
        <v>0</v>
      </c>
      <c r="P139" s="8"/>
      <c r="Q139" s="8">
        <f t="shared" si="29"/>
        <v>0</v>
      </c>
      <c r="R139" s="10"/>
      <c r="S139" s="8" t="e">
        <f t="shared" si="30"/>
        <v>#DIV/0!</v>
      </c>
      <c r="T139" s="8" t="e">
        <f t="shared" si="31"/>
        <v>#DIV/0!</v>
      </c>
      <c r="U139" s="8">
        <v>0</v>
      </c>
      <c r="V139" s="8">
        <v>0</v>
      </c>
      <c r="W139" s="8">
        <v>0</v>
      </c>
      <c r="X139" s="8">
        <v>0</v>
      </c>
      <c r="Y139" s="8">
        <v>0.312</v>
      </c>
      <c r="Z139" s="8">
        <v>0.30940000000000001</v>
      </c>
      <c r="AA139" s="8">
        <v>6.8086000000000002</v>
      </c>
      <c r="AB139" s="8">
        <v>15.711600000000001</v>
      </c>
      <c r="AC139" s="8">
        <v>12.635999999999999</v>
      </c>
      <c r="AD139" s="8">
        <v>14.8812</v>
      </c>
      <c r="AE139" s="8"/>
      <c r="AF139" s="8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</row>
    <row r="140" spans="1:47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</row>
    <row r="141" spans="1:47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</row>
    <row r="142" spans="1:47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</row>
    <row r="143" spans="1:47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</row>
    <row r="144" spans="1:47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</row>
    <row r="145" spans="1:47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</row>
    <row r="146" spans="1:47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</row>
    <row r="147" spans="1:47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</row>
    <row r="148" spans="1:47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</row>
    <row r="149" spans="1:47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</row>
    <row r="150" spans="1:47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</row>
    <row r="151" spans="1:47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</row>
    <row r="152" spans="1:47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</row>
    <row r="153" spans="1:47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</row>
    <row r="154" spans="1:47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</row>
    <row r="155" spans="1:47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</row>
    <row r="156" spans="1:47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</row>
    <row r="157" spans="1:47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</row>
    <row r="158" spans="1:47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</row>
    <row r="159" spans="1:47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</row>
    <row r="160" spans="1:47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</row>
    <row r="161" spans="1:47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</row>
    <row r="162" spans="1:47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</row>
    <row r="163" spans="1:47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</row>
    <row r="164" spans="1:47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</row>
    <row r="165" spans="1:47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</row>
    <row r="166" spans="1:47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</row>
    <row r="167" spans="1:47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</row>
    <row r="168" spans="1:47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</row>
    <row r="169" spans="1:47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</row>
    <row r="170" spans="1:47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</row>
    <row r="171" spans="1:47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</row>
    <row r="172" spans="1:47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</row>
    <row r="173" spans="1:47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</row>
    <row r="174" spans="1:47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</row>
    <row r="175" spans="1:47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</row>
    <row r="176" spans="1:47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</row>
    <row r="177" spans="1:47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</row>
    <row r="178" spans="1:47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</row>
    <row r="179" spans="1:47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</row>
    <row r="180" spans="1:47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</row>
    <row r="181" spans="1:47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</row>
    <row r="182" spans="1:47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</row>
    <row r="183" spans="1:47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</row>
    <row r="184" spans="1:47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</row>
    <row r="185" spans="1:47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</row>
    <row r="186" spans="1:47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</row>
    <row r="187" spans="1:47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</row>
    <row r="188" spans="1:47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</row>
    <row r="189" spans="1:47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</row>
    <row r="190" spans="1:47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</row>
    <row r="191" spans="1:47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</row>
    <row r="192" spans="1:47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</row>
    <row r="193" spans="1:47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</row>
    <row r="194" spans="1:47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</row>
    <row r="195" spans="1:47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</row>
    <row r="196" spans="1:47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</row>
    <row r="197" spans="1:47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</row>
    <row r="198" spans="1:47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</row>
    <row r="199" spans="1:47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</row>
    <row r="200" spans="1:47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</row>
    <row r="201" spans="1:47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</row>
    <row r="202" spans="1:47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</row>
    <row r="203" spans="1:47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</row>
    <row r="204" spans="1:47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</row>
    <row r="205" spans="1:47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</row>
    <row r="206" spans="1:47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</row>
    <row r="207" spans="1:47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</row>
    <row r="208" spans="1:47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</row>
    <row r="209" spans="1:47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</row>
    <row r="210" spans="1:47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</row>
    <row r="211" spans="1:47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</row>
    <row r="212" spans="1:47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</row>
    <row r="213" spans="1:47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</row>
    <row r="214" spans="1:47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</row>
    <row r="215" spans="1:47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</row>
    <row r="216" spans="1:47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</row>
    <row r="217" spans="1:47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</row>
    <row r="218" spans="1:47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</row>
    <row r="219" spans="1:47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</row>
    <row r="220" spans="1:47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</row>
    <row r="221" spans="1:47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</row>
    <row r="222" spans="1:47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</row>
    <row r="223" spans="1:47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</row>
    <row r="224" spans="1:47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</row>
    <row r="225" spans="1:47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</row>
    <row r="226" spans="1:47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</row>
    <row r="227" spans="1:47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</row>
    <row r="228" spans="1:47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</row>
    <row r="229" spans="1:47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</row>
    <row r="230" spans="1:47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</row>
    <row r="231" spans="1:47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</row>
    <row r="232" spans="1:47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</row>
    <row r="233" spans="1:47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</row>
    <row r="234" spans="1:47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</row>
    <row r="235" spans="1:47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</row>
    <row r="236" spans="1:47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</row>
    <row r="237" spans="1:47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</row>
    <row r="238" spans="1:47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</row>
    <row r="239" spans="1:47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</row>
    <row r="240" spans="1:47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</row>
    <row r="241" spans="1:47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</row>
    <row r="242" spans="1:47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</row>
    <row r="243" spans="1:47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</row>
    <row r="244" spans="1:47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</row>
    <row r="245" spans="1:47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</row>
    <row r="246" spans="1:47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</row>
    <row r="247" spans="1:47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</row>
    <row r="248" spans="1:47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</row>
    <row r="249" spans="1:47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</row>
    <row r="250" spans="1:47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</row>
    <row r="251" spans="1:47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</row>
    <row r="252" spans="1:47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</row>
    <row r="253" spans="1:47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</row>
    <row r="254" spans="1:47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</row>
    <row r="255" spans="1:47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</row>
    <row r="256" spans="1:47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</row>
    <row r="257" spans="1:47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</row>
    <row r="258" spans="1:47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</row>
    <row r="259" spans="1:47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</row>
    <row r="260" spans="1:47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</row>
    <row r="261" spans="1:47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</row>
    <row r="262" spans="1:47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</row>
    <row r="263" spans="1:47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</row>
    <row r="264" spans="1:47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</row>
    <row r="265" spans="1:47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</row>
    <row r="266" spans="1:47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</row>
    <row r="267" spans="1:47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</row>
    <row r="268" spans="1:47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</row>
    <row r="269" spans="1:47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</row>
    <row r="270" spans="1:47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</row>
    <row r="271" spans="1:47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</row>
    <row r="272" spans="1:47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</row>
    <row r="273" spans="1:47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</row>
    <row r="274" spans="1:47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</row>
    <row r="275" spans="1:47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</row>
    <row r="276" spans="1:47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</row>
    <row r="277" spans="1:47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</row>
    <row r="278" spans="1:47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</row>
    <row r="279" spans="1:47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</row>
    <row r="280" spans="1:47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</row>
    <row r="281" spans="1:47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</row>
    <row r="282" spans="1:47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</row>
    <row r="283" spans="1:47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</row>
    <row r="284" spans="1:47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</row>
    <row r="285" spans="1:47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</row>
    <row r="286" spans="1:47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</row>
    <row r="287" spans="1:47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</row>
    <row r="288" spans="1:47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</row>
    <row r="289" spans="1:47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</row>
    <row r="290" spans="1:47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</row>
    <row r="291" spans="1:47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</row>
    <row r="292" spans="1:47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</row>
    <row r="293" spans="1:47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</row>
    <row r="294" spans="1:47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</row>
    <row r="295" spans="1:47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</row>
    <row r="296" spans="1:47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</row>
    <row r="297" spans="1:47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</row>
    <row r="298" spans="1:47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</row>
    <row r="299" spans="1:47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</row>
    <row r="300" spans="1:47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</row>
    <row r="301" spans="1:47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</row>
    <row r="302" spans="1:47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</row>
    <row r="303" spans="1:47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</row>
    <row r="304" spans="1:47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</row>
    <row r="305" spans="1:47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</row>
    <row r="306" spans="1:47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</row>
    <row r="307" spans="1:47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</row>
    <row r="308" spans="1:47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</row>
    <row r="309" spans="1:47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</row>
    <row r="310" spans="1:47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</row>
    <row r="311" spans="1:47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</row>
    <row r="312" spans="1:47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</row>
    <row r="313" spans="1:47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</row>
    <row r="314" spans="1:47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</row>
    <row r="315" spans="1:47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</row>
    <row r="316" spans="1:47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</row>
    <row r="317" spans="1:47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</row>
    <row r="318" spans="1:47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</row>
    <row r="319" spans="1:47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</row>
    <row r="320" spans="1:47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</row>
    <row r="321" spans="1:47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</row>
    <row r="322" spans="1:47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</row>
    <row r="323" spans="1:47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</row>
    <row r="324" spans="1:47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</row>
    <row r="325" spans="1:47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</row>
    <row r="326" spans="1:47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</row>
    <row r="327" spans="1:47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</row>
    <row r="328" spans="1:47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</row>
    <row r="329" spans="1:47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</row>
    <row r="330" spans="1:47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</row>
    <row r="331" spans="1:47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</row>
    <row r="332" spans="1:47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</row>
    <row r="333" spans="1:47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</row>
    <row r="334" spans="1:47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</row>
    <row r="335" spans="1:47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</row>
    <row r="336" spans="1:47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</row>
    <row r="337" spans="1:47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</row>
    <row r="338" spans="1:47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</row>
    <row r="339" spans="1:47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</row>
    <row r="340" spans="1:47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</row>
    <row r="341" spans="1:47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</row>
    <row r="342" spans="1:47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</row>
    <row r="343" spans="1:47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</row>
    <row r="344" spans="1:47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</row>
    <row r="345" spans="1:47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</row>
    <row r="346" spans="1:47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</row>
    <row r="347" spans="1:47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</row>
    <row r="348" spans="1:47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</row>
    <row r="349" spans="1:47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</row>
    <row r="350" spans="1:47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</row>
    <row r="351" spans="1:47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</row>
    <row r="352" spans="1:47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</row>
    <row r="353" spans="1:47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</row>
    <row r="354" spans="1:47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</row>
    <row r="355" spans="1:47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</row>
    <row r="356" spans="1:47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</row>
    <row r="357" spans="1:47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</row>
    <row r="358" spans="1:47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</row>
    <row r="359" spans="1:47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</row>
    <row r="360" spans="1:47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</row>
    <row r="361" spans="1:47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</row>
    <row r="362" spans="1:47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</row>
    <row r="363" spans="1:47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</row>
    <row r="364" spans="1:47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</row>
    <row r="365" spans="1:47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</row>
    <row r="366" spans="1:47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</row>
    <row r="367" spans="1:47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</row>
    <row r="368" spans="1:47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</row>
    <row r="369" spans="1:47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</row>
    <row r="370" spans="1:47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</row>
    <row r="371" spans="1:47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</row>
    <row r="372" spans="1:47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</row>
    <row r="373" spans="1:47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</row>
    <row r="374" spans="1:47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</row>
    <row r="375" spans="1:47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</row>
    <row r="376" spans="1:47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</row>
    <row r="377" spans="1:47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</row>
    <row r="378" spans="1:47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</row>
    <row r="379" spans="1:47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</row>
    <row r="380" spans="1:47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</row>
    <row r="381" spans="1:47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</row>
    <row r="382" spans="1:47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</row>
    <row r="383" spans="1:47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</row>
    <row r="384" spans="1:47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</row>
    <row r="385" spans="1:47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</row>
    <row r="386" spans="1:47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</row>
    <row r="387" spans="1:47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</row>
    <row r="388" spans="1:47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</row>
    <row r="389" spans="1:47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</row>
    <row r="390" spans="1:47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</row>
    <row r="391" spans="1:47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</row>
    <row r="392" spans="1:47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</row>
    <row r="393" spans="1:47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</row>
    <row r="394" spans="1:47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</row>
    <row r="395" spans="1:47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</row>
    <row r="396" spans="1:47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</row>
    <row r="397" spans="1:47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</row>
    <row r="398" spans="1:47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</row>
    <row r="399" spans="1:47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</row>
    <row r="400" spans="1:47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</row>
    <row r="401" spans="1:47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</row>
    <row r="402" spans="1:47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</row>
    <row r="403" spans="1:47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</row>
    <row r="404" spans="1:47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</row>
    <row r="405" spans="1:47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</row>
    <row r="406" spans="1:47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</row>
    <row r="407" spans="1:47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</row>
    <row r="408" spans="1:47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</row>
    <row r="409" spans="1:47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</row>
    <row r="410" spans="1:47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</row>
    <row r="411" spans="1:47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</row>
    <row r="412" spans="1:47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</row>
    <row r="413" spans="1:47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</row>
    <row r="414" spans="1:47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</row>
    <row r="415" spans="1:47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</row>
    <row r="416" spans="1:47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</row>
    <row r="417" spans="1:47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</row>
    <row r="418" spans="1:47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</row>
    <row r="419" spans="1:47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</row>
    <row r="420" spans="1:47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</row>
    <row r="421" spans="1:47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</row>
    <row r="422" spans="1:47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</row>
    <row r="423" spans="1:47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</row>
    <row r="424" spans="1:47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</row>
    <row r="425" spans="1:47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</row>
    <row r="426" spans="1:47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</row>
    <row r="427" spans="1:47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</row>
    <row r="428" spans="1:47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</row>
    <row r="429" spans="1:47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</row>
    <row r="430" spans="1:47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</row>
    <row r="431" spans="1:47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</row>
    <row r="432" spans="1:47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</row>
    <row r="433" spans="1:47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</row>
    <row r="434" spans="1:47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</row>
    <row r="435" spans="1:47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</row>
    <row r="436" spans="1:47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</row>
    <row r="437" spans="1:47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</row>
    <row r="438" spans="1:47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</row>
    <row r="439" spans="1:47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</row>
    <row r="440" spans="1:47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</row>
    <row r="441" spans="1:47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</row>
    <row r="442" spans="1:47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</row>
    <row r="443" spans="1:47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</row>
    <row r="444" spans="1:47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</row>
    <row r="445" spans="1:47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</row>
    <row r="446" spans="1:47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</row>
    <row r="447" spans="1:47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</row>
    <row r="448" spans="1:47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</row>
    <row r="449" spans="1:47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</row>
    <row r="450" spans="1:47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</row>
    <row r="451" spans="1:47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</row>
    <row r="452" spans="1:47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</row>
    <row r="453" spans="1:47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</row>
    <row r="454" spans="1:47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</row>
    <row r="455" spans="1:47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</row>
    <row r="456" spans="1:47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</row>
    <row r="457" spans="1:47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</row>
    <row r="458" spans="1:47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</row>
    <row r="459" spans="1:47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</row>
    <row r="460" spans="1:47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</row>
    <row r="461" spans="1:47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</row>
    <row r="462" spans="1:47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</row>
    <row r="463" spans="1:47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</row>
    <row r="464" spans="1:47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</row>
    <row r="465" spans="1:47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</row>
    <row r="466" spans="1:47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</row>
    <row r="467" spans="1:47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</row>
    <row r="468" spans="1:47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</row>
    <row r="469" spans="1:47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</row>
    <row r="470" spans="1:47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</row>
    <row r="471" spans="1:47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</row>
    <row r="472" spans="1:47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</row>
    <row r="473" spans="1:47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</row>
    <row r="474" spans="1:47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</row>
    <row r="475" spans="1:47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</row>
    <row r="476" spans="1:47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</row>
    <row r="477" spans="1:47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</row>
    <row r="478" spans="1:47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</row>
    <row r="479" spans="1:47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</row>
    <row r="480" spans="1:47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</row>
    <row r="481" spans="1:47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</row>
    <row r="482" spans="1:47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</row>
    <row r="483" spans="1:47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</row>
    <row r="484" spans="1:47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</row>
    <row r="485" spans="1:47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</row>
    <row r="486" spans="1:47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</row>
    <row r="487" spans="1:47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</row>
    <row r="488" spans="1:47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</row>
    <row r="489" spans="1:47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</row>
    <row r="490" spans="1:47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</row>
    <row r="491" spans="1:47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</row>
    <row r="492" spans="1:47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</row>
    <row r="493" spans="1:47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</row>
    <row r="494" spans="1:47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</row>
    <row r="495" spans="1:47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</row>
    <row r="496" spans="1:47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</row>
    <row r="497" spans="1:47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</row>
    <row r="498" spans="1:47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</row>
    <row r="499" spans="1:47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</row>
  </sheetData>
  <autoFilter ref="A3:AF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2026-08-24T10:07:50Z</dcterms:created>
  <dcterms:modified xsi:type="dcterms:W3CDTF">2026-08-25T06:07:40Z</dcterms:modified>
</cp:coreProperties>
</file>