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5,07 Грация (Бердянск) САП 18,07\"/>
    </mc:Choice>
  </mc:AlternateContent>
  <xr:revisionPtr revIDLastSave="0" documentId="13_ncr:1_{0EE10EEB-7705-44F9-8C7F-C8A0B5F58B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 s="1"/>
  <c r="G136" i="1"/>
  <c r="G162" i="1"/>
  <c r="G153" i="1"/>
  <c r="G149" i="1"/>
  <c r="G148" i="1"/>
  <c r="G25" i="1" l="1"/>
  <c r="A69" i="1"/>
  <c r="G69" i="1" s="1"/>
  <c r="A70" i="1"/>
  <c r="G70" i="1" s="1"/>
  <c r="A156" i="1" l="1"/>
  <c r="G156" i="1" s="1"/>
  <c r="A161" i="1"/>
  <c r="G161" i="1" s="1"/>
  <c r="A160" i="1"/>
  <c r="G160" i="1" s="1"/>
  <c r="A159" i="1"/>
  <c r="G159" i="1" s="1"/>
  <c r="A158" i="1"/>
  <c r="G158" i="1" s="1"/>
  <c r="A157" i="1"/>
  <c r="G157" i="1" s="1"/>
  <c r="A155" i="1"/>
  <c r="G155" i="1" s="1"/>
  <c r="A154" i="1"/>
  <c r="G154" i="1" s="1"/>
  <c r="A152" i="1"/>
  <c r="G152" i="1" s="1"/>
  <c r="A151" i="1"/>
  <c r="G151" i="1" s="1"/>
  <c r="A147" i="1"/>
  <c r="G147" i="1" s="1"/>
  <c r="A146" i="1"/>
  <c r="G146" i="1" s="1"/>
  <c r="A145" i="1"/>
  <c r="G145" i="1" s="1"/>
  <c r="A144" i="1"/>
  <c r="A143" i="1"/>
  <c r="G143" i="1" s="1"/>
  <c r="A142" i="1"/>
  <c r="G142" i="1" s="1"/>
  <c r="A141" i="1"/>
  <c r="G141" i="1" s="1"/>
  <c r="A140" i="1"/>
  <c r="G140" i="1" s="1"/>
  <c r="A139" i="1"/>
  <c r="A138" i="1"/>
  <c r="G138" i="1" s="1"/>
  <c r="A135" i="1"/>
  <c r="G135" i="1" s="1"/>
  <c r="A134" i="1"/>
  <c r="G134" i="1" s="1"/>
  <c r="A132" i="1"/>
  <c r="G132" i="1" s="1"/>
  <c r="A131" i="1"/>
  <c r="G131" i="1" s="1"/>
  <c r="A128" i="1"/>
  <c r="G128" i="1" s="1"/>
  <c r="A127" i="1"/>
  <c r="G127" i="1" s="1"/>
  <c r="A126" i="1"/>
  <c r="A125" i="1"/>
  <c r="G125" i="1" s="1"/>
  <c r="A124" i="1"/>
  <c r="G124" i="1" s="1"/>
  <c r="A123" i="1"/>
  <c r="A122" i="1"/>
  <c r="A121" i="1"/>
  <c r="A120" i="1"/>
  <c r="G120" i="1" s="1"/>
  <c r="A119" i="1"/>
  <c r="A118" i="1"/>
  <c r="G118" i="1" s="1"/>
  <c r="A117" i="1"/>
  <c r="G117" i="1" s="1"/>
  <c r="A116" i="1"/>
  <c r="G116" i="1" s="1"/>
  <c r="A115" i="1"/>
  <c r="G115" i="1" s="1"/>
  <c r="A114" i="1"/>
  <c r="G114" i="1" s="1"/>
  <c r="A113" i="1"/>
  <c r="A112" i="1"/>
  <c r="G112" i="1" s="1"/>
  <c r="A111" i="1"/>
  <c r="G111" i="1" s="1"/>
  <c r="A110" i="1"/>
  <c r="G110" i="1" s="1"/>
  <c r="A109" i="1"/>
  <c r="A108" i="1"/>
  <c r="G108" i="1" s="1"/>
  <c r="A107" i="1"/>
  <c r="G107" i="1" s="1"/>
  <c r="A106" i="1"/>
  <c r="G106" i="1" s="1"/>
  <c r="A102" i="1"/>
  <c r="G102" i="1" s="1"/>
  <c r="A101" i="1"/>
  <c r="G101" i="1" s="1"/>
  <c r="A100" i="1"/>
  <c r="G100" i="1" s="1"/>
  <c r="A99" i="1"/>
  <c r="G99" i="1" s="1"/>
  <c r="A98" i="1"/>
  <c r="A97" i="1"/>
  <c r="A96" i="1"/>
  <c r="A95" i="1"/>
  <c r="G95" i="1" s="1"/>
  <c r="A94" i="1"/>
  <c r="A93" i="1"/>
  <c r="G93" i="1" s="1"/>
  <c r="A92" i="1"/>
  <c r="A91" i="1"/>
  <c r="A90" i="1"/>
  <c r="A89" i="1"/>
  <c r="G89" i="1" s="1"/>
  <c r="A88" i="1"/>
  <c r="A87" i="1"/>
  <c r="G87" i="1" s="1"/>
  <c r="A86" i="1"/>
  <c r="G86" i="1" s="1"/>
  <c r="A85" i="1"/>
  <c r="G85" i="1" s="1"/>
  <c r="A84" i="1"/>
  <c r="G84" i="1" s="1"/>
  <c r="A83" i="1"/>
  <c r="G83" i="1" s="1"/>
  <c r="A82" i="1"/>
  <c r="G82" i="1" s="1"/>
  <c r="A81" i="1"/>
  <c r="G81" i="1" s="1"/>
  <c r="A80" i="1"/>
  <c r="G80" i="1" s="1"/>
  <c r="A78" i="1"/>
  <c r="G78" i="1" s="1"/>
  <c r="A77" i="1"/>
  <c r="G77" i="1" s="1"/>
  <c r="A76" i="1"/>
  <c r="G76" i="1" s="1"/>
  <c r="A75" i="1"/>
  <c r="G75" i="1" s="1"/>
  <c r="A74" i="1"/>
  <c r="G74" i="1" s="1"/>
  <c r="A73" i="1"/>
  <c r="G73" i="1" s="1"/>
  <c r="A72" i="1"/>
  <c r="G72" i="1" s="1"/>
  <c r="A68" i="1"/>
  <c r="G68" i="1" s="1"/>
  <c r="A67" i="1"/>
  <c r="G67" i="1" s="1"/>
  <c r="A66" i="1"/>
  <c r="G66" i="1" s="1"/>
  <c r="A65" i="1"/>
  <c r="G65" i="1" s="1"/>
  <c r="A64" i="1"/>
  <c r="G64" i="1" s="1"/>
  <c r="A63" i="1"/>
  <c r="G63" i="1" s="1"/>
  <c r="A62" i="1"/>
  <c r="A61" i="1"/>
  <c r="G61" i="1" s="1"/>
  <c r="A60" i="1"/>
  <c r="G60" i="1" s="1"/>
  <c r="A59" i="1"/>
  <c r="A58" i="1"/>
  <c r="G58" i="1" s="1"/>
  <c r="A57" i="1"/>
  <c r="G57" i="1" s="1"/>
  <c r="A56" i="1"/>
  <c r="G56" i="1" s="1"/>
  <c r="A55" i="1"/>
  <c r="G55" i="1" s="1"/>
  <c r="A54" i="1"/>
  <c r="G54" i="1" s="1"/>
  <c r="A53" i="1"/>
  <c r="G53" i="1" s="1"/>
  <c r="A52" i="1"/>
  <c r="G52" i="1" s="1"/>
  <c r="A51" i="1"/>
  <c r="G51" i="1" s="1"/>
  <c r="A50" i="1"/>
  <c r="G50" i="1" s="1"/>
  <c r="A49" i="1"/>
  <c r="A48" i="1"/>
  <c r="G48" i="1" s="1"/>
  <c r="A47" i="1"/>
  <c r="G47" i="1" s="1"/>
  <c r="A46" i="1"/>
  <c r="G46" i="1" s="1"/>
  <c r="A45" i="1"/>
  <c r="G45" i="1" s="1"/>
  <c r="A44" i="1"/>
  <c r="G44" i="1" s="1"/>
  <c r="A43" i="1"/>
  <c r="G43" i="1" s="1"/>
  <c r="A42" i="1"/>
  <c r="G42" i="1" s="1"/>
  <c r="A41" i="1"/>
  <c r="A40" i="1"/>
  <c r="G40" i="1" s="1"/>
  <c r="A39" i="1"/>
  <c r="G39" i="1" s="1"/>
  <c r="A38" i="1"/>
  <c r="G38" i="1" s="1"/>
  <c r="A37" i="1"/>
  <c r="G37" i="1" s="1"/>
  <c r="A36" i="1"/>
  <c r="G36" i="1" s="1"/>
  <c r="A35" i="1"/>
  <c r="G35" i="1" s="1"/>
  <c r="A12" i="1"/>
  <c r="G12" i="1" s="1"/>
  <c r="A13" i="1"/>
  <c r="A14" i="1"/>
  <c r="A15" i="1"/>
  <c r="G15" i="1" s="1"/>
  <c r="A16" i="1"/>
  <c r="G16" i="1" s="1"/>
  <c r="A17" i="1"/>
  <c r="G17" i="1" s="1"/>
  <c r="A18" i="1"/>
  <c r="A19" i="1"/>
  <c r="G19" i="1" s="1"/>
  <c r="A20" i="1"/>
  <c r="G20" i="1" s="1"/>
  <c r="A21" i="1"/>
  <c r="A22" i="1"/>
  <c r="G22" i="1" s="1"/>
  <c r="A23" i="1"/>
  <c r="G23" i="1" s="1"/>
  <c r="A24" i="1"/>
  <c r="G24" i="1" s="1"/>
  <c r="A26" i="1"/>
  <c r="A27" i="1"/>
  <c r="G27" i="1" s="1"/>
  <c r="A28" i="1"/>
  <c r="G28" i="1" s="1"/>
  <c r="A29" i="1"/>
  <c r="G29" i="1" s="1"/>
  <c r="A30" i="1"/>
  <c r="A31" i="1"/>
  <c r="G31" i="1" s="1"/>
  <c r="A32" i="1"/>
  <c r="G32" i="1" s="1"/>
  <c r="A33" i="1"/>
  <c r="G33" i="1" s="1"/>
  <c r="A11" i="1"/>
  <c r="G11" i="1" s="1"/>
  <c r="K5" i="1"/>
  <c r="K6" i="1"/>
  <c r="K7" i="1"/>
  <c r="G21" i="1"/>
  <c r="G90" i="1" l="1"/>
  <c r="G119" i="1"/>
  <c r="G59" i="1" l="1"/>
  <c r="G49" i="1"/>
  <c r="G126" i="1"/>
  <c r="G122" i="1"/>
  <c r="G94" i="1"/>
  <c r="G97" i="1"/>
  <c r="G139" i="1"/>
  <c r="G18" i="1"/>
  <c r="G62" i="1"/>
  <c r="G121" i="1"/>
  <c r="G123" i="1"/>
  <c r="G91" i="1"/>
  <c r="G92" i="1"/>
  <c r="G26" i="1"/>
  <c r="G14" i="1"/>
  <c r="G30" i="1"/>
  <c r="G109" i="1"/>
  <c r="G96" i="1"/>
  <c r="G41" i="1"/>
  <c r="G113" i="1"/>
  <c r="G98" i="1"/>
  <c r="G88" i="1"/>
  <c r="G144" i="1"/>
  <c r="G13" i="1" l="1"/>
  <c r="G163" i="1" s="1"/>
  <c r="E1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<sst xmlns="http://schemas.openxmlformats.org/spreadsheetml/2006/main" count="653" uniqueCount="214">
  <si>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</si>
  <si>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</si>
  <si>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</si>
  <si>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</si>
  <si>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</si>
  <si>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</si>
  <si>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</si>
  <si>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</si>
  <si>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</si>
  <si>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</si>
  <si>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</si>
  <si>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</si>
  <si>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</si>
  <si>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</si>
  <si>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</si>
  <si>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</si>
  <si>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</si>
  <si>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</si>
  <si>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</si>
  <si>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</si>
  <si>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</si>
  <si>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</si>
  <si>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</si>
  <si>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</si>
  <si>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</si>
  <si>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</si>
  <si>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</si>
  <si>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</si>
  <si>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</si>
  <si>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</si>
  <si>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</si>
  <si>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</si>
  <si>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</si>
  <si>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</si>
  <si>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</si>
  <si>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</si>
  <si>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</si>
  <si>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</si>
  <si>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</si>
  <si>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</si>
  <si>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</si>
  <si>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</si>
  <si>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</si>
  <si>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</si>
  <si>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</si>
  <si>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</si>
  <si>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</si>
  <si>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</si>
  <si>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</si>
  <si>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</si>
  <si>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</si>
  <si>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</si>
  <si>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</si>
  <si>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</si>
  <si>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</si>
  <si>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</si>
  <si>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</si>
  <si>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</si>
  <si>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</si>
  <si>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</si>
  <si>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</si>
  <si>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</si>
  <si>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</si>
  <si>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</si>
  <si>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</si>
  <si>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</si>
  <si>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</si>
  <si>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</si>
  <si>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</si>
  <si>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</si>
  <si>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</si>
  <si>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</si>
  <si>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</si>
  <si>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</si>
  <si>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</si>
  <si>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</si>
  <si>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</si>
  <si>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</si>
  <si>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</si>
  <si>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</si>
  <si>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</si>
  <si>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</si>
  <si>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</si>
  <si>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</si>
  <si>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</si>
  <si>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</si>
  <si>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</si>
  <si>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</si>
  <si>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</si>
  <si>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</si>
  <si>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</si>
  <si>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</si>
  <si>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</si>
  <si>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</si>
  <si>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</si>
  <si>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</si>
  <si>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</si>
  <si>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</si>
  <si>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</si>
  <si>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</si>
  <si>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</si>
  <si>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</si>
  <si>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</si>
  <si>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</si>
  <si>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</si>
  <si>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</si>
  <si>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</si>
  <si>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</si>
  <si>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</si>
  <si>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</si>
  <si>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</si>
  <si>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</si>
  <si>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</si>
  <si>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</si>
  <si>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</si>
  <si>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</si>
  <si>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</si>
  <si>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</si>
  <si>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</si>
  <si>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</si>
  <si>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</si>
  <si>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</si>
  <si>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</si>
  <si>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</si>
  <si>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</si>
  <si>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</si>
  <si>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</si>
  <si>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</si>
  <si>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</si>
  <si>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</si>
  <si>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</si>
  <si>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</si>
  <si>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</si>
  <si>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</si>
  <si>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</si>
  <si>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</si>
  <si>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</si>
  <si>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</si>
  <si>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</si>
  <si>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</si>
  <si>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</si>
  <si>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</si>
  <si>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</si>
  <si>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</si>
  <si>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</si>
  <si>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</si>
  <si>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</si>
  <si>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</si>
  <si>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</si>
  <si>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</si>
  <si>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</si>
  <si>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</si>
  <si>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</si>
  <si>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</si>
  <si>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</si>
  <si>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</si>
  <si>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</si>
  <si>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</si>
  <si>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</si>
  <si>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</si>
  <si>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</si>
  <si>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</si>
  <si>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</si>
  <si>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</si>
  <si>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</si>
  <si>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</si>
  <si>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</si>
  <si>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</si>
  <si>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</si>
  <si>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</si>
  <si>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</si>
  <si>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</si>
  <si>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</si>
  <si>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</si>
  <si>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</si>
  <si>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</si>
  <si>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</si>
  <si>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</si>
  <si>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</si>
  <si>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</si>
  <si>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</si>
  <si>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</si>
  <si>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</si>
  <si>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</si>
  <si>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</si>
  <si>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</si>
  <si>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</si>
  <si>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</si>
  <si>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</si>
  <si>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</si>
  <si>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</si>
  <si>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</si>
  <si>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</si>
  <si>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</si>
  <si>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</si>
  <si>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</si>
  <si>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</si>
  <si>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</si>
  <si>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</si>
  <si>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</si>
  <si>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</si>
  <si>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</si>
  <si>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</si>
  <si>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</si>
  <si>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</si>
  <si>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</si>
  <si>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</si>
  <si>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</si>
  <si>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</si>
  <si>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</si>
  <si>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</si>
  <si>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</si>
  <si>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 Донецк (ОПТ (МАЛАХУТИН)) - 130439106</t>
  </si>
  <si>
    <t>Трояны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</si>
</sst>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="60" zoomScaleNormal="60" workbookViewId="0">
      <pane ySplit="9" topLeftCell="A151" activePane="bottomLeft" state="frozen"/>
      <selection pane="bottomLeft" activeCell="L154" sqref="L15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130439107</v>
      </c>
      <c r="E1" s="153"/>
      <c r="F1" s="154"/>
      <c r="G1" s="154"/>
      <c r="H1" s="154"/>
      <c r="I1" s="154"/>
      <c r="J1" s="155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 t="s">
        <v>213</v>
      </c>
      <c r="G3" s="156"/>
      <c r="H3" s="154"/>
      <c r="I3" s="154"/>
      <c r="J3" s="155"/>
      <c r="K3" s="123">
        <v>130439106</v>
      </c>
      <c r="L3" s="119" t="s">
        <v>212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180</v>
      </c>
      <c r="F13" s="23">
        <v>1.35</v>
      </c>
      <c r="G13" s="23">
        <f t="shared" ref="G13:G20" si="2">E13</f>
        <v>180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500</v>
      </c>
      <c r="F14" s="23">
        <v>1.35</v>
      </c>
      <c r="G14" s="23">
        <f t="shared" si="2"/>
        <v>500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>
        <v>100</v>
      </c>
      <c r="F15" s="23">
        <v>1.35</v>
      </c>
      <c r="G15" s="23">
        <f t="shared" si="2"/>
        <v>100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550</v>
      </c>
      <c r="F16" s="23">
        <v>1.35</v>
      </c>
      <c r="G16" s="23">
        <f t="shared" si="2"/>
        <v>550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600</v>
      </c>
      <c r="F18" s="23">
        <v>1</v>
      </c>
      <c r="G18" s="23">
        <f t="shared" si="2"/>
        <v>600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250</v>
      </c>
      <c r="F22" s="23">
        <v>0.4</v>
      </c>
      <c r="G22" s="23">
        <f t="shared" ref="G22:G23" si="3">E22*F22</f>
        <v>100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300</v>
      </c>
      <c r="F25" s="60">
        <v>0.4</v>
      </c>
      <c r="G25" s="23">
        <f t="shared" ref="G25:G33" si="5">E25*F25</f>
        <v>120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>
        <v>300</v>
      </c>
      <c r="F26" s="60">
        <v>0.4</v>
      </c>
      <c r="G26" s="23">
        <f t="shared" si="5"/>
        <v>120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>
        <v>600</v>
      </c>
      <c r="F29" s="23">
        <v>0.4</v>
      </c>
      <c r="G29" s="23">
        <f t="shared" si="5"/>
        <v>240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650</v>
      </c>
      <c r="F30" s="23">
        <v>0.4</v>
      </c>
      <c r="G30" s="23">
        <f t="shared" si="5"/>
        <v>260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>
        <v>300</v>
      </c>
      <c r="F42" s="60">
        <v>1.5</v>
      </c>
      <c r="G42" s="23">
        <f t="shared" si="6"/>
        <v>300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220</v>
      </c>
      <c r="F45" s="60">
        <v>1.5</v>
      </c>
      <c r="G45" s="23">
        <f t="shared" si="6"/>
        <v>220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>
        <v>80</v>
      </c>
      <c r="F46" s="60">
        <v>1.5</v>
      </c>
      <c r="G46" s="23">
        <f t="shared" si="6"/>
        <v>80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7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>
        <v>60</v>
      </c>
      <c r="F53" s="60">
        <v>0.4</v>
      </c>
      <c r="G53" s="23">
        <f t="shared" si="7"/>
        <v>24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/>
      <c r="F54" s="60">
        <v>0.33</v>
      </c>
      <c r="G54" s="23">
        <f t="shared" si="7"/>
        <v>0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>
        <v>500</v>
      </c>
      <c r="F59" s="23">
        <v>0.41</v>
      </c>
      <c r="G59" s="23">
        <f t="shared" si="7"/>
        <v>205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>
        <v>60</v>
      </c>
      <c r="F60" s="23">
        <v>0.41</v>
      </c>
      <c r="G60" s="23">
        <f t="shared" si="7"/>
        <v>24.599999999999998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500</v>
      </c>
      <c r="F61" s="23">
        <v>0.41</v>
      </c>
      <c r="G61" s="23">
        <f t="shared" si="7"/>
        <v>205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300</v>
      </c>
      <c r="F62" s="23">
        <v>0.41</v>
      </c>
      <c r="G62" s="23">
        <f t="shared" si="7"/>
        <v>122.99999999999999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400</v>
      </c>
      <c r="F63" s="23">
        <v>0.4</v>
      </c>
      <c r="G63" s="23">
        <f t="shared" si="7"/>
        <v>160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>
        <v>100</v>
      </c>
      <c r="F65" s="23">
        <v>0.35</v>
      </c>
      <c r="G65" s="23">
        <f t="shared" si="7"/>
        <v>35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/>
      <c r="F67" s="23">
        <v>0.3</v>
      </c>
      <c r="G67" s="23">
        <f t="shared" si="7"/>
        <v>0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24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>
        <v>80</v>
      </c>
      <c r="F73" s="23">
        <v>1</v>
      </c>
      <c r="G73" s="23">
        <f t="shared" si="8"/>
        <v>80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>
        <v>80</v>
      </c>
      <c r="F76" s="23">
        <v>1</v>
      </c>
      <c r="G76" s="23">
        <f t="shared" si="8"/>
        <v>80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24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>
        <v>200</v>
      </c>
      <c r="F86" s="60">
        <v>0.63</v>
      </c>
      <c r="G86" s="23">
        <f t="shared" ref="G86:G87" si="13">E86</f>
        <v>200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300</v>
      </c>
      <c r="F87" s="60">
        <v>0.7</v>
      </c>
      <c r="G87" s="23">
        <f t="shared" si="13"/>
        <v>300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>
        <v>200</v>
      </c>
      <c r="F88" s="23">
        <v>0.33</v>
      </c>
      <c r="G88" s="23">
        <f t="shared" ref="G88:G104" si="14">E88*F88</f>
        <v>66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500</v>
      </c>
      <c r="F91" s="23">
        <v>0.35</v>
      </c>
      <c r="G91" s="23">
        <f t="shared" si="14"/>
        <v>175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>
        <v>500</v>
      </c>
      <c r="F92" s="23">
        <v>0.35</v>
      </c>
      <c r="G92" s="23">
        <f t="shared" si="14"/>
        <v>175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400</v>
      </c>
      <c r="F94" s="23">
        <v>0.28000000000000003</v>
      </c>
      <c r="G94" s="23">
        <f t="shared" si="14"/>
        <v>112.00000000000001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>
        <v>200</v>
      </c>
      <c r="F95" s="23">
        <v>0.35</v>
      </c>
      <c r="G95" s="23">
        <f t="shared" si="14"/>
        <v>70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260</v>
      </c>
      <c r="F96" s="23">
        <v>0.28000000000000003</v>
      </c>
      <c r="G96" s="23">
        <f t="shared" si="14"/>
        <v>72.800000000000011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500</v>
      </c>
      <c r="F97" s="23">
        <v>0.35</v>
      </c>
      <c r="G97" s="23">
        <f t="shared" si="14"/>
        <v>175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>
        <v>200</v>
      </c>
      <c r="F98" s="23">
        <v>0.31</v>
      </c>
      <c r="G98" s="23">
        <f t="shared" si="14"/>
        <v>62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500</v>
      </c>
      <c r="F100" s="23">
        <v>0.28000000000000003</v>
      </c>
      <c r="G100" s="23">
        <f t="shared" si="14"/>
        <v>140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208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209</v>
      </c>
      <c r="L103" s="122"/>
    </row>
    <row r="104" spans="1:67" ht="15.75" customHeight="1" thickBot="1" x14ac:dyDescent="0.3">
      <c r="A104" s="145">
        <v>7610</v>
      </c>
      <c r="B104" s="54" t="s">
        <v>210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211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24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>
        <v>40</v>
      </c>
      <c r="F106" s="60">
        <v>0.52</v>
      </c>
      <c r="G106" s="23">
        <f t="shared" ref="G106:G109" si="16">E106</f>
        <v>40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>
        <v>60</v>
      </c>
      <c r="F108" s="23">
        <v>0.5</v>
      </c>
      <c r="G108" s="23">
        <f t="shared" si="16"/>
        <v>60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>
        <v>40</v>
      </c>
      <c r="F109" s="23">
        <v>0.49399999999999999</v>
      </c>
      <c r="G109" s="23">
        <f t="shared" si="16"/>
        <v>40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>
        <v>160</v>
      </c>
      <c r="F116" s="23">
        <v>0.25</v>
      </c>
      <c r="G116" s="23">
        <f t="shared" si="17"/>
        <v>40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260</v>
      </c>
      <c r="F119" s="23">
        <v>0.25</v>
      </c>
      <c r="G119" s="23">
        <f t="shared" si="17"/>
        <v>65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>
        <v>400</v>
      </c>
      <c r="F120" s="23">
        <v>0.25</v>
      </c>
      <c r="G120" s="23">
        <f t="shared" si="17"/>
        <v>100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>
        <v>200</v>
      </c>
      <c r="F121" s="23">
        <v>0.25</v>
      </c>
      <c r="G121" s="23">
        <f t="shared" si="17"/>
        <v>50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350</v>
      </c>
      <c r="F122" s="23">
        <v>0.25</v>
      </c>
      <c r="G122" s="23">
        <f t="shared" si="17"/>
        <v>87.5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>
        <v>250</v>
      </c>
      <c r="F123" s="23">
        <v>0.22</v>
      </c>
      <c r="G123" s="23">
        <f t="shared" si="17"/>
        <v>55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>
        <v>200</v>
      </c>
      <c r="F126" s="23">
        <v>0.15</v>
      </c>
      <c r="G126" s="23">
        <f t="shared" ref="G126:G136" si="19">E126*F126</f>
        <v>30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250</v>
      </c>
      <c r="F128" s="23">
        <v>0.12</v>
      </c>
      <c r="G128" s="23">
        <f t="shared" si="19"/>
        <v>30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204</v>
      </c>
      <c r="C129" s="51" t="s">
        <v>20</v>
      </c>
      <c r="D129" s="52">
        <v>1001061977613</v>
      </c>
      <c r="E129" s="24">
        <v>100</v>
      </c>
      <c r="F129" s="23">
        <v>0.1</v>
      </c>
      <c r="G129" s="23">
        <f t="shared" si="19"/>
        <v>10</v>
      </c>
      <c r="H129" s="14">
        <v>1</v>
      </c>
      <c r="I129" s="14">
        <v>60</v>
      </c>
      <c r="J129" s="53" t="s">
        <v>205</v>
      </c>
      <c r="L129" s="122"/>
    </row>
    <row r="130" spans="1:67" ht="16.5" customHeight="1" x14ac:dyDescent="0.25">
      <c r="A130" s="145">
        <v>7616</v>
      </c>
      <c r="B130" s="54" t="s">
        <v>206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207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>
        <v>120</v>
      </c>
      <c r="F131" s="23">
        <v>0.09</v>
      </c>
      <c r="G131" s="23">
        <f t="shared" si="19"/>
        <v>10.799999999999999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>
        <v>120</v>
      </c>
      <c r="F132" s="23">
        <v>0.09</v>
      </c>
      <c r="G132" s="23">
        <f t="shared" si="19"/>
        <v>10.799999999999999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24"/>
      <c r="F133" s="151">
        <v>0.1</v>
      </c>
      <c r="G133" s="151">
        <f t="shared" si="19"/>
        <v>0</v>
      </c>
      <c r="H133" s="152">
        <v>1</v>
      </c>
      <c r="I133" s="152">
        <v>60</v>
      </c>
      <c r="J133" s="152" t="s">
        <v>203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>
        <v>120</v>
      </c>
      <c r="F135" s="23">
        <v>0.1</v>
      </c>
      <c r="G135" s="23">
        <f t="shared" si="19"/>
        <v>12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201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202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24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>
        <v>80</v>
      </c>
      <c r="F138" s="23">
        <v>1.2</v>
      </c>
      <c r="G138" s="23">
        <f>E138</f>
        <v>80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>
        <v>160</v>
      </c>
      <c r="F140" s="60">
        <v>1.35</v>
      </c>
      <c r="G140" s="23">
        <f t="shared" ref="G140:G143" si="21">E140</f>
        <v>160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>
        <v>70</v>
      </c>
      <c r="F141" s="60">
        <v>1.5</v>
      </c>
      <c r="G141" s="23">
        <f t="shared" si="21"/>
        <v>70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>
        <v>100</v>
      </c>
      <c r="F142" s="60">
        <v>3</v>
      </c>
      <c r="G142" s="23">
        <f t="shared" si="21"/>
        <v>100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250</v>
      </c>
      <c r="F144" s="60">
        <v>0.4</v>
      </c>
      <c r="G144" s="23">
        <f t="shared" ref="G144:G147" si="22">E144*F144</f>
        <v>100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/>
      <c r="F145" s="60">
        <v>0.4</v>
      </c>
      <c r="G145" s="23">
        <f t="shared" si="22"/>
        <v>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195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196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197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196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24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198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196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300</v>
      </c>
      <c r="F154" s="23">
        <v>0.3</v>
      </c>
      <c r="G154" s="23">
        <f t="shared" si="24"/>
        <v>90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240</v>
      </c>
      <c r="F155" s="23">
        <v>0.18</v>
      </c>
      <c r="G155" s="23">
        <f t="shared" si="24"/>
        <v>43.199999999999996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/>
      <c r="F156" s="23">
        <v>0.15</v>
      </c>
      <c r="G156" s="23">
        <f t="shared" si="24"/>
        <v>0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200</v>
      </c>
      <c r="F158" s="23">
        <v>0.1</v>
      </c>
      <c r="G158" s="23">
        <f t="shared" si="24"/>
        <v>20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199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200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14540</v>
      </c>
      <c r="F163" s="17"/>
      <c r="G163" s="17">
        <f>SUM(G11:G162)</f>
        <v>7158.7000000000007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2026-07-15T08:38:21Z</dcterms:modified>
</cp:coreProperties>
</file>