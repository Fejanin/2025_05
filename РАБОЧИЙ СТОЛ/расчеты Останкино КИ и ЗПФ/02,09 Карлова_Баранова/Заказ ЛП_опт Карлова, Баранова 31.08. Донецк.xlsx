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02,09 Карлова_Баранова\"/>
    </mc:Choice>
  </mc:AlternateContent>
  <xr:revisionPtr revIDLastSave="0" documentId="13_ncr:1_{87CD2623-AAC7-4C9B-9746-900ACD1A19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<sst xmlns="http://schemas.openxmlformats.org/spreadsheetml/2006/main" count="677" uniqueCount="221">
  <si>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</si>
  <si>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</si>
  <si>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</si>
  <si>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</si>
  <si>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</si>
  <si>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</si>
  <si>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</si>
  <si>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</si>
  <si>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</si>
  <si>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</si>
  <si>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</si>
  <si>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</si>
  <si>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</si>
  <si>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</si>
  <si>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</si>
  <si>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</si>
  <si>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</si>
  <si>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</si>
  <si>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</si>
  <si>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</si>
  <si>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</si>
  <si>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</si>
  <si>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</si>
  <si>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</si>
  <si>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</si>
  <si>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</si>
  <si>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</si>
  <si>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</si>
  <si>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</si>
  <si>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</si>
  <si>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</si>
  <si>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</si>
  <si>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</si>
  <si>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</si>
  <si>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</si>
  <si>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</si>
  <si>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</si>
  <si>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</si>
  <si>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</si>
  <si>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</si>
  <si>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</si>
  <si>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</si>
  <si>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</si>
  <si>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</si>
  <si>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</si>
  <si>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</si>
  <si>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</si>
  <si>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</si>
  <si>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</si>
  <si>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</si>
  <si>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</si>
  <si>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</si>
  <si>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</si>
  <si>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</si>
  <si>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</si>
  <si>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</si>
  <si>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</si>
  <si>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</si>
  <si>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</si>
  <si>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</si>
  <si>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</si>
  <si>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</si>
  <si>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</si>
  <si>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</si>
  <si>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</si>
  <si>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</si>
  <si>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</si>
  <si>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</si>
  <si>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</si>
  <si>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</si>
  <si>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</si>
  <si>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</si>
  <si>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</si>
  <si>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</si>
  <si>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</si>
  <si>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</si>
  <si>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</si>
  <si>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</si>
  <si>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</si>
  <si>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</si>
  <si>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</si>
  <si>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</si>
  <si>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</si>
  <si>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</si>
  <si>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</si>
  <si>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</si>
  <si>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</si>
  <si>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</si>
  <si>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</si>
  <si>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</si>
  <si>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</si>
  <si>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</si>
  <si>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</si>
  <si>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</si>
  <si>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</si>
  <si>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</si>
  <si>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</si>
  <si>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</si>
  <si>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</si>
  <si>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</si>
  <si>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</si>
  <si>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</si>
  <si>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</si>
  <si>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</si>
  <si>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</si>
  <si>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</si>
  <si>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</si>
  <si>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</si>
  <si>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</si>
  <si>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</si>
  <si>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</si>
  <si>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</si>
  <si>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</si>
  <si>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</si>
  <si>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</si>
  <si>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</si>
  <si>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</si>
  <si>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</si>
  <si>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</si>
  <si>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</si>
  <si>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</si>
  <si>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</si>
  <si>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</si>
  <si>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</si>
  <si>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</si>
  <si>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</si>
  <si>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</si>
  <si>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</si>
  <si>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</si>
  <si>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</si>
  <si>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</si>
  <si>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</si>
  <si>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</si>
  <si>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</si>
  <si>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</si>
  <si>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</si>
  <si>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</si>
  <si>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</si>
  <si>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</si>
  <si>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</si>
  <si>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</si>
  <si>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</si>
  <si>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</si>
  <si>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</si>
  <si>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</si>
  <si>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</si>
  <si>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</si>
  <si>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</si>
  <si>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</si>
  <si>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</si>
  <si>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</si>
  <si>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</si>
  <si>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</si>
  <si>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</si>
  <si>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</si>
  <si>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</si>
  <si>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</si>
  <si>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</si>
  <si>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</si>
  <si>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</si>
  <si>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</si>
  <si>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</si>
  <si>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</si>
  <si>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</si>
  <si>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</si>
  <si>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</si>
  <si>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</si>
  <si>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</si>
  <si>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</si>
  <si>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</si>
  <si>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</si>
  <si>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</si>
  <si>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</si>
  <si>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</si>
  <si>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</si>
  <si>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</si>
  <si>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</si>
  <si>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</si>
  <si>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</si>
  <si>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</si>
  <si>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</si>
  <si>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</si>
  <si>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</si>
  <si>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</si>
  <si>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</si>
  <si>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</si>
  <si>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</si>
  <si>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</si>
  <si>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</si>
  <si>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</si>
  <si>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</si>
  <si>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</si>
  <si>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</si>
  <si>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</si>
  <si>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</si>
  <si>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</si>
  <si>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</si>
  <si>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</si>
  <si>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</si>
  <si>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</si>
  <si>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</si>
  <si>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</si>
  <si>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</si>
  <si>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</si>
  <si>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</si>
  <si>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</si>
  <si>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</si>
  <si>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</si>
  <si>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</si>
  <si>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</si>
  <si>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</si>
  <si>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</si>
  <si>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</si>
  <si>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</si>
  <si>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</si>
  <si>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</si>
  <si>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</si>
  <si>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</si>
  <si>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</si>
  <si>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г. Донецк ул. Чаадаева 1</t>
  </si>
  <si>
    <t>ООО "Логистический партнер" ( опт Карлова, Баранова)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</si>
</sst>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2"/>
  <sheetViews>
    <sheetView tabSelected="1" zoomScale="70" zoomScaleNormal="70" workbookViewId="0">
      <pane ySplit="9" topLeftCell="A160" activePane="bottomLeft" state="frozen"/>
      <selection pane="bottomLeft" activeCell="K173" sqref="K17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5" t="s">
        <v>220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46271</v>
      </c>
      <c r="E3" s="7" t="s">
        <v>2</v>
      </c>
      <c r="F3" s="55"/>
      <c r="G3" s="158" t="s">
        <v>219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>
        <v>150</v>
      </c>
      <c r="F13" s="23">
        <v>1.35</v>
      </c>
      <c r="G13" s="23">
        <f t="shared" ref="G13:G20" si="1">E13</f>
        <v>150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>
        <v>150</v>
      </c>
      <c r="F14" s="23">
        <v>1.35</v>
      </c>
      <c r="G14" s="23">
        <f t="shared" si="1"/>
        <v>150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250</v>
      </c>
      <c r="F16" s="23">
        <v>1.35</v>
      </c>
      <c r="G16" s="23">
        <f t="shared" si="1"/>
        <v>250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250</v>
      </c>
      <c r="F17" s="23">
        <v>1.35</v>
      </c>
      <c r="G17" s="23">
        <f t="shared" si="1"/>
        <v>250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>
        <v>150</v>
      </c>
      <c r="F18" s="23">
        <v>1</v>
      </c>
      <c r="G18" s="23">
        <f t="shared" si="1"/>
        <v>150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80</v>
      </c>
      <c r="F29" s="23">
        <v>0.4</v>
      </c>
      <c r="G29" s="23">
        <f t="shared" si="4"/>
        <v>32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>
        <v>150</v>
      </c>
      <c r="F41" s="60">
        <v>2.1</v>
      </c>
      <c r="G41" s="23">
        <f t="shared" si="5"/>
        <v>150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>
        <v>80</v>
      </c>
      <c r="F42" s="60">
        <v>1.5</v>
      </c>
      <c r="G42" s="23">
        <f t="shared" si="5"/>
        <v>80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250</v>
      </c>
      <c r="F45" s="60">
        <v>1.5</v>
      </c>
      <c r="G45" s="23">
        <f t="shared" si="5"/>
        <v>250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6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6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30</v>
      </c>
      <c r="F55" s="60">
        <v>0.33</v>
      </c>
      <c r="G55" s="23">
        <f>E55*F55</f>
        <v>9.9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6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>
        <v>50</v>
      </c>
      <c r="F59" s="23">
        <v>0.41</v>
      </c>
      <c r="G59" s="23">
        <f t="shared" si="6"/>
        <v>20.5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80</v>
      </c>
      <c r="F61" s="23">
        <v>0.41</v>
      </c>
      <c r="G61" s="23">
        <f t="shared" si="6"/>
        <v>32.799999999999997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100</v>
      </c>
      <c r="F63" s="23">
        <v>0.4</v>
      </c>
      <c r="G63" s="23">
        <f t="shared" si="6"/>
        <v>40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  <c r="L69" s="122"/>
    </row>
    <row r="70" spans="1:12" ht="16.5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>
        <v>50</v>
      </c>
      <c r="F78" s="23">
        <v>1</v>
      </c>
      <c r="G78" s="23">
        <f t="shared" si="7"/>
        <v>50</v>
      </c>
      <c r="H78" s="14">
        <v>3</v>
      </c>
      <c r="I78" s="14">
        <v>45</v>
      </c>
      <c r="J78" s="29"/>
      <c r="L78" s="122"/>
    </row>
    <row r="79" spans="1:12" ht="16.5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80</v>
      </c>
      <c r="F86" s="60">
        <v>0.81</v>
      </c>
      <c r="G86" s="23">
        <f t="shared" si="9"/>
        <v>80</v>
      </c>
      <c r="H86" s="61">
        <v>4.8600000000000003</v>
      </c>
      <c r="I86" s="61">
        <v>45</v>
      </c>
      <c r="J86" s="61"/>
      <c r="L86" s="122"/>
    </row>
    <row r="87" spans="1:12" ht="16.5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70</v>
      </c>
      <c r="F89" s="60">
        <v>0.7</v>
      </c>
      <c r="G89" s="23">
        <f t="shared" si="10"/>
        <v>70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80</v>
      </c>
      <c r="F94" s="23">
        <v>0.35</v>
      </c>
      <c r="G94" s="23">
        <f t="shared" si="11"/>
        <v>28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80</v>
      </c>
      <c r="F95" s="23">
        <v>0.35</v>
      </c>
      <c r="G95" s="23">
        <f t="shared" si="11"/>
        <v>28</v>
      </c>
      <c r="H95" s="14">
        <v>2.8</v>
      </c>
      <c r="I95" s="14">
        <v>50</v>
      </c>
      <c r="J95" s="29"/>
      <c r="L95" s="122"/>
    </row>
    <row r="96" spans="1:12" ht="15.75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/>
      <c r="F97" s="23">
        <v>0.28000000000000003</v>
      </c>
      <c r="G97" s="23">
        <f t="shared" si="11"/>
        <v>0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50</v>
      </c>
      <c r="F100" s="23">
        <v>0.35</v>
      </c>
      <c r="G100" s="23">
        <f t="shared" si="11"/>
        <v>17.5</v>
      </c>
      <c r="H100" s="14">
        <v>2.8</v>
      </c>
      <c r="I100" s="14">
        <v>50</v>
      </c>
      <c r="J100" s="50"/>
      <c r="L100" s="122"/>
    </row>
    <row r="101" spans="1:67" ht="15.75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  <c r="L103" s="122"/>
    </row>
    <row r="104" spans="1:67" ht="15.75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/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/>
      <c r="F125" s="23">
        <v>0.25</v>
      </c>
      <c r="G125" s="23">
        <f t="shared" si="13"/>
        <v>0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/>
      <c r="F126" s="23">
        <v>0.22</v>
      </c>
      <c r="G126" s="23">
        <f t="shared" si="13"/>
        <v>0</v>
      </c>
      <c r="H126" s="14">
        <v>1.76</v>
      </c>
      <c r="I126" s="14">
        <v>120</v>
      </c>
      <c r="J126" s="29"/>
      <c r="L126" s="122"/>
    </row>
    <row r="127" spans="1:12" ht="16.5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>
        <v>70</v>
      </c>
      <c r="F128" s="23">
        <v>0.215</v>
      </c>
      <c r="G128" s="23">
        <f t="shared" si="14"/>
        <v>70</v>
      </c>
      <c r="H128" s="14">
        <v>2.15</v>
      </c>
      <c r="I128" s="14">
        <v>30</v>
      </c>
      <c r="J128" s="29"/>
      <c r="L128" s="122"/>
    </row>
    <row r="129" spans="1:67" ht="16.5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/>
      <c r="F131" s="23">
        <v>0.12</v>
      </c>
      <c r="G131" s="23">
        <f t="shared" si="15"/>
        <v>0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/>
      <c r="F133" s="23">
        <v>0.1</v>
      </c>
      <c r="G133" s="23">
        <f t="shared" si="15"/>
        <v>0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/>
      <c r="F134" s="23">
        <v>0.09</v>
      </c>
      <c r="G134" s="23">
        <f t="shared" si="15"/>
        <v>0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/>
      <c r="F147" s="60">
        <v>0.4</v>
      </c>
      <c r="G147" s="23">
        <f t="shared" ref="G147:G150" si="17">E147*F147</f>
        <v>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/>
      <c r="F148" s="60">
        <v>0.4</v>
      </c>
      <c r="G148" s="23">
        <f t="shared" si="17"/>
        <v>0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/>
      <c r="F159" s="23">
        <v>0.3</v>
      </c>
      <c r="G159" s="23">
        <f t="shared" si="18"/>
        <v>0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/>
      <c r="F160" s="23">
        <v>0.18</v>
      </c>
      <c r="G160" s="23">
        <f t="shared" si="18"/>
        <v>0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/>
      <c r="F161" s="23">
        <v>0.15</v>
      </c>
      <c r="G161" s="23">
        <f t="shared" si="18"/>
        <v>0</v>
      </c>
      <c r="H161" s="14">
        <v>1.2</v>
      </c>
      <c r="I161" s="14">
        <v>45</v>
      </c>
      <c r="J161" s="29"/>
      <c r="L161" s="122"/>
    </row>
    <row r="162" spans="1:12" ht="16.5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2250</v>
      </c>
      <c r="F168" s="17"/>
      <c r="G168" s="17">
        <f>SUM(G11:G167)</f>
        <v>1908.7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/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2026-09-02T13:05:32Z</dcterms:modified>
</cp:coreProperties>
</file>