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BDB8D280-A1A3-44A1-88ED-4B6FE100CEA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Sheet!$A$3:$AE$104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7" i="1" l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Q22" i="1" s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R36" i="1" s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R58" i="1" s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Q73" i="1" s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R87" i="1" s="1"/>
  <c r="P88" i="1"/>
  <c r="R88" i="1" s="1"/>
  <c r="P89" i="1"/>
  <c r="R89" i="1" s="1"/>
  <c r="P90" i="1"/>
  <c r="R90" i="1" s="1"/>
  <c r="P91" i="1"/>
  <c r="P92" i="1"/>
  <c r="S92" i="1" s="1"/>
  <c r="P93" i="1"/>
  <c r="S93" i="1" s="1"/>
  <c r="P94" i="1"/>
  <c r="S94" i="1" s="1"/>
  <c r="P95" i="1"/>
  <c r="P96" i="1"/>
  <c r="S96" i="1" s="1"/>
  <c r="P97" i="1"/>
  <c r="P98" i="1"/>
  <c r="P99" i="1"/>
  <c r="P100" i="1"/>
  <c r="Q100" i="1" s="1"/>
  <c r="P101" i="1"/>
  <c r="Q101" i="1" s="1"/>
  <c r="P102" i="1"/>
  <c r="Q102" i="1" s="1"/>
  <c r="P103" i="1"/>
  <c r="S103" i="1" s="1"/>
  <c r="P104" i="1"/>
  <c r="P6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S101" i="1" l="1"/>
  <c r="AE101" i="1"/>
  <c r="S99" i="1"/>
  <c r="AE99" i="1"/>
  <c r="S97" i="1"/>
  <c r="AE97" i="1"/>
  <c r="S95" i="1"/>
  <c r="AE95" i="1"/>
  <c r="AE91" i="1"/>
  <c r="Q85" i="1"/>
  <c r="AE85" i="1" s="1"/>
  <c r="AE83" i="1"/>
  <c r="AE81" i="1"/>
  <c r="AE79" i="1"/>
  <c r="Q77" i="1"/>
  <c r="AE77" i="1" s="1"/>
  <c r="Q75" i="1"/>
  <c r="AE75" i="1" s="1"/>
  <c r="AE73" i="1"/>
  <c r="AE71" i="1"/>
  <c r="AE69" i="1"/>
  <c r="AE67" i="1"/>
  <c r="AE65" i="1"/>
  <c r="AE63" i="1"/>
  <c r="AE61" i="1"/>
  <c r="AE59" i="1"/>
  <c r="Q57" i="1"/>
  <c r="AE57" i="1" s="1"/>
  <c r="Q55" i="1"/>
  <c r="AE55" i="1" s="1"/>
  <c r="Q53" i="1"/>
  <c r="AE53" i="1" s="1"/>
  <c r="Q51" i="1"/>
  <c r="AE51" i="1" s="1"/>
  <c r="Q49" i="1"/>
  <c r="AE49" i="1" s="1"/>
  <c r="Q47" i="1"/>
  <c r="AE47" i="1" s="1"/>
  <c r="AE45" i="1"/>
  <c r="AE43" i="1"/>
  <c r="AE41" i="1"/>
  <c r="AE39" i="1"/>
  <c r="AE37" i="1"/>
  <c r="AE35" i="1"/>
  <c r="AE33" i="1"/>
  <c r="AE31" i="1"/>
  <c r="Q29" i="1"/>
  <c r="AE29" i="1" s="1"/>
  <c r="AE27" i="1"/>
  <c r="AE25" i="1"/>
  <c r="AE23" i="1"/>
  <c r="AE21" i="1"/>
  <c r="AE19" i="1"/>
  <c r="AE17" i="1"/>
  <c r="AE15" i="1"/>
  <c r="AE13" i="1"/>
  <c r="AE11" i="1"/>
  <c r="AE9" i="1"/>
  <c r="Q7" i="1"/>
  <c r="AE7" i="1" s="1"/>
  <c r="S104" i="1"/>
  <c r="AE104" i="1"/>
  <c r="S102" i="1"/>
  <c r="AE102" i="1"/>
  <c r="S100" i="1"/>
  <c r="AE100" i="1"/>
  <c r="S98" i="1"/>
  <c r="AE98" i="1"/>
  <c r="Q86" i="1"/>
  <c r="AE86" i="1" s="1"/>
  <c r="AE84" i="1"/>
  <c r="AE82" i="1"/>
  <c r="AE80" i="1"/>
  <c r="AE78" i="1"/>
  <c r="Q76" i="1"/>
  <c r="AE76" i="1" s="1"/>
  <c r="AE74" i="1"/>
  <c r="AE72" i="1"/>
  <c r="AE70" i="1"/>
  <c r="AE68" i="1"/>
  <c r="AE66" i="1"/>
  <c r="Q64" i="1"/>
  <c r="AE64" i="1" s="1"/>
  <c r="AE62" i="1"/>
  <c r="AE60" i="1"/>
  <c r="AE56" i="1"/>
  <c r="AE54" i="1"/>
  <c r="AE52" i="1"/>
  <c r="AE50" i="1"/>
  <c r="AE48" i="1"/>
  <c r="AE46" i="1"/>
  <c r="Q44" i="1"/>
  <c r="AE44" i="1" s="1"/>
  <c r="Q42" i="1"/>
  <c r="AE42" i="1" s="1"/>
  <c r="AE40" i="1"/>
  <c r="AE38" i="1"/>
  <c r="AE34" i="1"/>
  <c r="Q32" i="1"/>
  <c r="AE32" i="1" s="1"/>
  <c r="AE30" i="1"/>
  <c r="AE28" i="1"/>
  <c r="Q26" i="1"/>
  <c r="AE26" i="1" s="1"/>
  <c r="AE24" i="1"/>
  <c r="AE22" i="1"/>
  <c r="AE20" i="1"/>
  <c r="AE18" i="1"/>
  <c r="AE16" i="1"/>
  <c r="AE14" i="1"/>
  <c r="AE12" i="1"/>
  <c r="AE10" i="1"/>
  <c r="AE8" i="1"/>
  <c r="R98" i="1"/>
  <c r="R94" i="1"/>
  <c r="S90" i="1"/>
  <c r="S86" i="1"/>
  <c r="S82" i="1"/>
  <c r="S78" i="1"/>
  <c r="S74" i="1"/>
  <c r="S70" i="1"/>
  <c r="S66" i="1"/>
  <c r="S62" i="1"/>
  <c r="S58" i="1"/>
  <c r="S54" i="1"/>
  <c r="S50" i="1"/>
  <c r="S46" i="1"/>
  <c r="S42" i="1"/>
  <c r="S38" i="1"/>
  <c r="S34" i="1"/>
  <c r="S30" i="1"/>
  <c r="S26" i="1"/>
  <c r="S22" i="1"/>
  <c r="S18" i="1"/>
  <c r="S14" i="1"/>
  <c r="S10" i="1"/>
  <c r="R100" i="1"/>
  <c r="R96" i="1"/>
  <c r="R92" i="1"/>
  <c r="S88" i="1"/>
  <c r="S84" i="1"/>
  <c r="S80" i="1"/>
  <c r="S76" i="1"/>
  <c r="S72" i="1"/>
  <c r="S68" i="1"/>
  <c r="S64" i="1"/>
  <c r="S60" i="1"/>
  <c r="S56" i="1"/>
  <c r="S52" i="1"/>
  <c r="S48" i="1"/>
  <c r="S44" i="1"/>
  <c r="S40" i="1"/>
  <c r="S36" i="1"/>
  <c r="S32" i="1"/>
  <c r="S28" i="1"/>
  <c r="S24" i="1"/>
  <c r="S20" i="1"/>
  <c r="S16" i="1"/>
  <c r="S12" i="1"/>
  <c r="S8" i="1"/>
  <c r="S6" i="1"/>
  <c r="R103" i="1"/>
  <c r="R97" i="1"/>
  <c r="R93" i="1"/>
  <c r="S91" i="1"/>
  <c r="S89" i="1"/>
  <c r="S87" i="1"/>
  <c r="S85" i="1"/>
  <c r="S83" i="1"/>
  <c r="S81" i="1"/>
  <c r="S79" i="1"/>
  <c r="S77" i="1"/>
  <c r="S75" i="1"/>
  <c r="S73" i="1"/>
  <c r="S71" i="1"/>
  <c r="S69" i="1"/>
  <c r="S67" i="1"/>
  <c r="S65" i="1"/>
  <c r="S63" i="1"/>
  <c r="S61" i="1"/>
  <c r="S59" i="1"/>
  <c r="S57" i="1"/>
  <c r="S55" i="1"/>
  <c r="S53" i="1"/>
  <c r="S51" i="1"/>
  <c r="S49" i="1"/>
  <c r="S47" i="1"/>
  <c r="S45" i="1"/>
  <c r="S43" i="1"/>
  <c r="S41" i="1"/>
  <c r="S39" i="1"/>
  <c r="S37" i="1"/>
  <c r="S35" i="1"/>
  <c r="S33" i="1"/>
  <c r="S31" i="1"/>
  <c r="S29" i="1"/>
  <c r="S27" i="1"/>
  <c r="S25" i="1"/>
  <c r="S23" i="1"/>
  <c r="S21" i="1"/>
  <c r="S19" i="1"/>
  <c r="S17" i="1"/>
  <c r="S15" i="1"/>
  <c r="S13" i="1"/>
  <c r="S11" i="1"/>
  <c r="S9" i="1"/>
  <c r="S7" i="1"/>
  <c r="P5" i="1"/>
  <c r="L5" i="1"/>
  <c r="R101" i="1" l="1"/>
  <c r="AE6" i="1"/>
  <c r="AE5" i="1" s="1"/>
  <c r="Q5" i="1"/>
  <c r="R95" i="1"/>
  <c r="R99" i="1"/>
  <c r="R104" i="1"/>
  <c r="R102" i="1"/>
  <c r="R8" i="1"/>
  <c r="R10" i="1"/>
  <c r="R12" i="1"/>
  <c r="R14" i="1"/>
  <c r="R16" i="1"/>
  <c r="R18" i="1"/>
  <c r="R20" i="1"/>
  <c r="R22" i="1"/>
  <c r="R24" i="1"/>
  <c r="R26" i="1"/>
  <c r="R28" i="1"/>
  <c r="R30" i="1"/>
  <c r="R32" i="1"/>
  <c r="R34" i="1"/>
  <c r="R38" i="1"/>
  <c r="R40" i="1"/>
  <c r="R42" i="1"/>
  <c r="R44" i="1"/>
  <c r="R46" i="1"/>
  <c r="R48" i="1"/>
  <c r="R50" i="1"/>
  <c r="R52" i="1"/>
  <c r="R54" i="1"/>
  <c r="R56" i="1"/>
  <c r="R60" i="1"/>
  <c r="R62" i="1"/>
  <c r="R64" i="1"/>
  <c r="R66" i="1"/>
  <c r="R68" i="1"/>
  <c r="R70" i="1"/>
  <c r="R72" i="1"/>
  <c r="R74" i="1"/>
  <c r="R76" i="1"/>
  <c r="R78" i="1"/>
  <c r="R80" i="1"/>
  <c r="R82" i="1"/>
  <c r="R84" i="1"/>
  <c r="R86" i="1"/>
  <c r="R7" i="1"/>
  <c r="R9" i="1"/>
  <c r="R11" i="1"/>
  <c r="R13" i="1"/>
  <c r="R15" i="1"/>
  <c r="R17" i="1"/>
  <c r="R19" i="1"/>
  <c r="R21" i="1"/>
  <c r="R23" i="1"/>
  <c r="R25" i="1"/>
  <c r="R27" i="1"/>
  <c r="R29" i="1"/>
  <c r="R31" i="1"/>
  <c r="R33" i="1"/>
  <c r="R35" i="1"/>
  <c r="R37" i="1"/>
  <c r="R39" i="1"/>
  <c r="R41" i="1"/>
  <c r="R43" i="1"/>
  <c r="R45" i="1"/>
  <c r="R47" i="1"/>
  <c r="R49" i="1"/>
  <c r="R51" i="1"/>
  <c r="R53" i="1"/>
  <c r="R55" i="1"/>
  <c r="R57" i="1"/>
  <c r="R59" i="1"/>
  <c r="R61" i="1"/>
  <c r="R63" i="1"/>
  <c r="R65" i="1"/>
  <c r="R67" i="1"/>
  <c r="R69" i="1"/>
  <c r="R71" i="1"/>
  <c r="R73" i="1"/>
  <c r="R75" i="1"/>
  <c r="R77" i="1"/>
  <c r="R79" i="1"/>
  <c r="R81" i="1"/>
  <c r="R83" i="1"/>
  <c r="R85" i="1"/>
  <c r="R91" i="1"/>
  <c r="R6" i="1"/>
</calcChain>
</file>

<file path=xl/sharedStrings.xml><?xml version="1.0" encoding="utf-8"?>
<sst xmlns="http://schemas.openxmlformats.org/spreadsheetml/2006/main" count="401" uniqueCount="162">
  <si>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</si>
  <si>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</si>
  <si>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</si>
  <si>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</si>
  <si>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</si>
  <si>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</si>
  <si>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</si>
  <si>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</si>
  <si>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</si>
  <si>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</si>
  <si>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</si>
  <si>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</si>
  <si>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</si>
  <si>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</si>
  <si>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</si>
  <si>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</si>
  <si>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</si>
  <si>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</si>
  <si>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</si>
  <si>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</si>
  <si>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</si>
  <si>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</si>
  <si>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21,09,</t>
  </si>
  <si>
    <t>28,09,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</si>
  <si>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</si>
  <si>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</si>
  <si>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</si>
  <si>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</si>
  <si>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</si>
  <si>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</si>
  <si>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</si>
  <si>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</si>
  <si>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</si>
  <si>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</si>
  <si>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</si>
  <si>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</si>
  <si>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</si>
  <si>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</si>
  <si>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</si>
  <si>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</si>
  <si>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</si>
  <si>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</si>
  <si>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</si>
  <si>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</si>
  <si>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</si>
  <si>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ВНИМАНИЕ / матрица</t>
  </si>
  <si>
    <t>Главторг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</si>
  <si>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</si>
  <si>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</si>
  <si>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</si>
  <si>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</si>
  <si>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плюсом 5 дней / Главторг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</si>
  <si>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</si>
  <si>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</si>
  <si>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</si>
  <si>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</si>
  <si>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</si>
  <si>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</si>
  <si>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</si>
  <si>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90кг в уценку (21,07,26)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</si>
  <si>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</si>
  <si>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</si>
  <si>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</si>
  <si>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</si>
  <si>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</si>
  <si>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</si>
  <si>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</si>
  <si>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</si>
  <si>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</si>
  <si>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</si>
  <si>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</si>
  <si>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</si>
  <si>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</si>
  <si>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РАЗОВО</t>
  </si>
  <si>
    <t>Главторг + опт (разово)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</si>
  <si>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</si>
  <si>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</si>
  <si>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</si>
  <si>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</si>
  <si>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</si>
  <si>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</si>
  <si>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</si>
  <si>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</si>
  <si>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</si>
  <si>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</si>
  <si>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</si>
  <si>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</si>
  <si>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</si>
  <si>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</si>
  <si>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90 кг в уценку 30,06,26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</si>
  <si>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</si>
  <si>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</si>
  <si>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</si>
  <si>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</si>
  <si>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нужно увеличить продажи!!!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</si>
  <si>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</si>
  <si>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</si>
  <si>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</si>
  <si>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</si>
  <si>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</si>
  <si>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</si>
  <si>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</si>
  <si>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</si>
  <si>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</si>
  <si>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</si>
  <si>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</si>
  <si>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</si>
  <si>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</si>
  <si>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нужно увеличить продажи!!! / новинка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</si>
  <si>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</si>
  <si>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</si>
  <si>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</si>
  <si>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новинка / Главторг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</si>
  <si>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</si>
  <si>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</si>
  <si>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</si>
  <si>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</si>
  <si>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</si>
  <si>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</si>
  <si>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</si>
  <si>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</si>
  <si>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</si>
  <si>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</si>
  <si>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</si>
  <si>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</si>
  <si>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</si>
  <si>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</si>
  <si>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</si>
  <si>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</si>
  <si>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</si>
  <si>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</si>
  <si>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нет потребности</t>
  </si>
  <si>
    <t>7514 ЛЮБИТЕЛЬСКАЯ ОСТАНКИНСКАЯ вар п/о в/у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</si>
  <si>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</si>
  <si>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</si>
  <si>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</si>
  <si>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</si>
  <si>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</si>
  <si>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</si>
  <si>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вывод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</si>
  <si>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</si>
  <si>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</si>
  <si>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</si>
  <si>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 xml:space="preserve">Главторг 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</si>
  <si>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</si>
  <si>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</si>
  <si>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</si>
  <si>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заказываем с 18,09,26</t>
  </si>
  <si>
    <t>7713 СЕРВЕЛАТ КЛАССИЧЕСКИЙ СН в/к в/у 0.28кг  ОСТАНКИНО</t>
  </si>
  <si>
    <t>не в матрице</t>
  </si>
  <si>
    <t>завод отгрузил без заказа</t>
  </si>
  <si>
    <t>8014 ДОКТОРСКАЯ ПРЕМИУМ вар п/о(п)    ОСТАНКИНО</t>
  </si>
  <si>
    <t>7513 ВОСКРЕСЕНСКАЯ ВЯЛЕНАЯ в/к в/у срез 1/260  ОСТАНКИНО</t>
  </si>
  <si>
    <t>7516 НОВОМОСКОВСКАЯ в/к в/у срез 0.31кг  ОСТАНКИНО</t>
  </si>
  <si>
    <t>7562 КРАКОВСКАЯ ГОСТ Останкино п/к н/о мгс  ОСТАНКИНО</t>
  </si>
  <si>
    <t>ротация на код 7700</t>
  </si>
  <si>
    <t>ротация на код 7725</t>
  </si>
  <si>
    <t>ротация на код 7490</t>
  </si>
  <si>
    <t>ротация на код 7730</t>
  </si>
  <si>
    <t>ротация на код 7731</t>
  </si>
  <si>
    <t>нужно увеличить продажи / плюсом 5 дней</t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</si>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</sst>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1" fillId="4" borderId="1" xfId="1" applyNumberFormat="1" applyFill="1"/>
    <xf numFmtId="164" fontId="4" fillId="4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4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4" sqref="AJ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9" width="6" customWidth="1"/>
    <col min="30" max="30" width="47.140625" customWidth="1"/>
    <col min="31" max="31" width="7" customWidth="1"/>
    <col min="32" max="47" width="3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/>
      <c r="S4" s="1"/>
      <c r="T4" s="1" t="s">
        <v>22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SUM(E6:E499)</f>
        <v>13632.958000000002</v>
      </c>
      <c r="F5" s="4">
        <f>SUM(F6:F499)</f>
        <v>27469.961000000003</v>
      </c>
      <c r="G5" s="7"/>
      <c r="H5" s="1"/>
      <c r="I5" s="1"/>
      <c r="J5" s="1"/>
      <c r="K5" s="4">
        <f t="shared" ref="K5:Q5" si="0">SUM(K6:K499)</f>
        <v>14463.105000000001</v>
      </c>
      <c r="L5" s="4">
        <f t="shared" si="0"/>
        <v>-830.14699999999982</v>
      </c>
      <c r="M5" s="4">
        <f t="shared" si="0"/>
        <v>0</v>
      </c>
      <c r="N5" s="4">
        <f t="shared" si="0"/>
        <v>0</v>
      </c>
      <c r="O5" s="4">
        <f t="shared" si="0"/>
        <v>17709</v>
      </c>
      <c r="P5" s="4">
        <f t="shared" si="0"/>
        <v>2726.5916000000002</v>
      </c>
      <c r="Q5" s="4">
        <f t="shared" si="0"/>
        <v>4962.8760000000002</v>
      </c>
      <c r="R5" s="1"/>
      <c r="S5" s="1"/>
      <c r="T5" s="4">
        <f t="shared" ref="T5:AC5" si="1">SUM(T6:T499)</f>
        <v>2956.8672000000006</v>
      </c>
      <c r="U5" s="4">
        <f t="shared" si="1"/>
        <v>3260.9780000000005</v>
      </c>
      <c r="V5" s="4">
        <f t="shared" si="1"/>
        <v>2981.3814000000002</v>
      </c>
      <c r="W5" s="4">
        <f t="shared" si="1"/>
        <v>2662.3456000000001</v>
      </c>
      <c r="X5" s="4">
        <f t="shared" si="1"/>
        <v>2670.2276000000002</v>
      </c>
      <c r="Y5" s="4">
        <f t="shared" si="1"/>
        <v>3084.7252000000003</v>
      </c>
      <c r="Z5" s="4">
        <f t="shared" si="1"/>
        <v>2390.3494000000005</v>
      </c>
      <c r="AA5" s="4">
        <f t="shared" si="1"/>
        <v>2433.7146000000002</v>
      </c>
      <c r="AB5" s="4">
        <f t="shared" si="1"/>
        <v>2650.7073999999998</v>
      </c>
      <c r="AC5" s="4">
        <f t="shared" si="1"/>
        <v>2188.1986000000002</v>
      </c>
      <c r="AD5" s="1"/>
      <c r="AE5" s="4">
        <f>SUM(AE6:AE499)</f>
        <v>1460.4060000000006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33</v>
      </c>
      <c r="B6" s="1" t="s">
        <v>34</v>
      </c>
      <c r="C6" s="1">
        <v>-2E-3</v>
      </c>
      <c r="D6" s="1">
        <v>49.598999999999997</v>
      </c>
      <c r="E6" s="1">
        <v>0.53700000000000003</v>
      </c>
      <c r="F6" s="1">
        <v>48.497999999999998</v>
      </c>
      <c r="G6" s="7">
        <v>1</v>
      </c>
      <c r="H6" s="1">
        <v>120</v>
      </c>
      <c r="I6" s="1" t="s">
        <v>35</v>
      </c>
      <c r="J6" s="1"/>
      <c r="K6" s="1">
        <v>4</v>
      </c>
      <c r="L6" s="1">
        <f t="shared" ref="L6:L37" si="2">E6-K6</f>
        <v>-3.4630000000000001</v>
      </c>
      <c r="M6" s="1"/>
      <c r="N6" s="1"/>
      <c r="O6" s="1">
        <v>50</v>
      </c>
      <c r="P6" s="1">
        <f>E6/5</f>
        <v>0.10740000000000001</v>
      </c>
      <c r="Q6" s="5"/>
      <c r="R6" s="1">
        <f>(F6+O6+Q6)/P6</f>
        <v>917.11359404096822</v>
      </c>
      <c r="S6" s="1">
        <f>(F6+O6)/P6</f>
        <v>917.11359404096822</v>
      </c>
      <c r="T6" s="1">
        <v>0.21740000000000001</v>
      </c>
      <c r="U6" s="1">
        <v>1.3042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 t="s">
        <v>36</v>
      </c>
      <c r="AE6" s="1">
        <f t="shared" ref="AE6:AE35" si="3"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37</v>
      </c>
      <c r="B7" s="1" t="s">
        <v>38</v>
      </c>
      <c r="C7" s="1">
        <v>64</v>
      </c>
      <c r="D7" s="1">
        <v>249</v>
      </c>
      <c r="E7" s="1">
        <v>154</v>
      </c>
      <c r="F7" s="1">
        <v>137</v>
      </c>
      <c r="G7" s="7">
        <v>0.4</v>
      </c>
      <c r="H7" s="1">
        <v>60</v>
      </c>
      <c r="I7" s="1" t="s">
        <v>35</v>
      </c>
      <c r="J7" s="1"/>
      <c r="K7" s="1">
        <v>170</v>
      </c>
      <c r="L7" s="1">
        <f t="shared" si="2"/>
        <v>-16</v>
      </c>
      <c r="M7" s="1"/>
      <c r="N7" s="1"/>
      <c r="O7" s="1">
        <v>100</v>
      </c>
      <c r="P7" s="1">
        <f t="shared" ref="P7:P70" si="4">E7/5</f>
        <v>30.8</v>
      </c>
      <c r="Q7" s="5">
        <f t="shared" ref="Q7:Q35" si="5">15*P7-O7-F7</f>
        <v>225</v>
      </c>
      <c r="R7" s="1">
        <f t="shared" ref="R7:R70" si="6">(F7+O7+Q7)/P7</f>
        <v>15</v>
      </c>
      <c r="S7" s="1">
        <f t="shared" ref="S7:S70" si="7">(F7+O7)/P7</f>
        <v>7.6948051948051948</v>
      </c>
      <c r="T7" s="1">
        <v>22.6</v>
      </c>
      <c r="U7" s="1">
        <v>29.8</v>
      </c>
      <c r="V7" s="1">
        <v>23</v>
      </c>
      <c r="W7" s="1">
        <v>32.4</v>
      </c>
      <c r="X7" s="1">
        <v>20.2</v>
      </c>
      <c r="Y7" s="1">
        <v>22.6</v>
      </c>
      <c r="Z7" s="1">
        <v>23.2</v>
      </c>
      <c r="AA7" s="1">
        <v>21.8</v>
      </c>
      <c r="AB7" s="1">
        <v>34.4</v>
      </c>
      <c r="AC7" s="1">
        <v>33.4</v>
      </c>
      <c r="AD7" s="1"/>
      <c r="AE7" s="1">
        <f t="shared" si="3"/>
        <v>90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39</v>
      </c>
      <c r="B8" s="1" t="s">
        <v>34</v>
      </c>
      <c r="C8" s="1">
        <v>15.79</v>
      </c>
      <c r="D8" s="1">
        <v>14.683999999999999</v>
      </c>
      <c r="E8" s="1">
        <v>12.324</v>
      </c>
      <c r="F8" s="1"/>
      <c r="G8" s="7">
        <v>1</v>
      </c>
      <c r="H8" s="1">
        <v>120</v>
      </c>
      <c r="I8" s="1" t="s">
        <v>35</v>
      </c>
      <c r="J8" s="1"/>
      <c r="K8" s="1">
        <v>34.700000000000003</v>
      </c>
      <c r="L8" s="1">
        <f t="shared" si="2"/>
        <v>-22.376000000000005</v>
      </c>
      <c r="M8" s="1"/>
      <c r="N8" s="1"/>
      <c r="O8" s="1">
        <v>90</v>
      </c>
      <c r="P8" s="1">
        <f t="shared" si="4"/>
        <v>2.4647999999999999</v>
      </c>
      <c r="Q8" s="5"/>
      <c r="R8" s="1">
        <f t="shared" si="6"/>
        <v>36.51411879259981</v>
      </c>
      <c r="S8" s="1">
        <f t="shared" si="7"/>
        <v>36.51411879259981</v>
      </c>
      <c r="T8" s="1">
        <v>8.1918000000000006</v>
      </c>
      <c r="U8" s="1">
        <v>2.5813999999999999</v>
      </c>
      <c r="V8" s="1">
        <v>0.79560000000000008</v>
      </c>
      <c r="W8" s="1">
        <v>0.99399999999999999</v>
      </c>
      <c r="X8" s="1">
        <v>2.5045999999999999</v>
      </c>
      <c r="Y8" s="1">
        <v>4.4005999999999998</v>
      </c>
      <c r="Z8" s="1">
        <v>1.4883999999999999</v>
      </c>
      <c r="AA8" s="1">
        <v>3.4176000000000002</v>
      </c>
      <c r="AB8" s="1">
        <v>1.4923999999999999</v>
      </c>
      <c r="AC8" s="1">
        <v>1.8888</v>
      </c>
      <c r="AD8" s="1" t="s">
        <v>40</v>
      </c>
      <c r="AE8" s="1">
        <f t="shared" si="3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 t="s">
        <v>41</v>
      </c>
      <c r="B9" s="1" t="s">
        <v>38</v>
      </c>
      <c r="C9" s="1">
        <v>5</v>
      </c>
      <c r="D9" s="1">
        <v>156</v>
      </c>
      <c r="E9" s="1">
        <v>84</v>
      </c>
      <c r="F9" s="1">
        <v>59</v>
      </c>
      <c r="G9" s="7">
        <v>0.25</v>
      </c>
      <c r="H9" s="1">
        <v>120</v>
      </c>
      <c r="I9" s="1" t="s">
        <v>35</v>
      </c>
      <c r="J9" s="1"/>
      <c r="K9" s="1">
        <v>114</v>
      </c>
      <c r="L9" s="1">
        <f t="shared" si="2"/>
        <v>-30</v>
      </c>
      <c r="M9" s="1"/>
      <c r="N9" s="1"/>
      <c r="O9" s="1">
        <v>350</v>
      </c>
      <c r="P9" s="1">
        <f t="shared" si="4"/>
        <v>16.8</v>
      </c>
      <c r="Q9" s="5"/>
      <c r="R9" s="1">
        <f t="shared" si="6"/>
        <v>24.345238095238095</v>
      </c>
      <c r="S9" s="1">
        <f t="shared" si="7"/>
        <v>24.345238095238095</v>
      </c>
      <c r="T9" s="1">
        <v>25.4</v>
      </c>
      <c r="U9" s="1">
        <v>14.6</v>
      </c>
      <c r="V9" s="1">
        <v>9.6</v>
      </c>
      <c r="W9" s="1">
        <v>7.2</v>
      </c>
      <c r="X9" s="1">
        <v>10.4</v>
      </c>
      <c r="Y9" s="1">
        <v>12.6</v>
      </c>
      <c r="Z9" s="1">
        <v>8.4</v>
      </c>
      <c r="AA9" s="1">
        <v>11.4</v>
      </c>
      <c r="AB9" s="1">
        <v>13.6</v>
      </c>
      <c r="AC9" s="1">
        <v>8.1999999999999993</v>
      </c>
      <c r="AD9" s="1" t="s">
        <v>40</v>
      </c>
      <c r="AE9" s="1">
        <f t="shared" si="3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42</v>
      </c>
      <c r="B10" s="1" t="s">
        <v>34</v>
      </c>
      <c r="C10" s="1">
        <v>784.79399999999998</v>
      </c>
      <c r="D10" s="1">
        <v>1078.835</v>
      </c>
      <c r="E10" s="1">
        <v>526.48500000000001</v>
      </c>
      <c r="F10" s="1">
        <v>1214.4739999999999</v>
      </c>
      <c r="G10" s="7">
        <v>1</v>
      </c>
      <c r="H10" s="1">
        <v>60</v>
      </c>
      <c r="I10" s="1" t="s">
        <v>35</v>
      </c>
      <c r="J10" s="1"/>
      <c r="K10" s="1">
        <v>575.65</v>
      </c>
      <c r="L10" s="1">
        <f t="shared" si="2"/>
        <v>-49.164999999999964</v>
      </c>
      <c r="M10" s="1"/>
      <c r="N10" s="1"/>
      <c r="O10" s="1">
        <v>800</v>
      </c>
      <c r="P10" s="1">
        <f t="shared" si="4"/>
        <v>105.297</v>
      </c>
      <c r="Q10" s="5"/>
      <c r="R10" s="1">
        <f t="shared" si="6"/>
        <v>19.131352270245117</v>
      </c>
      <c r="S10" s="1">
        <f t="shared" si="7"/>
        <v>19.131352270245117</v>
      </c>
      <c r="T10" s="1">
        <v>148.8186</v>
      </c>
      <c r="U10" s="1">
        <v>163.08619999999999</v>
      </c>
      <c r="V10" s="1">
        <v>98.185000000000002</v>
      </c>
      <c r="W10" s="1">
        <v>188.5754</v>
      </c>
      <c r="X10" s="1">
        <v>112.44499999999999</v>
      </c>
      <c r="Y10" s="1">
        <v>197.815</v>
      </c>
      <c r="Z10" s="1">
        <v>137.0042</v>
      </c>
      <c r="AA10" s="1">
        <v>134.93719999999999</v>
      </c>
      <c r="AB10" s="1">
        <v>131.2398</v>
      </c>
      <c r="AC10" s="1">
        <v>130.73500000000001</v>
      </c>
      <c r="AD10" s="1"/>
      <c r="AE10" s="1">
        <f t="shared" si="3"/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43</v>
      </c>
      <c r="B11" s="1" t="s">
        <v>34</v>
      </c>
      <c r="C11" s="1">
        <v>58.728999999999999</v>
      </c>
      <c r="D11" s="1">
        <v>3.4239999999999999</v>
      </c>
      <c r="E11" s="1">
        <v>14.137</v>
      </c>
      <c r="F11" s="1">
        <v>21.193000000000001</v>
      </c>
      <c r="G11" s="7">
        <v>1</v>
      </c>
      <c r="H11" s="1">
        <v>120</v>
      </c>
      <c r="I11" s="1" t="s">
        <v>35</v>
      </c>
      <c r="J11" s="1"/>
      <c r="K11" s="1">
        <v>13.7</v>
      </c>
      <c r="L11" s="1">
        <f t="shared" si="2"/>
        <v>0.43700000000000117</v>
      </c>
      <c r="M11" s="1"/>
      <c r="N11" s="1"/>
      <c r="O11" s="1">
        <v>60</v>
      </c>
      <c r="P11" s="1">
        <f t="shared" si="4"/>
        <v>2.8273999999999999</v>
      </c>
      <c r="Q11" s="5"/>
      <c r="R11" s="1">
        <f t="shared" si="6"/>
        <v>28.716488646813328</v>
      </c>
      <c r="S11" s="1">
        <f t="shared" si="7"/>
        <v>28.716488646813328</v>
      </c>
      <c r="T11" s="1">
        <v>7.1639999999999997</v>
      </c>
      <c r="U11" s="1">
        <v>3.3096000000000001</v>
      </c>
      <c r="V11" s="1">
        <v>5.1166</v>
      </c>
      <c r="W11" s="1">
        <v>4.2884000000000002</v>
      </c>
      <c r="X11" s="1">
        <v>2.2122000000000002</v>
      </c>
      <c r="Y11" s="1">
        <v>12.5686</v>
      </c>
      <c r="Z11" s="1">
        <v>1.1908000000000001</v>
      </c>
      <c r="AA11" s="1">
        <v>6.0011999999999999</v>
      </c>
      <c r="AB11" s="1">
        <v>5.9808000000000003</v>
      </c>
      <c r="AC11" s="1">
        <v>1.9032</v>
      </c>
      <c r="AD11" s="16" t="s">
        <v>160</v>
      </c>
      <c r="AE11" s="1">
        <f t="shared" si="3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44</v>
      </c>
      <c r="B12" s="1" t="s">
        <v>34</v>
      </c>
      <c r="C12" s="1">
        <v>349.75200000000001</v>
      </c>
      <c r="D12" s="1">
        <v>464.29500000000002</v>
      </c>
      <c r="E12" s="1">
        <v>159.46299999999999</v>
      </c>
      <c r="F12" s="1">
        <v>587.42499999999995</v>
      </c>
      <c r="G12" s="7">
        <v>1</v>
      </c>
      <c r="H12" s="1">
        <v>60</v>
      </c>
      <c r="I12" s="11" t="s">
        <v>45</v>
      </c>
      <c r="J12" s="1"/>
      <c r="K12" s="1">
        <v>154.69999999999999</v>
      </c>
      <c r="L12" s="1">
        <f t="shared" si="2"/>
        <v>4.7630000000000052</v>
      </c>
      <c r="M12" s="1"/>
      <c r="N12" s="1"/>
      <c r="O12" s="1">
        <v>150</v>
      </c>
      <c r="P12" s="1">
        <f t="shared" si="4"/>
        <v>31.892599999999998</v>
      </c>
      <c r="Q12" s="5"/>
      <c r="R12" s="1">
        <f t="shared" si="6"/>
        <v>23.122134915309509</v>
      </c>
      <c r="S12" s="1">
        <f t="shared" si="7"/>
        <v>23.122134915309509</v>
      </c>
      <c r="T12" s="1">
        <v>23.503599999999999</v>
      </c>
      <c r="U12" s="1">
        <v>48.733199999999997</v>
      </c>
      <c r="V12" s="1">
        <v>58.470599999999997</v>
      </c>
      <c r="W12" s="1">
        <v>29.0534</v>
      </c>
      <c r="X12" s="1">
        <v>45.863799999999998</v>
      </c>
      <c r="Y12" s="1">
        <v>58.744199999999999</v>
      </c>
      <c r="Z12" s="1">
        <v>34.620800000000003</v>
      </c>
      <c r="AA12" s="1">
        <v>39.8292</v>
      </c>
      <c r="AB12" s="1">
        <v>35.140799999999999</v>
      </c>
      <c r="AC12" s="1">
        <v>33.511200000000002</v>
      </c>
      <c r="AD12" s="1" t="s">
        <v>46</v>
      </c>
      <c r="AE12" s="1">
        <f t="shared" si="3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47</v>
      </c>
      <c r="B13" s="1" t="s">
        <v>34</v>
      </c>
      <c r="C13" s="1">
        <v>329.14100000000002</v>
      </c>
      <c r="D13" s="1">
        <v>631.63900000000001</v>
      </c>
      <c r="E13" s="1">
        <v>181.44399999999999</v>
      </c>
      <c r="F13" s="1">
        <v>695.33100000000002</v>
      </c>
      <c r="G13" s="7">
        <v>1</v>
      </c>
      <c r="H13" s="1">
        <v>60</v>
      </c>
      <c r="I13" s="1" t="s">
        <v>35</v>
      </c>
      <c r="J13" s="1"/>
      <c r="K13" s="1">
        <v>173</v>
      </c>
      <c r="L13" s="1">
        <f t="shared" si="2"/>
        <v>8.4439999999999884</v>
      </c>
      <c r="M13" s="1"/>
      <c r="N13" s="1"/>
      <c r="O13" s="1">
        <v>300</v>
      </c>
      <c r="P13" s="1">
        <f t="shared" si="4"/>
        <v>36.288799999999995</v>
      </c>
      <c r="Q13" s="5"/>
      <c r="R13" s="1">
        <f t="shared" si="6"/>
        <v>27.428049425718132</v>
      </c>
      <c r="S13" s="1">
        <f t="shared" si="7"/>
        <v>27.428049425718132</v>
      </c>
      <c r="T13" s="1">
        <v>54.486600000000003</v>
      </c>
      <c r="U13" s="1">
        <v>60.668999999999997</v>
      </c>
      <c r="V13" s="1">
        <v>62.0244</v>
      </c>
      <c r="W13" s="1">
        <v>49.931800000000003</v>
      </c>
      <c r="X13" s="1">
        <v>53.7774</v>
      </c>
      <c r="Y13" s="1">
        <v>54.776000000000003</v>
      </c>
      <c r="Z13" s="1">
        <v>52.153200000000012</v>
      </c>
      <c r="AA13" s="1">
        <v>61.439399999999999</v>
      </c>
      <c r="AB13" s="1">
        <v>52.1158</v>
      </c>
      <c r="AC13" s="1">
        <v>47.906799999999997</v>
      </c>
      <c r="AD13" s="17" t="s">
        <v>94</v>
      </c>
      <c r="AE13" s="1">
        <f t="shared" si="3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48</v>
      </c>
      <c r="B14" s="1" t="s">
        <v>38</v>
      </c>
      <c r="C14" s="1">
        <v>111</v>
      </c>
      <c r="D14" s="1">
        <v>207</v>
      </c>
      <c r="E14" s="1">
        <v>52</v>
      </c>
      <c r="F14" s="1">
        <v>255</v>
      </c>
      <c r="G14" s="7">
        <v>0.25</v>
      </c>
      <c r="H14" s="1">
        <v>120</v>
      </c>
      <c r="I14" s="1" t="s">
        <v>35</v>
      </c>
      <c r="J14" s="1"/>
      <c r="K14" s="1">
        <v>55</v>
      </c>
      <c r="L14" s="1">
        <f t="shared" si="2"/>
        <v>-3</v>
      </c>
      <c r="M14" s="1"/>
      <c r="N14" s="1"/>
      <c r="O14" s="1">
        <v>170</v>
      </c>
      <c r="P14" s="1">
        <f t="shared" si="4"/>
        <v>10.4</v>
      </c>
      <c r="Q14" s="5"/>
      <c r="R14" s="1">
        <f t="shared" si="6"/>
        <v>40.865384615384613</v>
      </c>
      <c r="S14" s="1">
        <f t="shared" si="7"/>
        <v>40.865384615384613</v>
      </c>
      <c r="T14" s="1">
        <v>13.4</v>
      </c>
      <c r="U14" s="1">
        <v>7.4</v>
      </c>
      <c r="V14" s="1">
        <v>16.399999999999999</v>
      </c>
      <c r="W14" s="1">
        <v>9.1999999999999993</v>
      </c>
      <c r="X14" s="1">
        <v>7.2</v>
      </c>
      <c r="Y14" s="1">
        <v>11.8</v>
      </c>
      <c r="Z14" s="1">
        <v>8.6</v>
      </c>
      <c r="AA14" s="1">
        <v>10.6</v>
      </c>
      <c r="AB14" s="1">
        <v>12.4</v>
      </c>
      <c r="AC14" s="1">
        <v>14.4</v>
      </c>
      <c r="AD14" s="18" t="s">
        <v>160</v>
      </c>
      <c r="AE14" s="1">
        <f t="shared" si="3"/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49</v>
      </c>
      <c r="B15" s="1" t="s">
        <v>34</v>
      </c>
      <c r="C15" s="1">
        <v>154.18700000000001</v>
      </c>
      <c r="D15" s="1">
        <v>102.187</v>
      </c>
      <c r="E15" s="1">
        <v>52.725999999999999</v>
      </c>
      <c r="F15" s="1">
        <v>195.67500000000001</v>
      </c>
      <c r="G15" s="7">
        <v>1</v>
      </c>
      <c r="H15" s="1">
        <v>60</v>
      </c>
      <c r="I15" s="1" t="s">
        <v>35</v>
      </c>
      <c r="J15" s="1"/>
      <c r="K15" s="1">
        <v>51.2</v>
      </c>
      <c r="L15" s="1">
        <f t="shared" si="2"/>
        <v>1.5259999999999962</v>
      </c>
      <c r="M15" s="1"/>
      <c r="N15" s="1"/>
      <c r="O15" s="1">
        <v>100</v>
      </c>
      <c r="P15" s="1">
        <f t="shared" si="4"/>
        <v>10.545199999999999</v>
      </c>
      <c r="Q15" s="5"/>
      <c r="R15" s="1">
        <f t="shared" si="6"/>
        <v>28.038823350908473</v>
      </c>
      <c r="S15" s="1">
        <f t="shared" si="7"/>
        <v>28.038823350908473</v>
      </c>
      <c r="T15" s="1">
        <v>14.672599999999999</v>
      </c>
      <c r="U15" s="1">
        <v>16.9358</v>
      </c>
      <c r="V15" s="1">
        <v>23.624600000000001</v>
      </c>
      <c r="W15" s="1">
        <v>16.122</v>
      </c>
      <c r="X15" s="1">
        <v>7.6433999999999997</v>
      </c>
      <c r="Y15" s="1">
        <v>14.446</v>
      </c>
      <c r="Z15" s="1">
        <v>12.6616</v>
      </c>
      <c r="AA15" s="1">
        <v>8.7745999999999995</v>
      </c>
      <c r="AB15" s="1">
        <v>7.3464</v>
      </c>
      <c r="AC15" s="1">
        <v>9.1446000000000005</v>
      </c>
      <c r="AD15" s="17" t="s">
        <v>94</v>
      </c>
      <c r="AE15" s="1">
        <f t="shared" si="3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50</v>
      </c>
      <c r="B16" s="1" t="s">
        <v>38</v>
      </c>
      <c r="C16" s="1">
        <v>11</v>
      </c>
      <c r="D16" s="1">
        <v>735</v>
      </c>
      <c r="E16" s="1">
        <v>222</v>
      </c>
      <c r="F16" s="1">
        <v>427</v>
      </c>
      <c r="G16" s="7">
        <v>0.25</v>
      </c>
      <c r="H16" s="1">
        <v>120</v>
      </c>
      <c r="I16" s="10" t="s">
        <v>45</v>
      </c>
      <c r="J16" s="1"/>
      <c r="K16" s="1">
        <v>288</v>
      </c>
      <c r="L16" s="1">
        <f t="shared" si="2"/>
        <v>-66</v>
      </c>
      <c r="M16" s="1"/>
      <c r="N16" s="1"/>
      <c r="O16" s="1">
        <v>350</v>
      </c>
      <c r="P16" s="1">
        <f t="shared" si="4"/>
        <v>44.4</v>
      </c>
      <c r="Q16" s="5"/>
      <c r="R16" s="1">
        <f t="shared" si="6"/>
        <v>17.5</v>
      </c>
      <c r="S16" s="1">
        <f t="shared" si="7"/>
        <v>17.5</v>
      </c>
      <c r="T16" s="1">
        <v>57.6</v>
      </c>
      <c r="U16" s="1">
        <v>50.2</v>
      </c>
      <c r="V16" s="1">
        <v>39.4</v>
      </c>
      <c r="W16" s="1">
        <v>33</v>
      </c>
      <c r="X16" s="1">
        <v>38.4</v>
      </c>
      <c r="Y16" s="1">
        <v>24.2</v>
      </c>
      <c r="Z16" s="1">
        <v>15.6</v>
      </c>
      <c r="AA16" s="1">
        <v>29.6</v>
      </c>
      <c r="AB16" s="1">
        <v>22.2</v>
      </c>
      <c r="AC16" s="1">
        <v>26.8</v>
      </c>
      <c r="AD16" s="1" t="s">
        <v>51</v>
      </c>
      <c r="AE16" s="1">
        <f t="shared" si="3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52</v>
      </c>
      <c r="B17" s="1" t="s">
        <v>38</v>
      </c>
      <c r="C17" s="1">
        <v>18</v>
      </c>
      <c r="D17" s="1">
        <v>201</v>
      </c>
      <c r="E17" s="1">
        <v>57</v>
      </c>
      <c r="F17" s="1">
        <v>122</v>
      </c>
      <c r="G17" s="7">
        <v>0.4</v>
      </c>
      <c r="H17" s="1">
        <v>60</v>
      </c>
      <c r="I17" s="1" t="s">
        <v>35</v>
      </c>
      <c r="J17" s="1"/>
      <c r="K17" s="1">
        <v>63</v>
      </c>
      <c r="L17" s="1">
        <f t="shared" si="2"/>
        <v>-6</v>
      </c>
      <c r="M17" s="1"/>
      <c r="N17" s="1"/>
      <c r="O17" s="1">
        <v>154</v>
      </c>
      <c r="P17" s="1">
        <f t="shared" si="4"/>
        <v>11.4</v>
      </c>
      <c r="Q17" s="5"/>
      <c r="R17" s="1">
        <f t="shared" si="6"/>
        <v>24.210526315789473</v>
      </c>
      <c r="S17" s="1">
        <f t="shared" si="7"/>
        <v>24.210526315789473</v>
      </c>
      <c r="T17" s="1">
        <v>21</v>
      </c>
      <c r="U17" s="1">
        <v>21.6</v>
      </c>
      <c r="V17" s="1">
        <v>11</v>
      </c>
      <c r="W17" s="1">
        <v>19.600000000000001</v>
      </c>
      <c r="X17" s="1">
        <v>18.600000000000001</v>
      </c>
      <c r="Y17" s="1">
        <v>22.4</v>
      </c>
      <c r="Z17" s="1">
        <v>16.399999999999999</v>
      </c>
      <c r="AA17" s="1">
        <v>31.4</v>
      </c>
      <c r="AB17" s="1">
        <v>28.8</v>
      </c>
      <c r="AC17" s="1">
        <v>21</v>
      </c>
      <c r="AD17" s="1"/>
      <c r="AE17" s="1">
        <f t="shared" si="3"/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53</v>
      </c>
      <c r="B18" s="1" t="s">
        <v>34</v>
      </c>
      <c r="C18" s="1">
        <v>304.92200000000003</v>
      </c>
      <c r="D18" s="1">
        <v>847.63300000000004</v>
      </c>
      <c r="E18" s="1">
        <v>206.643</v>
      </c>
      <c r="F18" s="1">
        <v>774.58699999999999</v>
      </c>
      <c r="G18" s="7">
        <v>1</v>
      </c>
      <c r="H18" s="1">
        <v>45</v>
      </c>
      <c r="I18" s="1" t="s">
        <v>35</v>
      </c>
      <c r="J18" s="1"/>
      <c r="K18" s="1">
        <v>197.1</v>
      </c>
      <c r="L18" s="1">
        <f t="shared" si="2"/>
        <v>9.5430000000000064</v>
      </c>
      <c r="M18" s="1"/>
      <c r="N18" s="1"/>
      <c r="O18" s="1">
        <v>300</v>
      </c>
      <c r="P18" s="1">
        <f t="shared" si="4"/>
        <v>41.328600000000002</v>
      </c>
      <c r="Q18" s="5"/>
      <c r="R18" s="1">
        <f t="shared" si="6"/>
        <v>26.001050120255705</v>
      </c>
      <c r="S18" s="1">
        <f t="shared" si="7"/>
        <v>26.001050120255705</v>
      </c>
      <c r="T18" s="1">
        <v>68.407600000000002</v>
      </c>
      <c r="U18" s="1">
        <v>70.5762</v>
      </c>
      <c r="V18" s="1">
        <v>68.051400000000001</v>
      </c>
      <c r="W18" s="1">
        <v>40.533799999999999</v>
      </c>
      <c r="X18" s="1">
        <v>50.552799999999998</v>
      </c>
      <c r="Y18" s="1">
        <v>79.149000000000001</v>
      </c>
      <c r="Z18" s="1">
        <v>31.593</v>
      </c>
      <c r="AA18" s="1">
        <v>57.8962</v>
      </c>
      <c r="AB18" s="1">
        <v>45.760599999999997</v>
      </c>
      <c r="AC18" s="1">
        <v>39.785200000000003</v>
      </c>
      <c r="AD18" s="16" t="s">
        <v>161</v>
      </c>
      <c r="AE18" s="1">
        <f t="shared" si="3"/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54</v>
      </c>
      <c r="B19" s="1" t="s">
        <v>34</v>
      </c>
      <c r="C19" s="1">
        <v>69.546000000000006</v>
      </c>
      <c r="D19" s="1">
        <v>78.634</v>
      </c>
      <c r="E19" s="1">
        <v>10.006</v>
      </c>
      <c r="F19" s="1">
        <v>46.3</v>
      </c>
      <c r="G19" s="7">
        <v>1</v>
      </c>
      <c r="H19" s="1">
        <v>120</v>
      </c>
      <c r="I19" s="1" t="s">
        <v>155</v>
      </c>
      <c r="J19" s="1"/>
      <c r="K19" s="1">
        <v>9.6999999999999993</v>
      </c>
      <c r="L19" s="1">
        <f t="shared" si="2"/>
        <v>0.30600000000000094</v>
      </c>
      <c r="M19" s="1"/>
      <c r="N19" s="1"/>
      <c r="O19" s="1">
        <v>60</v>
      </c>
      <c r="P19" s="1">
        <f t="shared" si="4"/>
        <v>2.0011999999999999</v>
      </c>
      <c r="Q19" s="5"/>
      <c r="R19" s="1">
        <f t="shared" si="6"/>
        <v>53.118129122526483</v>
      </c>
      <c r="S19" s="1">
        <f t="shared" si="7"/>
        <v>53.118129122526483</v>
      </c>
      <c r="T19" s="1">
        <v>9.5774000000000008</v>
      </c>
      <c r="U19" s="1">
        <v>8.5001999999999995</v>
      </c>
      <c r="V19" s="1">
        <v>11.8896</v>
      </c>
      <c r="W19" s="1">
        <v>8.5475999999999992</v>
      </c>
      <c r="X19" s="1">
        <v>6.8586</v>
      </c>
      <c r="Y19" s="1">
        <v>10.388</v>
      </c>
      <c r="Z19" s="1">
        <v>6.5549999999999997</v>
      </c>
      <c r="AA19" s="1">
        <v>6.0965999999999996</v>
      </c>
      <c r="AB19" s="1">
        <v>6.2720000000000002</v>
      </c>
      <c r="AC19" s="1">
        <v>2.3835999999999999</v>
      </c>
      <c r="AD19" s="16" t="s">
        <v>160</v>
      </c>
      <c r="AE19" s="1">
        <f t="shared" si="3"/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55</v>
      </c>
      <c r="B20" s="1" t="s">
        <v>38</v>
      </c>
      <c r="C20" s="1">
        <v>24</v>
      </c>
      <c r="D20" s="1">
        <v>104</v>
      </c>
      <c r="E20" s="1">
        <v>32</v>
      </c>
      <c r="F20" s="1">
        <v>89</v>
      </c>
      <c r="G20" s="7">
        <v>0.4</v>
      </c>
      <c r="H20" s="1">
        <v>45</v>
      </c>
      <c r="I20" s="1" t="s">
        <v>35</v>
      </c>
      <c r="J20" s="1"/>
      <c r="K20" s="1">
        <v>38</v>
      </c>
      <c r="L20" s="1">
        <f t="shared" si="2"/>
        <v>-6</v>
      </c>
      <c r="M20" s="1"/>
      <c r="N20" s="1"/>
      <c r="O20" s="1">
        <v>80</v>
      </c>
      <c r="P20" s="1">
        <f t="shared" si="4"/>
        <v>6.4</v>
      </c>
      <c r="Q20" s="5"/>
      <c r="R20" s="1">
        <f t="shared" si="6"/>
        <v>26.40625</v>
      </c>
      <c r="S20" s="1">
        <f t="shared" si="7"/>
        <v>26.40625</v>
      </c>
      <c r="T20" s="1">
        <v>9.6</v>
      </c>
      <c r="U20" s="1">
        <v>8.6</v>
      </c>
      <c r="V20" s="1">
        <v>4.4000000000000004</v>
      </c>
      <c r="W20" s="1">
        <v>8.4</v>
      </c>
      <c r="X20" s="1">
        <v>10.4</v>
      </c>
      <c r="Y20" s="1">
        <v>12</v>
      </c>
      <c r="Z20" s="1">
        <v>13.4</v>
      </c>
      <c r="AA20" s="1">
        <v>8.4</v>
      </c>
      <c r="AB20" s="1">
        <v>10.8</v>
      </c>
      <c r="AC20" s="1">
        <v>9.1999999999999993</v>
      </c>
      <c r="AD20" s="1"/>
      <c r="AE20" s="1">
        <f t="shared" si="3"/>
        <v>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56</v>
      </c>
      <c r="B21" s="1" t="s">
        <v>34</v>
      </c>
      <c r="C21" s="1">
        <v>297.41899999999998</v>
      </c>
      <c r="D21" s="1">
        <v>729.97900000000004</v>
      </c>
      <c r="E21" s="1">
        <v>229.447</v>
      </c>
      <c r="F21" s="1">
        <v>675.79600000000005</v>
      </c>
      <c r="G21" s="7">
        <v>1</v>
      </c>
      <c r="H21" s="1">
        <v>60</v>
      </c>
      <c r="I21" s="1" t="s">
        <v>35</v>
      </c>
      <c r="J21" s="1"/>
      <c r="K21" s="1">
        <v>220.5</v>
      </c>
      <c r="L21" s="1">
        <f t="shared" si="2"/>
        <v>8.9470000000000027</v>
      </c>
      <c r="M21" s="1"/>
      <c r="N21" s="1"/>
      <c r="O21" s="1">
        <v>500</v>
      </c>
      <c r="P21" s="1">
        <f t="shared" si="4"/>
        <v>45.889400000000002</v>
      </c>
      <c r="Q21" s="5"/>
      <c r="R21" s="1">
        <f t="shared" si="6"/>
        <v>25.622387740959788</v>
      </c>
      <c r="S21" s="1">
        <f t="shared" si="7"/>
        <v>25.622387740959788</v>
      </c>
      <c r="T21" s="1">
        <v>41.034599999999998</v>
      </c>
      <c r="U21" s="1">
        <v>58.996200000000002</v>
      </c>
      <c r="V21" s="1">
        <v>55.147399999999998</v>
      </c>
      <c r="W21" s="1">
        <v>40.955800000000004</v>
      </c>
      <c r="X21" s="1">
        <v>44.343600000000002</v>
      </c>
      <c r="Y21" s="1">
        <v>53.409799999999997</v>
      </c>
      <c r="Z21" s="1">
        <v>29.607600000000001</v>
      </c>
      <c r="AA21" s="1">
        <v>39.871600000000001</v>
      </c>
      <c r="AB21" s="1">
        <v>43.782400000000003</v>
      </c>
      <c r="AC21" s="1">
        <v>35.393999999999998</v>
      </c>
      <c r="AD21" s="17" t="s">
        <v>94</v>
      </c>
      <c r="AE21" s="1">
        <f t="shared" si="3"/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57</v>
      </c>
      <c r="B22" s="1" t="s">
        <v>38</v>
      </c>
      <c r="C22" s="1">
        <v>243</v>
      </c>
      <c r="D22" s="1">
        <v>378</v>
      </c>
      <c r="E22" s="1">
        <v>413</v>
      </c>
      <c r="F22" s="1">
        <v>71</v>
      </c>
      <c r="G22" s="7">
        <v>0.22</v>
      </c>
      <c r="H22" s="1">
        <v>120</v>
      </c>
      <c r="I22" s="1" t="s">
        <v>35</v>
      </c>
      <c r="J22" s="1"/>
      <c r="K22" s="1">
        <v>414</v>
      </c>
      <c r="L22" s="1">
        <f t="shared" si="2"/>
        <v>-1</v>
      </c>
      <c r="M22" s="1"/>
      <c r="N22" s="1"/>
      <c r="O22" s="1">
        <v>300</v>
      </c>
      <c r="P22" s="1">
        <f t="shared" si="4"/>
        <v>82.6</v>
      </c>
      <c r="Q22" s="5">
        <f>15*P22-O22-F22</f>
        <v>868</v>
      </c>
      <c r="R22" s="1">
        <f t="shared" si="6"/>
        <v>15.000000000000002</v>
      </c>
      <c r="S22" s="1">
        <f t="shared" si="7"/>
        <v>4.491525423728814</v>
      </c>
      <c r="T22" s="1">
        <v>67.2</v>
      </c>
      <c r="U22" s="1">
        <v>96.8</v>
      </c>
      <c r="V22" s="1">
        <v>100.6</v>
      </c>
      <c r="W22" s="1">
        <v>103.8</v>
      </c>
      <c r="X22" s="1">
        <v>95.4</v>
      </c>
      <c r="Y22" s="1">
        <v>97.4</v>
      </c>
      <c r="Z22" s="1">
        <v>81.8</v>
      </c>
      <c r="AA22" s="1">
        <v>78.400000000000006</v>
      </c>
      <c r="AB22" s="1">
        <v>92.2</v>
      </c>
      <c r="AC22" s="1">
        <v>66.2</v>
      </c>
      <c r="AD22" s="1" t="s">
        <v>40</v>
      </c>
      <c r="AE22" s="1">
        <f t="shared" si="3"/>
        <v>190.96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 t="s">
        <v>58</v>
      </c>
      <c r="B23" s="1" t="s">
        <v>34</v>
      </c>
      <c r="C23" s="1">
        <v>16.236999999999998</v>
      </c>
      <c r="D23" s="1">
        <v>92.271000000000001</v>
      </c>
      <c r="E23" s="1">
        <v>31.196000000000002</v>
      </c>
      <c r="F23" s="1">
        <v>67.352000000000004</v>
      </c>
      <c r="G23" s="7">
        <v>1</v>
      </c>
      <c r="H23" s="1">
        <v>40</v>
      </c>
      <c r="I23" s="1" t="s">
        <v>35</v>
      </c>
      <c r="J23" s="1"/>
      <c r="K23" s="1">
        <v>28.7</v>
      </c>
      <c r="L23" s="1">
        <f t="shared" si="2"/>
        <v>2.4960000000000022</v>
      </c>
      <c r="M23" s="1"/>
      <c r="N23" s="1"/>
      <c r="O23" s="1">
        <v>50</v>
      </c>
      <c r="P23" s="1">
        <f t="shared" si="4"/>
        <v>6.2392000000000003</v>
      </c>
      <c r="Q23" s="5"/>
      <c r="R23" s="1">
        <f t="shared" si="6"/>
        <v>18.808821643800488</v>
      </c>
      <c r="S23" s="1">
        <f t="shared" si="7"/>
        <v>18.808821643800488</v>
      </c>
      <c r="T23" s="1">
        <v>7.6382000000000003</v>
      </c>
      <c r="U23" s="1">
        <v>8.5272000000000006</v>
      </c>
      <c r="V23" s="1">
        <v>6.7948000000000004</v>
      </c>
      <c r="W23" s="1">
        <v>6.8343999999999996</v>
      </c>
      <c r="X23" s="1">
        <v>6.0042</v>
      </c>
      <c r="Y23" s="1">
        <v>7.3087999999999997</v>
      </c>
      <c r="Z23" s="1">
        <v>5.0584000000000007</v>
      </c>
      <c r="AA23" s="1">
        <v>-0.33040000000000003</v>
      </c>
      <c r="AB23" s="1">
        <v>8.4344000000000001</v>
      </c>
      <c r="AC23" s="1">
        <v>6.0996000000000006</v>
      </c>
      <c r="AD23" s="1" t="s">
        <v>59</v>
      </c>
      <c r="AE23" s="1">
        <f t="shared" si="3"/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60</v>
      </c>
      <c r="B24" s="1" t="s">
        <v>34</v>
      </c>
      <c r="C24" s="1">
        <v>2.4</v>
      </c>
      <c r="D24" s="1">
        <v>201.541</v>
      </c>
      <c r="E24" s="1">
        <v>62.072000000000003</v>
      </c>
      <c r="F24" s="1">
        <v>133.81800000000001</v>
      </c>
      <c r="G24" s="7">
        <v>1</v>
      </c>
      <c r="H24" s="1">
        <v>60</v>
      </c>
      <c r="I24" s="1" t="s">
        <v>35</v>
      </c>
      <c r="J24" s="1"/>
      <c r="K24" s="1">
        <v>64.75</v>
      </c>
      <c r="L24" s="1">
        <f t="shared" si="2"/>
        <v>-2.6779999999999973</v>
      </c>
      <c r="M24" s="1"/>
      <c r="N24" s="1"/>
      <c r="O24" s="1">
        <v>328</v>
      </c>
      <c r="P24" s="1">
        <f t="shared" si="4"/>
        <v>12.414400000000001</v>
      </c>
      <c r="Q24" s="5"/>
      <c r="R24" s="1">
        <f t="shared" si="6"/>
        <v>37.200186879752543</v>
      </c>
      <c r="S24" s="1">
        <f t="shared" si="7"/>
        <v>37.200186879752543</v>
      </c>
      <c r="T24" s="1">
        <v>40.942799999999998</v>
      </c>
      <c r="U24" s="1">
        <v>20.069199999999999</v>
      </c>
      <c r="V24" s="1">
        <v>18.4602</v>
      </c>
      <c r="W24" s="1">
        <v>27.0306</v>
      </c>
      <c r="X24" s="1">
        <v>24.778199999999998</v>
      </c>
      <c r="Y24" s="1">
        <v>30.382400000000001</v>
      </c>
      <c r="Z24" s="1">
        <v>12.019399999999999</v>
      </c>
      <c r="AA24" s="1">
        <v>32.415799999999997</v>
      </c>
      <c r="AB24" s="1">
        <v>26.765599999999999</v>
      </c>
      <c r="AC24" s="1">
        <v>20.123799999999999</v>
      </c>
      <c r="AD24" s="1"/>
      <c r="AE24" s="1">
        <f t="shared" si="3"/>
        <v>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" t="s">
        <v>61</v>
      </c>
      <c r="B25" s="1" t="s">
        <v>38</v>
      </c>
      <c r="C25" s="1">
        <v>201</v>
      </c>
      <c r="D25" s="1">
        <v>631</v>
      </c>
      <c r="E25" s="1">
        <v>227</v>
      </c>
      <c r="F25" s="1">
        <v>537</v>
      </c>
      <c r="G25" s="7">
        <v>0.09</v>
      </c>
      <c r="H25" s="1">
        <v>60</v>
      </c>
      <c r="I25" s="1" t="s">
        <v>35</v>
      </c>
      <c r="J25" s="1"/>
      <c r="K25" s="1">
        <v>229</v>
      </c>
      <c r="L25" s="1">
        <f t="shared" si="2"/>
        <v>-2</v>
      </c>
      <c r="M25" s="1"/>
      <c r="N25" s="1"/>
      <c r="O25" s="1">
        <v>196</v>
      </c>
      <c r="P25" s="1">
        <f t="shared" si="4"/>
        <v>45.4</v>
      </c>
      <c r="Q25" s="5"/>
      <c r="R25" s="1">
        <f t="shared" si="6"/>
        <v>16.145374449339208</v>
      </c>
      <c r="S25" s="1">
        <f t="shared" si="7"/>
        <v>16.145374449339208</v>
      </c>
      <c r="T25" s="1">
        <v>62.8</v>
      </c>
      <c r="U25" s="1">
        <v>58.2</v>
      </c>
      <c r="V25" s="1">
        <v>56.6</v>
      </c>
      <c r="W25" s="1">
        <v>46.8</v>
      </c>
      <c r="X25" s="1">
        <v>44.8</v>
      </c>
      <c r="Y25" s="1">
        <v>65.599999999999994</v>
      </c>
      <c r="Z25" s="1">
        <v>69</v>
      </c>
      <c r="AA25" s="1">
        <v>42.2</v>
      </c>
      <c r="AB25" s="1">
        <v>62</v>
      </c>
      <c r="AC25" s="1">
        <v>41.8</v>
      </c>
      <c r="AD25" s="1"/>
      <c r="AE25" s="1">
        <f t="shared" si="3"/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62</v>
      </c>
      <c r="B26" s="1" t="s">
        <v>38</v>
      </c>
      <c r="C26" s="1">
        <v>85</v>
      </c>
      <c r="D26" s="1">
        <v>507</v>
      </c>
      <c r="E26" s="1">
        <v>194</v>
      </c>
      <c r="F26" s="1">
        <v>376</v>
      </c>
      <c r="G26" s="7">
        <v>0.09</v>
      </c>
      <c r="H26" s="1">
        <v>45</v>
      </c>
      <c r="I26" s="10" t="s">
        <v>45</v>
      </c>
      <c r="J26" s="1"/>
      <c r="K26" s="1">
        <v>199</v>
      </c>
      <c r="L26" s="1">
        <f t="shared" si="2"/>
        <v>-5</v>
      </c>
      <c r="M26" s="1"/>
      <c r="N26" s="1"/>
      <c r="O26" s="1">
        <v>0</v>
      </c>
      <c r="P26" s="1">
        <f t="shared" si="4"/>
        <v>38.799999999999997</v>
      </c>
      <c r="Q26" s="5">
        <f t="shared" si="5"/>
        <v>206</v>
      </c>
      <c r="R26" s="1">
        <f t="shared" si="6"/>
        <v>15.000000000000002</v>
      </c>
      <c r="S26" s="1">
        <f t="shared" si="7"/>
        <v>9.6907216494845372</v>
      </c>
      <c r="T26" s="1">
        <v>34.4</v>
      </c>
      <c r="U26" s="1">
        <v>50.2</v>
      </c>
      <c r="V26" s="1">
        <v>35.799999999999997</v>
      </c>
      <c r="W26" s="1">
        <v>34.799999999999997</v>
      </c>
      <c r="X26" s="1">
        <v>39.200000000000003</v>
      </c>
      <c r="Y26" s="1">
        <v>30.8</v>
      </c>
      <c r="Z26" s="1">
        <v>20.6</v>
      </c>
      <c r="AA26" s="1">
        <v>27.4</v>
      </c>
      <c r="AB26" s="1">
        <v>31.8</v>
      </c>
      <c r="AC26" s="1">
        <v>26.2</v>
      </c>
      <c r="AD26" s="1" t="s">
        <v>46</v>
      </c>
      <c r="AE26" s="1">
        <f t="shared" si="3"/>
        <v>18.54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63</v>
      </c>
      <c r="B27" s="1" t="s">
        <v>38</v>
      </c>
      <c r="C27" s="1">
        <v>19</v>
      </c>
      <c r="D27" s="1">
        <v>465</v>
      </c>
      <c r="E27" s="1">
        <v>108</v>
      </c>
      <c r="F27" s="1">
        <v>338</v>
      </c>
      <c r="G27" s="7">
        <v>0.15</v>
      </c>
      <c r="H27" s="1">
        <v>45</v>
      </c>
      <c r="I27" s="1" t="s">
        <v>35</v>
      </c>
      <c r="J27" s="1"/>
      <c r="K27" s="1">
        <v>140</v>
      </c>
      <c r="L27" s="1">
        <f t="shared" si="2"/>
        <v>-32</v>
      </c>
      <c r="M27" s="1"/>
      <c r="N27" s="1"/>
      <c r="O27" s="1">
        <v>103</v>
      </c>
      <c r="P27" s="1">
        <f t="shared" si="4"/>
        <v>21.6</v>
      </c>
      <c r="Q27" s="5"/>
      <c r="R27" s="1">
        <f t="shared" si="6"/>
        <v>20.416666666666664</v>
      </c>
      <c r="S27" s="1">
        <f t="shared" si="7"/>
        <v>20.416666666666664</v>
      </c>
      <c r="T27" s="1">
        <v>32</v>
      </c>
      <c r="U27" s="1">
        <v>41</v>
      </c>
      <c r="V27" s="1">
        <v>26.2</v>
      </c>
      <c r="W27" s="1">
        <v>35.4</v>
      </c>
      <c r="X27" s="1">
        <v>32.200000000000003</v>
      </c>
      <c r="Y27" s="1">
        <v>24.6</v>
      </c>
      <c r="Z27" s="1">
        <v>26.2</v>
      </c>
      <c r="AA27" s="1">
        <v>19.600000000000001</v>
      </c>
      <c r="AB27" s="1">
        <v>27.4</v>
      </c>
      <c r="AC27" s="1">
        <v>33.6</v>
      </c>
      <c r="AD27" s="1"/>
      <c r="AE27" s="1">
        <f t="shared" si="3"/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64</v>
      </c>
      <c r="B28" s="1" t="s">
        <v>34</v>
      </c>
      <c r="C28" s="1">
        <v>404.81</v>
      </c>
      <c r="D28" s="1">
        <v>391.59800000000001</v>
      </c>
      <c r="E28" s="1">
        <v>276.12</v>
      </c>
      <c r="F28" s="1">
        <v>435.53399999999999</v>
      </c>
      <c r="G28" s="7">
        <v>1</v>
      </c>
      <c r="H28" s="1">
        <v>45</v>
      </c>
      <c r="I28" s="1" t="s">
        <v>35</v>
      </c>
      <c r="J28" s="1"/>
      <c r="K28" s="1">
        <v>265.755</v>
      </c>
      <c r="L28" s="1">
        <f t="shared" si="2"/>
        <v>10.365000000000009</v>
      </c>
      <c r="M28" s="1"/>
      <c r="N28" s="1"/>
      <c r="O28" s="1">
        <v>460</v>
      </c>
      <c r="P28" s="1">
        <f t="shared" si="4"/>
        <v>55.224000000000004</v>
      </c>
      <c r="Q28" s="5"/>
      <c r="R28" s="1">
        <f t="shared" si="6"/>
        <v>16.216391424018543</v>
      </c>
      <c r="S28" s="1">
        <f t="shared" si="7"/>
        <v>16.216391424018543</v>
      </c>
      <c r="T28" s="1">
        <v>72.854399999999998</v>
      </c>
      <c r="U28" s="1">
        <v>72.474000000000004</v>
      </c>
      <c r="V28" s="1">
        <v>75.914000000000001</v>
      </c>
      <c r="W28" s="1">
        <v>85.097200000000001</v>
      </c>
      <c r="X28" s="1">
        <v>86.089399999999998</v>
      </c>
      <c r="Y28" s="1">
        <v>101.1476</v>
      </c>
      <c r="Z28" s="1">
        <v>72.8874</v>
      </c>
      <c r="AA28" s="1">
        <v>74.640999999999991</v>
      </c>
      <c r="AB28" s="1">
        <v>69.128200000000007</v>
      </c>
      <c r="AC28" s="1">
        <v>44.8872</v>
      </c>
      <c r="AD28" s="1"/>
      <c r="AE28" s="1">
        <f t="shared" si="3"/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65</v>
      </c>
      <c r="B29" s="1" t="s">
        <v>38</v>
      </c>
      <c r="C29" s="1">
        <v>119</v>
      </c>
      <c r="D29" s="1">
        <v>165</v>
      </c>
      <c r="E29" s="1">
        <v>166</v>
      </c>
      <c r="F29" s="1">
        <v>92</v>
      </c>
      <c r="G29" s="7">
        <v>0.4</v>
      </c>
      <c r="H29" s="1">
        <v>60</v>
      </c>
      <c r="I29" s="1" t="s">
        <v>35</v>
      </c>
      <c r="J29" s="1"/>
      <c r="K29" s="1">
        <v>170</v>
      </c>
      <c r="L29" s="1">
        <f t="shared" si="2"/>
        <v>-4</v>
      </c>
      <c r="M29" s="1"/>
      <c r="N29" s="1"/>
      <c r="O29" s="1">
        <v>200</v>
      </c>
      <c r="P29" s="1">
        <f t="shared" si="4"/>
        <v>33.200000000000003</v>
      </c>
      <c r="Q29" s="5">
        <f t="shared" si="5"/>
        <v>206.00000000000006</v>
      </c>
      <c r="R29" s="1">
        <f t="shared" si="6"/>
        <v>15</v>
      </c>
      <c r="S29" s="1">
        <f t="shared" si="7"/>
        <v>8.7951807228915655</v>
      </c>
      <c r="T29" s="1">
        <v>33</v>
      </c>
      <c r="U29" s="1">
        <v>46.4</v>
      </c>
      <c r="V29" s="1">
        <v>36.6</v>
      </c>
      <c r="W29" s="1">
        <v>33.4</v>
      </c>
      <c r="X29" s="1">
        <v>46.4</v>
      </c>
      <c r="Y29" s="1">
        <v>43.2</v>
      </c>
      <c r="Z29" s="1">
        <v>44.2</v>
      </c>
      <c r="AA29" s="1">
        <v>37.4</v>
      </c>
      <c r="AB29" s="1">
        <v>47.6</v>
      </c>
      <c r="AC29" s="1">
        <v>25.8</v>
      </c>
      <c r="AD29" s="1" t="s">
        <v>46</v>
      </c>
      <c r="AE29" s="1">
        <f t="shared" si="3"/>
        <v>82.400000000000034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66</v>
      </c>
      <c r="B30" s="1" t="s">
        <v>38</v>
      </c>
      <c r="C30" s="1">
        <v>226</v>
      </c>
      <c r="D30" s="1">
        <v>930</v>
      </c>
      <c r="E30" s="1">
        <v>277</v>
      </c>
      <c r="F30" s="1">
        <v>839</v>
      </c>
      <c r="G30" s="7">
        <v>0.4</v>
      </c>
      <c r="H30" s="1">
        <v>60</v>
      </c>
      <c r="I30" s="10" t="s">
        <v>45</v>
      </c>
      <c r="J30" s="1"/>
      <c r="K30" s="1">
        <v>280</v>
      </c>
      <c r="L30" s="1">
        <f t="shared" si="2"/>
        <v>-3</v>
      </c>
      <c r="M30" s="1"/>
      <c r="N30" s="1"/>
      <c r="O30" s="1">
        <v>300</v>
      </c>
      <c r="P30" s="1">
        <f t="shared" si="4"/>
        <v>55.4</v>
      </c>
      <c r="Q30" s="5"/>
      <c r="R30" s="1">
        <f t="shared" si="6"/>
        <v>20.559566787003611</v>
      </c>
      <c r="S30" s="1">
        <f t="shared" si="7"/>
        <v>20.559566787003611</v>
      </c>
      <c r="T30" s="1">
        <v>52.8</v>
      </c>
      <c r="U30" s="1">
        <v>72.400000000000006</v>
      </c>
      <c r="V30" s="1">
        <v>60.4</v>
      </c>
      <c r="W30" s="1">
        <v>48.8</v>
      </c>
      <c r="X30" s="1">
        <v>45</v>
      </c>
      <c r="Y30" s="1">
        <v>32</v>
      </c>
      <c r="Z30" s="1">
        <v>37.200000000000003</v>
      </c>
      <c r="AA30" s="1">
        <v>30.4</v>
      </c>
      <c r="AB30" s="1">
        <v>43</v>
      </c>
      <c r="AC30" s="1">
        <v>48</v>
      </c>
      <c r="AD30" s="1" t="s">
        <v>46</v>
      </c>
      <c r="AE30" s="1">
        <f t="shared" si="3"/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67</v>
      </c>
      <c r="B31" s="1" t="s">
        <v>38</v>
      </c>
      <c r="C31" s="1">
        <v>73</v>
      </c>
      <c r="D31" s="1">
        <v>901</v>
      </c>
      <c r="E31" s="1">
        <v>227</v>
      </c>
      <c r="F31" s="1">
        <v>641</v>
      </c>
      <c r="G31" s="7">
        <v>0.4</v>
      </c>
      <c r="H31" s="1">
        <v>60</v>
      </c>
      <c r="I31" s="10" t="s">
        <v>45</v>
      </c>
      <c r="J31" s="1"/>
      <c r="K31" s="1">
        <v>229</v>
      </c>
      <c r="L31" s="1">
        <f t="shared" si="2"/>
        <v>-2</v>
      </c>
      <c r="M31" s="1"/>
      <c r="N31" s="1"/>
      <c r="O31" s="1">
        <v>200</v>
      </c>
      <c r="P31" s="1">
        <f t="shared" si="4"/>
        <v>45.4</v>
      </c>
      <c r="Q31" s="5"/>
      <c r="R31" s="1">
        <f t="shared" si="6"/>
        <v>18.524229074889867</v>
      </c>
      <c r="S31" s="1">
        <f t="shared" si="7"/>
        <v>18.524229074889867</v>
      </c>
      <c r="T31" s="1">
        <v>35.200000000000003</v>
      </c>
      <c r="U31" s="1">
        <v>62.6</v>
      </c>
      <c r="V31" s="1">
        <v>39.200000000000003</v>
      </c>
      <c r="W31" s="1">
        <v>37.799999999999997</v>
      </c>
      <c r="X31" s="1">
        <v>42.8</v>
      </c>
      <c r="Y31" s="1">
        <v>27.4</v>
      </c>
      <c r="Z31" s="1">
        <v>24.2</v>
      </c>
      <c r="AA31" s="1">
        <v>34.799999999999997</v>
      </c>
      <c r="AB31" s="1">
        <v>44.6</v>
      </c>
      <c r="AC31" s="1">
        <v>41.4</v>
      </c>
      <c r="AD31" s="1" t="s">
        <v>46</v>
      </c>
      <c r="AE31" s="1">
        <f t="shared" si="3"/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68</v>
      </c>
      <c r="B32" s="1" t="s">
        <v>38</v>
      </c>
      <c r="C32" s="1">
        <v>297</v>
      </c>
      <c r="D32" s="1">
        <v>249</v>
      </c>
      <c r="E32" s="1">
        <v>218</v>
      </c>
      <c r="F32" s="1">
        <v>306</v>
      </c>
      <c r="G32" s="7">
        <v>0.3</v>
      </c>
      <c r="H32" s="1">
        <v>45</v>
      </c>
      <c r="I32" s="1" t="s">
        <v>156</v>
      </c>
      <c r="J32" s="1"/>
      <c r="K32" s="1">
        <v>232</v>
      </c>
      <c r="L32" s="1">
        <f t="shared" si="2"/>
        <v>-14</v>
      </c>
      <c r="M32" s="1"/>
      <c r="N32" s="1"/>
      <c r="O32" s="1">
        <v>0</v>
      </c>
      <c r="P32" s="1">
        <f t="shared" si="4"/>
        <v>43.6</v>
      </c>
      <c r="Q32" s="5">
        <f t="shared" si="5"/>
        <v>348</v>
      </c>
      <c r="R32" s="1">
        <f t="shared" si="6"/>
        <v>15</v>
      </c>
      <c r="S32" s="1">
        <f t="shared" si="7"/>
        <v>7.0183486238532105</v>
      </c>
      <c r="T32" s="1">
        <v>18.399999999999999</v>
      </c>
      <c r="U32" s="1">
        <v>34.4</v>
      </c>
      <c r="V32" s="1">
        <v>27.2</v>
      </c>
      <c r="W32" s="1">
        <v>16.399999999999999</v>
      </c>
      <c r="X32" s="1">
        <v>22.4</v>
      </c>
      <c r="Y32" s="1">
        <v>36</v>
      </c>
      <c r="Z32" s="1">
        <v>27.2</v>
      </c>
      <c r="AA32" s="1">
        <v>20.2</v>
      </c>
      <c r="AB32" s="1">
        <v>26.8</v>
      </c>
      <c r="AC32" s="1">
        <v>20.399999999999999</v>
      </c>
      <c r="AD32" s="1"/>
      <c r="AE32" s="1">
        <f t="shared" si="3"/>
        <v>104.39999999999999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69</v>
      </c>
      <c r="B33" s="1" t="s">
        <v>34</v>
      </c>
      <c r="C33" s="1">
        <v>7.5979999999999999</v>
      </c>
      <c r="D33" s="1">
        <v>262.10399999999998</v>
      </c>
      <c r="E33" s="1">
        <v>87.113</v>
      </c>
      <c r="F33" s="1">
        <v>164.38900000000001</v>
      </c>
      <c r="G33" s="7">
        <v>1</v>
      </c>
      <c r="H33" s="1">
        <v>60</v>
      </c>
      <c r="I33" s="1" t="s">
        <v>35</v>
      </c>
      <c r="J33" s="1"/>
      <c r="K33" s="1">
        <v>130.9</v>
      </c>
      <c r="L33" s="1">
        <f t="shared" si="2"/>
        <v>-43.787000000000006</v>
      </c>
      <c r="M33" s="1"/>
      <c r="N33" s="1"/>
      <c r="O33" s="1">
        <v>150</v>
      </c>
      <c r="P33" s="1">
        <f t="shared" si="4"/>
        <v>17.422599999999999</v>
      </c>
      <c r="Q33" s="5"/>
      <c r="R33" s="1">
        <f t="shared" si="6"/>
        <v>18.044895710169552</v>
      </c>
      <c r="S33" s="1">
        <f t="shared" si="7"/>
        <v>18.044895710169552</v>
      </c>
      <c r="T33" s="1">
        <v>20.948799999999999</v>
      </c>
      <c r="U33" s="1">
        <v>18.779599999999999</v>
      </c>
      <c r="V33" s="1">
        <v>14.0886</v>
      </c>
      <c r="W33" s="1">
        <v>16.861599999999999</v>
      </c>
      <c r="X33" s="1">
        <v>19.841200000000001</v>
      </c>
      <c r="Y33" s="1">
        <v>21.473199999999999</v>
      </c>
      <c r="Z33" s="1">
        <v>16.648800000000001</v>
      </c>
      <c r="AA33" s="1">
        <v>18.3598</v>
      </c>
      <c r="AB33" s="1">
        <v>19.619599999999998</v>
      </c>
      <c r="AC33" s="1">
        <v>17.6358</v>
      </c>
      <c r="AD33" s="1"/>
      <c r="AE33" s="1">
        <f t="shared" si="3"/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70</v>
      </c>
      <c r="B34" s="1" t="s">
        <v>34</v>
      </c>
      <c r="C34" s="1">
        <v>307.27100000000002</v>
      </c>
      <c r="D34" s="1">
        <v>56.56</v>
      </c>
      <c r="E34" s="1">
        <v>28.11</v>
      </c>
      <c r="F34" s="1">
        <v>297.55900000000003</v>
      </c>
      <c r="G34" s="7">
        <v>1</v>
      </c>
      <c r="H34" s="1">
        <v>45</v>
      </c>
      <c r="I34" s="1" t="s">
        <v>35</v>
      </c>
      <c r="J34" s="1"/>
      <c r="K34" s="1">
        <v>29.3</v>
      </c>
      <c r="L34" s="1">
        <f t="shared" si="2"/>
        <v>-1.1900000000000013</v>
      </c>
      <c r="M34" s="1"/>
      <c r="N34" s="1"/>
      <c r="O34" s="1">
        <v>50</v>
      </c>
      <c r="P34" s="1">
        <f t="shared" si="4"/>
        <v>5.6219999999999999</v>
      </c>
      <c r="Q34" s="5"/>
      <c r="R34" s="1">
        <f t="shared" si="6"/>
        <v>61.82123799359659</v>
      </c>
      <c r="S34" s="1">
        <f t="shared" si="7"/>
        <v>61.82123799359659</v>
      </c>
      <c r="T34" s="1">
        <v>7.6871999999999998</v>
      </c>
      <c r="U34" s="1">
        <v>18.589200000000002</v>
      </c>
      <c r="V34" s="1">
        <v>16.758800000000001</v>
      </c>
      <c r="W34" s="1">
        <v>9.6164000000000005</v>
      </c>
      <c r="X34" s="1">
        <v>15.4948</v>
      </c>
      <c r="Y34" s="1">
        <v>17.491800000000001</v>
      </c>
      <c r="Z34" s="1">
        <v>8.7322000000000006</v>
      </c>
      <c r="AA34" s="1">
        <v>19.025200000000002</v>
      </c>
      <c r="AB34" s="1">
        <v>11.681800000000001</v>
      </c>
      <c r="AC34" s="1">
        <v>9.6796000000000006</v>
      </c>
      <c r="AD34" s="17" t="s">
        <v>94</v>
      </c>
      <c r="AE34" s="1">
        <f t="shared" si="3"/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 t="s">
        <v>71</v>
      </c>
      <c r="B35" s="1" t="s">
        <v>34</v>
      </c>
      <c r="C35" s="1">
        <v>214.72200000000001</v>
      </c>
      <c r="D35" s="1">
        <v>215.09700000000001</v>
      </c>
      <c r="E35" s="1">
        <v>60.567999999999998</v>
      </c>
      <c r="F35" s="1">
        <v>341.37900000000002</v>
      </c>
      <c r="G35" s="7">
        <v>1</v>
      </c>
      <c r="H35" s="1">
        <v>45</v>
      </c>
      <c r="I35" s="1" t="s">
        <v>35</v>
      </c>
      <c r="J35" s="1"/>
      <c r="K35" s="1">
        <v>60.77</v>
      </c>
      <c r="L35" s="1">
        <f t="shared" si="2"/>
        <v>-0.20200000000000529</v>
      </c>
      <c r="M35" s="1"/>
      <c r="N35" s="1"/>
      <c r="O35" s="1">
        <v>80</v>
      </c>
      <c r="P35" s="1">
        <f t="shared" si="4"/>
        <v>12.1136</v>
      </c>
      <c r="Q35" s="5"/>
      <c r="R35" s="1">
        <f t="shared" si="6"/>
        <v>34.785612864879148</v>
      </c>
      <c r="S35" s="1">
        <f t="shared" si="7"/>
        <v>34.785612864879148</v>
      </c>
      <c r="T35" s="1">
        <v>21.622599999999998</v>
      </c>
      <c r="U35" s="1">
        <v>31.792000000000002</v>
      </c>
      <c r="V35" s="1">
        <v>20.077200000000001</v>
      </c>
      <c r="W35" s="1">
        <v>11.674799999999999</v>
      </c>
      <c r="X35" s="1">
        <v>20.364000000000001</v>
      </c>
      <c r="Y35" s="1">
        <v>26.2212</v>
      </c>
      <c r="Z35" s="1">
        <v>18.284400000000002</v>
      </c>
      <c r="AA35" s="1">
        <v>23.627800000000001</v>
      </c>
      <c r="AB35" s="1">
        <v>16.767800000000001</v>
      </c>
      <c r="AC35" s="1">
        <v>13.041600000000001</v>
      </c>
      <c r="AD35" s="17" t="s">
        <v>94</v>
      </c>
      <c r="AE35" s="1">
        <f t="shared" si="3"/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2" t="s">
        <v>72</v>
      </c>
      <c r="B36" s="12" t="s">
        <v>38</v>
      </c>
      <c r="C36" s="12">
        <v>11</v>
      </c>
      <c r="D36" s="12">
        <v>697</v>
      </c>
      <c r="E36" s="12">
        <v>283</v>
      </c>
      <c r="F36" s="12">
        <v>421</v>
      </c>
      <c r="G36" s="13">
        <v>0</v>
      </c>
      <c r="H36" s="12"/>
      <c r="I36" s="12" t="s">
        <v>73</v>
      </c>
      <c r="J36" s="12"/>
      <c r="K36" s="12">
        <v>367</v>
      </c>
      <c r="L36" s="12">
        <f t="shared" si="2"/>
        <v>-84</v>
      </c>
      <c r="M36" s="12"/>
      <c r="N36" s="12"/>
      <c r="O36" s="12">
        <v>0</v>
      </c>
      <c r="P36" s="12">
        <f t="shared" si="4"/>
        <v>56.6</v>
      </c>
      <c r="Q36" s="14"/>
      <c r="R36" s="12">
        <f t="shared" si="6"/>
        <v>7.4381625441696109</v>
      </c>
      <c r="S36" s="12">
        <f t="shared" si="7"/>
        <v>7.4381625441696109</v>
      </c>
      <c r="T36" s="12">
        <v>24.4</v>
      </c>
      <c r="U36" s="12">
        <v>21.2</v>
      </c>
      <c r="V36" s="12">
        <v>11.4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 t="s">
        <v>74</v>
      </c>
      <c r="AE36" s="12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75</v>
      </c>
      <c r="B37" s="1" t="s">
        <v>34</v>
      </c>
      <c r="C37" s="1">
        <v>213.56399999999999</v>
      </c>
      <c r="D37" s="1">
        <v>262.41199999999998</v>
      </c>
      <c r="E37" s="1">
        <v>115.917</v>
      </c>
      <c r="F37" s="1">
        <v>333.762</v>
      </c>
      <c r="G37" s="7">
        <v>1</v>
      </c>
      <c r="H37" s="1">
        <v>45</v>
      </c>
      <c r="I37" s="1" t="s">
        <v>35</v>
      </c>
      <c r="J37" s="1"/>
      <c r="K37" s="1">
        <v>121.7</v>
      </c>
      <c r="L37" s="1">
        <f t="shared" si="2"/>
        <v>-5.7830000000000013</v>
      </c>
      <c r="M37" s="1"/>
      <c r="N37" s="1"/>
      <c r="O37" s="1">
        <v>120</v>
      </c>
      <c r="P37" s="1">
        <f t="shared" si="4"/>
        <v>23.183399999999999</v>
      </c>
      <c r="Q37" s="5"/>
      <c r="R37" s="1">
        <f t="shared" si="6"/>
        <v>19.572711509097026</v>
      </c>
      <c r="S37" s="1">
        <f t="shared" si="7"/>
        <v>19.572711509097026</v>
      </c>
      <c r="T37" s="1">
        <v>28.372599999999998</v>
      </c>
      <c r="U37" s="1">
        <v>42.488399999999999</v>
      </c>
      <c r="V37" s="1">
        <v>29.185600000000001</v>
      </c>
      <c r="W37" s="1">
        <v>25.471800000000002</v>
      </c>
      <c r="X37" s="1">
        <v>27.164400000000001</v>
      </c>
      <c r="Y37" s="1">
        <v>49.6982</v>
      </c>
      <c r="Z37" s="1">
        <v>26.753799999999998</v>
      </c>
      <c r="AA37" s="1">
        <v>42.905999999999999</v>
      </c>
      <c r="AB37" s="1">
        <v>40.457599999999999</v>
      </c>
      <c r="AC37" s="1">
        <v>38.383400000000002</v>
      </c>
      <c r="AD37" s="17" t="s">
        <v>94</v>
      </c>
      <c r="AE37" s="1">
        <f t="shared" ref="AE37:AE57" si="8">G37*Q37</f>
        <v>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76</v>
      </c>
      <c r="B38" s="1" t="s">
        <v>38</v>
      </c>
      <c r="C38" s="1">
        <v>154</v>
      </c>
      <c r="D38" s="1">
        <v>713</v>
      </c>
      <c r="E38" s="1">
        <v>263</v>
      </c>
      <c r="F38" s="1">
        <v>522</v>
      </c>
      <c r="G38" s="7">
        <v>0.3</v>
      </c>
      <c r="H38" s="1">
        <v>45</v>
      </c>
      <c r="I38" s="1" t="s">
        <v>35</v>
      </c>
      <c r="J38" s="1"/>
      <c r="K38" s="1">
        <v>265</v>
      </c>
      <c r="L38" s="1">
        <f t="shared" ref="L38:L69" si="9">E38-K38</f>
        <v>-2</v>
      </c>
      <c r="M38" s="1"/>
      <c r="N38" s="1"/>
      <c r="O38" s="1">
        <v>300</v>
      </c>
      <c r="P38" s="1">
        <f t="shared" si="4"/>
        <v>52.6</v>
      </c>
      <c r="Q38" s="5"/>
      <c r="R38" s="1">
        <f t="shared" si="6"/>
        <v>15.627376425855513</v>
      </c>
      <c r="S38" s="1">
        <f t="shared" si="7"/>
        <v>15.627376425855513</v>
      </c>
      <c r="T38" s="1">
        <v>58.4</v>
      </c>
      <c r="U38" s="1">
        <v>62.2</v>
      </c>
      <c r="V38" s="1">
        <v>54.2</v>
      </c>
      <c r="W38" s="1">
        <v>35.6</v>
      </c>
      <c r="X38" s="1">
        <v>48.4</v>
      </c>
      <c r="Y38" s="1">
        <v>70.2</v>
      </c>
      <c r="Z38" s="1">
        <v>69.8</v>
      </c>
      <c r="AA38" s="1">
        <v>41.6</v>
      </c>
      <c r="AB38" s="1">
        <v>43.2</v>
      </c>
      <c r="AC38" s="1">
        <v>18.8</v>
      </c>
      <c r="AD38" s="1"/>
      <c r="AE38" s="1">
        <f t="shared" si="8"/>
        <v>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77</v>
      </c>
      <c r="B39" s="1" t="s">
        <v>34</v>
      </c>
      <c r="C39" s="1">
        <v>24.562999999999999</v>
      </c>
      <c r="D39" s="1">
        <v>376.339</v>
      </c>
      <c r="E39" s="1">
        <v>115.51600000000001</v>
      </c>
      <c r="F39" s="1">
        <v>219.46799999999999</v>
      </c>
      <c r="G39" s="7">
        <v>1</v>
      </c>
      <c r="H39" s="1">
        <v>30</v>
      </c>
      <c r="I39" s="1" t="s">
        <v>35</v>
      </c>
      <c r="J39" s="1"/>
      <c r="K39" s="1">
        <v>117.1</v>
      </c>
      <c r="L39" s="1">
        <f t="shared" si="9"/>
        <v>-1.583999999999989</v>
      </c>
      <c r="M39" s="1"/>
      <c r="N39" s="1"/>
      <c r="O39" s="1">
        <v>300</v>
      </c>
      <c r="P39" s="1">
        <f t="shared" si="4"/>
        <v>23.103200000000001</v>
      </c>
      <c r="Q39" s="5"/>
      <c r="R39" s="1">
        <f t="shared" si="6"/>
        <v>22.484677447280028</v>
      </c>
      <c r="S39" s="1">
        <f t="shared" si="7"/>
        <v>22.484677447280028</v>
      </c>
      <c r="T39" s="1">
        <v>34.4876</v>
      </c>
      <c r="U39" s="1">
        <v>27.011600000000001</v>
      </c>
      <c r="V39" s="1">
        <v>22.9208</v>
      </c>
      <c r="W39" s="1">
        <v>23.462</v>
      </c>
      <c r="X39" s="1">
        <v>26.2592</v>
      </c>
      <c r="Y39" s="1">
        <v>36.895600000000002</v>
      </c>
      <c r="Z39" s="1">
        <v>16.045200000000001</v>
      </c>
      <c r="AA39" s="1">
        <v>14.3528</v>
      </c>
      <c r="AB39" s="1">
        <v>22.1236</v>
      </c>
      <c r="AC39" s="1">
        <v>20.263999999999999</v>
      </c>
      <c r="AD39" s="1"/>
      <c r="AE39" s="1">
        <f t="shared" si="8"/>
        <v>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78</v>
      </c>
      <c r="B40" s="1" t="s">
        <v>34</v>
      </c>
      <c r="C40" s="1">
        <v>427.25900000000001</v>
      </c>
      <c r="D40" s="1">
        <v>696.29499999999996</v>
      </c>
      <c r="E40" s="1">
        <v>284.34100000000001</v>
      </c>
      <c r="F40" s="1">
        <v>802.29200000000003</v>
      </c>
      <c r="G40" s="7">
        <v>1</v>
      </c>
      <c r="H40" s="1">
        <v>45</v>
      </c>
      <c r="I40" s="1" t="s">
        <v>35</v>
      </c>
      <c r="J40" s="1"/>
      <c r="K40" s="1">
        <v>268.39999999999998</v>
      </c>
      <c r="L40" s="1">
        <f t="shared" si="9"/>
        <v>15.941000000000031</v>
      </c>
      <c r="M40" s="1"/>
      <c r="N40" s="1"/>
      <c r="O40" s="1">
        <v>250</v>
      </c>
      <c r="P40" s="1">
        <f t="shared" si="4"/>
        <v>56.868200000000002</v>
      </c>
      <c r="Q40" s="5"/>
      <c r="R40" s="1">
        <f t="shared" si="6"/>
        <v>18.504049714954927</v>
      </c>
      <c r="S40" s="1">
        <f t="shared" si="7"/>
        <v>18.504049714954927</v>
      </c>
      <c r="T40" s="1">
        <v>55.290599999999998</v>
      </c>
      <c r="U40" s="1">
        <v>69.810400000000001</v>
      </c>
      <c r="V40" s="1">
        <v>76.587800000000001</v>
      </c>
      <c r="W40" s="1">
        <v>48.989199999999997</v>
      </c>
      <c r="X40" s="1">
        <v>66.378</v>
      </c>
      <c r="Y40" s="1">
        <v>55.039200000000008</v>
      </c>
      <c r="Z40" s="1">
        <v>42.236199999999997</v>
      </c>
      <c r="AA40" s="1">
        <v>44.667000000000002</v>
      </c>
      <c r="AB40" s="1">
        <v>51.484200000000001</v>
      </c>
      <c r="AC40" s="1">
        <v>34.043199999999999</v>
      </c>
      <c r="AD40" s="1"/>
      <c r="AE40" s="1">
        <f t="shared" si="8"/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79</v>
      </c>
      <c r="B41" s="1" t="s">
        <v>38</v>
      </c>
      <c r="C41" s="1">
        <v>944</v>
      </c>
      <c r="D41" s="1">
        <v>236</v>
      </c>
      <c r="E41" s="1">
        <v>365</v>
      </c>
      <c r="F41" s="1">
        <v>734</v>
      </c>
      <c r="G41" s="7">
        <v>0.35</v>
      </c>
      <c r="H41" s="1">
        <v>45</v>
      </c>
      <c r="I41" s="1" t="s">
        <v>35</v>
      </c>
      <c r="J41" s="1"/>
      <c r="K41" s="1">
        <v>374</v>
      </c>
      <c r="L41" s="1">
        <f t="shared" si="9"/>
        <v>-9</v>
      </c>
      <c r="M41" s="1"/>
      <c r="N41" s="1"/>
      <c r="O41" s="1">
        <v>400</v>
      </c>
      <c r="P41" s="1">
        <f t="shared" si="4"/>
        <v>73</v>
      </c>
      <c r="Q41" s="5"/>
      <c r="R41" s="1">
        <f t="shared" si="6"/>
        <v>15.534246575342467</v>
      </c>
      <c r="S41" s="1">
        <f t="shared" si="7"/>
        <v>15.534246575342467</v>
      </c>
      <c r="T41" s="1">
        <v>43.8</v>
      </c>
      <c r="U41" s="1">
        <v>54.2</v>
      </c>
      <c r="V41" s="1">
        <v>82.6</v>
      </c>
      <c r="W41" s="1">
        <v>46.2</v>
      </c>
      <c r="X41" s="1">
        <v>63</v>
      </c>
      <c r="Y41" s="1">
        <v>93.8</v>
      </c>
      <c r="Z41" s="1">
        <v>49.2</v>
      </c>
      <c r="AA41" s="1">
        <v>60.4</v>
      </c>
      <c r="AB41" s="1">
        <v>73</v>
      </c>
      <c r="AC41" s="1">
        <v>57.2</v>
      </c>
      <c r="AD41" s="1"/>
      <c r="AE41" s="1">
        <f t="shared" si="8"/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80</v>
      </c>
      <c r="B42" s="1" t="s">
        <v>38</v>
      </c>
      <c r="C42" s="1">
        <v>286</v>
      </c>
      <c r="D42" s="1">
        <v>443</v>
      </c>
      <c r="E42" s="1">
        <v>281</v>
      </c>
      <c r="F42" s="1">
        <v>362</v>
      </c>
      <c r="G42" s="7">
        <v>0.41</v>
      </c>
      <c r="H42" s="1">
        <v>45</v>
      </c>
      <c r="I42" s="1" t="s">
        <v>157</v>
      </c>
      <c r="J42" s="1"/>
      <c r="K42" s="1">
        <v>296</v>
      </c>
      <c r="L42" s="1">
        <f t="shared" si="9"/>
        <v>-15</v>
      </c>
      <c r="M42" s="1"/>
      <c r="N42" s="1"/>
      <c r="O42" s="1">
        <v>99</v>
      </c>
      <c r="P42" s="1">
        <f t="shared" si="4"/>
        <v>56.2</v>
      </c>
      <c r="Q42" s="5">
        <f t="shared" ref="Q37:Q57" si="10">15*P42-O42-F42</f>
        <v>382</v>
      </c>
      <c r="R42" s="1">
        <f t="shared" si="6"/>
        <v>15</v>
      </c>
      <c r="S42" s="1">
        <f t="shared" si="7"/>
        <v>8.202846975088967</v>
      </c>
      <c r="T42" s="1">
        <v>46</v>
      </c>
      <c r="U42" s="1">
        <v>60.4</v>
      </c>
      <c r="V42" s="1">
        <v>59.8</v>
      </c>
      <c r="W42" s="1">
        <v>66</v>
      </c>
      <c r="X42" s="1">
        <v>59.4</v>
      </c>
      <c r="Y42" s="1">
        <v>44.8</v>
      </c>
      <c r="Z42" s="1">
        <v>56</v>
      </c>
      <c r="AA42" s="1">
        <v>48.8</v>
      </c>
      <c r="AB42" s="1">
        <v>61</v>
      </c>
      <c r="AC42" s="1">
        <v>55.8</v>
      </c>
      <c r="AD42" s="1"/>
      <c r="AE42" s="1">
        <f t="shared" si="8"/>
        <v>156.62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81</v>
      </c>
      <c r="B43" s="1" t="s">
        <v>38</v>
      </c>
      <c r="C43" s="1">
        <v>64</v>
      </c>
      <c r="D43" s="1">
        <v>364</v>
      </c>
      <c r="E43" s="1">
        <v>137</v>
      </c>
      <c r="F43" s="1">
        <v>260</v>
      </c>
      <c r="G43" s="7">
        <v>0.41</v>
      </c>
      <c r="H43" s="1">
        <v>45</v>
      </c>
      <c r="I43" s="1" t="s">
        <v>35</v>
      </c>
      <c r="J43" s="1"/>
      <c r="K43" s="1">
        <v>137</v>
      </c>
      <c r="L43" s="1">
        <f t="shared" si="9"/>
        <v>0</v>
      </c>
      <c r="M43" s="1"/>
      <c r="N43" s="1"/>
      <c r="O43" s="1">
        <v>200</v>
      </c>
      <c r="P43" s="1">
        <f t="shared" si="4"/>
        <v>27.4</v>
      </c>
      <c r="Q43" s="5"/>
      <c r="R43" s="1">
        <f t="shared" si="6"/>
        <v>16.788321167883211</v>
      </c>
      <c r="S43" s="1">
        <f t="shared" si="7"/>
        <v>16.788321167883211</v>
      </c>
      <c r="T43" s="1">
        <v>33.6</v>
      </c>
      <c r="U43" s="1">
        <v>34.200000000000003</v>
      </c>
      <c r="V43" s="1">
        <v>28.6</v>
      </c>
      <c r="W43" s="1">
        <v>35.6</v>
      </c>
      <c r="X43" s="1">
        <v>34.200000000000003</v>
      </c>
      <c r="Y43" s="1">
        <v>40.6</v>
      </c>
      <c r="Z43" s="1">
        <v>30.6</v>
      </c>
      <c r="AA43" s="1">
        <v>36.200000000000003</v>
      </c>
      <c r="AB43" s="1">
        <v>42.6</v>
      </c>
      <c r="AC43" s="1">
        <v>41.4</v>
      </c>
      <c r="AD43" s="1"/>
      <c r="AE43" s="1">
        <f t="shared" si="8"/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82</v>
      </c>
      <c r="B44" s="1" t="s">
        <v>38</v>
      </c>
      <c r="C44" s="1">
        <v>271</v>
      </c>
      <c r="D44" s="1">
        <v>8</v>
      </c>
      <c r="E44" s="1">
        <v>225</v>
      </c>
      <c r="F44" s="1">
        <v>38</v>
      </c>
      <c r="G44" s="7">
        <v>0.36</v>
      </c>
      <c r="H44" s="1">
        <v>45</v>
      </c>
      <c r="I44" s="1" t="s">
        <v>35</v>
      </c>
      <c r="J44" s="1"/>
      <c r="K44" s="1">
        <v>231</v>
      </c>
      <c r="L44" s="1">
        <f t="shared" si="9"/>
        <v>-6</v>
      </c>
      <c r="M44" s="1"/>
      <c r="N44" s="1"/>
      <c r="O44" s="1">
        <v>318</v>
      </c>
      <c r="P44" s="1">
        <f t="shared" si="4"/>
        <v>45</v>
      </c>
      <c r="Q44" s="5">
        <f t="shared" si="10"/>
        <v>319</v>
      </c>
      <c r="R44" s="1">
        <f t="shared" si="6"/>
        <v>15</v>
      </c>
      <c r="S44" s="1">
        <f t="shared" si="7"/>
        <v>7.9111111111111114</v>
      </c>
      <c r="T44" s="1">
        <v>38.799999999999997</v>
      </c>
      <c r="U44" s="1">
        <v>34.200000000000003</v>
      </c>
      <c r="V44" s="1">
        <v>27.4</v>
      </c>
      <c r="W44" s="1">
        <v>35</v>
      </c>
      <c r="X44" s="1">
        <v>23.2</v>
      </c>
      <c r="Y44" s="1">
        <v>54.2</v>
      </c>
      <c r="Z44" s="1">
        <v>49</v>
      </c>
      <c r="AA44" s="1">
        <v>25.4</v>
      </c>
      <c r="AB44" s="1">
        <v>43.4</v>
      </c>
      <c r="AC44" s="1">
        <v>59</v>
      </c>
      <c r="AD44" s="1" t="s">
        <v>46</v>
      </c>
      <c r="AE44" s="1">
        <f t="shared" si="8"/>
        <v>114.83999999999999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83</v>
      </c>
      <c r="B45" s="1" t="s">
        <v>38</v>
      </c>
      <c r="C45" s="1">
        <v>1</v>
      </c>
      <c r="D45" s="1">
        <v>108</v>
      </c>
      <c r="E45" s="1">
        <v>37</v>
      </c>
      <c r="F45" s="1">
        <v>57</v>
      </c>
      <c r="G45" s="7">
        <v>0.33</v>
      </c>
      <c r="H45" s="1">
        <v>45</v>
      </c>
      <c r="I45" s="1" t="s">
        <v>35</v>
      </c>
      <c r="J45" s="1"/>
      <c r="K45" s="1">
        <v>49</v>
      </c>
      <c r="L45" s="1">
        <f t="shared" si="9"/>
        <v>-12</v>
      </c>
      <c r="M45" s="1"/>
      <c r="N45" s="1"/>
      <c r="O45" s="1">
        <v>70</v>
      </c>
      <c r="P45" s="1">
        <f t="shared" si="4"/>
        <v>7.4</v>
      </c>
      <c r="Q45" s="5"/>
      <c r="R45" s="1">
        <f t="shared" si="6"/>
        <v>17.162162162162161</v>
      </c>
      <c r="S45" s="1">
        <f t="shared" si="7"/>
        <v>17.162162162162161</v>
      </c>
      <c r="T45" s="1">
        <v>9</v>
      </c>
      <c r="U45" s="1">
        <v>12.6</v>
      </c>
      <c r="V45" s="1">
        <v>7.4</v>
      </c>
      <c r="W45" s="1">
        <v>7.2</v>
      </c>
      <c r="X45" s="1">
        <v>14.4</v>
      </c>
      <c r="Y45" s="1">
        <v>9</v>
      </c>
      <c r="Z45" s="1">
        <v>5.4</v>
      </c>
      <c r="AA45" s="1">
        <v>11.4</v>
      </c>
      <c r="AB45" s="1">
        <v>12.8</v>
      </c>
      <c r="AC45" s="1">
        <v>17.2</v>
      </c>
      <c r="AD45" s="1"/>
      <c r="AE45" s="1">
        <f t="shared" si="8"/>
        <v>0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84</v>
      </c>
      <c r="B46" s="1" t="s">
        <v>38</v>
      </c>
      <c r="C46" s="1">
        <v>136</v>
      </c>
      <c r="D46" s="1">
        <v>62</v>
      </c>
      <c r="E46" s="1">
        <v>48</v>
      </c>
      <c r="F46" s="1">
        <v>133</v>
      </c>
      <c r="G46" s="7">
        <v>0.4</v>
      </c>
      <c r="H46" s="1">
        <v>60</v>
      </c>
      <c r="I46" s="1" t="s">
        <v>35</v>
      </c>
      <c r="J46" s="1"/>
      <c r="K46" s="1">
        <v>50</v>
      </c>
      <c r="L46" s="1">
        <f t="shared" si="9"/>
        <v>-2</v>
      </c>
      <c r="M46" s="1"/>
      <c r="N46" s="1"/>
      <c r="O46" s="1">
        <v>30</v>
      </c>
      <c r="P46" s="1">
        <f t="shared" si="4"/>
        <v>9.6</v>
      </c>
      <c r="Q46" s="5"/>
      <c r="R46" s="1">
        <f t="shared" si="6"/>
        <v>16.979166666666668</v>
      </c>
      <c r="S46" s="1">
        <f t="shared" si="7"/>
        <v>16.979166666666668</v>
      </c>
      <c r="T46" s="1">
        <v>7</v>
      </c>
      <c r="U46" s="1">
        <v>13</v>
      </c>
      <c r="V46" s="1">
        <v>17.2</v>
      </c>
      <c r="W46" s="1">
        <v>13.8</v>
      </c>
      <c r="X46" s="1">
        <v>24.4</v>
      </c>
      <c r="Y46" s="1">
        <v>15.2</v>
      </c>
      <c r="Z46" s="1">
        <v>13.2</v>
      </c>
      <c r="AA46" s="1">
        <v>14.6</v>
      </c>
      <c r="AB46" s="1">
        <v>18.399999999999999</v>
      </c>
      <c r="AC46" s="1">
        <v>13.4</v>
      </c>
      <c r="AD46" s="1"/>
      <c r="AE46" s="1">
        <f t="shared" si="8"/>
        <v>0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85</v>
      </c>
      <c r="B47" s="1" t="s">
        <v>38</v>
      </c>
      <c r="C47" s="1">
        <v>29</v>
      </c>
      <c r="D47" s="1">
        <v>83</v>
      </c>
      <c r="E47" s="1">
        <v>43</v>
      </c>
      <c r="F47" s="1">
        <v>62</v>
      </c>
      <c r="G47" s="7">
        <v>0.33</v>
      </c>
      <c r="H47" s="1">
        <v>45</v>
      </c>
      <c r="I47" s="1" t="s">
        <v>35</v>
      </c>
      <c r="J47" s="1"/>
      <c r="K47" s="1">
        <v>44</v>
      </c>
      <c r="L47" s="1">
        <f t="shared" si="9"/>
        <v>-1</v>
      </c>
      <c r="M47" s="1"/>
      <c r="N47" s="1"/>
      <c r="O47" s="1">
        <v>25</v>
      </c>
      <c r="P47" s="1">
        <f t="shared" si="4"/>
        <v>8.6</v>
      </c>
      <c r="Q47" s="5">
        <f t="shared" si="10"/>
        <v>42</v>
      </c>
      <c r="R47" s="1">
        <f t="shared" si="6"/>
        <v>15</v>
      </c>
      <c r="S47" s="1">
        <f t="shared" si="7"/>
        <v>10.116279069767442</v>
      </c>
      <c r="T47" s="1">
        <v>1.8</v>
      </c>
      <c r="U47" s="1">
        <v>6.4</v>
      </c>
      <c r="V47" s="1">
        <v>5.2</v>
      </c>
      <c r="W47" s="1">
        <v>3.8</v>
      </c>
      <c r="X47" s="1">
        <v>5.6</v>
      </c>
      <c r="Y47" s="1">
        <v>7</v>
      </c>
      <c r="Z47" s="1">
        <v>4.4000000000000004</v>
      </c>
      <c r="AA47" s="1">
        <v>3.2</v>
      </c>
      <c r="AB47" s="1">
        <v>6.8</v>
      </c>
      <c r="AC47" s="1">
        <v>4.5999999999999996</v>
      </c>
      <c r="AD47" s="1"/>
      <c r="AE47" s="1">
        <f t="shared" si="8"/>
        <v>13.860000000000001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86</v>
      </c>
      <c r="B48" s="1" t="s">
        <v>34</v>
      </c>
      <c r="C48" s="1">
        <v>384.59800000000001</v>
      </c>
      <c r="D48" s="1">
        <v>421.90800000000002</v>
      </c>
      <c r="E48" s="1">
        <v>286.791</v>
      </c>
      <c r="F48" s="1">
        <v>424.096</v>
      </c>
      <c r="G48" s="7">
        <v>1</v>
      </c>
      <c r="H48" s="1">
        <v>45</v>
      </c>
      <c r="I48" s="1" t="s">
        <v>35</v>
      </c>
      <c r="J48" s="1"/>
      <c r="K48" s="1">
        <v>252.1</v>
      </c>
      <c r="L48" s="1">
        <f t="shared" si="9"/>
        <v>34.691000000000003</v>
      </c>
      <c r="M48" s="1"/>
      <c r="N48" s="1"/>
      <c r="O48" s="1">
        <v>500</v>
      </c>
      <c r="P48" s="1">
        <f t="shared" si="4"/>
        <v>57.358199999999997</v>
      </c>
      <c r="Q48" s="5"/>
      <c r="R48" s="1">
        <f t="shared" si="6"/>
        <v>16.110965825287405</v>
      </c>
      <c r="S48" s="1">
        <f t="shared" si="7"/>
        <v>16.110965825287405</v>
      </c>
      <c r="T48" s="1">
        <v>72.658199999999994</v>
      </c>
      <c r="U48" s="1">
        <v>59.006399999999999</v>
      </c>
      <c r="V48" s="1">
        <v>74.868399999999994</v>
      </c>
      <c r="W48" s="1">
        <v>62.738</v>
      </c>
      <c r="X48" s="1">
        <v>79.360399999999998</v>
      </c>
      <c r="Y48" s="1">
        <v>76.403599999999997</v>
      </c>
      <c r="Z48" s="1">
        <v>34.4542</v>
      </c>
      <c r="AA48" s="1">
        <v>59.198400000000007</v>
      </c>
      <c r="AB48" s="1">
        <v>63.107399999999998</v>
      </c>
      <c r="AC48" s="1">
        <v>32.2164</v>
      </c>
      <c r="AD48" s="1"/>
      <c r="AE48" s="1">
        <f t="shared" si="8"/>
        <v>0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87</v>
      </c>
      <c r="B49" s="1" t="s">
        <v>38</v>
      </c>
      <c r="C49" s="1">
        <v>89</v>
      </c>
      <c r="D49" s="1">
        <v>94</v>
      </c>
      <c r="E49" s="1">
        <v>54</v>
      </c>
      <c r="F49" s="1">
        <v>84</v>
      </c>
      <c r="G49" s="7">
        <v>0.4</v>
      </c>
      <c r="H49" s="1">
        <v>45</v>
      </c>
      <c r="I49" s="1" t="s">
        <v>35</v>
      </c>
      <c r="J49" s="1"/>
      <c r="K49" s="1">
        <v>66</v>
      </c>
      <c r="L49" s="1">
        <f t="shared" si="9"/>
        <v>-12</v>
      </c>
      <c r="M49" s="1"/>
      <c r="N49" s="1"/>
      <c r="O49" s="1">
        <v>70</v>
      </c>
      <c r="P49" s="1">
        <f t="shared" si="4"/>
        <v>10.8</v>
      </c>
      <c r="Q49" s="5">
        <f t="shared" si="10"/>
        <v>8</v>
      </c>
      <c r="R49" s="1">
        <f t="shared" si="6"/>
        <v>14.999999999999998</v>
      </c>
      <c r="S49" s="1">
        <f t="shared" si="7"/>
        <v>14.259259259259258</v>
      </c>
      <c r="T49" s="1">
        <v>6.6</v>
      </c>
      <c r="U49" s="1">
        <v>11</v>
      </c>
      <c r="V49" s="1">
        <v>11.6</v>
      </c>
      <c r="W49" s="1">
        <v>6.6</v>
      </c>
      <c r="X49" s="1">
        <v>13.6</v>
      </c>
      <c r="Y49" s="1">
        <v>25.4</v>
      </c>
      <c r="Z49" s="1">
        <v>20.6</v>
      </c>
      <c r="AA49" s="1">
        <v>20.6</v>
      </c>
      <c r="AB49" s="1">
        <v>20.6</v>
      </c>
      <c r="AC49" s="1">
        <v>11</v>
      </c>
      <c r="AD49" s="1"/>
      <c r="AE49" s="1">
        <f t="shared" si="8"/>
        <v>3.2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88</v>
      </c>
      <c r="B50" s="1" t="s">
        <v>34</v>
      </c>
      <c r="C50" s="1">
        <v>7.883</v>
      </c>
      <c r="D50" s="1">
        <v>33.344000000000001</v>
      </c>
      <c r="E50" s="1">
        <v>17.667000000000002</v>
      </c>
      <c r="F50" s="1">
        <v>17.565000000000001</v>
      </c>
      <c r="G50" s="7">
        <v>1</v>
      </c>
      <c r="H50" s="1">
        <v>60</v>
      </c>
      <c r="I50" s="1" t="s">
        <v>35</v>
      </c>
      <c r="J50" s="1"/>
      <c r="K50" s="1">
        <v>23.9</v>
      </c>
      <c r="L50" s="1">
        <f t="shared" si="9"/>
        <v>-6.232999999999997</v>
      </c>
      <c r="M50" s="1"/>
      <c r="N50" s="1"/>
      <c r="O50" s="1">
        <v>40</v>
      </c>
      <c r="P50" s="1">
        <f t="shared" si="4"/>
        <v>3.5334000000000003</v>
      </c>
      <c r="Q50" s="5"/>
      <c r="R50" s="1">
        <f t="shared" si="6"/>
        <v>16.291673742004864</v>
      </c>
      <c r="S50" s="1">
        <f t="shared" si="7"/>
        <v>16.291673742004864</v>
      </c>
      <c r="T50" s="1">
        <v>4.3151999999999999</v>
      </c>
      <c r="U50" s="1">
        <v>3.9378000000000002</v>
      </c>
      <c r="V50" s="1">
        <v>1.5831999999999999</v>
      </c>
      <c r="W50" s="1">
        <v>3.5358000000000001</v>
      </c>
      <c r="X50" s="1">
        <v>5.3479999999999999</v>
      </c>
      <c r="Y50" s="1">
        <v>2.3647999999999998</v>
      </c>
      <c r="Z50" s="1">
        <v>4.6563999999999997</v>
      </c>
      <c r="AA50" s="1">
        <v>0.64419999999999999</v>
      </c>
      <c r="AB50" s="1">
        <v>4.7759999999999998</v>
      </c>
      <c r="AC50" s="1">
        <v>3.1307999999999998</v>
      </c>
      <c r="AD50" s="1" t="s">
        <v>89</v>
      </c>
      <c r="AE50" s="1">
        <f t="shared" si="8"/>
        <v>0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90</v>
      </c>
      <c r="B51" s="1" t="s">
        <v>34</v>
      </c>
      <c r="C51" s="1">
        <v>23.414999999999999</v>
      </c>
      <c r="D51" s="1">
        <v>31.079000000000001</v>
      </c>
      <c r="E51" s="1">
        <v>22.852</v>
      </c>
      <c r="F51" s="1">
        <v>28.48</v>
      </c>
      <c r="G51" s="7">
        <v>1</v>
      </c>
      <c r="H51" s="1">
        <v>60</v>
      </c>
      <c r="I51" s="1" t="s">
        <v>35</v>
      </c>
      <c r="J51" s="1"/>
      <c r="K51" s="1">
        <v>23.4</v>
      </c>
      <c r="L51" s="1">
        <f t="shared" si="9"/>
        <v>-0.54799999999999827</v>
      </c>
      <c r="M51" s="1"/>
      <c r="N51" s="1"/>
      <c r="O51" s="1">
        <v>30</v>
      </c>
      <c r="P51" s="1">
        <f t="shared" si="4"/>
        <v>4.5704000000000002</v>
      </c>
      <c r="Q51" s="5">
        <f t="shared" si="10"/>
        <v>10.075999999999997</v>
      </c>
      <c r="R51" s="1">
        <f t="shared" si="6"/>
        <v>14.999999999999998</v>
      </c>
      <c r="S51" s="1">
        <f t="shared" si="7"/>
        <v>12.79537896026606</v>
      </c>
      <c r="T51" s="1">
        <v>3.036</v>
      </c>
      <c r="U51" s="1">
        <v>5.133</v>
      </c>
      <c r="V51" s="1">
        <v>1.51</v>
      </c>
      <c r="W51" s="1">
        <v>4.2290000000000001</v>
      </c>
      <c r="X51" s="1">
        <v>4.1909999999999998</v>
      </c>
      <c r="Y51" s="1">
        <v>3.3281999999999998</v>
      </c>
      <c r="Z51" s="1">
        <v>5.4710000000000001</v>
      </c>
      <c r="AA51" s="1">
        <v>2.6920000000000002</v>
      </c>
      <c r="AB51" s="1">
        <v>3.8879999999999999</v>
      </c>
      <c r="AC51" s="1">
        <v>3.302</v>
      </c>
      <c r="AD51" s="1"/>
      <c r="AE51" s="1">
        <f t="shared" si="8"/>
        <v>10.075999999999997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91</v>
      </c>
      <c r="B52" s="1" t="s">
        <v>34</v>
      </c>
      <c r="C52" s="1">
        <v>133.86000000000001</v>
      </c>
      <c r="D52" s="1">
        <v>26.132000000000001</v>
      </c>
      <c r="E52" s="1">
        <v>9.0079999999999991</v>
      </c>
      <c r="F52" s="1">
        <v>150.68700000000001</v>
      </c>
      <c r="G52" s="7">
        <v>1</v>
      </c>
      <c r="H52" s="1">
        <v>45</v>
      </c>
      <c r="I52" s="1" t="s">
        <v>35</v>
      </c>
      <c r="J52" s="1"/>
      <c r="K52" s="1">
        <v>8.1</v>
      </c>
      <c r="L52" s="1">
        <f t="shared" si="9"/>
        <v>0.90799999999999947</v>
      </c>
      <c r="M52" s="1"/>
      <c r="N52" s="1"/>
      <c r="O52" s="1">
        <v>0</v>
      </c>
      <c r="P52" s="1">
        <f t="shared" si="4"/>
        <v>1.8015999999999999</v>
      </c>
      <c r="Q52" s="5"/>
      <c r="R52" s="1">
        <f t="shared" si="6"/>
        <v>83.640652753108355</v>
      </c>
      <c r="S52" s="1">
        <f t="shared" si="7"/>
        <v>83.640652753108355</v>
      </c>
      <c r="T52" s="1">
        <v>3.0728</v>
      </c>
      <c r="U52" s="1">
        <v>1.0875999999999999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7" t="s">
        <v>108</v>
      </c>
      <c r="AE52" s="1">
        <f t="shared" si="8"/>
        <v>0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92</v>
      </c>
      <c r="B53" s="1" t="s">
        <v>38</v>
      </c>
      <c r="C53" s="1">
        <v>25</v>
      </c>
      <c r="D53" s="1">
        <v>22</v>
      </c>
      <c r="E53" s="1">
        <v>39</v>
      </c>
      <c r="F53" s="1"/>
      <c r="G53" s="7">
        <v>0.25</v>
      </c>
      <c r="H53" s="1">
        <v>120</v>
      </c>
      <c r="I53" s="1" t="s">
        <v>35</v>
      </c>
      <c r="J53" s="1"/>
      <c r="K53" s="1">
        <v>39</v>
      </c>
      <c r="L53" s="1">
        <f t="shared" si="9"/>
        <v>0</v>
      </c>
      <c r="M53" s="1"/>
      <c r="N53" s="1"/>
      <c r="O53" s="1">
        <v>67</v>
      </c>
      <c r="P53" s="1">
        <f t="shared" si="4"/>
        <v>7.8</v>
      </c>
      <c r="Q53" s="5">
        <f t="shared" si="10"/>
        <v>50</v>
      </c>
      <c r="R53" s="1">
        <f t="shared" si="6"/>
        <v>15</v>
      </c>
      <c r="S53" s="1">
        <f t="shared" si="7"/>
        <v>8.5897435897435894</v>
      </c>
      <c r="T53" s="1">
        <v>8.8000000000000007</v>
      </c>
      <c r="U53" s="1">
        <v>6.4</v>
      </c>
      <c r="V53" s="1">
        <v>3</v>
      </c>
      <c r="W53" s="1">
        <v>8.1999999999999993</v>
      </c>
      <c r="X53" s="1">
        <v>6.8</v>
      </c>
      <c r="Y53" s="1">
        <v>7</v>
      </c>
      <c r="Z53" s="1">
        <v>5.8</v>
      </c>
      <c r="AA53" s="1">
        <v>8.1999999999999993</v>
      </c>
      <c r="AB53" s="1">
        <v>4.8</v>
      </c>
      <c r="AC53" s="1">
        <v>4.5999999999999996</v>
      </c>
      <c r="AD53" s="1" t="s">
        <v>40</v>
      </c>
      <c r="AE53" s="1">
        <f t="shared" si="8"/>
        <v>12.5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93</v>
      </c>
      <c r="B54" s="1" t="s">
        <v>34</v>
      </c>
      <c r="C54" s="1">
        <v>222.34</v>
      </c>
      <c r="D54" s="1">
        <v>6.3840000000000003</v>
      </c>
      <c r="E54" s="1">
        <v>22.138000000000002</v>
      </c>
      <c r="F54" s="1">
        <v>200.41</v>
      </c>
      <c r="G54" s="7">
        <v>1</v>
      </c>
      <c r="H54" s="1">
        <v>45</v>
      </c>
      <c r="I54" s="1" t="s">
        <v>35</v>
      </c>
      <c r="J54" s="1"/>
      <c r="K54" s="1">
        <v>25.2</v>
      </c>
      <c r="L54" s="1">
        <f t="shared" si="9"/>
        <v>-3.0619999999999976</v>
      </c>
      <c r="M54" s="1"/>
      <c r="N54" s="1"/>
      <c r="O54" s="1">
        <v>100</v>
      </c>
      <c r="P54" s="1">
        <f t="shared" si="4"/>
        <v>4.4276</v>
      </c>
      <c r="Q54" s="5"/>
      <c r="R54" s="1">
        <f t="shared" si="6"/>
        <v>67.849399223055372</v>
      </c>
      <c r="S54" s="1">
        <f t="shared" si="7"/>
        <v>67.849399223055372</v>
      </c>
      <c r="T54" s="1">
        <v>5.3130000000000006</v>
      </c>
      <c r="U54" s="1">
        <v>9.0622000000000007</v>
      </c>
      <c r="V54" s="1">
        <v>6.2986000000000004</v>
      </c>
      <c r="W54" s="1">
        <v>8.4708000000000006</v>
      </c>
      <c r="X54" s="1">
        <v>8.6494</v>
      </c>
      <c r="Y54" s="1">
        <v>8.8480000000000008</v>
      </c>
      <c r="Z54" s="1">
        <v>9.2843999999999998</v>
      </c>
      <c r="AA54" s="1">
        <v>10.0526</v>
      </c>
      <c r="AB54" s="1">
        <v>9.6641999999999992</v>
      </c>
      <c r="AC54" s="1">
        <v>9.517199999999999</v>
      </c>
      <c r="AD54" s="17" t="s">
        <v>94</v>
      </c>
      <c r="AE54" s="1">
        <f t="shared" si="8"/>
        <v>0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95</v>
      </c>
      <c r="B55" s="1" t="s">
        <v>38</v>
      </c>
      <c r="C55" s="1">
        <v>45</v>
      </c>
      <c r="D55" s="1">
        <v>95</v>
      </c>
      <c r="E55" s="1">
        <v>71</v>
      </c>
      <c r="F55" s="1">
        <v>56</v>
      </c>
      <c r="G55" s="7">
        <v>0.27</v>
      </c>
      <c r="H55" s="1"/>
      <c r="I55" s="1" t="s">
        <v>35</v>
      </c>
      <c r="J55" s="1"/>
      <c r="K55" s="1">
        <v>71</v>
      </c>
      <c r="L55" s="1">
        <f t="shared" si="9"/>
        <v>0</v>
      </c>
      <c r="M55" s="1"/>
      <c r="N55" s="1"/>
      <c r="O55" s="1">
        <v>72</v>
      </c>
      <c r="P55" s="1">
        <f t="shared" si="4"/>
        <v>14.2</v>
      </c>
      <c r="Q55" s="5">
        <f t="shared" si="10"/>
        <v>85</v>
      </c>
      <c r="R55" s="1">
        <f t="shared" si="6"/>
        <v>15</v>
      </c>
      <c r="S55" s="1">
        <f t="shared" si="7"/>
        <v>9.0140845070422539</v>
      </c>
      <c r="T55" s="1">
        <v>13.2</v>
      </c>
      <c r="U55" s="1">
        <v>13</v>
      </c>
      <c r="V55" s="1">
        <v>12.6</v>
      </c>
      <c r="W55" s="1">
        <v>16.2</v>
      </c>
      <c r="X55" s="1">
        <v>17.399999999999999</v>
      </c>
      <c r="Y55" s="1">
        <v>20.2</v>
      </c>
      <c r="Z55" s="1">
        <v>-0.2</v>
      </c>
      <c r="AA55" s="1">
        <v>19.2</v>
      </c>
      <c r="AB55" s="1">
        <v>0</v>
      </c>
      <c r="AC55" s="1">
        <v>0</v>
      </c>
      <c r="AD55" s="1"/>
      <c r="AE55" s="1">
        <f t="shared" si="8"/>
        <v>22.950000000000003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96</v>
      </c>
      <c r="B56" s="1" t="s">
        <v>38</v>
      </c>
      <c r="C56" s="1">
        <v>5</v>
      </c>
      <c r="D56" s="1">
        <v>454</v>
      </c>
      <c r="E56" s="1">
        <v>99</v>
      </c>
      <c r="F56" s="1">
        <v>348</v>
      </c>
      <c r="G56" s="7">
        <v>0.3</v>
      </c>
      <c r="H56" s="1">
        <v>60</v>
      </c>
      <c r="I56" s="1" t="s">
        <v>35</v>
      </c>
      <c r="J56" s="1"/>
      <c r="K56" s="1">
        <v>143</v>
      </c>
      <c r="L56" s="1">
        <f t="shared" si="9"/>
        <v>-44</v>
      </c>
      <c r="M56" s="1"/>
      <c r="N56" s="1"/>
      <c r="O56" s="1">
        <v>200</v>
      </c>
      <c r="P56" s="1">
        <f t="shared" si="4"/>
        <v>19.8</v>
      </c>
      <c r="Q56" s="5"/>
      <c r="R56" s="1">
        <f t="shared" si="6"/>
        <v>27.676767676767675</v>
      </c>
      <c r="S56" s="1">
        <f t="shared" si="7"/>
        <v>27.676767676767675</v>
      </c>
      <c r="T56" s="1">
        <v>15</v>
      </c>
      <c r="U56" s="1">
        <v>29.2</v>
      </c>
      <c r="V56" s="1">
        <v>13.8</v>
      </c>
      <c r="W56" s="1">
        <v>-0.2</v>
      </c>
      <c r="X56" s="1">
        <v>15.4</v>
      </c>
      <c r="Y56" s="1">
        <v>43.2</v>
      </c>
      <c r="Z56" s="1">
        <v>52.8</v>
      </c>
      <c r="AA56" s="1">
        <v>25.6</v>
      </c>
      <c r="AB56" s="1">
        <v>31</v>
      </c>
      <c r="AC56" s="1">
        <v>31.8</v>
      </c>
      <c r="AD56" s="1" t="s">
        <v>46</v>
      </c>
      <c r="AE56" s="1">
        <f t="shared" si="8"/>
        <v>0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97</v>
      </c>
      <c r="B57" s="1" t="s">
        <v>38</v>
      </c>
      <c r="C57" s="1">
        <v>491</v>
      </c>
      <c r="D57" s="1">
        <v>977</v>
      </c>
      <c r="E57" s="1">
        <v>746</v>
      </c>
      <c r="F57" s="1">
        <v>587</v>
      </c>
      <c r="G57" s="7">
        <v>0.41</v>
      </c>
      <c r="H57" s="1">
        <v>50</v>
      </c>
      <c r="I57" s="10" t="s">
        <v>45</v>
      </c>
      <c r="J57" s="1"/>
      <c r="K57" s="1">
        <v>752</v>
      </c>
      <c r="L57" s="1">
        <f t="shared" si="9"/>
        <v>-6</v>
      </c>
      <c r="M57" s="1"/>
      <c r="N57" s="1"/>
      <c r="O57" s="1">
        <v>848</v>
      </c>
      <c r="P57" s="1">
        <f t="shared" si="4"/>
        <v>149.19999999999999</v>
      </c>
      <c r="Q57" s="5">
        <f t="shared" si="10"/>
        <v>803</v>
      </c>
      <c r="R57" s="1">
        <f t="shared" si="6"/>
        <v>15.000000000000002</v>
      </c>
      <c r="S57" s="1">
        <f t="shared" si="7"/>
        <v>9.6179624664879366</v>
      </c>
      <c r="T57" s="1">
        <v>136.80000000000001</v>
      </c>
      <c r="U57" s="1">
        <v>122.8</v>
      </c>
      <c r="V57" s="1">
        <v>125</v>
      </c>
      <c r="W57" s="1">
        <v>129.80000000000001</v>
      </c>
      <c r="X57" s="1">
        <v>117.6</v>
      </c>
      <c r="Y57" s="1">
        <v>103</v>
      </c>
      <c r="Z57" s="1">
        <v>73</v>
      </c>
      <c r="AA57" s="1">
        <v>87.4</v>
      </c>
      <c r="AB57" s="1">
        <v>83.2</v>
      </c>
      <c r="AC57" s="1">
        <v>100.8</v>
      </c>
      <c r="AD57" s="1" t="s">
        <v>46</v>
      </c>
      <c r="AE57" s="1">
        <f t="shared" si="8"/>
        <v>329.22999999999996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2" t="s">
        <v>98</v>
      </c>
      <c r="B58" s="12" t="s">
        <v>38</v>
      </c>
      <c r="C58" s="12">
        <v>-16</v>
      </c>
      <c r="D58" s="12">
        <v>16</v>
      </c>
      <c r="E58" s="12"/>
      <c r="F58" s="12"/>
      <c r="G58" s="13">
        <v>0</v>
      </c>
      <c r="H58" s="12"/>
      <c r="I58" s="12" t="s">
        <v>99</v>
      </c>
      <c r="J58" s="12" t="s">
        <v>97</v>
      </c>
      <c r="K58" s="12"/>
      <c r="L58" s="12">
        <f t="shared" si="9"/>
        <v>0</v>
      </c>
      <c r="M58" s="12"/>
      <c r="N58" s="12"/>
      <c r="O58" s="12">
        <v>0</v>
      </c>
      <c r="P58" s="12">
        <f t="shared" si="4"/>
        <v>0</v>
      </c>
      <c r="Q58" s="14"/>
      <c r="R58" s="12" t="e">
        <f t="shared" si="6"/>
        <v>#DIV/0!</v>
      </c>
      <c r="S58" s="12" t="e">
        <f t="shared" si="7"/>
        <v>#DIV/0!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/>
      <c r="AE58" s="12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100</v>
      </c>
      <c r="B59" s="1" t="s">
        <v>34</v>
      </c>
      <c r="C59" s="1">
        <v>161.792</v>
      </c>
      <c r="D59" s="1">
        <v>1248.5550000000001</v>
      </c>
      <c r="E59" s="1">
        <v>325.40100000000001</v>
      </c>
      <c r="F59" s="1">
        <v>815.73800000000006</v>
      </c>
      <c r="G59" s="7">
        <v>1</v>
      </c>
      <c r="H59" s="1">
        <v>50</v>
      </c>
      <c r="I59" s="1" t="s">
        <v>35</v>
      </c>
      <c r="J59" s="1"/>
      <c r="K59" s="1">
        <v>345.9</v>
      </c>
      <c r="L59" s="1">
        <f t="shared" si="9"/>
        <v>-20.498999999999967</v>
      </c>
      <c r="M59" s="1"/>
      <c r="N59" s="1"/>
      <c r="O59" s="1">
        <v>600</v>
      </c>
      <c r="P59" s="1">
        <f t="shared" si="4"/>
        <v>65.080200000000005</v>
      </c>
      <c r="Q59" s="5"/>
      <c r="R59" s="1">
        <f t="shared" si="6"/>
        <v>21.753743842213144</v>
      </c>
      <c r="S59" s="1">
        <f t="shared" si="7"/>
        <v>21.753743842213144</v>
      </c>
      <c r="T59" s="1">
        <v>105.386</v>
      </c>
      <c r="U59" s="1">
        <v>127.5326</v>
      </c>
      <c r="V59" s="1">
        <v>79.505200000000002</v>
      </c>
      <c r="W59" s="1">
        <v>112.825</v>
      </c>
      <c r="X59" s="1">
        <v>123.32</v>
      </c>
      <c r="Y59" s="1">
        <v>98.82820000000001</v>
      </c>
      <c r="Z59" s="1">
        <v>121.4474</v>
      </c>
      <c r="AA59" s="1">
        <v>124.7012</v>
      </c>
      <c r="AB59" s="1">
        <v>114.2328</v>
      </c>
      <c r="AC59" s="1">
        <v>69.064999999999998</v>
      </c>
      <c r="AD59" s="1"/>
      <c r="AE59" s="1">
        <f t="shared" ref="AE59:AE86" si="11">G59*Q59</f>
        <v>0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 t="s">
        <v>101</v>
      </c>
      <c r="B60" s="1" t="s">
        <v>38</v>
      </c>
      <c r="C60" s="1">
        <v>285</v>
      </c>
      <c r="D60" s="1">
        <v>9</v>
      </c>
      <c r="E60" s="1">
        <v>46</v>
      </c>
      <c r="F60" s="1">
        <v>239</v>
      </c>
      <c r="G60" s="7">
        <v>0.35</v>
      </c>
      <c r="H60" s="1">
        <v>50</v>
      </c>
      <c r="I60" s="1" t="s">
        <v>35</v>
      </c>
      <c r="J60" s="1"/>
      <c r="K60" s="1">
        <v>49</v>
      </c>
      <c r="L60" s="1">
        <f t="shared" si="9"/>
        <v>-3</v>
      </c>
      <c r="M60" s="1"/>
      <c r="N60" s="1"/>
      <c r="O60" s="1">
        <v>100</v>
      </c>
      <c r="P60" s="1">
        <f t="shared" si="4"/>
        <v>9.1999999999999993</v>
      </c>
      <c r="Q60" s="5"/>
      <c r="R60" s="1">
        <f t="shared" si="6"/>
        <v>36.847826086956523</v>
      </c>
      <c r="S60" s="1">
        <f t="shared" si="7"/>
        <v>36.847826086956523</v>
      </c>
      <c r="T60" s="1">
        <v>4.2</v>
      </c>
      <c r="U60" s="1">
        <v>7</v>
      </c>
      <c r="V60" s="1">
        <v>12.8</v>
      </c>
      <c r="W60" s="1">
        <v>4.5999999999999996</v>
      </c>
      <c r="X60" s="1">
        <v>9.1999999999999993</v>
      </c>
      <c r="Y60" s="1">
        <v>6</v>
      </c>
      <c r="Z60" s="1">
        <v>8.1999999999999993</v>
      </c>
      <c r="AA60" s="1">
        <v>4.2</v>
      </c>
      <c r="AB60" s="1">
        <v>7.8</v>
      </c>
      <c r="AC60" s="1">
        <v>5.6</v>
      </c>
      <c r="AD60" s="17" t="s">
        <v>94</v>
      </c>
      <c r="AE60" s="1">
        <f t="shared" si="11"/>
        <v>0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102</v>
      </c>
      <c r="B61" s="1" t="s">
        <v>34</v>
      </c>
      <c r="C61" s="1">
        <v>14.177</v>
      </c>
      <c r="D61" s="1">
        <v>289.48700000000002</v>
      </c>
      <c r="E61" s="1">
        <v>15.707000000000001</v>
      </c>
      <c r="F61" s="1">
        <v>235.75</v>
      </c>
      <c r="G61" s="7">
        <v>1</v>
      </c>
      <c r="H61" s="1">
        <v>50</v>
      </c>
      <c r="I61" s="1" t="s">
        <v>35</v>
      </c>
      <c r="J61" s="1"/>
      <c r="K61" s="1">
        <v>15</v>
      </c>
      <c r="L61" s="1">
        <f t="shared" si="9"/>
        <v>0.70700000000000074</v>
      </c>
      <c r="M61" s="1"/>
      <c r="N61" s="1"/>
      <c r="O61" s="1">
        <v>150</v>
      </c>
      <c r="P61" s="1">
        <f t="shared" si="4"/>
        <v>3.1414</v>
      </c>
      <c r="Q61" s="5"/>
      <c r="R61" s="1">
        <f t="shared" si="6"/>
        <v>122.7955688546508</v>
      </c>
      <c r="S61" s="1">
        <f t="shared" si="7"/>
        <v>122.7955688546508</v>
      </c>
      <c r="T61" s="1">
        <v>11.3216</v>
      </c>
      <c r="U61" s="1">
        <v>15.835800000000001</v>
      </c>
      <c r="V61" s="1">
        <v>10.3026</v>
      </c>
      <c r="W61" s="1">
        <v>13.5976</v>
      </c>
      <c r="X61" s="1">
        <v>13.354799999999999</v>
      </c>
      <c r="Y61" s="1">
        <v>11.995200000000001</v>
      </c>
      <c r="Z61" s="1">
        <v>12.410600000000001</v>
      </c>
      <c r="AA61" s="1">
        <v>8.0703999999999994</v>
      </c>
      <c r="AB61" s="1">
        <v>14.8842</v>
      </c>
      <c r="AC61" s="1">
        <v>5.8064</v>
      </c>
      <c r="AD61" s="1"/>
      <c r="AE61" s="1">
        <f t="shared" si="11"/>
        <v>0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103</v>
      </c>
      <c r="B62" s="1" t="s">
        <v>38</v>
      </c>
      <c r="C62" s="1">
        <v>11</v>
      </c>
      <c r="D62" s="1">
        <v>1023</v>
      </c>
      <c r="E62" s="1">
        <v>304</v>
      </c>
      <c r="F62" s="1">
        <v>592</v>
      </c>
      <c r="G62" s="7">
        <v>0.41</v>
      </c>
      <c r="H62" s="1">
        <v>50</v>
      </c>
      <c r="I62" s="10" t="s">
        <v>45</v>
      </c>
      <c r="J62" s="1"/>
      <c r="K62" s="1">
        <v>437</v>
      </c>
      <c r="L62" s="1">
        <f t="shared" si="9"/>
        <v>-133</v>
      </c>
      <c r="M62" s="1"/>
      <c r="N62" s="1"/>
      <c r="O62" s="1">
        <v>600</v>
      </c>
      <c r="P62" s="1">
        <f t="shared" si="4"/>
        <v>60.8</v>
      </c>
      <c r="Q62" s="5"/>
      <c r="R62" s="1">
        <f t="shared" si="6"/>
        <v>19.605263157894736</v>
      </c>
      <c r="S62" s="1">
        <f t="shared" si="7"/>
        <v>19.605263157894736</v>
      </c>
      <c r="T62" s="1">
        <v>88.8</v>
      </c>
      <c r="U62" s="1">
        <v>107.6</v>
      </c>
      <c r="V62" s="1">
        <v>69.400000000000006</v>
      </c>
      <c r="W62" s="1">
        <v>73.8</v>
      </c>
      <c r="X62" s="1">
        <v>71.400000000000006</v>
      </c>
      <c r="Y62" s="1">
        <v>52.4</v>
      </c>
      <c r="Z62" s="1">
        <v>50.2</v>
      </c>
      <c r="AA62" s="1">
        <v>55</v>
      </c>
      <c r="AB62" s="1">
        <v>45.2</v>
      </c>
      <c r="AC62" s="1">
        <v>48.8</v>
      </c>
      <c r="AD62" s="1" t="s">
        <v>46</v>
      </c>
      <c r="AE62" s="1">
        <f t="shared" si="11"/>
        <v>0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104</v>
      </c>
      <c r="B63" s="1" t="s">
        <v>34</v>
      </c>
      <c r="C63" s="1">
        <v>288.61399999999998</v>
      </c>
      <c r="D63" s="1">
        <v>72.983000000000004</v>
      </c>
      <c r="E63" s="1">
        <v>119.681</v>
      </c>
      <c r="F63" s="1">
        <v>127.741</v>
      </c>
      <c r="G63" s="7">
        <v>1</v>
      </c>
      <c r="H63" s="1">
        <v>50</v>
      </c>
      <c r="I63" s="1" t="s">
        <v>35</v>
      </c>
      <c r="J63" s="1"/>
      <c r="K63" s="1">
        <v>117.8</v>
      </c>
      <c r="L63" s="1">
        <f t="shared" si="9"/>
        <v>1.8810000000000002</v>
      </c>
      <c r="M63" s="1"/>
      <c r="N63" s="1"/>
      <c r="O63" s="1">
        <v>315</v>
      </c>
      <c r="P63" s="1">
        <f t="shared" si="4"/>
        <v>23.936199999999999</v>
      </c>
      <c r="Q63" s="5"/>
      <c r="R63" s="1">
        <f t="shared" si="6"/>
        <v>18.496712092980506</v>
      </c>
      <c r="S63" s="1">
        <f t="shared" si="7"/>
        <v>18.496712092980506</v>
      </c>
      <c r="T63" s="1">
        <v>37.869</v>
      </c>
      <c r="U63" s="1">
        <v>22.273399999999999</v>
      </c>
      <c r="V63" s="1">
        <v>41.055199999999999</v>
      </c>
      <c r="W63" s="1">
        <v>31.539000000000001</v>
      </c>
      <c r="X63" s="1">
        <v>37.269799999999996</v>
      </c>
      <c r="Y63" s="1">
        <v>44.215200000000003</v>
      </c>
      <c r="Z63" s="1">
        <v>23.197399999999998</v>
      </c>
      <c r="AA63" s="1">
        <v>44.723799999999997</v>
      </c>
      <c r="AB63" s="1">
        <v>29.232600000000001</v>
      </c>
      <c r="AC63" s="1">
        <v>14.500999999999999</v>
      </c>
      <c r="AD63" s="1"/>
      <c r="AE63" s="1">
        <f t="shared" si="11"/>
        <v>0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 t="s">
        <v>105</v>
      </c>
      <c r="B64" s="1" t="s">
        <v>38</v>
      </c>
      <c r="C64" s="1">
        <v>2</v>
      </c>
      <c r="D64" s="1">
        <v>180</v>
      </c>
      <c r="E64" s="1">
        <v>89</v>
      </c>
      <c r="F64" s="1">
        <v>17</v>
      </c>
      <c r="G64" s="7">
        <v>0.3</v>
      </c>
      <c r="H64" s="1">
        <v>50</v>
      </c>
      <c r="I64" s="1" t="s">
        <v>35</v>
      </c>
      <c r="J64" s="1"/>
      <c r="K64" s="1">
        <v>120</v>
      </c>
      <c r="L64" s="1">
        <f t="shared" si="9"/>
        <v>-31</v>
      </c>
      <c r="M64" s="1"/>
      <c r="N64" s="1"/>
      <c r="O64" s="1">
        <v>237</v>
      </c>
      <c r="P64" s="1">
        <f t="shared" si="4"/>
        <v>17.8</v>
      </c>
      <c r="Q64" s="5">
        <f t="shared" ref="Q59:Q86" si="12">15*P64-O64-F64</f>
        <v>13</v>
      </c>
      <c r="R64" s="1">
        <f t="shared" si="6"/>
        <v>15</v>
      </c>
      <c r="S64" s="1">
        <f t="shared" si="7"/>
        <v>14.269662921348313</v>
      </c>
      <c r="T64" s="1">
        <v>29.4</v>
      </c>
      <c r="U64" s="1">
        <v>16.8</v>
      </c>
      <c r="V64" s="1">
        <v>18</v>
      </c>
      <c r="W64" s="1">
        <v>18.8</v>
      </c>
      <c r="X64" s="1">
        <v>15.6</v>
      </c>
      <c r="Y64" s="1">
        <v>18.600000000000001</v>
      </c>
      <c r="Z64" s="1">
        <v>11.2</v>
      </c>
      <c r="AA64" s="1">
        <v>10.199999999999999</v>
      </c>
      <c r="AB64" s="1">
        <v>19.600000000000001</v>
      </c>
      <c r="AC64" s="1">
        <v>12.6</v>
      </c>
      <c r="AD64" s="1"/>
      <c r="AE64" s="1">
        <f t="shared" si="11"/>
        <v>3.9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 t="s">
        <v>106</v>
      </c>
      <c r="B65" s="1" t="s">
        <v>38</v>
      </c>
      <c r="C65" s="1">
        <v>305</v>
      </c>
      <c r="D65" s="1">
        <v>823</v>
      </c>
      <c r="E65" s="1">
        <v>217</v>
      </c>
      <c r="F65" s="1">
        <v>789</v>
      </c>
      <c r="G65" s="7">
        <v>0.18</v>
      </c>
      <c r="H65" s="1">
        <v>50</v>
      </c>
      <c r="I65" s="1" t="s">
        <v>35</v>
      </c>
      <c r="J65" s="1"/>
      <c r="K65" s="1">
        <v>224</v>
      </c>
      <c r="L65" s="1">
        <f t="shared" si="9"/>
        <v>-7</v>
      </c>
      <c r="M65" s="1"/>
      <c r="N65" s="1"/>
      <c r="O65" s="1">
        <v>110</v>
      </c>
      <c r="P65" s="1">
        <f t="shared" si="4"/>
        <v>43.4</v>
      </c>
      <c r="Q65" s="5"/>
      <c r="R65" s="1">
        <f t="shared" si="6"/>
        <v>20.714285714285715</v>
      </c>
      <c r="S65" s="1">
        <f t="shared" si="7"/>
        <v>20.714285714285715</v>
      </c>
      <c r="T65" s="1">
        <v>45.6</v>
      </c>
      <c r="U65" s="1">
        <v>63.8</v>
      </c>
      <c r="V65" s="1">
        <v>63</v>
      </c>
      <c r="W65" s="1">
        <v>46.4</v>
      </c>
      <c r="X65" s="1">
        <v>48.6</v>
      </c>
      <c r="Y65" s="1">
        <v>62</v>
      </c>
      <c r="Z65" s="1">
        <v>67.8</v>
      </c>
      <c r="AA65" s="1">
        <v>38.6</v>
      </c>
      <c r="AB65" s="1">
        <v>70</v>
      </c>
      <c r="AC65" s="1">
        <v>55.8</v>
      </c>
      <c r="AD65" s="16" t="s">
        <v>161</v>
      </c>
      <c r="AE65" s="1">
        <f t="shared" si="11"/>
        <v>0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 t="s">
        <v>107</v>
      </c>
      <c r="B66" s="1" t="s">
        <v>38</v>
      </c>
      <c r="C66" s="1">
        <v>24</v>
      </c>
      <c r="D66" s="1">
        <v>8</v>
      </c>
      <c r="E66" s="1">
        <v>4</v>
      </c>
      <c r="F66" s="1">
        <v>28</v>
      </c>
      <c r="G66" s="7">
        <v>0.22</v>
      </c>
      <c r="H66" s="1">
        <v>120</v>
      </c>
      <c r="I66" s="1" t="s">
        <v>35</v>
      </c>
      <c r="J66" s="1"/>
      <c r="K66" s="1">
        <v>4</v>
      </c>
      <c r="L66" s="1">
        <f t="shared" si="9"/>
        <v>0</v>
      </c>
      <c r="M66" s="1"/>
      <c r="N66" s="1"/>
      <c r="O66" s="1"/>
      <c r="P66" s="1">
        <f t="shared" si="4"/>
        <v>0.8</v>
      </c>
      <c r="Q66" s="5"/>
      <c r="R66" s="1">
        <f t="shared" si="6"/>
        <v>35</v>
      </c>
      <c r="S66" s="1">
        <f t="shared" si="7"/>
        <v>35</v>
      </c>
      <c r="T66" s="1">
        <v>0.8</v>
      </c>
      <c r="U66" s="1">
        <v>2.4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7" t="s">
        <v>108</v>
      </c>
      <c r="AE66" s="1">
        <f t="shared" si="11"/>
        <v>0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 t="s">
        <v>109</v>
      </c>
      <c r="B67" s="1" t="s">
        <v>38</v>
      </c>
      <c r="C67" s="1">
        <v>2</v>
      </c>
      <c r="D67" s="1">
        <v>129</v>
      </c>
      <c r="E67" s="1">
        <v>67</v>
      </c>
      <c r="F67" s="1"/>
      <c r="G67" s="7">
        <v>0.84</v>
      </c>
      <c r="H67" s="1">
        <v>50</v>
      </c>
      <c r="I67" s="1" t="s">
        <v>35</v>
      </c>
      <c r="J67" s="1"/>
      <c r="K67" s="1">
        <v>72</v>
      </c>
      <c r="L67" s="1">
        <f t="shared" si="9"/>
        <v>-5</v>
      </c>
      <c r="M67" s="1"/>
      <c r="N67" s="1"/>
      <c r="O67" s="1">
        <v>200</v>
      </c>
      <c r="P67" s="1">
        <f t="shared" si="4"/>
        <v>13.4</v>
      </c>
      <c r="Q67" s="5"/>
      <c r="R67" s="1">
        <f t="shared" si="6"/>
        <v>14.925373134328359</v>
      </c>
      <c r="S67" s="1">
        <f t="shared" si="7"/>
        <v>14.925373134328359</v>
      </c>
      <c r="T67" s="1">
        <v>16.8</v>
      </c>
      <c r="U67" s="1">
        <v>9.1999999999999993</v>
      </c>
      <c r="V67" s="1">
        <v>9.6</v>
      </c>
      <c r="W67" s="1">
        <v>10</v>
      </c>
      <c r="X67" s="1">
        <v>14.2</v>
      </c>
      <c r="Y67" s="1">
        <v>4.5999999999999996</v>
      </c>
      <c r="Z67" s="1">
        <v>1.6</v>
      </c>
      <c r="AA67" s="1">
        <v>11.4</v>
      </c>
      <c r="AB67" s="1">
        <v>7</v>
      </c>
      <c r="AC67" s="1">
        <v>7.4</v>
      </c>
      <c r="AD67" s="1"/>
      <c r="AE67" s="1">
        <f t="shared" si="11"/>
        <v>0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 t="s">
        <v>110</v>
      </c>
      <c r="B68" s="1" t="s">
        <v>38</v>
      </c>
      <c r="C68" s="1">
        <v>730</v>
      </c>
      <c r="D68" s="1">
        <v>1118</v>
      </c>
      <c r="E68" s="1">
        <v>385</v>
      </c>
      <c r="F68" s="1">
        <v>1275</v>
      </c>
      <c r="G68" s="7">
        <v>0.35</v>
      </c>
      <c r="H68" s="1">
        <v>50</v>
      </c>
      <c r="I68" s="1" t="s">
        <v>35</v>
      </c>
      <c r="J68" s="1"/>
      <c r="K68" s="1">
        <v>381</v>
      </c>
      <c r="L68" s="1">
        <f t="shared" si="9"/>
        <v>4</v>
      </c>
      <c r="M68" s="1"/>
      <c r="N68" s="1"/>
      <c r="O68" s="1">
        <v>0</v>
      </c>
      <c r="P68" s="1">
        <f t="shared" si="4"/>
        <v>77</v>
      </c>
      <c r="Q68" s="5"/>
      <c r="R68" s="1">
        <f t="shared" si="6"/>
        <v>16.558441558441558</v>
      </c>
      <c r="S68" s="1">
        <f t="shared" si="7"/>
        <v>16.558441558441558</v>
      </c>
      <c r="T68" s="1">
        <v>63.2</v>
      </c>
      <c r="U68" s="1">
        <v>116.2</v>
      </c>
      <c r="V68" s="1">
        <v>122.4</v>
      </c>
      <c r="W68" s="1">
        <v>82.2</v>
      </c>
      <c r="X68" s="1">
        <v>90.6</v>
      </c>
      <c r="Y68" s="1">
        <v>105.6</v>
      </c>
      <c r="Z68" s="1">
        <v>81.599999999999994</v>
      </c>
      <c r="AA68" s="1">
        <v>96</v>
      </c>
      <c r="AB68" s="1">
        <v>93</v>
      </c>
      <c r="AC68" s="1">
        <v>73.400000000000006</v>
      </c>
      <c r="AD68" s="1"/>
      <c r="AE68" s="1">
        <f t="shared" si="11"/>
        <v>0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 t="s">
        <v>111</v>
      </c>
      <c r="B69" s="1" t="s">
        <v>38</v>
      </c>
      <c r="C69" s="1">
        <v>126</v>
      </c>
      <c r="D69" s="1">
        <v>356</v>
      </c>
      <c r="E69" s="1">
        <v>229</v>
      </c>
      <c r="F69" s="1">
        <v>231</v>
      </c>
      <c r="G69" s="7">
        <v>0.35</v>
      </c>
      <c r="H69" s="1"/>
      <c r="I69" s="1" t="s">
        <v>35</v>
      </c>
      <c r="J69" s="1"/>
      <c r="K69" s="1">
        <v>232</v>
      </c>
      <c r="L69" s="1">
        <f t="shared" si="9"/>
        <v>-3</v>
      </c>
      <c r="M69" s="1"/>
      <c r="N69" s="1"/>
      <c r="O69" s="1">
        <v>500</v>
      </c>
      <c r="P69" s="1">
        <f t="shared" si="4"/>
        <v>45.8</v>
      </c>
      <c r="Q69" s="5"/>
      <c r="R69" s="1">
        <f t="shared" si="6"/>
        <v>15.960698689956333</v>
      </c>
      <c r="S69" s="1">
        <f t="shared" si="7"/>
        <v>15.960698689956333</v>
      </c>
      <c r="T69" s="1">
        <v>55.2</v>
      </c>
      <c r="U69" s="1">
        <v>39.200000000000003</v>
      </c>
      <c r="V69" s="1">
        <v>43.2</v>
      </c>
      <c r="W69" s="1">
        <v>35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 t="s">
        <v>112</v>
      </c>
      <c r="AE69" s="1">
        <f t="shared" si="11"/>
        <v>0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 t="s">
        <v>113</v>
      </c>
      <c r="B70" s="1" t="s">
        <v>34</v>
      </c>
      <c r="C70" s="1">
        <v>435.92500000000001</v>
      </c>
      <c r="D70" s="1">
        <v>631.61300000000006</v>
      </c>
      <c r="E70" s="1">
        <v>207.62</v>
      </c>
      <c r="F70" s="1">
        <v>611.42600000000004</v>
      </c>
      <c r="G70" s="7">
        <v>1</v>
      </c>
      <c r="H70" s="1">
        <v>50</v>
      </c>
      <c r="I70" s="1" t="s">
        <v>35</v>
      </c>
      <c r="J70" s="1"/>
      <c r="K70" s="1">
        <v>196.2</v>
      </c>
      <c r="L70" s="1">
        <f t="shared" ref="L70:L100" si="13">E70-K70</f>
        <v>11.420000000000016</v>
      </c>
      <c r="M70" s="1"/>
      <c r="N70" s="1"/>
      <c r="O70" s="1">
        <v>200</v>
      </c>
      <c r="P70" s="1">
        <f t="shared" si="4"/>
        <v>41.524000000000001</v>
      </c>
      <c r="Q70" s="5"/>
      <c r="R70" s="1">
        <f t="shared" si="6"/>
        <v>19.541132838840188</v>
      </c>
      <c r="S70" s="1">
        <f t="shared" si="7"/>
        <v>19.541132838840188</v>
      </c>
      <c r="T70" s="1">
        <v>59.298800000000007</v>
      </c>
      <c r="U70" s="1">
        <v>60.036800000000007</v>
      </c>
      <c r="V70" s="1">
        <v>68.844000000000008</v>
      </c>
      <c r="W70" s="1">
        <v>29.391200000000001</v>
      </c>
      <c r="X70" s="1">
        <v>35.189399999999999</v>
      </c>
      <c r="Y70" s="1">
        <v>67.367999999999995</v>
      </c>
      <c r="Z70" s="1">
        <v>35.150799999999997</v>
      </c>
      <c r="AA70" s="1">
        <v>52.886000000000003</v>
      </c>
      <c r="AB70" s="1">
        <v>31.279</v>
      </c>
      <c r="AC70" s="1">
        <v>28.452000000000002</v>
      </c>
      <c r="AD70" s="16" t="s">
        <v>161</v>
      </c>
      <c r="AE70" s="1">
        <f t="shared" si="11"/>
        <v>0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 t="s">
        <v>114</v>
      </c>
      <c r="B71" s="1" t="s">
        <v>34</v>
      </c>
      <c r="C71" s="1">
        <v>519.17200000000003</v>
      </c>
      <c r="D71" s="1">
        <v>613.87</v>
      </c>
      <c r="E71" s="1">
        <v>183.65700000000001</v>
      </c>
      <c r="F71" s="1">
        <v>727.18700000000001</v>
      </c>
      <c r="G71" s="7">
        <v>1</v>
      </c>
      <c r="H71" s="1">
        <v>50</v>
      </c>
      <c r="I71" s="1" t="s">
        <v>35</v>
      </c>
      <c r="J71" s="1"/>
      <c r="K71" s="1">
        <v>177.5</v>
      </c>
      <c r="L71" s="1">
        <f t="shared" si="13"/>
        <v>6.1570000000000107</v>
      </c>
      <c r="M71" s="1"/>
      <c r="N71" s="1"/>
      <c r="O71" s="1">
        <v>100</v>
      </c>
      <c r="P71" s="1">
        <f t="shared" ref="P71:P104" si="14">E71/5</f>
        <v>36.731400000000001</v>
      </c>
      <c r="Q71" s="5"/>
      <c r="R71" s="1">
        <f t="shared" ref="R71:R104" si="15">(F71+O71+Q71)/P71</f>
        <v>22.519887616589621</v>
      </c>
      <c r="S71" s="1">
        <f t="shared" ref="S71:S104" si="16">(F71+O71)/P71</f>
        <v>22.519887616589621</v>
      </c>
      <c r="T71" s="1">
        <v>60.394000000000013</v>
      </c>
      <c r="U71" s="1">
        <v>68.526800000000009</v>
      </c>
      <c r="V71" s="1">
        <v>70.324399999999997</v>
      </c>
      <c r="W71" s="1">
        <v>26.7746</v>
      </c>
      <c r="X71" s="1">
        <v>56.224200000000003</v>
      </c>
      <c r="Y71" s="1">
        <v>77.818399999999997</v>
      </c>
      <c r="Z71" s="1">
        <v>32.770200000000003</v>
      </c>
      <c r="AA71" s="1">
        <v>55.198</v>
      </c>
      <c r="AB71" s="1">
        <v>53.136600000000001</v>
      </c>
      <c r="AC71" s="1">
        <v>30.6296</v>
      </c>
      <c r="AD71" s="16" t="s">
        <v>161</v>
      </c>
      <c r="AE71" s="1">
        <f t="shared" si="11"/>
        <v>0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 t="s">
        <v>115</v>
      </c>
      <c r="B72" s="1" t="s">
        <v>38</v>
      </c>
      <c r="C72" s="1">
        <v>864</v>
      </c>
      <c r="D72" s="1">
        <v>121</v>
      </c>
      <c r="E72" s="1">
        <v>191</v>
      </c>
      <c r="F72" s="1">
        <v>719</v>
      </c>
      <c r="G72" s="7">
        <v>0.35</v>
      </c>
      <c r="H72" s="1">
        <v>50</v>
      </c>
      <c r="I72" s="1" t="s">
        <v>35</v>
      </c>
      <c r="J72" s="1"/>
      <c r="K72" s="1">
        <v>204</v>
      </c>
      <c r="L72" s="1">
        <f t="shared" si="13"/>
        <v>-13</v>
      </c>
      <c r="M72" s="1"/>
      <c r="N72" s="1"/>
      <c r="O72" s="1">
        <v>250</v>
      </c>
      <c r="P72" s="1">
        <f t="shared" si="14"/>
        <v>38.200000000000003</v>
      </c>
      <c r="Q72" s="5"/>
      <c r="R72" s="1">
        <f t="shared" si="15"/>
        <v>25.366492146596858</v>
      </c>
      <c r="S72" s="1">
        <f t="shared" si="16"/>
        <v>25.366492146596858</v>
      </c>
      <c r="T72" s="1">
        <v>23.4</v>
      </c>
      <c r="U72" s="1">
        <v>53.4</v>
      </c>
      <c r="V72" s="1">
        <v>62</v>
      </c>
      <c r="W72" s="1">
        <v>40</v>
      </c>
      <c r="X72" s="1">
        <v>41.8</v>
      </c>
      <c r="Y72" s="1">
        <v>65.599999999999994</v>
      </c>
      <c r="Z72" s="1">
        <v>34.200000000000003</v>
      </c>
      <c r="AA72" s="1">
        <v>34.4</v>
      </c>
      <c r="AB72" s="1">
        <v>63.8</v>
      </c>
      <c r="AC72" s="1">
        <v>44.2</v>
      </c>
      <c r="AD72" s="16" t="s">
        <v>161</v>
      </c>
      <c r="AE72" s="1">
        <f t="shared" si="11"/>
        <v>0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 t="s">
        <v>116</v>
      </c>
      <c r="B73" s="1" t="s">
        <v>38</v>
      </c>
      <c r="C73" s="1">
        <v>97</v>
      </c>
      <c r="D73" s="1">
        <v>23</v>
      </c>
      <c r="E73" s="1">
        <v>74</v>
      </c>
      <c r="F73" s="1">
        <v>23</v>
      </c>
      <c r="G73" s="7">
        <v>0.3</v>
      </c>
      <c r="H73" s="1">
        <v>50</v>
      </c>
      <c r="I73" s="1" t="s">
        <v>35</v>
      </c>
      <c r="J73" s="1"/>
      <c r="K73" s="1">
        <v>76</v>
      </c>
      <c r="L73" s="1">
        <f t="shared" si="13"/>
        <v>-2</v>
      </c>
      <c r="M73" s="1"/>
      <c r="N73" s="1"/>
      <c r="O73" s="1">
        <v>63</v>
      </c>
      <c r="P73" s="1">
        <f t="shared" si="14"/>
        <v>14.8</v>
      </c>
      <c r="Q73" s="5">
        <f>14*P73-O73-F73</f>
        <v>121.20000000000002</v>
      </c>
      <c r="R73" s="1">
        <f t="shared" si="15"/>
        <v>14</v>
      </c>
      <c r="S73" s="1">
        <f t="shared" si="16"/>
        <v>5.8108108108108105</v>
      </c>
      <c r="T73" s="1">
        <v>10.4</v>
      </c>
      <c r="U73" s="1">
        <v>10.6</v>
      </c>
      <c r="V73" s="1">
        <v>14.8</v>
      </c>
      <c r="W73" s="1">
        <v>14.8</v>
      </c>
      <c r="X73" s="1">
        <v>13.2</v>
      </c>
      <c r="Y73" s="1">
        <v>13.4</v>
      </c>
      <c r="Z73" s="1">
        <v>12.4</v>
      </c>
      <c r="AA73" s="1">
        <v>9</v>
      </c>
      <c r="AB73" s="1">
        <v>14.2</v>
      </c>
      <c r="AC73" s="1">
        <v>17.600000000000001</v>
      </c>
      <c r="AD73" s="1"/>
      <c r="AE73" s="1">
        <f t="shared" si="11"/>
        <v>36.360000000000007</v>
      </c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 t="s">
        <v>117</v>
      </c>
      <c r="B74" s="1" t="s">
        <v>38</v>
      </c>
      <c r="C74" s="1">
        <v>66</v>
      </c>
      <c r="D74" s="1">
        <v>243</v>
      </c>
      <c r="E74" s="1">
        <v>110</v>
      </c>
      <c r="F74" s="1">
        <v>176</v>
      </c>
      <c r="G74" s="7">
        <v>0.3</v>
      </c>
      <c r="H74" s="1">
        <v>60</v>
      </c>
      <c r="I74" s="1" t="s">
        <v>35</v>
      </c>
      <c r="J74" s="1"/>
      <c r="K74" s="1">
        <v>110</v>
      </c>
      <c r="L74" s="1">
        <f t="shared" si="13"/>
        <v>0</v>
      </c>
      <c r="M74" s="1"/>
      <c r="N74" s="1"/>
      <c r="O74" s="1">
        <v>150</v>
      </c>
      <c r="P74" s="1">
        <f t="shared" si="14"/>
        <v>22</v>
      </c>
      <c r="Q74" s="5">
        <v>8</v>
      </c>
      <c r="R74" s="1">
        <f t="shared" si="15"/>
        <v>15.181818181818182</v>
      </c>
      <c r="S74" s="1">
        <f t="shared" si="16"/>
        <v>14.818181818181818</v>
      </c>
      <c r="T74" s="1">
        <v>10.4</v>
      </c>
      <c r="U74" s="1">
        <v>19</v>
      </c>
      <c r="V74" s="1">
        <v>16.2</v>
      </c>
      <c r="W74" s="1">
        <v>15.6</v>
      </c>
      <c r="X74" s="1">
        <v>16.2</v>
      </c>
      <c r="Y74" s="1">
        <v>17.2</v>
      </c>
      <c r="Z74" s="1">
        <v>16.600000000000001</v>
      </c>
      <c r="AA74" s="1">
        <v>17</v>
      </c>
      <c r="AB74" s="1">
        <v>19.600000000000001</v>
      </c>
      <c r="AC74" s="1">
        <v>15.6</v>
      </c>
      <c r="AD74" s="1"/>
      <c r="AE74" s="1">
        <f t="shared" si="11"/>
        <v>2.4</v>
      </c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 t="s">
        <v>118</v>
      </c>
      <c r="B75" s="1" t="s">
        <v>38</v>
      </c>
      <c r="C75" s="1">
        <v>193</v>
      </c>
      <c r="D75" s="1">
        <v>266</v>
      </c>
      <c r="E75" s="1">
        <v>161</v>
      </c>
      <c r="F75" s="1">
        <v>263</v>
      </c>
      <c r="G75" s="7">
        <v>0.28000000000000003</v>
      </c>
      <c r="H75" s="1">
        <v>50</v>
      </c>
      <c r="I75" s="1" t="s">
        <v>35</v>
      </c>
      <c r="J75" s="1"/>
      <c r="K75" s="1">
        <v>167</v>
      </c>
      <c r="L75" s="1">
        <f t="shared" si="13"/>
        <v>-6</v>
      </c>
      <c r="M75" s="1"/>
      <c r="N75" s="1"/>
      <c r="O75" s="1">
        <v>150</v>
      </c>
      <c r="P75" s="1">
        <f t="shared" si="14"/>
        <v>32.200000000000003</v>
      </c>
      <c r="Q75" s="5">
        <f t="shared" si="12"/>
        <v>70.000000000000057</v>
      </c>
      <c r="R75" s="1">
        <f t="shared" si="15"/>
        <v>15</v>
      </c>
      <c r="S75" s="1">
        <f t="shared" si="16"/>
        <v>12.826086956521738</v>
      </c>
      <c r="T75" s="1">
        <v>25.6</v>
      </c>
      <c r="U75" s="1">
        <v>30</v>
      </c>
      <c r="V75" s="1">
        <v>34.799999999999997</v>
      </c>
      <c r="W75" s="1">
        <v>24.2</v>
      </c>
      <c r="X75" s="1">
        <v>27.8</v>
      </c>
      <c r="Y75" s="1">
        <v>28.6</v>
      </c>
      <c r="Z75" s="1">
        <v>31</v>
      </c>
      <c r="AA75" s="1">
        <v>33.799999999999997</v>
      </c>
      <c r="AB75" s="1">
        <v>38.6</v>
      </c>
      <c r="AC75" s="1">
        <v>27.8</v>
      </c>
      <c r="AD75" s="1"/>
      <c r="AE75" s="1">
        <f t="shared" si="11"/>
        <v>19.600000000000019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 t="s">
        <v>119</v>
      </c>
      <c r="B76" s="1" t="s">
        <v>38</v>
      </c>
      <c r="C76" s="1">
        <v>366</v>
      </c>
      <c r="D76" s="1">
        <v>48</v>
      </c>
      <c r="E76" s="1">
        <v>181</v>
      </c>
      <c r="F76" s="1">
        <v>171</v>
      </c>
      <c r="G76" s="7">
        <v>0.28000000000000003</v>
      </c>
      <c r="H76" s="1">
        <v>45</v>
      </c>
      <c r="I76" s="1" t="s">
        <v>35</v>
      </c>
      <c r="J76" s="1"/>
      <c r="K76" s="1">
        <v>187</v>
      </c>
      <c r="L76" s="1">
        <f t="shared" si="13"/>
        <v>-6</v>
      </c>
      <c r="M76" s="1"/>
      <c r="N76" s="1"/>
      <c r="O76" s="1">
        <v>300</v>
      </c>
      <c r="P76" s="1">
        <f t="shared" si="14"/>
        <v>36.200000000000003</v>
      </c>
      <c r="Q76" s="5">
        <f t="shared" si="12"/>
        <v>72</v>
      </c>
      <c r="R76" s="1">
        <f t="shared" si="15"/>
        <v>14.999999999999998</v>
      </c>
      <c r="S76" s="1">
        <f t="shared" si="16"/>
        <v>13.011049723756905</v>
      </c>
      <c r="T76" s="1">
        <v>39.200000000000003</v>
      </c>
      <c r="U76" s="1">
        <v>26.8</v>
      </c>
      <c r="V76" s="1">
        <v>50.2</v>
      </c>
      <c r="W76" s="1">
        <v>40.4</v>
      </c>
      <c r="X76" s="1">
        <v>33.4</v>
      </c>
      <c r="Y76" s="1">
        <v>42.8</v>
      </c>
      <c r="Z76" s="1">
        <v>31.2</v>
      </c>
      <c r="AA76" s="1">
        <v>33.6</v>
      </c>
      <c r="AB76" s="1">
        <v>43.8</v>
      </c>
      <c r="AC76" s="1">
        <v>38</v>
      </c>
      <c r="AD76" s="1"/>
      <c r="AE76" s="1">
        <f t="shared" si="11"/>
        <v>20.160000000000004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 t="s">
        <v>120</v>
      </c>
      <c r="B77" s="1" t="s">
        <v>38</v>
      </c>
      <c r="C77" s="1">
        <v>204</v>
      </c>
      <c r="D77" s="1">
        <v>1139</v>
      </c>
      <c r="E77" s="1">
        <v>545</v>
      </c>
      <c r="F77" s="1">
        <v>695</v>
      </c>
      <c r="G77" s="7">
        <v>0.28000000000000003</v>
      </c>
      <c r="H77" s="1">
        <v>45</v>
      </c>
      <c r="I77" s="1" t="s">
        <v>35</v>
      </c>
      <c r="J77" s="1"/>
      <c r="K77" s="1">
        <v>548</v>
      </c>
      <c r="L77" s="1">
        <f t="shared" si="13"/>
        <v>-3</v>
      </c>
      <c r="M77" s="1"/>
      <c r="N77" s="1"/>
      <c r="O77" s="1">
        <v>600</v>
      </c>
      <c r="P77" s="1">
        <f t="shared" si="14"/>
        <v>109</v>
      </c>
      <c r="Q77" s="5">
        <f t="shared" si="12"/>
        <v>340</v>
      </c>
      <c r="R77" s="1">
        <f t="shared" si="15"/>
        <v>15</v>
      </c>
      <c r="S77" s="1">
        <f t="shared" si="16"/>
        <v>11.880733944954128</v>
      </c>
      <c r="T77" s="1">
        <v>117.8</v>
      </c>
      <c r="U77" s="1">
        <v>130.80000000000001</v>
      </c>
      <c r="V77" s="1">
        <v>98.6</v>
      </c>
      <c r="W77" s="1">
        <v>101.2</v>
      </c>
      <c r="X77" s="1">
        <v>97.2</v>
      </c>
      <c r="Y77" s="1">
        <v>82.4</v>
      </c>
      <c r="Z77" s="1">
        <v>91.8</v>
      </c>
      <c r="AA77" s="1">
        <v>89.8</v>
      </c>
      <c r="AB77" s="1">
        <v>101</v>
      </c>
      <c r="AC77" s="1">
        <v>72.400000000000006</v>
      </c>
      <c r="AD77" s="1"/>
      <c r="AE77" s="1">
        <f t="shared" si="11"/>
        <v>95.2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 t="s">
        <v>121</v>
      </c>
      <c r="B78" s="1" t="s">
        <v>38</v>
      </c>
      <c r="C78" s="1">
        <v>216</v>
      </c>
      <c r="D78" s="1">
        <v>415</v>
      </c>
      <c r="E78" s="1">
        <v>124</v>
      </c>
      <c r="F78" s="1">
        <v>461</v>
      </c>
      <c r="G78" s="7">
        <v>0.4</v>
      </c>
      <c r="H78" s="1">
        <v>50</v>
      </c>
      <c r="I78" s="1" t="s">
        <v>35</v>
      </c>
      <c r="J78" s="1"/>
      <c r="K78" s="1">
        <v>127</v>
      </c>
      <c r="L78" s="1">
        <f t="shared" si="13"/>
        <v>-3</v>
      </c>
      <c r="M78" s="1"/>
      <c r="N78" s="1"/>
      <c r="O78" s="1">
        <v>150</v>
      </c>
      <c r="P78" s="1">
        <f t="shared" si="14"/>
        <v>24.8</v>
      </c>
      <c r="Q78" s="5"/>
      <c r="R78" s="1">
        <f t="shared" si="15"/>
        <v>24.637096774193548</v>
      </c>
      <c r="S78" s="1">
        <f t="shared" si="16"/>
        <v>24.637096774193548</v>
      </c>
      <c r="T78" s="1">
        <v>30.8</v>
      </c>
      <c r="U78" s="1">
        <v>42.2</v>
      </c>
      <c r="V78" s="1">
        <v>40.200000000000003</v>
      </c>
      <c r="W78" s="1">
        <v>32.4</v>
      </c>
      <c r="X78" s="1">
        <v>40.200000000000003</v>
      </c>
      <c r="Y78" s="1">
        <v>36.200000000000003</v>
      </c>
      <c r="Z78" s="1">
        <v>36.799999999999997</v>
      </c>
      <c r="AA78" s="1">
        <v>26.6</v>
      </c>
      <c r="AB78" s="1">
        <v>27.8</v>
      </c>
      <c r="AC78" s="1">
        <v>37.4</v>
      </c>
      <c r="AD78" s="16" t="s">
        <v>161</v>
      </c>
      <c r="AE78" s="1">
        <f t="shared" si="11"/>
        <v>0</v>
      </c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 t="s">
        <v>122</v>
      </c>
      <c r="B79" s="1" t="s">
        <v>34</v>
      </c>
      <c r="C79" s="1">
        <v>-1.6619999999999999</v>
      </c>
      <c r="D79" s="1">
        <v>289.44400000000002</v>
      </c>
      <c r="E79" s="1">
        <v>187.226</v>
      </c>
      <c r="F79" s="1">
        <v>28.126000000000001</v>
      </c>
      <c r="G79" s="7">
        <v>1</v>
      </c>
      <c r="H79" s="1">
        <v>30</v>
      </c>
      <c r="I79" s="1" t="s">
        <v>35</v>
      </c>
      <c r="J79" s="1"/>
      <c r="K79" s="1">
        <v>184.03</v>
      </c>
      <c r="L79" s="1">
        <f t="shared" si="13"/>
        <v>3.195999999999998</v>
      </c>
      <c r="M79" s="1"/>
      <c r="N79" s="1"/>
      <c r="O79" s="1">
        <v>700</v>
      </c>
      <c r="P79" s="1">
        <f t="shared" si="14"/>
        <v>37.4452</v>
      </c>
      <c r="Q79" s="5"/>
      <c r="R79" s="1">
        <f t="shared" si="15"/>
        <v>19.445109119459904</v>
      </c>
      <c r="S79" s="1">
        <f t="shared" si="16"/>
        <v>19.445109119459904</v>
      </c>
      <c r="T79" s="1">
        <v>10.79</v>
      </c>
      <c r="U79" s="1">
        <v>6.1048</v>
      </c>
      <c r="V79" s="1">
        <v>25.026399999999999</v>
      </c>
      <c r="W79" s="1">
        <v>19.0764</v>
      </c>
      <c r="X79" s="1">
        <v>11.9458</v>
      </c>
      <c r="Y79" s="1">
        <v>14.8004</v>
      </c>
      <c r="Z79" s="1">
        <v>8.9665999999999997</v>
      </c>
      <c r="AA79" s="1">
        <v>8.8193999999999999</v>
      </c>
      <c r="AB79" s="1">
        <v>10.5128</v>
      </c>
      <c r="AC79" s="1">
        <v>9.5676000000000005</v>
      </c>
      <c r="AD79" s="1" t="s">
        <v>36</v>
      </c>
      <c r="AE79" s="1">
        <f t="shared" si="11"/>
        <v>0</v>
      </c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 t="s">
        <v>123</v>
      </c>
      <c r="B80" s="1" t="s">
        <v>38</v>
      </c>
      <c r="C80" s="1">
        <v>19</v>
      </c>
      <c r="D80" s="1"/>
      <c r="E80" s="1">
        <v>2</v>
      </c>
      <c r="F80" s="1">
        <v>17</v>
      </c>
      <c r="G80" s="7">
        <v>0.33800000000000002</v>
      </c>
      <c r="H80" s="1" t="s">
        <v>124</v>
      </c>
      <c r="I80" s="1" t="s">
        <v>35</v>
      </c>
      <c r="J80" s="1"/>
      <c r="K80" s="1">
        <v>2</v>
      </c>
      <c r="L80" s="1">
        <f t="shared" si="13"/>
        <v>0</v>
      </c>
      <c r="M80" s="1"/>
      <c r="N80" s="1"/>
      <c r="O80" s="1">
        <v>42</v>
      </c>
      <c r="P80" s="1">
        <f t="shared" si="14"/>
        <v>0.4</v>
      </c>
      <c r="Q80" s="5"/>
      <c r="R80" s="1">
        <f t="shared" si="15"/>
        <v>147.5</v>
      </c>
      <c r="S80" s="1">
        <f t="shared" si="16"/>
        <v>147.5</v>
      </c>
      <c r="T80" s="1">
        <v>5.4</v>
      </c>
      <c r="U80" s="1">
        <v>0.4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7" t="s">
        <v>108</v>
      </c>
      <c r="AE80" s="1">
        <f t="shared" si="11"/>
        <v>0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9" t="s">
        <v>125</v>
      </c>
      <c r="B81" s="1" t="s">
        <v>38</v>
      </c>
      <c r="C81" s="1"/>
      <c r="D81" s="1">
        <v>54</v>
      </c>
      <c r="E81" s="1"/>
      <c r="F81" s="1">
        <v>54</v>
      </c>
      <c r="G81" s="7">
        <v>0.32500000000000001</v>
      </c>
      <c r="H81" s="1" t="s">
        <v>124</v>
      </c>
      <c r="I81" s="1" t="s">
        <v>35</v>
      </c>
      <c r="J81" s="1"/>
      <c r="K81" s="1"/>
      <c r="L81" s="1">
        <f t="shared" si="13"/>
        <v>0</v>
      </c>
      <c r="M81" s="1"/>
      <c r="N81" s="1"/>
      <c r="O81" s="1">
        <v>50</v>
      </c>
      <c r="P81" s="1">
        <f t="shared" si="14"/>
        <v>0</v>
      </c>
      <c r="Q81" s="5"/>
      <c r="R81" s="1" t="e">
        <f t="shared" si="15"/>
        <v>#DIV/0!</v>
      </c>
      <c r="S81" s="1" t="e">
        <f t="shared" si="16"/>
        <v>#DIV/0!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 t="s">
        <v>36</v>
      </c>
      <c r="AE81" s="1">
        <f t="shared" si="11"/>
        <v>0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 t="s">
        <v>126</v>
      </c>
      <c r="B82" s="1" t="s">
        <v>38</v>
      </c>
      <c r="C82" s="1">
        <v>548</v>
      </c>
      <c r="D82" s="1">
        <v>175</v>
      </c>
      <c r="E82" s="1">
        <v>179</v>
      </c>
      <c r="F82" s="1">
        <v>531</v>
      </c>
      <c r="G82" s="7">
        <v>0.12</v>
      </c>
      <c r="H82" s="1">
        <v>60</v>
      </c>
      <c r="I82" s="1" t="s">
        <v>35</v>
      </c>
      <c r="J82" s="1"/>
      <c r="K82" s="1">
        <v>178</v>
      </c>
      <c r="L82" s="1">
        <f t="shared" si="13"/>
        <v>1</v>
      </c>
      <c r="M82" s="1"/>
      <c r="N82" s="1"/>
      <c r="O82" s="1">
        <v>200</v>
      </c>
      <c r="P82" s="1">
        <f t="shared" si="14"/>
        <v>35.799999999999997</v>
      </c>
      <c r="Q82" s="5"/>
      <c r="R82" s="1">
        <f t="shared" si="15"/>
        <v>20.418994413407823</v>
      </c>
      <c r="S82" s="1">
        <f t="shared" si="16"/>
        <v>20.418994413407823</v>
      </c>
      <c r="T82" s="1">
        <v>20.6</v>
      </c>
      <c r="U82" s="1">
        <v>37.200000000000003</v>
      </c>
      <c r="V82" s="1">
        <v>42.4</v>
      </c>
      <c r="W82" s="1">
        <v>23.8</v>
      </c>
      <c r="X82" s="1">
        <v>27.4</v>
      </c>
      <c r="Y82" s="1">
        <v>28.2</v>
      </c>
      <c r="Z82" s="1">
        <v>22.2</v>
      </c>
      <c r="AA82" s="1">
        <v>25</v>
      </c>
      <c r="AB82" s="1">
        <v>29</v>
      </c>
      <c r="AC82" s="1">
        <v>27.4</v>
      </c>
      <c r="AD82" s="16" t="s">
        <v>161</v>
      </c>
      <c r="AE82" s="1">
        <f t="shared" si="11"/>
        <v>0</v>
      </c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 t="s">
        <v>127</v>
      </c>
      <c r="B83" s="1" t="s">
        <v>38</v>
      </c>
      <c r="C83" s="1">
        <v>194</v>
      </c>
      <c r="D83" s="1">
        <v>144</v>
      </c>
      <c r="E83" s="1">
        <v>24</v>
      </c>
      <c r="F83" s="1">
        <v>313</v>
      </c>
      <c r="G83" s="7">
        <v>0.15</v>
      </c>
      <c r="H83" s="1">
        <v>90</v>
      </c>
      <c r="I83" s="1" t="s">
        <v>35</v>
      </c>
      <c r="J83" s="1"/>
      <c r="K83" s="1">
        <v>24</v>
      </c>
      <c r="L83" s="1">
        <f t="shared" si="13"/>
        <v>0</v>
      </c>
      <c r="M83" s="1"/>
      <c r="N83" s="1"/>
      <c r="O83" s="1">
        <v>50</v>
      </c>
      <c r="P83" s="1">
        <f t="shared" si="14"/>
        <v>4.8</v>
      </c>
      <c r="Q83" s="5"/>
      <c r="R83" s="1">
        <f t="shared" si="15"/>
        <v>75.625</v>
      </c>
      <c r="S83" s="1">
        <f t="shared" si="16"/>
        <v>75.625</v>
      </c>
      <c r="T83" s="1">
        <v>0.8</v>
      </c>
      <c r="U83" s="1">
        <v>5.4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7" t="s">
        <v>108</v>
      </c>
      <c r="AE83" s="1">
        <f t="shared" si="11"/>
        <v>0</v>
      </c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 t="s">
        <v>128</v>
      </c>
      <c r="B84" s="1" t="s">
        <v>38</v>
      </c>
      <c r="C84" s="1">
        <v>136</v>
      </c>
      <c r="D84" s="1">
        <v>96</v>
      </c>
      <c r="E84" s="1">
        <v>36</v>
      </c>
      <c r="F84" s="1">
        <v>195</v>
      </c>
      <c r="G84" s="7">
        <v>0.15</v>
      </c>
      <c r="H84" s="1">
        <v>90</v>
      </c>
      <c r="I84" s="1" t="s">
        <v>35</v>
      </c>
      <c r="J84" s="1"/>
      <c r="K84" s="1">
        <v>36</v>
      </c>
      <c r="L84" s="1">
        <f t="shared" si="13"/>
        <v>0</v>
      </c>
      <c r="M84" s="1"/>
      <c r="N84" s="1"/>
      <c r="O84" s="1">
        <v>50</v>
      </c>
      <c r="P84" s="1">
        <f t="shared" si="14"/>
        <v>7.2</v>
      </c>
      <c r="Q84" s="5"/>
      <c r="R84" s="1">
        <f t="shared" si="15"/>
        <v>34.027777777777779</v>
      </c>
      <c r="S84" s="1">
        <f t="shared" si="16"/>
        <v>34.027777777777779</v>
      </c>
      <c r="T84" s="1">
        <v>3.8</v>
      </c>
      <c r="U84" s="1">
        <v>5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7" t="s">
        <v>108</v>
      </c>
      <c r="AE84" s="1">
        <f t="shared" si="11"/>
        <v>0</v>
      </c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 t="s">
        <v>129</v>
      </c>
      <c r="B85" s="1" t="s">
        <v>38</v>
      </c>
      <c r="C85" s="1">
        <v>135</v>
      </c>
      <c r="D85" s="1">
        <v>83</v>
      </c>
      <c r="E85" s="1">
        <v>85</v>
      </c>
      <c r="F85" s="1">
        <v>120</v>
      </c>
      <c r="G85" s="7">
        <v>0.33</v>
      </c>
      <c r="H85" s="1">
        <v>30</v>
      </c>
      <c r="I85" s="1" t="s">
        <v>35</v>
      </c>
      <c r="J85" s="1"/>
      <c r="K85" s="1">
        <v>93</v>
      </c>
      <c r="L85" s="1">
        <f t="shared" si="13"/>
        <v>-8</v>
      </c>
      <c r="M85" s="1"/>
      <c r="N85" s="1"/>
      <c r="O85" s="1">
        <v>80</v>
      </c>
      <c r="P85" s="1">
        <f t="shared" si="14"/>
        <v>17</v>
      </c>
      <c r="Q85" s="5">
        <f t="shared" si="12"/>
        <v>55</v>
      </c>
      <c r="R85" s="1">
        <f t="shared" si="15"/>
        <v>15</v>
      </c>
      <c r="S85" s="1">
        <f t="shared" si="16"/>
        <v>11.764705882352942</v>
      </c>
      <c r="T85" s="1">
        <v>13.8</v>
      </c>
      <c r="U85" s="1">
        <v>17</v>
      </c>
      <c r="V85" s="1">
        <v>22.4</v>
      </c>
      <c r="W85" s="1">
        <v>17.600000000000001</v>
      </c>
      <c r="X85" s="1">
        <v>15</v>
      </c>
      <c r="Y85" s="1">
        <v>17</v>
      </c>
      <c r="Z85" s="1">
        <v>9.8000000000000007</v>
      </c>
      <c r="AA85" s="1">
        <v>5</v>
      </c>
      <c r="AB85" s="1">
        <v>13</v>
      </c>
      <c r="AC85" s="1">
        <v>9.4</v>
      </c>
      <c r="AD85" s="1"/>
      <c r="AE85" s="1">
        <f t="shared" si="11"/>
        <v>18.150000000000002</v>
      </c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 t="s">
        <v>130</v>
      </c>
      <c r="B86" s="1" t="s">
        <v>38</v>
      </c>
      <c r="C86" s="1">
        <v>111</v>
      </c>
      <c r="D86" s="1">
        <v>477</v>
      </c>
      <c r="E86" s="1">
        <v>345</v>
      </c>
      <c r="F86" s="1">
        <v>209</v>
      </c>
      <c r="G86" s="7">
        <v>0.15</v>
      </c>
      <c r="H86" s="1">
        <v>60</v>
      </c>
      <c r="I86" s="1" t="s">
        <v>35</v>
      </c>
      <c r="J86" s="1"/>
      <c r="K86" s="1">
        <v>345</v>
      </c>
      <c r="L86" s="1">
        <f t="shared" si="13"/>
        <v>0</v>
      </c>
      <c r="M86" s="1"/>
      <c r="N86" s="1"/>
      <c r="O86" s="1">
        <v>500</v>
      </c>
      <c r="P86" s="1">
        <f t="shared" si="14"/>
        <v>69</v>
      </c>
      <c r="Q86" s="5">
        <f t="shared" si="12"/>
        <v>326</v>
      </c>
      <c r="R86" s="1">
        <f t="shared" si="15"/>
        <v>15</v>
      </c>
      <c r="S86" s="1">
        <f t="shared" si="16"/>
        <v>10.27536231884058</v>
      </c>
      <c r="T86" s="1">
        <v>59.2</v>
      </c>
      <c r="U86" s="1">
        <v>51</v>
      </c>
      <c r="V86" s="1">
        <v>47</v>
      </c>
      <c r="W86" s="1">
        <v>39.200000000000003</v>
      </c>
      <c r="X86" s="1">
        <v>18</v>
      </c>
      <c r="Y86" s="1">
        <v>47.4</v>
      </c>
      <c r="Z86" s="1">
        <v>0</v>
      </c>
      <c r="AA86" s="1">
        <v>0</v>
      </c>
      <c r="AB86" s="1">
        <v>0</v>
      </c>
      <c r="AC86" s="1">
        <v>0</v>
      </c>
      <c r="AD86" s="1" t="s">
        <v>36</v>
      </c>
      <c r="AE86" s="1">
        <f t="shared" si="11"/>
        <v>48.9</v>
      </c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5" t="s">
        <v>152</v>
      </c>
      <c r="B87" s="12" t="s">
        <v>38</v>
      </c>
      <c r="C87" s="12"/>
      <c r="D87" s="12"/>
      <c r="E87" s="12"/>
      <c r="F87" s="12"/>
      <c r="G87" s="13">
        <v>0</v>
      </c>
      <c r="H87" s="12">
        <v>45</v>
      </c>
      <c r="I87" s="12" t="s">
        <v>35</v>
      </c>
      <c r="J87" s="12"/>
      <c r="K87" s="12"/>
      <c r="L87" s="12">
        <f t="shared" si="13"/>
        <v>0</v>
      </c>
      <c r="M87" s="12"/>
      <c r="N87" s="12"/>
      <c r="O87" s="12">
        <v>0</v>
      </c>
      <c r="P87" s="12">
        <f t="shared" si="14"/>
        <v>0</v>
      </c>
      <c r="Q87" s="14"/>
      <c r="R87" s="12" t="e">
        <f t="shared" si="15"/>
        <v>#DIV/0!</v>
      </c>
      <c r="S87" s="12" t="e">
        <f t="shared" si="16"/>
        <v>#DIV/0!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 t="s">
        <v>131</v>
      </c>
      <c r="AE87" s="12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2" t="s">
        <v>132</v>
      </c>
      <c r="B88" s="12" t="s">
        <v>34</v>
      </c>
      <c r="C88" s="12">
        <v>-3.0000000000000001E-3</v>
      </c>
      <c r="D88" s="12">
        <v>3.0000000000000001E-3</v>
      </c>
      <c r="E88" s="12"/>
      <c r="F88" s="12"/>
      <c r="G88" s="13">
        <v>0</v>
      </c>
      <c r="H88" s="12">
        <v>30</v>
      </c>
      <c r="I88" s="12" t="s">
        <v>35</v>
      </c>
      <c r="J88" s="12"/>
      <c r="K88" s="12"/>
      <c r="L88" s="12">
        <f t="shared" si="13"/>
        <v>0</v>
      </c>
      <c r="M88" s="12"/>
      <c r="N88" s="12"/>
      <c r="O88" s="12">
        <v>0</v>
      </c>
      <c r="P88" s="12">
        <f t="shared" si="14"/>
        <v>0</v>
      </c>
      <c r="Q88" s="14"/>
      <c r="R88" s="12" t="e">
        <f t="shared" si="15"/>
        <v>#DIV/0!</v>
      </c>
      <c r="S88" s="12" t="e">
        <f t="shared" si="16"/>
        <v>#DIV/0!</v>
      </c>
      <c r="T88" s="12">
        <v>0</v>
      </c>
      <c r="U88" s="12">
        <v>1.3322000000000001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 t="s">
        <v>131</v>
      </c>
      <c r="AE88" s="12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5" t="s">
        <v>153</v>
      </c>
      <c r="B89" s="12" t="s">
        <v>38</v>
      </c>
      <c r="C89" s="12"/>
      <c r="D89" s="12"/>
      <c r="E89" s="12"/>
      <c r="F89" s="12"/>
      <c r="G89" s="13">
        <v>0</v>
      </c>
      <c r="H89" s="12">
        <v>45</v>
      </c>
      <c r="I89" s="12" t="s">
        <v>35</v>
      </c>
      <c r="J89" s="12"/>
      <c r="K89" s="12"/>
      <c r="L89" s="12">
        <f t="shared" si="13"/>
        <v>0</v>
      </c>
      <c r="M89" s="12"/>
      <c r="N89" s="12"/>
      <c r="O89" s="12">
        <v>0</v>
      </c>
      <c r="P89" s="12">
        <f t="shared" si="14"/>
        <v>0</v>
      </c>
      <c r="Q89" s="14"/>
      <c r="R89" s="12" t="e">
        <f t="shared" si="15"/>
        <v>#DIV/0!</v>
      </c>
      <c r="S89" s="12" t="e">
        <f t="shared" si="16"/>
        <v>#DIV/0!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 t="s">
        <v>131</v>
      </c>
      <c r="AE89" s="12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2" t="s">
        <v>133</v>
      </c>
      <c r="B90" s="12" t="s">
        <v>34</v>
      </c>
      <c r="C90" s="12">
        <v>1.427</v>
      </c>
      <c r="D90" s="12"/>
      <c r="E90" s="12">
        <v>1.427</v>
      </c>
      <c r="F90" s="12"/>
      <c r="G90" s="13">
        <v>0</v>
      </c>
      <c r="H90" s="12">
        <v>30</v>
      </c>
      <c r="I90" s="12" t="s">
        <v>35</v>
      </c>
      <c r="J90" s="12"/>
      <c r="K90" s="12">
        <v>1</v>
      </c>
      <c r="L90" s="12">
        <f t="shared" si="13"/>
        <v>0.42700000000000005</v>
      </c>
      <c r="M90" s="12"/>
      <c r="N90" s="12"/>
      <c r="O90" s="12">
        <v>0</v>
      </c>
      <c r="P90" s="12">
        <f t="shared" si="14"/>
        <v>0.28539999999999999</v>
      </c>
      <c r="Q90" s="14"/>
      <c r="R90" s="12">
        <f t="shared" si="15"/>
        <v>0</v>
      </c>
      <c r="S90" s="12">
        <f t="shared" si="16"/>
        <v>0</v>
      </c>
      <c r="T90" s="12">
        <v>0.59400000000000008</v>
      </c>
      <c r="U90" s="12">
        <v>0.86319999999999997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 t="s">
        <v>131</v>
      </c>
      <c r="AE90" s="12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 t="s">
        <v>134</v>
      </c>
      <c r="B91" s="1" t="s">
        <v>38</v>
      </c>
      <c r="C91" s="1">
        <v>37</v>
      </c>
      <c r="D91" s="1">
        <v>348</v>
      </c>
      <c r="E91" s="1">
        <v>95</v>
      </c>
      <c r="F91" s="1">
        <v>235</v>
      </c>
      <c r="G91" s="7">
        <v>0.4</v>
      </c>
      <c r="H91" s="1">
        <v>60</v>
      </c>
      <c r="I91" s="1" t="s">
        <v>35</v>
      </c>
      <c r="J91" s="1"/>
      <c r="K91" s="1">
        <v>125</v>
      </c>
      <c r="L91" s="1">
        <f t="shared" si="13"/>
        <v>-30</v>
      </c>
      <c r="M91" s="1"/>
      <c r="N91" s="1"/>
      <c r="O91" s="1">
        <v>100</v>
      </c>
      <c r="P91" s="1">
        <f t="shared" si="14"/>
        <v>19</v>
      </c>
      <c r="Q91" s="5"/>
      <c r="R91" s="1">
        <f t="shared" si="15"/>
        <v>17.631578947368421</v>
      </c>
      <c r="S91" s="1">
        <f t="shared" si="16"/>
        <v>17.631578947368421</v>
      </c>
      <c r="T91" s="1">
        <v>23.4</v>
      </c>
      <c r="U91" s="1">
        <v>34</v>
      </c>
      <c r="V91" s="1">
        <v>18.399999999999999</v>
      </c>
      <c r="W91" s="1">
        <v>27.8</v>
      </c>
      <c r="X91" s="1">
        <v>25.6</v>
      </c>
      <c r="Y91" s="1">
        <v>19.8</v>
      </c>
      <c r="Z91" s="1">
        <v>28.6</v>
      </c>
      <c r="AA91" s="1">
        <v>18.600000000000001</v>
      </c>
      <c r="AB91" s="1">
        <v>18.8</v>
      </c>
      <c r="AC91" s="1">
        <v>19.600000000000001</v>
      </c>
      <c r="AD91" s="1" t="s">
        <v>46</v>
      </c>
      <c r="AE91" s="1">
        <f>G91*Q91</f>
        <v>0</v>
      </c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2" t="s">
        <v>135</v>
      </c>
      <c r="B92" s="12" t="s">
        <v>38</v>
      </c>
      <c r="C92" s="12"/>
      <c r="D92" s="12"/>
      <c r="E92" s="12"/>
      <c r="F92" s="12"/>
      <c r="G92" s="13">
        <v>0</v>
      </c>
      <c r="H92" s="12">
        <v>60</v>
      </c>
      <c r="I92" s="12" t="s">
        <v>35</v>
      </c>
      <c r="J92" s="12"/>
      <c r="K92" s="12">
        <v>18</v>
      </c>
      <c r="L92" s="12">
        <f t="shared" si="13"/>
        <v>-18</v>
      </c>
      <c r="M92" s="12"/>
      <c r="N92" s="12"/>
      <c r="O92" s="12">
        <v>0</v>
      </c>
      <c r="P92" s="12">
        <f t="shared" si="14"/>
        <v>0</v>
      </c>
      <c r="Q92" s="14"/>
      <c r="R92" s="12" t="e">
        <f t="shared" si="15"/>
        <v>#DIV/0!</v>
      </c>
      <c r="S92" s="12" t="e">
        <f t="shared" si="16"/>
        <v>#DIV/0!</v>
      </c>
      <c r="T92" s="12">
        <v>0</v>
      </c>
      <c r="U92" s="12">
        <v>0</v>
      </c>
      <c r="V92" s="12">
        <v>0.8</v>
      </c>
      <c r="W92" s="12">
        <v>0.4</v>
      </c>
      <c r="X92" s="12">
        <v>1.6</v>
      </c>
      <c r="Y92" s="12">
        <v>2.4</v>
      </c>
      <c r="Z92" s="12">
        <v>2.8</v>
      </c>
      <c r="AA92" s="12">
        <v>2</v>
      </c>
      <c r="AB92" s="12">
        <v>3.8</v>
      </c>
      <c r="AC92" s="12">
        <v>4.2</v>
      </c>
      <c r="AD92" s="12" t="s">
        <v>131</v>
      </c>
      <c r="AE92" s="12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5" t="s">
        <v>154</v>
      </c>
      <c r="B93" s="12" t="s">
        <v>34</v>
      </c>
      <c r="C93" s="12"/>
      <c r="D93" s="12"/>
      <c r="E93" s="12"/>
      <c r="F93" s="12"/>
      <c r="G93" s="13">
        <v>0</v>
      </c>
      <c r="H93" s="12">
        <v>45</v>
      </c>
      <c r="I93" s="12" t="s">
        <v>35</v>
      </c>
      <c r="J93" s="12"/>
      <c r="K93" s="12"/>
      <c r="L93" s="12">
        <f t="shared" si="13"/>
        <v>0</v>
      </c>
      <c r="M93" s="12"/>
      <c r="N93" s="12"/>
      <c r="O93" s="12">
        <v>0</v>
      </c>
      <c r="P93" s="12">
        <f t="shared" si="14"/>
        <v>0</v>
      </c>
      <c r="Q93" s="14"/>
      <c r="R93" s="12" t="e">
        <f t="shared" si="15"/>
        <v>#DIV/0!</v>
      </c>
      <c r="S93" s="12" t="e">
        <f t="shared" si="16"/>
        <v>#DIV/0!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 t="s">
        <v>131</v>
      </c>
      <c r="AE93" s="12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2" t="s">
        <v>136</v>
      </c>
      <c r="B94" s="12" t="s">
        <v>34</v>
      </c>
      <c r="C94" s="12"/>
      <c r="D94" s="12"/>
      <c r="E94" s="12"/>
      <c r="F94" s="12"/>
      <c r="G94" s="13">
        <v>0</v>
      </c>
      <c r="H94" s="12"/>
      <c r="I94" s="12" t="s">
        <v>35</v>
      </c>
      <c r="J94" s="12"/>
      <c r="K94" s="12"/>
      <c r="L94" s="12">
        <f t="shared" si="13"/>
        <v>0</v>
      </c>
      <c r="M94" s="12"/>
      <c r="N94" s="12"/>
      <c r="O94" s="12">
        <v>0</v>
      </c>
      <c r="P94" s="12">
        <f t="shared" si="14"/>
        <v>0</v>
      </c>
      <c r="Q94" s="14"/>
      <c r="R94" s="12" t="e">
        <f t="shared" si="15"/>
        <v>#DIV/0!</v>
      </c>
      <c r="S94" s="12" t="e">
        <f t="shared" si="16"/>
        <v>#DIV/0!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 t="s">
        <v>131</v>
      </c>
      <c r="AE94" s="12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 t="s">
        <v>137</v>
      </c>
      <c r="B95" s="1" t="s">
        <v>38</v>
      </c>
      <c r="C95" s="1">
        <v>3</v>
      </c>
      <c r="D95" s="1">
        <v>19</v>
      </c>
      <c r="E95" s="1">
        <v>2</v>
      </c>
      <c r="F95" s="1"/>
      <c r="G95" s="7">
        <v>0.33</v>
      </c>
      <c r="H95" s="1">
        <v>45</v>
      </c>
      <c r="I95" s="1" t="s">
        <v>35</v>
      </c>
      <c r="J95" s="1"/>
      <c r="K95" s="1">
        <v>59</v>
      </c>
      <c r="L95" s="1">
        <f t="shared" si="13"/>
        <v>-57</v>
      </c>
      <c r="M95" s="1"/>
      <c r="N95" s="1"/>
      <c r="O95" s="1">
        <v>272</v>
      </c>
      <c r="P95" s="1">
        <f t="shared" si="14"/>
        <v>0.4</v>
      </c>
      <c r="Q95" s="5"/>
      <c r="R95" s="1">
        <f t="shared" si="15"/>
        <v>680</v>
      </c>
      <c r="S95" s="1">
        <f t="shared" si="16"/>
        <v>680</v>
      </c>
      <c r="T95" s="1">
        <v>34</v>
      </c>
      <c r="U95" s="1">
        <v>8.8000000000000007</v>
      </c>
      <c r="V95" s="1">
        <v>15.2</v>
      </c>
      <c r="W95" s="1">
        <v>10.4</v>
      </c>
      <c r="X95" s="1">
        <v>19.8</v>
      </c>
      <c r="Y95" s="1">
        <v>18</v>
      </c>
      <c r="Z95" s="1">
        <v>14.6</v>
      </c>
      <c r="AA95" s="1">
        <v>12</v>
      </c>
      <c r="AB95" s="1">
        <v>15.6</v>
      </c>
      <c r="AC95" s="1">
        <v>10.8</v>
      </c>
      <c r="AD95" s="1"/>
      <c r="AE95" s="1">
        <f>G95*Q95</f>
        <v>0</v>
      </c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2" t="s">
        <v>138</v>
      </c>
      <c r="B96" s="12" t="s">
        <v>38</v>
      </c>
      <c r="C96" s="12">
        <v>23</v>
      </c>
      <c r="D96" s="12">
        <v>11</v>
      </c>
      <c r="E96" s="12">
        <v>21</v>
      </c>
      <c r="F96" s="12"/>
      <c r="G96" s="13">
        <v>0</v>
      </c>
      <c r="H96" s="12">
        <v>60</v>
      </c>
      <c r="I96" s="12" t="s">
        <v>139</v>
      </c>
      <c r="J96" s="12"/>
      <c r="K96" s="12">
        <v>22</v>
      </c>
      <c r="L96" s="12">
        <f t="shared" si="13"/>
        <v>-1</v>
      </c>
      <c r="M96" s="12"/>
      <c r="N96" s="12"/>
      <c r="O96" s="12">
        <v>0</v>
      </c>
      <c r="P96" s="12">
        <f t="shared" si="14"/>
        <v>4.2</v>
      </c>
      <c r="Q96" s="14"/>
      <c r="R96" s="12">
        <f t="shared" si="15"/>
        <v>0</v>
      </c>
      <c r="S96" s="12">
        <f t="shared" si="16"/>
        <v>0</v>
      </c>
      <c r="T96" s="12">
        <v>3.6</v>
      </c>
      <c r="U96" s="12">
        <v>9</v>
      </c>
      <c r="V96" s="12">
        <v>1.6</v>
      </c>
      <c r="W96" s="12">
        <v>4.8</v>
      </c>
      <c r="X96" s="12">
        <v>7.4</v>
      </c>
      <c r="Y96" s="12">
        <v>1.4</v>
      </c>
      <c r="Z96" s="12">
        <v>8.4</v>
      </c>
      <c r="AA96" s="12">
        <v>3.6</v>
      </c>
      <c r="AB96" s="12">
        <v>6.4</v>
      </c>
      <c r="AC96" s="12">
        <v>6.4</v>
      </c>
      <c r="AD96" s="12"/>
      <c r="AE96" s="12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 t="s">
        <v>140</v>
      </c>
      <c r="B97" s="1" t="s">
        <v>38</v>
      </c>
      <c r="C97" s="1">
        <v>272</v>
      </c>
      <c r="D97" s="1">
        <v>817</v>
      </c>
      <c r="E97" s="1">
        <v>278</v>
      </c>
      <c r="F97" s="1">
        <v>791</v>
      </c>
      <c r="G97" s="7">
        <v>0.1</v>
      </c>
      <c r="H97" s="1">
        <v>60</v>
      </c>
      <c r="I97" s="1" t="s">
        <v>35</v>
      </c>
      <c r="J97" s="1"/>
      <c r="K97" s="1">
        <v>279</v>
      </c>
      <c r="L97" s="1">
        <f t="shared" si="13"/>
        <v>-1</v>
      </c>
      <c r="M97" s="1"/>
      <c r="N97" s="1"/>
      <c r="O97" s="1">
        <v>200</v>
      </c>
      <c r="P97" s="1">
        <f t="shared" si="14"/>
        <v>55.6</v>
      </c>
      <c r="Q97" s="5"/>
      <c r="R97" s="1">
        <f t="shared" si="15"/>
        <v>17.823741007194243</v>
      </c>
      <c r="S97" s="1">
        <f t="shared" si="16"/>
        <v>17.823741007194243</v>
      </c>
      <c r="T97" s="1">
        <v>37.799999999999997</v>
      </c>
      <c r="U97" s="1">
        <v>70.8</v>
      </c>
      <c r="V97" s="1">
        <v>55</v>
      </c>
      <c r="W97" s="1">
        <v>45.6</v>
      </c>
      <c r="X97" s="1">
        <v>34.799999999999997</v>
      </c>
      <c r="Y97" s="1">
        <v>53.8</v>
      </c>
      <c r="Z97" s="1">
        <v>47</v>
      </c>
      <c r="AA97" s="1">
        <v>28.2</v>
      </c>
      <c r="AB97" s="1">
        <v>64</v>
      </c>
      <c r="AC97" s="1">
        <v>40.200000000000003</v>
      </c>
      <c r="AD97" s="1"/>
      <c r="AE97" s="1">
        <f t="shared" ref="AE97:AE102" si="17">G97*Q97</f>
        <v>0</v>
      </c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 t="s">
        <v>141</v>
      </c>
      <c r="B98" s="1" t="s">
        <v>38</v>
      </c>
      <c r="C98" s="1">
        <v>341</v>
      </c>
      <c r="D98" s="1">
        <v>554</v>
      </c>
      <c r="E98" s="1">
        <v>206</v>
      </c>
      <c r="F98" s="1">
        <v>569</v>
      </c>
      <c r="G98" s="7">
        <v>0.1</v>
      </c>
      <c r="H98" s="1">
        <v>60</v>
      </c>
      <c r="I98" s="1" t="s">
        <v>35</v>
      </c>
      <c r="J98" s="1"/>
      <c r="K98" s="1">
        <v>202</v>
      </c>
      <c r="L98" s="1">
        <f t="shared" si="13"/>
        <v>4</v>
      </c>
      <c r="M98" s="1"/>
      <c r="N98" s="1"/>
      <c r="O98" s="1">
        <v>300</v>
      </c>
      <c r="P98" s="1">
        <f t="shared" si="14"/>
        <v>41.2</v>
      </c>
      <c r="Q98" s="5"/>
      <c r="R98" s="1">
        <f t="shared" si="15"/>
        <v>21.092233009708735</v>
      </c>
      <c r="S98" s="1">
        <f t="shared" si="16"/>
        <v>21.092233009708735</v>
      </c>
      <c r="T98" s="1">
        <v>59.4</v>
      </c>
      <c r="U98" s="1">
        <v>56</v>
      </c>
      <c r="V98" s="1">
        <v>65.8</v>
      </c>
      <c r="W98" s="1">
        <v>74.2</v>
      </c>
      <c r="X98" s="1">
        <v>30.6</v>
      </c>
      <c r="Y98" s="1">
        <v>63.6</v>
      </c>
      <c r="Z98" s="1">
        <v>73.599999999999994</v>
      </c>
      <c r="AA98" s="1">
        <v>36.200000000000003</v>
      </c>
      <c r="AB98" s="1">
        <v>50</v>
      </c>
      <c r="AC98" s="1">
        <v>47.8</v>
      </c>
      <c r="AD98" s="16" t="s">
        <v>161</v>
      </c>
      <c r="AE98" s="1">
        <f t="shared" si="17"/>
        <v>0</v>
      </c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 t="s">
        <v>142</v>
      </c>
      <c r="B99" s="1" t="s">
        <v>38</v>
      </c>
      <c r="C99" s="1">
        <v>211</v>
      </c>
      <c r="D99" s="1">
        <v>288</v>
      </c>
      <c r="E99" s="1">
        <v>142</v>
      </c>
      <c r="F99" s="1">
        <v>278</v>
      </c>
      <c r="G99" s="7">
        <v>0.4</v>
      </c>
      <c r="H99" s="1">
        <v>60</v>
      </c>
      <c r="I99" s="1" t="s">
        <v>35</v>
      </c>
      <c r="J99" s="1"/>
      <c r="K99" s="1">
        <v>161</v>
      </c>
      <c r="L99" s="1">
        <f t="shared" si="13"/>
        <v>-19</v>
      </c>
      <c r="M99" s="1"/>
      <c r="N99" s="1"/>
      <c r="O99" s="1">
        <v>150</v>
      </c>
      <c r="P99" s="1">
        <f t="shared" si="14"/>
        <v>28.4</v>
      </c>
      <c r="Q99" s="5"/>
      <c r="R99" s="1">
        <f t="shared" si="15"/>
        <v>15.070422535211268</v>
      </c>
      <c r="S99" s="1">
        <f t="shared" si="16"/>
        <v>15.070422535211268</v>
      </c>
      <c r="T99" s="1">
        <v>22.8</v>
      </c>
      <c r="U99" s="1">
        <v>29.2</v>
      </c>
      <c r="V99" s="1">
        <v>34.799999999999997</v>
      </c>
      <c r="W99" s="1">
        <v>28.4</v>
      </c>
      <c r="X99" s="1">
        <v>30.2</v>
      </c>
      <c r="Y99" s="1">
        <v>28.8</v>
      </c>
      <c r="Z99" s="1">
        <v>34.4</v>
      </c>
      <c r="AA99" s="1">
        <v>19.8</v>
      </c>
      <c r="AB99" s="1">
        <v>30</v>
      </c>
      <c r="AC99" s="1">
        <v>20.8</v>
      </c>
      <c r="AD99" s="1" t="s">
        <v>143</v>
      </c>
      <c r="AE99" s="1">
        <f t="shared" si="17"/>
        <v>0</v>
      </c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 t="s">
        <v>144</v>
      </c>
      <c r="B100" s="1" t="s">
        <v>38</v>
      </c>
      <c r="C100" s="1">
        <v>98</v>
      </c>
      <c r="D100" s="1">
        <v>6</v>
      </c>
      <c r="E100" s="1">
        <v>87</v>
      </c>
      <c r="F100" s="1"/>
      <c r="G100" s="7">
        <v>0.1</v>
      </c>
      <c r="H100" s="1"/>
      <c r="I100" s="1" t="s">
        <v>158</v>
      </c>
      <c r="J100" s="1"/>
      <c r="K100" s="1">
        <v>100</v>
      </c>
      <c r="L100" s="1">
        <f t="shared" si="13"/>
        <v>-13</v>
      </c>
      <c r="M100" s="1"/>
      <c r="N100" s="1"/>
      <c r="O100" s="1">
        <v>20</v>
      </c>
      <c r="P100" s="1">
        <f t="shared" si="14"/>
        <v>17.399999999999999</v>
      </c>
      <c r="Q100" s="5">
        <f>9*P100-O100-F100</f>
        <v>136.6</v>
      </c>
      <c r="R100" s="1">
        <f t="shared" si="15"/>
        <v>9</v>
      </c>
      <c r="S100" s="1">
        <f t="shared" si="16"/>
        <v>1.149425287356322</v>
      </c>
      <c r="T100" s="1">
        <v>5</v>
      </c>
      <c r="U100" s="1">
        <v>9.6</v>
      </c>
      <c r="V100" s="1">
        <v>6</v>
      </c>
      <c r="W100" s="1">
        <v>18.399999999999999</v>
      </c>
      <c r="X100" s="1">
        <v>14.6</v>
      </c>
      <c r="Y100" s="1">
        <v>15.4</v>
      </c>
      <c r="Z100" s="1">
        <v>8.4</v>
      </c>
      <c r="AA100" s="1">
        <v>10.8</v>
      </c>
      <c r="AB100" s="1">
        <v>0</v>
      </c>
      <c r="AC100" s="1">
        <v>0</v>
      </c>
      <c r="AD100" s="1"/>
      <c r="AE100" s="1">
        <f t="shared" si="17"/>
        <v>13.66</v>
      </c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 t="s">
        <v>145</v>
      </c>
      <c r="B101" s="1" t="s">
        <v>38</v>
      </c>
      <c r="C101" s="1">
        <v>139</v>
      </c>
      <c r="D101" s="1">
        <v>44</v>
      </c>
      <c r="E101" s="1">
        <v>91</v>
      </c>
      <c r="F101" s="1">
        <v>41</v>
      </c>
      <c r="G101" s="7">
        <v>0.1</v>
      </c>
      <c r="H101" s="1"/>
      <c r="I101" s="1" t="s">
        <v>159</v>
      </c>
      <c r="J101" s="1"/>
      <c r="K101" s="1">
        <v>103</v>
      </c>
      <c r="L101" s="1">
        <f t="shared" ref="L101:L104" si="18">E101-K101</f>
        <v>-12</v>
      </c>
      <c r="M101" s="1"/>
      <c r="N101" s="1"/>
      <c r="O101" s="1">
        <v>0</v>
      </c>
      <c r="P101" s="1">
        <f t="shared" si="14"/>
        <v>18.2</v>
      </c>
      <c r="Q101" s="5">
        <f>10*P101-O101-F101</f>
        <v>141</v>
      </c>
      <c r="R101" s="1">
        <f t="shared" si="15"/>
        <v>10</v>
      </c>
      <c r="S101" s="1">
        <f t="shared" si="16"/>
        <v>2.2527472527472527</v>
      </c>
      <c r="T101" s="1">
        <v>7.6</v>
      </c>
      <c r="U101" s="1">
        <v>12.6</v>
      </c>
      <c r="V101" s="1">
        <v>21.6</v>
      </c>
      <c r="W101" s="1">
        <v>14</v>
      </c>
      <c r="X101" s="1">
        <v>15.6</v>
      </c>
      <c r="Y101" s="1">
        <v>20</v>
      </c>
      <c r="Z101" s="1">
        <v>7</v>
      </c>
      <c r="AA101" s="1">
        <v>11.8</v>
      </c>
      <c r="AB101" s="1">
        <v>0</v>
      </c>
      <c r="AC101" s="1">
        <v>0</v>
      </c>
      <c r="AD101" s="1"/>
      <c r="AE101" s="1">
        <f t="shared" si="17"/>
        <v>14.100000000000001</v>
      </c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 t="s">
        <v>146</v>
      </c>
      <c r="B102" s="1" t="s">
        <v>38</v>
      </c>
      <c r="C102" s="1"/>
      <c r="D102" s="1">
        <v>80</v>
      </c>
      <c r="E102" s="1">
        <v>80</v>
      </c>
      <c r="F102" s="1"/>
      <c r="G102" s="7">
        <v>0.3</v>
      </c>
      <c r="H102" s="1">
        <v>45</v>
      </c>
      <c r="I102" s="1" t="s">
        <v>35</v>
      </c>
      <c r="J102" s="1"/>
      <c r="K102" s="1">
        <v>83</v>
      </c>
      <c r="L102" s="1">
        <f t="shared" si="18"/>
        <v>-3</v>
      </c>
      <c r="M102" s="1"/>
      <c r="N102" s="1"/>
      <c r="O102" s="1">
        <v>80</v>
      </c>
      <c r="P102" s="1">
        <f t="shared" si="14"/>
        <v>16</v>
      </c>
      <c r="Q102" s="5">
        <f>13*P102-O102-F102</f>
        <v>128</v>
      </c>
      <c r="R102" s="1">
        <f t="shared" si="15"/>
        <v>13</v>
      </c>
      <c r="S102" s="1">
        <f t="shared" si="16"/>
        <v>5</v>
      </c>
      <c r="T102" s="1">
        <v>0</v>
      </c>
      <c r="U102" s="1">
        <v>8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 t="s">
        <v>147</v>
      </c>
      <c r="AE102" s="1">
        <f t="shared" si="17"/>
        <v>38.4</v>
      </c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2" t="s">
        <v>148</v>
      </c>
      <c r="B103" s="12" t="s">
        <v>38</v>
      </c>
      <c r="C103" s="12">
        <v>240</v>
      </c>
      <c r="D103" s="12">
        <v>3</v>
      </c>
      <c r="E103" s="12">
        <v>243</v>
      </c>
      <c r="F103" s="12"/>
      <c r="G103" s="13">
        <v>0</v>
      </c>
      <c r="H103" s="12"/>
      <c r="I103" s="12" t="s">
        <v>149</v>
      </c>
      <c r="J103" s="12"/>
      <c r="K103" s="12">
        <v>284</v>
      </c>
      <c r="L103" s="12">
        <f t="shared" si="18"/>
        <v>-41</v>
      </c>
      <c r="M103" s="12"/>
      <c r="N103" s="12"/>
      <c r="O103" s="12">
        <v>0</v>
      </c>
      <c r="P103" s="12">
        <f t="shared" si="14"/>
        <v>48.6</v>
      </c>
      <c r="Q103" s="14"/>
      <c r="R103" s="12">
        <f t="shared" si="15"/>
        <v>0</v>
      </c>
      <c r="S103" s="12">
        <f t="shared" si="16"/>
        <v>0</v>
      </c>
      <c r="T103" s="12">
        <v>124.2</v>
      </c>
      <c r="U103" s="12">
        <v>27.8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 t="s">
        <v>150</v>
      </c>
      <c r="AE103" s="12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 t="s">
        <v>151</v>
      </c>
      <c r="B104" s="1" t="s">
        <v>34</v>
      </c>
      <c r="C104" s="1">
        <v>34.423000000000002</v>
      </c>
      <c r="D104" s="1">
        <v>63.756</v>
      </c>
      <c r="E104" s="1">
        <v>14.618</v>
      </c>
      <c r="F104" s="1">
        <v>62.923000000000002</v>
      </c>
      <c r="G104" s="7">
        <v>1</v>
      </c>
      <c r="H104" s="1"/>
      <c r="I104" s="1" t="s">
        <v>35</v>
      </c>
      <c r="J104" s="1"/>
      <c r="K104" s="1">
        <v>14.35</v>
      </c>
      <c r="L104" s="1">
        <f t="shared" si="18"/>
        <v>0.26800000000000068</v>
      </c>
      <c r="M104" s="1"/>
      <c r="N104" s="1"/>
      <c r="O104" s="1">
        <v>70</v>
      </c>
      <c r="P104" s="1">
        <f t="shared" si="14"/>
        <v>2.9236</v>
      </c>
      <c r="Q104" s="5"/>
      <c r="R104" s="1">
        <f t="shared" si="15"/>
        <v>45.465521959228347</v>
      </c>
      <c r="S104" s="1">
        <f t="shared" si="16"/>
        <v>45.465521959228347</v>
      </c>
      <c r="T104" s="1">
        <v>5.2995999999999999</v>
      </c>
      <c r="U104" s="1">
        <v>4.2118000000000002</v>
      </c>
      <c r="V104" s="1">
        <v>5.5704000000000002</v>
      </c>
      <c r="W104" s="1">
        <v>1.3280000000000001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 t="s">
        <v>112</v>
      </c>
      <c r="AE104" s="1">
        <f>G104*Q104</f>
        <v>0</v>
      </c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</sheetData>
  <autoFilter ref="A3:AE104" xr:uid="{B3EE36F5-F311-48AF-94F2-099086D87555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2026-09-28T10:10:28Z</dcterms:created>
  <dcterms:modified xsi:type="dcterms:W3CDTF">2026-09-28T10:26:26Z</dcterms:modified>
</cp:coreProperties>
</file>