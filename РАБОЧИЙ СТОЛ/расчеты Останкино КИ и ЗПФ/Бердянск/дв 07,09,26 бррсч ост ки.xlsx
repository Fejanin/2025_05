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5A9CA9AC-DA10-4C49-A71E-967FB08889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Sheet!$A$3:$AJ$119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7" i="1" l="1"/>
  <c r="U7" i="1" s="1"/>
  <c r="V10" i="1"/>
  <c r="V13" i="1"/>
  <c r="V18" i="1"/>
  <c r="U18" i="1" s="1"/>
  <c r="V21" i="1"/>
  <c r="V25" i="1"/>
  <c r="V42" i="1"/>
  <c r="V43" i="1"/>
  <c r="U43" i="1" s="1"/>
  <c r="V46" i="1"/>
  <c r="U46" i="1" s="1"/>
  <c r="V48" i="1"/>
  <c r="U48" i="1" s="1"/>
  <c r="V66" i="1"/>
  <c r="U66" i="1" s="1"/>
  <c r="V81" i="1"/>
  <c r="U81" i="1" s="1"/>
  <c r="AJ10" i="1" l="1"/>
  <c r="U11" i="1"/>
  <c r="U12" i="1"/>
  <c r="AJ12" i="1" s="1"/>
  <c r="AJ13" i="1"/>
  <c r="U15" i="1"/>
  <c r="AJ15" i="1" s="1"/>
  <c r="U17" i="1"/>
  <c r="AJ17" i="1" s="1"/>
  <c r="U19" i="1"/>
  <c r="AJ19" i="1" s="1"/>
  <c r="U20" i="1"/>
  <c r="AJ20" i="1" s="1"/>
  <c r="U22" i="1"/>
  <c r="AJ22" i="1" s="1"/>
  <c r="U24" i="1"/>
  <c r="AJ24" i="1" s="1"/>
  <c r="U26" i="1"/>
  <c r="AJ26" i="1" s="1"/>
  <c r="U27" i="1"/>
  <c r="AJ27" i="1" s="1"/>
  <c r="U29" i="1"/>
  <c r="AJ29" i="1" s="1"/>
  <c r="U30" i="1"/>
  <c r="AJ30" i="1" s="1"/>
  <c r="U33" i="1"/>
  <c r="AJ33" i="1" s="1"/>
  <c r="U35" i="1"/>
  <c r="AJ35" i="1" s="1"/>
  <c r="U36" i="1"/>
  <c r="AJ36" i="1" s="1"/>
  <c r="U37" i="1"/>
  <c r="AJ37" i="1" s="1"/>
  <c r="U38" i="1"/>
  <c r="AJ38" i="1" s="1"/>
  <c r="U39" i="1"/>
  <c r="AJ39" i="1" s="1"/>
  <c r="U40" i="1"/>
  <c r="AJ40" i="1" s="1"/>
  <c r="U41" i="1"/>
  <c r="AJ41" i="1" s="1"/>
  <c r="U47" i="1"/>
  <c r="AJ47" i="1" s="1"/>
  <c r="U49" i="1"/>
  <c r="AJ49" i="1" s="1"/>
  <c r="U51" i="1"/>
  <c r="AJ51" i="1" s="1"/>
  <c r="U57" i="1"/>
  <c r="AJ57" i="1" s="1"/>
  <c r="U58" i="1"/>
  <c r="AJ58" i="1" s="1"/>
  <c r="U59" i="1"/>
  <c r="AJ59" i="1" s="1"/>
  <c r="U60" i="1"/>
  <c r="AJ60" i="1" s="1"/>
  <c r="U61" i="1"/>
  <c r="AJ61" i="1" s="1"/>
  <c r="U62" i="1"/>
  <c r="AJ62" i="1" s="1"/>
  <c r="U64" i="1"/>
  <c r="AJ64" i="1" s="1"/>
  <c r="U67" i="1"/>
  <c r="AJ67" i="1" s="1"/>
  <c r="U68" i="1"/>
  <c r="U72" i="1"/>
  <c r="AJ72" i="1" s="1"/>
  <c r="U73" i="1"/>
  <c r="AJ73" i="1" s="1"/>
  <c r="U74" i="1"/>
  <c r="AJ74" i="1" s="1"/>
  <c r="U75" i="1"/>
  <c r="AJ75" i="1" s="1"/>
  <c r="U76" i="1"/>
  <c r="AJ76" i="1" s="1"/>
  <c r="U78" i="1"/>
  <c r="AJ78" i="1" s="1"/>
  <c r="U82" i="1"/>
  <c r="AJ82" i="1" s="1"/>
  <c r="U87" i="1"/>
  <c r="AJ87" i="1" s="1"/>
  <c r="U90" i="1"/>
  <c r="AJ90" i="1" s="1"/>
  <c r="U91" i="1"/>
  <c r="AJ91" i="1" s="1"/>
  <c r="U92" i="1"/>
  <c r="AJ92" i="1" s="1"/>
  <c r="U93" i="1"/>
  <c r="AJ93" i="1" s="1"/>
  <c r="U94" i="1"/>
  <c r="AJ94" i="1" s="1"/>
  <c r="U95" i="1"/>
  <c r="AJ95" i="1" s="1"/>
  <c r="U97" i="1"/>
  <c r="AJ97" i="1" s="1"/>
  <c r="U98" i="1"/>
  <c r="AJ98" i="1" s="1"/>
  <c r="U100" i="1"/>
  <c r="AJ100" i="1" s="1"/>
  <c r="U101" i="1"/>
  <c r="AJ101" i="1" s="1"/>
  <c r="U102" i="1"/>
  <c r="AJ102" i="1" s="1"/>
  <c r="U103" i="1"/>
  <c r="AJ103" i="1" s="1"/>
  <c r="U104" i="1"/>
  <c r="AJ104" i="1" s="1"/>
  <c r="U107" i="1"/>
  <c r="AJ107" i="1" s="1"/>
  <c r="U108" i="1"/>
  <c r="AJ108" i="1" s="1"/>
  <c r="U109" i="1"/>
  <c r="AJ109" i="1" s="1"/>
  <c r="U110" i="1"/>
  <c r="AJ110" i="1" s="1"/>
  <c r="U111" i="1"/>
  <c r="AJ111" i="1" s="1"/>
  <c r="U112" i="1"/>
  <c r="AJ112" i="1" s="1"/>
  <c r="U114" i="1"/>
  <c r="AJ114" i="1" s="1"/>
  <c r="U116" i="1"/>
  <c r="AJ116" i="1" s="1"/>
  <c r="U117" i="1"/>
  <c r="AJ117" i="1" s="1"/>
  <c r="U118" i="1"/>
  <c r="AJ118" i="1" s="1"/>
  <c r="U119" i="1"/>
  <c r="U6" i="1"/>
  <c r="AJ6" i="1" s="1"/>
  <c r="AJ11" i="1"/>
  <c r="AJ68" i="1"/>
  <c r="AJ119" i="1"/>
  <c r="G8" i="1" l="1"/>
  <c r="O119" i="1" l="1"/>
  <c r="S119" i="1" s="1"/>
  <c r="N119" i="1"/>
  <c r="G119" i="1"/>
  <c r="H119" i="1" s="1"/>
  <c r="O118" i="1"/>
  <c r="S118" i="1" s="1"/>
  <c r="N118" i="1"/>
  <c r="G118" i="1"/>
  <c r="H118" i="1" s="1"/>
  <c r="O117" i="1"/>
  <c r="S117" i="1" s="1"/>
  <c r="N117" i="1"/>
  <c r="G117" i="1"/>
  <c r="H117" i="1" s="1"/>
  <c r="O116" i="1"/>
  <c r="S116" i="1" s="1"/>
  <c r="N116" i="1"/>
  <c r="G116" i="1"/>
  <c r="H116" i="1" s="1"/>
  <c r="O115" i="1"/>
  <c r="S115" i="1" s="1"/>
  <c r="N115" i="1"/>
  <c r="G115" i="1"/>
  <c r="H115" i="1" s="1"/>
  <c r="O114" i="1"/>
  <c r="S114" i="1" s="1"/>
  <c r="N114" i="1"/>
  <c r="G114" i="1"/>
  <c r="F114" i="1"/>
  <c r="O113" i="1"/>
  <c r="S113" i="1" s="1"/>
  <c r="N113" i="1"/>
  <c r="G113" i="1"/>
  <c r="H113" i="1" s="1"/>
  <c r="O112" i="1"/>
  <c r="S112" i="1" s="1"/>
  <c r="N112" i="1"/>
  <c r="G112" i="1"/>
  <c r="H112" i="1" s="1"/>
  <c r="W112" i="1" s="1"/>
  <c r="O111" i="1"/>
  <c r="S111" i="1" s="1"/>
  <c r="N111" i="1"/>
  <c r="G111" i="1"/>
  <c r="H111" i="1" s="1"/>
  <c r="W111" i="1" s="1"/>
  <c r="O110" i="1"/>
  <c r="S110" i="1" s="1"/>
  <c r="N110" i="1"/>
  <c r="G110" i="1"/>
  <c r="H110" i="1" s="1"/>
  <c r="W110" i="1" s="1"/>
  <c r="O109" i="1"/>
  <c r="S109" i="1" s="1"/>
  <c r="N109" i="1"/>
  <c r="G109" i="1"/>
  <c r="H109" i="1" s="1"/>
  <c r="W109" i="1" s="1"/>
  <c r="O108" i="1"/>
  <c r="S108" i="1" s="1"/>
  <c r="N108" i="1"/>
  <c r="G108" i="1"/>
  <c r="H108" i="1" s="1"/>
  <c r="W108" i="1" s="1"/>
  <c r="O107" i="1"/>
  <c r="S107" i="1" s="1"/>
  <c r="N107" i="1"/>
  <c r="G107" i="1"/>
  <c r="H107" i="1" s="1"/>
  <c r="W107" i="1" s="1"/>
  <c r="O106" i="1"/>
  <c r="S106" i="1" s="1"/>
  <c r="N106" i="1"/>
  <c r="G106" i="1"/>
  <c r="H106" i="1" s="1"/>
  <c r="O105" i="1"/>
  <c r="S105" i="1" s="1"/>
  <c r="N105" i="1"/>
  <c r="G105" i="1"/>
  <c r="H105" i="1" s="1"/>
  <c r="O104" i="1"/>
  <c r="S104" i="1" s="1"/>
  <c r="N104" i="1"/>
  <c r="G104" i="1"/>
  <c r="H104" i="1" s="1"/>
  <c r="W104" i="1" s="1"/>
  <c r="O103" i="1"/>
  <c r="S103" i="1" s="1"/>
  <c r="N103" i="1"/>
  <c r="G103" i="1"/>
  <c r="H103" i="1" s="1"/>
  <c r="W103" i="1" s="1"/>
  <c r="O102" i="1"/>
  <c r="S102" i="1" s="1"/>
  <c r="N102" i="1"/>
  <c r="G102" i="1"/>
  <c r="H102" i="1" s="1"/>
  <c r="W102" i="1" s="1"/>
  <c r="O101" i="1"/>
  <c r="S101" i="1" s="1"/>
  <c r="N101" i="1"/>
  <c r="G101" i="1"/>
  <c r="H101" i="1" s="1"/>
  <c r="W101" i="1" s="1"/>
  <c r="O100" i="1"/>
  <c r="S100" i="1" s="1"/>
  <c r="N100" i="1"/>
  <c r="G100" i="1"/>
  <c r="H100" i="1" s="1"/>
  <c r="W100" i="1" s="1"/>
  <c r="G99" i="1"/>
  <c r="F99" i="1"/>
  <c r="E99" i="1"/>
  <c r="E5" i="1" s="1"/>
  <c r="O98" i="1"/>
  <c r="S98" i="1" s="1"/>
  <c r="N98" i="1"/>
  <c r="G98" i="1"/>
  <c r="H98" i="1" s="1"/>
  <c r="W98" i="1" s="1"/>
  <c r="O97" i="1"/>
  <c r="S97" i="1" s="1"/>
  <c r="N97" i="1"/>
  <c r="G97" i="1"/>
  <c r="H97" i="1" s="1"/>
  <c r="W97" i="1" s="1"/>
  <c r="O96" i="1"/>
  <c r="S96" i="1" s="1"/>
  <c r="N96" i="1"/>
  <c r="G96" i="1"/>
  <c r="H96" i="1" s="1"/>
  <c r="O95" i="1"/>
  <c r="S95" i="1" s="1"/>
  <c r="N95" i="1"/>
  <c r="G95" i="1"/>
  <c r="H95" i="1" s="1"/>
  <c r="W95" i="1" s="1"/>
  <c r="O94" i="1"/>
  <c r="S94" i="1" s="1"/>
  <c r="N94" i="1"/>
  <c r="G94" i="1"/>
  <c r="H94" i="1" s="1"/>
  <c r="W94" i="1" s="1"/>
  <c r="O93" i="1"/>
  <c r="S93" i="1" s="1"/>
  <c r="N93" i="1"/>
  <c r="G93" i="1"/>
  <c r="H93" i="1" s="1"/>
  <c r="W93" i="1" s="1"/>
  <c r="O92" i="1"/>
  <c r="S92" i="1" s="1"/>
  <c r="N92" i="1"/>
  <c r="G92" i="1"/>
  <c r="H92" i="1" s="1"/>
  <c r="W92" i="1" s="1"/>
  <c r="O91" i="1"/>
  <c r="S91" i="1" s="1"/>
  <c r="N91" i="1"/>
  <c r="G91" i="1"/>
  <c r="H91" i="1" s="1"/>
  <c r="W91" i="1" s="1"/>
  <c r="O90" i="1"/>
  <c r="S90" i="1" s="1"/>
  <c r="N90" i="1"/>
  <c r="G90" i="1"/>
  <c r="H90" i="1" s="1"/>
  <c r="W90" i="1" s="1"/>
  <c r="O89" i="1"/>
  <c r="S89" i="1" s="1"/>
  <c r="N89" i="1"/>
  <c r="G89" i="1"/>
  <c r="H89" i="1" s="1"/>
  <c r="O88" i="1"/>
  <c r="S88" i="1" s="1"/>
  <c r="N88" i="1"/>
  <c r="G88" i="1"/>
  <c r="H88" i="1" s="1"/>
  <c r="O87" i="1"/>
  <c r="S87" i="1" s="1"/>
  <c r="N87" i="1"/>
  <c r="G87" i="1"/>
  <c r="H87" i="1" s="1"/>
  <c r="W87" i="1" s="1"/>
  <c r="O86" i="1"/>
  <c r="S86" i="1" s="1"/>
  <c r="N86" i="1"/>
  <c r="G86" i="1"/>
  <c r="H86" i="1" s="1"/>
  <c r="O85" i="1"/>
  <c r="S85" i="1" s="1"/>
  <c r="N85" i="1"/>
  <c r="G85" i="1"/>
  <c r="H85" i="1" s="1"/>
  <c r="O84" i="1"/>
  <c r="S84" i="1" s="1"/>
  <c r="N84" i="1"/>
  <c r="G84" i="1"/>
  <c r="H84" i="1" s="1"/>
  <c r="O83" i="1"/>
  <c r="S83" i="1" s="1"/>
  <c r="N83" i="1"/>
  <c r="G83" i="1"/>
  <c r="H83" i="1" s="1"/>
  <c r="O82" i="1"/>
  <c r="S82" i="1" s="1"/>
  <c r="N82" i="1"/>
  <c r="G82" i="1"/>
  <c r="H82" i="1" s="1"/>
  <c r="W82" i="1" s="1"/>
  <c r="O81" i="1"/>
  <c r="S81" i="1" s="1"/>
  <c r="N81" i="1"/>
  <c r="G81" i="1"/>
  <c r="H81" i="1" s="1"/>
  <c r="O80" i="1"/>
  <c r="S80" i="1" s="1"/>
  <c r="N80" i="1"/>
  <c r="G80" i="1"/>
  <c r="H80" i="1" s="1"/>
  <c r="O79" i="1"/>
  <c r="S79" i="1" s="1"/>
  <c r="N79" i="1"/>
  <c r="G79" i="1"/>
  <c r="H79" i="1" s="1"/>
  <c r="O78" i="1"/>
  <c r="S78" i="1" s="1"/>
  <c r="N78" i="1"/>
  <c r="G78" i="1"/>
  <c r="H78" i="1" s="1"/>
  <c r="W78" i="1" s="1"/>
  <c r="O77" i="1"/>
  <c r="S77" i="1" s="1"/>
  <c r="N77" i="1"/>
  <c r="G77" i="1"/>
  <c r="F77" i="1"/>
  <c r="O76" i="1"/>
  <c r="S76" i="1" s="1"/>
  <c r="N76" i="1"/>
  <c r="G76" i="1"/>
  <c r="H76" i="1" s="1"/>
  <c r="O75" i="1"/>
  <c r="S75" i="1" s="1"/>
  <c r="N75" i="1"/>
  <c r="G75" i="1"/>
  <c r="H75" i="1" s="1"/>
  <c r="O74" i="1"/>
  <c r="S74" i="1" s="1"/>
  <c r="N74" i="1"/>
  <c r="G74" i="1"/>
  <c r="H74" i="1" s="1"/>
  <c r="O73" i="1"/>
  <c r="S73" i="1" s="1"/>
  <c r="N73" i="1"/>
  <c r="G73" i="1"/>
  <c r="H73" i="1" s="1"/>
  <c r="O72" i="1"/>
  <c r="S72" i="1" s="1"/>
  <c r="N72" i="1"/>
  <c r="G72" i="1"/>
  <c r="H72" i="1" s="1"/>
  <c r="O71" i="1"/>
  <c r="S71" i="1" s="1"/>
  <c r="N71" i="1"/>
  <c r="G71" i="1"/>
  <c r="H71" i="1" s="1"/>
  <c r="O70" i="1"/>
  <c r="S70" i="1" s="1"/>
  <c r="N70" i="1"/>
  <c r="G70" i="1"/>
  <c r="H70" i="1" s="1"/>
  <c r="O69" i="1"/>
  <c r="S69" i="1" s="1"/>
  <c r="N69" i="1"/>
  <c r="G69" i="1"/>
  <c r="H69" i="1" s="1"/>
  <c r="O68" i="1"/>
  <c r="S68" i="1" s="1"/>
  <c r="N68" i="1"/>
  <c r="G68" i="1"/>
  <c r="H68" i="1" s="1"/>
  <c r="O67" i="1"/>
  <c r="S67" i="1" s="1"/>
  <c r="N67" i="1"/>
  <c r="G67" i="1"/>
  <c r="H67" i="1" s="1"/>
  <c r="O66" i="1"/>
  <c r="S66" i="1" s="1"/>
  <c r="N66" i="1"/>
  <c r="G66" i="1"/>
  <c r="H66" i="1" s="1"/>
  <c r="O65" i="1"/>
  <c r="S65" i="1" s="1"/>
  <c r="N65" i="1"/>
  <c r="G65" i="1"/>
  <c r="H65" i="1" s="1"/>
  <c r="O64" i="1"/>
  <c r="S64" i="1" s="1"/>
  <c r="N64" i="1"/>
  <c r="G64" i="1"/>
  <c r="H64" i="1" s="1"/>
  <c r="O63" i="1"/>
  <c r="S63" i="1" s="1"/>
  <c r="N63" i="1"/>
  <c r="G63" i="1"/>
  <c r="H63" i="1" s="1"/>
  <c r="O62" i="1"/>
  <c r="S62" i="1" s="1"/>
  <c r="N62" i="1"/>
  <c r="G62" i="1"/>
  <c r="H62" i="1" s="1"/>
  <c r="W62" i="1" s="1"/>
  <c r="O61" i="1"/>
  <c r="S61" i="1" s="1"/>
  <c r="N61" i="1"/>
  <c r="G61" i="1"/>
  <c r="H61" i="1" s="1"/>
  <c r="W61" i="1" s="1"/>
  <c r="O60" i="1"/>
  <c r="S60" i="1" s="1"/>
  <c r="N60" i="1"/>
  <c r="G60" i="1"/>
  <c r="H60" i="1" s="1"/>
  <c r="O59" i="1"/>
  <c r="S59" i="1" s="1"/>
  <c r="N59" i="1"/>
  <c r="G59" i="1"/>
  <c r="H59" i="1" s="1"/>
  <c r="O58" i="1"/>
  <c r="S58" i="1" s="1"/>
  <c r="N58" i="1"/>
  <c r="G58" i="1"/>
  <c r="H58" i="1" s="1"/>
  <c r="W58" i="1" s="1"/>
  <c r="O57" i="1"/>
  <c r="S57" i="1" s="1"/>
  <c r="N57" i="1"/>
  <c r="G57" i="1"/>
  <c r="H57" i="1" s="1"/>
  <c r="W57" i="1" s="1"/>
  <c r="O56" i="1"/>
  <c r="S56" i="1" s="1"/>
  <c r="N56" i="1"/>
  <c r="G56" i="1"/>
  <c r="H56" i="1" s="1"/>
  <c r="O55" i="1"/>
  <c r="S55" i="1" s="1"/>
  <c r="N55" i="1"/>
  <c r="G55" i="1"/>
  <c r="H55" i="1" s="1"/>
  <c r="O54" i="1"/>
  <c r="S54" i="1" s="1"/>
  <c r="N54" i="1"/>
  <c r="G54" i="1"/>
  <c r="H54" i="1" s="1"/>
  <c r="O53" i="1"/>
  <c r="S53" i="1" s="1"/>
  <c r="N53" i="1"/>
  <c r="G53" i="1"/>
  <c r="H53" i="1" s="1"/>
  <c r="O52" i="1"/>
  <c r="S52" i="1" s="1"/>
  <c r="N52" i="1"/>
  <c r="G52" i="1"/>
  <c r="H52" i="1" s="1"/>
  <c r="O51" i="1"/>
  <c r="S51" i="1" s="1"/>
  <c r="N51" i="1"/>
  <c r="G51" i="1"/>
  <c r="H51" i="1" s="1"/>
  <c r="O50" i="1"/>
  <c r="S50" i="1" s="1"/>
  <c r="N50" i="1"/>
  <c r="G50" i="1"/>
  <c r="H50" i="1" s="1"/>
  <c r="O49" i="1"/>
  <c r="S49" i="1" s="1"/>
  <c r="N49" i="1"/>
  <c r="G49" i="1"/>
  <c r="H49" i="1" s="1"/>
  <c r="O48" i="1"/>
  <c r="S48" i="1" s="1"/>
  <c r="N48" i="1"/>
  <c r="G48" i="1"/>
  <c r="H48" i="1" s="1"/>
  <c r="O47" i="1"/>
  <c r="S47" i="1" s="1"/>
  <c r="N47" i="1"/>
  <c r="G47" i="1"/>
  <c r="H47" i="1" s="1"/>
  <c r="O46" i="1"/>
  <c r="S46" i="1" s="1"/>
  <c r="N46" i="1"/>
  <c r="G46" i="1"/>
  <c r="H46" i="1" s="1"/>
  <c r="O45" i="1"/>
  <c r="S45" i="1" s="1"/>
  <c r="N45" i="1"/>
  <c r="G45" i="1"/>
  <c r="H45" i="1" s="1"/>
  <c r="O44" i="1"/>
  <c r="S44" i="1" s="1"/>
  <c r="N44" i="1"/>
  <c r="G44" i="1"/>
  <c r="H44" i="1" s="1"/>
  <c r="O43" i="1"/>
  <c r="S43" i="1" s="1"/>
  <c r="N43" i="1"/>
  <c r="G43" i="1"/>
  <c r="H43" i="1" s="1"/>
  <c r="O42" i="1"/>
  <c r="S42" i="1" s="1"/>
  <c r="N42" i="1"/>
  <c r="G42" i="1"/>
  <c r="H42" i="1" s="1"/>
  <c r="O41" i="1"/>
  <c r="S41" i="1" s="1"/>
  <c r="N41" i="1"/>
  <c r="G41" i="1"/>
  <c r="H41" i="1" s="1"/>
  <c r="W41" i="1" s="1"/>
  <c r="O40" i="1"/>
  <c r="S40" i="1" s="1"/>
  <c r="N40" i="1"/>
  <c r="G40" i="1"/>
  <c r="H40" i="1" s="1"/>
  <c r="W40" i="1" s="1"/>
  <c r="O39" i="1"/>
  <c r="S39" i="1" s="1"/>
  <c r="N39" i="1"/>
  <c r="H39" i="1"/>
  <c r="O38" i="1"/>
  <c r="S38" i="1" s="1"/>
  <c r="N38" i="1"/>
  <c r="G38" i="1"/>
  <c r="H38" i="1" s="1"/>
  <c r="O37" i="1"/>
  <c r="S37" i="1" s="1"/>
  <c r="N37" i="1"/>
  <c r="G37" i="1"/>
  <c r="H37" i="1" s="1"/>
  <c r="W37" i="1" s="1"/>
  <c r="O36" i="1"/>
  <c r="S36" i="1" s="1"/>
  <c r="N36" i="1"/>
  <c r="G36" i="1"/>
  <c r="H36" i="1" s="1"/>
  <c r="O35" i="1"/>
  <c r="S35" i="1" s="1"/>
  <c r="N35" i="1"/>
  <c r="G35" i="1"/>
  <c r="H35" i="1" s="1"/>
  <c r="W35" i="1" s="1"/>
  <c r="O34" i="1"/>
  <c r="S34" i="1" s="1"/>
  <c r="N34" i="1"/>
  <c r="G34" i="1"/>
  <c r="H34" i="1" s="1"/>
  <c r="O33" i="1"/>
  <c r="S33" i="1" s="1"/>
  <c r="N33" i="1"/>
  <c r="G33" i="1"/>
  <c r="H33" i="1" s="1"/>
  <c r="O32" i="1"/>
  <c r="S32" i="1" s="1"/>
  <c r="N32" i="1"/>
  <c r="G32" i="1"/>
  <c r="H32" i="1" s="1"/>
  <c r="O31" i="1"/>
  <c r="S31" i="1" s="1"/>
  <c r="N31" i="1"/>
  <c r="G31" i="1"/>
  <c r="H31" i="1" s="1"/>
  <c r="O30" i="1"/>
  <c r="S30" i="1" s="1"/>
  <c r="N30" i="1"/>
  <c r="G30" i="1"/>
  <c r="H30" i="1" s="1"/>
  <c r="O29" i="1"/>
  <c r="S29" i="1" s="1"/>
  <c r="N29" i="1"/>
  <c r="G29" i="1"/>
  <c r="H29" i="1" s="1"/>
  <c r="O28" i="1"/>
  <c r="S28" i="1" s="1"/>
  <c r="N28" i="1"/>
  <c r="G28" i="1"/>
  <c r="H28" i="1" s="1"/>
  <c r="O27" i="1"/>
  <c r="S27" i="1" s="1"/>
  <c r="N27" i="1"/>
  <c r="G27" i="1"/>
  <c r="H27" i="1" s="1"/>
  <c r="W27" i="1" s="1"/>
  <c r="O26" i="1"/>
  <c r="S26" i="1" s="1"/>
  <c r="N26" i="1"/>
  <c r="G26" i="1"/>
  <c r="H26" i="1" s="1"/>
  <c r="W26" i="1" s="1"/>
  <c r="O25" i="1"/>
  <c r="S25" i="1" s="1"/>
  <c r="N25" i="1"/>
  <c r="G25" i="1"/>
  <c r="H25" i="1" s="1"/>
  <c r="O24" i="1"/>
  <c r="S24" i="1" s="1"/>
  <c r="N24" i="1"/>
  <c r="G24" i="1"/>
  <c r="H24" i="1" s="1"/>
  <c r="O23" i="1"/>
  <c r="S23" i="1" s="1"/>
  <c r="N23" i="1"/>
  <c r="G23" i="1"/>
  <c r="H23" i="1" s="1"/>
  <c r="O22" i="1"/>
  <c r="S22" i="1" s="1"/>
  <c r="N22" i="1"/>
  <c r="G22" i="1"/>
  <c r="H22" i="1" s="1"/>
  <c r="O21" i="1"/>
  <c r="S21" i="1" s="1"/>
  <c r="N21" i="1"/>
  <c r="G21" i="1"/>
  <c r="H21" i="1" s="1"/>
  <c r="O20" i="1"/>
  <c r="S20" i="1" s="1"/>
  <c r="N20" i="1"/>
  <c r="G20" i="1"/>
  <c r="H20" i="1" s="1"/>
  <c r="O19" i="1"/>
  <c r="S19" i="1" s="1"/>
  <c r="N19" i="1"/>
  <c r="G19" i="1"/>
  <c r="H19" i="1" s="1"/>
  <c r="O18" i="1"/>
  <c r="S18" i="1" s="1"/>
  <c r="N18" i="1"/>
  <c r="G18" i="1"/>
  <c r="H18" i="1" s="1"/>
  <c r="O17" i="1"/>
  <c r="S17" i="1" s="1"/>
  <c r="N17" i="1"/>
  <c r="G17" i="1"/>
  <c r="H17" i="1" s="1"/>
  <c r="O16" i="1"/>
  <c r="S16" i="1" s="1"/>
  <c r="N16" i="1"/>
  <c r="G16" i="1"/>
  <c r="H16" i="1" s="1"/>
  <c r="O15" i="1"/>
  <c r="S15" i="1" s="1"/>
  <c r="N15" i="1"/>
  <c r="G15" i="1"/>
  <c r="H15" i="1" s="1"/>
  <c r="O14" i="1"/>
  <c r="S14" i="1" s="1"/>
  <c r="N14" i="1"/>
  <c r="G14" i="1"/>
  <c r="H14" i="1" s="1"/>
  <c r="O13" i="1"/>
  <c r="S13" i="1" s="1"/>
  <c r="N13" i="1"/>
  <c r="G13" i="1"/>
  <c r="H13" i="1" s="1"/>
  <c r="O12" i="1"/>
  <c r="S12" i="1" s="1"/>
  <c r="N12" i="1"/>
  <c r="G12" i="1"/>
  <c r="H12" i="1" s="1"/>
  <c r="O11" i="1"/>
  <c r="S11" i="1" s="1"/>
  <c r="N11" i="1"/>
  <c r="G11" i="1"/>
  <c r="H11" i="1" s="1"/>
  <c r="O10" i="1"/>
  <c r="S10" i="1" s="1"/>
  <c r="N10" i="1"/>
  <c r="G10" i="1"/>
  <c r="H10" i="1" s="1"/>
  <c r="O9" i="1"/>
  <c r="S9" i="1" s="1"/>
  <c r="N9" i="1"/>
  <c r="G9" i="1"/>
  <c r="H9" i="1" s="1"/>
  <c r="O8" i="1"/>
  <c r="S8" i="1" s="1"/>
  <c r="N8" i="1"/>
  <c r="H8" i="1"/>
  <c r="O7" i="1"/>
  <c r="S7" i="1" s="1"/>
  <c r="N7" i="1"/>
  <c r="G7" i="1"/>
  <c r="H7" i="1" s="1"/>
  <c r="O6" i="1"/>
  <c r="S6" i="1" s="1"/>
  <c r="N6" i="1"/>
  <c r="G6" i="1"/>
  <c r="H6" i="1" s="1"/>
  <c r="AH5" i="1"/>
  <c r="AG5" i="1"/>
  <c r="AF5" i="1"/>
  <c r="AE5" i="1"/>
  <c r="AD5" i="1"/>
  <c r="AC5" i="1"/>
  <c r="AB5" i="1"/>
  <c r="AA5" i="1"/>
  <c r="Z5" i="1"/>
  <c r="Y5" i="1"/>
  <c r="R5" i="1"/>
  <c r="Q5" i="1"/>
  <c r="P5" i="1"/>
  <c r="M5" i="1"/>
  <c r="X6" i="1" l="1"/>
  <c r="W6" i="1"/>
  <c r="X8" i="1"/>
  <c r="X10" i="1"/>
  <c r="W10" i="1"/>
  <c r="X12" i="1"/>
  <c r="W12" i="1"/>
  <c r="X14" i="1"/>
  <c r="X16" i="1"/>
  <c r="X18" i="1"/>
  <c r="X20" i="1"/>
  <c r="W20" i="1"/>
  <c r="X22" i="1"/>
  <c r="W22" i="1"/>
  <c r="X24" i="1"/>
  <c r="W24" i="1"/>
  <c r="X28" i="1"/>
  <c r="X30" i="1"/>
  <c r="W30" i="1"/>
  <c r="X32" i="1"/>
  <c r="X36" i="1"/>
  <c r="W36" i="1"/>
  <c r="X38" i="1"/>
  <c r="W38" i="1"/>
  <c r="X46" i="1"/>
  <c r="X48" i="1"/>
  <c r="X50" i="1"/>
  <c r="X60" i="1"/>
  <c r="W60" i="1"/>
  <c r="X64" i="1"/>
  <c r="W64" i="1"/>
  <c r="X66" i="1"/>
  <c r="X68" i="1"/>
  <c r="W68" i="1"/>
  <c r="X70" i="1"/>
  <c r="X72" i="1"/>
  <c r="W72" i="1"/>
  <c r="X74" i="1"/>
  <c r="W74" i="1"/>
  <c r="X76" i="1"/>
  <c r="W76" i="1"/>
  <c r="X116" i="1"/>
  <c r="W116" i="1"/>
  <c r="X118" i="1"/>
  <c r="W118" i="1"/>
  <c r="X7" i="1"/>
  <c r="X9" i="1"/>
  <c r="X11" i="1"/>
  <c r="W11" i="1"/>
  <c r="X13" i="1"/>
  <c r="W13" i="1"/>
  <c r="X15" i="1"/>
  <c r="W15" i="1"/>
  <c r="X17" i="1"/>
  <c r="W17" i="1"/>
  <c r="X19" i="1"/>
  <c r="W19" i="1"/>
  <c r="X21" i="1"/>
  <c r="X23" i="1"/>
  <c r="X29" i="1"/>
  <c r="W29" i="1"/>
  <c r="X31" i="1"/>
  <c r="X33" i="1"/>
  <c r="W33" i="1"/>
  <c r="X39" i="1"/>
  <c r="W39" i="1"/>
  <c r="X47" i="1"/>
  <c r="W47" i="1"/>
  <c r="X49" i="1"/>
  <c r="W49" i="1"/>
  <c r="X51" i="1"/>
  <c r="W51" i="1"/>
  <c r="X59" i="1"/>
  <c r="W59" i="1"/>
  <c r="X63" i="1"/>
  <c r="X65" i="1"/>
  <c r="X67" i="1"/>
  <c r="W67" i="1"/>
  <c r="X69" i="1"/>
  <c r="X71" i="1"/>
  <c r="X73" i="1"/>
  <c r="W73" i="1"/>
  <c r="X75" i="1"/>
  <c r="W75" i="1"/>
  <c r="X115" i="1"/>
  <c r="X117" i="1"/>
  <c r="W117" i="1"/>
  <c r="X119" i="1"/>
  <c r="W119" i="1"/>
  <c r="T43" i="1"/>
  <c r="AJ43" i="1" s="1"/>
  <c r="T66" i="1"/>
  <c r="AJ66" i="1" s="1"/>
  <c r="T70" i="1"/>
  <c r="U70" i="1" s="1"/>
  <c r="AJ70" i="1" s="1"/>
  <c r="T84" i="1"/>
  <c r="U84" i="1" s="1"/>
  <c r="AJ84" i="1" s="1"/>
  <c r="T31" i="1"/>
  <c r="U31" i="1" s="1"/>
  <c r="AJ31" i="1" s="1"/>
  <c r="T45" i="1"/>
  <c r="U45" i="1" s="1"/>
  <c r="AJ45" i="1" s="1"/>
  <c r="T53" i="1"/>
  <c r="U53" i="1" s="1"/>
  <c r="AJ53" i="1" s="1"/>
  <c r="T46" i="1"/>
  <c r="AJ46" i="1" s="1"/>
  <c r="T8" i="1"/>
  <c r="T69" i="1"/>
  <c r="T86" i="1"/>
  <c r="T65" i="1"/>
  <c r="T63" i="1"/>
  <c r="T81" i="1"/>
  <c r="T25" i="1"/>
  <c r="T50" i="1"/>
  <c r="T85" i="1"/>
  <c r="T115" i="1"/>
  <c r="T23" i="1"/>
  <c r="T80" i="1"/>
  <c r="T42" i="1"/>
  <c r="T44" i="1"/>
  <c r="T56" i="1"/>
  <c r="T9" i="1"/>
  <c r="T14" i="1"/>
  <c r="T21" i="1"/>
  <c r="T28" i="1"/>
  <c r="T52" i="1"/>
  <c r="T54" i="1"/>
  <c r="T71" i="1"/>
  <c r="T83" i="1"/>
  <c r="T89" i="1"/>
  <c r="N99" i="1"/>
  <c r="O99" i="1"/>
  <c r="S99" i="1" s="1"/>
  <c r="S5" i="1" s="1"/>
  <c r="T105" i="1"/>
  <c r="T113" i="1"/>
  <c r="T7" i="1"/>
  <c r="T16" i="1"/>
  <c r="T18" i="1"/>
  <c r="T32" i="1"/>
  <c r="T34" i="1"/>
  <c r="T48" i="1"/>
  <c r="T55" i="1"/>
  <c r="T79" i="1"/>
  <c r="T88" i="1"/>
  <c r="T96" i="1"/>
  <c r="T106" i="1"/>
  <c r="H99" i="1"/>
  <c r="F5" i="1"/>
  <c r="O5" i="1"/>
  <c r="H114" i="1"/>
  <c r="X100" i="1"/>
  <c r="X101" i="1"/>
  <c r="X102" i="1"/>
  <c r="X103" i="1"/>
  <c r="X104" i="1"/>
  <c r="X105" i="1"/>
  <c r="X106" i="1"/>
  <c r="X107" i="1"/>
  <c r="X108" i="1"/>
  <c r="X109" i="1"/>
  <c r="X112" i="1"/>
  <c r="N5" i="1"/>
  <c r="H77" i="1"/>
  <c r="X25" i="1"/>
  <c r="X27" i="1"/>
  <c r="X35" i="1"/>
  <c r="X37" i="1"/>
  <c r="X41" i="1"/>
  <c r="X43" i="1"/>
  <c r="X45" i="1"/>
  <c r="X26" i="1"/>
  <c r="X34" i="1"/>
  <c r="X40" i="1"/>
  <c r="X42" i="1"/>
  <c r="X44" i="1"/>
  <c r="X53" i="1"/>
  <c r="X55" i="1"/>
  <c r="X58" i="1"/>
  <c r="X61" i="1"/>
  <c r="X52" i="1"/>
  <c r="X54" i="1"/>
  <c r="X56" i="1"/>
  <c r="X57" i="1"/>
  <c r="X62" i="1"/>
  <c r="X78" i="1"/>
  <c r="X84" i="1"/>
  <c r="X86" i="1"/>
  <c r="X88" i="1"/>
  <c r="X89" i="1"/>
  <c r="X90" i="1"/>
  <c r="X91" i="1"/>
  <c r="X93" i="1"/>
  <c r="X94" i="1"/>
  <c r="X96" i="1"/>
  <c r="X98" i="1"/>
  <c r="X79" i="1"/>
  <c r="X80" i="1"/>
  <c r="X81" i="1"/>
  <c r="X82" i="1"/>
  <c r="X83" i="1"/>
  <c r="X85" i="1"/>
  <c r="X87" i="1"/>
  <c r="X92" i="1"/>
  <c r="X95" i="1"/>
  <c r="X97" i="1"/>
  <c r="X110" i="1"/>
  <c r="X111" i="1"/>
  <c r="X113" i="1"/>
  <c r="U106" i="1" l="1"/>
  <c r="W106" i="1" s="1"/>
  <c r="U88" i="1"/>
  <c r="W88" i="1" s="1"/>
  <c r="U55" i="1"/>
  <c r="W55" i="1" s="1"/>
  <c r="U34" i="1"/>
  <c r="AJ34" i="1" s="1"/>
  <c r="W18" i="1"/>
  <c r="U105" i="1"/>
  <c r="W105" i="1" s="1"/>
  <c r="U83" i="1"/>
  <c r="AJ83" i="1" s="1"/>
  <c r="U54" i="1"/>
  <c r="AJ54" i="1" s="1"/>
  <c r="U28" i="1"/>
  <c r="W28" i="1" s="1"/>
  <c r="U14" i="1"/>
  <c r="W14" i="1" s="1"/>
  <c r="U56" i="1"/>
  <c r="W56" i="1" s="1"/>
  <c r="W42" i="1"/>
  <c r="U23" i="1"/>
  <c r="AJ23" i="1" s="1"/>
  <c r="U85" i="1"/>
  <c r="W85" i="1" s="1"/>
  <c r="W25" i="1"/>
  <c r="U63" i="1"/>
  <c r="W63" i="1" s="1"/>
  <c r="U86" i="1"/>
  <c r="AJ86" i="1" s="1"/>
  <c r="U8" i="1"/>
  <c r="W8" i="1" s="1"/>
  <c r="W31" i="1"/>
  <c r="U96" i="1"/>
  <c r="AJ96" i="1" s="1"/>
  <c r="U79" i="1"/>
  <c r="AJ79" i="1" s="1"/>
  <c r="AJ48" i="1"/>
  <c r="U32" i="1"/>
  <c r="AJ32" i="1" s="1"/>
  <c r="U16" i="1"/>
  <c r="AJ16" i="1" s="1"/>
  <c r="U113" i="1"/>
  <c r="AJ113" i="1" s="1"/>
  <c r="U89" i="1"/>
  <c r="AJ89" i="1" s="1"/>
  <c r="U71" i="1"/>
  <c r="AJ71" i="1" s="1"/>
  <c r="U52" i="1"/>
  <c r="AJ52" i="1" s="1"/>
  <c r="AJ21" i="1"/>
  <c r="U9" i="1"/>
  <c r="AJ9" i="1" s="1"/>
  <c r="U44" i="1"/>
  <c r="AJ44" i="1" s="1"/>
  <c r="U80" i="1"/>
  <c r="AJ80" i="1" s="1"/>
  <c r="U115" i="1"/>
  <c r="AJ115" i="1" s="1"/>
  <c r="U50" i="1"/>
  <c r="AJ50" i="1" s="1"/>
  <c r="AJ81" i="1"/>
  <c r="U65" i="1"/>
  <c r="AJ65" i="1" s="1"/>
  <c r="U69" i="1"/>
  <c r="AJ69" i="1" s="1"/>
  <c r="W70" i="1"/>
  <c r="T77" i="1"/>
  <c r="X99" i="1"/>
  <c r="W115" i="1"/>
  <c r="W84" i="1"/>
  <c r="W71" i="1"/>
  <c r="W65" i="1"/>
  <c r="W45" i="1"/>
  <c r="W81" i="1"/>
  <c r="W66" i="1"/>
  <c r="W52" i="1"/>
  <c r="X114" i="1"/>
  <c r="W114" i="1"/>
  <c r="AJ7" i="1"/>
  <c r="W86" i="1"/>
  <c r="W53" i="1"/>
  <c r="W43" i="1"/>
  <c r="W23" i="1"/>
  <c r="W7" i="1"/>
  <c r="W113" i="1"/>
  <c r="W83" i="1"/>
  <c r="W46" i="1"/>
  <c r="W44" i="1"/>
  <c r="X77" i="1"/>
  <c r="T99" i="1"/>
  <c r="H5" i="1"/>
  <c r="W48" i="1" l="1"/>
  <c r="W34" i="1"/>
  <c r="W54" i="1"/>
  <c r="W9" i="1"/>
  <c r="W16" i="1"/>
  <c r="AJ8" i="1"/>
  <c r="AJ63" i="1"/>
  <c r="AJ25" i="1"/>
  <c r="AJ85" i="1"/>
  <c r="AJ42" i="1"/>
  <c r="AJ56" i="1"/>
  <c r="AJ14" i="1"/>
  <c r="AJ28" i="1"/>
  <c r="AJ105" i="1"/>
  <c r="AJ18" i="1"/>
  <c r="AJ55" i="1"/>
  <c r="AJ88" i="1"/>
  <c r="AJ106" i="1"/>
  <c r="U77" i="1"/>
  <c r="AJ77" i="1" s="1"/>
  <c r="U99" i="1"/>
  <c r="AJ99" i="1" s="1"/>
  <c r="W50" i="1"/>
  <c r="W79" i="1"/>
  <c r="W89" i="1"/>
  <c r="W21" i="1"/>
  <c r="W80" i="1"/>
  <c r="W96" i="1"/>
  <c r="W32" i="1"/>
  <c r="W69" i="1"/>
  <c r="W77" i="1"/>
  <c r="T5" i="1"/>
  <c r="W99" i="1" l="1"/>
  <c r="U5" i="1"/>
  <c r="AJ5" i="1"/>
</calcChain>
</file>

<file path=xl/sharedStrings.xml><?xml version="1.0" encoding="utf-8"?>
<sst xmlns="http://schemas.openxmlformats.org/spreadsheetml/2006/main" count="462" uniqueCount="190">
  <si>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</si>
  <si>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</si>
  <si>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</si>
  <si>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</si>
  <si>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</si>
  <si>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</si>
  <si>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Грация</t>
  </si>
  <si>
    <t>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</si>
  <si>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</si>
  <si>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</si>
  <si>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</si>
  <si>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</si>
  <si>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</si>
  <si>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</si>
  <si>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</si>
  <si>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</si>
  <si>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</si>
  <si>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</si>
  <si>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</si>
  <si>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</si>
  <si>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</si>
  <si>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</si>
  <si>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</si>
  <si>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</si>
  <si>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остатки</t>
  </si>
  <si>
    <t>08,09,</t>
  </si>
  <si>
    <t>08,09,доз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</si>
  <si>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</si>
  <si>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</si>
  <si>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</si>
  <si>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</si>
  <si>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</si>
  <si>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</si>
  <si>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</si>
  <si>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</si>
  <si>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</si>
  <si>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</si>
  <si>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</si>
  <si>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</si>
  <si>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</si>
  <si>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</si>
  <si>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</si>
  <si>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</si>
  <si>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</si>
  <si>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</si>
  <si>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</si>
  <si>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</si>
  <si>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</si>
  <si>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</si>
  <si>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</si>
  <si>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</si>
  <si>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</si>
  <si>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</si>
  <si>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</si>
  <si>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</si>
  <si>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</si>
  <si>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</si>
  <si>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</si>
  <si>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</si>
  <si>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</si>
  <si>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</si>
  <si>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6025 ВЕТЧ.ФИРМЕННАЯ С ИНДЕЙКОЙ п/о   ОСТАНКИНО</t>
  </si>
  <si>
    <t>не в матрице</t>
  </si>
  <si>
    <t>нужно увеличить продажи!!! / Грация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</si>
  <si>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</si>
  <si>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</si>
  <si>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</si>
  <si>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</si>
  <si>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</si>
  <si>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нужно увеличить продажи!!!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</si>
  <si>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</si>
  <si>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</si>
  <si>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</si>
  <si>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</si>
  <si>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</si>
  <si>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</si>
  <si>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</si>
  <si>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</si>
  <si>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нужно увеличить продажи!!! / 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</si>
  <si>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</si>
  <si>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</si>
  <si>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</si>
  <si>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</si>
  <si>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</si>
  <si>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</si>
  <si>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</si>
  <si>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</si>
  <si>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</si>
  <si>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</si>
  <si>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</si>
  <si>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</si>
  <si>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</si>
  <si>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</si>
  <si>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</si>
  <si>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19,08,26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</si>
  <si>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</si>
  <si>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</si>
  <si>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</si>
  <si>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</si>
  <si>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</si>
  <si>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</si>
  <si>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</si>
  <si>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</si>
  <si>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</si>
  <si>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</si>
  <si>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</si>
  <si>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</si>
  <si>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</si>
  <si>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</si>
  <si>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</si>
  <si>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нет потребности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</si>
  <si>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</si>
  <si>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</si>
  <si>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</si>
  <si>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новинка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</si>
  <si>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</si>
  <si>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</si>
  <si>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</si>
  <si>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</si>
  <si>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</si>
  <si>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</si>
  <si>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</si>
  <si>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</si>
  <si>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</si>
  <si>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</si>
  <si>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</si>
  <si>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</si>
  <si>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</si>
  <si>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</si>
  <si>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</si>
  <si>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</si>
  <si>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</si>
  <si>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</si>
  <si>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</si>
  <si>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</si>
  <si>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нужно увеличить продажи / Грация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</si>
  <si>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</si>
  <si>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</si>
  <si>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</si>
  <si>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</si>
  <si>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</si>
  <si>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</si>
  <si>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</si>
  <si>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</si>
  <si>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</si>
  <si>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7299 НАБОР ДЛЯ ПИЦЦЫ Папа Может с/к в/у  ОСТАНКИНО</t>
  </si>
  <si>
    <t>нужно увеличить продажи!!! / новинка / 100кг под ТК (Титенок просила 200кг 12,08,26)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</si>
  <si>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</si>
  <si>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</si>
  <si>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</t>
  </si>
  <si>
    <t>3 года</t>
  </si>
  <si>
    <t>7345 КОНСЕРВЫ МЯС.СВИНИНА ТУШ. В/С 325г_ЧЗ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</si>
  <si>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</si>
  <si>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</si>
  <si>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</si>
  <si>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</si>
  <si>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</si>
  <si>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</si>
  <si>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</si>
  <si>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</si>
  <si>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</si>
  <si>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</si>
  <si>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</si>
  <si>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</si>
  <si>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</si>
  <si>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</si>
  <si>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нужно увеличить продажи!!! / помощь заводу</t>
  </si>
  <si>
    <t>7603 БАЛЫКОВАЯ в/к в/у 0.33кг 8шт. ОСТАНКИНО</t>
  </si>
  <si>
    <t>7608 СЕРВЕЛАТ ШВЕЙЦАРСК.в/к с/н в/у 1/100_Л11  ОСТАНКИНО</t>
  </si>
  <si>
    <t>нужно увеличить продажи!!! / вместо 6459</t>
  </si>
  <si>
    <t>7612 БАЛЫК с/к с/н в/у 1/100 10шт_  ОСТАНКИНО</t>
  </si>
  <si>
    <t>вместо 7288</t>
  </si>
  <si>
    <t>вместо 6454</t>
  </si>
  <si>
    <t>вместо 6453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</si>
  <si>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</si>
  <si>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</si>
  <si>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</si>
  <si>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</si>
  <si>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</t>
  </si>
  <si>
    <t>8014 ДОКТОРСКАЯ ПРЕМИУМ вар п/о(п)</t>
  </si>
  <si>
    <t>новинка / нужно увеличить продажи!!!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</si>
  <si>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плюсом 5 дней</t>
    </r>
  </si>
  <si>
    <t>нужно увеличить продажи</t>
  </si>
  <si>
    <t>нужно увеличить продажи / 192шт списано (11,08,26)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</si>
  <si>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374шт списание (11,08,26)</t>
    </r>
  </si>
  <si>
    <t>нужно увеличить продажи / 268шт списание (20,08,26)</t>
  </si>
  <si>
    <t>заказ</t>
  </si>
  <si>
    <t>15,09,</t>
  </si>
  <si>
    <t>ТК</t>
  </si>
  <si>
    <t>Титенок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</si>
</sst>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164" fontId="5" fillId="0" borderId="1" xfId="1" applyNumberFormat="1" applyFont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86;&#1089;&#1090;&#1072;&#1090;&#1082;&#1080;%20&#1043;&#1088;&#1072;&#1094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%20&#1080;%20&#1047;&#1055;&#1060;/+&#1076;&#1074;%2007_09_26%20&#1073;&#1088;&#1088;&#1089;&#1095;%20&#1086;&#1089;&#1090;%20&#1082;&#1080;%20(&#1058;&#1080;&#1090;&#1077;&#1085;&#1086;&#1082;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%20&#1080;%20&#1047;&#1055;&#1060;/&#1041;&#1077;&#1088;&#1076;&#1103;&#1085;&#1089;&#1082;/&#1086;&#1089;&#1090;&#1072;&#1090;&#1082;&#1080;%20&#1043;&#1088;&#1072;&#1094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Номенклатура</v>
          </cell>
          <cell r="B1" t="str">
            <v>ед.изм.</v>
          </cell>
          <cell r="C1" t="str">
            <v>кооф.</v>
          </cell>
          <cell r="D1" t="str">
            <v>кол-во</v>
          </cell>
        </row>
        <row r="2">
          <cell r="A2" t="str">
            <v>0614 ПРАЗДНИЧНАЯ с/к в/с дек.спец.мгс  Останкино</v>
          </cell>
          <cell r="B2" t="str">
            <v>кг</v>
          </cell>
          <cell r="C2">
            <v>1</v>
          </cell>
        </row>
        <row r="3">
          <cell r="A3" t="str">
            <v>3215 ВЕТЧ.МЯСНАЯ Папа может п/о 0.4кг 8шт.    ОСТАНКИНО</v>
          </cell>
          <cell r="B3" t="str">
            <v>шт</v>
          </cell>
          <cell r="C3">
            <v>0.4</v>
          </cell>
        </row>
        <row r="4">
          <cell r="A4" t="str">
            <v>3287 САЛЯМИ ИТАЛЬЯНСКАЯ с/к в/у ОСТАНКИНО</v>
          </cell>
          <cell r="B4" t="str">
            <v>кг</v>
          </cell>
          <cell r="C4">
            <v>1</v>
          </cell>
        </row>
        <row r="5">
          <cell r="A5" t="str">
            <v>3986 Ароматная с/к в/у 1/250 ОСТАНКИНО</v>
          </cell>
          <cell r="B5" t="str">
            <v>шт</v>
          </cell>
          <cell r="C5">
            <v>0.25</v>
          </cell>
        </row>
        <row r="6">
          <cell r="A6" t="str">
            <v>4063 МЯСНАЯ Папа может вар п/о_Л   ОСТАНКИНО</v>
          </cell>
          <cell r="B6" t="str">
            <v>кг</v>
          </cell>
          <cell r="C6">
            <v>1</v>
          </cell>
          <cell r="D6">
            <v>331.28</v>
          </cell>
        </row>
        <row r="7">
          <cell r="A7" t="str">
            <v>4117 ЭКСТРА Папа может с/к в/у_Л   ОСТАНКИНО</v>
          </cell>
          <cell r="B7" t="str">
            <v>кг</v>
          </cell>
          <cell r="C7">
            <v>1</v>
          </cell>
        </row>
        <row r="8">
          <cell r="A8" t="str">
            <v>4574 Мясная со шпиком Папа может вар п/о ОСТАНКИНО</v>
          </cell>
          <cell r="B8" t="str">
            <v>кг</v>
          </cell>
          <cell r="C8">
            <v>1</v>
          </cell>
        </row>
        <row r="9">
          <cell r="A9" t="str">
            <v>4813 ФИЛЕЙНАЯ Папа может вар п/о_Л   ОСТАНКИНО</v>
          </cell>
          <cell r="B9" t="str">
            <v>кг</v>
          </cell>
          <cell r="C9">
            <v>1</v>
          </cell>
          <cell r="D9">
            <v>301.42399999999998</v>
          </cell>
        </row>
        <row r="10">
          <cell r="A10" t="str">
            <v>4993 САЛЯМИ ИТАЛЬЯНСКАЯ с/к в/у 1/250*8_120c ОСТАНКИНО</v>
          </cell>
          <cell r="B10" t="str">
            <v>шт</v>
          </cell>
          <cell r="C10">
            <v>0.25</v>
          </cell>
        </row>
        <row r="11">
          <cell r="A11" t="str">
            <v>5452 ВЕТЧ.МЯСНАЯ Папа может п/о    ОСТАНКИНО</v>
          </cell>
          <cell r="B11" t="str">
            <v>кг</v>
          </cell>
          <cell r="C11">
            <v>1</v>
          </cell>
          <cell r="D11">
            <v>195.024</v>
          </cell>
        </row>
        <row r="12">
          <cell r="A12" t="str">
            <v>5483 ЭКСТРА Папа может с/к в/у 1/250 8шт.   ОСТАНКИНО</v>
          </cell>
          <cell r="B12" t="str">
            <v>шт</v>
          </cell>
          <cell r="C12">
            <v>0.25</v>
          </cell>
        </row>
        <row r="13">
          <cell r="A13" t="str">
            <v>5495 ВЕТЧ.С ИНДЕЙКОЙ Папа может п/о 400*6  Останкино</v>
          </cell>
          <cell r="B13" t="str">
            <v>шт</v>
          </cell>
          <cell r="C13">
            <v>0.4</v>
          </cell>
        </row>
        <row r="14">
          <cell r="A14" t="str">
            <v>5544 Сервелат Финский в/к в/у_45с НОВАЯ ОСТАНКИНО</v>
          </cell>
          <cell r="B14" t="str">
            <v>кг</v>
          </cell>
          <cell r="C14">
            <v>1</v>
          </cell>
        </row>
        <row r="15">
          <cell r="A15" t="str">
            <v>5708 ПОСОЛЬСКАЯ Папа может с/к в/у ОСТАНКИНО</v>
          </cell>
          <cell r="B15" t="str">
            <v>кг</v>
          </cell>
          <cell r="C15">
            <v>1</v>
          </cell>
        </row>
        <row r="16">
          <cell r="A16" t="str">
            <v>5819 Сосиски Папа может 400г Мясные  ОСТАНКИНО</v>
          </cell>
          <cell r="B16" t="str">
            <v>шт</v>
          </cell>
          <cell r="C16">
            <v>0.4</v>
          </cell>
          <cell r="D16">
            <v>144</v>
          </cell>
        </row>
        <row r="17">
          <cell r="A17" t="str">
            <v>5851 ЭКСТРА Папа может вар п/о   ОСТАНКИНО</v>
          </cell>
          <cell r="B17" t="str">
            <v>кг</v>
          </cell>
          <cell r="C17">
            <v>1</v>
          </cell>
        </row>
        <row r="18">
          <cell r="A18" t="str">
            <v>5931 ОХОТНИЧЬЯ Папа может с/к в/у 1/220 8шт.   ОСТАНКИНО</v>
          </cell>
          <cell r="B18" t="str">
            <v>шт</v>
          </cell>
          <cell r="C18">
            <v>0.22</v>
          </cell>
          <cell r="D18">
            <v>88</v>
          </cell>
        </row>
        <row r="19">
          <cell r="A19" t="str">
            <v>6008 САЛО СОЛЕНОЕ С ЧЕРНЫМ ПЕРЦЕМ мл/к в/у ОСТАНКИНО</v>
          </cell>
          <cell r="B19" t="str">
            <v>кг</v>
          </cell>
          <cell r="C19">
            <v>1</v>
          </cell>
        </row>
        <row r="20">
          <cell r="A20" t="str">
            <v>6025 ВЕТЧ.ФИРМЕННАЯ С ИНДЕЙКОЙ п/о   ОСТАНКИНО</v>
          </cell>
          <cell r="B20" t="str">
            <v>кг</v>
          </cell>
          <cell r="C20">
            <v>0</v>
          </cell>
        </row>
        <row r="21">
          <cell r="A21" t="str">
            <v>6220 ГОВЯЖЬЯ папа может вар п/о  Останкино</v>
          </cell>
          <cell r="B21" t="str">
            <v>кг</v>
          </cell>
          <cell r="C21">
            <v>1</v>
          </cell>
        </row>
        <row r="22">
          <cell r="A22" t="str">
            <v>6221 НЕОПОЛИТАНСКИЙ ДУЭТ с/к с/н мгс 1/90  Останкино</v>
          </cell>
          <cell r="B22" t="str">
            <v>шт</v>
          </cell>
          <cell r="C22">
            <v>0.09</v>
          </cell>
        </row>
        <row r="23">
          <cell r="A23" t="str">
            <v>6222 ИТАЛЬЯНСКОЕ АССОРТИ с/в с/н мгс 1/90 ОСТАНКИНО</v>
          </cell>
          <cell r="B23" t="str">
            <v>шт</v>
          </cell>
          <cell r="C23">
            <v>0</v>
          </cell>
        </row>
        <row r="24">
          <cell r="A24" t="str">
            <v>6228 МЯСНОЕ АССОРТИ к/з с/н мгс 1/90 10шт  Останкино</v>
          </cell>
          <cell r="B24" t="str">
            <v>шт</v>
          </cell>
          <cell r="C24">
            <v>0.09</v>
          </cell>
        </row>
        <row r="25">
          <cell r="A25" t="str">
            <v>6279 КОРЕЙКА ПО-ОСТ.к/в в/с с/н в/у 1/150_45с  Останкино</v>
          </cell>
          <cell r="B25" t="str">
            <v>шт</v>
          </cell>
          <cell r="C25">
            <v>0.15</v>
          </cell>
        </row>
        <row r="26">
          <cell r="A26" t="str">
            <v>6303 Мясные Папа может сос п/о мгс 1,5*3  Останкино</v>
          </cell>
          <cell r="B26" t="str">
            <v>кг</v>
          </cell>
          <cell r="C26">
            <v>1</v>
          </cell>
          <cell r="D26">
            <v>109.3</v>
          </cell>
        </row>
        <row r="27">
          <cell r="A27" t="str">
            <v>6325 ДОКТОРСКАЯ ПРЕМИУМ вар п/о 0.4кг 8шт.  ОСТАНКИНО</v>
          </cell>
          <cell r="B27" t="str">
            <v>шт</v>
          </cell>
          <cell r="C27">
            <v>0.4</v>
          </cell>
        </row>
        <row r="28">
          <cell r="A28" t="str">
            <v>6333 МЯСНАЯ Папа может вар п/о 0.4кг 8шт.  ОСТАНКИНО</v>
          </cell>
          <cell r="B28" t="str">
            <v>шт</v>
          </cell>
          <cell r="C28">
            <v>0.4</v>
          </cell>
          <cell r="D28">
            <v>88</v>
          </cell>
        </row>
        <row r="29">
          <cell r="A29" t="str">
            <v>6364 СЕРВЕЛАТ ЗЕРНИСТЫЙ ПМ в/к в/у 0.35кг  ОСТАНКИНО</v>
          </cell>
          <cell r="B29" t="str">
            <v>шт</v>
          </cell>
          <cell r="C29">
            <v>0</v>
          </cell>
        </row>
        <row r="30">
          <cell r="A30" t="str">
            <v>6392 ФИЛЕЙНАЯ Папа может вар п/о 0,4кг  ОСТАНКИНО</v>
          </cell>
          <cell r="B30" t="str">
            <v>шт</v>
          </cell>
          <cell r="C30">
            <v>0.4</v>
          </cell>
          <cell r="D30">
            <v>40</v>
          </cell>
        </row>
        <row r="31">
          <cell r="A31" t="str">
            <v>6411 ВЕТЧ.РУБЛЕНАЯ ПМ в/у срез 0.3кг 6шт.  ОСТАНКИНО</v>
          </cell>
          <cell r="B31" t="str">
            <v>шт</v>
          </cell>
          <cell r="C31">
            <v>0</v>
          </cell>
        </row>
        <row r="32">
          <cell r="A32" t="str">
            <v>6453 ЭКСТРА Папа может с/к с/н в/у 1/100 14шт.   ОСТАНКИНО</v>
          </cell>
          <cell r="B32" t="str">
            <v>шт</v>
          </cell>
          <cell r="C32">
            <v>0</v>
          </cell>
        </row>
        <row r="33">
          <cell r="A33" t="str">
            <v>6454 АРОМАТНАЯ с/к с/н в/у 1/100 10шт.  ОСТАНКИНО</v>
          </cell>
          <cell r="B33" t="str">
            <v>шт</v>
          </cell>
          <cell r="C33">
            <v>0</v>
          </cell>
        </row>
        <row r="34">
          <cell r="A34" t="str">
            <v>6470 ВЕТЧ.МРАМОРНАЯ в/у_45с  ОСТАНКИНО</v>
          </cell>
          <cell r="B34" t="str">
            <v>кг</v>
          </cell>
          <cell r="C34">
            <v>0</v>
          </cell>
          <cell r="D34">
            <v>13.13</v>
          </cell>
        </row>
        <row r="35">
          <cell r="A35" t="str">
            <v>6495 ВЕТЧ.МРАМОРНАЯ в/у срез 0,3кг 6шт_45с  Останкино</v>
          </cell>
          <cell r="B35" t="str">
            <v>шт</v>
          </cell>
          <cell r="C35">
            <v>0.3</v>
          </cell>
        </row>
        <row r="36">
          <cell r="A36" t="str">
            <v>6498 МОЛОЧНАЯ Папа может вар п/о  ОСТАНКИНО</v>
          </cell>
          <cell r="B36" t="str">
            <v>кг</v>
          </cell>
          <cell r="C36">
            <v>1</v>
          </cell>
          <cell r="D36">
            <v>386.68099999999998</v>
          </cell>
        </row>
        <row r="37">
          <cell r="A37" t="str">
            <v>6527 ШПИКАЧКИ СОЧНЫЕ ПМ сар б/о мгс 1*3 45с ОСТАНКИНО</v>
          </cell>
          <cell r="B37" t="str">
            <v>кг</v>
          </cell>
          <cell r="C37">
            <v>1</v>
          </cell>
        </row>
        <row r="38">
          <cell r="A38" t="str">
            <v>6550 МЯСНЫЕ Папа может сар б/о мгс 1*3 О 45с  Останкино</v>
          </cell>
          <cell r="B38" t="str">
            <v>кг</v>
          </cell>
          <cell r="C38">
            <v>1</v>
          </cell>
          <cell r="D38">
            <v>386</v>
          </cell>
        </row>
        <row r="39">
          <cell r="A39" t="str">
            <v>6608 С ГОВЯДИНОЙ ОРИГИН. сар б/о мгс 1*3_45с  ОСТАНКИНО</v>
          </cell>
          <cell r="B39" t="str">
            <v>кг</v>
          </cell>
          <cell r="C39">
            <v>1</v>
          </cell>
        </row>
        <row r="40">
          <cell r="A40" t="str">
            <v>6616 МОЛОЧНЫЕ КЛАССИЧЕСКИЕ сос п/о в/у 0,3 кг  Останкино</v>
          </cell>
          <cell r="B40" t="str">
            <v>шт</v>
          </cell>
          <cell r="C40">
            <v>0.3</v>
          </cell>
        </row>
        <row r="41">
          <cell r="A41" t="str">
            <v>6620 РЕБРЫШКИ к/в в/у_30с  Останкино</v>
          </cell>
          <cell r="B41" t="str">
            <v>кг</v>
          </cell>
          <cell r="C41">
            <v>1</v>
          </cell>
          <cell r="D41">
            <v>55.04</v>
          </cell>
        </row>
        <row r="42">
          <cell r="A42" t="str">
            <v>6661 СОЧНЫЙ ГРИЛЬ ПМ сос п/о мгс 1,5*4_Маяк Останкино</v>
          </cell>
          <cell r="B42" t="str">
            <v>кг</v>
          </cell>
          <cell r="C42">
            <v>1</v>
          </cell>
          <cell r="D42">
            <v>81.055000000000007</v>
          </cell>
        </row>
        <row r="43">
          <cell r="A43" t="str">
            <v>6697 СЕРВЕЛАТ ФИНСКИЙ ПМ в/к в/у 0,35кг 8шт  ОСТАНКИНО</v>
          </cell>
          <cell r="B43" t="str">
            <v>шт</v>
          </cell>
          <cell r="C43">
            <v>0.35</v>
          </cell>
        </row>
        <row r="44">
          <cell r="A44" t="str">
            <v>6713 СОЧНЫЙ ГРИЛЬ ПМ сос п/о мгс 0,41кг 8 шт.  ОСТАНКИНО</v>
          </cell>
          <cell r="B44" t="str">
            <v>шт</v>
          </cell>
          <cell r="C44">
            <v>0.41</v>
          </cell>
        </row>
        <row r="45">
          <cell r="A45" t="str">
            <v>6724 МОЛОЧНЫЕ ПМ сос п/о мгс 0,41кг 10шт  Останкино</v>
          </cell>
          <cell r="B45" t="str">
            <v>шт</v>
          </cell>
          <cell r="C45">
            <v>0.41</v>
          </cell>
          <cell r="D45">
            <v>150</v>
          </cell>
        </row>
        <row r="46">
          <cell r="A46" t="str">
            <v>6761 МОЛОЧНЫЕ ГОСТ сос ц/о мгс 1*4  Останкино</v>
          </cell>
          <cell r="B46" t="str">
            <v>кг</v>
          </cell>
          <cell r="C46">
            <v>0</v>
          </cell>
        </row>
        <row r="47">
          <cell r="A47" t="str">
            <v>6765 РУБЛЕНЫЕ сос ц/о мгс 0,36кг 6шт  Останкино</v>
          </cell>
          <cell r="B47" t="str">
            <v>шт</v>
          </cell>
          <cell r="C47">
            <v>0.36</v>
          </cell>
        </row>
        <row r="48">
          <cell r="A48" t="str">
            <v>6787 СЕРВЕЛАТ КРЕМЛЕВСКИЙ в/к в/у 0,33кг 8шт  Останкино</v>
          </cell>
          <cell r="B48" t="str">
            <v>шт</v>
          </cell>
          <cell r="C48">
            <v>0.33</v>
          </cell>
        </row>
        <row r="49">
          <cell r="A49" t="str">
            <v>6797 С ИНДЕЙКОЙ Папа может вар п/о 0,4кг 8шт. ОСТАНКИНО</v>
          </cell>
          <cell r="B49" t="str">
            <v>шт</v>
          </cell>
          <cell r="C49">
            <v>0.4</v>
          </cell>
        </row>
        <row r="50">
          <cell r="A50" t="str">
            <v>6807 СЕРВЕЛАТ ЕВРОПЕЙСКИЙ в/к в/у 0,33кг 8шт  Останкино</v>
          </cell>
          <cell r="B50" t="str">
            <v>шт</v>
          </cell>
          <cell r="C50">
            <v>0.33</v>
          </cell>
        </row>
        <row r="51">
          <cell r="A51" t="str">
            <v>6829  МОЛОЧНЫЕ КЛАССИЧЕСКИЕ сос п/о мгс 2*4 С  Останккино</v>
          </cell>
          <cell r="B51" t="str">
            <v>кг</v>
          </cell>
          <cell r="C51">
            <v>1</v>
          </cell>
        </row>
        <row r="52">
          <cell r="A52" t="str">
            <v>6837 ФИЛЕЙНЫЕ Папа Может сос ц/о мгс 0,4кг  Останкино</v>
          </cell>
          <cell r="B52" t="str">
            <v>шт</v>
          </cell>
          <cell r="C52">
            <v>0.4</v>
          </cell>
          <cell r="D52">
            <v>126</v>
          </cell>
        </row>
        <row r="53">
          <cell r="A53" t="str">
            <v>6861 ДОМАШНИЙ РЕЦЕПТ Коровино вар п/о  Останкино</v>
          </cell>
          <cell r="B53" t="str">
            <v>кг</v>
          </cell>
          <cell r="C53">
            <v>0</v>
          </cell>
        </row>
        <row r="54">
          <cell r="A54" t="str">
            <v>6866 ВЕТЧ.НЕЖНАЯ Коровино п/о_Маяк  Останкино</v>
          </cell>
          <cell r="B54" t="str">
            <v>кг</v>
          </cell>
          <cell r="C54">
            <v>1</v>
          </cell>
          <cell r="D54">
            <v>120.73</v>
          </cell>
        </row>
        <row r="55">
          <cell r="A55" t="str">
            <v>6925 ВЕТЧ.КЛАССИЧЕСКАЯ в/у 0,6кг 8шт. ОСТАНКИНО</v>
          </cell>
          <cell r="B55" t="str">
            <v>шт</v>
          </cell>
          <cell r="C55">
            <v>0</v>
          </cell>
          <cell r="D55">
            <v>32</v>
          </cell>
        </row>
        <row r="56">
          <cell r="A56" t="str">
            <v>6937 САЛЯМИ Папа может с/к в/у 1/250 8шт  Останкино</v>
          </cell>
          <cell r="B56" t="str">
            <v>шт</v>
          </cell>
          <cell r="C56">
            <v>0</v>
          </cell>
        </row>
        <row r="57">
          <cell r="A57" t="str">
            <v>6967 БУРГУНДИЯ Папа может с/к в/у 1/250 8шт  Останкино</v>
          </cell>
          <cell r="B57" t="str">
            <v>шт</v>
          </cell>
          <cell r="C57">
            <v>0.25</v>
          </cell>
        </row>
        <row r="58">
          <cell r="A58" t="str">
            <v>7001 КЛАССИЧЕСКИЕ Папа может сар б/о мгс 1*3  Останкино</v>
          </cell>
          <cell r="B58" t="str">
            <v>кг</v>
          </cell>
          <cell r="C58">
            <v>1</v>
          </cell>
        </row>
        <row r="59">
          <cell r="A59" t="str">
            <v>7040 С ИНДЕЙКОЙ ПМ сос ц/о в/у 1/270 8шт.  ОСТАНКИНО</v>
          </cell>
          <cell r="B59" t="str">
            <v>шт</v>
          </cell>
          <cell r="C59">
            <v>0.27</v>
          </cell>
          <cell r="D59">
            <v>56</v>
          </cell>
        </row>
        <row r="60">
          <cell r="A60" t="str">
            <v>7059 ШПИКАЧКИ СОЧНЫЕ С БЕК. п/о мгс 0,3кг 60с ОСТАНКИНО</v>
          </cell>
          <cell r="B60" t="str">
            <v>шт</v>
          </cell>
          <cell r="C60">
            <v>0.3</v>
          </cell>
        </row>
        <row r="61">
          <cell r="A61" t="str">
            <v>7066 СОЧНЫЕ ПМ сос п/о мгс 0,41кг 10шт 50с  Останкино</v>
          </cell>
          <cell r="B61" t="str">
            <v>шт</v>
          </cell>
          <cell r="C61">
            <v>0.41</v>
          </cell>
          <cell r="D61">
            <v>660</v>
          </cell>
        </row>
        <row r="62">
          <cell r="A62" t="str">
            <v>7070 СОЧНЫЕ ПМ сос п/о 1,5*4_А_50с  Останкино</v>
          </cell>
          <cell r="B62" t="str">
            <v>кг</v>
          </cell>
          <cell r="C62">
            <v>1</v>
          </cell>
          <cell r="D62">
            <v>285.108</v>
          </cell>
        </row>
        <row r="63">
          <cell r="A63" t="str">
            <v>7073 МОЛОЧ.ПРЕМИУМ ПМ сос п/о в/у 1/350_50с  Останкино</v>
          </cell>
          <cell r="B63" t="str">
            <v>шт</v>
          </cell>
          <cell r="C63">
            <v>0.35</v>
          </cell>
          <cell r="D63">
            <v>72</v>
          </cell>
        </row>
        <row r="64">
          <cell r="A64" t="str">
            <v>7075 МОЛОЧ.ПРЕМИУМ ПМ сос п/о мгс 1,5*4_О_50с  Останкино</v>
          </cell>
          <cell r="B64" t="str">
            <v>кг</v>
          </cell>
          <cell r="C64">
            <v>1</v>
          </cell>
        </row>
        <row r="65">
          <cell r="A65" t="str">
            <v>7080 СЛИВОЧНЫЕ ПМ сос п/о мгс 0,41кг 10шт 50с  Останкино</v>
          </cell>
          <cell r="B65" t="str">
            <v>шт</v>
          </cell>
          <cell r="C65">
            <v>0.41</v>
          </cell>
          <cell r="D65">
            <v>270</v>
          </cell>
        </row>
        <row r="66">
          <cell r="A66" t="str">
            <v>7083 СЛИВОЧНЫЕ ПМ сос п/о мгс 1.5*4_А_50с  ОСТАНКИНО</v>
          </cell>
          <cell r="B66" t="str">
            <v>кг</v>
          </cell>
          <cell r="C66">
            <v>1</v>
          </cell>
        </row>
        <row r="67">
          <cell r="A67" t="str">
            <v>7090 СВИНИНА ПО-ДОМ.к/в мл/к в/у 0,3кг_50с  Останкино</v>
          </cell>
          <cell r="B67" t="str">
            <v>шт</v>
          </cell>
          <cell r="C67">
            <v>0.3</v>
          </cell>
        </row>
        <row r="68">
          <cell r="A68" t="str">
            <v>7103 БЕКОН Останкино с/к с/н в/у 1/180_50с  Останкино</v>
          </cell>
          <cell r="B68" t="str">
            <v>шт</v>
          </cell>
          <cell r="C68">
            <v>0.18</v>
          </cell>
        </row>
        <row r="69">
          <cell r="A69" t="str">
            <v>7149 БАЛЫКОВАЯ Коровино п/к в/у 0,84кг_50с  Останкино</v>
          </cell>
          <cell r="B69" t="str">
            <v>кг</v>
          </cell>
          <cell r="C69">
            <v>0</v>
          </cell>
        </row>
        <row r="70">
          <cell r="A70" t="str">
            <v>7154 СЕРВЕЛАТ ЗЕРНИСТЫЙ ПМ в/к в/у 0,35кг_50с  Останкино</v>
          </cell>
          <cell r="B70" t="str">
            <v>шт</v>
          </cell>
          <cell r="C70">
            <v>0.35</v>
          </cell>
          <cell r="D70">
            <v>256</v>
          </cell>
        </row>
        <row r="71">
          <cell r="A71" t="str">
            <v>7156 СЕРВЕЛАТ КОПЧ.НА БУКЕ в/к в/у 0.35кг_50с</v>
          </cell>
          <cell r="B71" t="str">
            <v>шт</v>
          </cell>
          <cell r="C71">
            <v>0</v>
          </cell>
        </row>
        <row r="72">
          <cell r="A72" t="str">
            <v>7157 СЕРВЕЛАТ ЗЕРНИСТЫЙ ПМ в/к в/у_50с  Останкино</v>
          </cell>
          <cell r="B72" t="str">
            <v>кг</v>
          </cell>
          <cell r="C72">
            <v>1</v>
          </cell>
          <cell r="D72">
            <v>196.2</v>
          </cell>
        </row>
        <row r="73">
          <cell r="A73" t="str">
            <v>7166 СЕРВЕЛАТ ОХОТНИЧИЙ ПМ в/к в/у_50с  Останкино</v>
          </cell>
          <cell r="B73" t="str">
            <v>кг</v>
          </cell>
          <cell r="C73">
            <v>1</v>
          </cell>
          <cell r="D73">
            <v>308.27499999999998</v>
          </cell>
        </row>
        <row r="74">
          <cell r="A74" t="str">
            <v>7169 СЕРВЕЛАТ ОХОТНИЧИЙ ПМ в/к в/у 0,35кг_50с  Останкино</v>
          </cell>
          <cell r="B74" t="str">
            <v>шт</v>
          </cell>
          <cell r="C74">
            <v>0.35</v>
          </cell>
          <cell r="D74">
            <v>120</v>
          </cell>
        </row>
        <row r="75">
          <cell r="A75" t="str">
            <v>7177 ЧЕСНОЧНАЯ ПМ п/к в/у 0,35кг 8шт_50с  Останкино</v>
          </cell>
          <cell r="B75" t="str">
            <v>шт</v>
          </cell>
          <cell r="C75">
            <v>0</v>
          </cell>
          <cell r="D75">
            <v>40</v>
          </cell>
        </row>
        <row r="76">
          <cell r="A76" t="str">
            <v>7187 ГРУДИНКА ПРЕМИУМ к/в мл/к в/у 0,3кг_50с  Останкино</v>
          </cell>
          <cell r="B76" t="str">
            <v>шт</v>
          </cell>
          <cell r="C76">
            <v>0.3</v>
          </cell>
          <cell r="D76">
            <v>36</v>
          </cell>
        </row>
        <row r="77">
          <cell r="A77" t="str">
            <v>7231 КЛАССИЧЕСКАЯ ПМ вар п/о 0,3кг 8 шт_209к  Останкино</v>
          </cell>
          <cell r="B77" t="str">
            <v>шт</v>
          </cell>
          <cell r="C77">
            <v>0.3</v>
          </cell>
        </row>
        <row r="78">
          <cell r="A78" t="str">
            <v>7232 БОЯNСКАЯ ПМ п/к в/у 0,28кг 8шт_209к  Останкино</v>
          </cell>
          <cell r="B78" t="str">
            <v>шт</v>
          </cell>
          <cell r="C78">
            <v>0.28000000000000003</v>
          </cell>
        </row>
        <row r="79">
          <cell r="A79" t="str">
            <v>7236 СЕРВЕЛАТ КАРЕЛЬСКИЙ в/к в/у 0,28кг_209к  Останкино</v>
          </cell>
          <cell r="B79" t="str">
            <v>шт</v>
          </cell>
          <cell r="C79">
            <v>0.28000000000000003</v>
          </cell>
          <cell r="D79">
            <v>40</v>
          </cell>
        </row>
        <row r="80">
          <cell r="A80" t="str">
            <v>7238 СЕРВЕЛАТ ОРЕХОВЫЙ в/к в/у 0,31кг_209к  Останкино</v>
          </cell>
          <cell r="B80" t="str">
            <v>шт</v>
          </cell>
          <cell r="C80">
            <v>0</v>
          </cell>
        </row>
        <row r="81">
          <cell r="A81" t="str">
            <v>7241 САЛЯМИ Папа может п/к в/у 0,28кг ОСТАНКИНО</v>
          </cell>
          <cell r="B81" t="str">
            <v>шт</v>
          </cell>
          <cell r="C81">
            <v>0.28000000000000003</v>
          </cell>
          <cell r="D81">
            <v>32</v>
          </cell>
        </row>
        <row r="82">
          <cell r="A82" t="str">
            <v>7255 МЯСНЫЕ С ГОВЯД.ПМ сос п/о мгс 0.4кг 6шт.  ОСТАНКИНО</v>
          </cell>
          <cell r="B82" t="str">
            <v>шт</v>
          </cell>
          <cell r="C82">
            <v>0.4</v>
          </cell>
          <cell r="D82">
            <v>156</v>
          </cell>
        </row>
        <row r="83">
          <cell r="A83" t="str">
            <v>7284 ДЛЯ ДЕТЕЙ сос п/о мгс 0,33кг 6шт  Останкино</v>
          </cell>
          <cell r="B83" t="str">
            <v>шт</v>
          </cell>
          <cell r="C83">
            <v>0</v>
          </cell>
        </row>
        <row r="84">
          <cell r="A84" t="str">
            <v>7299 НАБОР ДЛЯ ПИЦЦЫ Папа Может с/к в/у  ОСТАНКИНО</v>
          </cell>
          <cell r="B84" t="str">
            <v>кг</v>
          </cell>
          <cell r="C84">
            <v>1</v>
          </cell>
        </row>
        <row r="85">
          <cell r="A85" t="str">
            <v>7332 БОЯРСКАЯ ПМ п/к в/у 0,28кг ОСТАНКИНО</v>
          </cell>
          <cell r="B85" t="str">
            <v>шт</v>
          </cell>
          <cell r="C85">
            <v>0</v>
          </cell>
        </row>
        <row r="86">
          <cell r="A86" t="str">
            <v>7334 МЯСНАЯ СО ШПИКОМ ПМ вар п/о 0.4кг 8шт.</v>
          </cell>
          <cell r="B86" t="str">
            <v>шт</v>
          </cell>
          <cell r="C86">
            <v>0</v>
          </cell>
        </row>
        <row r="87">
          <cell r="A87" t="str">
            <v>7382  САЛЯМИ МЕЛКОЗЕРНЕНАЯ с/к в/у1/120 8шт.  ОСТАНКИНО</v>
          </cell>
          <cell r="B87" t="str">
            <v>шт</v>
          </cell>
          <cell r="C87">
            <v>0.12</v>
          </cell>
        </row>
        <row r="88">
          <cell r="A88" t="str">
            <v>7386 БАРСЕЛОНА ПМ с/к в/у 1/150  ОСТАНКИНО</v>
          </cell>
          <cell r="B88" t="str">
            <v>шт</v>
          </cell>
          <cell r="C88">
            <v>0.15</v>
          </cell>
        </row>
        <row r="89">
          <cell r="A89" t="str">
            <v>7461 ДЛЯ ДЕТЕЙ Папа Может сос п/о мгс 0,33кг ОСТАНКИНО</v>
          </cell>
          <cell r="B89" t="str">
            <v>шт</v>
          </cell>
          <cell r="C89">
            <v>0.33</v>
          </cell>
        </row>
        <row r="90">
          <cell r="A90" t="str">
            <v>7485 РИЕТ МЯСНОЙ С ГРИБАМИ ПМ п/о 1/150  ОСТАНКИНО</v>
          </cell>
          <cell r="B90" t="str">
            <v>шт</v>
          </cell>
          <cell r="C90">
            <v>0.15</v>
          </cell>
        </row>
        <row r="91">
          <cell r="A91" t="str">
            <v>7513 ВОСКРЕСЕНСКАЯ ВЯЛЕНАЯ в/к в/у срез 1/260  ОСТАНКИНО</v>
          </cell>
          <cell r="B91" t="str">
            <v>шт</v>
          </cell>
          <cell r="C91">
            <v>0.26</v>
          </cell>
        </row>
        <row r="92">
          <cell r="A92" t="str">
            <v>7516 НОВОМОСКОВСКАЯ в/к в/у срез 0.31кг  ОСТАНКИНО</v>
          </cell>
          <cell r="B92" t="str">
            <v>шт</v>
          </cell>
          <cell r="C92">
            <v>0.31</v>
          </cell>
        </row>
        <row r="93">
          <cell r="A93" t="str">
            <v>7523 ГОВЯЖЬЯ Папа Может вар п/о 0,4кг 6шт. ОСТАНКИНО</v>
          </cell>
          <cell r="B93" t="str">
            <v>шт</v>
          </cell>
          <cell r="C93">
            <v>0.4</v>
          </cell>
          <cell r="D93">
            <v>36</v>
          </cell>
        </row>
        <row r="94">
          <cell r="A94" t="str">
            <v>7539 ДОКТОРСКАЯ ГОСТ вар п/о 0,35кг ОСТАНКИНО</v>
          </cell>
          <cell r="B94" t="str">
            <v>шт</v>
          </cell>
          <cell r="C94">
            <v>0.35</v>
          </cell>
          <cell r="D94">
            <v>8</v>
          </cell>
        </row>
        <row r="95">
          <cell r="A95" t="str">
            <v>7562 КРАКОВСКАЯ ГОСТ Останкино п/к н/о мгс  ОСТАНКИНО</v>
          </cell>
          <cell r="B95" t="str">
            <v>кг</v>
          </cell>
          <cell r="C95">
            <v>1</v>
          </cell>
        </row>
        <row r="96">
          <cell r="A96" t="str">
            <v>7564 Балыковая в/к в/у Останкино Вес  ОСТАНКИНО</v>
          </cell>
          <cell r="B96" t="str">
            <v>кг</v>
          </cell>
          <cell r="C96">
            <v>1</v>
          </cell>
        </row>
        <row r="97">
          <cell r="A97" t="str">
            <v>7601 ДЛЯ ДЕТЕЙ Папа может сос п/о мгс 0.264кг  ОСТАНКИНО</v>
          </cell>
          <cell r="B97" t="str">
            <v>шт</v>
          </cell>
          <cell r="C97">
            <v>0</v>
          </cell>
        </row>
        <row r="98">
          <cell r="A98" t="str">
            <v>7603 БАЛЫКОВАЯ в/к в/у 0.33кг 8шт. ОСТАНКИНО</v>
          </cell>
          <cell r="B98" t="str">
            <v>шт</v>
          </cell>
          <cell r="C98">
            <v>0.33</v>
          </cell>
        </row>
        <row r="99">
          <cell r="A99" t="str">
            <v>7608 СЕРВЕЛАТ ШВЕЙЦАРСК.в/к с/н в/у 1/100_Л11  ОСТАНКИНО</v>
          </cell>
          <cell r="B99" t="str">
            <v>шт</v>
          </cell>
          <cell r="C99">
            <v>0</v>
          </cell>
        </row>
        <row r="100">
          <cell r="A100" t="str">
            <v>7612 БАЛЫК с/к с/н в/у 1/100 10шт_  ОСТАНКИНО</v>
          </cell>
          <cell r="B100" t="str">
            <v>шт</v>
          </cell>
          <cell r="C100">
            <v>0</v>
          </cell>
        </row>
        <row r="101">
          <cell r="A101" t="str">
            <v>7613 АРОМАТНАЯ с/к с/н в/у 1/100 10шт_Л10  ОСТАНКИНО</v>
          </cell>
          <cell r="B101" t="str">
            <v>шт</v>
          </cell>
          <cell r="C101">
            <v>0.1</v>
          </cell>
        </row>
        <row r="102">
          <cell r="A102" t="str">
            <v>7616 ЭКСТРА Папа может с/к с/н в/у 1/100_  ОСТАНКИНО</v>
          </cell>
          <cell r="B102" t="str">
            <v>шт</v>
          </cell>
          <cell r="C102">
            <v>0.1</v>
          </cell>
        </row>
        <row r="103">
          <cell r="A103" t="str">
            <v>7632 ЭКСТРА Папа может вар п/о 0.4кг 8шт_195к  ОСТАНКИНО</v>
          </cell>
          <cell r="B103" t="str">
            <v>шт</v>
          </cell>
          <cell r="C103">
            <v>0.4</v>
          </cell>
        </row>
        <row r="104">
          <cell r="A104" t="str">
            <v>7647 ХОЧУ ВЕТЧ.ИЗ СВ.ОТРУБА с/н мгс 1/100_Л11  ОСТАНКИНО</v>
          </cell>
          <cell r="B104" t="str">
            <v>шт</v>
          </cell>
          <cell r="C104">
            <v>0.1</v>
          </cell>
        </row>
        <row r="105">
          <cell r="A105" t="str">
            <v>7651 ХОЧУ ВЕТЧ.МРАМОР. ПМ с/н мгс 1/100_Л11  ОСТАНКИНО</v>
          </cell>
          <cell r="B105" t="str">
            <v>шт</v>
          </cell>
          <cell r="C105">
            <v>0.1</v>
          </cell>
        </row>
        <row r="106">
          <cell r="A106" t="str">
            <v>8014 ДОКТОРСКАЯ ПРЕМИУМ вар п/о(п)</v>
          </cell>
          <cell r="B106" t="str">
            <v>кг</v>
          </cell>
          <cell r="C106">
            <v>0</v>
          </cell>
        </row>
        <row r="107">
          <cell r="A107" t="str">
            <v>7514 ЛЮБИТЕЛЬСКАЯ ОСТАНКИНСКАЯ вар п/о в/у  ОСТАНКИНО</v>
          </cell>
          <cell r="B107" t="str">
            <v>кг</v>
          </cell>
          <cell r="C107">
            <v>1</v>
          </cell>
        </row>
        <row r="108">
          <cell r="A108" t="str">
            <v>7518 ТЕЛЯЧЬЯ ГОСТ Останкино вар п/о в/у  ОСТАНКИНО</v>
          </cell>
          <cell r="B108" t="str">
            <v>кг</v>
          </cell>
          <cell r="C108">
            <v>1</v>
          </cell>
        </row>
        <row r="109">
          <cell r="A109" t="str">
            <v>6929 КАРБОНАД ДОМАШНИЙ ПМ к/в кр/к в/у  ОСТАНКИНО</v>
          </cell>
          <cell r="B109" t="str">
            <v>кг</v>
          </cell>
          <cell r="C109">
            <v>1</v>
          </cell>
        </row>
        <row r="110">
          <cell r="A110" t="str">
            <v>7143 БРАУНШВЕЙГСКАЯ ГОСТ с/к в/у 1/220 8шт.</v>
          </cell>
          <cell r="B110" t="str">
            <v>шт</v>
          </cell>
          <cell r="C110">
            <v>0.22</v>
          </cell>
        </row>
        <row r="111">
          <cell r="A111" t="str">
            <v>7710 КРАКОВСКАЯ ГОСТ п/к н/о мгс 0.3кг</v>
          </cell>
          <cell r="B111" t="str">
            <v>шт</v>
          </cell>
          <cell r="C111">
            <v>0.3</v>
          </cell>
        </row>
        <row r="112">
          <cell r="A112" t="str">
            <v>7456 САЛЯМИ ФИНСКАЯ Папа может с/к в/у 1/150</v>
          </cell>
          <cell r="B112" t="str">
            <v>шт</v>
          </cell>
          <cell r="C112">
            <v>0.15</v>
          </cell>
        </row>
        <row r="113">
          <cell r="A113" t="str">
            <v>7344 КОНСЕРВЫ МЯС.ГОВЯДИНА ТУШ. В/С 338г_ЧЗ</v>
          </cell>
          <cell r="B113" t="str">
            <v>шт</v>
          </cell>
          <cell r="C113">
            <v>0.33800000000000002</v>
          </cell>
        </row>
        <row r="114">
          <cell r="A114" t="str">
            <v>7345 КОНСЕРВЫ МЯС.СВИНИНА ТУШ. В/С 325г_ЧЗ</v>
          </cell>
          <cell r="B114" t="str">
            <v>шт</v>
          </cell>
          <cell r="C114">
            <v>0.32500000000000001</v>
          </cell>
        </row>
        <row r="115">
          <cell r="A115" t="str">
            <v>6475 Сосиски Папа может 400г С сыром  ОСТАНКИНО</v>
          </cell>
          <cell r="B115" t="str">
            <v>шт</v>
          </cell>
          <cell r="C115">
            <v>0.4</v>
          </cell>
          <cell r="D115" t="str">
            <v>???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Грация</v>
          </cell>
          <cell r="H3" t="str">
            <v>Остаток</v>
          </cell>
          <cell r="I3" t="str">
            <v>крат</v>
          </cell>
          <cell r="J3" t="str">
            <v>сроки</v>
          </cell>
          <cell r="K3" t="str">
            <v>метка</v>
          </cell>
          <cell r="L3" t="str">
            <v>метка2</v>
          </cell>
          <cell r="M3" t="str">
            <v>заяв</v>
          </cell>
          <cell r="N3" t="str">
            <v>разн</v>
          </cell>
          <cell r="O3" t="str">
            <v>без опта</v>
          </cell>
          <cell r="P3" t="str">
            <v>опт</v>
          </cell>
          <cell r="Q3" t="str">
            <v>заказ в пути</v>
          </cell>
          <cell r="R3" t="str">
            <v>заказ в пути</v>
          </cell>
          <cell r="S3" t="str">
            <v>ср нов</v>
          </cell>
          <cell r="T3" t="str">
            <v>расчет</v>
          </cell>
        </row>
        <row r="4">
          <cell r="G4" t="str">
            <v>остатки</v>
          </cell>
          <cell r="H4" t="str">
            <v>без опта</v>
          </cell>
          <cell r="Q4" t="str">
            <v>08,09,</v>
          </cell>
          <cell r="R4" t="str">
            <v>08,09,доз</v>
          </cell>
          <cell r="S4" t="str">
            <v>07,09,</v>
          </cell>
        </row>
        <row r="5">
          <cell r="E5">
            <v>21598.763999999996</v>
          </cell>
          <cell r="F5">
            <v>31559.457000000006</v>
          </cell>
          <cell r="H5">
            <v>26021.402000000002</v>
          </cell>
          <cell r="M5">
            <v>29605.034000000003</v>
          </cell>
          <cell r="N5">
            <v>-8006.2699999999995</v>
          </cell>
          <cell r="O5">
            <v>16998.858</v>
          </cell>
          <cell r="P5">
            <v>4599.9059999999999</v>
          </cell>
          <cell r="Q5">
            <v>14855</v>
          </cell>
          <cell r="R5">
            <v>1000</v>
          </cell>
          <cell r="S5">
            <v>3399.7716000000014</v>
          </cell>
          <cell r="T5">
            <v>13757.410400000004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26.504999999999999</v>
          </cell>
          <cell r="D6">
            <v>1.129</v>
          </cell>
          <cell r="E6">
            <v>3.9860000000000002</v>
          </cell>
          <cell r="F6">
            <v>22.518999999999998</v>
          </cell>
          <cell r="G6">
            <v>0</v>
          </cell>
          <cell r="H6">
            <v>22.518999999999998</v>
          </cell>
          <cell r="I6">
            <v>1</v>
          </cell>
          <cell r="J6">
            <v>120</v>
          </cell>
          <cell r="K6" t="str">
            <v>матрица</v>
          </cell>
          <cell r="M6">
            <v>4.5</v>
          </cell>
          <cell r="N6">
            <v>-0.51399999999999979</v>
          </cell>
          <cell r="O6">
            <v>3.9860000000000002</v>
          </cell>
          <cell r="Q6">
            <v>0</v>
          </cell>
          <cell r="S6">
            <v>0.79720000000000002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25</v>
          </cell>
          <cell r="D7">
            <v>963</v>
          </cell>
          <cell r="E7">
            <v>491</v>
          </cell>
          <cell r="F7">
            <v>469</v>
          </cell>
          <cell r="G7">
            <v>0</v>
          </cell>
          <cell r="H7">
            <v>469</v>
          </cell>
          <cell r="I7">
            <v>0.4</v>
          </cell>
          <cell r="J7">
            <v>60</v>
          </cell>
          <cell r="K7" t="str">
            <v>матрица</v>
          </cell>
          <cell r="M7">
            <v>572</v>
          </cell>
          <cell r="N7">
            <v>-81</v>
          </cell>
          <cell r="O7">
            <v>347</v>
          </cell>
          <cell r="P7">
            <v>144</v>
          </cell>
          <cell r="Q7">
            <v>70</v>
          </cell>
          <cell r="S7">
            <v>69.400000000000006</v>
          </cell>
          <cell r="T7">
            <v>432.60000000000014</v>
          </cell>
          <cell r="U7">
            <v>600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3.0609999999999999</v>
          </cell>
          <cell r="D8">
            <v>243.643</v>
          </cell>
          <cell r="E8">
            <v>35.450000000000003</v>
          </cell>
          <cell r="F8">
            <v>211.25399999999999</v>
          </cell>
          <cell r="G8">
            <v>204.80799999999999</v>
          </cell>
          <cell r="H8">
            <v>6.445999999999998</v>
          </cell>
          <cell r="I8">
            <v>1</v>
          </cell>
          <cell r="J8">
            <v>120</v>
          </cell>
          <cell r="K8" t="str">
            <v>матрица</v>
          </cell>
          <cell r="M8">
            <v>51.9</v>
          </cell>
          <cell r="N8">
            <v>-16.449999999999996</v>
          </cell>
          <cell r="O8">
            <v>19.503000000000004</v>
          </cell>
          <cell r="P8">
            <v>15.946999999999999</v>
          </cell>
          <cell r="Q8">
            <v>30</v>
          </cell>
          <cell r="S8">
            <v>3.9006000000000007</v>
          </cell>
          <cell r="T8">
            <v>18.162400000000012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-6</v>
          </cell>
          <cell r="D9">
            <v>1086</v>
          </cell>
          <cell r="E9">
            <v>536</v>
          </cell>
          <cell r="F9">
            <v>506</v>
          </cell>
          <cell r="G9">
            <v>0</v>
          </cell>
          <cell r="H9">
            <v>506</v>
          </cell>
          <cell r="I9">
            <v>0.25</v>
          </cell>
          <cell r="J9">
            <v>120</v>
          </cell>
          <cell r="K9" t="str">
            <v>матрица</v>
          </cell>
          <cell r="M9">
            <v>647</v>
          </cell>
          <cell r="N9">
            <v>-111</v>
          </cell>
          <cell r="O9">
            <v>440</v>
          </cell>
          <cell r="P9">
            <v>96</v>
          </cell>
          <cell r="Q9">
            <v>70</v>
          </cell>
          <cell r="S9">
            <v>88</v>
          </cell>
          <cell r="T9">
            <v>656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251.50200000000001</v>
          </cell>
          <cell r="D10">
            <v>641.56399999999996</v>
          </cell>
          <cell r="E10">
            <v>286.61399999999998</v>
          </cell>
          <cell r="F10">
            <v>586.11</v>
          </cell>
          <cell r="G10">
            <v>331.28</v>
          </cell>
          <cell r="H10">
            <v>254.83000000000004</v>
          </cell>
          <cell r="I10">
            <v>1</v>
          </cell>
          <cell r="J10">
            <v>60</v>
          </cell>
          <cell r="K10" t="str">
            <v>матрица</v>
          </cell>
          <cell r="M10">
            <v>308.44200000000001</v>
          </cell>
          <cell r="N10">
            <v>-21.828000000000031</v>
          </cell>
          <cell r="O10">
            <v>230.13799999999998</v>
          </cell>
          <cell r="P10">
            <v>56.475999999999999</v>
          </cell>
          <cell r="Q10">
            <v>650</v>
          </cell>
          <cell r="R10">
            <v>50</v>
          </cell>
          <cell r="S10">
            <v>46.027599999999993</v>
          </cell>
          <cell r="U10">
            <v>200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100.35299999999999</v>
          </cell>
          <cell r="D11">
            <v>72.897999999999996</v>
          </cell>
          <cell r="E11">
            <v>49.860999999999997</v>
          </cell>
          <cell r="F11">
            <v>120.402</v>
          </cell>
          <cell r="G11">
            <v>0</v>
          </cell>
          <cell r="H11">
            <v>120.402</v>
          </cell>
          <cell r="I11">
            <v>1</v>
          </cell>
          <cell r="J11">
            <v>120</v>
          </cell>
          <cell r="K11" t="str">
            <v>матрица</v>
          </cell>
          <cell r="M11">
            <v>55.2</v>
          </cell>
          <cell r="N11">
            <v>-5.3390000000000057</v>
          </cell>
          <cell r="O11">
            <v>21.724999999999998</v>
          </cell>
          <cell r="P11">
            <v>28.135999999999999</v>
          </cell>
          <cell r="Q11">
            <v>0</v>
          </cell>
          <cell r="S11">
            <v>4.3449999999999998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27.39</v>
          </cell>
          <cell r="D12">
            <v>5.3890000000000002</v>
          </cell>
          <cell r="E12">
            <v>31.04</v>
          </cell>
          <cell r="F12">
            <v>0.38400000000000001</v>
          </cell>
          <cell r="G12">
            <v>0</v>
          </cell>
          <cell r="H12">
            <v>0.38400000000000001</v>
          </cell>
          <cell r="I12">
            <v>1</v>
          </cell>
          <cell r="J12">
            <v>60</v>
          </cell>
          <cell r="K12" t="str">
            <v>матрица</v>
          </cell>
          <cell r="M12">
            <v>51.9</v>
          </cell>
          <cell r="N12">
            <v>-20.86</v>
          </cell>
          <cell r="O12">
            <v>31.04</v>
          </cell>
          <cell r="Q12">
            <v>120</v>
          </cell>
          <cell r="S12">
            <v>6.2080000000000002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101.26</v>
          </cell>
          <cell r="D13">
            <v>836.66099999999994</v>
          </cell>
          <cell r="E13">
            <v>322.04599999999999</v>
          </cell>
          <cell r="F13">
            <v>608.58399999999995</v>
          </cell>
          <cell r="G13">
            <v>301.42399999999998</v>
          </cell>
          <cell r="H13">
            <v>307.15999999999997</v>
          </cell>
          <cell r="I13">
            <v>1</v>
          </cell>
          <cell r="J13">
            <v>60</v>
          </cell>
          <cell r="K13" t="str">
            <v>матрица</v>
          </cell>
          <cell r="M13">
            <v>304.36500000000001</v>
          </cell>
          <cell r="N13">
            <v>17.680999999999983</v>
          </cell>
          <cell r="O13">
            <v>232.08499999999998</v>
          </cell>
          <cell r="P13">
            <v>89.960999999999999</v>
          </cell>
          <cell r="Q13">
            <v>600</v>
          </cell>
          <cell r="S13">
            <v>46.416999999999994</v>
          </cell>
          <cell r="U13">
            <v>200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38</v>
          </cell>
          <cell r="D14">
            <v>839</v>
          </cell>
          <cell r="E14">
            <v>319</v>
          </cell>
          <cell r="F14">
            <v>527</v>
          </cell>
          <cell r="G14">
            <v>0</v>
          </cell>
          <cell r="H14">
            <v>527</v>
          </cell>
          <cell r="I14">
            <v>0.25</v>
          </cell>
          <cell r="J14">
            <v>120</v>
          </cell>
          <cell r="K14" t="str">
            <v>матрица</v>
          </cell>
          <cell r="M14">
            <v>404</v>
          </cell>
          <cell r="N14">
            <v>-85</v>
          </cell>
          <cell r="O14">
            <v>223</v>
          </cell>
          <cell r="P14">
            <v>96</v>
          </cell>
          <cell r="Q14">
            <v>0</v>
          </cell>
          <cell r="S14">
            <v>44.6</v>
          </cell>
          <cell r="T14">
            <v>97.399999999999977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125.03400000000001</v>
          </cell>
          <cell r="D15">
            <v>331.76100000000002</v>
          </cell>
          <cell r="E15">
            <v>107.41</v>
          </cell>
          <cell r="F15">
            <v>342.517</v>
          </cell>
          <cell r="G15">
            <v>195.024</v>
          </cell>
          <cell r="H15">
            <v>147.49299999999999</v>
          </cell>
          <cell r="I15">
            <v>1</v>
          </cell>
          <cell r="J15">
            <v>60</v>
          </cell>
          <cell r="K15" t="str">
            <v>матрица</v>
          </cell>
          <cell r="M15">
            <v>103.7</v>
          </cell>
          <cell r="N15">
            <v>3.7099999999999937</v>
          </cell>
          <cell r="O15">
            <v>66.281999999999996</v>
          </cell>
          <cell r="P15">
            <v>41.128</v>
          </cell>
          <cell r="Q15">
            <v>50</v>
          </cell>
          <cell r="S15">
            <v>13.256399999999999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19</v>
          </cell>
          <cell r="D16">
            <v>1248</v>
          </cell>
          <cell r="E16">
            <v>557</v>
          </cell>
          <cell r="F16">
            <v>677</v>
          </cell>
          <cell r="G16">
            <v>0</v>
          </cell>
          <cell r="H16">
            <v>677</v>
          </cell>
          <cell r="I16">
            <v>0.25</v>
          </cell>
          <cell r="J16">
            <v>120</v>
          </cell>
          <cell r="K16" t="str">
            <v>матрица</v>
          </cell>
          <cell r="M16">
            <v>637</v>
          </cell>
          <cell r="N16">
            <v>-80</v>
          </cell>
          <cell r="O16">
            <v>413</v>
          </cell>
          <cell r="P16">
            <v>144</v>
          </cell>
          <cell r="Q16">
            <v>20</v>
          </cell>
          <cell r="S16">
            <v>82.6</v>
          </cell>
          <cell r="T16">
            <v>459.39999999999986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-3</v>
          </cell>
          <cell r="D17">
            <v>646</v>
          </cell>
          <cell r="E17">
            <v>236</v>
          </cell>
          <cell r="F17">
            <v>385</v>
          </cell>
          <cell r="G17">
            <v>0</v>
          </cell>
          <cell r="H17">
            <v>385</v>
          </cell>
          <cell r="I17">
            <v>0.4</v>
          </cell>
          <cell r="J17">
            <v>60</v>
          </cell>
          <cell r="K17" t="str">
            <v>матрица</v>
          </cell>
          <cell r="M17">
            <v>335</v>
          </cell>
          <cell r="N17">
            <v>-99</v>
          </cell>
          <cell r="O17">
            <v>188</v>
          </cell>
          <cell r="P17">
            <v>48</v>
          </cell>
          <cell r="Q17">
            <v>200</v>
          </cell>
          <cell r="S17">
            <v>37.6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8.1630000000000003</v>
          </cell>
          <cell r="D18">
            <v>547.73199999999997</v>
          </cell>
          <cell r="E18">
            <v>272.77</v>
          </cell>
          <cell r="F18">
            <v>246.82300000000001</v>
          </cell>
          <cell r="G18">
            <v>0</v>
          </cell>
          <cell r="H18">
            <v>246.82300000000001</v>
          </cell>
          <cell r="I18">
            <v>1</v>
          </cell>
          <cell r="J18">
            <v>45</v>
          </cell>
          <cell r="K18" t="str">
            <v>матрица</v>
          </cell>
          <cell r="M18">
            <v>272.64100000000002</v>
          </cell>
          <cell r="N18">
            <v>0.12899999999996226</v>
          </cell>
          <cell r="O18">
            <v>272.77</v>
          </cell>
          <cell r="Q18">
            <v>120</v>
          </cell>
          <cell r="S18">
            <v>54.553999999999995</v>
          </cell>
          <cell r="T18">
            <v>396.93299999999999</v>
          </cell>
          <cell r="U18">
            <v>500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17.097999999999999</v>
          </cell>
          <cell r="D19">
            <v>61.862000000000002</v>
          </cell>
          <cell r="E19">
            <v>18.129000000000001</v>
          </cell>
          <cell r="F19">
            <v>60.831000000000003</v>
          </cell>
          <cell r="G19">
            <v>0</v>
          </cell>
          <cell r="H19">
            <v>60.831000000000003</v>
          </cell>
          <cell r="I19">
            <v>1</v>
          </cell>
          <cell r="J19">
            <v>120</v>
          </cell>
          <cell r="K19" t="str">
            <v>матрица</v>
          </cell>
          <cell r="M19">
            <v>43.2</v>
          </cell>
          <cell r="N19">
            <v>-25.071000000000002</v>
          </cell>
          <cell r="O19">
            <v>18.129000000000001</v>
          </cell>
          <cell r="Q19">
            <v>10</v>
          </cell>
          <cell r="S19">
            <v>3.6258000000000004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32</v>
          </cell>
          <cell r="D20">
            <v>144</v>
          </cell>
          <cell r="F20">
            <v>176</v>
          </cell>
          <cell r="G20">
            <v>144</v>
          </cell>
          <cell r="H20">
            <v>32</v>
          </cell>
          <cell r="I20">
            <v>0.4</v>
          </cell>
          <cell r="J20">
            <v>45</v>
          </cell>
          <cell r="K20" t="str">
            <v>матрица</v>
          </cell>
          <cell r="M20">
            <v>360</v>
          </cell>
          <cell r="N20">
            <v>-360</v>
          </cell>
          <cell r="O20">
            <v>0</v>
          </cell>
          <cell r="Q20">
            <v>100</v>
          </cell>
          <cell r="S20">
            <v>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-7.1150000000000002</v>
          </cell>
          <cell r="D21">
            <v>419.72899999999998</v>
          </cell>
          <cell r="E21">
            <v>178.71100000000001</v>
          </cell>
          <cell r="F21">
            <v>226.47200000000001</v>
          </cell>
          <cell r="G21">
            <v>0</v>
          </cell>
          <cell r="H21">
            <v>226.47200000000001</v>
          </cell>
          <cell r="I21">
            <v>1</v>
          </cell>
          <cell r="J21">
            <v>60</v>
          </cell>
          <cell r="K21" t="str">
            <v>матрица</v>
          </cell>
          <cell r="M21">
            <v>191.05799999999999</v>
          </cell>
          <cell r="N21">
            <v>-12.34699999999998</v>
          </cell>
          <cell r="O21">
            <v>178.71100000000001</v>
          </cell>
          <cell r="Q21">
            <v>100</v>
          </cell>
          <cell r="S21">
            <v>35.742200000000004</v>
          </cell>
          <cell r="T21">
            <v>173.91880000000006</v>
          </cell>
          <cell r="U21">
            <v>350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20</v>
          </cell>
          <cell r="D22">
            <v>1089</v>
          </cell>
          <cell r="E22">
            <v>364</v>
          </cell>
          <cell r="F22">
            <v>734</v>
          </cell>
          <cell r="G22">
            <v>88</v>
          </cell>
          <cell r="H22">
            <v>646</v>
          </cell>
          <cell r="I22">
            <v>0.22</v>
          </cell>
          <cell r="J22">
            <v>120</v>
          </cell>
          <cell r="K22" t="str">
            <v>матрица</v>
          </cell>
          <cell r="M22">
            <v>679</v>
          </cell>
          <cell r="N22">
            <v>-315</v>
          </cell>
          <cell r="O22">
            <v>220</v>
          </cell>
          <cell r="P22">
            <v>144</v>
          </cell>
          <cell r="Q22">
            <v>250</v>
          </cell>
          <cell r="S22">
            <v>44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1.1160000000000001</v>
          </cell>
          <cell r="D23">
            <v>38.06</v>
          </cell>
          <cell r="E23">
            <v>21.042000000000002</v>
          </cell>
          <cell r="F23">
            <v>9.0220000000000002</v>
          </cell>
          <cell r="G23">
            <v>0</v>
          </cell>
          <cell r="H23">
            <v>9.0220000000000002</v>
          </cell>
          <cell r="I23">
            <v>1</v>
          </cell>
          <cell r="J23">
            <v>40</v>
          </cell>
          <cell r="K23" t="str">
            <v>матрица</v>
          </cell>
          <cell r="M23">
            <v>48.1</v>
          </cell>
          <cell r="N23">
            <v>-27.058</v>
          </cell>
          <cell r="O23">
            <v>21.042000000000002</v>
          </cell>
          <cell r="Q23">
            <v>20</v>
          </cell>
          <cell r="S23">
            <v>4.2084000000000001</v>
          </cell>
          <cell r="T23">
            <v>29.895600000000002</v>
          </cell>
        </row>
        <row r="24">
          <cell r="A24" t="str">
            <v>6025 ВЕТЧ.ФИРМЕННАЯ С ИНДЕЙКОЙ п/о   ОСТАНКИНО</v>
          </cell>
          <cell r="B24" t="str">
            <v>кг</v>
          </cell>
          <cell r="C24">
            <v>39.21</v>
          </cell>
          <cell r="F24">
            <v>39.21</v>
          </cell>
          <cell r="G24">
            <v>0</v>
          </cell>
          <cell r="H24">
            <v>39.21</v>
          </cell>
          <cell r="I24">
            <v>0</v>
          </cell>
          <cell r="K24" t="str">
            <v>не в матрице</v>
          </cell>
          <cell r="N24">
            <v>0</v>
          </cell>
          <cell r="O24">
            <v>0</v>
          </cell>
          <cell r="Q24">
            <v>0</v>
          </cell>
          <cell r="S24">
            <v>0</v>
          </cell>
        </row>
        <row r="25">
          <cell r="A25" t="str">
            <v>6220 ГОВЯЖЬЯ папа может вар п/о  Останкино</v>
          </cell>
          <cell r="B25" t="str">
            <v>кг</v>
          </cell>
          <cell r="C25">
            <v>6.7000000000000004E-2</v>
          </cell>
          <cell r="D25">
            <v>139.816</v>
          </cell>
          <cell r="E25">
            <v>91.343000000000004</v>
          </cell>
          <cell r="F25">
            <v>41.793999999999997</v>
          </cell>
          <cell r="G25">
            <v>0</v>
          </cell>
          <cell r="H25">
            <v>41.793999999999997</v>
          </cell>
          <cell r="I25">
            <v>1</v>
          </cell>
          <cell r="J25">
            <v>60</v>
          </cell>
          <cell r="K25" t="str">
            <v>матрица</v>
          </cell>
          <cell r="M25">
            <v>137.19999999999999</v>
          </cell>
          <cell r="N25">
            <v>-45.856999999999985</v>
          </cell>
          <cell r="O25">
            <v>91.343000000000004</v>
          </cell>
          <cell r="Q25">
            <v>80</v>
          </cell>
          <cell r="S25">
            <v>18.268599999999999</v>
          </cell>
          <cell r="T25">
            <v>133.96640000000002</v>
          </cell>
          <cell r="U25">
            <v>200</v>
          </cell>
        </row>
        <row r="26">
          <cell r="A26" t="str">
            <v>6221 НЕОПОЛИТАНСКИЙ ДУЭТ с/к с/н мгс 1/90  Останкино</v>
          </cell>
          <cell r="B26" t="str">
            <v>шт</v>
          </cell>
          <cell r="C26">
            <v>55</v>
          </cell>
          <cell r="D26">
            <v>377</v>
          </cell>
          <cell r="E26">
            <v>128</v>
          </cell>
          <cell r="F26">
            <v>287</v>
          </cell>
          <cell r="G26">
            <v>0</v>
          </cell>
          <cell r="H26">
            <v>287</v>
          </cell>
          <cell r="I26">
            <v>0.09</v>
          </cell>
          <cell r="J26">
            <v>60</v>
          </cell>
          <cell r="K26" t="str">
            <v>матрица</v>
          </cell>
          <cell r="M26">
            <v>276</v>
          </cell>
          <cell r="N26">
            <v>-148</v>
          </cell>
          <cell r="O26">
            <v>128</v>
          </cell>
          <cell r="Q26">
            <v>200</v>
          </cell>
          <cell r="S26">
            <v>25.6</v>
          </cell>
        </row>
        <row r="27">
          <cell r="A27" t="str">
            <v>6222 ИТАЛЬЯНСКОЕ АССОРТИ с/в с/н мгс 1/90 ОСТАНКИНО</v>
          </cell>
          <cell r="B27" t="str">
            <v>шт</v>
          </cell>
          <cell r="C27">
            <v>70</v>
          </cell>
          <cell r="F27">
            <v>70</v>
          </cell>
          <cell r="G27">
            <v>0</v>
          </cell>
          <cell r="H27">
            <v>70</v>
          </cell>
          <cell r="I27">
            <v>0</v>
          </cell>
          <cell r="K27" t="str">
            <v>не в матрице</v>
          </cell>
          <cell r="N27">
            <v>0</v>
          </cell>
          <cell r="O27">
            <v>0</v>
          </cell>
          <cell r="Q27">
            <v>0</v>
          </cell>
          <cell r="S27">
            <v>0</v>
          </cell>
        </row>
        <row r="28">
          <cell r="A28" t="str">
            <v>6228 МЯСНОЕ АССОРТИ к/з с/н мгс 1/90 10шт  Останкино</v>
          </cell>
          <cell r="B28" t="str">
            <v>шт</v>
          </cell>
          <cell r="C28">
            <v>3</v>
          </cell>
          <cell r="D28">
            <v>112</v>
          </cell>
          <cell r="E28">
            <v>61</v>
          </cell>
          <cell r="F28">
            <v>47</v>
          </cell>
          <cell r="G28">
            <v>0</v>
          </cell>
          <cell r="H28">
            <v>47</v>
          </cell>
          <cell r="I28">
            <v>0.09</v>
          </cell>
          <cell r="J28">
            <v>45</v>
          </cell>
          <cell r="K28" t="str">
            <v>матрица</v>
          </cell>
          <cell r="M28">
            <v>78</v>
          </cell>
          <cell r="N28">
            <v>-17</v>
          </cell>
          <cell r="O28">
            <v>61</v>
          </cell>
          <cell r="Q28">
            <v>80</v>
          </cell>
          <cell r="S28">
            <v>12.2</v>
          </cell>
          <cell r="T28">
            <v>43.799999999999983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80</v>
          </cell>
          <cell r="D29">
            <v>32</v>
          </cell>
          <cell r="E29">
            <v>31</v>
          </cell>
          <cell r="F29">
            <v>81</v>
          </cell>
          <cell r="G29">
            <v>0</v>
          </cell>
          <cell r="H29">
            <v>81</v>
          </cell>
          <cell r="I29">
            <v>0.15</v>
          </cell>
          <cell r="J29">
            <v>45</v>
          </cell>
          <cell r="K29" t="str">
            <v>матрица</v>
          </cell>
          <cell r="M29">
            <v>159</v>
          </cell>
          <cell r="N29">
            <v>-128</v>
          </cell>
          <cell r="O29">
            <v>31</v>
          </cell>
          <cell r="Q29">
            <v>0</v>
          </cell>
          <cell r="S29">
            <v>6.2</v>
          </cell>
        </row>
        <row r="30">
          <cell r="A30" t="str">
            <v>6303 Мясные Папа может сос п/о мгс 1,5*3  Останкино</v>
          </cell>
          <cell r="B30" t="str">
            <v>кг</v>
          </cell>
          <cell r="C30">
            <v>-107.374</v>
          </cell>
          <cell r="D30">
            <v>1733.694</v>
          </cell>
          <cell r="E30">
            <v>360.108</v>
          </cell>
          <cell r="F30">
            <v>1119.818</v>
          </cell>
          <cell r="G30">
            <v>109.3</v>
          </cell>
          <cell r="H30">
            <v>1010.518</v>
          </cell>
          <cell r="I30">
            <v>1</v>
          </cell>
          <cell r="J30">
            <v>45</v>
          </cell>
          <cell r="K30" t="str">
            <v>матрица</v>
          </cell>
          <cell r="M30">
            <v>439.28800000000001</v>
          </cell>
          <cell r="N30">
            <v>-79.180000000000007</v>
          </cell>
          <cell r="O30">
            <v>247.768</v>
          </cell>
          <cell r="P30">
            <v>112.34</v>
          </cell>
          <cell r="Q30">
            <v>450</v>
          </cell>
          <cell r="R30">
            <v>100</v>
          </cell>
          <cell r="S30">
            <v>49.553600000000003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D31">
            <v>384</v>
          </cell>
          <cell r="E31">
            <v>215</v>
          </cell>
          <cell r="F31">
            <v>161</v>
          </cell>
          <cell r="G31">
            <v>0</v>
          </cell>
          <cell r="H31">
            <v>161</v>
          </cell>
          <cell r="I31">
            <v>0.4</v>
          </cell>
          <cell r="J31">
            <v>60</v>
          </cell>
          <cell r="K31" t="str">
            <v>матрица</v>
          </cell>
          <cell r="M31">
            <v>215</v>
          </cell>
          <cell r="N31">
            <v>0</v>
          </cell>
          <cell r="O31">
            <v>175</v>
          </cell>
          <cell r="P31">
            <v>40</v>
          </cell>
          <cell r="Q31">
            <v>20</v>
          </cell>
          <cell r="S31">
            <v>35</v>
          </cell>
          <cell r="T31">
            <v>274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25</v>
          </cell>
          <cell r="D32">
            <v>1689</v>
          </cell>
          <cell r="E32">
            <v>775</v>
          </cell>
          <cell r="F32">
            <v>881</v>
          </cell>
          <cell r="G32">
            <v>88</v>
          </cell>
          <cell r="H32">
            <v>793</v>
          </cell>
          <cell r="I32">
            <v>0.4</v>
          </cell>
          <cell r="J32">
            <v>60</v>
          </cell>
          <cell r="K32" t="str">
            <v>матрица</v>
          </cell>
          <cell r="M32">
            <v>854</v>
          </cell>
          <cell r="N32">
            <v>-79</v>
          </cell>
          <cell r="O32">
            <v>583</v>
          </cell>
          <cell r="P32">
            <v>192</v>
          </cell>
          <cell r="Q32">
            <v>350</v>
          </cell>
          <cell r="S32">
            <v>116.6</v>
          </cell>
          <cell r="T32">
            <v>489.39999999999986</v>
          </cell>
        </row>
        <row r="33">
          <cell r="A33" t="str">
            <v>6364 СЕРВЕЛАТ ЗЕРНИСТЫЙ ПМ в/к в/у 0.35кг  ОСТАНКИНО</v>
          </cell>
          <cell r="B33" t="str">
            <v>шт</v>
          </cell>
          <cell r="C33">
            <v>-1</v>
          </cell>
          <cell r="F33">
            <v>-1</v>
          </cell>
          <cell r="G33">
            <v>0</v>
          </cell>
          <cell r="H33">
            <v>-1</v>
          </cell>
          <cell r="I33">
            <v>0</v>
          </cell>
          <cell r="K33" t="str">
            <v>не в матрице</v>
          </cell>
          <cell r="L33" t="str">
            <v>7154 СЕРВЕЛАТ ЗЕРНИСТЫЙ ПМ в/к в/у 0,35кг_50с  Останкино</v>
          </cell>
          <cell r="N33">
            <v>0</v>
          </cell>
          <cell r="O33">
            <v>0</v>
          </cell>
          <cell r="Q33">
            <v>0</v>
          </cell>
          <cell r="S33">
            <v>0</v>
          </cell>
        </row>
        <row r="34">
          <cell r="A34" t="str">
            <v>6392 ФИЛЕЙНАЯ Папа может вар п/о 0,4кг  ОСТАНКИНО</v>
          </cell>
          <cell r="B34" t="str">
            <v>шт</v>
          </cell>
          <cell r="C34">
            <v>9</v>
          </cell>
          <cell r="D34">
            <v>1446</v>
          </cell>
          <cell r="E34">
            <v>656</v>
          </cell>
          <cell r="F34">
            <v>729</v>
          </cell>
          <cell r="G34">
            <v>40</v>
          </cell>
          <cell r="H34">
            <v>689</v>
          </cell>
          <cell r="I34">
            <v>0.4</v>
          </cell>
          <cell r="J34">
            <v>60</v>
          </cell>
          <cell r="K34" t="str">
            <v>матрица</v>
          </cell>
          <cell r="M34">
            <v>729</v>
          </cell>
          <cell r="N34">
            <v>-73</v>
          </cell>
          <cell r="O34">
            <v>464</v>
          </cell>
          <cell r="P34">
            <v>192</v>
          </cell>
          <cell r="Q34">
            <v>250</v>
          </cell>
          <cell r="S34">
            <v>92.8</v>
          </cell>
          <cell r="T34">
            <v>360.20000000000005</v>
          </cell>
        </row>
        <row r="35">
          <cell r="A35" t="str">
            <v>6411 ВЕТЧ.РУБЛЕНАЯ ПМ в/у срез 0.3кг 6шт.  ОСТАНКИНО</v>
          </cell>
          <cell r="B35" t="str">
            <v>шт</v>
          </cell>
          <cell r="C35">
            <v>148</v>
          </cell>
          <cell r="D35">
            <v>6</v>
          </cell>
          <cell r="E35">
            <v>30</v>
          </cell>
          <cell r="F35">
            <v>118</v>
          </cell>
          <cell r="G35">
            <v>0</v>
          </cell>
          <cell r="H35">
            <v>118</v>
          </cell>
          <cell r="I35">
            <v>0</v>
          </cell>
          <cell r="J35">
            <v>45</v>
          </cell>
          <cell r="K35" t="str">
            <v>вывод</v>
          </cell>
          <cell r="M35">
            <v>37</v>
          </cell>
          <cell r="N35">
            <v>-7</v>
          </cell>
          <cell r="O35">
            <v>30</v>
          </cell>
          <cell r="Q35">
            <v>0</v>
          </cell>
          <cell r="S35">
            <v>6</v>
          </cell>
        </row>
        <row r="36">
          <cell r="A36" t="str">
            <v>6453 ЭКСТРА Папа может с/к с/н в/у 1/100 14шт.   ОСТАНКИНО</v>
          </cell>
          <cell r="B36" t="str">
            <v>шт</v>
          </cell>
          <cell r="C36">
            <v>2</v>
          </cell>
          <cell r="F36">
            <v>2</v>
          </cell>
          <cell r="G36">
            <v>0</v>
          </cell>
          <cell r="H36">
            <v>2</v>
          </cell>
          <cell r="I36">
            <v>0</v>
          </cell>
          <cell r="J36">
            <v>60</v>
          </cell>
          <cell r="K36" t="str">
            <v>не в матрице</v>
          </cell>
          <cell r="L36" t="str">
            <v>7616 ЭКСТРА Папа может с/к с/н в/у 1/100_  ОСТАНКИНО</v>
          </cell>
          <cell r="N36">
            <v>0</v>
          </cell>
          <cell r="O36">
            <v>0</v>
          </cell>
          <cell r="Q36">
            <v>0</v>
          </cell>
          <cell r="S36">
            <v>0</v>
          </cell>
        </row>
        <row r="37">
          <cell r="A37" t="str">
            <v>6454 АРОМАТНАЯ с/к с/н в/у 1/100 10шт.  ОСТАНКИНО</v>
          </cell>
          <cell r="B37" t="str">
            <v>шт</v>
          </cell>
          <cell r="C37">
            <v>-15</v>
          </cell>
          <cell r="D37">
            <v>15</v>
          </cell>
          <cell r="G37">
            <v>0</v>
          </cell>
          <cell r="H37">
            <v>0</v>
          </cell>
          <cell r="I37">
            <v>0</v>
          </cell>
          <cell r="J37">
            <v>60</v>
          </cell>
          <cell r="K37" t="str">
            <v>не в матрице</v>
          </cell>
          <cell r="L37" t="str">
            <v>7613 АРОМАТНАЯ с/к с/н в/у 1/100 10шт_Л10  ОСТАНКИНО</v>
          </cell>
          <cell r="N37">
            <v>0</v>
          </cell>
          <cell r="O37">
            <v>0</v>
          </cell>
          <cell r="Q37">
            <v>0</v>
          </cell>
          <cell r="S37">
            <v>0</v>
          </cell>
        </row>
        <row r="38">
          <cell r="A38" t="str">
            <v>6470 ВЕТЧ.МРАМОРНАЯ в/у_45с  ОСТАНКИНО</v>
          </cell>
          <cell r="B38" t="str">
            <v>кг</v>
          </cell>
          <cell r="D38">
            <v>96.83</v>
          </cell>
          <cell r="E38">
            <v>82.275000000000006</v>
          </cell>
          <cell r="F38">
            <v>14.555</v>
          </cell>
          <cell r="G38">
            <v>13.13</v>
          </cell>
          <cell r="H38">
            <v>1.4249999999999989</v>
          </cell>
          <cell r="I38">
            <v>0</v>
          </cell>
          <cell r="J38">
            <v>45</v>
          </cell>
          <cell r="K38" t="str">
            <v>не в матрице</v>
          </cell>
          <cell r="M38">
            <v>105.9</v>
          </cell>
          <cell r="N38">
            <v>-23.625</v>
          </cell>
          <cell r="O38">
            <v>9.6950000000000074</v>
          </cell>
          <cell r="P38">
            <v>72.58</v>
          </cell>
          <cell r="Q38">
            <v>0</v>
          </cell>
          <cell r="S38">
            <v>1.9390000000000014</v>
          </cell>
        </row>
        <row r="39">
          <cell r="A39" t="str">
            <v>6475 Сосиски Папа может 400г С сыром  ОСТАНКИНО</v>
          </cell>
          <cell r="B39" t="str">
            <v>шт</v>
          </cell>
          <cell r="D39">
            <v>198</v>
          </cell>
          <cell r="E39">
            <v>82</v>
          </cell>
          <cell r="F39">
            <v>114</v>
          </cell>
          <cell r="G39">
            <v>114</v>
          </cell>
          <cell r="H39">
            <v>0</v>
          </cell>
          <cell r="I39">
            <v>0</v>
          </cell>
          <cell r="K39" t="str">
            <v>не в матрице</v>
          </cell>
          <cell r="M39">
            <v>283</v>
          </cell>
          <cell r="N39">
            <v>-201</v>
          </cell>
          <cell r="O39">
            <v>10</v>
          </cell>
          <cell r="P39">
            <v>72</v>
          </cell>
          <cell r="S39">
            <v>2</v>
          </cell>
        </row>
        <row r="40">
          <cell r="A40" t="str">
            <v>6495 ВЕТЧ.МРАМОРНАЯ в/у срез 0,3кг 6шт_45с  Останкино</v>
          </cell>
          <cell r="B40" t="str">
            <v>шт</v>
          </cell>
          <cell r="C40">
            <v>11</v>
          </cell>
          <cell r="D40">
            <v>258</v>
          </cell>
          <cell r="E40">
            <v>125</v>
          </cell>
          <cell r="F40">
            <v>126</v>
          </cell>
          <cell r="G40">
            <v>0</v>
          </cell>
          <cell r="H40">
            <v>126</v>
          </cell>
          <cell r="I40">
            <v>0.3</v>
          </cell>
          <cell r="J40">
            <v>45</v>
          </cell>
          <cell r="K40" t="str">
            <v>матрица</v>
          </cell>
          <cell r="M40">
            <v>210</v>
          </cell>
          <cell r="N40">
            <v>-85</v>
          </cell>
          <cell r="O40">
            <v>77</v>
          </cell>
          <cell r="P40">
            <v>48</v>
          </cell>
          <cell r="Q40">
            <v>100</v>
          </cell>
          <cell r="S40">
            <v>15.4</v>
          </cell>
        </row>
        <row r="41">
          <cell r="A41" t="str">
            <v>6498 МОЛОЧНАЯ Папа может вар п/о  ОСТАНКИНО</v>
          </cell>
          <cell r="B41" t="str">
            <v>кг</v>
          </cell>
          <cell r="C41">
            <v>439.31599999999997</v>
          </cell>
          <cell r="D41">
            <v>514.81200000000001</v>
          </cell>
          <cell r="E41">
            <v>189.91900000000001</v>
          </cell>
          <cell r="F41">
            <v>754.81</v>
          </cell>
          <cell r="G41">
            <v>386.68099999999998</v>
          </cell>
          <cell r="H41">
            <v>368.12899999999996</v>
          </cell>
          <cell r="I41">
            <v>1</v>
          </cell>
          <cell r="J41">
            <v>60</v>
          </cell>
          <cell r="K41" t="str">
            <v>матрица</v>
          </cell>
          <cell r="M41">
            <v>247.3</v>
          </cell>
          <cell r="N41">
            <v>-57.381</v>
          </cell>
          <cell r="O41">
            <v>72.257000000000005</v>
          </cell>
          <cell r="P41">
            <v>117.66200000000001</v>
          </cell>
          <cell r="Q41">
            <v>302</v>
          </cell>
          <cell r="R41">
            <v>200</v>
          </cell>
          <cell r="S41">
            <v>14.451400000000001</v>
          </cell>
        </row>
        <row r="42">
          <cell r="A42" t="str">
            <v>6527 ШПИКАЧКИ СОЧНЫЕ ПМ сар б/о мгс 1*3 45с ОСТАНКИНО</v>
          </cell>
          <cell r="B42" t="str">
            <v>кг</v>
          </cell>
          <cell r="C42">
            <v>1.8109999999999999</v>
          </cell>
          <cell r="D42">
            <v>120.18600000000001</v>
          </cell>
          <cell r="E42">
            <v>92.328000000000003</v>
          </cell>
          <cell r="F42">
            <v>22.981999999999999</v>
          </cell>
          <cell r="G42">
            <v>0</v>
          </cell>
          <cell r="H42">
            <v>22.981999999999999</v>
          </cell>
          <cell r="I42">
            <v>1</v>
          </cell>
          <cell r="J42">
            <v>45</v>
          </cell>
          <cell r="K42" t="str">
            <v>матрица</v>
          </cell>
          <cell r="M42">
            <v>97.531000000000006</v>
          </cell>
          <cell r="N42">
            <v>-5.203000000000003</v>
          </cell>
          <cell r="O42">
            <v>92.328000000000003</v>
          </cell>
          <cell r="Q42">
            <v>135</v>
          </cell>
          <cell r="S42">
            <v>18.465600000000002</v>
          </cell>
          <cell r="T42">
            <v>100.53640000000004</v>
          </cell>
          <cell r="U42">
            <v>200</v>
          </cell>
        </row>
        <row r="43">
          <cell r="A43" t="str">
            <v>6550 МЯСНЫЕ Папа может сар б/о мгс 1*3 О 45с  Останкино</v>
          </cell>
          <cell r="B43" t="str">
            <v>кг</v>
          </cell>
          <cell r="C43">
            <v>8.1460000000000008</v>
          </cell>
          <cell r="D43">
            <v>418.08100000000002</v>
          </cell>
          <cell r="E43">
            <v>150.34700000000001</v>
          </cell>
          <cell r="F43">
            <v>266.48599999999999</v>
          </cell>
          <cell r="G43">
            <v>386</v>
          </cell>
          <cell r="H43">
            <v>-119.51400000000001</v>
          </cell>
          <cell r="I43">
            <v>1</v>
          </cell>
          <cell r="J43">
            <v>45</v>
          </cell>
          <cell r="K43" t="str">
            <v>матрица</v>
          </cell>
          <cell r="M43">
            <v>153.196</v>
          </cell>
          <cell r="N43">
            <v>-2.8489999999999895</v>
          </cell>
          <cell r="O43">
            <v>106.28300000000002</v>
          </cell>
          <cell r="P43">
            <v>44.064</v>
          </cell>
          <cell r="Q43">
            <v>70</v>
          </cell>
          <cell r="S43">
            <v>21.256600000000002</v>
          </cell>
          <cell r="T43">
            <v>219.56680000000003</v>
          </cell>
          <cell r="U43">
            <v>340</v>
          </cell>
        </row>
        <row r="44">
          <cell r="A44" t="str">
            <v>6608 С ГОВЯДИНОЙ ОРИГИН. сар б/о мгс 1*3_45с  ОСТАНКИНО</v>
          </cell>
          <cell r="B44" t="str">
            <v>кг</v>
          </cell>
          <cell r="C44">
            <v>3.0230000000000001</v>
          </cell>
          <cell r="D44">
            <v>127.997</v>
          </cell>
          <cell r="E44">
            <v>57.942999999999998</v>
          </cell>
          <cell r="F44">
            <v>66.418000000000006</v>
          </cell>
          <cell r="G44">
            <v>0</v>
          </cell>
          <cell r="H44">
            <v>66.418000000000006</v>
          </cell>
          <cell r="I44">
            <v>1</v>
          </cell>
          <cell r="J44">
            <v>45</v>
          </cell>
          <cell r="K44" t="str">
            <v>матрица</v>
          </cell>
          <cell r="M44">
            <v>72.3</v>
          </cell>
          <cell r="N44">
            <v>-14.356999999999999</v>
          </cell>
          <cell r="O44">
            <v>57.942999999999998</v>
          </cell>
          <cell r="Q44">
            <v>60</v>
          </cell>
          <cell r="S44">
            <v>11.5886</v>
          </cell>
          <cell r="T44">
            <v>35.822399999999988</v>
          </cell>
        </row>
        <row r="45">
          <cell r="A45" t="str">
            <v>6616 МОЛОЧНЫЕ КЛАССИЧЕСКИЕ сос п/о в/у 0,3 кг  Останкино</v>
          </cell>
          <cell r="B45" t="str">
            <v>шт</v>
          </cell>
          <cell r="C45">
            <v>5</v>
          </cell>
          <cell r="D45">
            <v>954</v>
          </cell>
          <cell r="E45">
            <v>642</v>
          </cell>
          <cell r="F45">
            <v>280</v>
          </cell>
          <cell r="G45">
            <v>0</v>
          </cell>
          <cell r="H45">
            <v>280</v>
          </cell>
          <cell r="I45">
            <v>0.3</v>
          </cell>
          <cell r="J45">
            <v>45</v>
          </cell>
          <cell r="K45" t="str">
            <v>матрица</v>
          </cell>
          <cell r="M45">
            <v>703</v>
          </cell>
          <cell r="N45">
            <v>-61</v>
          </cell>
          <cell r="O45">
            <v>594</v>
          </cell>
          <cell r="P45">
            <v>48</v>
          </cell>
          <cell r="Q45">
            <v>300</v>
          </cell>
          <cell r="S45">
            <v>118.8</v>
          </cell>
          <cell r="T45">
            <v>964.39999999999986</v>
          </cell>
        </row>
        <row r="46">
          <cell r="A46" t="str">
            <v>6620 РЕБРЫШКИ к/в в/у_30с  Останкино</v>
          </cell>
          <cell r="B46" t="str">
            <v>кг</v>
          </cell>
          <cell r="D46">
            <v>114.24</v>
          </cell>
          <cell r="E46">
            <v>50.747999999999998</v>
          </cell>
          <cell r="F46">
            <v>58.716000000000001</v>
          </cell>
          <cell r="G46">
            <v>55.04</v>
          </cell>
          <cell r="H46">
            <v>3.6760000000000019</v>
          </cell>
          <cell r="I46">
            <v>1</v>
          </cell>
          <cell r="K46" t="str">
            <v>матрица</v>
          </cell>
          <cell r="M46">
            <v>87.352000000000004</v>
          </cell>
          <cell r="N46">
            <v>-36.604000000000006</v>
          </cell>
          <cell r="O46">
            <v>50.747999999999998</v>
          </cell>
          <cell r="Q46">
            <v>50</v>
          </cell>
          <cell r="S46">
            <v>10.1496</v>
          </cell>
          <cell r="T46">
            <v>78.268799999999985</v>
          </cell>
          <cell r="U46">
            <v>120</v>
          </cell>
        </row>
        <row r="47">
          <cell r="A47" t="str">
            <v>6661 СОЧНЫЙ ГРИЛЬ ПМ сос п/о мгс 1,5*4_Маяк Останкино</v>
          </cell>
          <cell r="B47" t="str">
            <v>кг</v>
          </cell>
          <cell r="C47">
            <v>86.986999999999995</v>
          </cell>
          <cell r="D47">
            <v>264.22300000000001</v>
          </cell>
          <cell r="E47">
            <v>95.406999999999996</v>
          </cell>
          <cell r="F47">
            <v>254.393</v>
          </cell>
          <cell r="G47">
            <v>81.055000000000007</v>
          </cell>
          <cell r="H47">
            <v>173.33799999999999</v>
          </cell>
          <cell r="I47">
            <v>1</v>
          </cell>
          <cell r="J47">
            <v>45</v>
          </cell>
          <cell r="K47" t="str">
            <v>матрица</v>
          </cell>
          <cell r="M47">
            <v>91</v>
          </cell>
          <cell r="N47">
            <v>4.4069999999999965</v>
          </cell>
          <cell r="O47">
            <v>20.39</v>
          </cell>
          <cell r="P47">
            <v>75.016999999999996</v>
          </cell>
          <cell r="Q47">
            <v>0</v>
          </cell>
          <cell r="S47">
            <v>4.0780000000000003</v>
          </cell>
        </row>
        <row r="48">
          <cell r="A48" t="str">
            <v>6697 СЕРВЕЛАТ ФИНСКИЙ ПМ в/к в/у 0,35кг 8шт  ОСТАНКИНО</v>
          </cell>
          <cell r="B48" t="str">
            <v>шт</v>
          </cell>
          <cell r="C48">
            <v>-46</v>
          </cell>
          <cell r="D48">
            <v>2151</v>
          </cell>
          <cell r="E48">
            <v>1064</v>
          </cell>
          <cell r="F48">
            <v>919</v>
          </cell>
          <cell r="G48">
            <v>0</v>
          </cell>
          <cell r="H48">
            <v>919</v>
          </cell>
          <cell r="I48">
            <v>0.35</v>
          </cell>
          <cell r="J48">
            <v>45</v>
          </cell>
          <cell r="K48" t="str">
            <v>матрица</v>
          </cell>
          <cell r="M48">
            <v>1198</v>
          </cell>
          <cell r="N48">
            <v>-134</v>
          </cell>
          <cell r="O48">
            <v>880</v>
          </cell>
          <cell r="P48">
            <v>184</v>
          </cell>
          <cell r="Q48">
            <v>400</v>
          </cell>
          <cell r="S48">
            <v>176</v>
          </cell>
          <cell r="T48">
            <v>1145</v>
          </cell>
          <cell r="U48">
            <v>1400</v>
          </cell>
        </row>
        <row r="49">
          <cell r="A49" t="str">
            <v>6713 СОЧНЫЙ ГРИЛЬ ПМ сос п/о мгс 0,41кг 8 шт.  ОСТАНКИНО</v>
          </cell>
          <cell r="B49" t="str">
            <v>шт</v>
          </cell>
          <cell r="C49">
            <v>11</v>
          </cell>
          <cell r="D49">
            <v>1386</v>
          </cell>
          <cell r="E49">
            <v>423</v>
          </cell>
          <cell r="F49">
            <v>938</v>
          </cell>
          <cell r="G49">
            <v>0</v>
          </cell>
          <cell r="H49">
            <v>938</v>
          </cell>
          <cell r="I49">
            <v>0.41</v>
          </cell>
          <cell r="J49">
            <v>45</v>
          </cell>
          <cell r="K49" t="str">
            <v>матрица</v>
          </cell>
          <cell r="M49">
            <v>477</v>
          </cell>
          <cell r="N49">
            <v>-54</v>
          </cell>
          <cell r="O49">
            <v>400</v>
          </cell>
          <cell r="P49">
            <v>23</v>
          </cell>
          <cell r="S49">
            <v>80</v>
          </cell>
        </row>
        <row r="50">
          <cell r="A50" t="str">
            <v>6724 МОЛОЧНЫЕ ПМ сос п/о мгс 0,41кг 10шт  Останкино</v>
          </cell>
          <cell r="B50" t="str">
            <v>шт</v>
          </cell>
          <cell r="C50">
            <v>34</v>
          </cell>
          <cell r="D50">
            <v>622</v>
          </cell>
          <cell r="E50">
            <v>361</v>
          </cell>
          <cell r="F50">
            <v>281</v>
          </cell>
          <cell r="G50">
            <v>150</v>
          </cell>
          <cell r="H50">
            <v>131</v>
          </cell>
          <cell r="I50">
            <v>0.41</v>
          </cell>
          <cell r="J50">
            <v>45</v>
          </cell>
          <cell r="K50" t="str">
            <v>матрица</v>
          </cell>
          <cell r="M50">
            <v>376</v>
          </cell>
          <cell r="N50">
            <v>-15</v>
          </cell>
          <cell r="O50">
            <v>291</v>
          </cell>
          <cell r="P50">
            <v>70</v>
          </cell>
          <cell r="Q50">
            <v>440</v>
          </cell>
          <cell r="R50">
            <v>200</v>
          </cell>
          <cell r="S50">
            <v>58.2</v>
          </cell>
          <cell r="T50">
            <v>43.800000000000068</v>
          </cell>
        </row>
        <row r="51">
          <cell r="A51" t="str">
            <v>6761 МОЛОЧНЫЕ ГОСТ сос ц/о мгс 1*4  Останкино</v>
          </cell>
          <cell r="B51" t="str">
            <v>кг</v>
          </cell>
          <cell r="C51">
            <v>16.449000000000002</v>
          </cell>
          <cell r="F51">
            <v>16.449000000000002</v>
          </cell>
          <cell r="G51">
            <v>0</v>
          </cell>
          <cell r="H51">
            <v>16.449000000000002</v>
          </cell>
          <cell r="I51">
            <v>0</v>
          </cell>
          <cell r="J51">
            <v>30</v>
          </cell>
          <cell r="K51" t="str">
            <v>не в матрице</v>
          </cell>
          <cell r="N51">
            <v>0</v>
          </cell>
          <cell r="O51">
            <v>0</v>
          </cell>
          <cell r="Q51">
            <v>0</v>
          </cell>
          <cell r="S51">
            <v>0</v>
          </cell>
        </row>
        <row r="52">
          <cell r="A52" t="str">
            <v>6765 РУБЛЕНЫЕ сос ц/о мгс 0,36кг 6шт  Останкино</v>
          </cell>
          <cell r="B52" t="str">
            <v>шт</v>
          </cell>
          <cell r="C52">
            <v>1</v>
          </cell>
          <cell r="D52">
            <v>82</v>
          </cell>
          <cell r="E52">
            <v>60</v>
          </cell>
          <cell r="F52">
            <v>13</v>
          </cell>
          <cell r="G52">
            <v>0</v>
          </cell>
          <cell r="H52">
            <v>13</v>
          </cell>
          <cell r="I52">
            <v>0.36</v>
          </cell>
          <cell r="J52">
            <v>45</v>
          </cell>
          <cell r="K52" t="str">
            <v>матрица</v>
          </cell>
          <cell r="M52">
            <v>175</v>
          </cell>
          <cell r="N52">
            <v>-115</v>
          </cell>
          <cell r="O52">
            <v>60</v>
          </cell>
          <cell r="Q52">
            <v>50</v>
          </cell>
          <cell r="S52">
            <v>12</v>
          </cell>
          <cell r="T52">
            <v>105</v>
          </cell>
        </row>
        <row r="53">
          <cell r="A53" t="str">
            <v>6787 СЕРВЕЛАТ КРЕМЛЕВСКИЙ в/к в/у 0,33кг 8шт  Останкино</v>
          </cell>
          <cell r="B53" t="str">
            <v>шт</v>
          </cell>
          <cell r="C53">
            <v>-2</v>
          </cell>
          <cell r="D53">
            <v>183</v>
          </cell>
          <cell r="E53">
            <v>136</v>
          </cell>
          <cell r="F53">
            <v>27</v>
          </cell>
          <cell r="G53">
            <v>0</v>
          </cell>
          <cell r="H53">
            <v>27</v>
          </cell>
          <cell r="I53">
            <v>0.33</v>
          </cell>
          <cell r="J53">
            <v>45</v>
          </cell>
          <cell r="K53" t="str">
            <v>матрица</v>
          </cell>
          <cell r="M53">
            <v>230</v>
          </cell>
          <cell r="N53">
            <v>-94</v>
          </cell>
          <cell r="O53">
            <v>136</v>
          </cell>
          <cell r="Q53">
            <v>116</v>
          </cell>
          <cell r="S53">
            <v>27.2</v>
          </cell>
          <cell r="T53">
            <v>210.59999999999997</v>
          </cell>
        </row>
        <row r="54">
          <cell r="A54" t="str">
            <v>6797 С ИНДЕЙКОЙ Папа может вар п/о 0,4кг 8шт. ОСТАНКИНО</v>
          </cell>
          <cell r="B54" t="str">
            <v>шт</v>
          </cell>
          <cell r="C54">
            <v>8</v>
          </cell>
          <cell r="D54">
            <v>581</v>
          </cell>
          <cell r="E54">
            <v>249</v>
          </cell>
          <cell r="F54">
            <v>319</v>
          </cell>
          <cell r="G54">
            <v>0</v>
          </cell>
          <cell r="H54">
            <v>319</v>
          </cell>
          <cell r="I54">
            <v>0.4</v>
          </cell>
          <cell r="J54">
            <v>60</v>
          </cell>
          <cell r="K54" t="str">
            <v>матрица</v>
          </cell>
          <cell r="M54">
            <v>279</v>
          </cell>
          <cell r="N54">
            <v>-30</v>
          </cell>
          <cell r="O54">
            <v>225</v>
          </cell>
          <cell r="P54">
            <v>24</v>
          </cell>
          <cell r="Q54">
            <v>50</v>
          </cell>
          <cell r="S54">
            <v>45</v>
          </cell>
          <cell r="T54">
            <v>261</v>
          </cell>
        </row>
        <row r="55">
          <cell r="A55" t="str">
            <v>6807 СЕРВЕЛАТ ЕВРОПЕЙСКИЙ в/к в/у 0,33кг 8шт  Останкино</v>
          </cell>
          <cell r="B55" t="str">
            <v>шт</v>
          </cell>
          <cell r="C55">
            <v>1</v>
          </cell>
          <cell r="D55">
            <v>35</v>
          </cell>
          <cell r="E55">
            <v>13</v>
          </cell>
          <cell r="F55">
            <v>20</v>
          </cell>
          <cell r="G55">
            <v>0</v>
          </cell>
          <cell r="H55">
            <v>20</v>
          </cell>
          <cell r="I55">
            <v>0.33</v>
          </cell>
          <cell r="J55">
            <v>45</v>
          </cell>
          <cell r="K55" t="str">
            <v>матрица</v>
          </cell>
          <cell r="M55">
            <v>24</v>
          </cell>
          <cell r="N55">
            <v>-11</v>
          </cell>
          <cell r="O55">
            <v>13</v>
          </cell>
          <cell r="Q55">
            <v>0</v>
          </cell>
          <cell r="S55">
            <v>2.6</v>
          </cell>
          <cell r="T55">
            <v>16.399999999999999</v>
          </cell>
        </row>
        <row r="56">
          <cell r="A56" t="str">
            <v>6829  МОЛОЧНЫЕ КЛАССИЧЕСКИЕ сос п/о мгс 2*4 С  Останккино</v>
          </cell>
          <cell r="B56" t="str">
            <v>кг</v>
          </cell>
          <cell r="C56">
            <v>8.7390000000000008</v>
          </cell>
          <cell r="D56">
            <v>727.70799999999997</v>
          </cell>
          <cell r="E56">
            <v>404.17899999999997</v>
          </cell>
          <cell r="F56">
            <v>248.261</v>
          </cell>
          <cell r="G56">
            <v>0</v>
          </cell>
          <cell r="H56">
            <v>248.261</v>
          </cell>
          <cell r="I56">
            <v>1</v>
          </cell>
          <cell r="J56">
            <v>45</v>
          </cell>
          <cell r="K56" t="str">
            <v>матрица</v>
          </cell>
          <cell r="M56">
            <v>418.41300000000001</v>
          </cell>
          <cell r="N56">
            <v>-14.234000000000037</v>
          </cell>
          <cell r="O56">
            <v>404.17899999999997</v>
          </cell>
          <cell r="Q56">
            <v>300</v>
          </cell>
          <cell r="S56">
            <v>80.835799999999992</v>
          </cell>
          <cell r="T56">
            <v>583.4402</v>
          </cell>
        </row>
        <row r="57">
          <cell r="A57" t="str">
            <v>6837 ФИЛЕЙНЫЕ Папа Может сос ц/о мгс 0,4кг  Останкино</v>
          </cell>
          <cell r="B57" t="str">
            <v>шт</v>
          </cell>
          <cell r="C57">
            <v>114</v>
          </cell>
          <cell r="D57">
            <v>180</v>
          </cell>
          <cell r="E57">
            <v>51</v>
          </cell>
          <cell r="F57">
            <v>240</v>
          </cell>
          <cell r="G57">
            <v>126</v>
          </cell>
          <cell r="H57">
            <v>114</v>
          </cell>
          <cell r="I57">
            <v>0.4</v>
          </cell>
          <cell r="J57">
            <v>45</v>
          </cell>
          <cell r="K57" t="str">
            <v>матрица</v>
          </cell>
          <cell r="M57">
            <v>165</v>
          </cell>
          <cell r="N57">
            <v>-114</v>
          </cell>
          <cell r="O57">
            <v>-3</v>
          </cell>
          <cell r="P57">
            <v>54</v>
          </cell>
          <cell r="S57">
            <v>-0.6</v>
          </cell>
        </row>
        <row r="58">
          <cell r="A58" t="str">
            <v>6861 ДОМАШНИЙ РЕЦЕПТ Коровино вар п/о  Останкино</v>
          </cell>
          <cell r="B58" t="str">
            <v>кг</v>
          </cell>
          <cell r="G58">
            <v>0</v>
          </cell>
          <cell r="H58">
            <v>0</v>
          </cell>
          <cell r="I58">
            <v>0</v>
          </cell>
          <cell r="K58" t="str">
            <v>матрица</v>
          </cell>
          <cell r="M58">
            <v>14.6</v>
          </cell>
          <cell r="N58">
            <v>-14.6</v>
          </cell>
          <cell r="O58">
            <v>0</v>
          </cell>
          <cell r="Q58">
            <v>0</v>
          </cell>
          <cell r="S58">
            <v>0</v>
          </cell>
        </row>
        <row r="59">
          <cell r="A59" t="str">
            <v>6866 ВЕТЧ.НЕЖНАЯ Коровино п/о_Маяк  Останкино</v>
          </cell>
          <cell r="B59" t="str">
            <v>кг</v>
          </cell>
          <cell r="C59">
            <v>4.1399999999999997</v>
          </cell>
          <cell r="D59">
            <v>244.57</v>
          </cell>
          <cell r="E59">
            <v>62.484999999999999</v>
          </cell>
          <cell r="F59">
            <v>184.69499999999999</v>
          </cell>
          <cell r="G59">
            <v>120.73</v>
          </cell>
          <cell r="H59">
            <v>63.964999999999989</v>
          </cell>
          <cell r="I59">
            <v>1</v>
          </cell>
          <cell r="J59">
            <v>60</v>
          </cell>
          <cell r="K59" t="str">
            <v>матрица</v>
          </cell>
          <cell r="M59">
            <v>59.5</v>
          </cell>
          <cell r="N59">
            <v>2.9849999999999994</v>
          </cell>
          <cell r="O59">
            <v>38.094999999999999</v>
          </cell>
          <cell r="P59">
            <v>24.39</v>
          </cell>
          <cell r="Q59">
            <v>70</v>
          </cell>
          <cell r="S59">
            <v>7.6189999999999998</v>
          </cell>
        </row>
        <row r="60">
          <cell r="A60" t="str">
            <v>6925 ВЕТЧ.КЛАССИЧЕСКАЯ в/у 0,6кг 8шт. ОСТАНКИНО</v>
          </cell>
          <cell r="B60" t="str">
            <v>шт</v>
          </cell>
          <cell r="C60">
            <v>28</v>
          </cell>
          <cell r="D60">
            <v>116</v>
          </cell>
          <cell r="E60">
            <v>56</v>
          </cell>
          <cell r="F60">
            <v>81</v>
          </cell>
          <cell r="G60">
            <v>32</v>
          </cell>
          <cell r="H60">
            <v>49</v>
          </cell>
          <cell r="I60">
            <v>0</v>
          </cell>
          <cell r="J60">
            <v>45</v>
          </cell>
          <cell r="K60" t="str">
            <v>вывод</v>
          </cell>
          <cell r="M60">
            <v>66</v>
          </cell>
          <cell r="N60">
            <v>-10</v>
          </cell>
          <cell r="O60">
            <v>24</v>
          </cell>
          <cell r="P60">
            <v>32</v>
          </cell>
          <cell r="Q60">
            <v>12</v>
          </cell>
          <cell r="S60">
            <v>4.8</v>
          </cell>
        </row>
        <row r="61">
          <cell r="A61" t="str">
            <v>6929 КАРБОНАД ДОМАШНИЙ ПМ к/в кр/к в/у  ОСТАНКИНО</v>
          </cell>
          <cell r="B61" t="str">
            <v>кг</v>
          </cell>
          <cell r="G61">
            <v>0</v>
          </cell>
          <cell r="H61">
            <v>0</v>
          </cell>
          <cell r="I61">
            <v>1</v>
          </cell>
          <cell r="J61">
            <v>45</v>
          </cell>
          <cell r="K61" t="str">
            <v>матрица</v>
          </cell>
          <cell r="M61">
            <v>8.5</v>
          </cell>
          <cell r="N61">
            <v>-8.5</v>
          </cell>
          <cell r="O61">
            <v>0</v>
          </cell>
          <cell r="Q61">
            <v>100</v>
          </cell>
          <cell r="S61">
            <v>0</v>
          </cell>
        </row>
        <row r="62">
          <cell r="A62" t="str">
            <v>6937 САЛЯМИ Папа может с/к в/у 1/250 8шт  Останкино</v>
          </cell>
          <cell r="B62" t="str">
            <v>шт</v>
          </cell>
          <cell r="C62">
            <v>120</v>
          </cell>
          <cell r="F62">
            <v>120</v>
          </cell>
          <cell r="G62">
            <v>0</v>
          </cell>
          <cell r="H62">
            <v>120</v>
          </cell>
          <cell r="I62">
            <v>0</v>
          </cell>
          <cell r="K62" t="str">
            <v>не в матрице</v>
          </cell>
          <cell r="N62">
            <v>0</v>
          </cell>
          <cell r="O62">
            <v>0</v>
          </cell>
          <cell r="Q62">
            <v>0</v>
          </cell>
          <cell r="S62">
            <v>0</v>
          </cell>
        </row>
        <row r="63">
          <cell r="A63" t="str">
            <v>6967 БУРГУНДИЯ Папа может с/к в/у 1/250 8шт  Останкино</v>
          </cell>
          <cell r="B63" t="str">
            <v>шт</v>
          </cell>
          <cell r="C63">
            <v>90</v>
          </cell>
          <cell r="D63">
            <v>328</v>
          </cell>
          <cell r="E63">
            <v>148</v>
          </cell>
          <cell r="F63">
            <v>252</v>
          </cell>
          <cell r="G63">
            <v>0</v>
          </cell>
          <cell r="H63">
            <v>252</v>
          </cell>
          <cell r="I63">
            <v>0.25</v>
          </cell>
          <cell r="J63">
            <v>120</v>
          </cell>
          <cell r="K63" t="str">
            <v>матрица</v>
          </cell>
          <cell r="M63">
            <v>291</v>
          </cell>
          <cell r="N63">
            <v>-143</v>
          </cell>
          <cell r="O63">
            <v>148</v>
          </cell>
          <cell r="Q63">
            <v>70</v>
          </cell>
          <cell r="S63">
            <v>29.6</v>
          </cell>
          <cell r="T63">
            <v>92.400000000000034</v>
          </cell>
        </row>
        <row r="64">
          <cell r="A64" t="str">
            <v>7001 КЛАССИЧЕСКИЕ Папа может сар б/о мгс 1*3  Останкино</v>
          </cell>
          <cell r="B64" t="str">
            <v>кг</v>
          </cell>
          <cell r="C64">
            <v>6.0000000000000001E-3</v>
          </cell>
          <cell r="D64">
            <v>47.622999999999998</v>
          </cell>
          <cell r="E64">
            <v>27.6</v>
          </cell>
          <cell r="F64">
            <v>20.029</v>
          </cell>
          <cell r="G64">
            <v>0</v>
          </cell>
          <cell r="H64">
            <v>20.029</v>
          </cell>
          <cell r="I64">
            <v>1</v>
          </cell>
          <cell r="J64">
            <v>45</v>
          </cell>
          <cell r="K64" t="str">
            <v>матрица</v>
          </cell>
          <cell r="M64">
            <v>27</v>
          </cell>
          <cell r="N64">
            <v>0.60000000000000142</v>
          </cell>
          <cell r="O64">
            <v>27.6</v>
          </cell>
          <cell r="Q64">
            <v>70</v>
          </cell>
          <cell r="S64">
            <v>5.5200000000000005</v>
          </cell>
        </row>
        <row r="65">
          <cell r="A65" t="str">
            <v>7040 С ИНДЕЙКОЙ ПМ сос ц/о в/у 1/270 8шт.  ОСТАНКИНО</v>
          </cell>
          <cell r="B65" t="str">
            <v>шт</v>
          </cell>
          <cell r="C65">
            <v>-2</v>
          </cell>
          <cell r="D65">
            <v>234</v>
          </cell>
          <cell r="E65">
            <v>116</v>
          </cell>
          <cell r="F65">
            <v>98</v>
          </cell>
          <cell r="G65">
            <v>56</v>
          </cell>
          <cell r="H65">
            <v>42</v>
          </cell>
          <cell r="I65">
            <v>0.27</v>
          </cell>
          <cell r="K65" t="str">
            <v>матрица</v>
          </cell>
          <cell r="M65">
            <v>188</v>
          </cell>
          <cell r="N65">
            <v>-72</v>
          </cell>
          <cell r="O65">
            <v>116</v>
          </cell>
          <cell r="Q65">
            <v>60</v>
          </cell>
          <cell r="S65">
            <v>23.2</v>
          </cell>
          <cell r="T65">
            <v>222.8</v>
          </cell>
        </row>
        <row r="66">
          <cell r="A66" t="str">
            <v>7059 ШПИКАЧКИ СОЧНЫЕ С БЕК. п/о мгс 0,3кг 60с ОСТАНКИНО</v>
          </cell>
          <cell r="B66" t="str">
            <v>шт</v>
          </cell>
          <cell r="C66">
            <v>6</v>
          </cell>
          <cell r="D66">
            <v>292</v>
          </cell>
          <cell r="E66">
            <v>207</v>
          </cell>
          <cell r="F66">
            <v>79</v>
          </cell>
          <cell r="G66">
            <v>0</v>
          </cell>
          <cell r="H66">
            <v>79</v>
          </cell>
          <cell r="I66">
            <v>0.3</v>
          </cell>
          <cell r="J66">
            <v>60</v>
          </cell>
          <cell r="K66" t="str">
            <v>матрица</v>
          </cell>
          <cell r="M66">
            <v>223</v>
          </cell>
          <cell r="N66">
            <v>-16</v>
          </cell>
          <cell r="O66">
            <v>207</v>
          </cell>
          <cell r="Q66">
            <v>70</v>
          </cell>
          <cell r="S66">
            <v>41.4</v>
          </cell>
          <cell r="T66">
            <v>347.79999999999995</v>
          </cell>
          <cell r="U66">
            <v>400</v>
          </cell>
        </row>
        <row r="67">
          <cell r="A67" t="str">
            <v>7066 СОЧНЫЕ ПМ сос п/о мгс 0,41кг 10шт 50с  Останкино</v>
          </cell>
          <cell r="B67" t="str">
            <v>шт</v>
          </cell>
          <cell r="C67">
            <v>14</v>
          </cell>
          <cell r="D67">
            <v>2830</v>
          </cell>
          <cell r="E67">
            <v>601</v>
          </cell>
          <cell r="F67">
            <v>2223</v>
          </cell>
          <cell r="G67">
            <v>660</v>
          </cell>
          <cell r="H67">
            <v>1563</v>
          </cell>
          <cell r="I67">
            <v>0.41</v>
          </cell>
          <cell r="J67">
            <v>50</v>
          </cell>
          <cell r="K67" t="str">
            <v>матрица</v>
          </cell>
          <cell r="M67">
            <v>1472</v>
          </cell>
          <cell r="N67">
            <v>-871</v>
          </cell>
          <cell r="O67">
            <v>481</v>
          </cell>
          <cell r="P67">
            <v>120</v>
          </cell>
          <cell r="Q67">
            <v>1300</v>
          </cell>
          <cell r="S67">
            <v>96.2</v>
          </cell>
        </row>
        <row r="68">
          <cell r="A68" t="str">
            <v>7070 СОЧНЫЕ ПМ сос п/о 1,5*4_А_50с  Останкино</v>
          </cell>
          <cell r="B68" t="str">
            <v>кг</v>
          </cell>
          <cell r="C68">
            <v>11.114000000000001</v>
          </cell>
          <cell r="D68">
            <v>937.02599999999995</v>
          </cell>
          <cell r="E68">
            <v>298.74799999999999</v>
          </cell>
          <cell r="F68">
            <v>637.11099999999999</v>
          </cell>
          <cell r="G68">
            <v>285.108</v>
          </cell>
          <cell r="H68">
            <v>352.00299999999999</v>
          </cell>
          <cell r="I68">
            <v>1</v>
          </cell>
          <cell r="J68">
            <v>50</v>
          </cell>
          <cell r="K68" t="str">
            <v>матрица</v>
          </cell>
          <cell r="M68">
            <v>294.99799999999999</v>
          </cell>
          <cell r="N68">
            <v>3.75</v>
          </cell>
          <cell r="O68">
            <v>181.45999999999998</v>
          </cell>
          <cell r="P68">
            <v>117.288</v>
          </cell>
          <cell r="Q68">
            <v>300</v>
          </cell>
          <cell r="R68">
            <v>50</v>
          </cell>
          <cell r="S68">
            <v>36.291999999999994</v>
          </cell>
        </row>
        <row r="69">
          <cell r="A69" t="str">
            <v>7073 МОЛОЧ.ПРЕМИУМ ПМ сос п/о в/у 1/350_50с  Останкино</v>
          </cell>
          <cell r="B69" t="str">
            <v>шт</v>
          </cell>
          <cell r="C69">
            <v>15</v>
          </cell>
          <cell r="D69">
            <v>618</v>
          </cell>
          <cell r="E69">
            <v>304</v>
          </cell>
          <cell r="F69">
            <v>301</v>
          </cell>
          <cell r="G69">
            <v>72</v>
          </cell>
          <cell r="H69">
            <v>229</v>
          </cell>
          <cell r="I69">
            <v>0.35</v>
          </cell>
          <cell r="J69">
            <v>50</v>
          </cell>
          <cell r="K69" t="str">
            <v>матрица</v>
          </cell>
          <cell r="M69">
            <v>331</v>
          </cell>
          <cell r="N69">
            <v>-27</v>
          </cell>
          <cell r="O69">
            <v>280</v>
          </cell>
          <cell r="P69">
            <v>24</v>
          </cell>
          <cell r="Q69">
            <v>250</v>
          </cell>
          <cell r="S69">
            <v>56</v>
          </cell>
          <cell r="T69">
            <v>305</v>
          </cell>
        </row>
        <row r="70">
          <cell r="A70" t="str">
            <v>7075 МОЛОЧ.ПРЕМИУМ ПМ сос п/о мгс 1,5*4_О_50с  Останкино</v>
          </cell>
          <cell r="B70" t="str">
            <v>кг</v>
          </cell>
          <cell r="C70">
            <v>7.0000000000000001E-3</v>
          </cell>
          <cell r="D70">
            <v>57.261000000000003</v>
          </cell>
          <cell r="E70">
            <v>37.139000000000003</v>
          </cell>
          <cell r="F70">
            <v>18.581</v>
          </cell>
          <cell r="G70">
            <v>0</v>
          </cell>
          <cell r="H70">
            <v>18.581</v>
          </cell>
          <cell r="I70">
            <v>1</v>
          </cell>
          <cell r="J70">
            <v>50</v>
          </cell>
          <cell r="K70" t="str">
            <v>матрица</v>
          </cell>
          <cell r="M70">
            <v>33.1</v>
          </cell>
          <cell r="N70">
            <v>4.0390000000000015</v>
          </cell>
          <cell r="O70">
            <v>37.139000000000003</v>
          </cell>
          <cell r="Q70">
            <v>10</v>
          </cell>
          <cell r="S70">
            <v>7.4278000000000004</v>
          </cell>
          <cell r="T70">
            <v>60.552599999999998</v>
          </cell>
        </row>
        <row r="71">
          <cell r="A71" t="str">
            <v>7080 СЛИВОЧНЫЕ ПМ сос п/о мгс 0,41кг 10шт 50с  Останкино</v>
          </cell>
          <cell r="B71" t="str">
            <v>шт</v>
          </cell>
          <cell r="C71">
            <v>50</v>
          </cell>
          <cell r="D71">
            <v>2745</v>
          </cell>
          <cell r="E71">
            <v>1127</v>
          </cell>
          <cell r="F71">
            <v>1590</v>
          </cell>
          <cell r="G71">
            <v>270</v>
          </cell>
          <cell r="H71">
            <v>1320</v>
          </cell>
          <cell r="I71">
            <v>0.41</v>
          </cell>
          <cell r="J71">
            <v>50</v>
          </cell>
          <cell r="K71" t="str">
            <v>матрица</v>
          </cell>
          <cell r="M71">
            <v>1234</v>
          </cell>
          <cell r="N71">
            <v>-107</v>
          </cell>
          <cell r="O71">
            <v>967</v>
          </cell>
          <cell r="P71">
            <v>160</v>
          </cell>
          <cell r="Q71">
            <v>400</v>
          </cell>
          <cell r="S71">
            <v>193.4</v>
          </cell>
          <cell r="T71">
            <v>987.59999999999991</v>
          </cell>
        </row>
        <row r="72">
          <cell r="A72" t="str">
            <v>7083 СЛИВОЧНЫЕ ПМ сос п/о мгс 1.5*4_А_50с  ОСТАНКИНО</v>
          </cell>
          <cell r="B72" t="str">
            <v>кг</v>
          </cell>
          <cell r="C72">
            <v>3.173</v>
          </cell>
          <cell r="D72">
            <v>109.913</v>
          </cell>
          <cell r="E72">
            <v>72.799000000000007</v>
          </cell>
          <cell r="F72">
            <v>37.203000000000003</v>
          </cell>
          <cell r="G72">
            <v>0</v>
          </cell>
          <cell r="H72">
            <v>37.203000000000003</v>
          </cell>
          <cell r="I72">
            <v>1</v>
          </cell>
          <cell r="J72">
            <v>50</v>
          </cell>
          <cell r="K72" t="str">
            <v>матрица</v>
          </cell>
          <cell r="M72">
            <v>145</v>
          </cell>
          <cell r="N72">
            <v>-72.200999999999993</v>
          </cell>
          <cell r="O72">
            <v>72.799000000000007</v>
          </cell>
          <cell r="Q72">
            <v>211</v>
          </cell>
          <cell r="S72">
            <v>14.559800000000001</v>
          </cell>
        </row>
        <row r="73">
          <cell r="A73" t="str">
            <v>7090 СВИНИНА ПО-ДОМ.к/в мл/к в/у 0,3кг_50с  Останкино</v>
          </cell>
          <cell r="B73" t="str">
            <v>шт</v>
          </cell>
          <cell r="C73">
            <v>47</v>
          </cell>
          <cell r="D73">
            <v>498</v>
          </cell>
          <cell r="E73">
            <v>179</v>
          </cell>
          <cell r="F73">
            <v>345</v>
          </cell>
          <cell r="G73">
            <v>0</v>
          </cell>
          <cell r="H73">
            <v>345</v>
          </cell>
          <cell r="I73">
            <v>0.3</v>
          </cell>
          <cell r="J73">
            <v>50</v>
          </cell>
          <cell r="K73" t="str">
            <v>матрица</v>
          </cell>
          <cell r="M73">
            <v>370</v>
          </cell>
          <cell r="N73">
            <v>-191</v>
          </cell>
          <cell r="O73">
            <v>35</v>
          </cell>
          <cell r="P73">
            <v>144</v>
          </cell>
          <cell r="Q73">
            <v>153</v>
          </cell>
          <cell r="S73">
            <v>7</v>
          </cell>
        </row>
        <row r="74">
          <cell r="A74" t="str">
            <v>7103 БЕКОН Останкино с/к с/н в/у 1/180_50с  Останкино</v>
          </cell>
          <cell r="B74" t="str">
            <v>шт</v>
          </cell>
          <cell r="C74">
            <v>89</v>
          </cell>
          <cell r="D74">
            <v>538</v>
          </cell>
          <cell r="E74">
            <v>227</v>
          </cell>
          <cell r="F74">
            <v>369</v>
          </cell>
          <cell r="G74">
            <v>0</v>
          </cell>
          <cell r="H74">
            <v>369</v>
          </cell>
          <cell r="I74">
            <v>0.18</v>
          </cell>
          <cell r="J74">
            <v>50</v>
          </cell>
          <cell r="K74" t="str">
            <v>матрица</v>
          </cell>
          <cell r="M74">
            <v>313</v>
          </cell>
          <cell r="N74">
            <v>-86</v>
          </cell>
          <cell r="O74">
            <v>127</v>
          </cell>
          <cell r="P74">
            <v>100</v>
          </cell>
          <cell r="Q74">
            <v>21</v>
          </cell>
          <cell r="S74">
            <v>25.4</v>
          </cell>
        </row>
        <row r="75">
          <cell r="A75" t="str">
            <v>7143 БРАУНШВЕЙГСКАЯ ГОСТ с/к в/у 1/220 8шт.</v>
          </cell>
          <cell r="B75" t="str">
            <v>шт</v>
          </cell>
          <cell r="G75">
            <v>0</v>
          </cell>
          <cell r="H75">
            <v>0</v>
          </cell>
          <cell r="I75">
            <v>0.22</v>
          </cell>
          <cell r="J75">
            <v>120</v>
          </cell>
          <cell r="K75" t="str">
            <v>матрица</v>
          </cell>
          <cell r="N75">
            <v>0</v>
          </cell>
          <cell r="O75">
            <v>0</v>
          </cell>
          <cell r="Q75">
            <v>120</v>
          </cell>
          <cell r="S75">
            <v>0</v>
          </cell>
        </row>
        <row r="76">
          <cell r="A76" t="str">
            <v>7149 БАЛЫКОВАЯ Коровино п/к в/у 0,84кг_50с  Останкино</v>
          </cell>
          <cell r="B76" t="str">
            <v>кг</v>
          </cell>
          <cell r="G76">
            <v>0</v>
          </cell>
          <cell r="H76">
            <v>0</v>
          </cell>
          <cell r="I76">
            <v>0</v>
          </cell>
          <cell r="K76" t="str">
            <v>матрица</v>
          </cell>
          <cell r="M76">
            <v>10</v>
          </cell>
          <cell r="N76">
            <v>-10</v>
          </cell>
          <cell r="O76">
            <v>0</v>
          </cell>
          <cell r="Q76">
            <v>0</v>
          </cell>
          <cell r="S76">
            <v>0</v>
          </cell>
        </row>
        <row r="77">
          <cell r="A77" t="str">
            <v>7154 СЕРВЕЛАТ ЗЕРНИСТЫЙ ПМ в/к в/у 0,35кг_50с  Останкино</v>
          </cell>
          <cell r="B77" t="str">
            <v>шт</v>
          </cell>
          <cell r="C77">
            <v>59</v>
          </cell>
          <cell r="D77">
            <v>2601</v>
          </cell>
          <cell r="E77">
            <v>923</v>
          </cell>
          <cell r="F77">
            <v>1638</v>
          </cell>
          <cell r="G77">
            <v>256</v>
          </cell>
          <cell r="H77">
            <v>1382</v>
          </cell>
          <cell r="I77">
            <v>0.35</v>
          </cell>
          <cell r="J77">
            <v>50</v>
          </cell>
          <cell r="K77" t="str">
            <v>матрица</v>
          </cell>
          <cell r="M77">
            <v>1044</v>
          </cell>
          <cell r="N77">
            <v>-121</v>
          </cell>
          <cell r="O77">
            <v>699</v>
          </cell>
          <cell r="P77">
            <v>224</v>
          </cell>
          <cell r="Q77">
            <v>300</v>
          </cell>
          <cell r="S77">
            <v>139.80000000000001</v>
          </cell>
          <cell r="T77">
            <v>275.20000000000027</v>
          </cell>
        </row>
        <row r="78">
          <cell r="A78" t="str">
            <v>7156 СЕРВЕЛАТ КОПЧ.НА БУКЕ в/к в/у 0.35кг_50с</v>
          </cell>
          <cell r="B78" t="str">
            <v>шт</v>
          </cell>
          <cell r="G78">
            <v>0</v>
          </cell>
          <cell r="H78">
            <v>0</v>
          </cell>
          <cell r="I78">
            <v>0</v>
          </cell>
          <cell r="K78" t="str">
            <v>матрица</v>
          </cell>
          <cell r="N78">
            <v>0</v>
          </cell>
          <cell r="O78">
            <v>0</v>
          </cell>
          <cell r="Q78">
            <v>0</v>
          </cell>
          <cell r="S78">
            <v>0</v>
          </cell>
        </row>
        <row r="79">
          <cell r="A79" t="str">
            <v>7157 СЕРВЕЛАТ ЗЕРНИСТЫЙ ПМ в/к в/у_50с  Останкино</v>
          </cell>
          <cell r="B79" t="str">
            <v>кг</v>
          </cell>
          <cell r="C79">
            <v>146.99799999999999</v>
          </cell>
          <cell r="D79">
            <v>560.20899999999995</v>
          </cell>
          <cell r="E79">
            <v>226.15799999999999</v>
          </cell>
          <cell r="F79">
            <v>462.50099999999998</v>
          </cell>
          <cell r="G79">
            <v>196.2</v>
          </cell>
          <cell r="H79">
            <v>266.30099999999999</v>
          </cell>
          <cell r="I79">
            <v>1</v>
          </cell>
          <cell r="J79">
            <v>50</v>
          </cell>
          <cell r="K79" t="str">
            <v>матрица</v>
          </cell>
          <cell r="M79">
            <v>238.47</v>
          </cell>
          <cell r="N79">
            <v>-12.312000000000012</v>
          </cell>
          <cell r="O79">
            <v>153.53399999999999</v>
          </cell>
          <cell r="P79">
            <v>72.623999999999995</v>
          </cell>
          <cell r="Q79">
            <v>70</v>
          </cell>
          <cell r="S79">
            <v>30.706799999999998</v>
          </cell>
          <cell r="T79">
            <v>93.594200000000001</v>
          </cell>
        </row>
        <row r="80">
          <cell r="A80" t="str">
            <v>7166 СЕРВЕЛАТ ОХОТНИЧИЙ ПМ в/к в/у_50с  Останкино</v>
          </cell>
          <cell r="B80" t="str">
            <v>кг</v>
          </cell>
          <cell r="C80">
            <v>105.048</v>
          </cell>
          <cell r="D80">
            <v>1086.9480000000001</v>
          </cell>
          <cell r="E80">
            <v>383.88900000000001</v>
          </cell>
          <cell r="F80">
            <v>776.79100000000005</v>
          </cell>
          <cell r="G80">
            <v>308.27499999999998</v>
          </cell>
          <cell r="H80">
            <v>468.51600000000008</v>
          </cell>
          <cell r="I80">
            <v>1</v>
          </cell>
          <cell r="J80">
            <v>50</v>
          </cell>
          <cell r="K80" t="str">
            <v>матрица</v>
          </cell>
          <cell r="M80">
            <v>389.6</v>
          </cell>
          <cell r="N80">
            <v>-5.7110000000000127</v>
          </cell>
          <cell r="O80">
            <v>298.596</v>
          </cell>
          <cell r="P80">
            <v>85.293000000000006</v>
          </cell>
          <cell r="Q80">
            <v>150</v>
          </cell>
          <cell r="S80">
            <v>59.719200000000001</v>
          </cell>
          <cell r="T80">
            <v>217.55279999999993</v>
          </cell>
        </row>
        <row r="81">
          <cell r="A81" t="str">
            <v>7169 СЕРВЕЛАТ ОХОТНИЧИЙ ПМ в/к в/у 0,35кг_50с  Останкино</v>
          </cell>
          <cell r="B81" t="str">
            <v>шт</v>
          </cell>
          <cell r="C81">
            <v>11</v>
          </cell>
          <cell r="D81">
            <v>2357</v>
          </cell>
          <cell r="E81">
            <v>994</v>
          </cell>
          <cell r="F81">
            <v>1254</v>
          </cell>
          <cell r="G81">
            <v>120</v>
          </cell>
          <cell r="H81">
            <v>1134</v>
          </cell>
          <cell r="I81">
            <v>0.35</v>
          </cell>
          <cell r="J81">
            <v>50</v>
          </cell>
          <cell r="K81" t="str">
            <v>матрица</v>
          </cell>
          <cell r="M81">
            <v>1150</v>
          </cell>
          <cell r="N81">
            <v>-156</v>
          </cell>
          <cell r="O81">
            <v>786</v>
          </cell>
          <cell r="P81">
            <v>208</v>
          </cell>
          <cell r="Q81">
            <v>300</v>
          </cell>
          <cell r="S81">
            <v>157.19999999999999</v>
          </cell>
          <cell r="T81">
            <v>766.79999999999973</v>
          </cell>
          <cell r="U81">
            <v>900</v>
          </cell>
        </row>
        <row r="82">
          <cell r="A82" t="str">
            <v>7177 ЧЕСНОЧНАЯ ПМ п/к в/у 0,35кг 8шт_50с  Останкино</v>
          </cell>
          <cell r="B82" t="str">
            <v>шт</v>
          </cell>
          <cell r="C82">
            <v>84</v>
          </cell>
          <cell r="D82">
            <v>103</v>
          </cell>
          <cell r="E82">
            <v>108</v>
          </cell>
          <cell r="F82">
            <v>72</v>
          </cell>
          <cell r="G82">
            <v>40</v>
          </cell>
          <cell r="H82">
            <v>32</v>
          </cell>
          <cell r="I82">
            <v>0</v>
          </cell>
          <cell r="K82" t="str">
            <v>не в матрице</v>
          </cell>
          <cell r="M82">
            <v>145</v>
          </cell>
          <cell r="N82">
            <v>-37</v>
          </cell>
          <cell r="O82">
            <v>52</v>
          </cell>
          <cell r="P82">
            <v>56</v>
          </cell>
          <cell r="Q82">
            <v>0</v>
          </cell>
          <cell r="S82">
            <v>10.4</v>
          </cell>
        </row>
        <row r="83">
          <cell r="A83" t="str">
            <v>7187 ГРУДИНКА ПРЕМИУМ к/в мл/к в/у 0,3кг_50с  Останкино</v>
          </cell>
          <cell r="B83" t="str">
            <v>шт</v>
          </cell>
          <cell r="C83">
            <v>1</v>
          </cell>
          <cell r="D83">
            <v>494</v>
          </cell>
          <cell r="E83">
            <v>238</v>
          </cell>
          <cell r="F83">
            <v>231</v>
          </cell>
          <cell r="G83">
            <v>36</v>
          </cell>
          <cell r="H83">
            <v>195</v>
          </cell>
          <cell r="I83">
            <v>0.3</v>
          </cell>
          <cell r="J83">
            <v>50</v>
          </cell>
          <cell r="K83" t="str">
            <v>матрица</v>
          </cell>
          <cell r="M83">
            <v>336</v>
          </cell>
          <cell r="N83">
            <v>-98</v>
          </cell>
          <cell r="O83">
            <v>190</v>
          </cell>
          <cell r="P83">
            <v>48</v>
          </cell>
          <cell r="Q83">
            <v>50</v>
          </cell>
          <cell r="S83">
            <v>38</v>
          </cell>
          <cell r="T83">
            <v>287</v>
          </cell>
        </row>
        <row r="84">
          <cell r="A84" t="str">
            <v>7231 КЛАССИЧЕСКАЯ ПМ вар п/о 0,3кг 8 шт_209к  Останкино</v>
          </cell>
          <cell r="B84" t="str">
            <v>шт</v>
          </cell>
          <cell r="C84">
            <v>2</v>
          </cell>
          <cell r="D84">
            <v>81</v>
          </cell>
          <cell r="E84">
            <v>62</v>
          </cell>
          <cell r="F84">
            <v>12</v>
          </cell>
          <cell r="G84">
            <v>0</v>
          </cell>
          <cell r="H84">
            <v>12</v>
          </cell>
          <cell r="I84">
            <v>0.3</v>
          </cell>
          <cell r="J84">
            <v>60</v>
          </cell>
          <cell r="K84" t="str">
            <v>матрица</v>
          </cell>
          <cell r="M84">
            <v>114</v>
          </cell>
          <cell r="N84">
            <v>-52</v>
          </cell>
          <cell r="O84">
            <v>62</v>
          </cell>
          <cell r="Q84">
            <v>50</v>
          </cell>
          <cell r="S84">
            <v>12.4</v>
          </cell>
          <cell r="T84">
            <v>99.200000000000017</v>
          </cell>
        </row>
        <row r="85">
          <cell r="A85" t="str">
            <v>7232 БОЯNСКАЯ ПМ п/к в/у 0,28кг 8шт_209к  Останкино</v>
          </cell>
          <cell r="B85" t="str">
            <v>шт</v>
          </cell>
          <cell r="C85">
            <v>4</v>
          </cell>
          <cell r="D85">
            <v>1528</v>
          </cell>
          <cell r="E85">
            <v>578</v>
          </cell>
          <cell r="F85">
            <v>877</v>
          </cell>
          <cell r="G85">
            <v>0</v>
          </cell>
          <cell r="H85">
            <v>877</v>
          </cell>
          <cell r="I85">
            <v>0.28000000000000003</v>
          </cell>
          <cell r="J85">
            <v>50</v>
          </cell>
          <cell r="K85" t="str">
            <v>матрица</v>
          </cell>
          <cell r="M85">
            <v>743</v>
          </cell>
          <cell r="N85">
            <v>-165</v>
          </cell>
          <cell r="O85">
            <v>434</v>
          </cell>
          <cell r="P85">
            <v>144</v>
          </cell>
          <cell r="Q85">
            <v>0</v>
          </cell>
          <cell r="S85">
            <v>86.8</v>
          </cell>
          <cell r="T85">
            <v>338.20000000000005</v>
          </cell>
        </row>
        <row r="86">
          <cell r="A86" t="str">
            <v>7236 СЕРВЕЛАТ КАРЕЛЬСКИЙ в/к в/у 0,28кг_209к  Останкино</v>
          </cell>
          <cell r="B86" t="str">
            <v>шт</v>
          </cell>
          <cell r="C86">
            <v>7</v>
          </cell>
          <cell r="D86">
            <v>1487</v>
          </cell>
          <cell r="E86">
            <v>594</v>
          </cell>
          <cell r="F86">
            <v>851</v>
          </cell>
          <cell r="G86">
            <v>40</v>
          </cell>
          <cell r="H86">
            <v>811</v>
          </cell>
          <cell r="I86">
            <v>0.28000000000000003</v>
          </cell>
          <cell r="J86">
            <v>45</v>
          </cell>
          <cell r="K86" t="str">
            <v>матрица</v>
          </cell>
          <cell r="M86">
            <v>708</v>
          </cell>
          <cell r="N86">
            <v>-114</v>
          </cell>
          <cell r="O86">
            <v>434</v>
          </cell>
          <cell r="P86">
            <v>160</v>
          </cell>
          <cell r="Q86">
            <v>200</v>
          </cell>
          <cell r="S86">
            <v>86.8</v>
          </cell>
          <cell r="T86">
            <v>204.20000000000005</v>
          </cell>
        </row>
        <row r="87">
          <cell r="A87" t="str">
            <v>7238 СЕРВЕЛАТ ОРЕХОВЫЙ в/к в/у 0,31кг_209к  Останкино</v>
          </cell>
          <cell r="B87" t="str">
            <v>шт</v>
          </cell>
          <cell r="C87">
            <v>140</v>
          </cell>
          <cell r="F87">
            <v>140</v>
          </cell>
          <cell r="G87">
            <v>0</v>
          </cell>
          <cell r="H87">
            <v>140</v>
          </cell>
          <cell r="I87">
            <v>0</v>
          </cell>
          <cell r="K87" t="str">
            <v>не в матрице</v>
          </cell>
          <cell r="N87">
            <v>0</v>
          </cell>
          <cell r="O87">
            <v>0</v>
          </cell>
          <cell r="Q87">
            <v>0</v>
          </cell>
          <cell r="S87">
            <v>0</v>
          </cell>
        </row>
        <row r="88">
          <cell r="A88" t="str">
            <v>7241 САЛЯМИ Папа может п/к в/у 0,28кг ОСТАНКИНО</v>
          </cell>
          <cell r="B88" t="str">
            <v>шт</v>
          </cell>
          <cell r="C88">
            <v>27</v>
          </cell>
          <cell r="D88">
            <v>1151</v>
          </cell>
          <cell r="E88">
            <v>556</v>
          </cell>
          <cell r="F88">
            <v>578</v>
          </cell>
          <cell r="G88">
            <v>32</v>
          </cell>
          <cell r="H88">
            <v>546</v>
          </cell>
          <cell r="I88">
            <v>0.28000000000000003</v>
          </cell>
          <cell r="J88">
            <v>45</v>
          </cell>
          <cell r="K88" t="str">
            <v>матрица</v>
          </cell>
          <cell r="M88">
            <v>637</v>
          </cell>
          <cell r="N88">
            <v>-81</v>
          </cell>
          <cell r="O88">
            <v>404</v>
          </cell>
          <cell r="P88">
            <v>152</v>
          </cell>
          <cell r="Q88">
            <v>100</v>
          </cell>
          <cell r="S88">
            <v>80.8</v>
          </cell>
          <cell r="T88">
            <v>485.20000000000005</v>
          </cell>
        </row>
        <row r="89">
          <cell r="A89" t="str">
            <v>7255 МЯСНЫЕ С ГОВЯД.ПМ сос п/о мгс 0.4кг 6шт.  ОСТАНКИНО</v>
          </cell>
          <cell r="B89" t="str">
            <v>шт</v>
          </cell>
          <cell r="C89">
            <v>26</v>
          </cell>
          <cell r="D89">
            <v>1646</v>
          </cell>
          <cell r="E89">
            <v>969</v>
          </cell>
          <cell r="F89">
            <v>665</v>
          </cell>
          <cell r="G89">
            <v>156</v>
          </cell>
          <cell r="H89">
            <v>509</v>
          </cell>
          <cell r="I89">
            <v>0.4</v>
          </cell>
          <cell r="J89">
            <v>50</v>
          </cell>
          <cell r="K89" t="str">
            <v>матрица</v>
          </cell>
          <cell r="M89">
            <v>1002</v>
          </cell>
          <cell r="N89">
            <v>-33</v>
          </cell>
          <cell r="O89">
            <v>849</v>
          </cell>
          <cell r="P89">
            <v>120</v>
          </cell>
          <cell r="Q89">
            <v>1200</v>
          </cell>
          <cell r="R89">
            <v>150</v>
          </cell>
          <cell r="S89">
            <v>169.8</v>
          </cell>
          <cell r="T89">
            <v>518.20000000000027</v>
          </cell>
        </row>
        <row r="90">
          <cell r="A90" t="str">
            <v>7284 ДЛЯ ДЕТЕЙ сос п/о мгс 0,33кг 6шт  Останкино</v>
          </cell>
          <cell r="B90" t="str">
            <v>шт</v>
          </cell>
          <cell r="C90">
            <v>-1</v>
          </cell>
          <cell r="E90">
            <v>5</v>
          </cell>
          <cell r="F90">
            <v>-6</v>
          </cell>
          <cell r="G90">
            <v>0</v>
          </cell>
          <cell r="H90">
            <v>-6</v>
          </cell>
          <cell r="I90">
            <v>0</v>
          </cell>
          <cell r="K90" t="str">
            <v>не в матрице</v>
          </cell>
          <cell r="L90" t="str">
            <v>7461 ДЛЯ ДЕТЕЙ Папа Может сос п/о мгс 0,33кг ОСТАНКИНО</v>
          </cell>
          <cell r="M90">
            <v>85</v>
          </cell>
          <cell r="N90">
            <v>-80</v>
          </cell>
          <cell r="O90">
            <v>5</v>
          </cell>
          <cell r="Q90">
            <v>0</v>
          </cell>
          <cell r="S90">
            <v>1</v>
          </cell>
        </row>
        <row r="91">
          <cell r="A91" t="str">
            <v>7299 НАБОР ДЛЯ ПИЦЦЫ Папа Может с/к в/у  ОСТАНКИНО</v>
          </cell>
          <cell r="B91" t="str">
            <v>кг</v>
          </cell>
          <cell r="C91">
            <v>103.636</v>
          </cell>
          <cell r="D91">
            <v>4.069</v>
          </cell>
          <cell r="E91">
            <v>25.457999999999998</v>
          </cell>
          <cell r="F91">
            <v>77.858000000000004</v>
          </cell>
          <cell r="G91">
            <v>0</v>
          </cell>
          <cell r="H91">
            <v>77.858000000000004</v>
          </cell>
          <cell r="I91">
            <v>1</v>
          </cell>
          <cell r="J91">
            <v>30</v>
          </cell>
          <cell r="K91" t="str">
            <v>матрица</v>
          </cell>
          <cell r="M91">
            <v>41.2</v>
          </cell>
          <cell r="N91">
            <v>-15.742000000000004</v>
          </cell>
          <cell r="O91">
            <v>25.457999999999998</v>
          </cell>
          <cell r="Q91">
            <v>0</v>
          </cell>
          <cell r="S91">
            <v>5.0915999999999997</v>
          </cell>
        </row>
        <row r="92">
          <cell r="A92" t="str">
            <v>7332 БОЯРСКАЯ ПМ п/к в/у 0,28кг ОСТАНКИНО</v>
          </cell>
          <cell r="B92" t="str">
            <v>шт</v>
          </cell>
          <cell r="C92">
            <v>3</v>
          </cell>
          <cell r="D92">
            <v>37</v>
          </cell>
          <cell r="E92">
            <v>12</v>
          </cell>
          <cell r="F92">
            <v>23</v>
          </cell>
          <cell r="G92">
            <v>0</v>
          </cell>
          <cell r="H92">
            <v>23</v>
          </cell>
          <cell r="I92">
            <v>0</v>
          </cell>
          <cell r="J92">
            <v>50</v>
          </cell>
          <cell r="K92" t="str">
            <v>вывод</v>
          </cell>
          <cell r="M92">
            <v>104</v>
          </cell>
          <cell r="N92">
            <v>-92</v>
          </cell>
          <cell r="O92">
            <v>12</v>
          </cell>
          <cell r="Q92">
            <v>0</v>
          </cell>
          <cell r="S92">
            <v>2.4</v>
          </cell>
        </row>
        <row r="93">
          <cell r="A93" t="str">
            <v>7334 МЯСНАЯ СО ШПИКОМ ПМ вар п/о 0.4кг 8шт.</v>
          </cell>
          <cell r="B93" t="str">
            <v>шт</v>
          </cell>
          <cell r="C93">
            <v>280</v>
          </cell>
          <cell r="F93">
            <v>280</v>
          </cell>
          <cell r="G93">
            <v>0</v>
          </cell>
          <cell r="H93">
            <v>280</v>
          </cell>
          <cell r="I93">
            <v>0</v>
          </cell>
          <cell r="K93" t="str">
            <v>не в матрице</v>
          </cell>
          <cell r="N93">
            <v>0</v>
          </cell>
          <cell r="O93">
            <v>0</v>
          </cell>
          <cell r="Q93">
            <v>0</v>
          </cell>
          <cell r="S93">
            <v>0</v>
          </cell>
        </row>
        <row r="94">
          <cell r="A94" t="str">
            <v>7344 КОНСЕРВЫ МЯС.ГОВЯДИНА ТУШ. В/С 338г_ЧЗ</v>
          </cell>
          <cell r="B94" t="str">
            <v>шт</v>
          </cell>
          <cell r="G94">
            <v>0</v>
          </cell>
          <cell r="H94">
            <v>0</v>
          </cell>
          <cell r="I94">
            <v>0.33800000000000002</v>
          </cell>
          <cell r="J94" t="str">
            <v>3 года</v>
          </cell>
          <cell r="K94" t="str">
            <v>матрица</v>
          </cell>
          <cell r="N94">
            <v>0</v>
          </cell>
          <cell r="O94">
            <v>0</v>
          </cell>
          <cell r="Q94">
            <v>300</v>
          </cell>
          <cell r="S94">
            <v>0</v>
          </cell>
        </row>
        <row r="95">
          <cell r="A95" t="str">
            <v>7345 КОНСЕРВЫ МЯС.СВИНИНА ТУШ. В/С 325г_ЧЗ</v>
          </cell>
          <cell r="B95" t="str">
            <v>шт</v>
          </cell>
          <cell r="G95">
            <v>0</v>
          </cell>
          <cell r="H95">
            <v>0</v>
          </cell>
          <cell r="I95">
            <v>0.32500000000000001</v>
          </cell>
          <cell r="J95" t="str">
            <v>3 года</v>
          </cell>
          <cell r="K95" t="str">
            <v>матрица</v>
          </cell>
          <cell r="N95">
            <v>0</v>
          </cell>
          <cell r="O95">
            <v>0</v>
          </cell>
          <cell r="Q95">
            <v>300</v>
          </cell>
          <cell r="S95">
            <v>0</v>
          </cell>
        </row>
        <row r="96">
          <cell r="A96" t="str">
            <v>7382  САЛЯМИ МЕЛКОЗЕРНЕНАЯ с/к в/у1/120 8шт.  ОСТАНКИНО</v>
          </cell>
          <cell r="B96" t="str">
            <v>шт</v>
          </cell>
          <cell r="C96">
            <v>49</v>
          </cell>
          <cell r="D96">
            <v>973</v>
          </cell>
          <cell r="E96">
            <v>482</v>
          </cell>
          <cell r="F96">
            <v>519</v>
          </cell>
          <cell r="G96">
            <v>0</v>
          </cell>
          <cell r="H96">
            <v>519</v>
          </cell>
          <cell r="I96">
            <v>0.12</v>
          </cell>
          <cell r="J96">
            <v>60</v>
          </cell>
          <cell r="K96" t="str">
            <v>матрица</v>
          </cell>
          <cell r="M96">
            <v>553</v>
          </cell>
          <cell r="N96">
            <v>-71</v>
          </cell>
          <cell r="O96">
            <v>386</v>
          </cell>
          <cell r="P96">
            <v>96</v>
          </cell>
          <cell r="Q96">
            <v>0</v>
          </cell>
          <cell r="S96">
            <v>77.2</v>
          </cell>
          <cell r="T96">
            <v>561.79999999999995</v>
          </cell>
        </row>
        <row r="97">
          <cell r="A97" t="str">
            <v>7386 БАРСЕЛОНА ПМ с/к в/у 1/150  ОСТАНКИНО</v>
          </cell>
          <cell r="B97" t="str">
            <v>шт</v>
          </cell>
          <cell r="C97">
            <v>18</v>
          </cell>
          <cell r="F97">
            <v>18</v>
          </cell>
          <cell r="G97">
            <v>0</v>
          </cell>
          <cell r="H97">
            <v>18</v>
          </cell>
          <cell r="I97">
            <v>0.15</v>
          </cell>
          <cell r="J97">
            <v>90</v>
          </cell>
          <cell r="K97" t="str">
            <v>матрица</v>
          </cell>
          <cell r="M97">
            <v>75</v>
          </cell>
          <cell r="N97">
            <v>-75</v>
          </cell>
          <cell r="O97">
            <v>0</v>
          </cell>
          <cell r="Q97">
            <v>150</v>
          </cell>
          <cell r="S97">
            <v>0</v>
          </cell>
        </row>
        <row r="98">
          <cell r="A98" t="str">
            <v>7456 САЛЯМИ ФИНСКАЯ Папа может с/к в/у 1/150</v>
          </cell>
          <cell r="B98" t="str">
            <v>шт</v>
          </cell>
          <cell r="G98">
            <v>0</v>
          </cell>
          <cell r="H98">
            <v>0</v>
          </cell>
          <cell r="I98">
            <v>0.15</v>
          </cell>
          <cell r="J98">
            <v>90</v>
          </cell>
          <cell r="K98" t="str">
            <v>матрица</v>
          </cell>
          <cell r="N98">
            <v>0</v>
          </cell>
          <cell r="O98">
            <v>0</v>
          </cell>
          <cell r="Q98">
            <v>120</v>
          </cell>
          <cell r="S98">
            <v>0</v>
          </cell>
        </row>
        <row r="99">
          <cell r="A99" t="str">
            <v>7461 ДЛЯ ДЕТЕЙ Папа Может сос п/о мгс 0,33кг ОСТАНКИНО</v>
          </cell>
          <cell r="B99" t="str">
            <v>шт</v>
          </cell>
          <cell r="C99">
            <v>6</v>
          </cell>
          <cell r="D99">
            <v>441</v>
          </cell>
          <cell r="E99">
            <v>136</v>
          </cell>
          <cell r="F99">
            <v>290</v>
          </cell>
          <cell r="G99">
            <v>0</v>
          </cell>
          <cell r="H99">
            <v>290</v>
          </cell>
          <cell r="I99">
            <v>0.33</v>
          </cell>
          <cell r="J99">
            <v>30</v>
          </cell>
          <cell r="K99" t="str">
            <v>матрица</v>
          </cell>
          <cell r="M99">
            <v>187</v>
          </cell>
          <cell r="N99">
            <v>-51</v>
          </cell>
          <cell r="O99">
            <v>136</v>
          </cell>
          <cell r="Q99">
            <v>39</v>
          </cell>
          <cell r="S99">
            <v>27.2</v>
          </cell>
          <cell r="T99">
            <v>51.800000000000011</v>
          </cell>
        </row>
        <row r="100">
          <cell r="A100" t="str">
            <v>7485 РИЕТ МЯСНОЙ С ГРИБАМИ ПМ п/о 1/150  ОСТАНКИНО</v>
          </cell>
          <cell r="B100" t="str">
            <v>шт</v>
          </cell>
          <cell r="C100">
            <v>4</v>
          </cell>
          <cell r="D100">
            <v>60</v>
          </cell>
          <cell r="E100">
            <v>28</v>
          </cell>
          <cell r="F100">
            <v>21</v>
          </cell>
          <cell r="G100">
            <v>0</v>
          </cell>
          <cell r="H100">
            <v>21</v>
          </cell>
          <cell r="I100">
            <v>0.15</v>
          </cell>
          <cell r="J100">
            <v>60</v>
          </cell>
          <cell r="K100" t="str">
            <v>матрица</v>
          </cell>
          <cell r="M100">
            <v>298</v>
          </cell>
          <cell r="N100">
            <v>-270</v>
          </cell>
          <cell r="O100">
            <v>28</v>
          </cell>
          <cell r="Q100">
            <v>200</v>
          </cell>
          <cell r="S100">
            <v>5.6</v>
          </cell>
        </row>
        <row r="101">
          <cell r="A101" t="str">
            <v>7513 ВОСКРЕСЕНСКАЯ ВЯЛЕНАЯ в/к в/у срез 1/260  ОСТАНКИНО</v>
          </cell>
          <cell r="B101" t="str">
            <v>шт</v>
          </cell>
          <cell r="C101">
            <v>2</v>
          </cell>
          <cell r="D101">
            <v>34</v>
          </cell>
          <cell r="E101">
            <v>31</v>
          </cell>
          <cell r="F101">
            <v>3</v>
          </cell>
          <cell r="G101">
            <v>0</v>
          </cell>
          <cell r="H101">
            <v>3</v>
          </cell>
          <cell r="I101">
            <v>0.26</v>
          </cell>
          <cell r="J101">
            <v>45</v>
          </cell>
          <cell r="K101" t="str">
            <v>матрица</v>
          </cell>
          <cell r="M101">
            <v>119</v>
          </cell>
          <cell r="N101">
            <v>-88</v>
          </cell>
          <cell r="O101">
            <v>31</v>
          </cell>
          <cell r="Q101">
            <v>200</v>
          </cell>
          <cell r="S101">
            <v>6.2</v>
          </cell>
        </row>
        <row r="102">
          <cell r="A102" t="str">
            <v>7514 ЛЮБИТЕЛЬСКАЯ ОСТАНКИНСКАЯ вар п/о в/у  ОСТАНКИНО</v>
          </cell>
          <cell r="B102" t="str">
            <v>кг</v>
          </cell>
          <cell r="G102">
            <v>0</v>
          </cell>
          <cell r="H102">
            <v>0</v>
          </cell>
          <cell r="I102">
            <v>1</v>
          </cell>
          <cell r="J102">
            <v>30</v>
          </cell>
          <cell r="K102" t="str">
            <v>матрица</v>
          </cell>
          <cell r="N102">
            <v>0</v>
          </cell>
          <cell r="O102">
            <v>0</v>
          </cell>
          <cell r="Q102">
            <v>100</v>
          </cell>
          <cell r="S102">
            <v>0</v>
          </cell>
        </row>
        <row r="103">
          <cell r="A103" t="str">
            <v>7516 НОВОМОСКОВСКАЯ в/к в/у срез 0.31кг  ОСТАНКИНО</v>
          </cell>
          <cell r="B103" t="str">
            <v>шт</v>
          </cell>
          <cell r="C103">
            <v>1</v>
          </cell>
          <cell r="D103">
            <v>50</v>
          </cell>
          <cell r="E103">
            <v>42</v>
          </cell>
          <cell r="F103">
            <v>7</v>
          </cell>
          <cell r="G103">
            <v>0</v>
          </cell>
          <cell r="H103">
            <v>7</v>
          </cell>
          <cell r="I103">
            <v>0.31</v>
          </cell>
          <cell r="J103">
            <v>45</v>
          </cell>
          <cell r="K103" t="str">
            <v>матрица</v>
          </cell>
          <cell r="M103">
            <v>157</v>
          </cell>
          <cell r="N103">
            <v>-115</v>
          </cell>
          <cell r="O103">
            <v>42</v>
          </cell>
          <cell r="Q103">
            <v>200</v>
          </cell>
          <cell r="S103">
            <v>8.4</v>
          </cell>
        </row>
        <row r="104">
          <cell r="A104" t="str">
            <v>7518 ТЕЛЯЧЬЯ ГОСТ Останкино вар п/о в/у  ОСТАНКИНО</v>
          </cell>
          <cell r="B104" t="str">
            <v>кг</v>
          </cell>
          <cell r="G104">
            <v>0</v>
          </cell>
          <cell r="H104">
            <v>0</v>
          </cell>
          <cell r="I104">
            <v>1</v>
          </cell>
          <cell r="J104">
            <v>30</v>
          </cell>
          <cell r="K104" t="str">
            <v>матрица</v>
          </cell>
          <cell r="M104">
            <v>3.9</v>
          </cell>
          <cell r="N104">
            <v>-3.9</v>
          </cell>
          <cell r="O104">
            <v>0</v>
          </cell>
          <cell r="Q104">
            <v>100</v>
          </cell>
          <cell r="S104">
            <v>0</v>
          </cell>
        </row>
        <row r="105">
          <cell r="A105" t="str">
            <v>7523 ГОВЯЖЬЯ Папа Может вар п/о 0,4кг 6шт. ОСТАНКИНО</v>
          </cell>
          <cell r="B105" t="str">
            <v>шт</v>
          </cell>
          <cell r="C105">
            <v>55</v>
          </cell>
          <cell r="D105">
            <v>886</v>
          </cell>
          <cell r="E105">
            <v>341</v>
          </cell>
          <cell r="F105">
            <v>578</v>
          </cell>
          <cell r="G105">
            <v>36</v>
          </cell>
          <cell r="H105">
            <v>542</v>
          </cell>
          <cell r="I105">
            <v>0.4</v>
          </cell>
          <cell r="J105">
            <v>60</v>
          </cell>
          <cell r="K105" t="str">
            <v>матрица</v>
          </cell>
          <cell r="M105">
            <v>360</v>
          </cell>
          <cell r="N105">
            <v>-19</v>
          </cell>
          <cell r="O105">
            <v>197</v>
          </cell>
          <cell r="P105">
            <v>144</v>
          </cell>
          <cell r="Q105">
            <v>0</v>
          </cell>
          <cell r="S105">
            <v>39.4</v>
          </cell>
          <cell r="T105">
            <v>9.6000000000000227</v>
          </cell>
        </row>
        <row r="106">
          <cell r="A106" t="str">
            <v>7539 ДОКТОРСКАЯ ГОСТ вар п/о 0,35кг ОСТАНКИНО</v>
          </cell>
          <cell r="B106" t="str">
            <v>шт</v>
          </cell>
          <cell r="D106">
            <v>89</v>
          </cell>
          <cell r="E106">
            <v>79</v>
          </cell>
          <cell r="F106">
            <v>9</v>
          </cell>
          <cell r="G106">
            <v>8</v>
          </cell>
          <cell r="H106">
            <v>1</v>
          </cell>
          <cell r="I106">
            <v>0.35</v>
          </cell>
          <cell r="J106">
            <v>60</v>
          </cell>
          <cell r="K106" t="str">
            <v>матрица</v>
          </cell>
          <cell r="M106">
            <v>167</v>
          </cell>
          <cell r="N106">
            <v>-88</v>
          </cell>
          <cell r="O106">
            <v>39</v>
          </cell>
          <cell r="P106">
            <v>40</v>
          </cell>
          <cell r="Q106">
            <v>0</v>
          </cell>
          <cell r="S106">
            <v>7.8</v>
          </cell>
          <cell r="T106">
            <v>108.2</v>
          </cell>
        </row>
        <row r="107">
          <cell r="A107" t="str">
            <v>7562 КРАКОВСКАЯ ГОСТ Останкино п/к н/о мгс  ОСТАНКИНО</v>
          </cell>
          <cell r="B107" t="str">
            <v>кг</v>
          </cell>
          <cell r="C107">
            <v>20.125</v>
          </cell>
          <cell r="E107">
            <v>15.832000000000001</v>
          </cell>
          <cell r="F107">
            <v>4.2930000000000001</v>
          </cell>
          <cell r="G107">
            <v>0</v>
          </cell>
          <cell r="H107">
            <v>4.2930000000000001</v>
          </cell>
          <cell r="I107">
            <v>1</v>
          </cell>
          <cell r="J107">
            <v>45</v>
          </cell>
          <cell r="K107" t="str">
            <v>матрица</v>
          </cell>
          <cell r="M107">
            <v>43.1</v>
          </cell>
          <cell r="N107">
            <v>-27.268000000000001</v>
          </cell>
          <cell r="O107">
            <v>15.832000000000001</v>
          </cell>
          <cell r="Q107">
            <v>200</v>
          </cell>
          <cell r="S107">
            <v>3.1664000000000003</v>
          </cell>
        </row>
        <row r="108">
          <cell r="A108" t="str">
            <v>7564 Балыковая в/к в/у Останкино Вес  ОСТАНКИНО</v>
          </cell>
          <cell r="B108" t="str">
            <v>кг</v>
          </cell>
          <cell r="C108">
            <v>-7.6999999999999999E-2</v>
          </cell>
          <cell r="D108">
            <v>85.069000000000003</v>
          </cell>
          <cell r="F108">
            <v>81.584999999999994</v>
          </cell>
          <cell r="G108">
            <v>0</v>
          </cell>
          <cell r="H108">
            <v>81.584999999999994</v>
          </cell>
          <cell r="I108">
            <v>1</v>
          </cell>
          <cell r="J108">
            <v>45</v>
          </cell>
          <cell r="K108" t="str">
            <v>матрица</v>
          </cell>
          <cell r="M108">
            <v>73.58</v>
          </cell>
          <cell r="N108">
            <v>-73.58</v>
          </cell>
          <cell r="O108">
            <v>0</v>
          </cell>
          <cell r="Q108">
            <v>25</v>
          </cell>
          <cell r="S108">
            <v>0</v>
          </cell>
        </row>
        <row r="109">
          <cell r="A109" t="str">
            <v>7601 ДЛЯ ДЕТЕЙ Папа может сос п/о мгс 0.264кг  ОСТАНКИНО</v>
          </cell>
          <cell r="B109" t="str">
            <v>шт</v>
          </cell>
          <cell r="C109">
            <v>160</v>
          </cell>
          <cell r="E109">
            <v>1</v>
          </cell>
          <cell r="F109">
            <v>159</v>
          </cell>
          <cell r="G109">
            <v>0</v>
          </cell>
          <cell r="H109">
            <v>159</v>
          </cell>
          <cell r="I109">
            <v>0</v>
          </cell>
          <cell r="K109" t="str">
            <v>не в матрице</v>
          </cell>
          <cell r="M109">
            <v>43</v>
          </cell>
          <cell r="N109">
            <v>-42</v>
          </cell>
          <cell r="O109">
            <v>1</v>
          </cell>
          <cell r="Q109">
            <v>0</v>
          </cell>
          <cell r="S109">
            <v>0.2</v>
          </cell>
        </row>
        <row r="110">
          <cell r="A110" t="str">
            <v>7603 БАЛЫКОВАЯ в/к в/у 0.33кг 8шт. ОСТАНКИНО</v>
          </cell>
          <cell r="B110" t="str">
            <v>шт</v>
          </cell>
          <cell r="C110">
            <v>28</v>
          </cell>
          <cell r="D110">
            <v>64</v>
          </cell>
          <cell r="E110">
            <v>64</v>
          </cell>
          <cell r="F110">
            <v>28</v>
          </cell>
          <cell r="G110">
            <v>0</v>
          </cell>
          <cell r="H110">
            <v>28</v>
          </cell>
          <cell r="I110">
            <v>0.33</v>
          </cell>
          <cell r="J110">
            <v>45</v>
          </cell>
          <cell r="K110" t="str">
            <v>матрица</v>
          </cell>
          <cell r="M110">
            <v>380</v>
          </cell>
          <cell r="N110">
            <v>-316</v>
          </cell>
          <cell r="O110">
            <v>8</v>
          </cell>
          <cell r="P110">
            <v>56</v>
          </cell>
          <cell r="Q110">
            <v>80</v>
          </cell>
          <cell r="S110">
            <v>1.6</v>
          </cell>
        </row>
        <row r="111">
          <cell r="A111" t="str">
            <v>7608 СЕРВЕЛАТ ШВЕЙЦАРСК.в/к с/н в/у 1/100_Л11  ОСТАНКИНО</v>
          </cell>
          <cell r="B111" t="str">
            <v>шт</v>
          </cell>
          <cell r="C111">
            <v>46</v>
          </cell>
          <cell r="E111">
            <v>-1</v>
          </cell>
          <cell r="F111">
            <v>46</v>
          </cell>
          <cell r="G111">
            <v>0</v>
          </cell>
          <cell r="H111">
            <v>46</v>
          </cell>
          <cell r="I111">
            <v>0</v>
          </cell>
          <cell r="J111">
            <v>45</v>
          </cell>
          <cell r="K111" t="str">
            <v>вывод</v>
          </cell>
          <cell r="M111">
            <v>19</v>
          </cell>
          <cell r="N111">
            <v>-20</v>
          </cell>
          <cell r="O111">
            <v>-1</v>
          </cell>
          <cell r="Q111">
            <v>0</v>
          </cell>
          <cell r="S111">
            <v>-0.2</v>
          </cell>
        </row>
        <row r="112">
          <cell r="A112" t="str">
            <v>7612 БАЛЫК с/к с/н в/у 1/100 10шт_  ОСТАНКИНО</v>
          </cell>
          <cell r="B112" t="str">
            <v>шт</v>
          </cell>
          <cell r="C112">
            <v>-1</v>
          </cell>
          <cell r="D112">
            <v>59</v>
          </cell>
          <cell r="E112">
            <v>31</v>
          </cell>
          <cell r="F112">
            <v>23</v>
          </cell>
          <cell r="G112">
            <v>0</v>
          </cell>
          <cell r="H112">
            <v>23</v>
          </cell>
          <cell r="I112">
            <v>0</v>
          </cell>
          <cell r="J112">
            <v>60</v>
          </cell>
          <cell r="K112" t="str">
            <v>вывод</v>
          </cell>
          <cell r="M112">
            <v>174</v>
          </cell>
          <cell r="N112">
            <v>-143</v>
          </cell>
          <cell r="O112">
            <v>31</v>
          </cell>
          <cell r="Q112">
            <v>0</v>
          </cell>
          <cell r="S112">
            <v>6.2</v>
          </cell>
        </row>
        <row r="113">
          <cell r="A113" t="str">
            <v>7613 АРОМАТНАЯ с/к с/н в/у 1/100 10шт_Л10  ОСТАНКИНО</v>
          </cell>
          <cell r="B113" t="str">
            <v>шт</v>
          </cell>
          <cell r="C113">
            <v>83</v>
          </cell>
          <cell r="D113">
            <v>369</v>
          </cell>
          <cell r="E113">
            <v>142</v>
          </cell>
          <cell r="F113">
            <v>186</v>
          </cell>
          <cell r="G113">
            <v>0</v>
          </cell>
          <cell r="H113">
            <v>186</v>
          </cell>
          <cell r="I113">
            <v>0.1</v>
          </cell>
          <cell r="J113">
            <v>60</v>
          </cell>
          <cell r="K113" t="str">
            <v>матрица</v>
          </cell>
          <cell r="M113">
            <v>453</v>
          </cell>
          <cell r="N113">
            <v>-311</v>
          </cell>
          <cell r="O113">
            <v>142</v>
          </cell>
          <cell r="Q113">
            <v>150</v>
          </cell>
          <cell r="S113">
            <v>28.4</v>
          </cell>
          <cell r="T113">
            <v>61.599999999999966</v>
          </cell>
        </row>
        <row r="114">
          <cell r="A114" t="str">
            <v>7616 ЭКСТРА Папа может с/к с/н в/у 1/100_  ОСТАНКИНО</v>
          </cell>
          <cell r="B114" t="str">
            <v>шт</v>
          </cell>
          <cell r="C114">
            <v>3</v>
          </cell>
          <cell r="D114">
            <v>321</v>
          </cell>
          <cell r="E114">
            <v>54</v>
          </cell>
          <cell r="F114">
            <v>261</v>
          </cell>
          <cell r="G114">
            <v>0</v>
          </cell>
          <cell r="H114">
            <v>261</v>
          </cell>
          <cell r="I114">
            <v>0.1</v>
          </cell>
          <cell r="J114">
            <v>60</v>
          </cell>
          <cell r="K114" t="str">
            <v>матрица</v>
          </cell>
          <cell r="M114">
            <v>400</v>
          </cell>
          <cell r="N114">
            <v>-346</v>
          </cell>
          <cell r="O114">
            <v>54</v>
          </cell>
          <cell r="Q114">
            <v>150</v>
          </cell>
          <cell r="S114">
            <v>10.8</v>
          </cell>
        </row>
        <row r="115">
          <cell r="A115" t="str">
            <v>7632 ЭКСТРА Папа может вар п/о 0.4кг 8шт_195к  ОСТАНКИНО</v>
          </cell>
          <cell r="B115" t="str">
            <v>шт</v>
          </cell>
          <cell r="C115">
            <v>-13</v>
          </cell>
          <cell r="D115">
            <v>1140</v>
          </cell>
          <cell r="E115">
            <v>482</v>
          </cell>
          <cell r="F115">
            <v>566</v>
          </cell>
          <cell r="G115">
            <v>0</v>
          </cell>
          <cell r="H115">
            <v>566</v>
          </cell>
          <cell r="I115">
            <v>0.4</v>
          </cell>
          <cell r="J115">
            <v>60</v>
          </cell>
          <cell r="K115" t="str">
            <v>матрица</v>
          </cell>
          <cell r="M115">
            <v>714</v>
          </cell>
          <cell r="N115">
            <v>-232</v>
          </cell>
          <cell r="O115">
            <v>482</v>
          </cell>
          <cell r="Q115">
            <v>200</v>
          </cell>
          <cell r="R115">
            <v>250</v>
          </cell>
          <cell r="S115">
            <v>96.4</v>
          </cell>
          <cell r="T115">
            <v>333.60000000000014</v>
          </cell>
        </row>
        <row r="116">
          <cell r="A116" t="str">
            <v>7647 ХОЧУ ВЕТЧ.ИЗ СВ.ОТРУБА с/н мгс 1/100_Л11  ОСТАНКИНО</v>
          </cell>
          <cell r="B116" t="str">
            <v>шт</v>
          </cell>
          <cell r="C116">
            <v>20</v>
          </cell>
          <cell r="E116">
            <v>12</v>
          </cell>
          <cell r="F116">
            <v>3</v>
          </cell>
          <cell r="G116">
            <v>0</v>
          </cell>
          <cell r="H116">
            <v>3</v>
          </cell>
          <cell r="I116">
            <v>0.1</v>
          </cell>
          <cell r="K116" t="str">
            <v>матрица</v>
          </cell>
          <cell r="M116">
            <v>84</v>
          </cell>
          <cell r="N116">
            <v>-72</v>
          </cell>
          <cell r="O116">
            <v>12</v>
          </cell>
          <cell r="Q116">
            <v>187</v>
          </cell>
          <cell r="S116">
            <v>2.4</v>
          </cell>
        </row>
        <row r="117">
          <cell r="A117" t="str">
            <v>7651 ХОЧУ ВЕТЧ.МРАМОР. ПМ с/н мгс 1/100_Л11  ОСТАНКИНО</v>
          </cell>
          <cell r="B117" t="str">
            <v>шт</v>
          </cell>
          <cell r="C117">
            <v>21</v>
          </cell>
          <cell r="D117">
            <v>1</v>
          </cell>
          <cell r="E117">
            <v>14</v>
          </cell>
          <cell r="F117">
            <v>4</v>
          </cell>
          <cell r="G117">
            <v>0</v>
          </cell>
          <cell r="H117">
            <v>4</v>
          </cell>
          <cell r="I117">
            <v>0.1</v>
          </cell>
          <cell r="K117" t="str">
            <v>матрица</v>
          </cell>
          <cell r="M117">
            <v>97</v>
          </cell>
          <cell r="N117">
            <v>-83</v>
          </cell>
          <cell r="O117">
            <v>14</v>
          </cell>
          <cell r="Q117">
            <v>184</v>
          </cell>
          <cell r="S117">
            <v>2.8</v>
          </cell>
        </row>
        <row r="118">
          <cell r="A118" t="str">
            <v>7710 КРАКОВСКАЯ ГОСТ п/к н/о мгс 0.3кг</v>
          </cell>
          <cell r="B118" t="str">
            <v>шт</v>
          </cell>
          <cell r="G118">
            <v>0</v>
          </cell>
          <cell r="H118">
            <v>0</v>
          </cell>
          <cell r="I118">
            <v>0.3</v>
          </cell>
          <cell r="J118">
            <v>45</v>
          </cell>
          <cell r="K118" t="str">
            <v>матрица</v>
          </cell>
          <cell r="N118">
            <v>0</v>
          </cell>
          <cell r="O118">
            <v>0</v>
          </cell>
          <cell r="Q118">
            <v>120</v>
          </cell>
          <cell r="S118">
            <v>0</v>
          </cell>
        </row>
        <row r="119">
          <cell r="A119" t="str">
            <v>8014 ДОКТОРСКАЯ ПРЕМИУМ вар п/о(п)</v>
          </cell>
          <cell r="B119" t="str">
            <v>кг</v>
          </cell>
          <cell r="G119">
            <v>0</v>
          </cell>
          <cell r="H119">
            <v>0</v>
          </cell>
          <cell r="I119">
            <v>0</v>
          </cell>
          <cell r="K119" t="str">
            <v>матрица</v>
          </cell>
          <cell r="N119">
            <v>0</v>
          </cell>
          <cell r="O119">
            <v>0</v>
          </cell>
          <cell r="Q119">
            <v>0</v>
          </cell>
          <cell r="S119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Номенклатура</v>
          </cell>
          <cell r="B1" t="str">
            <v>ед.изм.</v>
          </cell>
          <cell r="C1" t="str">
            <v>кооф.</v>
          </cell>
          <cell r="D1" t="str">
            <v>кол-во</v>
          </cell>
        </row>
        <row r="2">
          <cell r="A2" t="str">
            <v>0614 ПРАЗДНИЧНАЯ с/к в/с дек.спец.мгс  Останкино</v>
          </cell>
          <cell r="B2" t="str">
            <v>кг</v>
          </cell>
          <cell r="C2">
            <v>1</v>
          </cell>
        </row>
        <row r="3">
          <cell r="A3" t="str">
            <v>3215 ВЕТЧ.МЯСНАЯ Папа может п/о 0.4кг 8шт.    ОСТАНКИНО</v>
          </cell>
          <cell r="B3" t="str">
            <v>шт</v>
          </cell>
          <cell r="C3">
            <v>0.4</v>
          </cell>
        </row>
        <row r="4">
          <cell r="A4" t="str">
            <v>3287 САЛЯМИ ИТАЛЬЯНСКАЯ с/к в/у ОСТАНКИНО</v>
          </cell>
          <cell r="B4" t="str">
            <v>кг</v>
          </cell>
          <cell r="C4">
            <v>1</v>
          </cell>
          <cell r="D4">
            <v>204.80799999999999</v>
          </cell>
        </row>
        <row r="5">
          <cell r="A5" t="str">
            <v>3986 Ароматная с/к в/у 1/250 ОСТАНКИНО</v>
          </cell>
          <cell r="B5" t="str">
            <v>шт</v>
          </cell>
          <cell r="C5">
            <v>0.25</v>
          </cell>
        </row>
        <row r="6">
          <cell r="A6" t="str">
            <v>4063 МЯСНАЯ Папа может вар п/о_Л   ОСТАНКИНО</v>
          </cell>
          <cell r="B6" t="str">
            <v>кг</v>
          </cell>
          <cell r="C6">
            <v>1</v>
          </cell>
          <cell r="D6">
            <v>331.28</v>
          </cell>
        </row>
        <row r="7">
          <cell r="A7" t="str">
            <v>4117 ЭКСТРА Папа может с/к в/у_Л   ОСТАНКИНО</v>
          </cell>
          <cell r="B7" t="str">
            <v>кг</v>
          </cell>
          <cell r="C7">
            <v>1</v>
          </cell>
        </row>
        <row r="8">
          <cell r="A8" t="str">
            <v>4574 Мясная со шпиком Папа может вар п/о ОСТАНКИНО</v>
          </cell>
          <cell r="B8" t="str">
            <v>кг</v>
          </cell>
          <cell r="C8">
            <v>1</v>
          </cell>
        </row>
        <row r="9">
          <cell r="A9" t="str">
            <v>4813 ФИЛЕЙНАЯ Папа может вар п/о_Л   ОСТАНКИНО</v>
          </cell>
          <cell r="B9" t="str">
            <v>кг</v>
          </cell>
          <cell r="C9">
            <v>1</v>
          </cell>
          <cell r="D9">
            <v>301.42399999999998</v>
          </cell>
        </row>
        <row r="10">
          <cell r="A10" t="str">
            <v>4993 САЛЯМИ ИТАЛЬЯНСКАЯ с/к в/у 1/250*8_120c ОСТАНКИНО</v>
          </cell>
          <cell r="B10" t="str">
            <v>шт</v>
          </cell>
          <cell r="C10">
            <v>0.25</v>
          </cell>
        </row>
        <row r="11">
          <cell r="A11" t="str">
            <v>5452 ВЕТЧ.МЯСНАЯ Папа может п/о    ОСТАНКИНО</v>
          </cell>
          <cell r="B11" t="str">
            <v>кг</v>
          </cell>
          <cell r="C11">
            <v>1</v>
          </cell>
          <cell r="D11">
            <v>195.024</v>
          </cell>
        </row>
        <row r="12">
          <cell r="A12" t="str">
            <v>5483 ЭКСТРА Папа может с/к в/у 1/250 8шт.   ОСТАНКИНО</v>
          </cell>
          <cell r="B12" t="str">
            <v>шт</v>
          </cell>
          <cell r="C12">
            <v>0.25</v>
          </cell>
        </row>
        <row r="13">
          <cell r="A13" t="str">
            <v>5495 ВЕТЧ.С ИНДЕЙКОЙ Папа может п/о 400*6  Останкино</v>
          </cell>
          <cell r="B13" t="str">
            <v>шт</v>
          </cell>
          <cell r="C13">
            <v>0.4</v>
          </cell>
        </row>
        <row r="14">
          <cell r="A14" t="str">
            <v>5544 Сервелат Финский в/к в/у_45с НОВАЯ ОСТАНКИНО</v>
          </cell>
          <cell r="B14" t="str">
            <v>кг</v>
          </cell>
          <cell r="C14">
            <v>1</v>
          </cell>
        </row>
        <row r="15">
          <cell r="A15" t="str">
            <v>5708 ПОСОЛЬСКАЯ Папа может с/к в/у ОСТАНКИНО</v>
          </cell>
          <cell r="B15" t="str">
            <v>кг</v>
          </cell>
          <cell r="C15">
            <v>1</v>
          </cell>
        </row>
        <row r="16">
          <cell r="A16" t="str">
            <v>5819 Сосиски Папа может 400г Мясные  ОСТАНКИНО</v>
          </cell>
          <cell r="B16" t="str">
            <v>шт</v>
          </cell>
          <cell r="C16">
            <v>0.4</v>
          </cell>
          <cell r="D16">
            <v>144</v>
          </cell>
        </row>
        <row r="17">
          <cell r="A17" t="str">
            <v>5851 ЭКСТРА Папа может вар п/о   ОСТАНКИНО</v>
          </cell>
          <cell r="B17" t="str">
            <v>кг</v>
          </cell>
          <cell r="C17">
            <v>1</v>
          </cell>
        </row>
        <row r="18">
          <cell r="A18" t="str">
            <v>5931 ОХОТНИЧЬЯ Папа может с/к в/у 1/220 8шт.   ОСТАНКИНО</v>
          </cell>
          <cell r="B18" t="str">
            <v>шт</v>
          </cell>
          <cell r="C18">
            <v>0.22</v>
          </cell>
          <cell r="D18">
            <v>88</v>
          </cell>
        </row>
        <row r="19">
          <cell r="A19" t="str">
            <v>6008 САЛО СОЛЕНОЕ С ЧЕРНЫМ ПЕРЦЕМ мл/к в/у ОСТАНКИНО</v>
          </cell>
          <cell r="B19" t="str">
            <v>кг</v>
          </cell>
          <cell r="C19">
            <v>1</v>
          </cell>
        </row>
        <row r="20">
          <cell r="A20" t="str">
            <v>6025 ВЕТЧ.ФИРМЕННАЯ С ИНДЕЙКОЙ п/о   ОСТАНКИНО</v>
          </cell>
          <cell r="B20" t="str">
            <v>кг</v>
          </cell>
          <cell r="C20">
            <v>0</v>
          </cell>
        </row>
        <row r="21">
          <cell r="A21" t="str">
            <v>6220 ГОВЯЖЬЯ папа может вар п/о  Останкино</v>
          </cell>
          <cell r="B21" t="str">
            <v>кг</v>
          </cell>
          <cell r="C21">
            <v>1</v>
          </cell>
        </row>
        <row r="22">
          <cell r="A22" t="str">
            <v>6221 НЕОПОЛИТАНСКИЙ ДУЭТ с/к с/н мгс 1/90  Останкино</v>
          </cell>
          <cell r="B22" t="str">
            <v>шт</v>
          </cell>
          <cell r="C22">
            <v>0.09</v>
          </cell>
        </row>
        <row r="23">
          <cell r="A23" t="str">
            <v>6222 ИТАЛЬЯНСКОЕ АССОРТИ с/в с/н мгс 1/90 ОСТАНКИНО</v>
          </cell>
          <cell r="B23" t="str">
            <v>шт</v>
          </cell>
          <cell r="C23">
            <v>0</v>
          </cell>
        </row>
        <row r="24">
          <cell r="A24" t="str">
            <v>6228 МЯСНОЕ АССОРТИ к/з с/н мгс 1/90 10шт  Останкино</v>
          </cell>
          <cell r="B24" t="str">
            <v>шт</v>
          </cell>
          <cell r="C24">
            <v>0.09</v>
          </cell>
        </row>
        <row r="25">
          <cell r="A25" t="str">
            <v>6279 КОРЕЙКА ПО-ОСТ.к/в в/с с/н в/у 1/150_45с  Останкино</v>
          </cell>
          <cell r="B25" t="str">
            <v>шт</v>
          </cell>
          <cell r="C25">
            <v>0.15</v>
          </cell>
        </row>
        <row r="26">
          <cell r="A26" t="str">
            <v>6303 Мясные Папа может сос п/о мгс 1,5*3  Останкино</v>
          </cell>
          <cell r="B26" t="str">
            <v>кг</v>
          </cell>
          <cell r="C26">
            <v>1</v>
          </cell>
          <cell r="D26">
            <v>109.3</v>
          </cell>
        </row>
        <row r="27">
          <cell r="A27" t="str">
            <v>6325 ДОКТОРСКАЯ ПРЕМИУМ вар п/о 0.4кг 8шт.  ОСТАНКИНО</v>
          </cell>
          <cell r="B27" t="str">
            <v>шт</v>
          </cell>
          <cell r="C27">
            <v>0.4</v>
          </cell>
        </row>
        <row r="28">
          <cell r="A28" t="str">
            <v>6333 МЯСНАЯ Папа может вар п/о 0.4кг 8шт.  ОСТАНКИНО</v>
          </cell>
          <cell r="B28" t="str">
            <v>шт</v>
          </cell>
          <cell r="C28">
            <v>0.4</v>
          </cell>
          <cell r="D28">
            <v>88</v>
          </cell>
        </row>
        <row r="29">
          <cell r="A29" t="str">
            <v>6364 СЕРВЕЛАТ ЗЕРНИСТЫЙ ПМ в/к в/у 0.35кг  ОСТАНКИНО</v>
          </cell>
          <cell r="B29" t="str">
            <v>шт</v>
          </cell>
          <cell r="C29">
            <v>0</v>
          </cell>
        </row>
        <row r="30">
          <cell r="A30" t="str">
            <v>6392 ФИЛЕЙНАЯ Папа может вар п/о 0,4кг  ОСТАНКИНО</v>
          </cell>
          <cell r="B30" t="str">
            <v>шт</v>
          </cell>
          <cell r="C30">
            <v>0.4</v>
          </cell>
          <cell r="D30">
            <v>40</v>
          </cell>
        </row>
        <row r="31">
          <cell r="A31" t="str">
            <v>6411 ВЕТЧ.РУБЛЕНАЯ ПМ в/у срез 0.3кг 6шт.  ОСТАНКИНО</v>
          </cell>
          <cell r="B31" t="str">
            <v>шт</v>
          </cell>
          <cell r="C31">
            <v>0</v>
          </cell>
        </row>
        <row r="32">
          <cell r="A32" t="str">
            <v>6453 ЭКСТРА Папа может с/к с/н в/у 1/100 14шт.   ОСТАНКИНО</v>
          </cell>
          <cell r="B32" t="str">
            <v>шт</v>
          </cell>
          <cell r="C32">
            <v>0</v>
          </cell>
        </row>
        <row r="33">
          <cell r="A33" t="str">
            <v>6454 АРОМАТНАЯ с/к с/н в/у 1/100 10шт.  ОСТАНКИНО</v>
          </cell>
          <cell r="B33" t="str">
            <v>шт</v>
          </cell>
          <cell r="C33">
            <v>0</v>
          </cell>
        </row>
        <row r="34">
          <cell r="A34" t="str">
            <v>6470 ВЕТЧ.МРАМОРНАЯ в/у_45с  ОСТАНКИНО</v>
          </cell>
          <cell r="B34" t="str">
            <v>кг</v>
          </cell>
          <cell r="C34">
            <v>0</v>
          </cell>
          <cell r="D34">
            <v>13.13</v>
          </cell>
        </row>
        <row r="35">
          <cell r="A35" t="str">
            <v>6495 ВЕТЧ.МРАМОРНАЯ в/у срез 0,3кг 6шт_45с  Останкино</v>
          </cell>
          <cell r="B35" t="str">
            <v>шт</v>
          </cell>
          <cell r="C35">
            <v>0.3</v>
          </cell>
        </row>
        <row r="36">
          <cell r="A36" t="str">
            <v>6498 МОЛОЧНАЯ Папа может вар п/о  ОСТАНКИНО</v>
          </cell>
          <cell r="B36" t="str">
            <v>кг</v>
          </cell>
          <cell r="C36">
            <v>1</v>
          </cell>
          <cell r="D36">
            <v>386.68099999999998</v>
          </cell>
        </row>
        <row r="37">
          <cell r="A37" t="str">
            <v>6527 ШПИКАЧКИ СОЧНЫЕ ПМ сар б/о мгс 1*3 45с ОСТАНКИНО</v>
          </cell>
          <cell r="B37" t="str">
            <v>кг</v>
          </cell>
          <cell r="C37">
            <v>1</v>
          </cell>
        </row>
        <row r="38">
          <cell r="A38" t="str">
            <v>6550 МЯСНЫЕ Папа может сар б/о мгс 1*3 О 45с  Останкино</v>
          </cell>
          <cell r="B38" t="str">
            <v>кг</v>
          </cell>
          <cell r="C38">
            <v>1</v>
          </cell>
          <cell r="D38">
            <v>386</v>
          </cell>
        </row>
        <row r="39">
          <cell r="A39" t="str">
            <v>6608 С ГОВЯДИНОЙ ОРИГИН. сар б/о мгс 1*3_45с  ОСТАНКИНО</v>
          </cell>
          <cell r="B39" t="str">
            <v>кг</v>
          </cell>
          <cell r="C39">
            <v>1</v>
          </cell>
        </row>
        <row r="40">
          <cell r="A40" t="str">
            <v>6616 МОЛОЧНЫЕ КЛАССИЧЕСКИЕ сос п/о в/у 0,3 кг  Останкино</v>
          </cell>
          <cell r="B40" t="str">
            <v>шт</v>
          </cell>
          <cell r="C40">
            <v>0.3</v>
          </cell>
        </row>
        <row r="41">
          <cell r="A41" t="str">
            <v>6620 РЕБРЫШКИ к/в в/у_30с  Останкино</v>
          </cell>
          <cell r="B41" t="str">
            <v>кг</v>
          </cell>
          <cell r="C41">
            <v>1</v>
          </cell>
          <cell r="D41">
            <v>55.04</v>
          </cell>
        </row>
        <row r="42">
          <cell r="A42" t="str">
            <v>6661 СОЧНЫЙ ГРИЛЬ ПМ сос п/о мгс 1,5*4_Маяк Останкино</v>
          </cell>
          <cell r="B42" t="str">
            <v>кг</v>
          </cell>
          <cell r="C42">
            <v>1</v>
          </cell>
          <cell r="D42">
            <v>81.055000000000007</v>
          </cell>
        </row>
        <row r="43">
          <cell r="A43" t="str">
            <v>6697 СЕРВЕЛАТ ФИНСКИЙ ПМ в/к в/у 0,35кг 8шт  ОСТАНКИНО</v>
          </cell>
          <cell r="B43" t="str">
            <v>шт</v>
          </cell>
          <cell r="C43">
            <v>0.35</v>
          </cell>
        </row>
        <row r="44">
          <cell r="A44" t="str">
            <v>6713 СОЧНЫЙ ГРИЛЬ ПМ сос п/о мгс 0,41кг 8 шт.  ОСТАНКИНО</v>
          </cell>
          <cell r="B44" t="str">
            <v>шт</v>
          </cell>
          <cell r="C44">
            <v>0.41</v>
          </cell>
        </row>
        <row r="45">
          <cell r="A45" t="str">
            <v>6724 МОЛОЧНЫЕ ПМ сос п/о мгс 0,41кг 10шт  Останкино</v>
          </cell>
          <cell r="B45" t="str">
            <v>шт</v>
          </cell>
          <cell r="C45">
            <v>0.41</v>
          </cell>
          <cell r="D45">
            <v>150</v>
          </cell>
        </row>
        <row r="46">
          <cell r="A46" t="str">
            <v>6761 МОЛОЧНЫЕ ГОСТ сос ц/о мгс 1*4  Останкино</v>
          </cell>
          <cell r="B46" t="str">
            <v>кг</v>
          </cell>
          <cell r="C46">
            <v>0</v>
          </cell>
        </row>
        <row r="47">
          <cell r="A47" t="str">
            <v>6765 РУБЛЕНЫЕ сос ц/о мгс 0,36кг 6шт  Останкино</v>
          </cell>
          <cell r="B47" t="str">
            <v>шт</v>
          </cell>
          <cell r="C47">
            <v>0.36</v>
          </cell>
        </row>
        <row r="48">
          <cell r="A48" t="str">
            <v>6787 СЕРВЕЛАТ КРЕМЛЕВСКИЙ в/к в/у 0,33кг 8шт  Останкино</v>
          </cell>
          <cell r="B48" t="str">
            <v>шт</v>
          </cell>
          <cell r="C48">
            <v>0.33</v>
          </cell>
        </row>
        <row r="49">
          <cell r="A49" t="str">
            <v>6797 С ИНДЕЙКОЙ Папа может вар п/о 0,4кг 8шт. ОСТАНКИНО</v>
          </cell>
          <cell r="B49" t="str">
            <v>шт</v>
          </cell>
          <cell r="C49">
            <v>0.4</v>
          </cell>
        </row>
        <row r="50">
          <cell r="A50" t="str">
            <v>6807 СЕРВЕЛАТ ЕВРОПЕЙСКИЙ в/к в/у 0,33кг 8шт  Останкино</v>
          </cell>
          <cell r="B50" t="str">
            <v>шт</v>
          </cell>
          <cell r="C50">
            <v>0.33</v>
          </cell>
        </row>
        <row r="51">
          <cell r="A51" t="str">
            <v>6829  МОЛОЧНЫЕ КЛАССИЧЕСКИЕ сос п/о мгс 2*4 С  Останккино</v>
          </cell>
          <cell r="B51" t="str">
            <v>кг</v>
          </cell>
          <cell r="C51">
            <v>1</v>
          </cell>
        </row>
        <row r="52">
          <cell r="A52" t="str">
            <v>6837 ФИЛЕЙНЫЕ Папа Может сос ц/о мгс 0,4кг  Останкино</v>
          </cell>
          <cell r="B52" t="str">
            <v>шт</v>
          </cell>
          <cell r="C52">
            <v>0.4</v>
          </cell>
          <cell r="D52">
            <v>126</v>
          </cell>
        </row>
        <row r="53">
          <cell r="A53" t="str">
            <v>6861 ДОМАШНИЙ РЕЦЕПТ Коровино вар п/о  Останкино</v>
          </cell>
          <cell r="B53" t="str">
            <v>кг</v>
          </cell>
          <cell r="C53">
            <v>0</v>
          </cell>
        </row>
        <row r="54">
          <cell r="A54" t="str">
            <v>6866 ВЕТЧ.НЕЖНАЯ Коровино п/о_Маяк  Останкино</v>
          </cell>
          <cell r="B54" t="str">
            <v>кг</v>
          </cell>
          <cell r="C54">
            <v>1</v>
          </cell>
          <cell r="D54">
            <v>120.73</v>
          </cell>
        </row>
        <row r="55">
          <cell r="A55" t="str">
            <v>6925 ВЕТЧ.КЛАССИЧЕСКАЯ в/у 0,6кг 8шт. ОСТАНКИНО</v>
          </cell>
          <cell r="B55" t="str">
            <v>шт</v>
          </cell>
          <cell r="C55">
            <v>0</v>
          </cell>
          <cell r="D55">
            <v>32</v>
          </cell>
        </row>
        <row r="56">
          <cell r="A56" t="str">
            <v>6937 САЛЯМИ Папа может с/к в/у 1/250 8шт  Останкино</v>
          </cell>
          <cell r="B56" t="str">
            <v>шт</v>
          </cell>
          <cell r="C56">
            <v>0</v>
          </cell>
        </row>
        <row r="57">
          <cell r="A57" t="str">
            <v>6967 БУРГУНДИЯ Папа может с/к в/у 1/250 8шт  Останкино</v>
          </cell>
          <cell r="B57" t="str">
            <v>шт</v>
          </cell>
          <cell r="C57">
            <v>0.25</v>
          </cell>
        </row>
        <row r="58">
          <cell r="A58" t="str">
            <v>7001 КЛАССИЧЕСКИЕ Папа может сар б/о мгс 1*3  Останкино</v>
          </cell>
          <cell r="B58" t="str">
            <v>кг</v>
          </cell>
          <cell r="C58">
            <v>1</v>
          </cell>
        </row>
        <row r="59">
          <cell r="A59" t="str">
            <v>7040 С ИНДЕЙКОЙ ПМ сос ц/о в/у 1/270 8шт.  ОСТАНКИНО</v>
          </cell>
          <cell r="B59" t="str">
            <v>шт</v>
          </cell>
          <cell r="C59">
            <v>0.27</v>
          </cell>
          <cell r="D59">
            <v>56</v>
          </cell>
        </row>
        <row r="60">
          <cell r="A60" t="str">
            <v>7059 ШПИКАЧКИ СОЧНЫЕ С БЕК. п/о мгс 0,3кг 60с ОСТАНКИНО</v>
          </cell>
          <cell r="B60" t="str">
            <v>шт</v>
          </cell>
          <cell r="C60">
            <v>0.3</v>
          </cell>
        </row>
        <row r="61">
          <cell r="A61" t="str">
            <v>7066 СОЧНЫЕ ПМ сос п/о мгс 0,41кг 10шт 50с  Останкино</v>
          </cell>
          <cell r="B61" t="str">
            <v>шт</v>
          </cell>
          <cell r="C61">
            <v>0.41</v>
          </cell>
          <cell r="D61">
            <v>660</v>
          </cell>
        </row>
        <row r="62">
          <cell r="A62" t="str">
            <v>7070 СОЧНЫЕ ПМ сос п/о 1,5*4_А_50с  Останкино</v>
          </cell>
          <cell r="B62" t="str">
            <v>кг</v>
          </cell>
          <cell r="C62">
            <v>1</v>
          </cell>
          <cell r="D62">
            <v>285.108</v>
          </cell>
        </row>
        <row r="63">
          <cell r="A63" t="str">
            <v>7073 МОЛОЧ.ПРЕМИУМ ПМ сос п/о в/у 1/350_50с  Останкино</v>
          </cell>
          <cell r="B63" t="str">
            <v>шт</v>
          </cell>
          <cell r="C63">
            <v>0.35</v>
          </cell>
          <cell r="D63">
            <v>72</v>
          </cell>
        </row>
        <row r="64">
          <cell r="A64" t="str">
            <v>7075 МОЛОЧ.ПРЕМИУМ ПМ сос п/о мгс 1,5*4_О_50с  Останкино</v>
          </cell>
          <cell r="B64" t="str">
            <v>кг</v>
          </cell>
          <cell r="C64">
            <v>1</v>
          </cell>
        </row>
        <row r="65">
          <cell r="A65" t="str">
            <v>7080 СЛИВОЧНЫЕ ПМ сос п/о мгс 0,41кг 10шт 50с  Останкино</v>
          </cell>
          <cell r="B65" t="str">
            <v>шт</v>
          </cell>
          <cell r="C65">
            <v>0.41</v>
          </cell>
          <cell r="D65">
            <v>270</v>
          </cell>
        </row>
        <row r="66">
          <cell r="A66" t="str">
            <v>7083 СЛИВОЧНЫЕ ПМ сос п/о мгс 1.5*4_А_50с  ОСТАНКИНО</v>
          </cell>
          <cell r="B66" t="str">
            <v>кг</v>
          </cell>
          <cell r="C66">
            <v>1</v>
          </cell>
        </row>
        <row r="67">
          <cell r="A67" t="str">
            <v>7090 СВИНИНА ПО-ДОМ.к/в мл/к в/у 0,3кг_50с  Останкино</v>
          </cell>
          <cell r="B67" t="str">
            <v>шт</v>
          </cell>
          <cell r="C67">
            <v>0.3</v>
          </cell>
        </row>
        <row r="68">
          <cell r="A68" t="str">
            <v>7103 БЕКОН Останкино с/к с/н в/у 1/180_50с  Останкино</v>
          </cell>
          <cell r="B68" t="str">
            <v>шт</v>
          </cell>
          <cell r="C68">
            <v>0.18</v>
          </cell>
        </row>
        <row r="69">
          <cell r="A69" t="str">
            <v>7149 БАЛЫКОВАЯ Коровино п/к в/у 0,84кг_50с  Останкино</v>
          </cell>
          <cell r="B69" t="str">
            <v>кг</v>
          </cell>
          <cell r="C69">
            <v>0</v>
          </cell>
        </row>
        <row r="70">
          <cell r="A70" t="str">
            <v>7154 СЕРВЕЛАТ ЗЕРНИСТЫЙ ПМ в/к в/у 0,35кг_50с  Останкино</v>
          </cell>
          <cell r="B70" t="str">
            <v>шт</v>
          </cell>
          <cell r="C70">
            <v>0.35</v>
          </cell>
          <cell r="D70">
            <v>256</v>
          </cell>
        </row>
        <row r="71">
          <cell r="A71" t="str">
            <v>7156 СЕРВЕЛАТ КОПЧ.НА БУКЕ в/к в/у 0.35кг_50с</v>
          </cell>
          <cell r="B71" t="str">
            <v>шт</v>
          </cell>
          <cell r="C71">
            <v>0</v>
          </cell>
        </row>
        <row r="72">
          <cell r="A72" t="str">
            <v>7157 СЕРВЕЛАТ ЗЕРНИСТЫЙ ПМ в/к в/у_50с  Останкино</v>
          </cell>
          <cell r="B72" t="str">
            <v>кг</v>
          </cell>
          <cell r="C72">
            <v>1</v>
          </cell>
          <cell r="D72">
            <v>196.2</v>
          </cell>
        </row>
        <row r="73">
          <cell r="A73" t="str">
            <v>7166 СЕРВЕЛАТ ОХОТНИЧИЙ ПМ в/к в/у_50с  Останкино</v>
          </cell>
          <cell r="B73" t="str">
            <v>кг</v>
          </cell>
          <cell r="C73">
            <v>1</v>
          </cell>
          <cell r="D73">
            <v>308.27499999999998</v>
          </cell>
        </row>
        <row r="74">
          <cell r="A74" t="str">
            <v>7169 СЕРВЕЛАТ ОХОТНИЧИЙ ПМ в/к в/у 0,35кг_50с  Останкино</v>
          </cell>
          <cell r="B74" t="str">
            <v>шт</v>
          </cell>
          <cell r="C74">
            <v>0.35</v>
          </cell>
          <cell r="D74">
            <v>120</v>
          </cell>
        </row>
        <row r="75">
          <cell r="A75" t="str">
            <v>7177 ЧЕСНОЧНАЯ ПМ п/к в/у 0,35кг 8шт_50с  Останкино</v>
          </cell>
          <cell r="B75" t="str">
            <v>шт</v>
          </cell>
          <cell r="C75">
            <v>0</v>
          </cell>
          <cell r="D75">
            <v>40</v>
          </cell>
        </row>
        <row r="76">
          <cell r="A76" t="str">
            <v>7187 ГРУДИНКА ПРЕМИУМ к/в мл/к в/у 0,3кг_50с  Останкино</v>
          </cell>
          <cell r="B76" t="str">
            <v>шт</v>
          </cell>
          <cell r="C76">
            <v>0.3</v>
          </cell>
          <cell r="D76">
            <v>36</v>
          </cell>
        </row>
        <row r="77">
          <cell r="A77" t="str">
            <v>7231 КЛАССИЧЕСКАЯ ПМ вар п/о 0,3кг 8 шт_209к  Останкино</v>
          </cell>
          <cell r="B77" t="str">
            <v>шт</v>
          </cell>
          <cell r="C77">
            <v>0.3</v>
          </cell>
        </row>
        <row r="78">
          <cell r="A78" t="str">
            <v>7232 БОЯNСКАЯ ПМ п/к в/у 0,28кг 8шт_209к  Останкино</v>
          </cell>
          <cell r="B78" t="str">
            <v>шт</v>
          </cell>
          <cell r="C78">
            <v>0.28000000000000003</v>
          </cell>
        </row>
        <row r="79">
          <cell r="A79" t="str">
            <v>7236 СЕРВЕЛАТ КАРЕЛЬСКИЙ в/к в/у 0,28кг_209к  Останкино</v>
          </cell>
          <cell r="B79" t="str">
            <v>шт</v>
          </cell>
          <cell r="C79">
            <v>0.28000000000000003</v>
          </cell>
          <cell r="D79">
            <v>40</v>
          </cell>
        </row>
        <row r="80">
          <cell r="A80" t="str">
            <v>7238 СЕРВЕЛАТ ОРЕХОВЫЙ в/к в/у 0,31кг_209к  Останкино</v>
          </cell>
          <cell r="B80" t="str">
            <v>шт</v>
          </cell>
          <cell r="C80">
            <v>0</v>
          </cell>
        </row>
        <row r="81">
          <cell r="A81" t="str">
            <v>7241 САЛЯМИ Папа может п/к в/у 0,28кг ОСТАНКИНО</v>
          </cell>
          <cell r="B81" t="str">
            <v>шт</v>
          </cell>
          <cell r="C81">
            <v>0.28000000000000003</v>
          </cell>
          <cell r="D81">
            <v>32</v>
          </cell>
        </row>
        <row r="82">
          <cell r="A82" t="str">
            <v>7255 МЯСНЫЕ С ГОВЯД.ПМ сос п/о мгс 0.4кг 6шт.  ОСТАНКИНО</v>
          </cell>
          <cell r="B82" t="str">
            <v>шт</v>
          </cell>
          <cell r="C82">
            <v>0.4</v>
          </cell>
          <cell r="D82">
            <v>156</v>
          </cell>
        </row>
        <row r="83">
          <cell r="A83" t="str">
            <v>7284 ДЛЯ ДЕТЕЙ сос п/о мгс 0,33кг 6шт  Останкино</v>
          </cell>
          <cell r="B83" t="str">
            <v>шт</v>
          </cell>
          <cell r="C83">
            <v>0</v>
          </cell>
        </row>
        <row r="84">
          <cell r="A84" t="str">
            <v>7299 НАБОР ДЛЯ ПИЦЦЫ Папа Может с/к в/у  ОСТАНКИНО</v>
          </cell>
          <cell r="B84" t="str">
            <v>кг</v>
          </cell>
          <cell r="C84">
            <v>1</v>
          </cell>
        </row>
        <row r="85">
          <cell r="A85" t="str">
            <v>7332 БОЯРСКАЯ ПМ п/к в/у 0,28кг ОСТАНКИНО</v>
          </cell>
          <cell r="B85" t="str">
            <v>шт</v>
          </cell>
          <cell r="C85">
            <v>0</v>
          </cell>
        </row>
        <row r="86">
          <cell r="A86" t="str">
            <v>7334 МЯСНАЯ СО ШПИКОМ ПМ вар п/о 0.4кг 8шт.</v>
          </cell>
          <cell r="B86" t="str">
            <v>шт</v>
          </cell>
          <cell r="C86">
            <v>0</v>
          </cell>
        </row>
        <row r="87">
          <cell r="A87" t="str">
            <v>7382  САЛЯМИ МЕЛКОЗЕРНЕНАЯ с/к в/у1/120 8шт.  ОСТАНКИНО</v>
          </cell>
          <cell r="B87" t="str">
            <v>шт</v>
          </cell>
          <cell r="C87">
            <v>0.12</v>
          </cell>
        </row>
        <row r="88">
          <cell r="A88" t="str">
            <v>7386 БАРСЕЛОНА ПМ с/к в/у 1/150  ОСТАНКИНО</v>
          </cell>
          <cell r="B88" t="str">
            <v>шт</v>
          </cell>
          <cell r="C88">
            <v>0.15</v>
          </cell>
        </row>
        <row r="89">
          <cell r="A89" t="str">
            <v>7461 ДЛЯ ДЕТЕЙ Папа Может сос п/о мгс 0,33кг ОСТАНКИНО</v>
          </cell>
          <cell r="B89" t="str">
            <v>шт</v>
          </cell>
          <cell r="C89">
            <v>0.33</v>
          </cell>
        </row>
        <row r="90">
          <cell r="A90" t="str">
            <v>7485 РИЕТ МЯСНОЙ С ГРИБАМИ ПМ п/о 1/150  ОСТАНКИНО</v>
          </cell>
          <cell r="B90" t="str">
            <v>шт</v>
          </cell>
          <cell r="C90">
            <v>0.15</v>
          </cell>
        </row>
        <row r="91">
          <cell r="A91" t="str">
            <v>7513 ВОСКРЕСЕНСКАЯ ВЯЛЕНАЯ в/к в/у срез 1/260  ОСТАНКИНО</v>
          </cell>
          <cell r="B91" t="str">
            <v>шт</v>
          </cell>
          <cell r="C91">
            <v>0.26</v>
          </cell>
        </row>
        <row r="92">
          <cell r="A92" t="str">
            <v>7516 НОВОМОСКОВСКАЯ в/к в/у срез 0.31кг  ОСТАНКИНО</v>
          </cell>
          <cell r="B92" t="str">
            <v>шт</v>
          </cell>
          <cell r="C92">
            <v>0.31</v>
          </cell>
        </row>
        <row r="93">
          <cell r="A93" t="str">
            <v>7523 ГОВЯЖЬЯ Папа Может вар п/о 0,4кг 6шт. ОСТАНКИНО</v>
          </cell>
          <cell r="B93" t="str">
            <v>шт</v>
          </cell>
          <cell r="C93">
            <v>0.4</v>
          </cell>
          <cell r="D93">
            <v>36</v>
          </cell>
        </row>
        <row r="94">
          <cell r="A94" t="str">
            <v>7539 ДОКТОРСКАЯ ГОСТ вар п/о 0,35кг ОСТАНКИНО</v>
          </cell>
          <cell r="B94" t="str">
            <v>шт</v>
          </cell>
          <cell r="C94">
            <v>0.35</v>
          </cell>
          <cell r="D94">
            <v>8</v>
          </cell>
        </row>
        <row r="95">
          <cell r="A95" t="str">
            <v>7562 КРАКОВСКАЯ ГОСТ Останкино п/к н/о мгс  ОСТАНКИНО</v>
          </cell>
          <cell r="B95" t="str">
            <v>кг</v>
          </cell>
          <cell r="C95">
            <v>1</v>
          </cell>
        </row>
        <row r="96">
          <cell r="A96" t="str">
            <v>7564 Балыковая в/к в/у Останкино Вес  ОСТАНКИНО</v>
          </cell>
          <cell r="B96" t="str">
            <v>кг</v>
          </cell>
          <cell r="C96">
            <v>1</v>
          </cell>
        </row>
        <row r="97">
          <cell r="A97" t="str">
            <v>7601 ДЛЯ ДЕТЕЙ Папа может сос п/о мгс 0.264кг  ОСТАНКИНО</v>
          </cell>
          <cell r="B97" t="str">
            <v>шт</v>
          </cell>
          <cell r="C97">
            <v>0</v>
          </cell>
        </row>
        <row r="98">
          <cell r="A98" t="str">
            <v>7603 БАЛЫКОВАЯ в/к в/у 0.33кг 8шт. ОСТАНКИНО</v>
          </cell>
          <cell r="B98" t="str">
            <v>шт</v>
          </cell>
          <cell r="C98">
            <v>0.33</v>
          </cell>
        </row>
        <row r="99">
          <cell r="A99" t="str">
            <v>7608 СЕРВЕЛАТ ШВЕЙЦАРСК.в/к с/н в/у 1/100_Л11  ОСТАНКИНО</v>
          </cell>
          <cell r="B99" t="str">
            <v>шт</v>
          </cell>
          <cell r="C99">
            <v>0</v>
          </cell>
        </row>
        <row r="100">
          <cell r="A100" t="str">
            <v>7612 БАЛЫК с/к с/н в/у 1/100 10шт_  ОСТАНКИНО</v>
          </cell>
          <cell r="B100" t="str">
            <v>шт</v>
          </cell>
          <cell r="C100">
            <v>0</v>
          </cell>
        </row>
        <row r="101">
          <cell r="A101" t="str">
            <v>7613 АРОМАТНАЯ с/к с/н в/у 1/100 10шт_Л10  ОСТАНКИНО</v>
          </cell>
          <cell r="B101" t="str">
            <v>шт</v>
          </cell>
          <cell r="C101">
            <v>0.1</v>
          </cell>
        </row>
        <row r="102">
          <cell r="A102" t="str">
            <v>7616 ЭКСТРА Папа может с/к с/н в/у 1/100_  ОСТАНКИНО</v>
          </cell>
          <cell r="B102" t="str">
            <v>шт</v>
          </cell>
          <cell r="C102">
            <v>0.1</v>
          </cell>
        </row>
        <row r="103">
          <cell r="A103" t="str">
            <v>7632 ЭКСТРА Папа может вар п/о 0.4кг 8шт_195к  ОСТАНКИНО</v>
          </cell>
          <cell r="B103" t="str">
            <v>шт</v>
          </cell>
          <cell r="C103">
            <v>0.4</v>
          </cell>
        </row>
        <row r="104">
          <cell r="A104" t="str">
            <v>7647 ХОЧУ ВЕТЧ.ИЗ СВ.ОТРУБА с/н мгс 1/100_Л11  ОСТАНКИНО</v>
          </cell>
          <cell r="B104" t="str">
            <v>шт</v>
          </cell>
          <cell r="C104">
            <v>0.1</v>
          </cell>
        </row>
        <row r="105">
          <cell r="A105" t="str">
            <v>7651 ХОЧУ ВЕТЧ.МРАМОР. ПМ с/н мгс 1/100_Л11  ОСТАНКИНО</v>
          </cell>
          <cell r="B105" t="str">
            <v>шт</v>
          </cell>
          <cell r="C105">
            <v>0.1</v>
          </cell>
        </row>
        <row r="106">
          <cell r="A106" t="str">
            <v>8014 ДОКТОРСКАЯ ПРЕМИУМ вар п/о(п)</v>
          </cell>
          <cell r="B106" t="str">
            <v>кг</v>
          </cell>
          <cell r="C106">
            <v>0</v>
          </cell>
        </row>
        <row r="107">
          <cell r="A107" t="str">
            <v>7514 ЛЮБИТЕЛЬСКАЯ ОСТАНКИНСКАЯ вар п/о в/у  ОСТАНКИНО</v>
          </cell>
          <cell r="B107" t="str">
            <v>кг</v>
          </cell>
          <cell r="C107">
            <v>1</v>
          </cell>
        </row>
        <row r="108">
          <cell r="A108" t="str">
            <v>7518 ТЕЛЯЧЬЯ ГОСТ Останкино вар п/о в/у  ОСТАНКИНО</v>
          </cell>
          <cell r="B108" t="str">
            <v>кг</v>
          </cell>
          <cell r="C108">
            <v>1</v>
          </cell>
        </row>
        <row r="109">
          <cell r="A109" t="str">
            <v>6929 КАРБОНАД ДОМАШНИЙ ПМ к/в кр/к в/у  ОСТАНКИНО</v>
          </cell>
          <cell r="B109" t="str">
            <v>кг</v>
          </cell>
          <cell r="C109">
            <v>1</v>
          </cell>
        </row>
        <row r="110">
          <cell r="A110" t="str">
            <v>7143 БРАУНШВЕЙГСКАЯ ГОСТ с/к в/у 1/220 8шт.</v>
          </cell>
          <cell r="B110" t="str">
            <v>шт</v>
          </cell>
          <cell r="C110">
            <v>0.22</v>
          </cell>
        </row>
        <row r="111">
          <cell r="A111" t="str">
            <v>7710 КРАКОВСКАЯ ГОСТ п/к н/о мгс 0.3кг</v>
          </cell>
          <cell r="B111" t="str">
            <v>шт</v>
          </cell>
          <cell r="C111">
            <v>0.3</v>
          </cell>
        </row>
        <row r="112">
          <cell r="A112" t="str">
            <v>7456 САЛЯМИ ФИНСКАЯ Папа может с/к в/у 1/150</v>
          </cell>
          <cell r="B112" t="str">
            <v>шт</v>
          </cell>
          <cell r="C112">
            <v>0.15</v>
          </cell>
        </row>
        <row r="113">
          <cell r="A113" t="str">
            <v>7344 КОНСЕРВЫ МЯС.ГОВЯДИНА ТУШ. В/С 338г_ЧЗ</v>
          </cell>
          <cell r="B113" t="str">
            <v>шт</v>
          </cell>
          <cell r="C113">
            <v>0.33800000000000002</v>
          </cell>
        </row>
        <row r="114">
          <cell r="A114" t="str">
            <v>7345 КОНСЕРВЫ МЯС.СВИНИНА ТУШ. В/С 325г_ЧЗ</v>
          </cell>
          <cell r="B114" t="str">
            <v>шт</v>
          </cell>
          <cell r="C114">
            <v>0.32500000000000001</v>
          </cell>
        </row>
        <row r="115">
          <cell r="A115" t="str">
            <v>6475 Сосиски Папа может 400г С сыром  ОСТАНКИНО</v>
          </cell>
          <cell r="B115" t="str">
            <v>шт</v>
          </cell>
          <cell r="C115">
            <v>0.4</v>
          </cell>
          <cell r="D115" t="str">
            <v>???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24" activePane="bottomRight" state="frozen"/>
      <selection pane="topRight"/>
      <selection pane="bottomLeft"/>
      <selection pane="bottomRight" activeCell="V41" sqref="V4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8" width="7" customWidth="1"/>
    <col min="9" max="9" width="5" style="6" customWidth="1"/>
    <col min="10" max="10" width="5" customWidth="1"/>
    <col min="11" max="11" width="12" customWidth="1"/>
    <col min="12" max="12" width="1" customWidth="1"/>
    <col min="13" max="21" width="7" customWidth="1"/>
    <col min="22" max="22" width="7" style="19" customWidth="1"/>
    <col min="23" max="24" width="5" customWidth="1"/>
    <col min="25" max="34" width="6" customWidth="1"/>
    <col min="35" max="35" width="37.140625" customWidth="1"/>
    <col min="36" max="36" width="7" customWidth="1"/>
    <col min="37" max="51" width="8" customWidth="1"/>
  </cols>
  <sheetData>
    <row r="1" spans="1:51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1"/>
      <c r="H2" s="1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8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16</v>
      </c>
      <c r="S3" s="2" t="s">
        <v>17</v>
      </c>
      <c r="T3" s="3" t="s">
        <v>18</v>
      </c>
      <c r="U3" s="3" t="s">
        <v>186</v>
      </c>
      <c r="V3" s="3" t="s">
        <v>188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1" t="s">
        <v>24</v>
      </c>
      <c r="H4" s="1" t="s">
        <v>14</v>
      </c>
      <c r="I4" s="7"/>
      <c r="J4" s="1"/>
      <c r="K4" s="1"/>
      <c r="L4" s="1"/>
      <c r="M4" s="1"/>
      <c r="N4" s="1"/>
      <c r="O4" s="1"/>
      <c r="P4" s="1"/>
      <c r="Q4" s="1" t="s">
        <v>25</v>
      </c>
      <c r="R4" s="1" t="s">
        <v>26</v>
      </c>
      <c r="S4" s="1" t="s">
        <v>27</v>
      </c>
      <c r="T4" s="1"/>
      <c r="U4" s="1" t="s">
        <v>187</v>
      </c>
      <c r="V4" s="1" t="s">
        <v>189</v>
      </c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21598.763999999996</v>
      </c>
      <c r="F5" s="4">
        <f>SUM(F6:F500)</f>
        <v>31559.457000000006</v>
      </c>
      <c r="G5" s="4"/>
      <c r="H5" s="4">
        <f>SUM(H6:H500)</f>
        <v>26021.402000000002</v>
      </c>
      <c r="I5" s="7"/>
      <c r="J5" s="1"/>
      <c r="K5" s="1"/>
      <c r="L5" s="1"/>
      <c r="M5" s="4">
        <f t="shared" ref="M5:U5" si="0">SUM(M6:M500)</f>
        <v>29605.034000000003</v>
      </c>
      <c r="N5" s="4">
        <f t="shared" si="0"/>
        <v>-8006.2699999999995</v>
      </c>
      <c r="O5" s="4">
        <f t="shared" si="0"/>
        <v>16998.858</v>
      </c>
      <c r="P5" s="4">
        <f t="shared" si="0"/>
        <v>4599.9059999999999</v>
      </c>
      <c r="Q5" s="4">
        <f t="shared" si="0"/>
        <v>14855</v>
      </c>
      <c r="R5" s="4">
        <f t="shared" si="0"/>
        <v>1000</v>
      </c>
      <c r="S5" s="4">
        <f t="shared" si="0"/>
        <v>3399.7716000000014</v>
      </c>
      <c r="T5" s="4">
        <f t="shared" si="0"/>
        <v>13757.410400000004</v>
      </c>
      <c r="U5" s="4">
        <f t="shared" si="0"/>
        <v>16977</v>
      </c>
      <c r="V5" s="4"/>
      <c r="W5" s="1"/>
      <c r="X5" s="1"/>
      <c r="Y5" s="4">
        <f t="shared" ref="Y5:AH5" si="1">SUM(Y6:Y500)</f>
        <v>2006.4104000000002</v>
      </c>
      <c r="Z5" s="4">
        <f t="shared" si="1"/>
        <v>3945.1628000000014</v>
      </c>
      <c r="AA5" s="4">
        <f t="shared" si="1"/>
        <v>3703.6237999999994</v>
      </c>
      <c r="AB5" s="4">
        <f t="shared" si="1"/>
        <v>2207.5886</v>
      </c>
      <c r="AC5" s="4">
        <f t="shared" si="1"/>
        <v>2571.0086000000006</v>
      </c>
      <c r="AD5" s="4">
        <f t="shared" si="1"/>
        <v>3209.5596000000005</v>
      </c>
      <c r="AE5" s="4">
        <f t="shared" si="1"/>
        <v>2940.3353999999999</v>
      </c>
      <c r="AF5" s="4">
        <f t="shared" si="1"/>
        <v>2144.2981999999997</v>
      </c>
      <c r="AG5" s="4">
        <f t="shared" si="1"/>
        <v>2239.9688000000006</v>
      </c>
      <c r="AH5" s="4">
        <f t="shared" si="1"/>
        <v>2158.7930000000001</v>
      </c>
      <c r="AI5" s="1"/>
      <c r="AJ5" s="4">
        <f>SUM(AJ6:AJ500)</f>
        <v>7608.72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38</v>
      </c>
      <c r="B6" s="1" t="s">
        <v>39</v>
      </c>
      <c r="C6" s="1">
        <v>26.504999999999999</v>
      </c>
      <c r="D6" s="1">
        <v>1.129</v>
      </c>
      <c r="E6" s="1">
        <v>3.9860000000000002</v>
      </c>
      <c r="F6" s="1">
        <v>22.518999999999998</v>
      </c>
      <c r="G6" s="1">
        <f>VLOOKUP(A6,[1]Лист1!$A:$D,4,0)</f>
        <v>0</v>
      </c>
      <c r="H6" s="1">
        <f t="shared" ref="H6:H37" si="2">F6-G6</f>
        <v>22.518999999999998</v>
      </c>
      <c r="I6" s="7">
        <v>1</v>
      </c>
      <c r="J6" s="1">
        <v>120</v>
      </c>
      <c r="K6" s="1" t="s">
        <v>40</v>
      </c>
      <c r="L6" s="1"/>
      <c r="M6" s="1">
        <v>4.5</v>
      </c>
      <c r="N6" s="1">
        <f t="shared" ref="N6:N37" si="3">E6-M6</f>
        <v>-0.51399999999999979</v>
      </c>
      <c r="O6" s="1">
        <f t="shared" ref="O6:O37" si="4">E6-P6</f>
        <v>3.9860000000000002</v>
      </c>
      <c r="P6" s="1"/>
      <c r="Q6" s="1">
        <v>0</v>
      </c>
      <c r="R6" s="1"/>
      <c r="S6" s="1">
        <f t="shared" ref="S6:S37" si="5">O6/5</f>
        <v>0.79720000000000002</v>
      </c>
      <c r="T6" s="5"/>
      <c r="U6" s="5">
        <f>ROUND(T6,0)</f>
        <v>0</v>
      </c>
      <c r="V6" s="18"/>
      <c r="W6" s="1">
        <f>(H6+Q6+R6+U6)/S6</f>
        <v>28.247616658304061</v>
      </c>
      <c r="X6" s="1">
        <f t="shared" ref="X6:X37" si="6">(H6+Q6+R6)/S6</f>
        <v>28.247616658304061</v>
      </c>
      <c r="Y6" s="1">
        <v>0.3392</v>
      </c>
      <c r="Z6" s="1">
        <v>3.1198000000000001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2" t="s">
        <v>180</v>
      </c>
      <c r="AJ6" s="1">
        <f>I6*U6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41</v>
      </c>
      <c r="B7" s="1" t="s">
        <v>42</v>
      </c>
      <c r="C7" s="1">
        <v>25</v>
      </c>
      <c r="D7" s="1">
        <v>963</v>
      </c>
      <c r="E7" s="1">
        <v>491</v>
      </c>
      <c r="F7" s="1">
        <v>469</v>
      </c>
      <c r="G7" s="1">
        <f>VLOOKUP(A7,[1]Лист1!$A:$D,4,0)</f>
        <v>0</v>
      </c>
      <c r="H7" s="1">
        <f t="shared" si="2"/>
        <v>469</v>
      </c>
      <c r="I7" s="7">
        <v>0.4</v>
      </c>
      <c r="J7" s="1">
        <v>60</v>
      </c>
      <c r="K7" s="1" t="s">
        <v>40</v>
      </c>
      <c r="L7" s="1"/>
      <c r="M7" s="1">
        <v>572</v>
      </c>
      <c r="N7" s="1">
        <f t="shared" si="3"/>
        <v>-81</v>
      </c>
      <c r="O7" s="1">
        <f t="shared" si="4"/>
        <v>347</v>
      </c>
      <c r="P7" s="1">
        <v>144</v>
      </c>
      <c r="Q7" s="1">
        <v>70</v>
      </c>
      <c r="R7" s="1"/>
      <c r="S7" s="1">
        <f t="shared" si="5"/>
        <v>69.400000000000006</v>
      </c>
      <c r="T7" s="5">
        <f t="shared" ref="T7:T23" si="7">14*S7-R7-Q7-H7</f>
        <v>432.60000000000014</v>
      </c>
      <c r="U7" s="5">
        <f>V7</f>
        <v>600</v>
      </c>
      <c r="V7" s="18">
        <f>VLOOKUP(A7,[2]Sheet!$A:$U,21,0)</f>
        <v>600</v>
      </c>
      <c r="W7" s="1">
        <f t="shared" ref="W7:W70" si="8">(H7+Q7+R7+U7)/S7</f>
        <v>16.412103746397694</v>
      </c>
      <c r="X7" s="1">
        <f t="shared" si="6"/>
        <v>7.7665706051873196</v>
      </c>
      <c r="Y7" s="1">
        <v>26.6</v>
      </c>
      <c r="Z7" s="1">
        <v>68.8</v>
      </c>
      <c r="AA7" s="1">
        <v>75.599999999999994</v>
      </c>
      <c r="AB7" s="1">
        <v>35.4</v>
      </c>
      <c r="AC7" s="1">
        <v>54.2</v>
      </c>
      <c r="AD7" s="1">
        <v>62.6</v>
      </c>
      <c r="AE7" s="1">
        <v>55.6</v>
      </c>
      <c r="AF7" s="1">
        <v>41.2</v>
      </c>
      <c r="AG7" s="1">
        <v>33.6</v>
      </c>
      <c r="AH7" s="1">
        <v>46.6</v>
      </c>
      <c r="AI7" s="1"/>
      <c r="AJ7" s="1">
        <f t="shared" ref="AJ7:AJ70" si="9">I7*U7</f>
        <v>240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43</v>
      </c>
      <c r="B8" s="1" t="s">
        <v>39</v>
      </c>
      <c r="C8" s="1">
        <v>3.0609999999999999</v>
      </c>
      <c r="D8" s="1">
        <v>243.643</v>
      </c>
      <c r="E8" s="1">
        <v>35.450000000000003</v>
      </c>
      <c r="F8" s="1">
        <v>211.25399999999999</v>
      </c>
      <c r="G8" s="1">
        <f>VLOOKUP(A8,[3]Лист1!$A:$D,4,0)</f>
        <v>204.80799999999999</v>
      </c>
      <c r="H8" s="1">
        <f t="shared" si="2"/>
        <v>6.445999999999998</v>
      </c>
      <c r="I8" s="7">
        <v>1</v>
      </c>
      <c r="J8" s="1">
        <v>120</v>
      </c>
      <c r="K8" s="1" t="s">
        <v>40</v>
      </c>
      <c r="L8" s="1"/>
      <c r="M8" s="1">
        <v>51.9</v>
      </c>
      <c r="N8" s="1">
        <f t="shared" si="3"/>
        <v>-16.449999999999996</v>
      </c>
      <c r="O8" s="1">
        <f t="shared" si="4"/>
        <v>19.503000000000004</v>
      </c>
      <c r="P8" s="1">
        <v>15.946999999999999</v>
      </c>
      <c r="Q8" s="1">
        <v>30</v>
      </c>
      <c r="R8" s="1"/>
      <c r="S8" s="1">
        <f t="shared" si="5"/>
        <v>3.9006000000000007</v>
      </c>
      <c r="T8" s="5">
        <f>14*S8-H8-Q8-R8</f>
        <v>18.162400000000012</v>
      </c>
      <c r="U8" s="5">
        <f t="shared" ref="U8:U9" si="10">ROUND(T8+S8,0)</f>
        <v>22</v>
      </c>
      <c r="V8" s="18"/>
      <c r="W8" s="1">
        <f t="shared" si="8"/>
        <v>14.98384863867097</v>
      </c>
      <c r="X8" s="1">
        <f t="shared" si="6"/>
        <v>9.343690714249087</v>
      </c>
      <c r="Y8" s="1">
        <v>3.4222000000000001</v>
      </c>
      <c r="Z8" s="1">
        <v>5.2168000000000001</v>
      </c>
      <c r="AA8" s="1">
        <v>4.2012</v>
      </c>
      <c r="AB8" s="1">
        <v>3.2757999999999998</v>
      </c>
      <c r="AC8" s="1">
        <v>0.29959999999999998</v>
      </c>
      <c r="AD8" s="1">
        <v>0.99220000000000008</v>
      </c>
      <c r="AE8" s="1">
        <v>4.3465999999999996</v>
      </c>
      <c r="AF8" s="1">
        <v>1.4268000000000001</v>
      </c>
      <c r="AG8" s="1">
        <v>4.1590000000000007</v>
      </c>
      <c r="AH8" s="1">
        <v>4.5156000000000001</v>
      </c>
      <c r="AI8" s="1" t="s">
        <v>44</v>
      </c>
      <c r="AJ8" s="1">
        <f t="shared" si="9"/>
        <v>22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45</v>
      </c>
      <c r="B9" s="1" t="s">
        <v>42</v>
      </c>
      <c r="C9" s="1">
        <v>-6</v>
      </c>
      <c r="D9" s="1">
        <v>1086</v>
      </c>
      <c r="E9" s="1">
        <v>536</v>
      </c>
      <c r="F9" s="1">
        <v>506</v>
      </c>
      <c r="G9" s="1">
        <f>VLOOKUP(A9,[1]Лист1!$A:$D,4,0)</f>
        <v>0</v>
      </c>
      <c r="H9" s="1">
        <f t="shared" si="2"/>
        <v>506</v>
      </c>
      <c r="I9" s="7">
        <v>0.25</v>
      </c>
      <c r="J9" s="1">
        <v>120</v>
      </c>
      <c r="K9" s="1" t="s">
        <v>40</v>
      </c>
      <c r="L9" s="1"/>
      <c r="M9" s="1">
        <v>647</v>
      </c>
      <c r="N9" s="1">
        <f t="shared" si="3"/>
        <v>-111</v>
      </c>
      <c r="O9" s="1">
        <f t="shared" si="4"/>
        <v>440</v>
      </c>
      <c r="P9" s="1">
        <v>96</v>
      </c>
      <c r="Q9" s="1">
        <v>70</v>
      </c>
      <c r="R9" s="1"/>
      <c r="S9" s="1">
        <f t="shared" si="5"/>
        <v>88</v>
      </c>
      <c r="T9" s="5">
        <f t="shared" si="7"/>
        <v>656</v>
      </c>
      <c r="U9" s="5">
        <f t="shared" si="10"/>
        <v>744</v>
      </c>
      <c r="V9" s="18"/>
      <c r="W9" s="1">
        <f t="shared" si="8"/>
        <v>15</v>
      </c>
      <c r="X9" s="1">
        <f t="shared" si="6"/>
        <v>6.5454545454545459</v>
      </c>
      <c r="Y9" s="1">
        <v>23.2</v>
      </c>
      <c r="Z9" s="1">
        <v>97.8</v>
      </c>
      <c r="AA9" s="1">
        <v>70</v>
      </c>
      <c r="AB9" s="1">
        <v>29.8</v>
      </c>
      <c r="AC9" s="1">
        <v>37.4</v>
      </c>
      <c r="AD9" s="1">
        <v>61.4</v>
      </c>
      <c r="AE9" s="1">
        <v>31.4</v>
      </c>
      <c r="AF9" s="1">
        <v>25</v>
      </c>
      <c r="AG9" s="1">
        <v>35.799999999999997</v>
      </c>
      <c r="AH9" s="1">
        <v>25.4</v>
      </c>
      <c r="AI9" s="1" t="s">
        <v>44</v>
      </c>
      <c r="AJ9" s="1">
        <f t="shared" si="9"/>
        <v>186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46</v>
      </c>
      <c r="B10" s="1" t="s">
        <v>39</v>
      </c>
      <c r="C10" s="1">
        <v>251.50200000000001</v>
      </c>
      <c r="D10" s="1">
        <v>641.56399999999996</v>
      </c>
      <c r="E10" s="1">
        <v>286.61399999999998</v>
      </c>
      <c r="F10" s="1">
        <v>586.11</v>
      </c>
      <c r="G10" s="1">
        <f>VLOOKUP(A10,[1]Лист1!$A:$D,4,0)</f>
        <v>331.28</v>
      </c>
      <c r="H10" s="1">
        <f t="shared" si="2"/>
        <v>254.83000000000004</v>
      </c>
      <c r="I10" s="7">
        <v>1</v>
      </c>
      <c r="J10" s="1">
        <v>60</v>
      </c>
      <c r="K10" s="1" t="s">
        <v>40</v>
      </c>
      <c r="L10" s="1"/>
      <c r="M10" s="1">
        <v>308.44200000000001</v>
      </c>
      <c r="N10" s="1">
        <f t="shared" si="3"/>
        <v>-21.828000000000031</v>
      </c>
      <c r="O10" s="1">
        <f t="shared" si="4"/>
        <v>230.13799999999998</v>
      </c>
      <c r="P10" s="1">
        <v>56.475999999999999</v>
      </c>
      <c r="Q10" s="1">
        <v>650</v>
      </c>
      <c r="R10" s="1">
        <v>50</v>
      </c>
      <c r="S10" s="1">
        <f t="shared" si="5"/>
        <v>46.027599999999993</v>
      </c>
      <c r="T10" s="5"/>
      <c r="U10" s="5">
        <v>100</v>
      </c>
      <c r="V10" s="18">
        <f>VLOOKUP(A10,[2]Sheet!$A:$U,21,0)</f>
        <v>200</v>
      </c>
      <c r="W10" s="1">
        <f t="shared" si="8"/>
        <v>22.917336554588989</v>
      </c>
      <c r="X10" s="1">
        <f t="shared" si="6"/>
        <v>20.744727076797403</v>
      </c>
      <c r="Y10" s="1">
        <v>57.752200000000002</v>
      </c>
      <c r="Z10" s="1">
        <v>47.667999999999999</v>
      </c>
      <c r="AA10" s="1">
        <v>71.5244</v>
      </c>
      <c r="AB10" s="1">
        <v>59.996400000000008</v>
      </c>
      <c r="AC10" s="1">
        <v>49.260599999999997</v>
      </c>
      <c r="AD10" s="1">
        <v>56.257199999999997</v>
      </c>
      <c r="AE10" s="1">
        <v>69.917000000000002</v>
      </c>
      <c r="AF10" s="1">
        <v>42.271000000000001</v>
      </c>
      <c r="AG10" s="1">
        <v>39.854199999999999</v>
      </c>
      <c r="AH10" s="1">
        <v>46.833399999999997</v>
      </c>
      <c r="AI10" s="1"/>
      <c r="AJ10" s="1">
        <f t="shared" si="9"/>
        <v>100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47</v>
      </c>
      <c r="B11" s="1" t="s">
        <v>39</v>
      </c>
      <c r="C11" s="1">
        <v>100.35299999999999</v>
      </c>
      <c r="D11" s="1">
        <v>72.897999999999996</v>
      </c>
      <c r="E11" s="1">
        <v>49.860999999999997</v>
      </c>
      <c r="F11" s="1">
        <v>120.402</v>
      </c>
      <c r="G11" s="1">
        <f>VLOOKUP(A11,[1]Лист1!$A:$D,4,0)</f>
        <v>0</v>
      </c>
      <c r="H11" s="1">
        <f t="shared" si="2"/>
        <v>120.402</v>
      </c>
      <c r="I11" s="7">
        <v>1</v>
      </c>
      <c r="J11" s="1">
        <v>120</v>
      </c>
      <c r="K11" s="1" t="s">
        <v>40</v>
      </c>
      <c r="L11" s="1"/>
      <c r="M11" s="1">
        <v>55.2</v>
      </c>
      <c r="N11" s="1">
        <f t="shared" si="3"/>
        <v>-5.3390000000000057</v>
      </c>
      <c r="O11" s="1">
        <f t="shared" si="4"/>
        <v>21.724999999999998</v>
      </c>
      <c r="P11" s="1">
        <v>28.135999999999999</v>
      </c>
      <c r="Q11" s="1">
        <v>0</v>
      </c>
      <c r="R11" s="1"/>
      <c r="S11" s="1">
        <f t="shared" si="5"/>
        <v>4.3449999999999998</v>
      </c>
      <c r="T11" s="5"/>
      <c r="U11" s="5">
        <f t="shared" ref="U11:U70" si="11">ROUND(T11,0)</f>
        <v>0</v>
      </c>
      <c r="V11" s="18"/>
      <c r="W11" s="1">
        <f t="shared" si="8"/>
        <v>27.710471806674342</v>
      </c>
      <c r="X11" s="1">
        <f t="shared" si="6"/>
        <v>27.710471806674342</v>
      </c>
      <c r="Y11" s="1">
        <v>4.2176</v>
      </c>
      <c r="Z11" s="1">
        <v>10.532</v>
      </c>
      <c r="AA11" s="1">
        <v>6.9102000000000006</v>
      </c>
      <c r="AB11" s="1">
        <v>4.5746000000000002</v>
      </c>
      <c r="AC11" s="1">
        <v>8.6004000000000005</v>
      </c>
      <c r="AD11" s="1">
        <v>5.0928000000000004</v>
      </c>
      <c r="AE11" s="1">
        <v>2.7075999999999998</v>
      </c>
      <c r="AF11" s="1">
        <v>4.4042000000000003</v>
      </c>
      <c r="AG11" s="1">
        <v>2.8081999999999998</v>
      </c>
      <c r="AH11" s="1">
        <v>3.0775999999999999</v>
      </c>
      <c r="AI11" s="13" t="s">
        <v>181</v>
      </c>
      <c r="AJ11" s="1">
        <f t="shared" si="9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48</v>
      </c>
      <c r="B12" s="1" t="s">
        <v>39</v>
      </c>
      <c r="C12" s="1">
        <v>27.39</v>
      </c>
      <c r="D12" s="1">
        <v>5.3890000000000002</v>
      </c>
      <c r="E12" s="1">
        <v>31.04</v>
      </c>
      <c r="F12" s="1">
        <v>0.38400000000000001</v>
      </c>
      <c r="G12" s="1">
        <f>VLOOKUP(A12,[1]Лист1!$A:$D,4,0)</f>
        <v>0</v>
      </c>
      <c r="H12" s="1">
        <f t="shared" si="2"/>
        <v>0.38400000000000001</v>
      </c>
      <c r="I12" s="7">
        <v>1</v>
      </c>
      <c r="J12" s="1">
        <v>60</v>
      </c>
      <c r="K12" s="1" t="s">
        <v>40</v>
      </c>
      <c r="L12" s="1"/>
      <c r="M12" s="1">
        <v>51.9</v>
      </c>
      <c r="N12" s="1">
        <f t="shared" si="3"/>
        <v>-20.86</v>
      </c>
      <c r="O12" s="1">
        <f t="shared" si="4"/>
        <v>31.04</v>
      </c>
      <c r="P12" s="1"/>
      <c r="Q12" s="1">
        <v>120</v>
      </c>
      <c r="R12" s="1"/>
      <c r="S12" s="1">
        <f t="shared" si="5"/>
        <v>6.2080000000000002</v>
      </c>
      <c r="T12" s="5"/>
      <c r="U12" s="5">
        <f t="shared" si="11"/>
        <v>0</v>
      </c>
      <c r="V12" s="18"/>
      <c r="W12" s="1">
        <f t="shared" si="8"/>
        <v>19.391752577319586</v>
      </c>
      <c r="X12" s="1">
        <f t="shared" si="6"/>
        <v>19.391752577319586</v>
      </c>
      <c r="Y12" s="1">
        <v>8.642199999999999</v>
      </c>
      <c r="Z12" s="1">
        <v>5.4014000000000006</v>
      </c>
      <c r="AA12" s="1">
        <v>2.4533999999999998</v>
      </c>
      <c r="AB12" s="1">
        <v>4.0156000000000001</v>
      </c>
      <c r="AC12" s="1">
        <v>8.7403999999999993</v>
      </c>
      <c r="AD12" s="1">
        <v>3.5335999999999999</v>
      </c>
      <c r="AE12" s="1">
        <v>3.8138000000000001</v>
      </c>
      <c r="AF12" s="1">
        <v>0.81980000000000008</v>
      </c>
      <c r="AG12" s="1">
        <v>1.0762</v>
      </c>
      <c r="AH12" s="1">
        <v>3.2698</v>
      </c>
      <c r="AI12" s="1"/>
      <c r="AJ12" s="1">
        <f t="shared" si="9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49</v>
      </c>
      <c r="B13" s="1" t="s">
        <v>39</v>
      </c>
      <c r="C13" s="1">
        <v>101.26</v>
      </c>
      <c r="D13" s="1">
        <v>836.66099999999994</v>
      </c>
      <c r="E13" s="1">
        <v>322.04599999999999</v>
      </c>
      <c r="F13" s="1">
        <v>608.58399999999995</v>
      </c>
      <c r="G13" s="1">
        <f>VLOOKUP(A13,[1]Лист1!$A:$D,4,0)</f>
        <v>301.42399999999998</v>
      </c>
      <c r="H13" s="1">
        <f t="shared" si="2"/>
        <v>307.15999999999997</v>
      </c>
      <c r="I13" s="7">
        <v>1</v>
      </c>
      <c r="J13" s="1">
        <v>60</v>
      </c>
      <c r="K13" s="1" t="s">
        <v>40</v>
      </c>
      <c r="L13" s="1"/>
      <c r="M13" s="1">
        <v>304.36500000000001</v>
      </c>
      <c r="N13" s="1">
        <f t="shared" si="3"/>
        <v>17.680999999999983</v>
      </c>
      <c r="O13" s="1">
        <f t="shared" si="4"/>
        <v>232.08499999999998</v>
      </c>
      <c r="P13" s="1">
        <v>89.960999999999999</v>
      </c>
      <c r="Q13" s="1">
        <v>600</v>
      </c>
      <c r="R13" s="1"/>
      <c r="S13" s="1">
        <f t="shared" si="5"/>
        <v>46.416999999999994</v>
      </c>
      <c r="T13" s="5"/>
      <c r="U13" s="5">
        <v>100</v>
      </c>
      <c r="V13" s="18">
        <f>VLOOKUP(A13,[2]Sheet!$A:$U,21,0)</f>
        <v>200</v>
      </c>
      <c r="W13" s="1">
        <f t="shared" si="8"/>
        <v>21.698084753430859</v>
      </c>
      <c r="X13" s="1">
        <f t="shared" si="6"/>
        <v>19.543701661029367</v>
      </c>
      <c r="Y13" s="1">
        <v>60.004800000000003</v>
      </c>
      <c r="Z13" s="1">
        <v>59.633799999999987</v>
      </c>
      <c r="AA13" s="1">
        <v>64.598800000000011</v>
      </c>
      <c r="AB13" s="1">
        <v>47.507800000000003</v>
      </c>
      <c r="AC13" s="1">
        <v>63.072600000000001</v>
      </c>
      <c r="AD13" s="1">
        <v>49.145600000000002</v>
      </c>
      <c r="AE13" s="1">
        <v>63.110400000000013</v>
      </c>
      <c r="AF13" s="1">
        <v>35.663600000000002</v>
      </c>
      <c r="AG13" s="1">
        <v>33.933800000000012</v>
      </c>
      <c r="AH13" s="1">
        <v>49.622399999999999</v>
      </c>
      <c r="AI13" s="16" t="s">
        <v>182</v>
      </c>
      <c r="AJ13" s="1">
        <f t="shared" si="9"/>
        <v>100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50</v>
      </c>
      <c r="B14" s="1" t="s">
        <v>42</v>
      </c>
      <c r="C14" s="1">
        <v>38</v>
      </c>
      <c r="D14" s="1">
        <v>839</v>
      </c>
      <c r="E14" s="1">
        <v>319</v>
      </c>
      <c r="F14" s="1">
        <v>527</v>
      </c>
      <c r="G14" s="1">
        <f>VLOOKUP(A14,[1]Лист1!$A:$D,4,0)</f>
        <v>0</v>
      </c>
      <c r="H14" s="1">
        <f t="shared" si="2"/>
        <v>527</v>
      </c>
      <c r="I14" s="7">
        <v>0.25</v>
      </c>
      <c r="J14" s="1">
        <v>120</v>
      </c>
      <c r="K14" s="1" t="s">
        <v>40</v>
      </c>
      <c r="L14" s="1"/>
      <c r="M14" s="1">
        <v>404</v>
      </c>
      <c r="N14" s="1">
        <f t="shared" si="3"/>
        <v>-85</v>
      </c>
      <c r="O14" s="1">
        <f t="shared" si="4"/>
        <v>223</v>
      </c>
      <c r="P14" s="1">
        <v>96</v>
      </c>
      <c r="Q14" s="1">
        <v>0</v>
      </c>
      <c r="R14" s="1"/>
      <c r="S14" s="1">
        <f t="shared" si="5"/>
        <v>44.6</v>
      </c>
      <c r="T14" s="5">
        <f t="shared" si="7"/>
        <v>97.399999999999977</v>
      </c>
      <c r="U14" s="5">
        <f>ROUND(T14+S14,0)</f>
        <v>142</v>
      </c>
      <c r="V14" s="18"/>
      <c r="W14" s="1">
        <f t="shared" si="8"/>
        <v>15</v>
      </c>
      <c r="X14" s="1">
        <f t="shared" si="6"/>
        <v>11.816143497757848</v>
      </c>
      <c r="Y14" s="1">
        <v>30.6</v>
      </c>
      <c r="Z14" s="1">
        <v>70.400000000000006</v>
      </c>
      <c r="AA14" s="1">
        <v>62</v>
      </c>
      <c r="AB14" s="1">
        <v>37</v>
      </c>
      <c r="AC14" s="1">
        <v>33</v>
      </c>
      <c r="AD14" s="1">
        <v>47.4</v>
      </c>
      <c r="AE14" s="1">
        <v>53.6</v>
      </c>
      <c r="AF14" s="1">
        <v>24.2</v>
      </c>
      <c r="AG14" s="1">
        <v>21.4</v>
      </c>
      <c r="AH14" s="1">
        <v>43.8</v>
      </c>
      <c r="AI14" s="1" t="s">
        <v>44</v>
      </c>
      <c r="AJ14" s="1">
        <f t="shared" si="9"/>
        <v>35.5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51</v>
      </c>
      <c r="B15" s="1" t="s">
        <v>39</v>
      </c>
      <c r="C15" s="1">
        <v>125.03400000000001</v>
      </c>
      <c r="D15" s="1">
        <v>331.76100000000002</v>
      </c>
      <c r="E15" s="1">
        <v>107.41</v>
      </c>
      <c r="F15" s="1">
        <v>342.517</v>
      </c>
      <c r="G15" s="1">
        <f>VLOOKUP(A15,[1]Лист1!$A:$D,4,0)</f>
        <v>195.024</v>
      </c>
      <c r="H15" s="1">
        <f t="shared" si="2"/>
        <v>147.49299999999999</v>
      </c>
      <c r="I15" s="7">
        <v>1</v>
      </c>
      <c r="J15" s="1">
        <v>60</v>
      </c>
      <c r="K15" s="1" t="s">
        <v>40</v>
      </c>
      <c r="L15" s="1"/>
      <c r="M15" s="1">
        <v>103.7</v>
      </c>
      <c r="N15" s="1">
        <f t="shared" si="3"/>
        <v>3.7099999999999937</v>
      </c>
      <c r="O15" s="1">
        <f t="shared" si="4"/>
        <v>66.281999999999996</v>
      </c>
      <c r="P15" s="1">
        <v>41.128</v>
      </c>
      <c r="Q15" s="1">
        <v>50</v>
      </c>
      <c r="R15" s="1"/>
      <c r="S15" s="1">
        <f t="shared" si="5"/>
        <v>13.256399999999999</v>
      </c>
      <c r="T15" s="5"/>
      <c r="U15" s="5">
        <f t="shared" si="11"/>
        <v>0</v>
      </c>
      <c r="V15" s="18"/>
      <c r="W15" s="1">
        <f t="shared" si="8"/>
        <v>14.897936091246493</v>
      </c>
      <c r="X15" s="1">
        <f t="shared" si="6"/>
        <v>14.897936091246493</v>
      </c>
      <c r="Y15" s="1">
        <v>14.061199999999999</v>
      </c>
      <c r="Z15" s="1">
        <v>19.492999999999999</v>
      </c>
      <c r="AA15" s="1">
        <v>0.47199999999999998</v>
      </c>
      <c r="AB15" s="1">
        <v>8.4016000000000002</v>
      </c>
      <c r="AC15" s="1">
        <v>26.634799999999998</v>
      </c>
      <c r="AD15" s="1">
        <v>14.544</v>
      </c>
      <c r="AE15" s="1">
        <v>9.7308000000000003</v>
      </c>
      <c r="AF15" s="1">
        <v>0.81180000000000008</v>
      </c>
      <c r="AG15" s="1">
        <v>3.512</v>
      </c>
      <c r="AH15" s="1">
        <v>11.567</v>
      </c>
      <c r="AI15" s="1"/>
      <c r="AJ15" s="1">
        <f t="shared" si="9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42</v>
      </c>
      <c r="C16" s="1">
        <v>19</v>
      </c>
      <c r="D16" s="1">
        <v>1248</v>
      </c>
      <c r="E16" s="1">
        <v>557</v>
      </c>
      <c r="F16" s="1">
        <v>677</v>
      </c>
      <c r="G16" s="1">
        <f>VLOOKUP(A16,[1]Лист1!$A:$D,4,0)</f>
        <v>0</v>
      </c>
      <c r="H16" s="1">
        <f t="shared" si="2"/>
        <v>677</v>
      </c>
      <c r="I16" s="7">
        <v>0.25</v>
      </c>
      <c r="J16" s="1">
        <v>120</v>
      </c>
      <c r="K16" s="1" t="s">
        <v>40</v>
      </c>
      <c r="L16" s="1"/>
      <c r="M16" s="1">
        <v>637</v>
      </c>
      <c r="N16" s="1">
        <f t="shared" si="3"/>
        <v>-80</v>
      </c>
      <c r="O16" s="1">
        <f t="shared" si="4"/>
        <v>413</v>
      </c>
      <c r="P16" s="1">
        <v>144</v>
      </c>
      <c r="Q16" s="1">
        <v>20</v>
      </c>
      <c r="R16" s="1"/>
      <c r="S16" s="1">
        <f t="shared" si="5"/>
        <v>82.6</v>
      </c>
      <c r="T16" s="5">
        <f t="shared" si="7"/>
        <v>459.39999999999986</v>
      </c>
      <c r="U16" s="5">
        <f>ROUND(T16+S16,0)</f>
        <v>542</v>
      </c>
      <c r="V16" s="18"/>
      <c r="W16" s="1">
        <f t="shared" si="8"/>
        <v>15.000000000000002</v>
      </c>
      <c r="X16" s="1">
        <f t="shared" si="6"/>
        <v>8.4382566585956429</v>
      </c>
      <c r="Y16" s="1">
        <v>19.600000000000001</v>
      </c>
      <c r="Z16" s="1">
        <v>119.2</v>
      </c>
      <c r="AA16" s="1">
        <v>76</v>
      </c>
      <c r="AB16" s="1">
        <v>40.200000000000003</v>
      </c>
      <c r="AC16" s="1">
        <v>40.4</v>
      </c>
      <c r="AD16" s="1">
        <v>55.8</v>
      </c>
      <c r="AE16" s="1">
        <v>48.2</v>
      </c>
      <c r="AF16" s="1">
        <v>24.2</v>
      </c>
      <c r="AG16" s="1">
        <v>25.2</v>
      </c>
      <c r="AH16" s="1">
        <v>30.4</v>
      </c>
      <c r="AI16" s="1" t="s">
        <v>44</v>
      </c>
      <c r="AJ16" s="1">
        <f t="shared" si="9"/>
        <v>135.5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53</v>
      </c>
      <c r="B17" s="1" t="s">
        <v>42</v>
      </c>
      <c r="C17" s="1">
        <v>-3</v>
      </c>
      <c r="D17" s="1">
        <v>646</v>
      </c>
      <c r="E17" s="1">
        <v>236</v>
      </c>
      <c r="F17" s="1">
        <v>385</v>
      </c>
      <c r="G17" s="1">
        <f>VLOOKUP(A17,[1]Лист1!$A:$D,4,0)</f>
        <v>0</v>
      </c>
      <c r="H17" s="1">
        <f t="shared" si="2"/>
        <v>385</v>
      </c>
      <c r="I17" s="7">
        <v>0.4</v>
      </c>
      <c r="J17" s="1">
        <v>60</v>
      </c>
      <c r="K17" s="1" t="s">
        <v>40</v>
      </c>
      <c r="L17" s="1"/>
      <c r="M17" s="1">
        <v>335</v>
      </c>
      <c r="N17" s="1">
        <f t="shared" si="3"/>
        <v>-99</v>
      </c>
      <c r="O17" s="1">
        <f t="shared" si="4"/>
        <v>188</v>
      </c>
      <c r="P17" s="1">
        <v>48</v>
      </c>
      <c r="Q17" s="1">
        <v>200</v>
      </c>
      <c r="R17" s="1"/>
      <c r="S17" s="1">
        <f t="shared" si="5"/>
        <v>37.6</v>
      </c>
      <c r="T17" s="5"/>
      <c r="U17" s="5">
        <f t="shared" si="11"/>
        <v>0</v>
      </c>
      <c r="V17" s="18"/>
      <c r="W17" s="1">
        <f t="shared" si="8"/>
        <v>15.558510638297872</v>
      </c>
      <c r="X17" s="1">
        <f t="shared" si="6"/>
        <v>15.558510638297872</v>
      </c>
      <c r="Y17" s="1">
        <v>7.4</v>
      </c>
      <c r="Z17" s="1">
        <v>43.8</v>
      </c>
      <c r="AA17" s="1">
        <v>40</v>
      </c>
      <c r="AB17" s="1">
        <v>24.6</v>
      </c>
      <c r="AC17" s="1">
        <v>22.8</v>
      </c>
      <c r="AD17" s="1">
        <v>36.799999999999997</v>
      </c>
      <c r="AE17" s="1">
        <v>37</v>
      </c>
      <c r="AF17" s="1">
        <v>34.799999999999997</v>
      </c>
      <c r="AG17" s="1">
        <v>26.6</v>
      </c>
      <c r="AH17" s="1">
        <v>22.8</v>
      </c>
      <c r="AI17" s="1"/>
      <c r="AJ17" s="1">
        <f t="shared" si="9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54</v>
      </c>
      <c r="B18" s="1" t="s">
        <v>39</v>
      </c>
      <c r="C18" s="1">
        <v>8.1630000000000003</v>
      </c>
      <c r="D18" s="1">
        <v>547.73199999999997</v>
      </c>
      <c r="E18" s="1">
        <v>272.77</v>
      </c>
      <c r="F18" s="1">
        <v>246.82300000000001</v>
      </c>
      <c r="G18" s="1">
        <f>VLOOKUP(A18,[1]Лист1!$A:$D,4,0)</f>
        <v>0</v>
      </c>
      <c r="H18" s="1">
        <f t="shared" si="2"/>
        <v>246.82300000000001</v>
      </c>
      <c r="I18" s="7">
        <v>1</v>
      </c>
      <c r="J18" s="1">
        <v>45</v>
      </c>
      <c r="K18" s="1" t="s">
        <v>40</v>
      </c>
      <c r="L18" s="1"/>
      <c r="M18" s="1">
        <v>272.64100000000002</v>
      </c>
      <c r="N18" s="1">
        <f t="shared" si="3"/>
        <v>0.12899999999996226</v>
      </c>
      <c r="O18" s="1">
        <f t="shared" si="4"/>
        <v>272.77</v>
      </c>
      <c r="P18" s="1"/>
      <c r="Q18" s="1">
        <v>120</v>
      </c>
      <c r="R18" s="1"/>
      <c r="S18" s="1">
        <f t="shared" si="5"/>
        <v>54.553999999999995</v>
      </c>
      <c r="T18" s="5">
        <f t="shared" si="7"/>
        <v>396.93299999999999</v>
      </c>
      <c r="U18" s="5">
        <f>V18</f>
        <v>500</v>
      </c>
      <c r="V18" s="18">
        <f>VLOOKUP(A18,[2]Sheet!$A:$U,21,0)</f>
        <v>500</v>
      </c>
      <c r="W18" s="1">
        <f t="shared" si="8"/>
        <v>15.889265681709867</v>
      </c>
      <c r="X18" s="1">
        <f t="shared" si="6"/>
        <v>6.7240349011988121</v>
      </c>
      <c r="Y18" s="1">
        <v>12.0352</v>
      </c>
      <c r="Z18" s="1">
        <v>43.809600000000003</v>
      </c>
      <c r="AA18" s="1">
        <v>38.122</v>
      </c>
      <c r="AB18" s="1">
        <v>31.1738</v>
      </c>
      <c r="AC18" s="1">
        <v>36.706800000000001</v>
      </c>
      <c r="AD18" s="1">
        <v>45.036999999999999</v>
      </c>
      <c r="AE18" s="1">
        <v>38.583599999999997</v>
      </c>
      <c r="AF18" s="1">
        <v>38.170400000000001</v>
      </c>
      <c r="AG18" s="1">
        <v>32.511000000000003</v>
      </c>
      <c r="AH18" s="1">
        <v>43.4754</v>
      </c>
      <c r="AI18" s="1"/>
      <c r="AJ18" s="1">
        <f t="shared" si="9"/>
        <v>500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55</v>
      </c>
      <c r="B19" s="1" t="s">
        <v>39</v>
      </c>
      <c r="C19" s="1">
        <v>17.097999999999999</v>
      </c>
      <c r="D19" s="1">
        <v>61.862000000000002</v>
      </c>
      <c r="E19" s="1">
        <v>18.129000000000001</v>
      </c>
      <c r="F19" s="1">
        <v>60.831000000000003</v>
      </c>
      <c r="G19" s="1">
        <f>VLOOKUP(A19,[1]Лист1!$A:$D,4,0)</f>
        <v>0</v>
      </c>
      <c r="H19" s="1">
        <f t="shared" si="2"/>
        <v>60.831000000000003</v>
      </c>
      <c r="I19" s="7">
        <v>1</v>
      </c>
      <c r="J19" s="1">
        <v>120</v>
      </c>
      <c r="K19" s="1" t="s">
        <v>40</v>
      </c>
      <c r="L19" s="1"/>
      <c r="M19" s="1">
        <v>43.2</v>
      </c>
      <c r="N19" s="1">
        <f t="shared" si="3"/>
        <v>-25.071000000000002</v>
      </c>
      <c r="O19" s="1">
        <f t="shared" si="4"/>
        <v>18.129000000000001</v>
      </c>
      <c r="P19" s="1"/>
      <c r="Q19" s="1">
        <v>10</v>
      </c>
      <c r="R19" s="1"/>
      <c r="S19" s="1">
        <f t="shared" si="5"/>
        <v>3.6258000000000004</v>
      </c>
      <c r="T19" s="5"/>
      <c r="U19" s="5">
        <f t="shared" si="11"/>
        <v>0</v>
      </c>
      <c r="V19" s="18"/>
      <c r="W19" s="1">
        <f t="shared" si="8"/>
        <v>19.535274973798884</v>
      </c>
      <c r="X19" s="1">
        <f t="shared" si="6"/>
        <v>19.535274973798884</v>
      </c>
      <c r="Y19" s="1">
        <v>4.1105999999999998</v>
      </c>
      <c r="Z19" s="1">
        <v>11.1694</v>
      </c>
      <c r="AA19" s="1">
        <v>5.2294</v>
      </c>
      <c r="AB19" s="1">
        <v>2.7151999999999998</v>
      </c>
      <c r="AC19" s="1">
        <v>5.2648000000000001</v>
      </c>
      <c r="AD19" s="1">
        <v>4.2115999999999998</v>
      </c>
      <c r="AE19" s="1">
        <v>3.5571999999999999</v>
      </c>
      <c r="AF19" s="1">
        <v>3.2544</v>
      </c>
      <c r="AG19" s="1">
        <v>1.6692</v>
      </c>
      <c r="AH19" s="1">
        <v>3.0581999999999998</v>
      </c>
      <c r="AI19" s="1" t="s">
        <v>44</v>
      </c>
      <c r="AJ19" s="1">
        <f t="shared" si="9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56</v>
      </c>
      <c r="B20" s="1" t="s">
        <v>42</v>
      </c>
      <c r="C20" s="1">
        <v>32</v>
      </c>
      <c r="D20" s="1">
        <v>144</v>
      </c>
      <c r="E20" s="1"/>
      <c r="F20" s="1">
        <v>176</v>
      </c>
      <c r="G20" s="1">
        <f>VLOOKUP(A20,[1]Лист1!$A:$D,4,0)</f>
        <v>144</v>
      </c>
      <c r="H20" s="1">
        <f t="shared" si="2"/>
        <v>32</v>
      </c>
      <c r="I20" s="7">
        <v>0.4</v>
      </c>
      <c r="J20" s="1">
        <v>45</v>
      </c>
      <c r="K20" s="1" t="s">
        <v>40</v>
      </c>
      <c r="L20" s="1"/>
      <c r="M20" s="1">
        <v>360</v>
      </c>
      <c r="N20" s="1">
        <f t="shared" si="3"/>
        <v>-360</v>
      </c>
      <c r="O20" s="1">
        <f t="shared" si="4"/>
        <v>0</v>
      </c>
      <c r="P20" s="1"/>
      <c r="Q20" s="1">
        <v>100</v>
      </c>
      <c r="R20" s="1"/>
      <c r="S20" s="1">
        <f t="shared" si="5"/>
        <v>0</v>
      </c>
      <c r="T20" s="5"/>
      <c r="U20" s="5">
        <f t="shared" si="11"/>
        <v>0</v>
      </c>
      <c r="V20" s="18"/>
      <c r="W20" s="1" t="e">
        <f t="shared" si="8"/>
        <v>#DIV/0!</v>
      </c>
      <c r="X20" s="1" t="e">
        <f t="shared" si="6"/>
        <v>#DIV/0!</v>
      </c>
      <c r="Y20" s="1">
        <v>0</v>
      </c>
      <c r="Z20" s="1">
        <v>0</v>
      </c>
      <c r="AA20" s="1">
        <v>-1.2</v>
      </c>
      <c r="AB20" s="1">
        <v>-0.2</v>
      </c>
      <c r="AC20" s="1">
        <v>-3.8</v>
      </c>
      <c r="AD20" s="1">
        <v>-0.2</v>
      </c>
      <c r="AE20" s="1">
        <v>5</v>
      </c>
      <c r="AF20" s="1">
        <v>9.6</v>
      </c>
      <c r="AG20" s="1">
        <v>3.8</v>
      </c>
      <c r="AH20" s="1">
        <v>22.2</v>
      </c>
      <c r="AI20" s="13" t="s">
        <v>183</v>
      </c>
      <c r="AJ20" s="1">
        <f t="shared" si="9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39</v>
      </c>
      <c r="C21" s="1">
        <v>-7.1150000000000002</v>
      </c>
      <c r="D21" s="1">
        <v>419.72899999999998</v>
      </c>
      <c r="E21" s="1">
        <v>178.71100000000001</v>
      </c>
      <c r="F21" s="1">
        <v>226.47200000000001</v>
      </c>
      <c r="G21" s="1">
        <f>VLOOKUP(A21,[1]Лист1!$A:$D,4,0)</f>
        <v>0</v>
      </c>
      <c r="H21" s="1">
        <f t="shared" si="2"/>
        <v>226.47200000000001</v>
      </c>
      <c r="I21" s="7">
        <v>1</v>
      </c>
      <c r="J21" s="1">
        <v>60</v>
      </c>
      <c r="K21" s="1" t="s">
        <v>40</v>
      </c>
      <c r="L21" s="1"/>
      <c r="M21" s="1">
        <v>191.05799999999999</v>
      </c>
      <c r="N21" s="1">
        <f t="shared" si="3"/>
        <v>-12.34699999999998</v>
      </c>
      <c r="O21" s="1">
        <f t="shared" si="4"/>
        <v>178.71100000000001</v>
      </c>
      <c r="P21" s="1"/>
      <c r="Q21" s="1">
        <v>100</v>
      </c>
      <c r="R21" s="1"/>
      <c r="S21" s="1">
        <f t="shared" si="5"/>
        <v>35.742200000000004</v>
      </c>
      <c r="T21" s="5">
        <f t="shared" si="7"/>
        <v>173.91880000000006</v>
      </c>
      <c r="U21" s="5">
        <v>300</v>
      </c>
      <c r="V21" s="18">
        <f>VLOOKUP(A21,[2]Sheet!$A:$U,21,0)</f>
        <v>350</v>
      </c>
      <c r="W21" s="1">
        <f t="shared" si="8"/>
        <v>17.527516493108983</v>
      </c>
      <c r="X21" s="1">
        <f t="shared" si="6"/>
        <v>9.1340768055687658</v>
      </c>
      <c r="Y21" s="1">
        <v>24.3264</v>
      </c>
      <c r="Z21" s="1">
        <v>38.0486</v>
      </c>
      <c r="AA21" s="1">
        <v>34.205199999999998</v>
      </c>
      <c r="AB21" s="1">
        <v>22.615200000000002</v>
      </c>
      <c r="AC21" s="1">
        <v>32.779600000000002</v>
      </c>
      <c r="AD21" s="1">
        <v>30.880400000000002</v>
      </c>
      <c r="AE21" s="1">
        <v>43.971800000000002</v>
      </c>
      <c r="AF21" s="1">
        <v>24.540600000000001</v>
      </c>
      <c r="AG21" s="1">
        <v>24.433</v>
      </c>
      <c r="AH21" s="1">
        <v>26.175999999999998</v>
      </c>
      <c r="AI21" s="1"/>
      <c r="AJ21" s="1">
        <f t="shared" si="9"/>
        <v>300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42</v>
      </c>
      <c r="C22" s="1">
        <v>20</v>
      </c>
      <c r="D22" s="1">
        <v>1089</v>
      </c>
      <c r="E22" s="1">
        <v>364</v>
      </c>
      <c r="F22" s="1">
        <v>734</v>
      </c>
      <c r="G22" s="1">
        <f>VLOOKUP(A22,[1]Лист1!$A:$D,4,0)</f>
        <v>88</v>
      </c>
      <c r="H22" s="1">
        <f t="shared" si="2"/>
        <v>646</v>
      </c>
      <c r="I22" s="7">
        <v>0.22</v>
      </c>
      <c r="J22" s="1">
        <v>120</v>
      </c>
      <c r="K22" s="1" t="s">
        <v>40</v>
      </c>
      <c r="L22" s="1"/>
      <c r="M22" s="1">
        <v>679</v>
      </c>
      <c r="N22" s="1">
        <f t="shared" si="3"/>
        <v>-315</v>
      </c>
      <c r="O22" s="1">
        <f t="shared" si="4"/>
        <v>220</v>
      </c>
      <c r="P22" s="1">
        <v>144</v>
      </c>
      <c r="Q22" s="1">
        <v>250</v>
      </c>
      <c r="R22" s="1"/>
      <c r="S22" s="1">
        <f t="shared" si="5"/>
        <v>44</v>
      </c>
      <c r="T22" s="5"/>
      <c r="U22" s="5">
        <f t="shared" si="11"/>
        <v>0</v>
      </c>
      <c r="V22" s="18"/>
      <c r="W22" s="1">
        <f t="shared" si="8"/>
        <v>20.363636363636363</v>
      </c>
      <c r="X22" s="1">
        <f t="shared" si="6"/>
        <v>20.363636363636363</v>
      </c>
      <c r="Y22" s="1">
        <v>71.599999999999994</v>
      </c>
      <c r="Z22" s="1">
        <v>133.6</v>
      </c>
      <c r="AA22" s="1">
        <v>105.8</v>
      </c>
      <c r="AB22" s="1">
        <v>63.4</v>
      </c>
      <c r="AC22" s="1">
        <v>72.2</v>
      </c>
      <c r="AD22" s="1">
        <v>83.4</v>
      </c>
      <c r="AE22" s="1">
        <v>44.2</v>
      </c>
      <c r="AF22" s="1">
        <v>39.6</v>
      </c>
      <c r="AG22" s="1">
        <v>29.2</v>
      </c>
      <c r="AH22" s="1">
        <v>39</v>
      </c>
      <c r="AI22" s="1" t="s">
        <v>44</v>
      </c>
      <c r="AJ22" s="1">
        <f t="shared" si="9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59</v>
      </c>
      <c r="B23" s="1" t="s">
        <v>39</v>
      </c>
      <c r="C23" s="1">
        <v>1.1160000000000001</v>
      </c>
      <c r="D23" s="1">
        <v>38.06</v>
      </c>
      <c r="E23" s="1">
        <v>21.042000000000002</v>
      </c>
      <c r="F23" s="1">
        <v>9.0220000000000002</v>
      </c>
      <c r="G23" s="1">
        <f>VLOOKUP(A23,[1]Лист1!$A:$D,4,0)</f>
        <v>0</v>
      </c>
      <c r="H23" s="1">
        <f t="shared" si="2"/>
        <v>9.0220000000000002</v>
      </c>
      <c r="I23" s="7">
        <v>1</v>
      </c>
      <c r="J23" s="1">
        <v>40</v>
      </c>
      <c r="K23" s="1" t="s">
        <v>40</v>
      </c>
      <c r="L23" s="1"/>
      <c r="M23" s="1">
        <v>48.1</v>
      </c>
      <c r="N23" s="1">
        <f t="shared" si="3"/>
        <v>-27.058</v>
      </c>
      <c r="O23" s="1">
        <f t="shared" si="4"/>
        <v>21.042000000000002</v>
      </c>
      <c r="P23" s="1"/>
      <c r="Q23" s="1">
        <v>20</v>
      </c>
      <c r="R23" s="1"/>
      <c r="S23" s="1">
        <f t="shared" si="5"/>
        <v>4.2084000000000001</v>
      </c>
      <c r="T23" s="5">
        <f t="shared" si="7"/>
        <v>29.895600000000002</v>
      </c>
      <c r="U23" s="5">
        <f>ROUND(T23+S23,0)</f>
        <v>34</v>
      </c>
      <c r="V23" s="18"/>
      <c r="W23" s="1">
        <f t="shared" si="8"/>
        <v>14.9752875201977</v>
      </c>
      <c r="X23" s="1">
        <f t="shared" si="6"/>
        <v>6.8962075848303384</v>
      </c>
      <c r="Y23" s="1">
        <v>0</v>
      </c>
      <c r="Z23" s="1">
        <v>-0.17599999999999999</v>
      </c>
      <c r="AA23" s="1">
        <v>-0.27</v>
      </c>
      <c r="AB23" s="1">
        <v>1.016</v>
      </c>
      <c r="AC23" s="1">
        <v>0.62519999999999998</v>
      </c>
      <c r="AD23" s="1">
        <v>3.5935999999999999</v>
      </c>
      <c r="AE23" s="1">
        <v>9.9719999999999995</v>
      </c>
      <c r="AF23" s="1">
        <v>8.8043999999999993</v>
      </c>
      <c r="AG23" s="1">
        <v>4.5223999999999993</v>
      </c>
      <c r="AH23" s="1">
        <v>2.25</v>
      </c>
      <c r="AI23" s="1" t="s">
        <v>60</v>
      </c>
      <c r="AJ23" s="1">
        <f t="shared" si="9"/>
        <v>34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9" t="s">
        <v>61</v>
      </c>
      <c r="B24" s="9" t="s">
        <v>39</v>
      </c>
      <c r="C24" s="9">
        <v>39.21</v>
      </c>
      <c r="D24" s="9"/>
      <c r="E24" s="9"/>
      <c r="F24" s="9">
        <v>39.21</v>
      </c>
      <c r="G24" s="9">
        <f>VLOOKUP(A24,[1]Лист1!$A:$D,4,0)</f>
        <v>0</v>
      </c>
      <c r="H24" s="9">
        <f t="shared" si="2"/>
        <v>39.21</v>
      </c>
      <c r="I24" s="10">
        <v>0</v>
      </c>
      <c r="J24" s="9"/>
      <c r="K24" s="9" t="s">
        <v>62</v>
      </c>
      <c r="L24" s="9"/>
      <c r="M24" s="9"/>
      <c r="N24" s="9">
        <f t="shared" si="3"/>
        <v>0</v>
      </c>
      <c r="O24" s="9">
        <f t="shared" si="4"/>
        <v>0</v>
      </c>
      <c r="P24" s="9"/>
      <c r="Q24" s="9">
        <v>0</v>
      </c>
      <c r="R24" s="9"/>
      <c r="S24" s="9">
        <f t="shared" si="5"/>
        <v>0</v>
      </c>
      <c r="T24" s="11"/>
      <c r="U24" s="5">
        <f t="shared" si="11"/>
        <v>0</v>
      </c>
      <c r="V24" s="18"/>
      <c r="W24" s="1" t="e">
        <f t="shared" si="8"/>
        <v>#DIV/0!</v>
      </c>
      <c r="X24" s="9" t="e">
        <f t="shared" si="6"/>
        <v>#DIV/0!</v>
      </c>
      <c r="Y24" s="9">
        <v>0</v>
      </c>
      <c r="Z24" s="9">
        <v>2.4140000000000001</v>
      </c>
      <c r="AA24" s="9">
        <v>3.625</v>
      </c>
      <c r="AB24" s="9">
        <v>0</v>
      </c>
      <c r="AC24" s="9">
        <v>5.444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12" t="s">
        <v>63</v>
      </c>
      <c r="AJ24" s="1">
        <f t="shared" si="9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64</v>
      </c>
      <c r="B25" s="1" t="s">
        <v>39</v>
      </c>
      <c r="C25" s="1">
        <v>6.7000000000000004E-2</v>
      </c>
      <c r="D25" s="1">
        <v>139.816</v>
      </c>
      <c r="E25" s="1">
        <v>91.343000000000004</v>
      </c>
      <c r="F25" s="1">
        <v>41.793999999999997</v>
      </c>
      <c r="G25" s="1">
        <f>VLOOKUP(A25,[1]Лист1!$A:$D,4,0)</f>
        <v>0</v>
      </c>
      <c r="H25" s="1">
        <f t="shared" si="2"/>
        <v>41.793999999999997</v>
      </c>
      <c r="I25" s="7">
        <v>1</v>
      </c>
      <c r="J25" s="1">
        <v>60</v>
      </c>
      <c r="K25" s="1" t="s">
        <v>40</v>
      </c>
      <c r="L25" s="1"/>
      <c r="M25" s="1">
        <v>137.19999999999999</v>
      </c>
      <c r="N25" s="1">
        <f t="shared" si="3"/>
        <v>-45.856999999999985</v>
      </c>
      <c r="O25" s="1">
        <f t="shared" si="4"/>
        <v>91.343000000000004</v>
      </c>
      <c r="P25" s="1"/>
      <c r="Q25" s="1">
        <v>80</v>
      </c>
      <c r="R25" s="1"/>
      <c r="S25" s="1">
        <f t="shared" si="5"/>
        <v>18.268599999999999</v>
      </c>
      <c r="T25" s="5">
        <f t="shared" ref="T25" si="12">14*S25-R25-Q25-H25</f>
        <v>133.96640000000002</v>
      </c>
      <c r="U25" s="5">
        <v>170</v>
      </c>
      <c r="V25" s="18">
        <f>VLOOKUP(A25,[2]Sheet!$A:$U,21,0)</f>
        <v>200</v>
      </c>
      <c r="W25" s="1">
        <f t="shared" si="8"/>
        <v>15.972433574548679</v>
      </c>
      <c r="X25" s="1">
        <f t="shared" si="6"/>
        <v>6.6668491291067733</v>
      </c>
      <c r="Y25" s="1">
        <v>0.24260000000000001</v>
      </c>
      <c r="Z25" s="1">
        <v>10.1114</v>
      </c>
      <c r="AA25" s="1">
        <v>16.404199999999999</v>
      </c>
      <c r="AB25" s="1">
        <v>2.4239999999999999</v>
      </c>
      <c r="AC25" s="1">
        <v>13.7454</v>
      </c>
      <c r="AD25" s="1">
        <v>15.651999999999999</v>
      </c>
      <c r="AE25" s="1">
        <v>11.1342</v>
      </c>
      <c r="AF25" s="1">
        <v>14.042400000000001</v>
      </c>
      <c r="AG25" s="1">
        <v>14.0364</v>
      </c>
      <c r="AH25" s="1">
        <v>10.058</v>
      </c>
      <c r="AI25" s="1"/>
      <c r="AJ25" s="1">
        <f t="shared" si="9"/>
        <v>170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65</v>
      </c>
      <c r="B26" s="1" t="s">
        <v>42</v>
      </c>
      <c r="C26" s="1">
        <v>55</v>
      </c>
      <c r="D26" s="1">
        <v>377</v>
      </c>
      <c r="E26" s="1">
        <v>128</v>
      </c>
      <c r="F26" s="1">
        <v>287</v>
      </c>
      <c r="G26" s="1">
        <f>VLOOKUP(A26,[1]Лист1!$A:$D,4,0)</f>
        <v>0</v>
      </c>
      <c r="H26" s="1">
        <f t="shared" si="2"/>
        <v>287</v>
      </c>
      <c r="I26" s="7">
        <v>0.09</v>
      </c>
      <c r="J26" s="1">
        <v>60</v>
      </c>
      <c r="K26" s="1" t="s">
        <v>40</v>
      </c>
      <c r="L26" s="1"/>
      <c r="M26" s="1">
        <v>276</v>
      </c>
      <c r="N26" s="1">
        <f t="shared" si="3"/>
        <v>-148</v>
      </c>
      <c r="O26" s="1">
        <f t="shared" si="4"/>
        <v>128</v>
      </c>
      <c r="P26" s="1"/>
      <c r="Q26" s="1">
        <v>200</v>
      </c>
      <c r="R26" s="1"/>
      <c r="S26" s="1">
        <f t="shared" si="5"/>
        <v>25.6</v>
      </c>
      <c r="T26" s="5"/>
      <c r="U26" s="5">
        <f t="shared" si="11"/>
        <v>0</v>
      </c>
      <c r="V26" s="18"/>
      <c r="W26" s="1">
        <f t="shared" si="8"/>
        <v>19.0234375</v>
      </c>
      <c r="X26" s="1">
        <f t="shared" si="6"/>
        <v>19.0234375</v>
      </c>
      <c r="Y26" s="1">
        <v>35.4</v>
      </c>
      <c r="Z26" s="1">
        <v>48.8</v>
      </c>
      <c r="AA26" s="1">
        <v>39.6</v>
      </c>
      <c r="AB26" s="1">
        <v>38.799999999999997</v>
      </c>
      <c r="AC26" s="1">
        <v>13.2</v>
      </c>
      <c r="AD26" s="1">
        <v>47.8</v>
      </c>
      <c r="AE26" s="1">
        <v>38.799999999999997</v>
      </c>
      <c r="AF26" s="1">
        <v>20</v>
      </c>
      <c r="AG26" s="1">
        <v>34.4</v>
      </c>
      <c r="AH26" s="1">
        <v>30.6</v>
      </c>
      <c r="AI26" s="1"/>
      <c r="AJ26" s="1">
        <f t="shared" si="9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9" t="s">
        <v>66</v>
      </c>
      <c r="B27" s="9" t="s">
        <v>42</v>
      </c>
      <c r="C27" s="9">
        <v>70</v>
      </c>
      <c r="D27" s="9"/>
      <c r="E27" s="9"/>
      <c r="F27" s="9">
        <v>70</v>
      </c>
      <c r="G27" s="9">
        <f>VLOOKUP(A27,[1]Лист1!$A:$D,4,0)</f>
        <v>0</v>
      </c>
      <c r="H27" s="9">
        <f t="shared" si="2"/>
        <v>70</v>
      </c>
      <c r="I27" s="10">
        <v>0</v>
      </c>
      <c r="J27" s="9"/>
      <c r="K27" s="9" t="s">
        <v>62</v>
      </c>
      <c r="L27" s="9"/>
      <c r="M27" s="9"/>
      <c r="N27" s="9">
        <f t="shared" si="3"/>
        <v>0</v>
      </c>
      <c r="O27" s="9">
        <f t="shared" si="4"/>
        <v>0</v>
      </c>
      <c r="P27" s="9"/>
      <c r="Q27" s="9">
        <v>0</v>
      </c>
      <c r="R27" s="9"/>
      <c r="S27" s="9">
        <f t="shared" si="5"/>
        <v>0</v>
      </c>
      <c r="T27" s="11"/>
      <c r="U27" s="5">
        <f t="shared" si="11"/>
        <v>0</v>
      </c>
      <c r="V27" s="18"/>
      <c r="W27" s="1" t="e">
        <f t="shared" si="8"/>
        <v>#DIV/0!</v>
      </c>
      <c r="X27" s="9" t="e">
        <f t="shared" si="6"/>
        <v>#DIV/0!</v>
      </c>
      <c r="Y27" s="9">
        <v>0</v>
      </c>
      <c r="Z27" s="9">
        <v>0</v>
      </c>
      <c r="AA27" s="9">
        <v>6</v>
      </c>
      <c r="AB27" s="9">
        <v>0</v>
      </c>
      <c r="AC27" s="9">
        <v>4.2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12" t="s">
        <v>63</v>
      </c>
      <c r="AJ27" s="1">
        <f t="shared" si="9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67</v>
      </c>
      <c r="B28" s="1" t="s">
        <v>42</v>
      </c>
      <c r="C28" s="1">
        <v>3</v>
      </c>
      <c r="D28" s="1">
        <v>112</v>
      </c>
      <c r="E28" s="1">
        <v>61</v>
      </c>
      <c r="F28" s="1">
        <v>47</v>
      </c>
      <c r="G28" s="1">
        <f>VLOOKUP(A28,[1]Лист1!$A:$D,4,0)</f>
        <v>0</v>
      </c>
      <c r="H28" s="1">
        <f t="shared" si="2"/>
        <v>47</v>
      </c>
      <c r="I28" s="7">
        <v>0.09</v>
      </c>
      <c r="J28" s="1">
        <v>45</v>
      </c>
      <c r="K28" s="1" t="s">
        <v>40</v>
      </c>
      <c r="L28" s="1"/>
      <c r="M28" s="1">
        <v>78</v>
      </c>
      <c r="N28" s="1">
        <f t="shared" si="3"/>
        <v>-17</v>
      </c>
      <c r="O28" s="1">
        <f t="shared" si="4"/>
        <v>61</v>
      </c>
      <c r="P28" s="1"/>
      <c r="Q28" s="1">
        <v>80</v>
      </c>
      <c r="R28" s="1"/>
      <c r="S28" s="1">
        <f t="shared" si="5"/>
        <v>12.2</v>
      </c>
      <c r="T28" s="5">
        <f t="shared" ref="T28:T32" si="13">14*S28-R28-Q28-H28</f>
        <v>43.799999999999983</v>
      </c>
      <c r="U28" s="5">
        <f>ROUND(T28+S28,0)</f>
        <v>56</v>
      </c>
      <c r="V28" s="18"/>
      <c r="W28" s="1">
        <f t="shared" si="8"/>
        <v>15</v>
      </c>
      <c r="X28" s="1">
        <f t="shared" si="6"/>
        <v>10.409836065573771</v>
      </c>
      <c r="Y28" s="1">
        <v>0.8</v>
      </c>
      <c r="Z28" s="1">
        <v>1.8</v>
      </c>
      <c r="AA28" s="1">
        <v>14.2</v>
      </c>
      <c r="AB28" s="1">
        <v>7.2</v>
      </c>
      <c r="AC28" s="1">
        <v>6.2</v>
      </c>
      <c r="AD28" s="1">
        <v>11</v>
      </c>
      <c r="AE28" s="1">
        <v>14.8</v>
      </c>
      <c r="AF28" s="1">
        <v>8.1999999999999993</v>
      </c>
      <c r="AG28" s="1">
        <v>11</v>
      </c>
      <c r="AH28" s="1">
        <v>22</v>
      </c>
      <c r="AI28" s="1"/>
      <c r="AJ28" s="1">
        <f t="shared" si="9"/>
        <v>5.04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68</v>
      </c>
      <c r="B29" s="1" t="s">
        <v>42</v>
      </c>
      <c r="C29" s="1">
        <v>80</v>
      </c>
      <c r="D29" s="1">
        <v>32</v>
      </c>
      <c r="E29" s="1">
        <v>31</v>
      </c>
      <c r="F29" s="1">
        <v>81</v>
      </c>
      <c r="G29" s="1">
        <f>VLOOKUP(A29,[1]Лист1!$A:$D,4,0)</f>
        <v>0</v>
      </c>
      <c r="H29" s="1">
        <f t="shared" si="2"/>
        <v>81</v>
      </c>
      <c r="I29" s="7">
        <v>0.15</v>
      </c>
      <c r="J29" s="1">
        <v>45</v>
      </c>
      <c r="K29" s="1" t="s">
        <v>40</v>
      </c>
      <c r="L29" s="1"/>
      <c r="M29" s="1">
        <v>159</v>
      </c>
      <c r="N29" s="1">
        <f t="shared" si="3"/>
        <v>-128</v>
      </c>
      <c r="O29" s="1">
        <f t="shared" si="4"/>
        <v>31</v>
      </c>
      <c r="P29" s="1"/>
      <c r="Q29" s="1">
        <v>0</v>
      </c>
      <c r="R29" s="1"/>
      <c r="S29" s="1">
        <f t="shared" si="5"/>
        <v>6.2</v>
      </c>
      <c r="T29" s="5"/>
      <c r="U29" s="5">
        <f t="shared" si="11"/>
        <v>0</v>
      </c>
      <c r="V29" s="18"/>
      <c r="W29" s="1">
        <f t="shared" si="8"/>
        <v>13.064516129032258</v>
      </c>
      <c r="X29" s="1">
        <f t="shared" si="6"/>
        <v>13.064516129032258</v>
      </c>
      <c r="Y29" s="1">
        <v>0</v>
      </c>
      <c r="Z29" s="1">
        <v>0</v>
      </c>
      <c r="AA29" s="1">
        <v>8</v>
      </c>
      <c r="AB29" s="1">
        <v>2</v>
      </c>
      <c r="AC29" s="1">
        <v>1.8</v>
      </c>
      <c r="AD29" s="1">
        <v>2.2000000000000002</v>
      </c>
      <c r="AE29" s="1">
        <v>6</v>
      </c>
      <c r="AF29" s="1">
        <v>8.8000000000000007</v>
      </c>
      <c r="AG29" s="1">
        <v>7</v>
      </c>
      <c r="AH29" s="1">
        <v>9.8000000000000007</v>
      </c>
      <c r="AI29" s="12" t="s">
        <v>69</v>
      </c>
      <c r="AJ29" s="1">
        <f t="shared" si="9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70</v>
      </c>
      <c r="B30" s="1" t="s">
        <v>39</v>
      </c>
      <c r="C30" s="1">
        <v>-107.374</v>
      </c>
      <c r="D30" s="1">
        <v>1733.694</v>
      </c>
      <c r="E30" s="1">
        <v>360.108</v>
      </c>
      <c r="F30" s="1">
        <v>1119.818</v>
      </c>
      <c r="G30" s="1">
        <f>VLOOKUP(A30,[1]Лист1!$A:$D,4,0)</f>
        <v>109.3</v>
      </c>
      <c r="H30" s="1">
        <f t="shared" si="2"/>
        <v>1010.518</v>
      </c>
      <c r="I30" s="7">
        <v>1</v>
      </c>
      <c r="J30" s="1">
        <v>45</v>
      </c>
      <c r="K30" s="1" t="s">
        <v>40</v>
      </c>
      <c r="L30" s="1"/>
      <c r="M30" s="1">
        <v>439.28800000000001</v>
      </c>
      <c r="N30" s="1">
        <f t="shared" si="3"/>
        <v>-79.180000000000007</v>
      </c>
      <c r="O30" s="1">
        <f t="shared" si="4"/>
        <v>247.768</v>
      </c>
      <c r="P30" s="1">
        <v>112.34</v>
      </c>
      <c r="Q30" s="1">
        <v>450</v>
      </c>
      <c r="R30" s="1">
        <v>100</v>
      </c>
      <c r="S30" s="1">
        <f t="shared" si="5"/>
        <v>49.553600000000003</v>
      </c>
      <c r="T30" s="5"/>
      <c r="U30" s="5">
        <f t="shared" si="11"/>
        <v>0</v>
      </c>
      <c r="V30" s="18"/>
      <c r="W30" s="1">
        <f t="shared" si="8"/>
        <v>31.491516257143779</v>
      </c>
      <c r="X30" s="1">
        <f t="shared" si="6"/>
        <v>31.491516257143779</v>
      </c>
      <c r="Y30" s="1">
        <v>55.760399999999997</v>
      </c>
      <c r="Z30" s="1">
        <v>95.490800000000007</v>
      </c>
      <c r="AA30" s="1">
        <v>113.20059999999999</v>
      </c>
      <c r="AB30" s="1">
        <v>18.4908</v>
      </c>
      <c r="AC30" s="1">
        <v>75.172600000000003</v>
      </c>
      <c r="AD30" s="1">
        <v>78.514399999999995</v>
      </c>
      <c r="AE30" s="1">
        <v>67.384799999999998</v>
      </c>
      <c r="AF30" s="1">
        <v>59.207000000000008</v>
      </c>
      <c r="AG30" s="1">
        <v>31.207000000000001</v>
      </c>
      <c r="AH30" s="1">
        <v>62.066000000000003</v>
      </c>
      <c r="AI30" s="1"/>
      <c r="AJ30" s="1">
        <f t="shared" si="9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71</v>
      </c>
      <c r="B31" s="1" t="s">
        <v>42</v>
      </c>
      <c r="C31" s="1"/>
      <c r="D31" s="1">
        <v>384</v>
      </c>
      <c r="E31" s="1">
        <v>215</v>
      </c>
      <c r="F31" s="1">
        <v>161</v>
      </c>
      <c r="G31" s="1">
        <f>VLOOKUP(A31,[1]Лист1!$A:$D,4,0)</f>
        <v>0</v>
      </c>
      <c r="H31" s="1">
        <f t="shared" si="2"/>
        <v>161</v>
      </c>
      <c r="I31" s="7">
        <v>0.4</v>
      </c>
      <c r="J31" s="1">
        <v>60</v>
      </c>
      <c r="K31" s="1" t="s">
        <v>40</v>
      </c>
      <c r="L31" s="1"/>
      <c r="M31" s="1">
        <v>215</v>
      </c>
      <c r="N31" s="1">
        <f t="shared" si="3"/>
        <v>0</v>
      </c>
      <c r="O31" s="1">
        <f t="shared" si="4"/>
        <v>175</v>
      </c>
      <c r="P31" s="1">
        <v>40</v>
      </c>
      <c r="Q31" s="1">
        <v>20</v>
      </c>
      <c r="R31" s="1"/>
      <c r="S31" s="1">
        <f t="shared" si="5"/>
        <v>35</v>
      </c>
      <c r="T31" s="5">
        <f>13*S31-R31-Q31-H31</f>
        <v>274</v>
      </c>
      <c r="U31" s="5">
        <f t="shared" si="11"/>
        <v>274</v>
      </c>
      <c r="V31" s="18"/>
      <c r="W31" s="1">
        <f t="shared" si="8"/>
        <v>13</v>
      </c>
      <c r="X31" s="1">
        <f t="shared" si="6"/>
        <v>5.1714285714285717</v>
      </c>
      <c r="Y31" s="1">
        <v>3.4</v>
      </c>
      <c r="Z31" s="1">
        <v>24</v>
      </c>
      <c r="AA31" s="1">
        <v>24</v>
      </c>
      <c r="AB31" s="1">
        <v>7.4</v>
      </c>
      <c r="AC31" s="1">
        <v>16</v>
      </c>
      <c r="AD31" s="1">
        <v>24.8</v>
      </c>
      <c r="AE31" s="1">
        <v>16.600000000000001</v>
      </c>
      <c r="AF31" s="1">
        <v>16.600000000000001</v>
      </c>
      <c r="AG31" s="1">
        <v>14.2</v>
      </c>
      <c r="AH31" s="1">
        <v>22.4</v>
      </c>
      <c r="AI31" s="1"/>
      <c r="AJ31" s="1">
        <f t="shared" si="9"/>
        <v>109.60000000000001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72</v>
      </c>
      <c r="B32" s="1" t="s">
        <v>42</v>
      </c>
      <c r="C32" s="1">
        <v>25</v>
      </c>
      <c r="D32" s="1">
        <v>1689</v>
      </c>
      <c r="E32" s="1">
        <v>775</v>
      </c>
      <c r="F32" s="1">
        <v>881</v>
      </c>
      <c r="G32" s="1">
        <f>VLOOKUP(A32,[1]Лист1!$A:$D,4,0)</f>
        <v>88</v>
      </c>
      <c r="H32" s="1">
        <f t="shared" si="2"/>
        <v>793</v>
      </c>
      <c r="I32" s="7">
        <v>0.4</v>
      </c>
      <c r="J32" s="1">
        <v>60</v>
      </c>
      <c r="K32" s="1" t="s">
        <v>40</v>
      </c>
      <c r="L32" s="1"/>
      <c r="M32" s="1">
        <v>854</v>
      </c>
      <c r="N32" s="1">
        <f t="shared" si="3"/>
        <v>-79</v>
      </c>
      <c r="O32" s="1">
        <f t="shared" si="4"/>
        <v>583</v>
      </c>
      <c r="P32" s="1">
        <v>192</v>
      </c>
      <c r="Q32" s="1">
        <v>350</v>
      </c>
      <c r="R32" s="1"/>
      <c r="S32" s="1">
        <f t="shared" si="5"/>
        <v>116.6</v>
      </c>
      <c r="T32" s="5">
        <f t="shared" si="13"/>
        <v>489.39999999999986</v>
      </c>
      <c r="U32" s="5">
        <f>ROUND(T32+S32,0)</f>
        <v>606</v>
      </c>
      <c r="V32" s="18"/>
      <c r="W32" s="1">
        <f t="shared" si="8"/>
        <v>15</v>
      </c>
      <c r="X32" s="1">
        <f t="shared" si="6"/>
        <v>9.802744425385935</v>
      </c>
      <c r="Y32" s="1">
        <v>78.599999999999994</v>
      </c>
      <c r="Z32" s="1">
        <v>127.2</v>
      </c>
      <c r="AA32" s="1">
        <v>120</v>
      </c>
      <c r="AB32" s="1">
        <v>82.4</v>
      </c>
      <c r="AC32" s="1">
        <v>83.8</v>
      </c>
      <c r="AD32" s="1">
        <v>120.6</v>
      </c>
      <c r="AE32" s="1">
        <v>106.6</v>
      </c>
      <c r="AF32" s="1">
        <v>74.8</v>
      </c>
      <c r="AG32" s="1">
        <v>84</v>
      </c>
      <c r="AH32" s="1">
        <v>80</v>
      </c>
      <c r="AI32" s="1"/>
      <c r="AJ32" s="1">
        <f t="shared" si="9"/>
        <v>242.4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9" t="s">
        <v>73</v>
      </c>
      <c r="B33" s="9" t="s">
        <v>42</v>
      </c>
      <c r="C33" s="9">
        <v>-1</v>
      </c>
      <c r="D33" s="9"/>
      <c r="E33" s="9"/>
      <c r="F33" s="14">
        <v>-1</v>
      </c>
      <c r="G33" s="9">
        <f>VLOOKUP(A33,[1]Лист1!$A:$D,4,0)</f>
        <v>0</v>
      </c>
      <c r="H33" s="9">
        <f t="shared" si="2"/>
        <v>-1</v>
      </c>
      <c r="I33" s="10">
        <v>0</v>
      </c>
      <c r="J33" s="9"/>
      <c r="K33" s="9" t="s">
        <v>62</v>
      </c>
      <c r="L33" s="9" t="s">
        <v>74</v>
      </c>
      <c r="M33" s="9"/>
      <c r="N33" s="9">
        <f t="shared" si="3"/>
        <v>0</v>
      </c>
      <c r="O33" s="9">
        <f t="shared" si="4"/>
        <v>0</v>
      </c>
      <c r="P33" s="9"/>
      <c r="Q33" s="9">
        <v>0</v>
      </c>
      <c r="R33" s="9"/>
      <c r="S33" s="9">
        <f t="shared" si="5"/>
        <v>0</v>
      </c>
      <c r="T33" s="11"/>
      <c r="U33" s="5">
        <f t="shared" si="11"/>
        <v>0</v>
      </c>
      <c r="V33" s="18"/>
      <c r="W33" s="1" t="e">
        <f t="shared" si="8"/>
        <v>#DIV/0!</v>
      </c>
      <c r="X33" s="9" t="e">
        <f t="shared" si="6"/>
        <v>#DIV/0!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/>
      <c r="AJ33" s="1">
        <f t="shared" si="9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75</v>
      </c>
      <c r="B34" s="1" t="s">
        <v>42</v>
      </c>
      <c r="C34" s="1">
        <v>9</v>
      </c>
      <c r="D34" s="1">
        <v>1446</v>
      </c>
      <c r="E34" s="1">
        <v>656</v>
      </c>
      <c r="F34" s="1">
        <v>729</v>
      </c>
      <c r="G34" s="1">
        <f>VLOOKUP(A34,[1]Лист1!$A:$D,4,0)</f>
        <v>40</v>
      </c>
      <c r="H34" s="1">
        <f t="shared" si="2"/>
        <v>689</v>
      </c>
      <c r="I34" s="7">
        <v>0.4</v>
      </c>
      <c r="J34" s="1">
        <v>60</v>
      </c>
      <c r="K34" s="1" t="s">
        <v>40</v>
      </c>
      <c r="L34" s="1"/>
      <c r="M34" s="1">
        <v>729</v>
      </c>
      <c r="N34" s="1">
        <f t="shared" si="3"/>
        <v>-73</v>
      </c>
      <c r="O34" s="1">
        <f t="shared" si="4"/>
        <v>464</v>
      </c>
      <c r="P34" s="1">
        <v>192</v>
      </c>
      <c r="Q34" s="1">
        <v>250</v>
      </c>
      <c r="R34" s="1"/>
      <c r="S34" s="1">
        <f t="shared" si="5"/>
        <v>92.8</v>
      </c>
      <c r="T34" s="5">
        <f>14*S34-R34-Q34-H34</f>
        <v>360.20000000000005</v>
      </c>
      <c r="U34" s="5">
        <f>ROUND(T34+S34,0)</f>
        <v>453</v>
      </c>
      <c r="V34" s="18"/>
      <c r="W34" s="1">
        <f t="shared" si="8"/>
        <v>15</v>
      </c>
      <c r="X34" s="1">
        <f t="shared" si="6"/>
        <v>10.118534482758621</v>
      </c>
      <c r="Y34" s="1">
        <v>62</v>
      </c>
      <c r="Z34" s="1">
        <v>104.8</v>
      </c>
      <c r="AA34" s="1">
        <v>105.6</v>
      </c>
      <c r="AB34" s="1">
        <v>60</v>
      </c>
      <c r="AC34" s="1">
        <v>94.2</v>
      </c>
      <c r="AD34" s="1">
        <v>83.8</v>
      </c>
      <c r="AE34" s="1">
        <v>105</v>
      </c>
      <c r="AF34" s="1">
        <v>61.8</v>
      </c>
      <c r="AG34" s="1">
        <v>65.400000000000006</v>
      </c>
      <c r="AH34" s="1">
        <v>87.2</v>
      </c>
      <c r="AI34" s="1"/>
      <c r="AJ34" s="1">
        <f t="shared" si="9"/>
        <v>181.20000000000002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9" t="s">
        <v>76</v>
      </c>
      <c r="B35" s="9" t="s">
        <v>42</v>
      </c>
      <c r="C35" s="9">
        <v>148</v>
      </c>
      <c r="D35" s="9">
        <v>6</v>
      </c>
      <c r="E35" s="9">
        <v>30</v>
      </c>
      <c r="F35" s="9">
        <v>118</v>
      </c>
      <c r="G35" s="9">
        <f>VLOOKUP(A35,[1]Лист1!$A:$D,4,0)</f>
        <v>0</v>
      </c>
      <c r="H35" s="9">
        <f t="shared" si="2"/>
        <v>118</v>
      </c>
      <c r="I35" s="10">
        <v>0</v>
      </c>
      <c r="J35" s="9">
        <v>45</v>
      </c>
      <c r="K35" s="9" t="s">
        <v>77</v>
      </c>
      <c r="L35" s="9"/>
      <c r="M35" s="9">
        <v>37</v>
      </c>
      <c r="N35" s="9">
        <f t="shared" si="3"/>
        <v>-7</v>
      </c>
      <c r="O35" s="9">
        <f t="shared" si="4"/>
        <v>30</v>
      </c>
      <c r="P35" s="9"/>
      <c r="Q35" s="9">
        <v>0</v>
      </c>
      <c r="R35" s="9"/>
      <c r="S35" s="9">
        <f t="shared" si="5"/>
        <v>6</v>
      </c>
      <c r="T35" s="11"/>
      <c r="U35" s="5">
        <f t="shared" si="11"/>
        <v>0</v>
      </c>
      <c r="V35" s="18"/>
      <c r="W35" s="1">
        <f t="shared" si="8"/>
        <v>19.666666666666668</v>
      </c>
      <c r="X35" s="9">
        <f t="shared" si="6"/>
        <v>19.666666666666668</v>
      </c>
      <c r="Y35" s="9">
        <v>5.8</v>
      </c>
      <c r="Z35" s="9">
        <v>3.8</v>
      </c>
      <c r="AA35" s="9">
        <v>0</v>
      </c>
      <c r="AB35" s="9">
        <v>0.4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12" t="s">
        <v>78</v>
      </c>
      <c r="AJ35" s="1">
        <f t="shared" si="9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9" t="s">
        <v>79</v>
      </c>
      <c r="B36" s="9" t="s">
        <v>42</v>
      </c>
      <c r="C36" s="9">
        <v>2</v>
      </c>
      <c r="D36" s="9"/>
      <c r="E36" s="9"/>
      <c r="F36" s="14">
        <v>2</v>
      </c>
      <c r="G36" s="9">
        <f>VLOOKUP(A36,[1]Лист1!$A:$D,4,0)</f>
        <v>0</v>
      </c>
      <c r="H36" s="9">
        <f t="shared" si="2"/>
        <v>2</v>
      </c>
      <c r="I36" s="10">
        <v>0</v>
      </c>
      <c r="J36" s="9">
        <v>60</v>
      </c>
      <c r="K36" s="9" t="s">
        <v>62</v>
      </c>
      <c r="L36" s="9" t="s">
        <v>80</v>
      </c>
      <c r="M36" s="9"/>
      <c r="N36" s="9">
        <f t="shared" si="3"/>
        <v>0</v>
      </c>
      <c r="O36" s="9">
        <f t="shared" si="4"/>
        <v>0</v>
      </c>
      <c r="P36" s="9"/>
      <c r="Q36" s="9">
        <v>0</v>
      </c>
      <c r="R36" s="9"/>
      <c r="S36" s="9">
        <f t="shared" si="5"/>
        <v>0</v>
      </c>
      <c r="T36" s="11"/>
      <c r="U36" s="5">
        <f t="shared" si="11"/>
        <v>0</v>
      </c>
      <c r="V36" s="18"/>
      <c r="W36" s="1" t="e">
        <f t="shared" si="8"/>
        <v>#DIV/0!</v>
      </c>
      <c r="X36" s="9" t="e">
        <f t="shared" si="6"/>
        <v>#DIV/0!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0.2</v>
      </c>
      <c r="AE36" s="9">
        <v>-0.4</v>
      </c>
      <c r="AF36" s="9">
        <v>20.6</v>
      </c>
      <c r="AG36" s="9">
        <v>34</v>
      </c>
      <c r="AH36" s="9">
        <v>49</v>
      </c>
      <c r="AI36" s="9" t="s">
        <v>81</v>
      </c>
      <c r="AJ36" s="1">
        <f t="shared" si="9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9" t="s">
        <v>82</v>
      </c>
      <c r="B37" s="9" t="s">
        <v>42</v>
      </c>
      <c r="C37" s="9">
        <v>-15</v>
      </c>
      <c r="D37" s="9">
        <v>15</v>
      </c>
      <c r="E37" s="9"/>
      <c r="F37" s="9"/>
      <c r="G37" s="9">
        <f>VLOOKUP(A37,[1]Лист1!$A:$D,4,0)</f>
        <v>0</v>
      </c>
      <c r="H37" s="9">
        <f t="shared" si="2"/>
        <v>0</v>
      </c>
      <c r="I37" s="10">
        <v>0</v>
      </c>
      <c r="J37" s="9">
        <v>60</v>
      </c>
      <c r="K37" s="9" t="s">
        <v>62</v>
      </c>
      <c r="L37" s="9" t="s">
        <v>83</v>
      </c>
      <c r="M37" s="9"/>
      <c r="N37" s="9">
        <f t="shared" si="3"/>
        <v>0</v>
      </c>
      <c r="O37" s="9">
        <f t="shared" si="4"/>
        <v>0</v>
      </c>
      <c r="P37" s="9"/>
      <c r="Q37" s="9">
        <v>0</v>
      </c>
      <c r="R37" s="9"/>
      <c r="S37" s="9">
        <f t="shared" si="5"/>
        <v>0</v>
      </c>
      <c r="T37" s="11"/>
      <c r="U37" s="5">
        <f t="shared" si="11"/>
        <v>0</v>
      </c>
      <c r="V37" s="18"/>
      <c r="W37" s="1" t="e">
        <f t="shared" si="8"/>
        <v>#DIV/0!</v>
      </c>
      <c r="X37" s="9" t="e">
        <f t="shared" si="6"/>
        <v>#DIV/0!</v>
      </c>
      <c r="Y37" s="9">
        <v>0</v>
      </c>
      <c r="Z37" s="9">
        <v>0</v>
      </c>
      <c r="AA37" s="9">
        <v>3</v>
      </c>
      <c r="AB37" s="9">
        <v>0.2</v>
      </c>
      <c r="AC37" s="9">
        <v>-0.2</v>
      </c>
      <c r="AD37" s="9">
        <v>17</v>
      </c>
      <c r="AE37" s="9">
        <v>24.6</v>
      </c>
      <c r="AF37" s="9">
        <v>36.6</v>
      </c>
      <c r="AG37" s="9">
        <v>34.4</v>
      </c>
      <c r="AH37" s="9">
        <v>33.799999999999997</v>
      </c>
      <c r="AI37" s="9" t="s">
        <v>84</v>
      </c>
      <c r="AJ37" s="1">
        <f t="shared" si="9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9" t="s">
        <v>85</v>
      </c>
      <c r="B38" s="9" t="s">
        <v>39</v>
      </c>
      <c r="C38" s="9"/>
      <c r="D38" s="9">
        <v>96.83</v>
      </c>
      <c r="E38" s="9">
        <v>82.275000000000006</v>
      </c>
      <c r="F38" s="9">
        <v>14.555</v>
      </c>
      <c r="G38" s="9">
        <f>VLOOKUP(A38,[1]Лист1!$A:$D,4,0)</f>
        <v>13.13</v>
      </c>
      <c r="H38" s="9">
        <f t="shared" ref="H38:H69" si="14">F38-G38</f>
        <v>1.4249999999999989</v>
      </c>
      <c r="I38" s="10">
        <v>0</v>
      </c>
      <c r="J38" s="9">
        <v>45</v>
      </c>
      <c r="K38" s="9" t="s">
        <v>62</v>
      </c>
      <c r="L38" s="9"/>
      <c r="M38" s="9">
        <v>105.9</v>
      </c>
      <c r="N38" s="9">
        <f t="shared" ref="N38:N69" si="15">E38-M38</f>
        <v>-23.625</v>
      </c>
      <c r="O38" s="9">
        <f t="shared" ref="O38:O69" si="16">E38-P38</f>
        <v>9.6950000000000074</v>
      </c>
      <c r="P38" s="9">
        <v>72.58</v>
      </c>
      <c r="Q38" s="9">
        <v>0</v>
      </c>
      <c r="R38" s="9"/>
      <c r="S38" s="9">
        <f t="shared" ref="S38:S69" si="17">O38/5</f>
        <v>1.9390000000000014</v>
      </c>
      <c r="T38" s="11"/>
      <c r="U38" s="5">
        <f t="shared" si="11"/>
        <v>0</v>
      </c>
      <c r="V38" s="18"/>
      <c r="W38" s="1">
        <f t="shared" si="8"/>
        <v>0.73491490458999376</v>
      </c>
      <c r="X38" s="9">
        <f t="shared" ref="X38:X69" si="18">(H38+Q38+R38)/S38</f>
        <v>0.73491490458999376</v>
      </c>
      <c r="Y38" s="9">
        <v>2.6938</v>
      </c>
      <c r="Z38" s="9">
        <v>9.0944000000000003</v>
      </c>
      <c r="AA38" s="9">
        <v>3.9171999999999998</v>
      </c>
      <c r="AB38" s="9">
        <v>0</v>
      </c>
      <c r="AC38" s="9">
        <v>11.114000000000001</v>
      </c>
      <c r="AD38" s="9">
        <v>13.551</v>
      </c>
      <c r="AE38" s="9">
        <v>8.1720000000000006</v>
      </c>
      <c r="AF38" s="9">
        <v>2.6469999999999998</v>
      </c>
      <c r="AG38" s="9">
        <v>0</v>
      </c>
      <c r="AH38" s="9">
        <v>1.4330000000000001</v>
      </c>
      <c r="AI38" s="9"/>
      <c r="AJ38" s="1">
        <f t="shared" si="9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9" t="s">
        <v>86</v>
      </c>
      <c r="B39" s="9" t="s">
        <v>42</v>
      </c>
      <c r="C39" s="9"/>
      <c r="D39" s="9">
        <v>198</v>
      </c>
      <c r="E39" s="9">
        <v>82</v>
      </c>
      <c r="F39" s="9">
        <v>114</v>
      </c>
      <c r="G39" s="9">
        <v>114</v>
      </c>
      <c r="H39" s="9">
        <f t="shared" si="14"/>
        <v>0</v>
      </c>
      <c r="I39" s="10">
        <v>0</v>
      </c>
      <c r="J39" s="9"/>
      <c r="K39" s="9" t="s">
        <v>62</v>
      </c>
      <c r="L39" s="9"/>
      <c r="M39" s="9">
        <v>283</v>
      </c>
      <c r="N39" s="9">
        <f t="shared" si="15"/>
        <v>-201</v>
      </c>
      <c r="O39" s="9">
        <f t="shared" si="16"/>
        <v>10</v>
      </c>
      <c r="P39" s="9">
        <v>72</v>
      </c>
      <c r="Q39" s="9"/>
      <c r="R39" s="9"/>
      <c r="S39" s="9">
        <f t="shared" si="17"/>
        <v>2</v>
      </c>
      <c r="T39" s="11"/>
      <c r="U39" s="5">
        <f t="shared" si="11"/>
        <v>0</v>
      </c>
      <c r="V39" s="18"/>
      <c r="W39" s="1">
        <f t="shared" si="8"/>
        <v>0</v>
      </c>
      <c r="X39" s="9">
        <f t="shared" si="18"/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/>
      <c r="AJ39" s="1">
        <f t="shared" si="9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87</v>
      </c>
      <c r="B40" s="1" t="s">
        <v>42</v>
      </c>
      <c r="C40" s="1">
        <v>11</v>
      </c>
      <c r="D40" s="1">
        <v>258</v>
      </c>
      <c r="E40" s="1">
        <v>125</v>
      </c>
      <c r="F40" s="1">
        <v>126</v>
      </c>
      <c r="G40" s="1">
        <f>VLOOKUP(A40,[1]Лист1!$A:$D,4,0)</f>
        <v>0</v>
      </c>
      <c r="H40" s="1">
        <f t="shared" si="14"/>
        <v>126</v>
      </c>
      <c r="I40" s="7">
        <v>0.3</v>
      </c>
      <c r="J40" s="1">
        <v>45</v>
      </c>
      <c r="K40" s="1" t="s">
        <v>40</v>
      </c>
      <c r="L40" s="1"/>
      <c r="M40" s="1">
        <v>210</v>
      </c>
      <c r="N40" s="1">
        <f t="shared" si="15"/>
        <v>-85</v>
      </c>
      <c r="O40" s="1">
        <f t="shared" si="16"/>
        <v>77</v>
      </c>
      <c r="P40" s="1">
        <v>48</v>
      </c>
      <c r="Q40" s="1">
        <v>100</v>
      </c>
      <c r="R40" s="1"/>
      <c r="S40" s="1">
        <f t="shared" si="17"/>
        <v>15.4</v>
      </c>
      <c r="T40" s="5"/>
      <c r="U40" s="5">
        <f t="shared" si="11"/>
        <v>0</v>
      </c>
      <c r="V40" s="18"/>
      <c r="W40" s="1">
        <f t="shared" si="8"/>
        <v>14.675324675324674</v>
      </c>
      <c r="X40" s="1">
        <f t="shared" si="18"/>
        <v>14.675324675324674</v>
      </c>
      <c r="Y40" s="1">
        <v>16.399999999999999</v>
      </c>
      <c r="Z40" s="1">
        <v>26</v>
      </c>
      <c r="AA40" s="1">
        <v>22.4</v>
      </c>
      <c r="AB40" s="1">
        <v>25.8</v>
      </c>
      <c r="AC40" s="1">
        <v>11.4</v>
      </c>
      <c r="AD40" s="1">
        <v>21.2</v>
      </c>
      <c r="AE40" s="1">
        <v>45.2</v>
      </c>
      <c r="AF40" s="1">
        <v>22.6</v>
      </c>
      <c r="AG40" s="1">
        <v>12.4</v>
      </c>
      <c r="AH40" s="1">
        <v>1.4</v>
      </c>
      <c r="AI40" s="1"/>
      <c r="AJ40" s="1">
        <f t="shared" si="9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88</v>
      </c>
      <c r="B41" s="1" t="s">
        <v>39</v>
      </c>
      <c r="C41" s="1">
        <v>439.31599999999997</v>
      </c>
      <c r="D41" s="1">
        <v>514.81200000000001</v>
      </c>
      <c r="E41" s="1">
        <v>189.91900000000001</v>
      </c>
      <c r="F41" s="1">
        <v>754.81</v>
      </c>
      <c r="G41" s="1">
        <f>VLOOKUP(A41,[1]Лист1!$A:$D,4,0)</f>
        <v>386.68099999999998</v>
      </c>
      <c r="H41" s="1">
        <f t="shared" si="14"/>
        <v>368.12899999999996</v>
      </c>
      <c r="I41" s="7">
        <v>1</v>
      </c>
      <c r="J41" s="1">
        <v>60</v>
      </c>
      <c r="K41" s="1" t="s">
        <v>40</v>
      </c>
      <c r="L41" s="1"/>
      <c r="M41" s="1">
        <v>247.3</v>
      </c>
      <c r="N41" s="1">
        <f t="shared" si="15"/>
        <v>-57.381</v>
      </c>
      <c r="O41" s="1">
        <f t="shared" si="16"/>
        <v>72.257000000000005</v>
      </c>
      <c r="P41" s="1">
        <v>117.66200000000001</v>
      </c>
      <c r="Q41" s="1">
        <v>302</v>
      </c>
      <c r="R41" s="1">
        <v>200</v>
      </c>
      <c r="S41" s="1">
        <f t="shared" si="17"/>
        <v>14.451400000000001</v>
      </c>
      <c r="T41" s="5"/>
      <c r="U41" s="5">
        <f t="shared" si="11"/>
        <v>0</v>
      </c>
      <c r="V41" s="18"/>
      <c r="W41" s="1">
        <f t="shared" si="8"/>
        <v>60.210706229154255</v>
      </c>
      <c r="X41" s="1">
        <f t="shared" si="18"/>
        <v>60.210706229154255</v>
      </c>
      <c r="Y41" s="1">
        <v>46.306199999999997</v>
      </c>
      <c r="Z41" s="1">
        <v>46.882800000000003</v>
      </c>
      <c r="AA41" s="1">
        <v>45.837400000000002</v>
      </c>
      <c r="AB41" s="1">
        <v>32.807000000000002</v>
      </c>
      <c r="AC41" s="1">
        <v>36.681600000000003</v>
      </c>
      <c r="AD41" s="1">
        <v>46.652000000000001</v>
      </c>
      <c r="AE41" s="1">
        <v>53.252200000000002</v>
      </c>
      <c r="AF41" s="1">
        <v>15.216799999999999</v>
      </c>
      <c r="AG41" s="1">
        <v>15.7242</v>
      </c>
      <c r="AH41" s="1">
        <v>31.8386</v>
      </c>
      <c r="AI41" s="12" t="s">
        <v>69</v>
      </c>
      <c r="AJ41" s="1">
        <f t="shared" si="9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89</v>
      </c>
      <c r="B42" s="1" t="s">
        <v>39</v>
      </c>
      <c r="C42" s="1">
        <v>1.8109999999999999</v>
      </c>
      <c r="D42" s="1">
        <v>120.18600000000001</v>
      </c>
      <c r="E42" s="1">
        <v>92.328000000000003</v>
      </c>
      <c r="F42" s="1">
        <v>22.981999999999999</v>
      </c>
      <c r="G42" s="1">
        <f>VLOOKUP(A42,[1]Лист1!$A:$D,4,0)</f>
        <v>0</v>
      </c>
      <c r="H42" s="1">
        <f t="shared" si="14"/>
        <v>22.981999999999999</v>
      </c>
      <c r="I42" s="7">
        <v>1</v>
      </c>
      <c r="J42" s="1">
        <v>45</v>
      </c>
      <c r="K42" s="1" t="s">
        <v>40</v>
      </c>
      <c r="L42" s="1"/>
      <c r="M42" s="1">
        <v>97.531000000000006</v>
      </c>
      <c r="N42" s="1">
        <f t="shared" si="15"/>
        <v>-5.203000000000003</v>
      </c>
      <c r="O42" s="1">
        <f t="shared" si="16"/>
        <v>92.328000000000003</v>
      </c>
      <c r="P42" s="1"/>
      <c r="Q42" s="1">
        <v>135</v>
      </c>
      <c r="R42" s="1"/>
      <c r="S42" s="1">
        <f t="shared" si="17"/>
        <v>18.465600000000002</v>
      </c>
      <c r="T42" s="5">
        <f t="shared" ref="T42:T50" si="19">14*S42-R42-Q42-H42</f>
        <v>100.53640000000004</v>
      </c>
      <c r="U42" s="5">
        <v>160</v>
      </c>
      <c r="V42" s="18">
        <f>VLOOKUP(A42,[2]Sheet!$A:$U,21,0)</f>
        <v>200</v>
      </c>
      <c r="W42" s="1">
        <f t="shared" si="8"/>
        <v>17.220236547959445</v>
      </c>
      <c r="X42" s="1">
        <f t="shared" si="18"/>
        <v>8.5554761285850436</v>
      </c>
      <c r="Y42" s="1">
        <v>17.502400000000002</v>
      </c>
      <c r="Z42" s="1">
        <v>10.848800000000001</v>
      </c>
      <c r="AA42" s="1">
        <v>17.9328</v>
      </c>
      <c r="AB42" s="1">
        <v>15.6494</v>
      </c>
      <c r="AC42" s="1">
        <v>12.670999999999999</v>
      </c>
      <c r="AD42" s="1">
        <v>16.613800000000001</v>
      </c>
      <c r="AE42" s="1">
        <v>17.702400000000001</v>
      </c>
      <c r="AF42" s="1">
        <v>10.339600000000001</v>
      </c>
      <c r="AG42" s="1">
        <v>13.245200000000001</v>
      </c>
      <c r="AH42" s="1">
        <v>13.090400000000001</v>
      </c>
      <c r="AI42" s="1"/>
      <c r="AJ42" s="1">
        <f t="shared" si="9"/>
        <v>160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90</v>
      </c>
      <c r="B43" s="1" t="s">
        <v>39</v>
      </c>
      <c r="C43" s="1">
        <v>8.1460000000000008</v>
      </c>
      <c r="D43" s="1">
        <v>418.08100000000002</v>
      </c>
      <c r="E43" s="1">
        <v>150.34700000000001</v>
      </c>
      <c r="F43" s="1">
        <v>266.48599999999999</v>
      </c>
      <c r="G43" s="1">
        <f>VLOOKUP(A43,[1]Лист1!$A:$D,4,0)</f>
        <v>386</v>
      </c>
      <c r="H43" s="1">
        <f t="shared" si="14"/>
        <v>-119.51400000000001</v>
      </c>
      <c r="I43" s="7">
        <v>1</v>
      </c>
      <c r="J43" s="1">
        <v>45</v>
      </c>
      <c r="K43" s="1" t="s">
        <v>40</v>
      </c>
      <c r="L43" s="1"/>
      <c r="M43" s="1">
        <v>153.196</v>
      </c>
      <c r="N43" s="1">
        <f t="shared" si="15"/>
        <v>-2.8489999999999895</v>
      </c>
      <c r="O43" s="1">
        <f t="shared" si="16"/>
        <v>106.28300000000002</v>
      </c>
      <c r="P43" s="1">
        <v>44.064</v>
      </c>
      <c r="Q43" s="1">
        <v>70</v>
      </c>
      <c r="R43" s="1"/>
      <c r="S43" s="1">
        <f t="shared" si="17"/>
        <v>21.256600000000002</v>
      </c>
      <c r="T43" s="5">
        <f>8*S43-R43-Q43-H43</f>
        <v>219.56680000000003</v>
      </c>
      <c r="U43" s="5">
        <f t="shared" ref="U43" si="20">V43</f>
        <v>340</v>
      </c>
      <c r="V43" s="18">
        <f>VLOOKUP(A43,[2]Sheet!$A:$U,21,0)</f>
        <v>340</v>
      </c>
      <c r="W43" s="1">
        <f t="shared" si="8"/>
        <v>13.665685010773123</v>
      </c>
      <c r="X43" s="1">
        <f t="shared" si="18"/>
        <v>-2.3293471204237743</v>
      </c>
      <c r="Y43" s="1">
        <v>2.8117999999999999</v>
      </c>
      <c r="Z43" s="1">
        <v>24.3322</v>
      </c>
      <c r="AA43" s="1">
        <v>18.131399999999999</v>
      </c>
      <c r="AB43" s="1">
        <v>12.0776</v>
      </c>
      <c r="AC43" s="1">
        <v>13.896599999999999</v>
      </c>
      <c r="AD43" s="1">
        <v>19.759399999999999</v>
      </c>
      <c r="AE43" s="1">
        <v>14.8596</v>
      </c>
      <c r="AF43" s="1">
        <v>11.2278</v>
      </c>
      <c r="AG43" s="1">
        <v>8.8872</v>
      </c>
      <c r="AH43" s="1">
        <v>4.9942000000000002</v>
      </c>
      <c r="AI43" s="1"/>
      <c r="AJ43" s="1">
        <f t="shared" si="9"/>
        <v>340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91</v>
      </c>
      <c r="B44" s="1" t="s">
        <v>39</v>
      </c>
      <c r="C44" s="1">
        <v>3.0230000000000001</v>
      </c>
      <c r="D44" s="1">
        <v>127.997</v>
      </c>
      <c r="E44" s="1">
        <v>57.942999999999998</v>
      </c>
      <c r="F44" s="1">
        <v>66.418000000000006</v>
      </c>
      <c r="G44" s="1">
        <f>VLOOKUP(A44,[1]Лист1!$A:$D,4,0)</f>
        <v>0</v>
      </c>
      <c r="H44" s="1">
        <f t="shared" si="14"/>
        <v>66.418000000000006</v>
      </c>
      <c r="I44" s="7">
        <v>1</v>
      </c>
      <c r="J44" s="1">
        <v>45</v>
      </c>
      <c r="K44" s="1" t="s">
        <v>40</v>
      </c>
      <c r="L44" s="1"/>
      <c r="M44" s="1">
        <v>72.3</v>
      </c>
      <c r="N44" s="1">
        <f t="shared" si="15"/>
        <v>-14.356999999999999</v>
      </c>
      <c r="O44" s="1">
        <f t="shared" si="16"/>
        <v>57.942999999999998</v>
      </c>
      <c r="P44" s="1"/>
      <c r="Q44" s="1">
        <v>60</v>
      </c>
      <c r="R44" s="1"/>
      <c r="S44" s="1">
        <f t="shared" si="17"/>
        <v>11.5886</v>
      </c>
      <c r="T44" s="5">
        <f t="shared" si="19"/>
        <v>35.822399999999988</v>
      </c>
      <c r="U44" s="5">
        <f>ROUND(T44+S44,0)</f>
        <v>47</v>
      </c>
      <c r="V44" s="18"/>
      <c r="W44" s="1">
        <f t="shared" si="8"/>
        <v>14.964534111109195</v>
      </c>
      <c r="X44" s="1">
        <f t="shared" si="18"/>
        <v>10.908824189289476</v>
      </c>
      <c r="Y44" s="1">
        <v>6.1677999999999997</v>
      </c>
      <c r="Z44" s="1">
        <v>9.9160000000000004</v>
      </c>
      <c r="AA44" s="1">
        <v>15.056800000000001</v>
      </c>
      <c r="AB44" s="1">
        <v>10.8932</v>
      </c>
      <c r="AC44" s="1">
        <v>5.9122000000000003</v>
      </c>
      <c r="AD44" s="1">
        <v>11.0404</v>
      </c>
      <c r="AE44" s="1">
        <v>17.397600000000001</v>
      </c>
      <c r="AF44" s="1">
        <v>6.0191999999999997</v>
      </c>
      <c r="AG44" s="1">
        <v>11.008599999999999</v>
      </c>
      <c r="AH44" s="1">
        <v>8.0839999999999996</v>
      </c>
      <c r="AI44" s="1"/>
      <c r="AJ44" s="1">
        <f t="shared" si="9"/>
        <v>47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92</v>
      </c>
      <c r="B45" s="1" t="s">
        <v>42</v>
      </c>
      <c r="C45" s="1">
        <v>5</v>
      </c>
      <c r="D45" s="1">
        <v>954</v>
      </c>
      <c r="E45" s="1">
        <v>642</v>
      </c>
      <c r="F45" s="1">
        <v>280</v>
      </c>
      <c r="G45" s="1">
        <f>VLOOKUP(A45,[1]Лист1!$A:$D,4,0)</f>
        <v>0</v>
      </c>
      <c r="H45" s="1">
        <f t="shared" si="14"/>
        <v>280</v>
      </c>
      <c r="I45" s="7">
        <v>0.3</v>
      </c>
      <c r="J45" s="1">
        <v>45</v>
      </c>
      <c r="K45" s="1" t="s">
        <v>40</v>
      </c>
      <c r="L45" s="1"/>
      <c r="M45" s="1">
        <v>703</v>
      </c>
      <c r="N45" s="1">
        <f t="shared" si="15"/>
        <v>-61</v>
      </c>
      <c r="O45" s="1">
        <f t="shared" si="16"/>
        <v>594</v>
      </c>
      <c r="P45" s="1">
        <v>48</v>
      </c>
      <c r="Q45" s="1">
        <v>300</v>
      </c>
      <c r="R45" s="1"/>
      <c r="S45" s="1">
        <f t="shared" si="17"/>
        <v>118.8</v>
      </c>
      <c r="T45" s="5">
        <f t="shared" ref="T45:T46" si="21">13*S45-R45-Q45-H45</f>
        <v>964.39999999999986</v>
      </c>
      <c r="U45" s="5">
        <f t="shared" si="11"/>
        <v>964</v>
      </c>
      <c r="V45" s="18"/>
      <c r="W45" s="1">
        <f t="shared" si="8"/>
        <v>12.996632996632997</v>
      </c>
      <c r="X45" s="1">
        <f t="shared" si="18"/>
        <v>4.8821548821548824</v>
      </c>
      <c r="Y45" s="1">
        <v>1.6</v>
      </c>
      <c r="Z45" s="1">
        <v>52.2</v>
      </c>
      <c r="AA45" s="1">
        <v>85.8</v>
      </c>
      <c r="AB45" s="1">
        <v>35.799999999999997</v>
      </c>
      <c r="AC45" s="1">
        <v>58.4</v>
      </c>
      <c r="AD45" s="1">
        <v>64.8</v>
      </c>
      <c r="AE45" s="1">
        <v>52.8</v>
      </c>
      <c r="AF45" s="1">
        <v>58.8</v>
      </c>
      <c r="AG45" s="1">
        <v>86.4</v>
      </c>
      <c r="AH45" s="1">
        <v>56.2</v>
      </c>
      <c r="AI45" s="1"/>
      <c r="AJ45" s="1">
        <f t="shared" si="9"/>
        <v>289.2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93</v>
      </c>
      <c r="B46" s="1" t="s">
        <v>39</v>
      </c>
      <c r="C46" s="1"/>
      <c r="D46" s="1">
        <v>114.24</v>
      </c>
      <c r="E46" s="1">
        <v>50.747999999999998</v>
      </c>
      <c r="F46" s="1">
        <v>58.716000000000001</v>
      </c>
      <c r="G46" s="1">
        <f>VLOOKUP(A46,[1]Лист1!$A:$D,4,0)</f>
        <v>55.04</v>
      </c>
      <c r="H46" s="1">
        <f t="shared" si="14"/>
        <v>3.6760000000000019</v>
      </c>
      <c r="I46" s="7">
        <v>1</v>
      </c>
      <c r="J46" s="1"/>
      <c r="K46" s="1" t="s">
        <v>40</v>
      </c>
      <c r="L46" s="1"/>
      <c r="M46" s="1">
        <v>87.352000000000004</v>
      </c>
      <c r="N46" s="1">
        <f t="shared" si="15"/>
        <v>-36.604000000000006</v>
      </c>
      <c r="O46" s="1">
        <f t="shared" si="16"/>
        <v>50.747999999999998</v>
      </c>
      <c r="P46" s="1"/>
      <c r="Q46" s="1">
        <v>50</v>
      </c>
      <c r="R46" s="1"/>
      <c r="S46" s="1">
        <f t="shared" si="17"/>
        <v>10.1496</v>
      </c>
      <c r="T46" s="5">
        <f t="shared" si="21"/>
        <v>78.268799999999985</v>
      </c>
      <c r="U46" s="5">
        <f>V46</f>
        <v>120</v>
      </c>
      <c r="V46" s="18">
        <f>VLOOKUP(A46,[2]Sheet!$A:$U,21,0)</f>
        <v>120</v>
      </c>
      <c r="W46" s="1">
        <f t="shared" si="8"/>
        <v>17.111610309765901</v>
      </c>
      <c r="X46" s="1">
        <f t="shared" si="18"/>
        <v>5.2884842752423742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 t="s">
        <v>94</v>
      </c>
      <c r="AJ46" s="1">
        <f t="shared" si="9"/>
        <v>120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95</v>
      </c>
      <c r="B47" s="1" t="s">
        <v>39</v>
      </c>
      <c r="C47" s="1">
        <v>86.986999999999995</v>
      </c>
      <c r="D47" s="1">
        <v>264.22300000000001</v>
      </c>
      <c r="E47" s="1">
        <v>95.406999999999996</v>
      </c>
      <c r="F47" s="1">
        <v>254.393</v>
      </c>
      <c r="G47" s="1">
        <f>VLOOKUP(A47,[1]Лист1!$A:$D,4,0)</f>
        <v>81.055000000000007</v>
      </c>
      <c r="H47" s="1">
        <f t="shared" si="14"/>
        <v>173.33799999999999</v>
      </c>
      <c r="I47" s="7">
        <v>1</v>
      </c>
      <c r="J47" s="1">
        <v>45</v>
      </c>
      <c r="K47" s="1" t="s">
        <v>40</v>
      </c>
      <c r="L47" s="1"/>
      <c r="M47" s="1">
        <v>91</v>
      </c>
      <c r="N47" s="1">
        <f t="shared" si="15"/>
        <v>4.4069999999999965</v>
      </c>
      <c r="O47" s="1">
        <f t="shared" si="16"/>
        <v>20.39</v>
      </c>
      <c r="P47" s="1">
        <v>75.016999999999996</v>
      </c>
      <c r="Q47" s="1">
        <v>0</v>
      </c>
      <c r="R47" s="1"/>
      <c r="S47" s="1">
        <f t="shared" si="17"/>
        <v>4.0780000000000003</v>
      </c>
      <c r="T47" s="5"/>
      <c r="U47" s="5">
        <f t="shared" si="11"/>
        <v>0</v>
      </c>
      <c r="V47" s="18"/>
      <c r="W47" s="1">
        <f t="shared" si="8"/>
        <v>42.505640019617452</v>
      </c>
      <c r="X47" s="1">
        <f t="shared" si="18"/>
        <v>42.505640019617452</v>
      </c>
      <c r="Y47" s="1">
        <v>8.1170000000000009</v>
      </c>
      <c r="Z47" s="1">
        <v>16.876200000000001</v>
      </c>
      <c r="AA47" s="1">
        <v>10.6318</v>
      </c>
      <c r="AB47" s="1">
        <v>4.3406000000000002</v>
      </c>
      <c r="AC47" s="1">
        <v>15.939</v>
      </c>
      <c r="AD47" s="1">
        <v>6.1928000000000001</v>
      </c>
      <c r="AE47" s="1">
        <v>6.7195999999999998</v>
      </c>
      <c r="AF47" s="1">
        <v>2.1467999999999998</v>
      </c>
      <c r="AG47" s="1">
        <v>2.1526000000000001</v>
      </c>
      <c r="AH47" s="1">
        <v>2.4722</v>
      </c>
      <c r="AI47" s="12" t="s">
        <v>69</v>
      </c>
      <c r="AJ47" s="1">
        <f t="shared" si="9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96</v>
      </c>
      <c r="B48" s="1" t="s">
        <v>42</v>
      </c>
      <c r="C48" s="1">
        <v>-46</v>
      </c>
      <c r="D48" s="1">
        <v>2151</v>
      </c>
      <c r="E48" s="1">
        <v>1064</v>
      </c>
      <c r="F48" s="1">
        <v>919</v>
      </c>
      <c r="G48" s="1">
        <f>VLOOKUP(A48,[1]Лист1!$A:$D,4,0)</f>
        <v>0</v>
      </c>
      <c r="H48" s="1">
        <f t="shared" si="14"/>
        <v>919</v>
      </c>
      <c r="I48" s="7">
        <v>0.35</v>
      </c>
      <c r="J48" s="1">
        <v>45</v>
      </c>
      <c r="K48" s="1" t="s">
        <v>40</v>
      </c>
      <c r="L48" s="1"/>
      <c r="M48" s="1">
        <v>1198</v>
      </c>
      <c r="N48" s="1">
        <f t="shared" si="15"/>
        <v>-134</v>
      </c>
      <c r="O48" s="1">
        <f t="shared" si="16"/>
        <v>880</v>
      </c>
      <c r="P48" s="1">
        <v>184</v>
      </c>
      <c r="Q48" s="1">
        <v>400</v>
      </c>
      <c r="R48" s="1"/>
      <c r="S48" s="1">
        <f t="shared" si="17"/>
        <v>176</v>
      </c>
      <c r="T48" s="5">
        <f t="shared" si="19"/>
        <v>1145</v>
      </c>
      <c r="U48" s="5">
        <f>V48</f>
        <v>1400</v>
      </c>
      <c r="V48" s="18">
        <f>VLOOKUP(A48,[2]Sheet!$A:$U,21,0)</f>
        <v>1400</v>
      </c>
      <c r="W48" s="1">
        <f t="shared" si="8"/>
        <v>15.448863636363637</v>
      </c>
      <c r="X48" s="1">
        <f t="shared" si="18"/>
        <v>7.4943181818181817</v>
      </c>
      <c r="Y48" s="1">
        <v>82.6</v>
      </c>
      <c r="Z48" s="1">
        <v>158.6</v>
      </c>
      <c r="AA48" s="1">
        <v>169.2</v>
      </c>
      <c r="AB48" s="1">
        <v>109.4</v>
      </c>
      <c r="AC48" s="1">
        <v>94.4</v>
      </c>
      <c r="AD48" s="1">
        <v>139</v>
      </c>
      <c r="AE48" s="1">
        <v>135.4</v>
      </c>
      <c r="AF48" s="1">
        <v>91.2</v>
      </c>
      <c r="AG48" s="1">
        <v>124.2</v>
      </c>
      <c r="AH48" s="1">
        <v>106.4</v>
      </c>
      <c r="AI48" s="1"/>
      <c r="AJ48" s="1">
        <f t="shared" si="9"/>
        <v>489.99999999999994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97</v>
      </c>
      <c r="B49" s="1" t="s">
        <v>42</v>
      </c>
      <c r="C49" s="1">
        <v>11</v>
      </c>
      <c r="D49" s="1">
        <v>1386</v>
      </c>
      <c r="E49" s="1">
        <v>423</v>
      </c>
      <c r="F49" s="1">
        <v>938</v>
      </c>
      <c r="G49" s="1">
        <f>VLOOKUP(A49,[1]Лист1!$A:$D,4,0)</f>
        <v>0</v>
      </c>
      <c r="H49" s="1">
        <f t="shared" si="14"/>
        <v>938</v>
      </c>
      <c r="I49" s="7">
        <v>0.41</v>
      </c>
      <c r="J49" s="1">
        <v>45</v>
      </c>
      <c r="K49" s="1" t="s">
        <v>40</v>
      </c>
      <c r="L49" s="1"/>
      <c r="M49" s="1">
        <v>477</v>
      </c>
      <c r="N49" s="1">
        <f t="shared" si="15"/>
        <v>-54</v>
      </c>
      <c r="O49" s="1">
        <f t="shared" si="16"/>
        <v>400</v>
      </c>
      <c r="P49" s="1">
        <v>23</v>
      </c>
      <c r="Q49" s="1"/>
      <c r="R49" s="1"/>
      <c r="S49" s="1">
        <f t="shared" si="17"/>
        <v>80</v>
      </c>
      <c r="T49" s="5"/>
      <c r="U49" s="5">
        <f t="shared" si="11"/>
        <v>0</v>
      </c>
      <c r="V49" s="18"/>
      <c r="W49" s="1">
        <f t="shared" si="8"/>
        <v>11.725</v>
      </c>
      <c r="X49" s="1">
        <f t="shared" si="18"/>
        <v>11.725</v>
      </c>
      <c r="Y49" s="1">
        <v>-2.6</v>
      </c>
      <c r="Z49" s="1">
        <v>-2.8</v>
      </c>
      <c r="AA49" s="1">
        <v>46.8</v>
      </c>
      <c r="AB49" s="1">
        <v>39</v>
      </c>
      <c r="AC49" s="1">
        <v>41</v>
      </c>
      <c r="AD49" s="1">
        <v>31</v>
      </c>
      <c r="AE49" s="1">
        <v>61.6</v>
      </c>
      <c r="AF49" s="1">
        <v>47</v>
      </c>
      <c r="AG49" s="1">
        <v>55.4</v>
      </c>
      <c r="AH49" s="1">
        <v>47.6</v>
      </c>
      <c r="AI49" s="13" t="s">
        <v>185</v>
      </c>
      <c r="AJ49" s="1">
        <f t="shared" si="9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98</v>
      </c>
      <c r="B50" s="1" t="s">
        <v>42</v>
      </c>
      <c r="C50" s="1">
        <v>34</v>
      </c>
      <c r="D50" s="1">
        <v>622</v>
      </c>
      <c r="E50" s="1">
        <v>361</v>
      </c>
      <c r="F50" s="1">
        <v>281</v>
      </c>
      <c r="G50" s="1">
        <f>VLOOKUP(A50,[1]Лист1!$A:$D,4,0)</f>
        <v>150</v>
      </c>
      <c r="H50" s="1">
        <f t="shared" si="14"/>
        <v>131</v>
      </c>
      <c r="I50" s="7">
        <v>0.41</v>
      </c>
      <c r="J50" s="1">
        <v>45</v>
      </c>
      <c r="K50" s="1" t="s">
        <v>40</v>
      </c>
      <c r="L50" s="1"/>
      <c r="M50" s="1">
        <v>376</v>
      </c>
      <c r="N50" s="1">
        <f t="shared" si="15"/>
        <v>-15</v>
      </c>
      <c r="O50" s="1">
        <f t="shared" si="16"/>
        <v>291</v>
      </c>
      <c r="P50" s="1">
        <v>70</v>
      </c>
      <c r="Q50" s="1">
        <v>440</v>
      </c>
      <c r="R50" s="1">
        <v>200</v>
      </c>
      <c r="S50" s="1">
        <f t="shared" si="17"/>
        <v>58.2</v>
      </c>
      <c r="T50" s="5">
        <f t="shared" si="19"/>
        <v>43.800000000000068</v>
      </c>
      <c r="U50" s="5">
        <f>ROUND(T50+S50,0)</f>
        <v>102</v>
      </c>
      <c r="V50" s="18"/>
      <c r="W50" s="1">
        <f t="shared" si="8"/>
        <v>15</v>
      </c>
      <c r="X50" s="1">
        <f t="shared" si="18"/>
        <v>13.24742268041237</v>
      </c>
      <c r="Y50" s="1">
        <v>52.4</v>
      </c>
      <c r="Z50" s="1">
        <v>16.600000000000001</v>
      </c>
      <c r="AA50" s="1">
        <v>57.6</v>
      </c>
      <c r="AB50" s="1">
        <v>35.6</v>
      </c>
      <c r="AC50" s="1">
        <v>12.4</v>
      </c>
      <c r="AD50" s="1">
        <v>28</v>
      </c>
      <c r="AE50" s="1">
        <v>35</v>
      </c>
      <c r="AF50" s="1">
        <v>20.2</v>
      </c>
      <c r="AG50" s="1">
        <v>21.2</v>
      </c>
      <c r="AH50" s="1">
        <v>21.2</v>
      </c>
      <c r="AI50" s="1"/>
      <c r="AJ50" s="1">
        <f t="shared" si="9"/>
        <v>41.82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9" t="s">
        <v>99</v>
      </c>
      <c r="B51" s="9" t="s">
        <v>39</v>
      </c>
      <c r="C51" s="9">
        <v>16.449000000000002</v>
      </c>
      <c r="D51" s="9"/>
      <c r="E51" s="9"/>
      <c r="F51" s="9">
        <v>16.449000000000002</v>
      </c>
      <c r="G51" s="9">
        <f>VLOOKUP(A51,[1]Лист1!$A:$D,4,0)</f>
        <v>0</v>
      </c>
      <c r="H51" s="9">
        <f t="shared" si="14"/>
        <v>16.449000000000002</v>
      </c>
      <c r="I51" s="10">
        <v>0</v>
      </c>
      <c r="J51" s="9">
        <v>30</v>
      </c>
      <c r="K51" s="9" t="s">
        <v>62</v>
      </c>
      <c r="L51" s="9"/>
      <c r="M51" s="9"/>
      <c r="N51" s="9">
        <f t="shared" si="15"/>
        <v>0</v>
      </c>
      <c r="O51" s="9">
        <f t="shared" si="16"/>
        <v>0</v>
      </c>
      <c r="P51" s="9"/>
      <c r="Q51" s="9">
        <v>0</v>
      </c>
      <c r="R51" s="9"/>
      <c r="S51" s="9">
        <f t="shared" si="17"/>
        <v>0</v>
      </c>
      <c r="T51" s="11"/>
      <c r="U51" s="5">
        <f t="shared" si="11"/>
        <v>0</v>
      </c>
      <c r="V51" s="18"/>
      <c r="W51" s="1" t="e">
        <f t="shared" si="8"/>
        <v>#DIV/0!</v>
      </c>
      <c r="X51" s="9" t="e">
        <f t="shared" si="18"/>
        <v>#DIV/0!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12" t="s">
        <v>69</v>
      </c>
      <c r="AJ51" s="1">
        <f t="shared" si="9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100</v>
      </c>
      <c r="B52" s="1" t="s">
        <v>42</v>
      </c>
      <c r="C52" s="1">
        <v>1</v>
      </c>
      <c r="D52" s="1">
        <v>82</v>
      </c>
      <c r="E52" s="1">
        <v>60</v>
      </c>
      <c r="F52" s="1">
        <v>13</v>
      </c>
      <c r="G52" s="1">
        <f>VLOOKUP(A52,[1]Лист1!$A:$D,4,0)</f>
        <v>0</v>
      </c>
      <c r="H52" s="1">
        <f t="shared" si="14"/>
        <v>13</v>
      </c>
      <c r="I52" s="7">
        <v>0.36</v>
      </c>
      <c r="J52" s="1">
        <v>45</v>
      </c>
      <c r="K52" s="1" t="s">
        <v>40</v>
      </c>
      <c r="L52" s="1"/>
      <c r="M52" s="1">
        <v>175</v>
      </c>
      <c r="N52" s="1">
        <f t="shared" si="15"/>
        <v>-115</v>
      </c>
      <c r="O52" s="1">
        <f t="shared" si="16"/>
        <v>60</v>
      </c>
      <c r="P52" s="1"/>
      <c r="Q52" s="1">
        <v>50</v>
      </c>
      <c r="R52" s="1"/>
      <c r="S52" s="1">
        <f t="shared" si="17"/>
        <v>12</v>
      </c>
      <c r="T52" s="5">
        <f t="shared" ref="T52:T56" si="22">14*S52-R52-Q52-H52</f>
        <v>105</v>
      </c>
      <c r="U52" s="5">
        <f>ROUND(T52+S52,0)</f>
        <v>117</v>
      </c>
      <c r="V52" s="18"/>
      <c r="W52" s="1">
        <f t="shared" si="8"/>
        <v>15</v>
      </c>
      <c r="X52" s="1">
        <f t="shared" si="18"/>
        <v>5.25</v>
      </c>
      <c r="Y52" s="1">
        <v>0.2</v>
      </c>
      <c r="Z52" s="1">
        <v>6.8</v>
      </c>
      <c r="AA52" s="1">
        <v>0</v>
      </c>
      <c r="AB52" s="1">
        <v>0</v>
      </c>
      <c r="AC52" s="1">
        <v>-0.4</v>
      </c>
      <c r="AD52" s="1">
        <v>0</v>
      </c>
      <c r="AE52" s="1">
        <v>-0.8</v>
      </c>
      <c r="AF52" s="1">
        <v>-1.4</v>
      </c>
      <c r="AG52" s="1">
        <v>-0.6</v>
      </c>
      <c r="AH52" s="1">
        <v>-1</v>
      </c>
      <c r="AI52" s="1" t="s">
        <v>101</v>
      </c>
      <c r="AJ52" s="1">
        <f t="shared" si="9"/>
        <v>42.12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102</v>
      </c>
      <c r="B53" s="1" t="s">
        <v>42</v>
      </c>
      <c r="C53" s="1">
        <v>-2</v>
      </c>
      <c r="D53" s="1">
        <v>183</v>
      </c>
      <c r="E53" s="1">
        <v>136</v>
      </c>
      <c r="F53" s="1">
        <v>27</v>
      </c>
      <c r="G53" s="1">
        <f>VLOOKUP(A53,[1]Лист1!$A:$D,4,0)</f>
        <v>0</v>
      </c>
      <c r="H53" s="1">
        <f t="shared" si="14"/>
        <v>27</v>
      </c>
      <c r="I53" s="7">
        <v>0.33</v>
      </c>
      <c r="J53" s="1">
        <v>45</v>
      </c>
      <c r="K53" s="1" t="s">
        <v>40</v>
      </c>
      <c r="L53" s="1"/>
      <c r="M53" s="1">
        <v>230</v>
      </c>
      <c r="N53" s="1">
        <f t="shared" si="15"/>
        <v>-94</v>
      </c>
      <c r="O53" s="1">
        <f t="shared" si="16"/>
        <v>136</v>
      </c>
      <c r="P53" s="1"/>
      <c r="Q53" s="1">
        <v>116</v>
      </c>
      <c r="R53" s="1"/>
      <c r="S53" s="1">
        <f t="shared" si="17"/>
        <v>27.2</v>
      </c>
      <c r="T53" s="5">
        <f>13*S53-R53-Q53-H53</f>
        <v>210.59999999999997</v>
      </c>
      <c r="U53" s="5">
        <f t="shared" si="11"/>
        <v>211</v>
      </c>
      <c r="V53" s="18"/>
      <c r="W53" s="1">
        <f t="shared" si="8"/>
        <v>13.014705882352942</v>
      </c>
      <c r="X53" s="1">
        <f t="shared" si="18"/>
        <v>5.257352941176471</v>
      </c>
      <c r="Y53" s="1">
        <v>17.600000000000001</v>
      </c>
      <c r="Z53" s="1">
        <v>5.2</v>
      </c>
      <c r="AA53" s="1">
        <v>20.2</v>
      </c>
      <c r="AB53" s="1">
        <v>12.8</v>
      </c>
      <c r="AC53" s="1">
        <v>2.2000000000000002</v>
      </c>
      <c r="AD53" s="1">
        <v>11.4</v>
      </c>
      <c r="AE53" s="1">
        <v>17</v>
      </c>
      <c r="AF53" s="1">
        <v>0</v>
      </c>
      <c r="AG53" s="1">
        <v>15.8</v>
      </c>
      <c r="AH53" s="1">
        <v>7.8</v>
      </c>
      <c r="AI53" s="1" t="s">
        <v>103</v>
      </c>
      <c r="AJ53" s="1">
        <f t="shared" si="9"/>
        <v>69.63000000000001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104</v>
      </c>
      <c r="B54" s="1" t="s">
        <v>42</v>
      </c>
      <c r="C54" s="1">
        <v>8</v>
      </c>
      <c r="D54" s="1">
        <v>581</v>
      </c>
      <c r="E54" s="1">
        <v>249</v>
      </c>
      <c r="F54" s="1">
        <v>319</v>
      </c>
      <c r="G54" s="1">
        <f>VLOOKUP(A54,[1]Лист1!$A:$D,4,0)</f>
        <v>0</v>
      </c>
      <c r="H54" s="1">
        <f t="shared" si="14"/>
        <v>319</v>
      </c>
      <c r="I54" s="7">
        <v>0.4</v>
      </c>
      <c r="J54" s="1">
        <v>60</v>
      </c>
      <c r="K54" s="1" t="s">
        <v>40</v>
      </c>
      <c r="L54" s="1"/>
      <c r="M54" s="1">
        <v>279</v>
      </c>
      <c r="N54" s="1">
        <f t="shared" si="15"/>
        <v>-30</v>
      </c>
      <c r="O54" s="1">
        <f t="shared" si="16"/>
        <v>225</v>
      </c>
      <c r="P54" s="1">
        <v>24</v>
      </c>
      <c r="Q54" s="1">
        <v>50</v>
      </c>
      <c r="R54" s="1"/>
      <c r="S54" s="1">
        <f t="shared" si="17"/>
        <v>45</v>
      </c>
      <c r="T54" s="5">
        <f t="shared" si="22"/>
        <v>261</v>
      </c>
      <c r="U54" s="5">
        <f t="shared" ref="U54:U56" si="23">ROUND(T54+S54,0)</f>
        <v>306</v>
      </c>
      <c r="V54" s="18"/>
      <c r="W54" s="1">
        <f t="shared" si="8"/>
        <v>15</v>
      </c>
      <c r="X54" s="1">
        <f t="shared" si="18"/>
        <v>8.1999999999999993</v>
      </c>
      <c r="Y54" s="1">
        <v>9</v>
      </c>
      <c r="Z54" s="1">
        <v>38</v>
      </c>
      <c r="AA54" s="1">
        <v>38.4</v>
      </c>
      <c r="AB54" s="1">
        <v>27</v>
      </c>
      <c r="AC54" s="1">
        <v>20.8</v>
      </c>
      <c r="AD54" s="1">
        <v>30.2</v>
      </c>
      <c r="AE54" s="1">
        <v>34.6</v>
      </c>
      <c r="AF54" s="1">
        <v>33.799999999999997</v>
      </c>
      <c r="AG54" s="1">
        <v>24.2</v>
      </c>
      <c r="AH54" s="1">
        <v>14.6</v>
      </c>
      <c r="AI54" s="1"/>
      <c r="AJ54" s="1">
        <f t="shared" si="9"/>
        <v>122.4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105</v>
      </c>
      <c r="B55" s="1" t="s">
        <v>42</v>
      </c>
      <c r="C55" s="1">
        <v>1</v>
      </c>
      <c r="D55" s="1">
        <v>35</v>
      </c>
      <c r="E55" s="1">
        <v>13</v>
      </c>
      <c r="F55" s="1">
        <v>20</v>
      </c>
      <c r="G55" s="1">
        <f>VLOOKUP(A55,[1]Лист1!$A:$D,4,0)</f>
        <v>0</v>
      </c>
      <c r="H55" s="1">
        <f t="shared" si="14"/>
        <v>20</v>
      </c>
      <c r="I55" s="7">
        <v>0.33</v>
      </c>
      <c r="J55" s="1">
        <v>45</v>
      </c>
      <c r="K55" s="1" t="s">
        <v>40</v>
      </c>
      <c r="L55" s="1"/>
      <c r="M55" s="1">
        <v>24</v>
      </c>
      <c r="N55" s="1">
        <f t="shared" si="15"/>
        <v>-11</v>
      </c>
      <c r="O55" s="1">
        <f t="shared" si="16"/>
        <v>13</v>
      </c>
      <c r="P55" s="1"/>
      <c r="Q55" s="1">
        <v>0</v>
      </c>
      <c r="R55" s="1"/>
      <c r="S55" s="1">
        <f t="shared" si="17"/>
        <v>2.6</v>
      </c>
      <c r="T55" s="5">
        <f t="shared" si="22"/>
        <v>16.399999999999999</v>
      </c>
      <c r="U55" s="5">
        <f t="shared" si="23"/>
        <v>19</v>
      </c>
      <c r="V55" s="18"/>
      <c r="W55" s="1">
        <f t="shared" si="8"/>
        <v>15</v>
      </c>
      <c r="X55" s="1">
        <f t="shared" si="18"/>
        <v>7.6923076923076916</v>
      </c>
      <c r="Y55" s="1">
        <v>-0.4</v>
      </c>
      <c r="Z55" s="1">
        <v>0</v>
      </c>
      <c r="AA55" s="1">
        <v>-0.6</v>
      </c>
      <c r="AB55" s="1">
        <v>0</v>
      </c>
      <c r="AC55" s="1">
        <v>0.8</v>
      </c>
      <c r="AD55" s="1">
        <v>1.4</v>
      </c>
      <c r="AE55" s="1">
        <v>3.2</v>
      </c>
      <c r="AF55" s="1">
        <v>2.6</v>
      </c>
      <c r="AG55" s="1">
        <v>0.8</v>
      </c>
      <c r="AH55" s="1">
        <v>2.6</v>
      </c>
      <c r="AI55" s="1" t="s">
        <v>106</v>
      </c>
      <c r="AJ55" s="1">
        <f t="shared" si="9"/>
        <v>6.2700000000000005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107</v>
      </c>
      <c r="B56" s="1" t="s">
        <v>39</v>
      </c>
      <c r="C56" s="1">
        <v>8.7390000000000008</v>
      </c>
      <c r="D56" s="1">
        <v>727.70799999999997</v>
      </c>
      <c r="E56" s="1">
        <v>404.17899999999997</v>
      </c>
      <c r="F56" s="1">
        <v>248.261</v>
      </c>
      <c r="G56" s="1">
        <f>VLOOKUP(A56,[1]Лист1!$A:$D,4,0)</f>
        <v>0</v>
      </c>
      <c r="H56" s="1">
        <f t="shared" si="14"/>
        <v>248.261</v>
      </c>
      <c r="I56" s="7">
        <v>1</v>
      </c>
      <c r="J56" s="1">
        <v>45</v>
      </c>
      <c r="K56" s="1" t="s">
        <v>40</v>
      </c>
      <c r="L56" s="1"/>
      <c r="M56" s="1">
        <v>418.41300000000001</v>
      </c>
      <c r="N56" s="1">
        <f t="shared" si="15"/>
        <v>-14.234000000000037</v>
      </c>
      <c r="O56" s="1">
        <f t="shared" si="16"/>
        <v>404.17899999999997</v>
      </c>
      <c r="P56" s="1"/>
      <c r="Q56" s="1">
        <v>300</v>
      </c>
      <c r="R56" s="1"/>
      <c r="S56" s="1">
        <f t="shared" si="17"/>
        <v>80.835799999999992</v>
      </c>
      <c r="T56" s="5">
        <f t="shared" si="22"/>
        <v>583.4402</v>
      </c>
      <c r="U56" s="5">
        <f t="shared" si="23"/>
        <v>664</v>
      </c>
      <c r="V56" s="18"/>
      <c r="W56" s="1">
        <f t="shared" si="8"/>
        <v>14.996585671200137</v>
      </c>
      <c r="X56" s="1">
        <f t="shared" si="18"/>
        <v>6.7824033410939215</v>
      </c>
      <c r="Y56" s="1">
        <v>30.045400000000001</v>
      </c>
      <c r="Z56" s="1">
        <v>65.753799999999998</v>
      </c>
      <c r="AA56" s="1">
        <v>61.433399999999992</v>
      </c>
      <c r="AB56" s="1">
        <v>54.076999999999998</v>
      </c>
      <c r="AC56" s="1">
        <v>13.7126</v>
      </c>
      <c r="AD56" s="1">
        <v>63.340599999999988</v>
      </c>
      <c r="AE56" s="1">
        <v>57.431199999999997</v>
      </c>
      <c r="AF56" s="1">
        <v>38.247</v>
      </c>
      <c r="AG56" s="1">
        <v>48.421199999999999</v>
      </c>
      <c r="AH56" s="1">
        <v>35.937800000000003</v>
      </c>
      <c r="AI56" s="1"/>
      <c r="AJ56" s="1">
        <f t="shared" si="9"/>
        <v>664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108</v>
      </c>
      <c r="B57" s="1" t="s">
        <v>42</v>
      </c>
      <c r="C57" s="1">
        <v>114</v>
      </c>
      <c r="D57" s="1">
        <v>180</v>
      </c>
      <c r="E57" s="1">
        <v>51</v>
      </c>
      <c r="F57" s="1">
        <v>240</v>
      </c>
      <c r="G57" s="1">
        <f>VLOOKUP(A57,[1]Лист1!$A:$D,4,0)</f>
        <v>126</v>
      </c>
      <c r="H57" s="1">
        <f t="shared" si="14"/>
        <v>114</v>
      </c>
      <c r="I57" s="7">
        <v>0.4</v>
      </c>
      <c r="J57" s="1">
        <v>45</v>
      </c>
      <c r="K57" s="1" t="s">
        <v>40</v>
      </c>
      <c r="L57" s="1"/>
      <c r="M57" s="1">
        <v>165</v>
      </c>
      <c r="N57" s="1">
        <f t="shared" si="15"/>
        <v>-114</v>
      </c>
      <c r="O57" s="1">
        <f t="shared" si="16"/>
        <v>-3</v>
      </c>
      <c r="P57" s="1">
        <v>54</v>
      </c>
      <c r="Q57" s="1"/>
      <c r="R57" s="1"/>
      <c r="S57" s="1">
        <f t="shared" si="17"/>
        <v>-0.6</v>
      </c>
      <c r="T57" s="5"/>
      <c r="U57" s="5">
        <f t="shared" si="11"/>
        <v>0</v>
      </c>
      <c r="V57" s="18"/>
      <c r="W57" s="1">
        <f t="shared" si="8"/>
        <v>-190</v>
      </c>
      <c r="X57" s="1">
        <f t="shared" si="18"/>
        <v>-190</v>
      </c>
      <c r="Y57" s="1">
        <v>-0.2</v>
      </c>
      <c r="Z57" s="1">
        <v>-2.6</v>
      </c>
      <c r="AA57" s="1">
        <v>0</v>
      </c>
      <c r="AB57" s="1">
        <v>-0.4</v>
      </c>
      <c r="AC57" s="1">
        <v>-0.2</v>
      </c>
      <c r="AD57" s="1">
        <v>-2.4</v>
      </c>
      <c r="AE57" s="1">
        <v>-3.4</v>
      </c>
      <c r="AF57" s="1">
        <v>1</v>
      </c>
      <c r="AG57" s="1">
        <v>-1.6</v>
      </c>
      <c r="AH57" s="1">
        <v>10.4</v>
      </c>
      <c r="AI57" s="12" t="s">
        <v>69</v>
      </c>
      <c r="AJ57" s="1">
        <f t="shared" si="9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9" t="s">
        <v>109</v>
      </c>
      <c r="B58" s="9" t="s">
        <v>39</v>
      </c>
      <c r="C58" s="9"/>
      <c r="D58" s="9"/>
      <c r="E58" s="9"/>
      <c r="F58" s="9"/>
      <c r="G58" s="9">
        <f>VLOOKUP(A58,[1]Лист1!$A:$D,4,0)</f>
        <v>0</v>
      </c>
      <c r="H58" s="9">
        <f t="shared" si="14"/>
        <v>0</v>
      </c>
      <c r="I58" s="10">
        <v>0</v>
      </c>
      <c r="J58" s="9"/>
      <c r="K58" s="9" t="s">
        <v>40</v>
      </c>
      <c r="L58" s="9"/>
      <c r="M58" s="9">
        <v>14.6</v>
      </c>
      <c r="N58" s="9">
        <f t="shared" si="15"/>
        <v>-14.6</v>
      </c>
      <c r="O58" s="9">
        <f t="shared" si="16"/>
        <v>0</v>
      </c>
      <c r="P58" s="9"/>
      <c r="Q58" s="9">
        <v>0</v>
      </c>
      <c r="R58" s="9"/>
      <c r="S58" s="9">
        <f t="shared" si="17"/>
        <v>0</v>
      </c>
      <c r="T58" s="11"/>
      <c r="U58" s="5">
        <f t="shared" si="11"/>
        <v>0</v>
      </c>
      <c r="V58" s="18"/>
      <c r="W58" s="1" t="e">
        <f t="shared" si="8"/>
        <v>#DIV/0!</v>
      </c>
      <c r="X58" s="9" t="e">
        <f t="shared" si="18"/>
        <v>#DIV/0!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 t="s">
        <v>110</v>
      </c>
      <c r="AJ58" s="1">
        <f t="shared" si="9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111</v>
      </c>
      <c r="B59" s="1" t="s">
        <v>39</v>
      </c>
      <c r="C59" s="1">
        <v>4.1399999999999997</v>
      </c>
      <c r="D59" s="1">
        <v>244.57</v>
      </c>
      <c r="E59" s="1">
        <v>62.484999999999999</v>
      </c>
      <c r="F59" s="1">
        <v>184.69499999999999</v>
      </c>
      <c r="G59" s="1">
        <f>VLOOKUP(A59,[1]Лист1!$A:$D,4,0)</f>
        <v>120.73</v>
      </c>
      <c r="H59" s="1">
        <f t="shared" si="14"/>
        <v>63.964999999999989</v>
      </c>
      <c r="I59" s="7">
        <v>1</v>
      </c>
      <c r="J59" s="1">
        <v>60</v>
      </c>
      <c r="K59" s="1" t="s">
        <v>40</v>
      </c>
      <c r="L59" s="1"/>
      <c r="M59" s="1">
        <v>59.5</v>
      </c>
      <c r="N59" s="1">
        <f t="shared" si="15"/>
        <v>2.9849999999999994</v>
      </c>
      <c r="O59" s="1">
        <f t="shared" si="16"/>
        <v>38.094999999999999</v>
      </c>
      <c r="P59" s="1">
        <v>24.39</v>
      </c>
      <c r="Q59" s="1">
        <v>70</v>
      </c>
      <c r="R59" s="1"/>
      <c r="S59" s="1">
        <f t="shared" si="17"/>
        <v>7.6189999999999998</v>
      </c>
      <c r="T59" s="5"/>
      <c r="U59" s="5">
        <f t="shared" si="11"/>
        <v>0</v>
      </c>
      <c r="V59" s="18"/>
      <c r="W59" s="1">
        <f t="shared" si="8"/>
        <v>17.583016143850898</v>
      </c>
      <c r="X59" s="1">
        <f t="shared" si="18"/>
        <v>17.583016143850898</v>
      </c>
      <c r="Y59" s="1">
        <v>7.8315999999999999</v>
      </c>
      <c r="Z59" s="1">
        <v>9.9421999999999997</v>
      </c>
      <c r="AA59" s="1">
        <v>12.0648</v>
      </c>
      <c r="AB59" s="1">
        <v>5.1560000000000006</v>
      </c>
      <c r="AC59" s="1">
        <v>7.8439999999999994</v>
      </c>
      <c r="AD59" s="1">
        <v>4.2359999999999998</v>
      </c>
      <c r="AE59" s="1">
        <v>5.14</v>
      </c>
      <c r="AF59" s="1">
        <v>2.649</v>
      </c>
      <c r="AG59" s="1">
        <v>1.7909999999999999</v>
      </c>
      <c r="AH59" s="1">
        <v>1.9</v>
      </c>
      <c r="AI59" s="1"/>
      <c r="AJ59" s="1">
        <f t="shared" si="9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9" t="s">
        <v>112</v>
      </c>
      <c r="B60" s="9" t="s">
        <v>42</v>
      </c>
      <c r="C60" s="9">
        <v>28</v>
      </c>
      <c r="D60" s="9">
        <v>116</v>
      </c>
      <c r="E60" s="9">
        <v>56</v>
      </c>
      <c r="F60" s="9">
        <v>81</v>
      </c>
      <c r="G60" s="9">
        <f>VLOOKUP(A60,[1]Лист1!$A:$D,4,0)</f>
        <v>32</v>
      </c>
      <c r="H60" s="9">
        <f t="shared" si="14"/>
        <v>49</v>
      </c>
      <c r="I60" s="10">
        <v>0</v>
      </c>
      <c r="J60" s="9">
        <v>45</v>
      </c>
      <c r="K60" s="9" t="s">
        <v>77</v>
      </c>
      <c r="L60" s="9"/>
      <c r="M60" s="9">
        <v>66</v>
      </c>
      <c r="N60" s="9">
        <f t="shared" si="15"/>
        <v>-10</v>
      </c>
      <c r="O60" s="9">
        <f t="shared" si="16"/>
        <v>24</v>
      </c>
      <c r="P60" s="9">
        <v>32</v>
      </c>
      <c r="Q60" s="9">
        <v>12</v>
      </c>
      <c r="R60" s="9"/>
      <c r="S60" s="9">
        <f t="shared" si="17"/>
        <v>4.8</v>
      </c>
      <c r="T60" s="11"/>
      <c r="U60" s="5">
        <f t="shared" si="11"/>
        <v>0</v>
      </c>
      <c r="V60" s="18"/>
      <c r="W60" s="1">
        <f t="shared" si="8"/>
        <v>12.708333333333334</v>
      </c>
      <c r="X60" s="9">
        <f t="shared" si="18"/>
        <v>12.708333333333334</v>
      </c>
      <c r="Y60" s="9">
        <v>5.8</v>
      </c>
      <c r="Z60" s="9">
        <v>9.6</v>
      </c>
      <c r="AA60" s="9">
        <v>6</v>
      </c>
      <c r="AB60" s="9">
        <v>7.6</v>
      </c>
      <c r="AC60" s="9">
        <v>8.1999999999999993</v>
      </c>
      <c r="AD60" s="9">
        <v>12.8</v>
      </c>
      <c r="AE60" s="9">
        <v>10.8</v>
      </c>
      <c r="AF60" s="9">
        <v>13.8</v>
      </c>
      <c r="AG60" s="9">
        <v>13</v>
      </c>
      <c r="AH60" s="9">
        <v>7.6</v>
      </c>
      <c r="AI60" s="9"/>
      <c r="AJ60" s="1">
        <f t="shared" si="9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5" t="s">
        <v>113</v>
      </c>
      <c r="B61" s="1" t="s">
        <v>39</v>
      </c>
      <c r="C61" s="1"/>
      <c r="D61" s="1"/>
      <c r="E61" s="1"/>
      <c r="F61" s="1"/>
      <c r="G61" s="1">
        <f>VLOOKUP(A61,[1]Лист1!$A:$D,4,0)</f>
        <v>0</v>
      </c>
      <c r="H61" s="1">
        <f t="shared" si="14"/>
        <v>0</v>
      </c>
      <c r="I61" s="7">
        <v>1</v>
      </c>
      <c r="J61" s="1">
        <v>45</v>
      </c>
      <c r="K61" s="1" t="s">
        <v>40</v>
      </c>
      <c r="L61" s="1"/>
      <c r="M61" s="1">
        <v>8.5</v>
      </c>
      <c r="N61" s="1">
        <f t="shared" si="15"/>
        <v>-8.5</v>
      </c>
      <c r="O61" s="1">
        <f t="shared" si="16"/>
        <v>0</v>
      </c>
      <c r="P61" s="1"/>
      <c r="Q61" s="1">
        <v>100</v>
      </c>
      <c r="R61" s="1"/>
      <c r="S61" s="1">
        <f t="shared" si="17"/>
        <v>0</v>
      </c>
      <c r="T61" s="5"/>
      <c r="U61" s="5">
        <f t="shared" si="11"/>
        <v>0</v>
      </c>
      <c r="V61" s="18"/>
      <c r="W61" s="1" t="e">
        <f t="shared" si="8"/>
        <v>#DIV/0!</v>
      </c>
      <c r="X61" s="1" t="e">
        <f t="shared" si="18"/>
        <v>#DIV/0!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 t="s">
        <v>114</v>
      </c>
      <c r="AJ61" s="1">
        <f t="shared" si="9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9" t="s">
        <v>115</v>
      </c>
      <c r="B62" s="9" t="s">
        <v>42</v>
      </c>
      <c r="C62" s="9">
        <v>120</v>
      </c>
      <c r="D62" s="9"/>
      <c r="E62" s="9"/>
      <c r="F62" s="9">
        <v>120</v>
      </c>
      <c r="G62" s="9">
        <f>VLOOKUP(A62,[1]Лист1!$A:$D,4,0)</f>
        <v>0</v>
      </c>
      <c r="H62" s="9">
        <f t="shared" si="14"/>
        <v>120</v>
      </c>
      <c r="I62" s="10">
        <v>0</v>
      </c>
      <c r="J62" s="9"/>
      <c r="K62" s="9" t="s">
        <v>62</v>
      </c>
      <c r="L62" s="9"/>
      <c r="M62" s="9"/>
      <c r="N62" s="9">
        <f t="shared" si="15"/>
        <v>0</v>
      </c>
      <c r="O62" s="9">
        <f t="shared" si="16"/>
        <v>0</v>
      </c>
      <c r="P62" s="9"/>
      <c r="Q62" s="9">
        <v>0</v>
      </c>
      <c r="R62" s="9"/>
      <c r="S62" s="9">
        <f t="shared" si="17"/>
        <v>0</v>
      </c>
      <c r="T62" s="11"/>
      <c r="U62" s="5">
        <f t="shared" si="11"/>
        <v>0</v>
      </c>
      <c r="V62" s="18"/>
      <c r="W62" s="1" t="e">
        <f t="shared" si="8"/>
        <v>#DIV/0!</v>
      </c>
      <c r="X62" s="9" t="e">
        <f t="shared" si="18"/>
        <v>#DIV/0!</v>
      </c>
      <c r="Y62" s="9">
        <v>0</v>
      </c>
      <c r="Z62" s="9">
        <v>3.2</v>
      </c>
      <c r="AA62" s="9">
        <v>4.8</v>
      </c>
      <c r="AB62" s="9">
        <v>0</v>
      </c>
      <c r="AC62" s="9">
        <v>8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12" t="s">
        <v>63</v>
      </c>
      <c r="AJ62" s="1">
        <f t="shared" si="9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116</v>
      </c>
      <c r="B63" s="1" t="s">
        <v>42</v>
      </c>
      <c r="C63" s="1">
        <v>90</v>
      </c>
      <c r="D63" s="1">
        <v>328</v>
      </c>
      <c r="E63" s="1">
        <v>148</v>
      </c>
      <c r="F63" s="1">
        <v>252</v>
      </c>
      <c r="G63" s="1">
        <f>VLOOKUP(A63,[1]Лист1!$A:$D,4,0)</f>
        <v>0</v>
      </c>
      <c r="H63" s="1">
        <f t="shared" si="14"/>
        <v>252</v>
      </c>
      <c r="I63" s="7">
        <v>0.25</v>
      </c>
      <c r="J63" s="1">
        <v>120</v>
      </c>
      <c r="K63" s="1" t="s">
        <v>40</v>
      </c>
      <c r="L63" s="1"/>
      <c r="M63" s="1">
        <v>291</v>
      </c>
      <c r="N63" s="1">
        <f t="shared" si="15"/>
        <v>-143</v>
      </c>
      <c r="O63" s="1">
        <f t="shared" si="16"/>
        <v>148</v>
      </c>
      <c r="P63" s="1"/>
      <c r="Q63" s="1">
        <v>70</v>
      </c>
      <c r="R63" s="1"/>
      <c r="S63" s="1">
        <f t="shared" si="17"/>
        <v>29.6</v>
      </c>
      <c r="T63" s="5">
        <f t="shared" ref="T63:T71" si="24">14*S63-R63-Q63-H63</f>
        <v>92.400000000000034</v>
      </c>
      <c r="U63" s="5">
        <f>ROUND(T63+S63,0)</f>
        <v>122</v>
      </c>
      <c r="V63" s="18"/>
      <c r="W63" s="1">
        <f t="shared" si="8"/>
        <v>15</v>
      </c>
      <c r="X63" s="1">
        <f t="shared" si="18"/>
        <v>10.878378378378377</v>
      </c>
      <c r="Y63" s="1">
        <v>23.8</v>
      </c>
      <c r="Z63" s="1">
        <v>41.2</v>
      </c>
      <c r="AA63" s="1">
        <v>35.799999999999997</v>
      </c>
      <c r="AB63" s="1">
        <v>24</v>
      </c>
      <c r="AC63" s="1">
        <v>14.4</v>
      </c>
      <c r="AD63" s="1">
        <v>17.2</v>
      </c>
      <c r="AE63" s="1">
        <v>29.8</v>
      </c>
      <c r="AF63" s="1">
        <v>8.4</v>
      </c>
      <c r="AG63" s="1">
        <v>9.4</v>
      </c>
      <c r="AH63" s="1">
        <v>12.8</v>
      </c>
      <c r="AI63" s="1" t="s">
        <v>44</v>
      </c>
      <c r="AJ63" s="1">
        <f t="shared" si="9"/>
        <v>30.5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117</v>
      </c>
      <c r="B64" s="1" t="s">
        <v>39</v>
      </c>
      <c r="C64" s="1">
        <v>6.0000000000000001E-3</v>
      </c>
      <c r="D64" s="1">
        <v>47.622999999999998</v>
      </c>
      <c r="E64" s="1">
        <v>27.6</v>
      </c>
      <c r="F64" s="1">
        <v>20.029</v>
      </c>
      <c r="G64" s="1">
        <f>VLOOKUP(A64,[1]Лист1!$A:$D,4,0)</f>
        <v>0</v>
      </c>
      <c r="H64" s="1">
        <f t="shared" si="14"/>
        <v>20.029</v>
      </c>
      <c r="I64" s="7">
        <v>1</v>
      </c>
      <c r="J64" s="1">
        <v>45</v>
      </c>
      <c r="K64" s="1" t="s">
        <v>40</v>
      </c>
      <c r="L64" s="1"/>
      <c r="M64" s="1">
        <v>27</v>
      </c>
      <c r="N64" s="1">
        <f t="shared" si="15"/>
        <v>0.60000000000000142</v>
      </c>
      <c r="O64" s="1">
        <f t="shared" si="16"/>
        <v>27.6</v>
      </c>
      <c r="P64" s="1"/>
      <c r="Q64" s="1">
        <v>70</v>
      </c>
      <c r="R64" s="1"/>
      <c r="S64" s="1">
        <f t="shared" si="17"/>
        <v>5.5200000000000005</v>
      </c>
      <c r="T64" s="5"/>
      <c r="U64" s="5">
        <f t="shared" si="11"/>
        <v>0</v>
      </c>
      <c r="V64" s="18"/>
      <c r="W64" s="1">
        <f t="shared" si="8"/>
        <v>16.309601449275359</v>
      </c>
      <c r="X64" s="1">
        <f t="shared" si="18"/>
        <v>16.309601449275359</v>
      </c>
      <c r="Y64" s="1">
        <v>-0.21079999999999999</v>
      </c>
      <c r="Z64" s="1">
        <v>3.5804</v>
      </c>
      <c r="AA64" s="1">
        <v>5.7594000000000003</v>
      </c>
      <c r="AB64" s="1">
        <v>-2E-3</v>
      </c>
      <c r="AC64" s="1">
        <v>3.0392000000000001</v>
      </c>
      <c r="AD64" s="1">
        <v>5.0497999999999994</v>
      </c>
      <c r="AE64" s="1">
        <v>3.3026</v>
      </c>
      <c r="AF64" s="1">
        <v>2.3260000000000001</v>
      </c>
      <c r="AG64" s="1">
        <v>2.6434000000000002</v>
      </c>
      <c r="AH64" s="1">
        <v>2.0691999999999999</v>
      </c>
      <c r="AI64" s="1"/>
      <c r="AJ64" s="1">
        <f t="shared" si="9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118</v>
      </c>
      <c r="B65" s="1" t="s">
        <v>42</v>
      </c>
      <c r="C65" s="1">
        <v>-2</v>
      </c>
      <c r="D65" s="1">
        <v>234</v>
      </c>
      <c r="E65" s="1">
        <v>116</v>
      </c>
      <c r="F65" s="1">
        <v>98</v>
      </c>
      <c r="G65" s="1">
        <f>VLOOKUP(A65,[1]Лист1!$A:$D,4,0)</f>
        <v>56</v>
      </c>
      <c r="H65" s="1">
        <f t="shared" si="14"/>
        <v>42</v>
      </c>
      <c r="I65" s="7">
        <v>0.27</v>
      </c>
      <c r="J65" s="1"/>
      <c r="K65" s="1" t="s">
        <v>40</v>
      </c>
      <c r="L65" s="1"/>
      <c r="M65" s="1">
        <v>188</v>
      </c>
      <c r="N65" s="1">
        <f t="shared" si="15"/>
        <v>-72</v>
      </c>
      <c r="O65" s="1">
        <f t="shared" si="16"/>
        <v>116</v>
      </c>
      <c r="P65" s="1"/>
      <c r="Q65" s="1">
        <v>60</v>
      </c>
      <c r="R65" s="1"/>
      <c r="S65" s="1">
        <f t="shared" si="17"/>
        <v>23.2</v>
      </c>
      <c r="T65" s="5">
        <f t="shared" si="24"/>
        <v>222.8</v>
      </c>
      <c r="U65" s="5">
        <f>ROUND(T65+S65,0)</f>
        <v>246</v>
      </c>
      <c r="V65" s="18"/>
      <c r="W65" s="1">
        <f t="shared" si="8"/>
        <v>15</v>
      </c>
      <c r="X65" s="1">
        <f t="shared" si="18"/>
        <v>4.3965517241379315</v>
      </c>
      <c r="Y65" s="1">
        <v>0.2</v>
      </c>
      <c r="Z65" s="1">
        <v>14.8</v>
      </c>
      <c r="AA65" s="1">
        <v>24.8</v>
      </c>
      <c r="AB65" s="1">
        <v>10.4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 t="s">
        <v>114</v>
      </c>
      <c r="AJ65" s="1">
        <f t="shared" si="9"/>
        <v>66.42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119</v>
      </c>
      <c r="B66" s="1" t="s">
        <v>42</v>
      </c>
      <c r="C66" s="1">
        <v>6</v>
      </c>
      <c r="D66" s="1">
        <v>292</v>
      </c>
      <c r="E66" s="1">
        <v>207</v>
      </c>
      <c r="F66" s="1">
        <v>79</v>
      </c>
      <c r="G66" s="1">
        <f>VLOOKUP(A66,[1]Лист1!$A:$D,4,0)</f>
        <v>0</v>
      </c>
      <c r="H66" s="1">
        <f t="shared" si="14"/>
        <v>79</v>
      </c>
      <c r="I66" s="7">
        <v>0.3</v>
      </c>
      <c r="J66" s="1">
        <v>60</v>
      </c>
      <c r="K66" s="1" t="s">
        <v>40</v>
      </c>
      <c r="L66" s="1"/>
      <c r="M66" s="1">
        <v>223</v>
      </c>
      <c r="N66" s="1">
        <f t="shared" si="15"/>
        <v>-16</v>
      </c>
      <c r="O66" s="1">
        <f t="shared" si="16"/>
        <v>207</v>
      </c>
      <c r="P66" s="1"/>
      <c r="Q66" s="1">
        <v>70</v>
      </c>
      <c r="R66" s="1"/>
      <c r="S66" s="1">
        <f t="shared" si="17"/>
        <v>41.4</v>
      </c>
      <c r="T66" s="5">
        <f>12*S66-R66-Q66-H66</f>
        <v>347.79999999999995</v>
      </c>
      <c r="U66" s="5">
        <f>V66</f>
        <v>400</v>
      </c>
      <c r="V66" s="18">
        <f>VLOOKUP(A66,[2]Sheet!$A:$U,21,0)</f>
        <v>400</v>
      </c>
      <c r="W66" s="1">
        <f t="shared" si="8"/>
        <v>13.260869565217392</v>
      </c>
      <c r="X66" s="1">
        <f t="shared" si="18"/>
        <v>3.5990338164251208</v>
      </c>
      <c r="Y66" s="1">
        <v>19.2</v>
      </c>
      <c r="Z66" s="1">
        <v>9.4</v>
      </c>
      <c r="AA66" s="1">
        <v>37.799999999999997</v>
      </c>
      <c r="AB66" s="1">
        <v>29.6</v>
      </c>
      <c r="AC66" s="1">
        <v>15.4</v>
      </c>
      <c r="AD66" s="1">
        <v>26.8</v>
      </c>
      <c r="AE66" s="1">
        <v>44</v>
      </c>
      <c r="AF66" s="1">
        <v>30</v>
      </c>
      <c r="AG66" s="1">
        <v>34</v>
      </c>
      <c r="AH66" s="1">
        <v>25.4</v>
      </c>
      <c r="AI66" s="1"/>
      <c r="AJ66" s="1">
        <f t="shared" si="9"/>
        <v>120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120</v>
      </c>
      <c r="B67" s="1" t="s">
        <v>42</v>
      </c>
      <c r="C67" s="1">
        <v>14</v>
      </c>
      <c r="D67" s="1">
        <v>2830</v>
      </c>
      <c r="E67" s="1">
        <v>601</v>
      </c>
      <c r="F67" s="1">
        <v>2223</v>
      </c>
      <c r="G67" s="1">
        <f>VLOOKUP(A67,[1]Лист1!$A:$D,4,0)</f>
        <v>660</v>
      </c>
      <c r="H67" s="1">
        <f t="shared" si="14"/>
        <v>1563</v>
      </c>
      <c r="I67" s="7">
        <v>0.41</v>
      </c>
      <c r="J67" s="1">
        <v>50</v>
      </c>
      <c r="K67" s="1" t="s">
        <v>40</v>
      </c>
      <c r="L67" s="1"/>
      <c r="M67" s="1">
        <v>1472</v>
      </c>
      <c r="N67" s="1">
        <f t="shared" si="15"/>
        <v>-871</v>
      </c>
      <c r="O67" s="1">
        <f t="shared" si="16"/>
        <v>481</v>
      </c>
      <c r="P67" s="1">
        <v>120</v>
      </c>
      <c r="Q67" s="1">
        <v>1300</v>
      </c>
      <c r="R67" s="1"/>
      <c r="S67" s="1">
        <f t="shared" si="17"/>
        <v>96.2</v>
      </c>
      <c r="T67" s="5"/>
      <c r="U67" s="5">
        <f t="shared" si="11"/>
        <v>0</v>
      </c>
      <c r="V67" s="18"/>
      <c r="W67" s="1">
        <f t="shared" si="8"/>
        <v>29.760914760914758</v>
      </c>
      <c r="X67" s="1">
        <f t="shared" si="18"/>
        <v>29.760914760914758</v>
      </c>
      <c r="Y67" s="1">
        <v>48.6</v>
      </c>
      <c r="Z67" s="1">
        <v>324.60000000000002</v>
      </c>
      <c r="AA67" s="1">
        <v>150</v>
      </c>
      <c r="AB67" s="1">
        <v>81.2</v>
      </c>
      <c r="AC67" s="1">
        <v>212.8</v>
      </c>
      <c r="AD67" s="1">
        <v>266.8</v>
      </c>
      <c r="AE67" s="1">
        <v>172.2</v>
      </c>
      <c r="AF67" s="1">
        <v>150</v>
      </c>
      <c r="AG67" s="1">
        <v>221.2</v>
      </c>
      <c r="AH67" s="1">
        <v>150.80000000000001</v>
      </c>
      <c r="AI67" s="1"/>
      <c r="AJ67" s="1">
        <f t="shared" si="9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121</v>
      </c>
      <c r="B68" s="1" t="s">
        <v>39</v>
      </c>
      <c r="C68" s="1">
        <v>11.114000000000001</v>
      </c>
      <c r="D68" s="1">
        <v>937.02599999999995</v>
      </c>
      <c r="E68" s="1">
        <v>298.74799999999999</v>
      </c>
      <c r="F68" s="1">
        <v>637.11099999999999</v>
      </c>
      <c r="G68" s="1">
        <f>VLOOKUP(A68,[1]Лист1!$A:$D,4,0)</f>
        <v>285.108</v>
      </c>
      <c r="H68" s="1">
        <f t="shared" si="14"/>
        <v>352.00299999999999</v>
      </c>
      <c r="I68" s="7">
        <v>1</v>
      </c>
      <c r="J68" s="1">
        <v>50</v>
      </c>
      <c r="K68" s="1" t="s">
        <v>40</v>
      </c>
      <c r="L68" s="1"/>
      <c r="M68" s="1">
        <v>294.99799999999999</v>
      </c>
      <c r="N68" s="1">
        <f t="shared" si="15"/>
        <v>3.75</v>
      </c>
      <c r="O68" s="1">
        <f t="shared" si="16"/>
        <v>181.45999999999998</v>
      </c>
      <c r="P68" s="1">
        <v>117.288</v>
      </c>
      <c r="Q68" s="1">
        <v>300</v>
      </c>
      <c r="R68" s="1">
        <v>50</v>
      </c>
      <c r="S68" s="1">
        <f t="shared" si="17"/>
        <v>36.291999999999994</v>
      </c>
      <c r="T68" s="5"/>
      <c r="U68" s="5">
        <f t="shared" si="11"/>
        <v>0</v>
      </c>
      <c r="V68" s="18"/>
      <c r="W68" s="1">
        <f t="shared" si="8"/>
        <v>19.343188581505569</v>
      </c>
      <c r="X68" s="1">
        <f t="shared" si="18"/>
        <v>19.343188581505569</v>
      </c>
      <c r="Y68" s="1">
        <v>43.002200000000002</v>
      </c>
      <c r="Z68" s="1">
        <v>52.134</v>
      </c>
      <c r="AA68" s="1">
        <v>58.188000000000002</v>
      </c>
      <c r="AB68" s="1">
        <v>30.930399999999999</v>
      </c>
      <c r="AC68" s="1">
        <v>29.0246</v>
      </c>
      <c r="AD68" s="1">
        <v>23.655999999999999</v>
      </c>
      <c r="AE68" s="1">
        <v>36.418599999999998</v>
      </c>
      <c r="AF68" s="1">
        <v>13.896000000000001</v>
      </c>
      <c r="AG68" s="1">
        <v>12.993399999999999</v>
      </c>
      <c r="AH68" s="1">
        <v>16.393599999999999</v>
      </c>
      <c r="AI68" s="1"/>
      <c r="AJ68" s="1">
        <f t="shared" si="9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122</v>
      </c>
      <c r="B69" s="1" t="s">
        <v>42</v>
      </c>
      <c r="C69" s="1">
        <v>15</v>
      </c>
      <c r="D69" s="1">
        <v>618</v>
      </c>
      <c r="E69" s="1">
        <v>304</v>
      </c>
      <c r="F69" s="1">
        <v>301</v>
      </c>
      <c r="G69" s="1">
        <f>VLOOKUP(A69,[1]Лист1!$A:$D,4,0)</f>
        <v>72</v>
      </c>
      <c r="H69" s="1">
        <f t="shared" si="14"/>
        <v>229</v>
      </c>
      <c r="I69" s="7">
        <v>0.35</v>
      </c>
      <c r="J69" s="1">
        <v>50</v>
      </c>
      <c r="K69" s="1" t="s">
        <v>40</v>
      </c>
      <c r="L69" s="1"/>
      <c r="M69" s="1">
        <v>331</v>
      </c>
      <c r="N69" s="1">
        <f t="shared" si="15"/>
        <v>-27</v>
      </c>
      <c r="O69" s="1">
        <f t="shared" si="16"/>
        <v>280</v>
      </c>
      <c r="P69" s="1">
        <v>24</v>
      </c>
      <c r="Q69" s="1">
        <v>250</v>
      </c>
      <c r="R69" s="1"/>
      <c r="S69" s="1">
        <f t="shared" si="17"/>
        <v>56</v>
      </c>
      <c r="T69" s="5">
        <f t="shared" si="24"/>
        <v>305</v>
      </c>
      <c r="U69" s="5">
        <f>ROUND(T69+S69,0)</f>
        <v>361</v>
      </c>
      <c r="V69" s="18"/>
      <c r="W69" s="1">
        <f t="shared" si="8"/>
        <v>15</v>
      </c>
      <c r="X69" s="1">
        <f t="shared" si="18"/>
        <v>8.5535714285714288</v>
      </c>
      <c r="Y69" s="1">
        <v>17.600000000000001</v>
      </c>
      <c r="Z69" s="1">
        <v>29</v>
      </c>
      <c r="AA69" s="1">
        <v>62</v>
      </c>
      <c r="AB69" s="1">
        <v>32.4</v>
      </c>
      <c r="AC69" s="1">
        <v>31</v>
      </c>
      <c r="AD69" s="1">
        <v>41</v>
      </c>
      <c r="AE69" s="1">
        <v>31.2</v>
      </c>
      <c r="AF69" s="1">
        <v>33.799999999999997</v>
      </c>
      <c r="AG69" s="1">
        <v>31.2</v>
      </c>
      <c r="AH69" s="1">
        <v>27.8</v>
      </c>
      <c r="AI69" s="1"/>
      <c r="AJ69" s="1">
        <f t="shared" si="9"/>
        <v>126.35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123</v>
      </c>
      <c r="B70" s="1" t="s">
        <v>39</v>
      </c>
      <c r="C70" s="1">
        <v>7.0000000000000001E-3</v>
      </c>
      <c r="D70" s="1">
        <v>57.261000000000003</v>
      </c>
      <c r="E70" s="1">
        <v>37.139000000000003</v>
      </c>
      <c r="F70" s="1">
        <v>18.581</v>
      </c>
      <c r="G70" s="1">
        <f>VLOOKUP(A70,[1]Лист1!$A:$D,4,0)</f>
        <v>0</v>
      </c>
      <c r="H70" s="1">
        <f t="shared" ref="H70:H101" si="25">F70-G70</f>
        <v>18.581</v>
      </c>
      <c r="I70" s="7">
        <v>1</v>
      </c>
      <c r="J70" s="1">
        <v>50</v>
      </c>
      <c r="K70" s="1" t="s">
        <v>40</v>
      </c>
      <c r="L70" s="1"/>
      <c r="M70" s="1">
        <v>33.1</v>
      </c>
      <c r="N70" s="1">
        <f t="shared" ref="N70:N101" si="26">E70-M70</f>
        <v>4.0390000000000015</v>
      </c>
      <c r="O70" s="1">
        <f t="shared" ref="O70:O101" si="27">E70-P70</f>
        <v>37.139000000000003</v>
      </c>
      <c r="P70" s="1"/>
      <c r="Q70" s="1">
        <v>10</v>
      </c>
      <c r="R70" s="1"/>
      <c r="S70" s="1">
        <f t="shared" ref="S70:S101" si="28">O70/5</f>
        <v>7.4278000000000004</v>
      </c>
      <c r="T70" s="5">
        <f>12*S70-R70-Q70-H70</f>
        <v>60.552599999999998</v>
      </c>
      <c r="U70" s="5">
        <f t="shared" si="11"/>
        <v>61</v>
      </c>
      <c r="V70" s="18"/>
      <c r="W70" s="1">
        <f t="shared" si="8"/>
        <v>12.060233178060798</v>
      </c>
      <c r="X70" s="1">
        <f t="shared" ref="X70:X101" si="29">(H70+Q70+R70)/S70</f>
        <v>3.8478418912733243</v>
      </c>
      <c r="Y70" s="1">
        <v>0</v>
      </c>
      <c r="Z70" s="1">
        <v>1.2567999999999999</v>
      </c>
      <c r="AA70" s="1">
        <v>7.3841999999999999</v>
      </c>
      <c r="AB70" s="1">
        <v>0.93720000000000003</v>
      </c>
      <c r="AC70" s="1">
        <v>2.504</v>
      </c>
      <c r="AD70" s="1">
        <v>3.7235999999999998</v>
      </c>
      <c r="AE70" s="1">
        <v>1.5624</v>
      </c>
      <c r="AF70" s="1">
        <v>2.1745999999999999</v>
      </c>
      <c r="AG70" s="1">
        <v>2.2000000000000002</v>
      </c>
      <c r="AH70" s="1">
        <v>3.1534</v>
      </c>
      <c r="AI70" s="1"/>
      <c r="AJ70" s="1">
        <f t="shared" si="9"/>
        <v>61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124</v>
      </c>
      <c r="B71" s="1" t="s">
        <v>42</v>
      </c>
      <c r="C71" s="1">
        <v>50</v>
      </c>
      <c r="D71" s="1">
        <v>2745</v>
      </c>
      <c r="E71" s="1">
        <v>1127</v>
      </c>
      <c r="F71" s="1">
        <v>1590</v>
      </c>
      <c r="G71" s="1">
        <f>VLOOKUP(A71,[1]Лист1!$A:$D,4,0)</f>
        <v>270</v>
      </c>
      <c r="H71" s="1">
        <f t="shared" si="25"/>
        <v>1320</v>
      </c>
      <c r="I71" s="7">
        <v>0.41</v>
      </c>
      <c r="J71" s="1">
        <v>50</v>
      </c>
      <c r="K71" s="1" t="s">
        <v>40</v>
      </c>
      <c r="L71" s="1"/>
      <c r="M71" s="1">
        <v>1234</v>
      </c>
      <c r="N71" s="1">
        <f t="shared" si="26"/>
        <v>-107</v>
      </c>
      <c r="O71" s="1">
        <f t="shared" si="27"/>
        <v>967</v>
      </c>
      <c r="P71" s="1">
        <v>160</v>
      </c>
      <c r="Q71" s="1">
        <v>400</v>
      </c>
      <c r="R71" s="1"/>
      <c r="S71" s="1">
        <f t="shared" si="28"/>
        <v>193.4</v>
      </c>
      <c r="T71" s="5">
        <f t="shared" si="24"/>
        <v>987.59999999999991</v>
      </c>
      <c r="U71" s="5">
        <f>ROUND(T71+S71,0)</f>
        <v>1181</v>
      </c>
      <c r="V71" s="18"/>
      <c r="W71" s="1">
        <f t="shared" ref="W71:W119" si="30">(H71+Q71+R71+U71)/S71</f>
        <v>15</v>
      </c>
      <c r="X71" s="1">
        <f t="shared" si="29"/>
        <v>8.8934850051706302</v>
      </c>
      <c r="Y71" s="1">
        <v>65</v>
      </c>
      <c r="Z71" s="1">
        <v>200.4</v>
      </c>
      <c r="AA71" s="1">
        <v>174.2</v>
      </c>
      <c r="AB71" s="1">
        <v>38.200000000000003</v>
      </c>
      <c r="AC71" s="1">
        <v>129.4</v>
      </c>
      <c r="AD71" s="1">
        <v>156.6</v>
      </c>
      <c r="AE71" s="1">
        <v>120.8</v>
      </c>
      <c r="AF71" s="1">
        <v>91.6</v>
      </c>
      <c r="AG71" s="1">
        <v>120.2</v>
      </c>
      <c r="AH71" s="1">
        <v>94.6</v>
      </c>
      <c r="AI71" s="1"/>
      <c r="AJ71" s="1">
        <f t="shared" ref="AJ71:AJ119" si="31">I71*U71</f>
        <v>484.21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125</v>
      </c>
      <c r="B72" s="1" t="s">
        <v>39</v>
      </c>
      <c r="C72" s="1">
        <v>3.173</v>
      </c>
      <c r="D72" s="1">
        <v>109.913</v>
      </c>
      <c r="E72" s="1">
        <v>72.799000000000007</v>
      </c>
      <c r="F72" s="1">
        <v>37.203000000000003</v>
      </c>
      <c r="G72" s="1">
        <f>VLOOKUP(A72,[1]Лист1!$A:$D,4,0)</f>
        <v>0</v>
      </c>
      <c r="H72" s="1">
        <f t="shared" si="25"/>
        <v>37.203000000000003</v>
      </c>
      <c r="I72" s="7">
        <v>1</v>
      </c>
      <c r="J72" s="1">
        <v>50</v>
      </c>
      <c r="K72" s="1" t="s">
        <v>40</v>
      </c>
      <c r="L72" s="1"/>
      <c r="M72" s="1">
        <v>145</v>
      </c>
      <c r="N72" s="1">
        <f t="shared" si="26"/>
        <v>-72.200999999999993</v>
      </c>
      <c r="O72" s="1">
        <f t="shared" si="27"/>
        <v>72.799000000000007</v>
      </c>
      <c r="P72" s="1"/>
      <c r="Q72" s="1">
        <v>211</v>
      </c>
      <c r="R72" s="1"/>
      <c r="S72" s="1">
        <f t="shared" si="28"/>
        <v>14.559800000000001</v>
      </c>
      <c r="T72" s="5"/>
      <c r="U72" s="5">
        <f t="shared" ref="U72:U119" si="32">ROUND(T72,0)</f>
        <v>0</v>
      </c>
      <c r="V72" s="18"/>
      <c r="W72" s="1">
        <f t="shared" si="30"/>
        <v>17.04714350471847</v>
      </c>
      <c r="X72" s="1">
        <f t="shared" si="29"/>
        <v>17.04714350471847</v>
      </c>
      <c r="Y72" s="1">
        <v>26.645800000000001</v>
      </c>
      <c r="Z72" s="1">
        <v>17.4558</v>
      </c>
      <c r="AA72" s="1">
        <v>13.043799999999999</v>
      </c>
      <c r="AB72" s="1">
        <v>19.4636</v>
      </c>
      <c r="AC72" s="1">
        <v>6.3722000000000003</v>
      </c>
      <c r="AD72" s="1">
        <v>12.7166</v>
      </c>
      <c r="AE72" s="1">
        <v>14.8438</v>
      </c>
      <c r="AF72" s="1">
        <v>8.7585999999999995</v>
      </c>
      <c r="AG72" s="1">
        <v>10.333</v>
      </c>
      <c r="AH72" s="1">
        <v>10.343</v>
      </c>
      <c r="AI72" s="1"/>
      <c r="AJ72" s="1">
        <f t="shared" si="31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126</v>
      </c>
      <c r="B73" s="1" t="s">
        <v>42</v>
      </c>
      <c r="C73" s="1">
        <v>47</v>
      </c>
      <c r="D73" s="1">
        <v>498</v>
      </c>
      <c r="E73" s="1">
        <v>179</v>
      </c>
      <c r="F73" s="1">
        <v>345</v>
      </c>
      <c r="G73" s="1">
        <f>VLOOKUP(A73,[1]Лист1!$A:$D,4,0)</f>
        <v>0</v>
      </c>
      <c r="H73" s="1">
        <f t="shared" si="25"/>
        <v>345</v>
      </c>
      <c r="I73" s="7">
        <v>0.3</v>
      </c>
      <c r="J73" s="1">
        <v>50</v>
      </c>
      <c r="K73" s="1" t="s">
        <v>40</v>
      </c>
      <c r="L73" s="1"/>
      <c r="M73" s="1">
        <v>370</v>
      </c>
      <c r="N73" s="1">
        <f t="shared" si="26"/>
        <v>-191</v>
      </c>
      <c r="O73" s="1">
        <f t="shared" si="27"/>
        <v>35</v>
      </c>
      <c r="P73" s="1">
        <v>144</v>
      </c>
      <c r="Q73" s="1">
        <v>153</v>
      </c>
      <c r="R73" s="1"/>
      <c r="S73" s="1">
        <f t="shared" si="28"/>
        <v>7</v>
      </c>
      <c r="T73" s="5"/>
      <c r="U73" s="5">
        <f t="shared" si="32"/>
        <v>0</v>
      </c>
      <c r="V73" s="18"/>
      <c r="W73" s="1">
        <f t="shared" si="30"/>
        <v>71.142857142857139</v>
      </c>
      <c r="X73" s="1">
        <f t="shared" si="29"/>
        <v>71.142857142857139</v>
      </c>
      <c r="Y73" s="1">
        <v>33.4</v>
      </c>
      <c r="Z73" s="1">
        <v>54.8</v>
      </c>
      <c r="AA73" s="1">
        <v>36.4</v>
      </c>
      <c r="AB73" s="1">
        <v>29.6</v>
      </c>
      <c r="AC73" s="1">
        <v>32.799999999999997</v>
      </c>
      <c r="AD73" s="1">
        <v>41</v>
      </c>
      <c r="AE73" s="1">
        <v>43.6</v>
      </c>
      <c r="AF73" s="1">
        <v>22.2</v>
      </c>
      <c r="AG73" s="1">
        <v>27.2</v>
      </c>
      <c r="AH73" s="1">
        <v>25</v>
      </c>
      <c r="AI73" s="12" t="s">
        <v>69</v>
      </c>
      <c r="AJ73" s="1">
        <f t="shared" si="31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127</v>
      </c>
      <c r="B74" s="1" t="s">
        <v>42</v>
      </c>
      <c r="C74" s="1">
        <v>89</v>
      </c>
      <c r="D74" s="1">
        <v>538</v>
      </c>
      <c r="E74" s="1">
        <v>227</v>
      </c>
      <c r="F74" s="1">
        <v>369</v>
      </c>
      <c r="G74" s="1">
        <f>VLOOKUP(A74,[1]Лист1!$A:$D,4,0)</f>
        <v>0</v>
      </c>
      <c r="H74" s="1">
        <f t="shared" si="25"/>
        <v>369</v>
      </c>
      <c r="I74" s="7">
        <v>0.18</v>
      </c>
      <c r="J74" s="1">
        <v>50</v>
      </c>
      <c r="K74" s="1" t="s">
        <v>40</v>
      </c>
      <c r="L74" s="1"/>
      <c r="M74" s="1">
        <v>313</v>
      </c>
      <c r="N74" s="1">
        <f t="shared" si="26"/>
        <v>-86</v>
      </c>
      <c r="O74" s="1">
        <f t="shared" si="27"/>
        <v>127</v>
      </c>
      <c r="P74" s="1">
        <v>100</v>
      </c>
      <c r="Q74" s="1">
        <v>21</v>
      </c>
      <c r="R74" s="1"/>
      <c r="S74" s="1">
        <f t="shared" si="28"/>
        <v>25.4</v>
      </c>
      <c r="T74" s="5"/>
      <c r="U74" s="5">
        <f t="shared" si="32"/>
        <v>0</v>
      </c>
      <c r="V74" s="18"/>
      <c r="W74" s="1">
        <f t="shared" si="30"/>
        <v>15.354330708661418</v>
      </c>
      <c r="X74" s="1">
        <f t="shared" si="29"/>
        <v>15.354330708661418</v>
      </c>
      <c r="Y74" s="1">
        <v>33.6</v>
      </c>
      <c r="Z74" s="1">
        <v>53</v>
      </c>
      <c r="AA74" s="1">
        <v>47.2</v>
      </c>
      <c r="AB74" s="1">
        <v>9.6</v>
      </c>
      <c r="AC74" s="1">
        <v>35.6</v>
      </c>
      <c r="AD74" s="1">
        <v>42</v>
      </c>
      <c r="AE74" s="1">
        <v>28.4</v>
      </c>
      <c r="AF74" s="1">
        <v>15.8</v>
      </c>
      <c r="AG74" s="1">
        <v>6.4</v>
      </c>
      <c r="AH74" s="1">
        <v>20.399999999999999</v>
      </c>
      <c r="AI74" s="1"/>
      <c r="AJ74" s="1">
        <f t="shared" si="31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5" t="s">
        <v>128</v>
      </c>
      <c r="B75" s="1" t="s">
        <v>42</v>
      </c>
      <c r="C75" s="1"/>
      <c r="D75" s="1"/>
      <c r="E75" s="1"/>
      <c r="F75" s="1"/>
      <c r="G75" s="1">
        <f>VLOOKUP(A75,[1]Лист1!$A:$D,4,0)</f>
        <v>0</v>
      </c>
      <c r="H75" s="1">
        <f t="shared" si="25"/>
        <v>0</v>
      </c>
      <c r="I75" s="7">
        <v>0.22</v>
      </c>
      <c r="J75" s="1">
        <v>120</v>
      </c>
      <c r="K75" s="1" t="s">
        <v>40</v>
      </c>
      <c r="L75" s="1"/>
      <c r="M75" s="1"/>
      <c r="N75" s="1">
        <f t="shared" si="26"/>
        <v>0</v>
      </c>
      <c r="O75" s="1">
        <f t="shared" si="27"/>
        <v>0</v>
      </c>
      <c r="P75" s="1"/>
      <c r="Q75" s="1">
        <v>120</v>
      </c>
      <c r="R75" s="1"/>
      <c r="S75" s="1">
        <f t="shared" si="28"/>
        <v>0</v>
      </c>
      <c r="T75" s="5"/>
      <c r="U75" s="5">
        <f t="shared" si="32"/>
        <v>0</v>
      </c>
      <c r="V75" s="18"/>
      <c r="W75" s="1" t="e">
        <f t="shared" si="30"/>
        <v>#DIV/0!</v>
      </c>
      <c r="X75" s="1" t="e">
        <f t="shared" si="29"/>
        <v>#DIV/0!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 t="s">
        <v>114</v>
      </c>
      <c r="AJ75" s="1">
        <f t="shared" si="31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9" t="s">
        <v>129</v>
      </c>
      <c r="B76" s="9" t="s">
        <v>39</v>
      </c>
      <c r="C76" s="9"/>
      <c r="D76" s="9"/>
      <c r="E76" s="9"/>
      <c r="F76" s="9"/>
      <c r="G76" s="9">
        <f>VLOOKUP(A76,[1]Лист1!$A:$D,4,0)</f>
        <v>0</v>
      </c>
      <c r="H76" s="9">
        <f t="shared" si="25"/>
        <v>0</v>
      </c>
      <c r="I76" s="10">
        <v>0</v>
      </c>
      <c r="J76" s="9"/>
      <c r="K76" s="9" t="s">
        <v>40</v>
      </c>
      <c r="L76" s="9"/>
      <c r="M76" s="9">
        <v>10</v>
      </c>
      <c r="N76" s="9">
        <f t="shared" si="26"/>
        <v>-10</v>
      </c>
      <c r="O76" s="9">
        <f t="shared" si="27"/>
        <v>0</v>
      </c>
      <c r="P76" s="9"/>
      <c r="Q76" s="9">
        <v>0</v>
      </c>
      <c r="R76" s="9"/>
      <c r="S76" s="9">
        <f t="shared" si="28"/>
        <v>0</v>
      </c>
      <c r="T76" s="11"/>
      <c r="U76" s="5">
        <f t="shared" si="32"/>
        <v>0</v>
      </c>
      <c r="V76" s="18"/>
      <c r="W76" s="1" t="e">
        <f t="shared" si="30"/>
        <v>#DIV/0!</v>
      </c>
      <c r="X76" s="9" t="e">
        <f t="shared" si="29"/>
        <v>#DIV/0!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 t="s">
        <v>110</v>
      </c>
      <c r="AJ76" s="1">
        <f t="shared" si="31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74</v>
      </c>
      <c r="B77" s="1" t="s">
        <v>42</v>
      </c>
      <c r="C77" s="1">
        <v>59</v>
      </c>
      <c r="D77" s="1">
        <v>2601</v>
      </c>
      <c r="E77" s="1">
        <v>923</v>
      </c>
      <c r="F77" s="14">
        <f>1639+F33</f>
        <v>1638</v>
      </c>
      <c r="G77" s="1">
        <f>VLOOKUP(A77,[1]Лист1!$A:$D,4,0)</f>
        <v>256</v>
      </c>
      <c r="H77" s="1">
        <f t="shared" si="25"/>
        <v>1382</v>
      </c>
      <c r="I77" s="7">
        <v>0.35</v>
      </c>
      <c r="J77" s="1">
        <v>50</v>
      </c>
      <c r="K77" s="1" t="s">
        <v>40</v>
      </c>
      <c r="L77" s="1"/>
      <c r="M77" s="1">
        <v>1044</v>
      </c>
      <c r="N77" s="1">
        <f t="shared" si="26"/>
        <v>-121</v>
      </c>
      <c r="O77" s="1">
        <f t="shared" si="27"/>
        <v>699</v>
      </c>
      <c r="P77" s="1">
        <v>224</v>
      </c>
      <c r="Q77" s="1">
        <v>300</v>
      </c>
      <c r="R77" s="1"/>
      <c r="S77" s="1">
        <f t="shared" si="28"/>
        <v>139.80000000000001</v>
      </c>
      <c r="T77" s="5">
        <f>14*S77-R77-Q77-H77</f>
        <v>275.20000000000027</v>
      </c>
      <c r="U77" s="5">
        <f>ROUND(T77+S77,0)</f>
        <v>415</v>
      </c>
      <c r="V77" s="18"/>
      <c r="W77" s="1">
        <f t="shared" si="30"/>
        <v>14.999999999999998</v>
      </c>
      <c r="X77" s="1">
        <f t="shared" si="29"/>
        <v>12.031473533619456</v>
      </c>
      <c r="Y77" s="1">
        <v>31.4</v>
      </c>
      <c r="Z77" s="1">
        <v>171.8</v>
      </c>
      <c r="AA77" s="1">
        <v>167.8</v>
      </c>
      <c r="AB77" s="1">
        <v>88.4</v>
      </c>
      <c r="AC77" s="1">
        <v>88.6</v>
      </c>
      <c r="AD77" s="1">
        <v>163.19999999999999</v>
      </c>
      <c r="AE77" s="1">
        <v>117.6</v>
      </c>
      <c r="AF77" s="1">
        <v>85.6</v>
      </c>
      <c r="AG77" s="1">
        <v>104.4</v>
      </c>
      <c r="AH77" s="1">
        <v>62.8</v>
      </c>
      <c r="AI77" s="1"/>
      <c r="AJ77" s="1">
        <f t="shared" si="31"/>
        <v>145.25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9" t="s">
        <v>130</v>
      </c>
      <c r="B78" s="9" t="s">
        <v>42</v>
      </c>
      <c r="C78" s="9"/>
      <c r="D78" s="9"/>
      <c r="E78" s="9"/>
      <c r="F78" s="9"/>
      <c r="G78" s="9">
        <f>VLOOKUP(A78,[1]Лист1!$A:$D,4,0)</f>
        <v>0</v>
      </c>
      <c r="H78" s="9">
        <f t="shared" si="25"/>
        <v>0</v>
      </c>
      <c r="I78" s="10">
        <v>0</v>
      </c>
      <c r="J78" s="9"/>
      <c r="K78" s="9" t="s">
        <v>40</v>
      </c>
      <c r="L78" s="9"/>
      <c r="M78" s="9"/>
      <c r="N78" s="9">
        <f t="shared" si="26"/>
        <v>0</v>
      </c>
      <c r="O78" s="9">
        <f t="shared" si="27"/>
        <v>0</v>
      </c>
      <c r="P78" s="9"/>
      <c r="Q78" s="9">
        <v>0</v>
      </c>
      <c r="R78" s="9"/>
      <c r="S78" s="9">
        <f t="shared" si="28"/>
        <v>0</v>
      </c>
      <c r="T78" s="11"/>
      <c r="U78" s="5">
        <f t="shared" si="32"/>
        <v>0</v>
      </c>
      <c r="V78" s="18"/>
      <c r="W78" s="1" t="e">
        <f t="shared" si="30"/>
        <v>#DIV/0!</v>
      </c>
      <c r="X78" s="9" t="e">
        <f t="shared" si="29"/>
        <v>#DIV/0!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 t="s">
        <v>110</v>
      </c>
      <c r="AJ78" s="1">
        <f t="shared" si="31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131</v>
      </c>
      <c r="B79" s="1" t="s">
        <v>39</v>
      </c>
      <c r="C79" s="1">
        <v>146.99799999999999</v>
      </c>
      <c r="D79" s="1">
        <v>560.20899999999995</v>
      </c>
      <c r="E79" s="1">
        <v>226.15799999999999</v>
      </c>
      <c r="F79" s="1">
        <v>462.50099999999998</v>
      </c>
      <c r="G79" s="1">
        <f>VLOOKUP(A79,[1]Лист1!$A:$D,4,0)</f>
        <v>196.2</v>
      </c>
      <c r="H79" s="1">
        <f t="shared" si="25"/>
        <v>266.30099999999999</v>
      </c>
      <c r="I79" s="7">
        <v>1</v>
      </c>
      <c r="J79" s="1">
        <v>50</v>
      </c>
      <c r="K79" s="1" t="s">
        <v>40</v>
      </c>
      <c r="L79" s="1"/>
      <c r="M79" s="1">
        <v>238.47</v>
      </c>
      <c r="N79" s="1">
        <f t="shared" si="26"/>
        <v>-12.312000000000012</v>
      </c>
      <c r="O79" s="1">
        <f t="shared" si="27"/>
        <v>153.53399999999999</v>
      </c>
      <c r="P79" s="1">
        <v>72.623999999999995</v>
      </c>
      <c r="Q79" s="1">
        <v>70</v>
      </c>
      <c r="R79" s="1"/>
      <c r="S79" s="1">
        <f t="shared" si="28"/>
        <v>30.706799999999998</v>
      </c>
      <c r="T79" s="5">
        <f t="shared" ref="T79:T81" si="33">14*S79-R79-Q79-H79</f>
        <v>93.594200000000001</v>
      </c>
      <c r="U79" s="5">
        <f t="shared" ref="U79:U80" si="34">ROUND(T79+S79,0)</f>
        <v>124</v>
      </c>
      <c r="V79" s="18"/>
      <c r="W79" s="1">
        <f t="shared" si="30"/>
        <v>14.990197610952624</v>
      </c>
      <c r="X79" s="1">
        <f t="shared" si="29"/>
        <v>10.952004116352079</v>
      </c>
      <c r="Y79" s="1">
        <v>26.449000000000002</v>
      </c>
      <c r="Z79" s="1">
        <v>38.481000000000002</v>
      </c>
      <c r="AA79" s="1">
        <v>36.499000000000002</v>
      </c>
      <c r="AB79" s="1">
        <v>22.372399999999999</v>
      </c>
      <c r="AC79" s="1">
        <v>38.507599999999996</v>
      </c>
      <c r="AD79" s="1">
        <v>29.706199999999999</v>
      </c>
      <c r="AE79" s="1">
        <v>31.820399999999999</v>
      </c>
      <c r="AF79" s="1">
        <v>24.954999999999998</v>
      </c>
      <c r="AG79" s="1">
        <v>19.36</v>
      </c>
      <c r="AH79" s="1">
        <v>20.761800000000001</v>
      </c>
      <c r="AI79" s="1"/>
      <c r="AJ79" s="1">
        <f t="shared" si="31"/>
        <v>124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132</v>
      </c>
      <c r="B80" s="1" t="s">
        <v>39</v>
      </c>
      <c r="C80" s="1">
        <v>105.048</v>
      </c>
      <c r="D80" s="1">
        <v>1086.9480000000001</v>
      </c>
      <c r="E80" s="1">
        <v>383.88900000000001</v>
      </c>
      <c r="F80" s="1">
        <v>776.79100000000005</v>
      </c>
      <c r="G80" s="1">
        <f>VLOOKUP(A80,[1]Лист1!$A:$D,4,0)</f>
        <v>308.27499999999998</v>
      </c>
      <c r="H80" s="1">
        <f t="shared" si="25"/>
        <v>468.51600000000008</v>
      </c>
      <c r="I80" s="7">
        <v>1</v>
      </c>
      <c r="J80" s="1">
        <v>50</v>
      </c>
      <c r="K80" s="1" t="s">
        <v>40</v>
      </c>
      <c r="L80" s="1"/>
      <c r="M80" s="1">
        <v>389.6</v>
      </c>
      <c r="N80" s="1">
        <f t="shared" si="26"/>
        <v>-5.7110000000000127</v>
      </c>
      <c r="O80" s="1">
        <f t="shared" si="27"/>
        <v>298.596</v>
      </c>
      <c r="P80" s="1">
        <v>85.293000000000006</v>
      </c>
      <c r="Q80" s="1">
        <v>150</v>
      </c>
      <c r="R80" s="1"/>
      <c r="S80" s="1">
        <f t="shared" si="28"/>
        <v>59.719200000000001</v>
      </c>
      <c r="T80" s="5">
        <f t="shared" si="33"/>
        <v>217.55279999999993</v>
      </c>
      <c r="U80" s="5">
        <f t="shared" si="34"/>
        <v>277</v>
      </c>
      <c r="V80" s="18"/>
      <c r="W80" s="1">
        <f t="shared" si="30"/>
        <v>14.995445350908922</v>
      </c>
      <c r="X80" s="1">
        <f t="shared" si="29"/>
        <v>10.357071092713902</v>
      </c>
      <c r="Y80" s="1">
        <v>27.568200000000001</v>
      </c>
      <c r="Z80" s="1">
        <v>69.794600000000003</v>
      </c>
      <c r="AA80" s="1">
        <v>60.612000000000002</v>
      </c>
      <c r="AB80" s="1">
        <v>40.339399999999998</v>
      </c>
      <c r="AC80" s="1">
        <v>47.528399999999998</v>
      </c>
      <c r="AD80" s="1">
        <v>59.781599999999997</v>
      </c>
      <c r="AE80" s="1">
        <v>56.038800000000002</v>
      </c>
      <c r="AF80" s="1">
        <v>36.125599999999999</v>
      </c>
      <c r="AG80" s="1">
        <v>28.154199999999999</v>
      </c>
      <c r="AH80" s="1">
        <v>33.9756</v>
      </c>
      <c r="AI80" s="1"/>
      <c r="AJ80" s="1">
        <f t="shared" si="31"/>
        <v>277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133</v>
      </c>
      <c r="B81" s="1" t="s">
        <v>42</v>
      </c>
      <c r="C81" s="1">
        <v>11</v>
      </c>
      <c r="D81" s="1">
        <v>2357</v>
      </c>
      <c r="E81" s="1">
        <v>994</v>
      </c>
      <c r="F81" s="1">
        <v>1254</v>
      </c>
      <c r="G81" s="1">
        <f>VLOOKUP(A81,[1]Лист1!$A:$D,4,0)</f>
        <v>120</v>
      </c>
      <c r="H81" s="1">
        <f t="shared" si="25"/>
        <v>1134</v>
      </c>
      <c r="I81" s="7">
        <v>0.35</v>
      </c>
      <c r="J81" s="1">
        <v>50</v>
      </c>
      <c r="K81" s="1" t="s">
        <v>40</v>
      </c>
      <c r="L81" s="1"/>
      <c r="M81" s="1">
        <v>1150</v>
      </c>
      <c r="N81" s="1">
        <f t="shared" si="26"/>
        <v>-156</v>
      </c>
      <c r="O81" s="1">
        <f t="shared" si="27"/>
        <v>786</v>
      </c>
      <c r="P81" s="1">
        <v>208</v>
      </c>
      <c r="Q81" s="1">
        <v>300</v>
      </c>
      <c r="R81" s="1"/>
      <c r="S81" s="1">
        <f t="shared" si="28"/>
        <v>157.19999999999999</v>
      </c>
      <c r="T81" s="5">
        <f t="shared" si="33"/>
        <v>766.79999999999973</v>
      </c>
      <c r="U81" s="5">
        <f>V81</f>
        <v>900</v>
      </c>
      <c r="V81" s="18">
        <f>VLOOKUP(A81,[2]Sheet!$A:$U,21,0)</f>
        <v>900</v>
      </c>
      <c r="W81" s="1">
        <f t="shared" si="30"/>
        <v>14.847328244274809</v>
      </c>
      <c r="X81" s="1">
        <f t="shared" si="29"/>
        <v>9.1221374045801529</v>
      </c>
      <c r="Y81" s="1">
        <v>83.2</v>
      </c>
      <c r="Z81" s="1">
        <v>181</v>
      </c>
      <c r="AA81" s="1">
        <v>164.4</v>
      </c>
      <c r="AB81" s="1">
        <v>112.2</v>
      </c>
      <c r="AC81" s="1">
        <v>124.6</v>
      </c>
      <c r="AD81" s="1">
        <v>139</v>
      </c>
      <c r="AE81" s="1">
        <v>128</v>
      </c>
      <c r="AF81" s="1">
        <v>104.2</v>
      </c>
      <c r="AG81" s="1">
        <v>95.2</v>
      </c>
      <c r="AH81" s="1">
        <v>90</v>
      </c>
      <c r="AI81" s="1"/>
      <c r="AJ81" s="1">
        <f t="shared" si="31"/>
        <v>315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9" t="s">
        <v>134</v>
      </c>
      <c r="B82" s="9" t="s">
        <v>42</v>
      </c>
      <c r="C82" s="9">
        <v>84</v>
      </c>
      <c r="D82" s="9">
        <v>103</v>
      </c>
      <c r="E82" s="9">
        <v>108</v>
      </c>
      <c r="F82" s="9">
        <v>72</v>
      </c>
      <c r="G82" s="9">
        <f>VLOOKUP(A82,[1]Лист1!$A:$D,4,0)</f>
        <v>40</v>
      </c>
      <c r="H82" s="9">
        <f t="shared" si="25"/>
        <v>32</v>
      </c>
      <c r="I82" s="10">
        <v>0</v>
      </c>
      <c r="J82" s="9"/>
      <c r="K82" s="9" t="s">
        <v>62</v>
      </c>
      <c r="L82" s="9"/>
      <c r="M82" s="9">
        <v>145</v>
      </c>
      <c r="N82" s="9">
        <f t="shared" si="26"/>
        <v>-37</v>
      </c>
      <c r="O82" s="9">
        <f t="shared" si="27"/>
        <v>52</v>
      </c>
      <c r="P82" s="9">
        <v>56</v>
      </c>
      <c r="Q82" s="9">
        <v>0</v>
      </c>
      <c r="R82" s="9"/>
      <c r="S82" s="9">
        <f t="shared" si="28"/>
        <v>10.4</v>
      </c>
      <c r="T82" s="11"/>
      <c r="U82" s="5">
        <f t="shared" si="32"/>
        <v>0</v>
      </c>
      <c r="V82" s="18"/>
      <c r="W82" s="1">
        <f t="shared" si="30"/>
        <v>3.0769230769230766</v>
      </c>
      <c r="X82" s="9">
        <f t="shared" si="29"/>
        <v>3.0769230769230766</v>
      </c>
      <c r="Y82" s="9">
        <v>5.2</v>
      </c>
      <c r="Z82" s="9">
        <v>3.6</v>
      </c>
      <c r="AA82" s="9">
        <v>3.2</v>
      </c>
      <c r="AB82" s="9">
        <v>4.8</v>
      </c>
      <c r="AC82" s="9">
        <v>6.4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13" t="s">
        <v>135</v>
      </c>
      <c r="AJ82" s="1">
        <f t="shared" si="31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136</v>
      </c>
      <c r="B83" s="1" t="s">
        <v>42</v>
      </c>
      <c r="C83" s="1">
        <v>1</v>
      </c>
      <c r="D83" s="1">
        <v>494</v>
      </c>
      <c r="E83" s="1">
        <v>238</v>
      </c>
      <c r="F83" s="1">
        <v>231</v>
      </c>
      <c r="G83" s="1">
        <f>VLOOKUP(A83,[1]Лист1!$A:$D,4,0)</f>
        <v>36</v>
      </c>
      <c r="H83" s="1">
        <f t="shared" si="25"/>
        <v>195</v>
      </c>
      <c r="I83" s="7">
        <v>0.3</v>
      </c>
      <c r="J83" s="1">
        <v>50</v>
      </c>
      <c r="K83" s="1" t="s">
        <v>40</v>
      </c>
      <c r="L83" s="1"/>
      <c r="M83" s="1">
        <v>336</v>
      </c>
      <c r="N83" s="1">
        <f t="shared" si="26"/>
        <v>-98</v>
      </c>
      <c r="O83" s="1">
        <f t="shared" si="27"/>
        <v>190</v>
      </c>
      <c r="P83" s="1">
        <v>48</v>
      </c>
      <c r="Q83" s="1">
        <v>50</v>
      </c>
      <c r="R83" s="1"/>
      <c r="S83" s="1">
        <f t="shared" si="28"/>
        <v>38</v>
      </c>
      <c r="T83" s="5">
        <f t="shared" ref="T83:T86" si="35">14*S83-R83-Q83-H83</f>
        <v>287</v>
      </c>
      <c r="U83" s="5">
        <f>ROUND(T83+S83,0)</f>
        <v>325</v>
      </c>
      <c r="V83" s="18"/>
      <c r="W83" s="1">
        <f t="shared" si="30"/>
        <v>15</v>
      </c>
      <c r="X83" s="1">
        <f t="shared" si="29"/>
        <v>6.4473684210526319</v>
      </c>
      <c r="Y83" s="1">
        <v>4</v>
      </c>
      <c r="Z83" s="1">
        <v>39.200000000000003</v>
      </c>
      <c r="AA83" s="1">
        <v>26.6</v>
      </c>
      <c r="AB83" s="1">
        <v>20.6</v>
      </c>
      <c r="AC83" s="1">
        <v>23</v>
      </c>
      <c r="AD83" s="1">
        <v>20</v>
      </c>
      <c r="AE83" s="1">
        <v>27</v>
      </c>
      <c r="AF83" s="1">
        <v>28.2</v>
      </c>
      <c r="AG83" s="1">
        <v>19.2</v>
      </c>
      <c r="AH83" s="1">
        <v>21.6</v>
      </c>
      <c r="AI83" s="1"/>
      <c r="AJ83" s="1">
        <f t="shared" si="31"/>
        <v>97.5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137</v>
      </c>
      <c r="B84" s="1" t="s">
        <v>42</v>
      </c>
      <c r="C84" s="1">
        <v>2</v>
      </c>
      <c r="D84" s="1">
        <v>81</v>
      </c>
      <c r="E84" s="1">
        <v>62</v>
      </c>
      <c r="F84" s="1">
        <v>12</v>
      </c>
      <c r="G84" s="1">
        <f>VLOOKUP(A84,[1]Лист1!$A:$D,4,0)</f>
        <v>0</v>
      </c>
      <c r="H84" s="1">
        <f t="shared" si="25"/>
        <v>12</v>
      </c>
      <c r="I84" s="7">
        <v>0.3</v>
      </c>
      <c r="J84" s="1">
        <v>60</v>
      </c>
      <c r="K84" s="1" t="s">
        <v>40</v>
      </c>
      <c r="L84" s="1"/>
      <c r="M84" s="1">
        <v>114</v>
      </c>
      <c r="N84" s="1">
        <f t="shared" si="26"/>
        <v>-52</v>
      </c>
      <c r="O84" s="1">
        <f t="shared" si="27"/>
        <v>62</v>
      </c>
      <c r="P84" s="1"/>
      <c r="Q84" s="1">
        <v>50</v>
      </c>
      <c r="R84" s="1"/>
      <c r="S84" s="1">
        <f t="shared" si="28"/>
        <v>12.4</v>
      </c>
      <c r="T84" s="5">
        <f>13*S84-R84-Q84-H84</f>
        <v>99.200000000000017</v>
      </c>
      <c r="U84" s="5">
        <f t="shared" si="32"/>
        <v>99</v>
      </c>
      <c r="V84" s="18"/>
      <c r="W84" s="1">
        <f t="shared" si="30"/>
        <v>12.983870967741936</v>
      </c>
      <c r="X84" s="1">
        <f t="shared" si="29"/>
        <v>5</v>
      </c>
      <c r="Y84" s="1">
        <v>8</v>
      </c>
      <c r="Z84" s="1">
        <v>5.2</v>
      </c>
      <c r="AA84" s="1">
        <v>9.6</v>
      </c>
      <c r="AB84" s="1">
        <v>8.4</v>
      </c>
      <c r="AC84" s="1">
        <v>4.5999999999999996</v>
      </c>
      <c r="AD84" s="1">
        <v>4</v>
      </c>
      <c r="AE84" s="1">
        <v>7.8</v>
      </c>
      <c r="AF84" s="1">
        <v>5.8</v>
      </c>
      <c r="AG84" s="1">
        <v>9</v>
      </c>
      <c r="AH84" s="1">
        <v>6.4</v>
      </c>
      <c r="AI84" s="1"/>
      <c r="AJ84" s="1">
        <f t="shared" si="31"/>
        <v>29.7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138</v>
      </c>
      <c r="B85" s="1" t="s">
        <v>42</v>
      </c>
      <c r="C85" s="1">
        <v>4</v>
      </c>
      <c r="D85" s="1">
        <v>1528</v>
      </c>
      <c r="E85" s="1">
        <v>578</v>
      </c>
      <c r="F85" s="1">
        <v>877</v>
      </c>
      <c r="G85" s="1">
        <f>VLOOKUP(A85,[1]Лист1!$A:$D,4,0)</f>
        <v>0</v>
      </c>
      <c r="H85" s="1">
        <f t="shared" si="25"/>
        <v>877</v>
      </c>
      <c r="I85" s="7">
        <v>0.28000000000000003</v>
      </c>
      <c r="J85" s="1">
        <v>50</v>
      </c>
      <c r="K85" s="1" t="s">
        <v>40</v>
      </c>
      <c r="L85" s="1"/>
      <c r="M85" s="1">
        <v>743</v>
      </c>
      <c r="N85" s="1">
        <f t="shared" si="26"/>
        <v>-165</v>
      </c>
      <c r="O85" s="1">
        <f t="shared" si="27"/>
        <v>434</v>
      </c>
      <c r="P85" s="1">
        <v>144</v>
      </c>
      <c r="Q85" s="1">
        <v>0</v>
      </c>
      <c r="R85" s="1"/>
      <c r="S85" s="1">
        <f t="shared" si="28"/>
        <v>86.8</v>
      </c>
      <c r="T85" s="5">
        <f t="shared" si="35"/>
        <v>338.20000000000005</v>
      </c>
      <c r="U85" s="5">
        <f t="shared" ref="U85:U86" si="36">ROUND(T85+S85,0)</f>
        <v>425</v>
      </c>
      <c r="V85" s="18"/>
      <c r="W85" s="1">
        <f t="shared" si="30"/>
        <v>15</v>
      </c>
      <c r="X85" s="1">
        <f t="shared" si="29"/>
        <v>10.103686635944701</v>
      </c>
      <c r="Y85" s="1">
        <v>22</v>
      </c>
      <c r="Z85" s="1">
        <v>110.6</v>
      </c>
      <c r="AA85" s="1">
        <v>99.4</v>
      </c>
      <c r="AB85" s="1">
        <v>52.6</v>
      </c>
      <c r="AC85" s="1">
        <v>55.4</v>
      </c>
      <c r="AD85" s="1">
        <v>88.4</v>
      </c>
      <c r="AE85" s="1">
        <v>94.2</v>
      </c>
      <c r="AF85" s="1">
        <v>52.8</v>
      </c>
      <c r="AG85" s="1">
        <v>65.599999999999994</v>
      </c>
      <c r="AH85" s="1">
        <v>54.8</v>
      </c>
      <c r="AI85" s="1"/>
      <c r="AJ85" s="1">
        <f t="shared" si="31"/>
        <v>119.00000000000001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139</v>
      </c>
      <c r="B86" s="1" t="s">
        <v>42</v>
      </c>
      <c r="C86" s="1">
        <v>7</v>
      </c>
      <c r="D86" s="1">
        <v>1487</v>
      </c>
      <c r="E86" s="1">
        <v>594</v>
      </c>
      <c r="F86" s="1">
        <v>851</v>
      </c>
      <c r="G86" s="1">
        <f>VLOOKUP(A86,[1]Лист1!$A:$D,4,0)</f>
        <v>40</v>
      </c>
      <c r="H86" s="1">
        <f t="shared" si="25"/>
        <v>811</v>
      </c>
      <c r="I86" s="7">
        <v>0.28000000000000003</v>
      </c>
      <c r="J86" s="1">
        <v>45</v>
      </c>
      <c r="K86" s="1" t="s">
        <v>40</v>
      </c>
      <c r="L86" s="1"/>
      <c r="M86" s="1">
        <v>708</v>
      </c>
      <c r="N86" s="1">
        <f t="shared" si="26"/>
        <v>-114</v>
      </c>
      <c r="O86" s="1">
        <f t="shared" si="27"/>
        <v>434</v>
      </c>
      <c r="P86" s="1">
        <v>160</v>
      </c>
      <c r="Q86" s="1">
        <v>200</v>
      </c>
      <c r="R86" s="1"/>
      <c r="S86" s="1">
        <f t="shared" si="28"/>
        <v>86.8</v>
      </c>
      <c r="T86" s="5">
        <f t="shared" si="35"/>
        <v>204.20000000000005</v>
      </c>
      <c r="U86" s="5">
        <f t="shared" si="36"/>
        <v>291</v>
      </c>
      <c r="V86" s="18"/>
      <c r="W86" s="1">
        <f t="shared" si="30"/>
        <v>15</v>
      </c>
      <c r="X86" s="1">
        <f t="shared" si="29"/>
        <v>11.64746543778802</v>
      </c>
      <c r="Y86" s="1">
        <v>43.4</v>
      </c>
      <c r="Z86" s="1">
        <v>132</v>
      </c>
      <c r="AA86" s="1">
        <v>102</v>
      </c>
      <c r="AB86" s="1">
        <v>67.599999999999994</v>
      </c>
      <c r="AC86" s="1">
        <v>86.6</v>
      </c>
      <c r="AD86" s="1">
        <v>90.2</v>
      </c>
      <c r="AE86" s="1">
        <v>81.8</v>
      </c>
      <c r="AF86" s="1">
        <v>59.8</v>
      </c>
      <c r="AG86" s="1">
        <v>55.2</v>
      </c>
      <c r="AH86" s="1">
        <v>44.4</v>
      </c>
      <c r="AI86" s="1"/>
      <c r="AJ86" s="1">
        <f t="shared" si="31"/>
        <v>81.48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9" t="s">
        <v>140</v>
      </c>
      <c r="B87" s="9" t="s">
        <v>42</v>
      </c>
      <c r="C87" s="9">
        <v>140</v>
      </c>
      <c r="D87" s="9"/>
      <c r="E87" s="9"/>
      <c r="F87" s="9">
        <v>140</v>
      </c>
      <c r="G87" s="9">
        <f>VLOOKUP(A87,[1]Лист1!$A:$D,4,0)</f>
        <v>0</v>
      </c>
      <c r="H87" s="9">
        <f t="shared" si="25"/>
        <v>140</v>
      </c>
      <c r="I87" s="10">
        <v>0</v>
      </c>
      <c r="J87" s="9"/>
      <c r="K87" s="9" t="s">
        <v>62</v>
      </c>
      <c r="L87" s="9"/>
      <c r="M87" s="9"/>
      <c r="N87" s="9">
        <f t="shared" si="26"/>
        <v>0</v>
      </c>
      <c r="O87" s="9">
        <f t="shared" si="27"/>
        <v>0</v>
      </c>
      <c r="P87" s="9"/>
      <c r="Q87" s="9">
        <v>0</v>
      </c>
      <c r="R87" s="9"/>
      <c r="S87" s="9">
        <f t="shared" si="28"/>
        <v>0</v>
      </c>
      <c r="T87" s="11"/>
      <c r="U87" s="5">
        <f t="shared" si="32"/>
        <v>0</v>
      </c>
      <c r="V87" s="18"/>
      <c r="W87" s="1" t="e">
        <f t="shared" si="30"/>
        <v>#DIV/0!</v>
      </c>
      <c r="X87" s="9" t="e">
        <f t="shared" si="29"/>
        <v>#DIV/0!</v>
      </c>
      <c r="Y87" s="9">
        <v>0</v>
      </c>
      <c r="Z87" s="9">
        <v>0.4</v>
      </c>
      <c r="AA87" s="9">
        <v>6.4</v>
      </c>
      <c r="AB87" s="9">
        <v>0</v>
      </c>
      <c r="AC87" s="9">
        <v>1.6</v>
      </c>
      <c r="AD87" s="9">
        <v>3.2</v>
      </c>
      <c r="AE87" s="9">
        <v>0</v>
      </c>
      <c r="AF87" s="9">
        <v>0</v>
      </c>
      <c r="AG87" s="9">
        <v>0</v>
      </c>
      <c r="AH87" s="9">
        <v>0</v>
      </c>
      <c r="AI87" s="12" t="s">
        <v>63</v>
      </c>
      <c r="AJ87" s="1">
        <f t="shared" si="31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141</v>
      </c>
      <c r="B88" s="1" t="s">
        <v>42</v>
      </c>
      <c r="C88" s="1">
        <v>27</v>
      </c>
      <c r="D88" s="1">
        <v>1151</v>
      </c>
      <c r="E88" s="1">
        <v>556</v>
      </c>
      <c r="F88" s="1">
        <v>578</v>
      </c>
      <c r="G88" s="1">
        <f>VLOOKUP(A88,[1]Лист1!$A:$D,4,0)</f>
        <v>32</v>
      </c>
      <c r="H88" s="1">
        <f t="shared" si="25"/>
        <v>546</v>
      </c>
      <c r="I88" s="7">
        <v>0.28000000000000003</v>
      </c>
      <c r="J88" s="1">
        <v>45</v>
      </c>
      <c r="K88" s="1" t="s">
        <v>40</v>
      </c>
      <c r="L88" s="1"/>
      <c r="M88" s="1">
        <v>637</v>
      </c>
      <c r="N88" s="1">
        <f t="shared" si="26"/>
        <v>-81</v>
      </c>
      <c r="O88" s="1">
        <f t="shared" si="27"/>
        <v>404</v>
      </c>
      <c r="P88" s="1">
        <v>152</v>
      </c>
      <c r="Q88" s="1">
        <v>100</v>
      </c>
      <c r="R88" s="1"/>
      <c r="S88" s="1">
        <f t="shared" si="28"/>
        <v>80.8</v>
      </c>
      <c r="T88" s="5">
        <f t="shared" ref="T88:T89" si="37">14*S88-R88-Q88-H88</f>
        <v>485.20000000000005</v>
      </c>
      <c r="U88" s="5">
        <f t="shared" ref="U88:U89" si="38">ROUND(T88+S88,0)</f>
        <v>566</v>
      </c>
      <c r="V88" s="18"/>
      <c r="W88" s="1">
        <f t="shared" si="30"/>
        <v>15</v>
      </c>
      <c r="X88" s="1">
        <f t="shared" si="29"/>
        <v>7.9950495049504955</v>
      </c>
      <c r="Y88" s="1">
        <v>37.200000000000003</v>
      </c>
      <c r="Z88" s="1">
        <v>103.2</v>
      </c>
      <c r="AA88" s="1">
        <v>77.2</v>
      </c>
      <c r="AB88" s="1">
        <v>52.2</v>
      </c>
      <c r="AC88" s="1">
        <v>71.8</v>
      </c>
      <c r="AD88" s="1">
        <v>70.8</v>
      </c>
      <c r="AE88" s="1">
        <v>74.2</v>
      </c>
      <c r="AF88" s="1">
        <v>48.8</v>
      </c>
      <c r="AG88" s="1">
        <v>44.4</v>
      </c>
      <c r="AH88" s="1">
        <v>43.2</v>
      </c>
      <c r="AI88" s="1"/>
      <c r="AJ88" s="1">
        <f t="shared" si="31"/>
        <v>158.48000000000002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142</v>
      </c>
      <c r="B89" s="1" t="s">
        <v>42</v>
      </c>
      <c r="C89" s="1">
        <v>26</v>
      </c>
      <c r="D89" s="1">
        <v>1646</v>
      </c>
      <c r="E89" s="1">
        <v>969</v>
      </c>
      <c r="F89" s="1">
        <v>665</v>
      </c>
      <c r="G89" s="1">
        <f>VLOOKUP(A89,[1]Лист1!$A:$D,4,0)</f>
        <v>156</v>
      </c>
      <c r="H89" s="1">
        <f t="shared" si="25"/>
        <v>509</v>
      </c>
      <c r="I89" s="7">
        <v>0.4</v>
      </c>
      <c r="J89" s="1">
        <v>50</v>
      </c>
      <c r="K89" s="1" t="s">
        <v>40</v>
      </c>
      <c r="L89" s="1"/>
      <c r="M89" s="1">
        <v>1002</v>
      </c>
      <c r="N89" s="1">
        <f t="shared" si="26"/>
        <v>-33</v>
      </c>
      <c r="O89" s="1">
        <f t="shared" si="27"/>
        <v>849</v>
      </c>
      <c r="P89" s="1">
        <v>120</v>
      </c>
      <c r="Q89" s="1">
        <v>1200</v>
      </c>
      <c r="R89" s="1">
        <v>150</v>
      </c>
      <c r="S89" s="1">
        <f t="shared" si="28"/>
        <v>169.8</v>
      </c>
      <c r="T89" s="5">
        <f t="shared" si="37"/>
        <v>518.20000000000027</v>
      </c>
      <c r="U89" s="5">
        <f t="shared" si="38"/>
        <v>688</v>
      </c>
      <c r="V89" s="18"/>
      <c r="W89" s="1">
        <f t="shared" si="30"/>
        <v>14.999999999999998</v>
      </c>
      <c r="X89" s="1">
        <f t="shared" si="29"/>
        <v>10.948174322732626</v>
      </c>
      <c r="Y89" s="1">
        <v>144.4</v>
      </c>
      <c r="Z89" s="1">
        <v>147.80000000000001</v>
      </c>
      <c r="AA89" s="1">
        <v>187.2</v>
      </c>
      <c r="AB89" s="1">
        <v>136.4</v>
      </c>
      <c r="AC89" s="1">
        <v>73</v>
      </c>
      <c r="AD89" s="1">
        <v>123.8</v>
      </c>
      <c r="AE89" s="1">
        <v>112.6</v>
      </c>
      <c r="AF89" s="1">
        <v>89.6</v>
      </c>
      <c r="AG89" s="1">
        <v>96</v>
      </c>
      <c r="AH89" s="1">
        <v>94.4</v>
      </c>
      <c r="AI89" s="1"/>
      <c r="AJ89" s="1">
        <f t="shared" si="31"/>
        <v>275.2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9" t="s">
        <v>143</v>
      </c>
      <c r="B90" s="9" t="s">
        <v>42</v>
      </c>
      <c r="C90" s="9">
        <v>-1</v>
      </c>
      <c r="D90" s="9"/>
      <c r="E90" s="14">
        <v>5</v>
      </c>
      <c r="F90" s="14">
        <v>-6</v>
      </c>
      <c r="G90" s="9">
        <f>VLOOKUP(A90,[1]Лист1!$A:$D,4,0)</f>
        <v>0</v>
      </c>
      <c r="H90" s="9">
        <f t="shared" si="25"/>
        <v>-6</v>
      </c>
      <c r="I90" s="10">
        <v>0</v>
      </c>
      <c r="J90" s="9"/>
      <c r="K90" s="9" t="s">
        <v>62</v>
      </c>
      <c r="L90" s="9" t="s">
        <v>144</v>
      </c>
      <c r="M90" s="9">
        <v>85</v>
      </c>
      <c r="N90" s="9">
        <f t="shared" si="26"/>
        <v>-80</v>
      </c>
      <c r="O90" s="9">
        <f t="shared" si="27"/>
        <v>5</v>
      </c>
      <c r="P90" s="9"/>
      <c r="Q90" s="9">
        <v>0</v>
      </c>
      <c r="R90" s="9"/>
      <c r="S90" s="9">
        <f t="shared" si="28"/>
        <v>1</v>
      </c>
      <c r="T90" s="11"/>
      <c r="U90" s="5">
        <f t="shared" si="32"/>
        <v>0</v>
      </c>
      <c r="V90" s="18"/>
      <c r="W90" s="1">
        <f t="shared" si="30"/>
        <v>-6</v>
      </c>
      <c r="X90" s="9">
        <f t="shared" si="29"/>
        <v>-6</v>
      </c>
      <c r="Y90" s="9">
        <v>0</v>
      </c>
      <c r="Z90" s="9">
        <v>0.2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/>
      <c r="AJ90" s="1">
        <f t="shared" si="31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145</v>
      </c>
      <c r="B91" s="1" t="s">
        <v>39</v>
      </c>
      <c r="C91" s="1">
        <v>103.636</v>
      </c>
      <c r="D91" s="1">
        <v>4.069</v>
      </c>
      <c r="E91" s="1">
        <v>25.457999999999998</v>
      </c>
      <c r="F91" s="1">
        <v>77.858000000000004</v>
      </c>
      <c r="G91" s="1">
        <f>VLOOKUP(A91,[1]Лист1!$A:$D,4,0)</f>
        <v>0</v>
      </c>
      <c r="H91" s="1">
        <f t="shared" si="25"/>
        <v>77.858000000000004</v>
      </c>
      <c r="I91" s="7">
        <v>1</v>
      </c>
      <c r="J91" s="1">
        <v>30</v>
      </c>
      <c r="K91" s="1" t="s">
        <v>40</v>
      </c>
      <c r="L91" s="1"/>
      <c r="M91" s="1">
        <v>41.2</v>
      </c>
      <c r="N91" s="1">
        <f t="shared" si="26"/>
        <v>-15.742000000000004</v>
      </c>
      <c r="O91" s="1">
        <f t="shared" si="27"/>
        <v>25.457999999999998</v>
      </c>
      <c r="P91" s="1"/>
      <c r="Q91" s="1">
        <v>0</v>
      </c>
      <c r="R91" s="1"/>
      <c r="S91" s="1">
        <f t="shared" si="28"/>
        <v>5.0915999999999997</v>
      </c>
      <c r="T91" s="5"/>
      <c r="U91" s="5">
        <f t="shared" si="32"/>
        <v>0</v>
      </c>
      <c r="V91" s="18"/>
      <c r="W91" s="1">
        <f t="shared" si="30"/>
        <v>15.291460444653941</v>
      </c>
      <c r="X91" s="1">
        <f t="shared" si="29"/>
        <v>15.291460444653941</v>
      </c>
      <c r="Y91" s="1">
        <v>3.8393999999999999</v>
      </c>
      <c r="Z91" s="1">
        <v>4.0342000000000002</v>
      </c>
      <c r="AA91" s="1">
        <v>9.1999999999999998E-2</v>
      </c>
      <c r="AB91" s="1">
        <v>3.0341999999999998</v>
      </c>
      <c r="AC91" s="1">
        <v>4.6256000000000004</v>
      </c>
      <c r="AD91" s="1">
        <v>0.94879999999999998</v>
      </c>
      <c r="AE91" s="1">
        <v>0.78600000000000003</v>
      </c>
      <c r="AF91" s="1">
        <v>0</v>
      </c>
      <c r="AG91" s="1">
        <v>0</v>
      </c>
      <c r="AH91" s="1">
        <v>0</v>
      </c>
      <c r="AI91" s="12" t="s">
        <v>146</v>
      </c>
      <c r="AJ91" s="1">
        <f t="shared" si="31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9" t="s">
        <v>147</v>
      </c>
      <c r="B92" s="9" t="s">
        <v>42</v>
      </c>
      <c r="C92" s="9">
        <v>3</v>
      </c>
      <c r="D92" s="9">
        <v>37</v>
      </c>
      <c r="E92" s="9">
        <v>12</v>
      </c>
      <c r="F92" s="9">
        <v>23</v>
      </c>
      <c r="G92" s="9">
        <f>VLOOKUP(A92,[1]Лист1!$A:$D,4,0)</f>
        <v>0</v>
      </c>
      <c r="H92" s="9">
        <f t="shared" si="25"/>
        <v>23</v>
      </c>
      <c r="I92" s="10">
        <v>0</v>
      </c>
      <c r="J92" s="9">
        <v>50</v>
      </c>
      <c r="K92" s="9" t="s">
        <v>77</v>
      </c>
      <c r="L92" s="9"/>
      <c r="M92" s="9">
        <v>104</v>
      </c>
      <c r="N92" s="9">
        <f t="shared" si="26"/>
        <v>-92</v>
      </c>
      <c r="O92" s="9">
        <f t="shared" si="27"/>
        <v>12</v>
      </c>
      <c r="P92" s="9"/>
      <c r="Q92" s="9">
        <v>0</v>
      </c>
      <c r="R92" s="9"/>
      <c r="S92" s="9">
        <f t="shared" si="28"/>
        <v>2.4</v>
      </c>
      <c r="T92" s="11"/>
      <c r="U92" s="5">
        <f t="shared" si="32"/>
        <v>0</v>
      </c>
      <c r="V92" s="18"/>
      <c r="W92" s="1">
        <f t="shared" si="30"/>
        <v>9.5833333333333339</v>
      </c>
      <c r="X92" s="9">
        <f t="shared" si="29"/>
        <v>9.5833333333333339</v>
      </c>
      <c r="Y92" s="9">
        <v>4.4000000000000004</v>
      </c>
      <c r="Z92" s="9">
        <v>4</v>
      </c>
      <c r="AA92" s="9">
        <v>4.4000000000000004</v>
      </c>
      <c r="AB92" s="9">
        <v>5.4</v>
      </c>
      <c r="AC92" s="9">
        <v>2.8</v>
      </c>
      <c r="AD92" s="9">
        <v>5.2</v>
      </c>
      <c r="AE92" s="9">
        <v>5.6</v>
      </c>
      <c r="AF92" s="9">
        <v>4.4000000000000004</v>
      </c>
      <c r="AG92" s="9">
        <v>3.6</v>
      </c>
      <c r="AH92" s="9">
        <v>6.4</v>
      </c>
      <c r="AI92" s="9"/>
      <c r="AJ92" s="1">
        <f t="shared" si="31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9" t="s">
        <v>148</v>
      </c>
      <c r="B93" s="9" t="s">
        <v>42</v>
      </c>
      <c r="C93" s="9">
        <v>280</v>
      </c>
      <c r="D93" s="9"/>
      <c r="E93" s="9"/>
      <c r="F93" s="9">
        <v>280</v>
      </c>
      <c r="G93" s="9">
        <f>VLOOKUP(A93,[1]Лист1!$A:$D,4,0)</f>
        <v>0</v>
      </c>
      <c r="H93" s="9">
        <f t="shared" si="25"/>
        <v>280</v>
      </c>
      <c r="I93" s="10">
        <v>0</v>
      </c>
      <c r="J93" s="9"/>
      <c r="K93" s="9" t="s">
        <v>62</v>
      </c>
      <c r="L93" s="9"/>
      <c r="M93" s="9"/>
      <c r="N93" s="9">
        <f t="shared" si="26"/>
        <v>0</v>
      </c>
      <c r="O93" s="9">
        <f t="shared" si="27"/>
        <v>0</v>
      </c>
      <c r="P93" s="9"/>
      <c r="Q93" s="9">
        <v>0</v>
      </c>
      <c r="R93" s="9"/>
      <c r="S93" s="9">
        <f t="shared" si="28"/>
        <v>0</v>
      </c>
      <c r="T93" s="11"/>
      <c r="U93" s="5">
        <f t="shared" si="32"/>
        <v>0</v>
      </c>
      <c r="V93" s="18"/>
      <c r="W93" s="1" t="e">
        <f t="shared" si="30"/>
        <v>#DIV/0!</v>
      </c>
      <c r="X93" s="9" t="e">
        <f t="shared" si="29"/>
        <v>#DIV/0!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12" t="s">
        <v>63</v>
      </c>
      <c r="AJ93" s="1">
        <f t="shared" si="31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5" t="s">
        <v>149</v>
      </c>
      <c r="B94" s="1" t="s">
        <v>42</v>
      </c>
      <c r="C94" s="1"/>
      <c r="D94" s="1"/>
      <c r="E94" s="1"/>
      <c r="F94" s="1"/>
      <c r="G94" s="1">
        <f>VLOOKUP(A94,[1]Лист1!$A:$D,4,0)</f>
        <v>0</v>
      </c>
      <c r="H94" s="1">
        <f t="shared" si="25"/>
        <v>0</v>
      </c>
      <c r="I94" s="7">
        <v>0.33800000000000002</v>
      </c>
      <c r="J94" s="1" t="s">
        <v>150</v>
      </c>
      <c r="K94" s="1" t="s">
        <v>40</v>
      </c>
      <c r="L94" s="1"/>
      <c r="M94" s="1"/>
      <c r="N94" s="1">
        <f t="shared" si="26"/>
        <v>0</v>
      </c>
      <c r="O94" s="1">
        <f t="shared" si="27"/>
        <v>0</v>
      </c>
      <c r="P94" s="1"/>
      <c r="Q94" s="1">
        <v>300</v>
      </c>
      <c r="R94" s="1"/>
      <c r="S94" s="1">
        <f t="shared" si="28"/>
        <v>0</v>
      </c>
      <c r="T94" s="5"/>
      <c r="U94" s="5">
        <f t="shared" si="32"/>
        <v>0</v>
      </c>
      <c r="V94" s="18"/>
      <c r="W94" s="1" t="e">
        <f t="shared" si="30"/>
        <v>#DIV/0!</v>
      </c>
      <c r="X94" s="1" t="e">
        <f t="shared" si="29"/>
        <v>#DIV/0!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 t="s">
        <v>114</v>
      </c>
      <c r="AJ94" s="1">
        <f t="shared" si="31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5" t="s">
        <v>151</v>
      </c>
      <c r="B95" s="1" t="s">
        <v>42</v>
      </c>
      <c r="C95" s="1"/>
      <c r="D95" s="1"/>
      <c r="E95" s="1"/>
      <c r="F95" s="1"/>
      <c r="G95" s="1">
        <f>VLOOKUP(A95,[1]Лист1!$A:$D,4,0)</f>
        <v>0</v>
      </c>
      <c r="H95" s="1">
        <f t="shared" si="25"/>
        <v>0</v>
      </c>
      <c r="I95" s="7">
        <v>0.32500000000000001</v>
      </c>
      <c r="J95" s="1" t="s">
        <v>150</v>
      </c>
      <c r="K95" s="1" t="s">
        <v>40</v>
      </c>
      <c r="L95" s="1"/>
      <c r="M95" s="1"/>
      <c r="N95" s="1">
        <f t="shared" si="26"/>
        <v>0</v>
      </c>
      <c r="O95" s="1">
        <f t="shared" si="27"/>
        <v>0</v>
      </c>
      <c r="P95" s="1"/>
      <c r="Q95" s="1">
        <v>300</v>
      </c>
      <c r="R95" s="1"/>
      <c r="S95" s="1">
        <f t="shared" si="28"/>
        <v>0</v>
      </c>
      <c r="T95" s="5"/>
      <c r="U95" s="5">
        <f t="shared" si="32"/>
        <v>0</v>
      </c>
      <c r="V95" s="18"/>
      <c r="W95" s="1" t="e">
        <f t="shared" si="30"/>
        <v>#DIV/0!</v>
      </c>
      <c r="X95" s="1" t="e">
        <f t="shared" si="29"/>
        <v>#DIV/0!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 t="s">
        <v>114</v>
      </c>
      <c r="AJ95" s="1">
        <f t="shared" si="31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5" t="s">
        <v>152</v>
      </c>
      <c r="B96" s="1" t="s">
        <v>42</v>
      </c>
      <c r="C96" s="1">
        <v>49</v>
      </c>
      <c r="D96" s="1">
        <v>973</v>
      </c>
      <c r="E96" s="1">
        <v>482</v>
      </c>
      <c r="F96" s="1">
        <v>519</v>
      </c>
      <c r="G96" s="1">
        <f>VLOOKUP(A96,[1]Лист1!$A:$D,4,0)</f>
        <v>0</v>
      </c>
      <c r="H96" s="1">
        <f t="shared" si="25"/>
        <v>519</v>
      </c>
      <c r="I96" s="7">
        <v>0.12</v>
      </c>
      <c r="J96" s="1">
        <v>60</v>
      </c>
      <c r="K96" s="1" t="s">
        <v>40</v>
      </c>
      <c r="L96" s="1"/>
      <c r="M96" s="1">
        <v>553</v>
      </c>
      <c r="N96" s="1">
        <f t="shared" si="26"/>
        <v>-71</v>
      </c>
      <c r="O96" s="1">
        <f t="shared" si="27"/>
        <v>386</v>
      </c>
      <c r="P96" s="1">
        <v>96</v>
      </c>
      <c r="Q96" s="1">
        <v>0</v>
      </c>
      <c r="R96" s="1"/>
      <c r="S96" s="1">
        <f t="shared" si="28"/>
        <v>77.2</v>
      </c>
      <c r="T96" s="5">
        <f t="shared" ref="T96:T106" si="39">14*S96-R96-Q96-H96</f>
        <v>561.79999999999995</v>
      </c>
      <c r="U96" s="5">
        <f>ROUND(T96+S96,0)</f>
        <v>639</v>
      </c>
      <c r="V96" s="18"/>
      <c r="W96" s="1">
        <f t="shared" si="30"/>
        <v>15</v>
      </c>
      <c r="X96" s="1">
        <f t="shared" si="29"/>
        <v>6.7227979274611398</v>
      </c>
      <c r="Y96" s="1">
        <v>50</v>
      </c>
      <c r="Z96" s="1">
        <v>83</v>
      </c>
      <c r="AA96" s="1">
        <v>79</v>
      </c>
      <c r="AB96" s="1">
        <v>54.8</v>
      </c>
      <c r="AC96" s="1">
        <v>35.6</v>
      </c>
      <c r="AD96" s="1">
        <v>57.8</v>
      </c>
      <c r="AE96" s="1">
        <v>44.4</v>
      </c>
      <c r="AF96" s="1">
        <v>26.4</v>
      </c>
      <c r="AG96" s="1">
        <v>32.6</v>
      </c>
      <c r="AH96" s="1">
        <v>18.399999999999999</v>
      </c>
      <c r="AI96" s="1"/>
      <c r="AJ96" s="1">
        <f t="shared" si="31"/>
        <v>76.679999999999993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5" t="s">
        <v>153</v>
      </c>
      <c r="B97" s="1" t="s">
        <v>42</v>
      </c>
      <c r="C97" s="1">
        <v>18</v>
      </c>
      <c r="D97" s="1"/>
      <c r="E97" s="1"/>
      <c r="F97" s="1">
        <v>18</v>
      </c>
      <c r="G97" s="1">
        <f>VLOOKUP(A97,[1]Лист1!$A:$D,4,0)</f>
        <v>0</v>
      </c>
      <c r="H97" s="1">
        <f t="shared" si="25"/>
        <v>18</v>
      </c>
      <c r="I97" s="7">
        <v>0.15</v>
      </c>
      <c r="J97" s="1">
        <v>90</v>
      </c>
      <c r="K97" s="1" t="s">
        <v>40</v>
      </c>
      <c r="L97" s="1"/>
      <c r="M97" s="1">
        <v>75</v>
      </c>
      <c r="N97" s="1">
        <f t="shared" si="26"/>
        <v>-75</v>
      </c>
      <c r="O97" s="1">
        <f t="shared" si="27"/>
        <v>0</v>
      </c>
      <c r="P97" s="1"/>
      <c r="Q97" s="1">
        <v>150</v>
      </c>
      <c r="R97" s="1"/>
      <c r="S97" s="1">
        <f t="shared" si="28"/>
        <v>0</v>
      </c>
      <c r="T97" s="5"/>
      <c r="U97" s="5">
        <f t="shared" si="32"/>
        <v>0</v>
      </c>
      <c r="V97" s="18"/>
      <c r="W97" s="1" t="e">
        <f t="shared" si="30"/>
        <v>#DIV/0!</v>
      </c>
      <c r="X97" s="1" t="e">
        <f t="shared" si="29"/>
        <v>#DIV/0!</v>
      </c>
      <c r="Y97" s="1">
        <v>3.4</v>
      </c>
      <c r="Z97" s="1">
        <v>9</v>
      </c>
      <c r="AA97" s="1">
        <v>7.2</v>
      </c>
      <c r="AB97" s="1">
        <v>5.4</v>
      </c>
      <c r="AC97" s="1">
        <v>9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 t="s">
        <v>114</v>
      </c>
      <c r="AJ97" s="1">
        <f t="shared" si="31"/>
        <v>0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5" t="s">
        <v>154</v>
      </c>
      <c r="B98" s="1" t="s">
        <v>42</v>
      </c>
      <c r="C98" s="1"/>
      <c r="D98" s="1"/>
      <c r="E98" s="1"/>
      <c r="F98" s="1"/>
      <c r="G98" s="1">
        <f>VLOOKUP(A98,[1]Лист1!$A:$D,4,0)</f>
        <v>0</v>
      </c>
      <c r="H98" s="1">
        <f t="shared" si="25"/>
        <v>0</v>
      </c>
      <c r="I98" s="7">
        <v>0.15</v>
      </c>
      <c r="J98" s="1">
        <v>90</v>
      </c>
      <c r="K98" s="1" t="s">
        <v>40</v>
      </c>
      <c r="L98" s="1"/>
      <c r="M98" s="1"/>
      <c r="N98" s="1">
        <f t="shared" si="26"/>
        <v>0</v>
      </c>
      <c r="O98" s="1">
        <f t="shared" si="27"/>
        <v>0</v>
      </c>
      <c r="P98" s="1"/>
      <c r="Q98" s="1">
        <v>120</v>
      </c>
      <c r="R98" s="1"/>
      <c r="S98" s="1">
        <f t="shared" si="28"/>
        <v>0</v>
      </c>
      <c r="T98" s="5"/>
      <c r="U98" s="5">
        <f t="shared" si="32"/>
        <v>0</v>
      </c>
      <c r="V98" s="18"/>
      <c r="W98" s="1" t="e">
        <f t="shared" si="30"/>
        <v>#DIV/0!</v>
      </c>
      <c r="X98" s="1" t="e">
        <f t="shared" si="29"/>
        <v>#DIV/0!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 t="s">
        <v>114</v>
      </c>
      <c r="AJ98" s="1">
        <f t="shared" si="31"/>
        <v>0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144</v>
      </c>
      <c r="B99" s="1" t="s">
        <v>42</v>
      </c>
      <c r="C99" s="1">
        <v>6</v>
      </c>
      <c r="D99" s="1">
        <v>441</v>
      </c>
      <c r="E99" s="14">
        <f>131+E90</f>
        <v>136</v>
      </c>
      <c r="F99" s="14">
        <f>296+F90</f>
        <v>290</v>
      </c>
      <c r="G99" s="1">
        <f>VLOOKUP(A99,[1]Лист1!$A:$D,4,0)</f>
        <v>0</v>
      </c>
      <c r="H99" s="1">
        <f t="shared" si="25"/>
        <v>290</v>
      </c>
      <c r="I99" s="7">
        <v>0.33</v>
      </c>
      <c r="J99" s="1">
        <v>30</v>
      </c>
      <c r="K99" s="1" t="s">
        <v>40</v>
      </c>
      <c r="L99" s="1"/>
      <c r="M99" s="1">
        <v>187</v>
      </c>
      <c r="N99" s="1">
        <f t="shared" si="26"/>
        <v>-51</v>
      </c>
      <c r="O99" s="1">
        <f t="shared" si="27"/>
        <v>136</v>
      </c>
      <c r="P99" s="1"/>
      <c r="Q99" s="1">
        <v>39</v>
      </c>
      <c r="R99" s="1"/>
      <c r="S99" s="1">
        <f t="shared" si="28"/>
        <v>27.2</v>
      </c>
      <c r="T99" s="5">
        <f t="shared" si="39"/>
        <v>51.800000000000011</v>
      </c>
      <c r="U99" s="5">
        <f>ROUND(T99+S99,0)</f>
        <v>79</v>
      </c>
      <c r="V99" s="18"/>
      <c r="W99" s="1">
        <f t="shared" si="30"/>
        <v>15</v>
      </c>
      <c r="X99" s="1">
        <f t="shared" si="29"/>
        <v>12.095588235294118</v>
      </c>
      <c r="Y99" s="1">
        <v>30.4</v>
      </c>
      <c r="Z99" s="1">
        <v>43</v>
      </c>
      <c r="AA99" s="1">
        <v>45.2</v>
      </c>
      <c r="AB99" s="1">
        <v>1.8</v>
      </c>
      <c r="AC99" s="1">
        <v>37.799999999999997</v>
      </c>
      <c r="AD99" s="1">
        <v>56</v>
      </c>
      <c r="AE99" s="1">
        <v>32.200000000000003</v>
      </c>
      <c r="AF99" s="1">
        <v>40</v>
      </c>
      <c r="AG99" s="1">
        <v>37.4</v>
      </c>
      <c r="AH99" s="1">
        <v>23</v>
      </c>
      <c r="AI99" s="1"/>
      <c r="AJ99" s="1">
        <f t="shared" si="31"/>
        <v>26.07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155</v>
      </c>
      <c r="B100" s="1" t="s">
        <v>42</v>
      </c>
      <c r="C100" s="1">
        <v>4</v>
      </c>
      <c r="D100" s="1">
        <v>60</v>
      </c>
      <c r="E100" s="1">
        <v>28</v>
      </c>
      <c r="F100" s="1">
        <v>21</v>
      </c>
      <c r="G100" s="1">
        <f>VLOOKUP(A100,[1]Лист1!$A:$D,4,0)</f>
        <v>0</v>
      </c>
      <c r="H100" s="1">
        <f t="shared" si="25"/>
        <v>21</v>
      </c>
      <c r="I100" s="7">
        <v>0.15</v>
      </c>
      <c r="J100" s="1">
        <v>60</v>
      </c>
      <c r="K100" s="1" t="s">
        <v>40</v>
      </c>
      <c r="L100" s="1"/>
      <c r="M100" s="1">
        <v>298</v>
      </c>
      <c r="N100" s="1">
        <f t="shared" si="26"/>
        <v>-270</v>
      </c>
      <c r="O100" s="1">
        <f t="shared" si="27"/>
        <v>28</v>
      </c>
      <c r="P100" s="1"/>
      <c r="Q100" s="1">
        <v>200</v>
      </c>
      <c r="R100" s="1"/>
      <c r="S100" s="1">
        <f t="shared" si="28"/>
        <v>5.6</v>
      </c>
      <c r="T100" s="5"/>
      <c r="U100" s="5">
        <f t="shared" si="32"/>
        <v>0</v>
      </c>
      <c r="V100" s="18"/>
      <c r="W100" s="1">
        <f t="shared" si="30"/>
        <v>39.464285714285715</v>
      </c>
      <c r="X100" s="1">
        <f t="shared" si="29"/>
        <v>39.464285714285715</v>
      </c>
      <c r="Y100" s="1">
        <v>10</v>
      </c>
      <c r="Z100" s="1">
        <v>7.8</v>
      </c>
      <c r="AA100" s="1">
        <v>5.8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7" t="s">
        <v>114</v>
      </c>
      <c r="AJ100" s="1">
        <f t="shared" si="31"/>
        <v>0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156</v>
      </c>
      <c r="B101" s="1" t="s">
        <v>42</v>
      </c>
      <c r="C101" s="1">
        <v>2</v>
      </c>
      <c r="D101" s="1">
        <v>34</v>
      </c>
      <c r="E101" s="1">
        <v>31</v>
      </c>
      <c r="F101" s="1">
        <v>3</v>
      </c>
      <c r="G101" s="1">
        <f>VLOOKUP(A101,[1]Лист1!$A:$D,4,0)</f>
        <v>0</v>
      </c>
      <c r="H101" s="1">
        <f t="shared" si="25"/>
        <v>3</v>
      </c>
      <c r="I101" s="7">
        <v>0.26</v>
      </c>
      <c r="J101" s="1">
        <v>45</v>
      </c>
      <c r="K101" s="1" t="s">
        <v>40</v>
      </c>
      <c r="L101" s="1"/>
      <c r="M101" s="1">
        <v>119</v>
      </c>
      <c r="N101" s="1">
        <f t="shared" si="26"/>
        <v>-88</v>
      </c>
      <c r="O101" s="1">
        <f t="shared" si="27"/>
        <v>31</v>
      </c>
      <c r="P101" s="1"/>
      <c r="Q101" s="1">
        <v>200</v>
      </c>
      <c r="R101" s="1"/>
      <c r="S101" s="1">
        <f t="shared" si="28"/>
        <v>6.2</v>
      </c>
      <c r="T101" s="5"/>
      <c r="U101" s="5">
        <f t="shared" si="32"/>
        <v>0</v>
      </c>
      <c r="V101" s="18"/>
      <c r="W101" s="1">
        <f t="shared" si="30"/>
        <v>32.741935483870968</v>
      </c>
      <c r="X101" s="1">
        <f t="shared" si="29"/>
        <v>32.741935483870968</v>
      </c>
      <c r="Y101" s="1">
        <v>11</v>
      </c>
      <c r="Z101" s="1">
        <v>6.8</v>
      </c>
      <c r="AA101" s="1">
        <v>2.8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7" t="s">
        <v>114</v>
      </c>
      <c r="AJ101" s="1">
        <f t="shared" si="31"/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5" t="s">
        <v>157</v>
      </c>
      <c r="B102" s="1" t="s">
        <v>39</v>
      </c>
      <c r="C102" s="1"/>
      <c r="D102" s="1"/>
      <c r="E102" s="1"/>
      <c r="F102" s="1"/>
      <c r="G102" s="1">
        <f>VLOOKUP(A102,[1]Лист1!$A:$D,4,0)</f>
        <v>0</v>
      </c>
      <c r="H102" s="1">
        <f t="shared" ref="H102:H119" si="40">F102-G102</f>
        <v>0</v>
      </c>
      <c r="I102" s="7">
        <v>1</v>
      </c>
      <c r="J102" s="1">
        <v>30</v>
      </c>
      <c r="K102" s="1" t="s">
        <v>40</v>
      </c>
      <c r="L102" s="1"/>
      <c r="M102" s="1"/>
      <c r="N102" s="1">
        <f t="shared" ref="N102:N119" si="41">E102-M102</f>
        <v>0</v>
      </c>
      <c r="O102" s="1">
        <f t="shared" ref="O102:O119" si="42">E102-P102</f>
        <v>0</v>
      </c>
      <c r="P102" s="1"/>
      <c r="Q102" s="1">
        <v>100</v>
      </c>
      <c r="R102" s="1"/>
      <c r="S102" s="1">
        <f t="shared" ref="S102:S119" si="43">O102/5</f>
        <v>0</v>
      </c>
      <c r="T102" s="5"/>
      <c r="U102" s="5">
        <f t="shared" si="32"/>
        <v>0</v>
      </c>
      <c r="V102" s="18"/>
      <c r="W102" s="1" t="e">
        <f t="shared" si="30"/>
        <v>#DIV/0!</v>
      </c>
      <c r="X102" s="1" t="e">
        <f t="shared" ref="X102:X119" si="44">(H102+Q102+R102)/S102</f>
        <v>#DIV/0!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 t="s">
        <v>114</v>
      </c>
      <c r="AJ102" s="1">
        <f t="shared" si="31"/>
        <v>0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5" t="s">
        <v>158</v>
      </c>
      <c r="B103" s="1" t="s">
        <v>42</v>
      </c>
      <c r="C103" s="1">
        <v>1</v>
      </c>
      <c r="D103" s="1">
        <v>50</v>
      </c>
      <c r="E103" s="1">
        <v>42</v>
      </c>
      <c r="F103" s="1">
        <v>7</v>
      </c>
      <c r="G103" s="1">
        <f>VLOOKUP(A103,[1]Лист1!$A:$D,4,0)</f>
        <v>0</v>
      </c>
      <c r="H103" s="1">
        <f t="shared" si="40"/>
        <v>7</v>
      </c>
      <c r="I103" s="7">
        <v>0.31</v>
      </c>
      <c r="J103" s="1">
        <v>45</v>
      </c>
      <c r="K103" s="1" t="s">
        <v>40</v>
      </c>
      <c r="L103" s="1"/>
      <c r="M103" s="1">
        <v>157</v>
      </c>
      <c r="N103" s="1">
        <f t="shared" si="41"/>
        <v>-115</v>
      </c>
      <c r="O103" s="1">
        <f t="shared" si="42"/>
        <v>42</v>
      </c>
      <c r="P103" s="1"/>
      <c r="Q103" s="1">
        <v>200</v>
      </c>
      <c r="R103" s="1"/>
      <c r="S103" s="1">
        <f t="shared" si="43"/>
        <v>8.4</v>
      </c>
      <c r="T103" s="5"/>
      <c r="U103" s="5">
        <f t="shared" si="32"/>
        <v>0</v>
      </c>
      <c r="V103" s="18"/>
      <c r="W103" s="1">
        <f t="shared" si="30"/>
        <v>24.642857142857142</v>
      </c>
      <c r="X103" s="1">
        <f t="shared" si="44"/>
        <v>24.642857142857142</v>
      </c>
      <c r="Y103" s="1">
        <v>9</v>
      </c>
      <c r="Z103" s="1">
        <v>7.8</v>
      </c>
      <c r="AA103" s="1">
        <v>4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7" t="s">
        <v>114</v>
      </c>
      <c r="AJ103" s="1">
        <f t="shared" si="31"/>
        <v>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5" t="s">
        <v>159</v>
      </c>
      <c r="B104" s="1" t="s">
        <v>39</v>
      </c>
      <c r="C104" s="1"/>
      <c r="D104" s="1"/>
      <c r="E104" s="1"/>
      <c r="F104" s="1"/>
      <c r="G104" s="1">
        <f>VLOOKUP(A104,[1]Лист1!$A:$D,4,0)</f>
        <v>0</v>
      </c>
      <c r="H104" s="1">
        <f t="shared" si="40"/>
        <v>0</v>
      </c>
      <c r="I104" s="7">
        <v>1</v>
      </c>
      <c r="J104" s="1">
        <v>30</v>
      </c>
      <c r="K104" s="1" t="s">
        <v>40</v>
      </c>
      <c r="L104" s="1"/>
      <c r="M104" s="1">
        <v>3.9</v>
      </c>
      <c r="N104" s="1">
        <f t="shared" si="41"/>
        <v>-3.9</v>
      </c>
      <c r="O104" s="1">
        <f t="shared" si="42"/>
        <v>0</v>
      </c>
      <c r="P104" s="1"/>
      <c r="Q104" s="1">
        <v>100</v>
      </c>
      <c r="R104" s="1"/>
      <c r="S104" s="1">
        <f t="shared" si="43"/>
        <v>0</v>
      </c>
      <c r="T104" s="5"/>
      <c r="U104" s="5">
        <f t="shared" si="32"/>
        <v>0</v>
      </c>
      <c r="V104" s="18"/>
      <c r="W104" s="1" t="e">
        <f t="shared" si="30"/>
        <v>#DIV/0!</v>
      </c>
      <c r="X104" s="1" t="e">
        <f t="shared" si="44"/>
        <v>#DIV/0!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 t="s">
        <v>114</v>
      </c>
      <c r="AJ104" s="1">
        <f t="shared" si="31"/>
        <v>0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160</v>
      </c>
      <c r="B105" s="1" t="s">
        <v>42</v>
      </c>
      <c r="C105" s="1">
        <v>55</v>
      </c>
      <c r="D105" s="1">
        <v>886</v>
      </c>
      <c r="E105" s="1">
        <v>341</v>
      </c>
      <c r="F105" s="1">
        <v>578</v>
      </c>
      <c r="G105" s="1">
        <f>VLOOKUP(A105,[1]Лист1!$A:$D,4,0)</f>
        <v>36</v>
      </c>
      <c r="H105" s="1">
        <f t="shared" si="40"/>
        <v>542</v>
      </c>
      <c r="I105" s="7">
        <v>0.4</v>
      </c>
      <c r="J105" s="1">
        <v>60</v>
      </c>
      <c r="K105" s="1" t="s">
        <v>40</v>
      </c>
      <c r="L105" s="1"/>
      <c r="M105" s="1">
        <v>360</v>
      </c>
      <c r="N105" s="1">
        <f t="shared" si="41"/>
        <v>-19</v>
      </c>
      <c r="O105" s="1">
        <f t="shared" si="42"/>
        <v>197</v>
      </c>
      <c r="P105" s="1">
        <v>144</v>
      </c>
      <c r="Q105" s="1">
        <v>0</v>
      </c>
      <c r="R105" s="1"/>
      <c r="S105" s="1">
        <f t="shared" si="43"/>
        <v>39.4</v>
      </c>
      <c r="T105" s="5">
        <f t="shared" si="39"/>
        <v>9.6000000000000227</v>
      </c>
      <c r="U105" s="5">
        <f t="shared" ref="U105:U106" si="45">ROUND(T105+S105,0)</f>
        <v>49</v>
      </c>
      <c r="V105" s="18"/>
      <c r="W105" s="1">
        <f t="shared" si="30"/>
        <v>15</v>
      </c>
      <c r="X105" s="1">
        <f t="shared" si="44"/>
        <v>13.756345177664976</v>
      </c>
      <c r="Y105" s="1">
        <v>24.4</v>
      </c>
      <c r="Z105" s="1">
        <v>65</v>
      </c>
      <c r="AA105" s="1">
        <v>53.4</v>
      </c>
      <c r="AB105" s="1">
        <v>32</v>
      </c>
      <c r="AC105" s="1">
        <v>33</v>
      </c>
      <c r="AD105" s="1">
        <v>43</v>
      </c>
      <c r="AE105" s="1">
        <v>36.6</v>
      </c>
      <c r="AF105" s="1">
        <v>18.600000000000001</v>
      </c>
      <c r="AG105" s="1">
        <v>15.8</v>
      </c>
      <c r="AH105" s="1">
        <v>22.2</v>
      </c>
      <c r="AI105" s="1"/>
      <c r="AJ105" s="1">
        <f t="shared" si="31"/>
        <v>19.600000000000001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161</v>
      </c>
      <c r="B106" s="1" t="s">
        <v>42</v>
      </c>
      <c r="C106" s="1"/>
      <c r="D106" s="1">
        <v>89</v>
      </c>
      <c r="E106" s="1">
        <v>79</v>
      </c>
      <c r="F106" s="1">
        <v>9</v>
      </c>
      <c r="G106" s="1">
        <f>VLOOKUP(A106,[1]Лист1!$A:$D,4,0)</f>
        <v>8</v>
      </c>
      <c r="H106" s="1">
        <f t="shared" si="40"/>
        <v>1</v>
      </c>
      <c r="I106" s="7">
        <v>0.35</v>
      </c>
      <c r="J106" s="1">
        <v>60</v>
      </c>
      <c r="K106" s="1" t="s">
        <v>40</v>
      </c>
      <c r="L106" s="1"/>
      <c r="M106" s="1">
        <v>167</v>
      </c>
      <c r="N106" s="1">
        <f t="shared" si="41"/>
        <v>-88</v>
      </c>
      <c r="O106" s="1">
        <f t="shared" si="42"/>
        <v>39</v>
      </c>
      <c r="P106" s="1">
        <v>40</v>
      </c>
      <c r="Q106" s="1">
        <v>0</v>
      </c>
      <c r="R106" s="1"/>
      <c r="S106" s="1">
        <f t="shared" si="43"/>
        <v>7.8</v>
      </c>
      <c r="T106" s="5">
        <f t="shared" si="39"/>
        <v>108.2</v>
      </c>
      <c r="U106" s="5">
        <f t="shared" si="45"/>
        <v>116</v>
      </c>
      <c r="V106" s="18"/>
      <c r="W106" s="1">
        <f t="shared" si="30"/>
        <v>15</v>
      </c>
      <c r="X106" s="1">
        <f t="shared" si="44"/>
        <v>0.12820512820512822</v>
      </c>
      <c r="Y106" s="1">
        <v>0</v>
      </c>
      <c r="Z106" s="1">
        <v>0</v>
      </c>
      <c r="AA106" s="1">
        <v>4.5999999999999996</v>
      </c>
      <c r="AB106" s="1">
        <v>3.6</v>
      </c>
      <c r="AC106" s="1">
        <v>1</v>
      </c>
      <c r="AD106" s="1">
        <v>0.6</v>
      </c>
      <c r="AE106" s="1">
        <v>0.4</v>
      </c>
      <c r="AF106" s="1">
        <v>0.6</v>
      </c>
      <c r="AG106" s="1">
        <v>2.6</v>
      </c>
      <c r="AH106" s="1">
        <v>1.8</v>
      </c>
      <c r="AI106" s="1" t="s">
        <v>162</v>
      </c>
      <c r="AJ106" s="1">
        <f t="shared" si="31"/>
        <v>40.599999999999994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163</v>
      </c>
      <c r="B107" s="1" t="s">
        <v>39</v>
      </c>
      <c r="C107" s="1">
        <v>20.125</v>
      </c>
      <c r="D107" s="1"/>
      <c r="E107" s="1">
        <v>15.832000000000001</v>
      </c>
      <c r="F107" s="1">
        <v>4.2930000000000001</v>
      </c>
      <c r="G107" s="1">
        <f>VLOOKUP(A107,[1]Лист1!$A:$D,4,0)</f>
        <v>0</v>
      </c>
      <c r="H107" s="1">
        <f t="shared" si="40"/>
        <v>4.2930000000000001</v>
      </c>
      <c r="I107" s="7">
        <v>1</v>
      </c>
      <c r="J107" s="1">
        <v>45</v>
      </c>
      <c r="K107" s="1" t="s">
        <v>40</v>
      </c>
      <c r="L107" s="1"/>
      <c r="M107" s="1">
        <v>43.1</v>
      </c>
      <c r="N107" s="1">
        <f t="shared" si="41"/>
        <v>-27.268000000000001</v>
      </c>
      <c r="O107" s="1">
        <f t="shared" si="42"/>
        <v>15.832000000000001</v>
      </c>
      <c r="P107" s="1"/>
      <c r="Q107" s="1">
        <v>200</v>
      </c>
      <c r="R107" s="1"/>
      <c r="S107" s="1">
        <f t="shared" si="43"/>
        <v>3.1664000000000003</v>
      </c>
      <c r="T107" s="5"/>
      <c r="U107" s="5">
        <f t="shared" si="32"/>
        <v>0</v>
      </c>
      <c r="V107" s="18"/>
      <c r="W107" s="1">
        <f t="shared" si="30"/>
        <v>64.519012127337035</v>
      </c>
      <c r="X107" s="1">
        <f t="shared" si="44"/>
        <v>64.519012127337035</v>
      </c>
      <c r="Y107" s="1">
        <v>11.7332</v>
      </c>
      <c r="Z107" s="1">
        <v>0.34699999999999998</v>
      </c>
      <c r="AA107" s="1">
        <v>0.50080000000000002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7" t="s">
        <v>114</v>
      </c>
      <c r="AJ107" s="1">
        <f t="shared" si="31"/>
        <v>0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164</v>
      </c>
      <c r="B108" s="1" t="s">
        <v>39</v>
      </c>
      <c r="C108" s="1">
        <v>-7.6999999999999999E-2</v>
      </c>
      <c r="D108" s="1">
        <v>85.069000000000003</v>
      </c>
      <c r="E108" s="1"/>
      <c r="F108" s="1">
        <v>81.584999999999994</v>
      </c>
      <c r="G108" s="1">
        <f>VLOOKUP(A108,[1]Лист1!$A:$D,4,0)</f>
        <v>0</v>
      </c>
      <c r="H108" s="1">
        <f t="shared" si="40"/>
        <v>81.584999999999994</v>
      </c>
      <c r="I108" s="7">
        <v>1</v>
      </c>
      <c r="J108" s="1">
        <v>45</v>
      </c>
      <c r="K108" s="1" t="s">
        <v>40</v>
      </c>
      <c r="L108" s="1"/>
      <c r="M108" s="1">
        <v>73.58</v>
      </c>
      <c r="N108" s="1">
        <f t="shared" si="41"/>
        <v>-73.58</v>
      </c>
      <c r="O108" s="1">
        <f t="shared" si="42"/>
        <v>0</v>
      </c>
      <c r="P108" s="1"/>
      <c r="Q108" s="1">
        <v>25</v>
      </c>
      <c r="R108" s="1"/>
      <c r="S108" s="1">
        <f t="shared" si="43"/>
        <v>0</v>
      </c>
      <c r="T108" s="5"/>
      <c r="U108" s="5">
        <f t="shared" si="32"/>
        <v>0</v>
      </c>
      <c r="V108" s="18"/>
      <c r="W108" s="1" t="e">
        <f t="shared" si="30"/>
        <v>#DIV/0!</v>
      </c>
      <c r="X108" s="1" t="e">
        <f t="shared" si="44"/>
        <v>#DIV/0!</v>
      </c>
      <c r="Y108" s="1">
        <v>6.5928000000000004</v>
      </c>
      <c r="Z108" s="1">
        <v>12.7</v>
      </c>
      <c r="AA108" s="1">
        <v>5.0625999999999998</v>
      </c>
      <c r="AB108" s="1">
        <v>0.50580000000000003</v>
      </c>
      <c r="AC108" s="1">
        <v>9.2891999999999992</v>
      </c>
      <c r="AD108" s="1">
        <v>4.9366000000000003</v>
      </c>
      <c r="AE108" s="1">
        <v>0.85839999999999994</v>
      </c>
      <c r="AF108" s="1">
        <v>15.9528</v>
      </c>
      <c r="AG108" s="1">
        <v>3.9323999999999999</v>
      </c>
      <c r="AH108" s="1">
        <v>2.3767999999999998</v>
      </c>
      <c r="AI108" s="1"/>
      <c r="AJ108" s="1">
        <f t="shared" si="31"/>
        <v>0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9" t="s">
        <v>165</v>
      </c>
      <c r="B109" s="9" t="s">
        <v>42</v>
      </c>
      <c r="C109" s="9">
        <v>160</v>
      </c>
      <c r="D109" s="9"/>
      <c r="E109" s="9">
        <v>1</v>
      </c>
      <c r="F109" s="9">
        <v>159</v>
      </c>
      <c r="G109" s="9">
        <f>VLOOKUP(A109,[1]Лист1!$A:$D,4,0)</f>
        <v>0</v>
      </c>
      <c r="H109" s="9">
        <f t="shared" si="40"/>
        <v>159</v>
      </c>
      <c r="I109" s="10">
        <v>0</v>
      </c>
      <c r="J109" s="9"/>
      <c r="K109" s="9" t="s">
        <v>62</v>
      </c>
      <c r="L109" s="9"/>
      <c r="M109" s="9">
        <v>43</v>
      </c>
      <c r="N109" s="9">
        <f t="shared" si="41"/>
        <v>-42</v>
      </c>
      <c r="O109" s="9">
        <f t="shared" si="42"/>
        <v>1</v>
      </c>
      <c r="P109" s="9"/>
      <c r="Q109" s="9">
        <v>0</v>
      </c>
      <c r="R109" s="9"/>
      <c r="S109" s="9">
        <f t="shared" si="43"/>
        <v>0.2</v>
      </c>
      <c r="T109" s="11"/>
      <c r="U109" s="5">
        <f t="shared" si="32"/>
        <v>0</v>
      </c>
      <c r="V109" s="18"/>
      <c r="W109" s="1">
        <f t="shared" si="30"/>
        <v>795</v>
      </c>
      <c r="X109" s="9">
        <f t="shared" si="44"/>
        <v>795</v>
      </c>
      <c r="Y109" s="9">
        <v>0</v>
      </c>
      <c r="Z109" s="9">
        <v>4.4000000000000004</v>
      </c>
      <c r="AA109" s="9">
        <v>2.2000000000000002</v>
      </c>
      <c r="AB109" s="9">
        <v>1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12" t="s">
        <v>166</v>
      </c>
      <c r="AJ109" s="1">
        <f t="shared" si="31"/>
        <v>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167</v>
      </c>
      <c r="B110" s="1" t="s">
        <v>42</v>
      </c>
      <c r="C110" s="1">
        <v>28</v>
      </c>
      <c r="D110" s="1">
        <v>64</v>
      </c>
      <c r="E110" s="1">
        <v>64</v>
      </c>
      <c r="F110" s="1">
        <v>28</v>
      </c>
      <c r="G110" s="1">
        <f>VLOOKUP(A110,[1]Лист1!$A:$D,4,0)</f>
        <v>0</v>
      </c>
      <c r="H110" s="1">
        <f t="shared" si="40"/>
        <v>28</v>
      </c>
      <c r="I110" s="7">
        <v>0.33</v>
      </c>
      <c r="J110" s="1">
        <v>45</v>
      </c>
      <c r="K110" s="1" t="s">
        <v>40</v>
      </c>
      <c r="L110" s="1"/>
      <c r="M110" s="1">
        <v>380</v>
      </c>
      <c r="N110" s="1">
        <f t="shared" si="41"/>
        <v>-316</v>
      </c>
      <c r="O110" s="1">
        <f t="shared" si="42"/>
        <v>8</v>
      </c>
      <c r="P110" s="1">
        <v>56</v>
      </c>
      <c r="Q110" s="1">
        <v>80</v>
      </c>
      <c r="R110" s="1"/>
      <c r="S110" s="1">
        <f t="shared" si="43"/>
        <v>1.6</v>
      </c>
      <c r="T110" s="5"/>
      <c r="U110" s="5">
        <f t="shared" si="32"/>
        <v>0</v>
      </c>
      <c r="V110" s="18"/>
      <c r="W110" s="1">
        <f t="shared" si="30"/>
        <v>67.5</v>
      </c>
      <c r="X110" s="1">
        <f t="shared" si="44"/>
        <v>67.5</v>
      </c>
      <c r="Y110" s="1">
        <v>0</v>
      </c>
      <c r="Z110" s="1">
        <v>-2.2000000000000002</v>
      </c>
      <c r="AA110" s="1">
        <v>23</v>
      </c>
      <c r="AB110" s="1">
        <v>25.8</v>
      </c>
      <c r="AC110" s="1">
        <v>35.200000000000003</v>
      </c>
      <c r="AD110" s="1">
        <v>18.8</v>
      </c>
      <c r="AE110" s="1">
        <v>4.8</v>
      </c>
      <c r="AF110" s="1">
        <v>21.6</v>
      </c>
      <c r="AG110" s="1">
        <v>23.6</v>
      </c>
      <c r="AH110" s="1">
        <v>18</v>
      </c>
      <c r="AI110" s="13" t="s">
        <v>184</v>
      </c>
      <c r="AJ110" s="1">
        <f t="shared" si="31"/>
        <v>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9" t="s">
        <v>168</v>
      </c>
      <c r="B111" s="9" t="s">
        <v>42</v>
      </c>
      <c r="C111" s="9">
        <v>46</v>
      </c>
      <c r="D111" s="9"/>
      <c r="E111" s="9">
        <v>-1</v>
      </c>
      <c r="F111" s="9">
        <v>46</v>
      </c>
      <c r="G111" s="9">
        <f>VLOOKUP(A111,[1]Лист1!$A:$D,4,0)</f>
        <v>0</v>
      </c>
      <c r="H111" s="9">
        <f t="shared" si="40"/>
        <v>46</v>
      </c>
      <c r="I111" s="10">
        <v>0</v>
      </c>
      <c r="J111" s="9">
        <v>45</v>
      </c>
      <c r="K111" s="9" t="s">
        <v>77</v>
      </c>
      <c r="L111" s="9"/>
      <c r="M111" s="9">
        <v>19</v>
      </c>
      <c r="N111" s="9">
        <f t="shared" si="41"/>
        <v>-20</v>
      </c>
      <c r="O111" s="9">
        <f t="shared" si="42"/>
        <v>-1</v>
      </c>
      <c r="P111" s="9"/>
      <c r="Q111" s="9">
        <v>0</v>
      </c>
      <c r="R111" s="9"/>
      <c r="S111" s="9">
        <f t="shared" si="43"/>
        <v>-0.2</v>
      </c>
      <c r="T111" s="11"/>
      <c r="U111" s="5">
        <f t="shared" si="32"/>
        <v>0</v>
      </c>
      <c r="V111" s="18"/>
      <c r="W111" s="1">
        <f t="shared" si="30"/>
        <v>-230</v>
      </c>
      <c r="X111" s="9">
        <f t="shared" si="44"/>
        <v>-230</v>
      </c>
      <c r="Y111" s="9">
        <v>0</v>
      </c>
      <c r="Z111" s="9">
        <v>2.4</v>
      </c>
      <c r="AA111" s="9">
        <v>0.8</v>
      </c>
      <c r="AB111" s="9">
        <v>0.6</v>
      </c>
      <c r="AC111" s="9">
        <v>0.4</v>
      </c>
      <c r="AD111" s="9">
        <v>4.2</v>
      </c>
      <c r="AE111" s="9">
        <v>3.4</v>
      </c>
      <c r="AF111" s="9">
        <v>0</v>
      </c>
      <c r="AG111" s="9">
        <v>0</v>
      </c>
      <c r="AH111" s="9">
        <v>0</v>
      </c>
      <c r="AI111" s="13" t="s">
        <v>169</v>
      </c>
      <c r="AJ111" s="1">
        <f t="shared" si="31"/>
        <v>0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9" t="s">
        <v>170</v>
      </c>
      <c r="B112" s="9" t="s">
        <v>42</v>
      </c>
      <c r="C112" s="9">
        <v>-1</v>
      </c>
      <c r="D112" s="9">
        <v>59</v>
      </c>
      <c r="E112" s="9">
        <v>31</v>
      </c>
      <c r="F112" s="9">
        <v>23</v>
      </c>
      <c r="G112" s="9">
        <f>VLOOKUP(A112,[1]Лист1!$A:$D,4,0)</f>
        <v>0</v>
      </c>
      <c r="H112" s="9">
        <f t="shared" si="40"/>
        <v>23</v>
      </c>
      <c r="I112" s="10">
        <v>0</v>
      </c>
      <c r="J112" s="9">
        <v>60</v>
      </c>
      <c r="K112" s="9" t="s">
        <v>77</v>
      </c>
      <c r="L112" s="9"/>
      <c r="M112" s="9">
        <v>174</v>
      </c>
      <c r="N112" s="9">
        <f t="shared" si="41"/>
        <v>-143</v>
      </c>
      <c r="O112" s="9">
        <f t="shared" si="42"/>
        <v>31</v>
      </c>
      <c r="P112" s="9"/>
      <c r="Q112" s="9">
        <v>0</v>
      </c>
      <c r="R112" s="9"/>
      <c r="S112" s="9">
        <f t="shared" si="43"/>
        <v>6.2</v>
      </c>
      <c r="T112" s="11"/>
      <c r="U112" s="5">
        <f t="shared" si="32"/>
        <v>0</v>
      </c>
      <c r="V112" s="18"/>
      <c r="W112" s="1">
        <f t="shared" si="30"/>
        <v>3.7096774193548385</v>
      </c>
      <c r="X112" s="9">
        <f t="shared" si="44"/>
        <v>3.7096774193548385</v>
      </c>
      <c r="Y112" s="9">
        <v>3.4</v>
      </c>
      <c r="Z112" s="9">
        <v>10</v>
      </c>
      <c r="AA112" s="9">
        <v>1</v>
      </c>
      <c r="AB112" s="9">
        <v>0</v>
      </c>
      <c r="AC112" s="9">
        <v>0.4</v>
      </c>
      <c r="AD112" s="9">
        <v>5.8</v>
      </c>
      <c r="AE112" s="9">
        <v>0.6</v>
      </c>
      <c r="AF112" s="9">
        <v>0</v>
      </c>
      <c r="AG112" s="9">
        <v>0</v>
      </c>
      <c r="AH112" s="9">
        <v>0</v>
      </c>
      <c r="AI112" s="9" t="s">
        <v>171</v>
      </c>
      <c r="AJ112" s="1">
        <f t="shared" si="31"/>
        <v>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83</v>
      </c>
      <c r="B113" s="1" t="s">
        <v>42</v>
      </c>
      <c r="C113" s="1">
        <v>83</v>
      </c>
      <c r="D113" s="1">
        <v>369</v>
      </c>
      <c r="E113" s="1">
        <v>142</v>
      </c>
      <c r="F113" s="1">
        <v>186</v>
      </c>
      <c r="G113" s="1">
        <f>VLOOKUP(A113,[1]Лист1!$A:$D,4,0)</f>
        <v>0</v>
      </c>
      <c r="H113" s="1">
        <f t="shared" si="40"/>
        <v>186</v>
      </c>
      <c r="I113" s="7">
        <v>0.1</v>
      </c>
      <c r="J113" s="1">
        <v>60</v>
      </c>
      <c r="K113" s="1" t="s">
        <v>40</v>
      </c>
      <c r="L113" s="1"/>
      <c r="M113" s="1">
        <v>453</v>
      </c>
      <c r="N113" s="1">
        <f t="shared" si="41"/>
        <v>-311</v>
      </c>
      <c r="O113" s="1">
        <f t="shared" si="42"/>
        <v>142</v>
      </c>
      <c r="P113" s="1"/>
      <c r="Q113" s="1">
        <v>150</v>
      </c>
      <c r="R113" s="1"/>
      <c r="S113" s="1">
        <f t="shared" si="43"/>
        <v>28.4</v>
      </c>
      <c r="T113" s="5">
        <f t="shared" ref="T113:T115" si="46">14*S113-R113-Q113-H113</f>
        <v>61.599999999999966</v>
      </c>
      <c r="U113" s="5">
        <f>ROUND(T113+S113,0)</f>
        <v>90</v>
      </c>
      <c r="V113" s="18"/>
      <c r="W113" s="1">
        <f t="shared" si="30"/>
        <v>15</v>
      </c>
      <c r="X113" s="1">
        <f t="shared" si="44"/>
        <v>11.830985915492958</v>
      </c>
      <c r="Y113" s="1">
        <v>25.8</v>
      </c>
      <c r="Z113" s="1">
        <v>40.4</v>
      </c>
      <c r="AA113" s="1">
        <v>27</v>
      </c>
      <c r="AB113" s="1">
        <v>16.2</v>
      </c>
      <c r="AC113" s="1">
        <v>1.4</v>
      </c>
      <c r="AD113" s="1">
        <v>17</v>
      </c>
      <c r="AE113" s="1">
        <v>24.6</v>
      </c>
      <c r="AF113" s="1">
        <v>0</v>
      </c>
      <c r="AG113" s="1">
        <v>0</v>
      </c>
      <c r="AH113" s="1">
        <v>0</v>
      </c>
      <c r="AI113" s="1" t="s">
        <v>172</v>
      </c>
      <c r="AJ113" s="1">
        <f t="shared" si="31"/>
        <v>9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80</v>
      </c>
      <c r="B114" s="1" t="s">
        <v>42</v>
      </c>
      <c r="C114" s="1">
        <v>3</v>
      </c>
      <c r="D114" s="1">
        <v>321</v>
      </c>
      <c r="E114" s="1">
        <v>54</v>
      </c>
      <c r="F114" s="14">
        <f>259+F36</f>
        <v>261</v>
      </c>
      <c r="G114" s="1">
        <f>VLOOKUP(A114,[1]Лист1!$A:$D,4,0)</f>
        <v>0</v>
      </c>
      <c r="H114" s="1">
        <f t="shared" si="40"/>
        <v>261</v>
      </c>
      <c r="I114" s="7">
        <v>0.1</v>
      </c>
      <c r="J114" s="1">
        <v>60</v>
      </c>
      <c r="K114" s="1" t="s">
        <v>40</v>
      </c>
      <c r="L114" s="1"/>
      <c r="M114" s="1">
        <v>400</v>
      </c>
      <c r="N114" s="1">
        <f t="shared" si="41"/>
        <v>-346</v>
      </c>
      <c r="O114" s="1">
        <f t="shared" si="42"/>
        <v>54</v>
      </c>
      <c r="P114" s="1"/>
      <c r="Q114" s="1">
        <v>150</v>
      </c>
      <c r="R114" s="1"/>
      <c r="S114" s="1">
        <f t="shared" si="43"/>
        <v>10.8</v>
      </c>
      <c r="T114" s="5"/>
      <c r="U114" s="5">
        <f t="shared" si="32"/>
        <v>0</v>
      </c>
      <c r="V114" s="18"/>
      <c r="W114" s="1">
        <f t="shared" si="30"/>
        <v>38.05555555555555</v>
      </c>
      <c r="X114" s="1">
        <f t="shared" si="44"/>
        <v>38.05555555555555</v>
      </c>
      <c r="Y114" s="1">
        <v>29.2</v>
      </c>
      <c r="Z114" s="1">
        <v>51</v>
      </c>
      <c r="AA114" s="1">
        <v>2.2000000000000002</v>
      </c>
      <c r="AB114" s="1">
        <v>20.399999999999999</v>
      </c>
      <c r="AC114" s="1">
        <v>38.799999999999997</v>
      </c>
      <c r="AD114" s="1">
        <v>20</v>
      </c>
      <c r="AE114" s="1">
        <v>-0.4</v>
      </c>
      <c r="AF114" s="1">
        <v>0</v>
      </c>
      <c r="AG114" s="1">
        <v>0</v>
      </c>
      <c r="AH114" s="1">
        <v>0</v>
      </c>
      <c r="AI114" s="1" t="s">
        <v>173</v>
      </c>
      <c r="AJ114" s="1">
        <f t="shared" si="31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174</v>
      </c>
      <c r="B115" s="1" t="s">
        <v>42</v>
      </c>
      <c r="C115" s="1">
        <v>-13</v>
      </c>
      <c r="D115" s="1">
        <v>1140</v>
      </c>
      <c r="E115" s="1">
        <v>482</v>
      </c>
      <c r="F115" s="1">
        <v>566</v>
      </c>
      <c r="G115" s="1">
        <f>VLOOKUP(A115,[1]Лист1!$A:$D,4,0)</f>
        <v>0</v>
      </c>
      <c r="H115" s="1">
        <f t="shared" si="40"/>
        <v>566</v>
      </c>
      <c r="I115" s="7">
        <v>0.4</v>
      </c>
      <c r="J115" s="1">
        <v>60</v>
      </c>
      <c r="K115" s="1" t="s">
        <v>40</v>
      </c>
      <c r="L115" s="1"/>
      <c r="M115" s="1">
        <v>714</v>
      </c>
      <c r="N115" s="1">
        <f t="shared" si="41"/>
        <v>-232</v>
      </c>
      <c r="O115" s="1">
        <f t="shared" si="42"/>
        <v>482</v>
      </c>
      <c r="P115" s="1"/>
      <c r="Q115" s="1">
        <v>200</v>
      </c>
      <c r="R115" s="1">
        <v>250</v>
      </c>
      <c r="S115" s="1">
        <f t="shared" si="43"/>
        <v>96.4</v>
      </c>
      <c r="T115" s="5">
        <f t="shared" si="46"/>
        <v>333.60000000000014</v>
      </c>
      <c r="U115" s="5">
        <f>ROUND(T115+S115,0)</f>
        <v>430</v>
      </c>
      <c r="V115" s="18"/>
      <c r="W115" s="1">
        <f t="shared" si="30"/>
        <v>15</v>
      </c>
      <c r="X115" s="1">
        <f t="shared" si="44"/>
        <v>10.539419087136929</v>
      </c>
      <c r="Y115" s="1">
        <v>80</v>
      </c>
      <c r="Z115" s="1">
        <v>80.2</v>
      </c>
      <c r="AA115" s="1">
        <v>93.8</v>
      </c>
      <c r="AB115" s="1">
        <v>30.4</v>
      </c>
      <c r="AC115" s="1">
        <v>47.8</v>
      </c>
      <c r="AD115" s="1">
        <v>65.8</v>
      </c>
      <c r="AE115" s="1">
        <v>42</v>
      </c>
      <c r="AF115" s="1">
        <v>44.4</v>
      </c>
      <c r="AG115" s="1">
        <v>0</v>
      </c>
      <c r="AH115" s="1">
        <v>0</v>
      </c>
      <c r="AI115" s="1" t="s">
        <v>175</v>
      </c>
      <c r="AJ115" s="1">
        <f t="shared" si="31"/>
        <v>172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176</v>
      </c>
      <c r="B116" s="1" t="s">
        <v>42</v>
      </c>
      <c r="C116" s="1">
        <v>20</v>
      </c>
      <c r="D116" s="1"/>
      <c r="E116" s="1">
        <v>12</v>
      </c>
      <c r="F116" s="1">
        <v>3</v>
      </c>
      <c r="G116" s="1">
        <f>VLOOKUP(A116,[1]Лист1!$A:$D,4,0)</f>
        <v>0</v>
      </c>
      <c r="H116" s="1">
        <f t="shared" si="40"/>
        <v>3</v>
      </c>
      <c r="I116" s="7">
        <v>0.1</v>
      </c>
      <c r="J116" s="1"/>
      <c r="K116" s="1" t="s">
        <v>40</v>
      </c>
      <c r="L116" s="1"/>
      <c r="M116" s="1">
        <v>84</v>
      </c>
      <c r="N116" s="1">
        <f t="shared" si="41"/>
        <v>-72</v>
      </c>
      <c r="O116" s="1">
        <f t="shared" si="42"/>
        <v>12</v>
      </c>
      <c r="P116" s="1"/>
      <c r="Q116" s="1">
        <v>187</v>
      </c>
      <c r="R116" s="1"/>
      <c r="S116" s="1">
        <f t="shared" si="43"/>
        <v>2.4</v>
      </c>
      <c r="T116" s="5"/>
      <c r="U116" s="5">
        <f t="shared" si="32"/>
        <v>0</v>
      </c>
      <c r="V116" s="18"/>
      <c r="W116" s="1">
        <f t="shared" si="30"/>
        <v>79.166666666666671</v>
      </c>
      <c r="X116" s="1">
        <f t="shared" si="44"/>
        <v>79.166666666666671</v>
      </c>
      <c r="Y116" s="1">
        <v>23</v>
      </c>
      <c r="Z116" s="1">
        <v>4.8</v>
      </c>
      <c r="AA116" s="1">
        <v>1.6</v>
      </c>
      <c r="AB116" s="1">
        <v>16</v>
      </c>
      <c r="AC116" s="1">
        <v>1.8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 t="s">
        <v>114</v>
      </c>
      <c r="AJ116" s="1">
        <f t="shared" si="31"/>
        <v>0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177</v>
      </c>
      <c r="B117" s="1" t="s">
        <v>42</v>
      </c>
      <c r="C117" s="1">
        <v>21</v>
      </c>
      <c r="D117" s="1">
        <v>1</v>
      </c>
      <c r="E117" s="1">
        <v>14</v>
      </c>
      <c r="F117" s="1">
        <v>4</v>
      </c>
      <c r="G117" s="1">
        <f>VLOOKUP(A117,[1]Лист1!$A:$D,4,0)</f>
        <v>0</v>
      </c>
      <c r="H117" s="1">
        <f t="shared" si="40"/>
        <v>4</v>
      </c>
      <c r="I117" s="7">
        <v>0.1</v>
      </c>
      <c r="J117" s="1"/>
      <c r="K117" s="1" t="s">
        <v>40</v>
      </c>
      <c r="L117" s="1"/>
      <c r="M117" s="1">
        <v>97</v>
      </c>
      <c r="N117" s="1">
        <f t="shared" si="41"/>
        <v>-83</v>
      </c>
      <c r="O117" s="1">
        <f t="shared" si="42"/>
        <v>14</v>
      </c>
      <c r="P117" s="1"/>
      <c r="Q117" s="1">
        <v>184</v>
      </c>
      <c r="R117" s="1"/>
      <c r="S117" s="1">
        <f t="shared" si="43"/>
        <v>2.8</v>
      </c>
      <c r="T117" s="5"/>
      <c r="U117" s="5">
        <f t="shared" si="32"/>
        <v>0</v>
      </c>
      <c r="V117" s="18"/>
      <c r="W117" s="1">
        <f t="shared" si="30"/>
        <v>67.142857142857153</v>
      </c>
      <c r="X117" s="1">
        <f t="shared" si="44"/>
        <v>67.142857142857153</v>
      </c>
      <c r="Y117" s="1">
        <v>22.8</v>
      </c>
      <c r="Z117" s="1">
        <v>5.4</v>
      </c>
      <c r="AA117" s="1">
        <v>1.6</v>
      </c>
      <c r="AB117" s="1">
        <v>16</v>
      </c>
      <c r="AC117" s="1">
        <v>1.6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 t="s">
        <v>114</v>
      </c>
      <c r="AJ117" s="1">
        <f t="shared" si="31"/>
        <v>0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5" t="s">
        <v>178</v>
      </c>
      <c r="B118" s="1" t="s">
        <v>42</v>
      </c>
      <c r="C118" s="1"/>
      <c r="D118" s="1"/>
      <c r="E118" s="1"/>
      <c r="F118" s="1"/>
      <c r="G118" s="1">
        <f>VLOOKUP(A118,[1]Лист1!$A:$D,4,0)</f>
        <v>0</v>
      </c>
      <c r="H118" s="1">
        <f t="shared" si="40"/>
        <v>0</v>
      </c>
      <c r="I118" s="7">
        <v>0.3</v>
      </c>
      <c r="J118" s="1">
        <v>45</v>
      </c>
      <c r="K118" s="1" t="s">
        <v>40</v>
      </c>
      <c r="L118" s="1"/>
      <c r="M118" s="1"/>
      <c r="N118" s="1">
        <f t="shared" si="41"/>
        <v>0</v>
      </c>
      <c r="O118" s="1">
        <f t="shared" si="42"/>
        <v>0</v>
      </c>
      <c r="P118" s="1"/>
      <c r="Q118" s="1">
        <v>120</v>
      </c>
      <c r="R118" s="1"/>
      <c r="S118" s="1">
        <f t="shared" si="43"/>
        <v>0</v>
      </c>
      <c r="T118" s="5"/>
      <c r="U118" s="5">
        <f t="shared" si="32"/>
        <v>0</v>
      </c>
      <c r="V118" s="18"/>
      <c r="W118" s="1" t="e">
        <f t="shared" si="30"/>
        <v>#DIV/0!</v>
      </c>
      <c r="X118" s="1" t="e">
        <f t="shared" si="44"/>
        <v>#DIV/0!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 t="s">
        <v>114</v>
      </c>
      <c r="AJ118" s="1">
        <f t="shared" si="31"/>
        <v>0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9" t="s">
        <v>179</v>
      </c>
      <c r="B119" s="9" t="s">
        <v>39</v>
      </c>
      <c r="C119" s="9"/>
      <c r="D119" s="9"/>
      <c r="E119" s="9"/>
      <c r="F119" s="9"/>
      <c r="G119" s="9">
        <f>VLOOKUP(A119,[1]Лист1!$A:$D,4,0)</f>
        <v>0</v>
      </c>
      <c r="H119" s="9">
        <f t="shared" si="40"/>
        <v>0</v>
      </c>
      <c r="I119" s="10">
        <v>0</v>
      </c>
      <c r="J119" s="9"/>
      <c r="K119" s="9" t="s">
        <v>40</v>
      </c>
      <c r="L119" s="9"/>
      <c r="M119" s="9"/>
      <c r="N119" s="9">
        <f t="shared" si="41"/>
        <v>0</v>
      </c>
      <c r="O119" s="9">
        <f t="shared" si="42"/>
        <v>0</v>
      </c>
      <c r="P119" s="9"/>
      <c r="Q119" s="9">
        <v>0</v>
      </c>
      <c r="R119" s="9"/>
      <c r="S119" s="9">
        <f t="shared" si="43"/>
        <v>0</v>
      </c>
      <c r="T119" s="11"/>
      <c r="U119" s="5">
        <f t="shared" si="32"/>
        <v>0</v>
      </c>
      <c r="V119" s="18"/>
      <c r="W119" s="1" t="e">
        <f t="shared" si="30"/>
        <v>#DIV/0!</v>
      </c>
      <c r="X119" s="9" t="e">
        <f t="shared" si="44"/>
        <v>#DIV/0!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 t="s">
        <v>110</v>
      </c>
      <c r="AJ119" s="1">
        <f t="shared" si="31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1"/>
      <c r="H120" s="1"/>
      <c r="I120" s="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1"/>
      <c r="H121" s="1"/>
      <c r="I121" s="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1"/>
      <c r="H122" s="1"/>
      <c r="I122" s="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1"/>
      <c r="H123" s="1"/>
      <c r="I123" s="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1"/>
      <c r="H124" s="1"/>
      <c r="I124" s="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1"/>
      <c r="H125" s="1"/>
      <c r="I125" s="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1"/>
      <c r="H126" s="1"/>
      <c r="I126" s="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1"/>
      <c r="H127" s="1"/>
      <c r="I127" s="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1"/>
      <c r="H128" s="1"/>
      <c r="I128" s="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1"/>
      <c r="H129" s="1"/>
      <c r="I129" s="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1"/>
      <c r="H130" s="1"/>
      <c r="I130" s="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1"/>
      <c r="H131" s="1"/>
      <c r="I131" s="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1"/>
      <c r="H132" s="1"/>
      <c r="I132" s="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1"/>
      <c r="H133" s="1"/>
      <c r="I133" s="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1"/>
      <c r="H134" s="1"/>
      <c r="I134" s="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1"/>
      <c r="H135" s="1"/>
      <c r="I135" s="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1"/>
      <c r="H136" s="1"/>
      <c r="I136" s="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1"/>
      <c r="H137" s="1"/>
      <c r="I137" s="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1"/>
      <c r="H138" s="1"/>
      <c r="I138" s="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1"/>
      <c r="H139" s="1"/>
      <c r="I139" s="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1"/>
      <c r="H140" s="1"/>
      <c r="I140" s="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1"/>
      <c r="H141" s="1"/>
      <c r="I141" s="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1"/>
      <c r="H142" s="1"/>
      <c r="I142" s="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1"/>
      <c r="H143" s="1"/>
      <c r="I143" s="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1"/>
      <c r="H144" s="1"/>
      <c r="I144" s="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1"/>
      <c r="H145" s="1"/>
      <c r="I145" s="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1"/>
      <c r="H146" s="1"/>
      <c r="I146" s="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1"/>
      <c r="H147" s="1"/>
      <c r="I147" s="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1"/>
      <c r="H148" s="1"/>
      <c r="I148" s="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1"/>
      <c r="H149" s="1"/>
      <c r="I149" s="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1"/>
      <c r="H150" s="1"/>
      <c r="I150" s="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1"/>
      <c r="H151" s="1"/>
      <c r="I151" s="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1"/>
      <c r="H152" s="1"/>
      <c r="I152" s="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1"/>
      <c r="H153" s="1"/>
      <c r="I153" s="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1"/>
      <c r="H154" s="1"/>
      <c r="I154" s="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1"/>
      <c r="H155" s="1"/>
      <c r="I155" s="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1"/>
      <c r="H156" s="1"/>
      <c r="I156" s="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1"/>
      <c r="H157" s="1"/>
      <c r="I157" s="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1"/>
      <c r="H158" s="1"/>
      <c r="I158" s="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1"/>
      <c r="H159" s="1"/>
      <c r="I159" s="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1"/>
      <c r="H160" s="1"/>
      <c r="I160" s="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1"/>
      <c r="H161" s="1"/>
      <c r="I161" s="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1"/>
      <c r="H162" s="1"/>
      <c r="I162" s="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1"/>
      <c r="H163" s="1"/>
      <c r="I163" s="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1"/>
      <c r="H164" s="1"/>
      <c r="I164" s="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1"/>
      <c r="H165" s="1"/>
      <c r="I165" s="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1"/>
      <c r="H166" s="1"/>
      <c r="I166" s="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1"/>
      <c r="H167" s="1"/>
      <c r="I167" s="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1"/>
      <c r="H168" s="1"/>
      <c r="I168" s="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1"/>
      <c r="H169" s="1"/>
      <c r="I169" s="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1"/>
      <c r="H170" s="1"/>
      <c r="I170" s="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1"/>
      <c r="H171" s="1"/>
      <c r="I171" s="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1"/>
      <c r="H172" s="1"/>
      <c r="I172" s="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1"/>
      <c r="H173" s="1"/>
      <c r="I173" s="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1"/>
      <c r="H174" s="1"/>
      <c r="I174" s="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1"/>
      <c r="H175" s="1"/>
      <c r="I175" s="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1"/>
      <c r="H176" s="1"/>
      <c r="I176" s="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1"/>
      <c r="H177" s="1"/>
      <c r="I177" s="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1"/>
      <c r="H178" s="1"/>
      <c r="I178" s="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1"/>
      <c r="H179" s="1"/>
      <c r="I179" s="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1"/>
      <c r="H180" s="1"/>
      <c r="I180" s="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1"/>
      <c r="H181" s="1"/>
      <c r="I181" s="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1"/>
      <c r="H182" s="1"/>
      <c r="I182" s="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1"/>
      <c r="H183" s="1"/>
      <c r="I183" s="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1"/>
      <c r="H184" s="1"/>
      <c r="I184" s="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1"/>
      <c r="H185" s="1"/>
      <c r="I185" s="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1"/>
      <c r="H186" s="1"/>
      <c r="I186" s="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1"/>
      <c r="H187" s="1"/>
      <c r="I187" s="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1"/>
      <c r="H188" s="1"/>
      <c r="I188" s="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1"/>
      <c r="H189" s="1"/>
      <c r="I189" s="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1"/>
      <c r="H190" s="1"/>
      <c r="I190" s="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1"/>
      <c r="H191" s="1"/>
      <c r="I191" s="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1"/>
      <c r="H192" s="1"/>
      <c r="I192" s="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1"/>
      <c r="H193" s="1"/>
      <c r="I193" s="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1"/>
      <c r="H194" s="1"/>
      <c r="I194" s="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1"/>
      <c r="H195" s="1"/>
      <c r="I195" s="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1"/>
      <c r="H196" s="1"/>
      <c r="I196" s="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1"/>
      <c r="H197" s="1"/>
      <c r="I197" s="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1"/>
      <c r="H198" s="1"/>
      <c r="I198" s="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1"/>
      <c r="H199" s="1"/>
      <c r="I199" s="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1"/>
      <c r="H200" s="1"/>
      <c r="I200" s="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1"/>
      <c r="H201" s="1"/>
      <c r="I201" s="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1"/>
      <c r="H202" s="1"/>
      <c r="I202" s="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1"/>
      <c r="H203" s="1"/>
      <c r="I203" s="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1"/>
      <c r="H204" s="1"/>
      <c r="I204" s="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1"/>
      <c r="H205" s="1"/>
      <c r="I205" s="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1"/>
      <c r="H206" s="1"/>
      <c r="I206" s="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1"/>
      <c r="H207" s="1"/>
      <c r="I207" s="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1"/>
      <c r="H208" s="1"/>
      <c r="I208" s="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1"/>
      <c r="H209" s="1"/>
      <c r="I209" s="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1"/>
      <c r="H210" s="1"/>
      <c r="I210" s="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1"/>
      <c r="H211" s="1"/>
      <c r="I211" s="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1"/>
      <c r="H212" s="1"/>
      <c r="I212" s="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1"/>
      <c r="H213" s="1"/>
      <c r="I213" s="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1"/>
      <c r="H214" s="1"/>
      <c r="I214" s="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1"/>
      <c r="H215" s="1"/>
      <c r="I215" s="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1"/>
      <c r="H216" s="1"/>
      <c r="I216" s="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1"/>
      <c r="H217" s="1"/>
      <c r="I217" s="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1"/>
      <c r="H218" s="1"/>
      <c r="I218" s="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1"/>
      <c r="H219" s="1"/>
      <c r="I219" s="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1"/>
      <c r="H220" s="1"/>
      <c r="I220" s="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1"/>
      <c r="H221" s="1"/>
      <c r="I221" s="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1"/>
      <c r="H222" s="1"/>
      <c r="I222" s="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1"/>
      <c r="H223" s="1"/>
      <c r="I223" s="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1"/>
      <c r="H224" s="1"/>
      <c r="I224" s="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1"/>
      <c r="H225" s="1"/>
      <c r="I225" s="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1"/>
      <c r="H226" s="1"/>
      <c r="I226" s="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1"/>
      <c r="H227" s="1"/>
      <c r="I227" s="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1"/>
      <c r="H228" s="1"/>
      <c r="I228" s="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1"/>
      <c r="H229" s="1"/>
      <c r="I229" s="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1"/>
      <c r="H230" s="1"/>
      <c r="I230" s="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1"/>
      <c r="H231" s="1"/>
      <c r="I231" s="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1"/>
      <c r="H232" s="1"/>
      <c r="I232" s="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1"/>
      <c r="H233" s="1"/>
      <c r="I233" s="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1"/>
      <c r="H234" s="1"/>
      <c r="I234" s="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1"/>
      <c r="H235" s="1"/>
      <c r="I235" s="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1"/>
      <c r="H236" s="1"/>
      <c r="I236" s="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1"/>
      <c r="H237" s="1"/>
      <c r="I237" s="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1"/>
      <c r="H238" s="1"/>
      <c r="I238" s="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1"/>
      <c r="H239" s="1"/>
      <c r="I239" s="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1"/>
      <c r="H240" s="1"/>
      <c r="I240" s="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1"/>
      <c r="H241" s="1"/>
      <c r="I241" s="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1"/>
      <c r="H242" s="1"/>
      <c r="I242" s="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1"/>
      <c r="H243" s="1"/>
      <c r="I243" s="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1"/>
      <c r="H244" s="1"/>
      <c r="I244" s="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1"/>
      <c r="H245" s="1"/>
      <c r="I245" s="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1"/>
      <c r="H246" s="1"/>
      <c r="I246" s="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1"/>
      <c r="H247" s="1"/>
      <c r="I247" s="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1"/>
      <c r="H248" s="1"/>
      <c r="I248" s="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1"/>
      <c r="H249" s="1"/>
      <c r="I249" s="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1"/>
      <c r="H250" s="1"/>
      <c r="I250" s="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1"/>
      <c r="H251" s="1"/>
      <c r="I251" s="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1"/>
      <c r="H252" s="1"/>
      <c r="I252" s="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1"/>
      <c r="H253" s="1"/>
      <c r="I253" s="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1"/>
      <c r="H254" s="1"/>
      <c r="I254" s="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1"/>
      <c r="H255" s="1"/>
      <c r="I255" s="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1"/>
      <c r="H256" s="1"/>
      <c r="I256" s="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1"/>
      <c r="H257" s="1"/>
      <c r="I257" s="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1"/>
      <c r="H258" s="1"/>
      <c r="I258" s="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1"/>
      <c r="H259" s="1"/>
      <c r="I259" s="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1"/>
      <c r="H260" s="1"/>
      <c r="I260" s="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1"/>
      <c r="H261" s="1"/>
      <c r="I261" s="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1"/>
      <c r="H262" s="1"/>
      <c r="I262" s="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1"/>
      <c r="H263" s="1"/>
      <c r="I263" s="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1"/>
      <c r="H264" s="1"/>
      <c r="I264" s="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1"/>
      <c r="H265" s="1"/>
      <c r="I265" s="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1"/>
      <c r="H266" s="1"/>
      <c r="I266" s="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1"/>
      <c r="H267" s="1"/>
      <c r="I267" s="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1"/>
      <c r="H268" s="1"/>
      <c r="I268" s="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1"/>
      <c r="H269" s="1"/>
      <c r="I269" s="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1"/>
      <c r="H270" s="1"/>
      <c r="I270" s="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1"/>
      <c r="H271" s="1"/>
      <c r="I271" s="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1"/>
      <c r="H272" s="1"/>
      <c r="I272" s="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1"/>
      <c r="H273" s="1"/>
      <c r="I273" s="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1"/>
      <c r="H274" s="1"/>
      <c r="I274" s="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1"/>
      <c r="H275" s="1"/>
      <c r="I275" s="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1"/>
      <c r="H276" s="1"/>
      <c r="I276" s="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1"/>
      <c r="H277" s="1"/>
      <c r="I277" s="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1"/>
      <c r="H278" s="1"/>
      <c r="I278" s="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1"/>
      <c r="H279" s="1"/>
      <c r="I279" s="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1"/>
      <c r="H280" s="1"/>
      <c r="I280" s="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1"/>
      <c r="H281" s="1"/>
      <c r="I281" s="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1"/>
      <c r="H282" s="1"/>
      <c r="I282" s="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1"/>
      <c r="H283" s="1"/>
      <c r="I283" s="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1"/>
      <c r="H284" s="1"/>
      <c r="I284" s="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1"/>
      <c r="H285" s="1"/>
      <c r="I285" s="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1"/>
      <c r="H286" s="1"/>
      <c r="I286" s="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1"/>
      <c r="H287" s="1"/>
      <c r="I287" s="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1"/>
      <c r="H288" s="1"/>
      <c r="I288" s="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1"/>
      <c r="H289" s="1"/>
      <c r="I289" s="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1"/>
      <c r="H290" s="1"/>
      <c r="I290" s="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1"/>
      <c r="H291" s="1"/>
      <c r="I291" s="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1"/>
      <c r="H292" s="1"/>
      <c r="I292" s="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1"/>
      <c r="H293" s="1"/>
      <c r="I293" s="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1"/>
      <c r="H294" s="1"/>
      <c r="I294" s="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1"/>
      <c r="H295" s="1"/>
      <c r="I295" s="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1"/>
      <c r="H296" s="1"/>
      <c r="I296" s="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1"/>
      <c r="H297" s="1"/>
      <c r="I297" s="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1"/>
      <c r="H298" s="1"/>
      <c r="I298" s="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1"/>
      <c r="H299" s="1"/>
      <c r="I299" s="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1"/>
      <c r="H300" s="1"/>
      <c r="I300" s="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1"/>
      <c r="H301" s="1"/>
      <c r="I301" s="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1"/>
      <c r="H302" s="1"/>
      <c r="I302" s="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1"/>
      <c r="H303" s="1"/>
      <c r="I303" s="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1"/>
      <c r="H304" s="1"/>
      <c r="I304" s="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1"/>
      <c r="H305" s="1"/>
      <c r="I305" s="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1"/>
      <c r="H306" s="1"/>
      <c r="I306" s="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1"/>
      <c r="H307" s="1"/>
      <c r="I307" s="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1"/>
      <c r="H308" s="1"/>
      <c r="I308" s="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1"/>
      <c r="H309" s="1"/>
      <c r="I309" s="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1"/>
      <c r="H310" s="1"/>
      <c r="I310" s="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1"/>
      <c r="H311" s="1"/>
      <c r="I311" s="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1"/>
      <c r="H312" s="1"/>
      <c r="I312" s="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1"/>
      <c r="H313" s="1"/>
      <c r="I313" s="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1"/>
      <c r="H314" s="1"/>
      <c r="I314" s="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1"/>
      <c r="H315" s="1"/>
      <c r="I315" s="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1"/>
      <c r="H316" s="1"/>
      <c r="I316" s="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1"/>
      <c r="H317" s="1"/>
      <c r="I317" s="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1"/>
      <c r="H318" s="1"/>
      <c r="I318" s="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1"/>
      <c r="H319" s="1"/>
      <c r="I319" s="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1"/>
      <c r="H320" s="1"/>
      <c r="I320" s="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1"/>
      <c r="H321" s="1"/>
      <c r="I321" s="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1"/>
      <c r="H322" s="1"/>
      <c r="I322" s="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1"/>
      <c r="H323" s="1"/>
      <c r="I323" s="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1"/>
      <c r="H324" s="1"/>
      <c r="I324" s="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1"/>
      <c r="H325" s="1"/>
      <c r="I325" s="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1"/>
      <c r="H326" s="1"/>
      <c r="I326" s="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1"/>
      <c r="H327" s="1"/>
      <c r="I327" s="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1"/>
      <c r="H328" s="1"/>
      <c r="I328" s="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1"/>
      <c r="H329" s="1"/>
      <c r="I329" s="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1"/>
      <c r="H330" s="1"/>
      <c r="I330" s="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1"/>
      <c r="H331" s="1"/>
      <c r="I331" s="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1"/>
      <c r="H332" s="1"/>
      <c r="I332" s="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1"/>
      <c r="H333" s="1"/>
      <c r="I333" s="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1"/>
      <c r="H334" s="1"/>
      <c r="I334" s="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1"/>
      <c r="H335" s="1"/>
      <c r="I335" s="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1"/>
      <c r="H336" s="1"/>
      <c r="I336" s="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1"/>
      <c r="H337" s="1"/>
      <c r="I337" s="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1"/>
      <c r="H338" s="1"/>
      <c r="I338" s="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1"/>
      <c r="H339" s="1"/>
      <c r="I339" s="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1"/>
      <c r="H340" s="1"/>
      <c r="I340" s="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1"/>
      <c r="H341" s="1"/>
      <c r="I341" s="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1"/>
      <c r="H342" s="1"/>
      <c r="I342" s="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1"/>
      <c r="H343" s="1"/>
      <c r="I343" s="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1"/>
      <c r="H344" s="1"/>
      <c r="I344" s="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1"/>
      <c r="H345" s="1"/>
      <c r="I345" s="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1"/>
      <c r="H346" s="1"/>
      <c r="I346" s="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1"/>
      <c r="H347" s="1"/>
      <c r="I347" s="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1"/>
      <c r="H348" s="1"/>
      <c r="I348" s="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1"/>
      <c r="H349" s="1"/>
      <c r="I349" s="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1"/>
      <c r="H350" s="1"/>
      <c r="I350" s="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1"/>
      <c r="H351" s="1"/>
      <c r="I351" s="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1"/>
      <c r="H352" s="1"/>
      <c r="I352" s="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1"/>
      <c r="H353" s="1"/>
      <c r="I353" s="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1"/>
      <c r="H354" s="1"/>
      <c r="I354" s="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1"/>
      <c r="H355" s="1"/>
      <c r="I355" s="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1"/>
      <c r="H356" s="1"/>
      <c r="I356" s="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1"/>
      <c r="H357" s="1"/>
      <c r="I357" s="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1"/>
      <c r="H358" s="1"/>
      <c r="I358" s="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1"/>
      <c r="H359" s="1"/>
      <c r="I359" s="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1"/>
      <c r="H360" s="1"/>
      <c r="I360" s="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1"/>
      <c r="H361" s="1"/>
      <c r="I361" s="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1"/>
      <c r="H362" s="1"/>
      <c r="I362" s="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1"/>
      <c r="H363" s="1"/>
      <c r="I363" s="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1"/>
      <c r="H364" s="1"/>
      <c r="I364" s="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1"/>
      <c r="H365" s="1"/>
      <c r="I365" s="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1"/>
      <c r="H366" s="1"/>
      <c r="I366" s="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1"/>
      <c r="H367" s="1"/>
      <c r="I367" s="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1"/>
      <c r="H368" s="1"/>
      <c r="I368" s="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1"/>
      <c r="H369" s="1"/>
      <c r="I369" s="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1"/>
      <c r="H370" s="1"/>
      <c r="I370" s="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1"/>
      <c r="H371" s="1"/>
      <c r="I371" s="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1"/>
      <c r="H372" s="1"/>
      <c r="I372" s="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1"/>
      <c r="H373" s="1"/>
      <c r="I373" s="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1"/>
      <c r="H374" s="1"/>
      <c r="I374" s="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1"/>
      <c r="H375" s="1"/>
      <c r="I375" s="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1"/>
      <c r="H376" s="1"/>
      <c r="I376" s="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1"/>
      <c r="H377" s="1"/>
      <c r="I377" s="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1"/>
      <c r="H378" s="1"/>
      <c r="I378" s="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1"/>
      <c r="H379" s="1"/>
      <c r="I379" s="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1"/>
      <c r="H380" s="1"/>
      <c r="I380" s="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1"/>
      <c r="H381" s="1"/>
      <c r="I381" s="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1"/>
      <c r="H382" s="1"/>
      <c r="I382" s="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1"/>
      <c r="H383" s="1"/>
      <c r="I383" s="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1"/>
      <c r="H384" s="1"/>
      <c r="I384" s="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1"/>
      <c r="H385" s="1"/>
      <c r="I385" s="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1"/>
      <c r="H386" s="1"/>
      <c r="I386" s="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1"/>
      <c r="H387" s="1"/>
      <c r="I387" s="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1"/>
      <c r="H388" s="1"/>
      <c r="I388" s="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1"/>
      <c r="H389" s="1"/>
      <c r="I389" s="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1"/>
      <c r="H390" s="1"/>
      <c r="I390" s="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1"/>
      <c r="H391" s="1"/>
      <c r="I391" s="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1"/>
      <c r="H392" s="1"/>
      <c r="I392" s="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1"/>
      <c r="H393" s="1"/>
      <c r="I393" s="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1"/>
      <c r="H394" s="1"/>
      <c r="I394" s="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1"/>
      <c r="H395" s="1"/>
      <c r="I395" s="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1"/>
      <c r="H396" s="1"/>
      <c r="I396" s="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1"/>
      <c r="H397" s="1"/>
      <c r="I397" s="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1"/>
      <c r="H398" s="1"/>
      <c r="I398" s="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1"/>
      <c r="H399" s="1"/>
      <c r="I399" s="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1"/>
      <c r="H400" s="1"/>
      <c r="I400" s="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1"/>
      <c r="H401" s="1"/>
      <c r="I401" s="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1"/>
      <c r="H402" s="1"/>
      <c r="I402" s="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1"/>
      <c r="H403" s="1"/>
      <c r="I403" s="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1"/>
      <c r="H404" s="1"/>
      <c r="I404" s="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1"/>
      <c r="H405" s="1"/>
      <c r="I405" s="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1"/>
      <c r="H406" s="1"/>
      <c r="I406" s="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1"/>
      <c r="H407" s="1"/>
      <c r="I407" s="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1"/>
      <c r="H408" s="1"/>
      <c r="I408" s="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1"/>
      <c r="H409" s="1"/>
      <c r="I409" s="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1"/>
      <c r="H410" s="1"/>
      <c r="I410" s="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1"/>
      <c r="H411" s="1"/>
      <c r="I411" s="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1"/>
      <c r="H412" s="1"/>
      <c r="I412" s="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1"/>
      <c r="H413" s="1"/>
      <c r="I413" s="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1"/>
      <c r="H414" s="1"/>
      <c r="I414" s="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1"/>
      <c r="H415" s="1"/>
      <c r="I415" s="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1"/>
      <c r="H416" s="1"/>
      <c r="I416" s="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1"/>
      <c r="H417" s="1"/>
      <c r="I417" s="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1"/>
      <c r="H418" s="1"/>
      <c r="I418" s="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1"/>
      <c r="H419" s="1"/>
      <c r="I419" s="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1"/>
      <c r="H420" s="1"/>
      <c r="I420" s="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1"/>
      <c r="H421" s="1"/>
      <c r="I421" s="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1"/>
      <c r="H422" s="1"/>
      <c r="I422" s="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1"/>
      <c r="H423" s="1"/>
      <c r="I423" s="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1"/>
      <c r="H424" s="1"/>
      <c r="I424" s="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1"/>
      <c r="H425" s="1"/>
      <c r="I425" s="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1"/>
      <c r="H426" s="1"/>
      <c r="I426" s="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1"/>
      <c r="H427" s="1"/>
      <c r="I427" s="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1"/>
      <c r="H428" s="1"/>
      <c r="I428" s="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1"/>
      <c r="H429" s="1"/>
      <c r="I429" s="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1"/>
      <c r="H430" s="1"/>
      <c r="I430" s="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1"/>
      <c r="H431" s="1"/>
      <c r="I431" s="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1"/>
      <c r="H432" s="1"/>
      <c r="I432" s="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1"/>
      <c r="H433" s="1"/>
      <c r="I433" s="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1"/>
      <c r="H434" s="1"/>
      <c r="I434" s="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1"/>
      <c r="H435" s="1"/>
      <c r="I435" s="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1"/>
      <c r="H436" s="1"/>
      <c r="I436" s="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1"/>
      <c r="H437" s="1"/>
      <c r="I437" s="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1"/>
      <c r="H438" s="1"/>
      <c r="I438" s="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1"/>
      <c r="H439" s="1"/>
      <c r="I439" s="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1"/>
      <c r="H440" s="1"/>
      <c r="I440" s="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1"/>
      <c r="H441" s="1"/>
      <c r="I441" s="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1"/>
      <c r="H442" s="1"/>
      <c r="I442" s="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1"/>
      <c r="H443" s="1"/>
      <c r="I443" s="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1"/>
      <c r="H444" s="1"/>
      <c r="I444" s="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1"/>
      <c r="H445" s="1"/>
      <c r="I445" s="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1"/>
      <c r="H446" s="1"/>
      <c r="I446" s="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1"/>
      <c r="H447" s="1"/>
      <c r="I447" s="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1"/>
      <c r="H448" s="1"/>
      <c r="I448" s="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1"/>
      <c r="H449" s="1"/>
      <c r="I449" s="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1"/>
      <c r="H450" s="1"/>
      <c r="I450" s="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1"/>
      <c r="H451" s="1"/>
      <c r="I451" s="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1"/>
      <c r="H452" s="1"/>
      <c r="I452" s="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1"/>
      <c r="H453" s="1"/>
      <c r="I453" s="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1"/>
      <c r="H454" s="1"/>
      <c r="I454" s="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1"/>
      <c r="H455" s="1"/>
      <c r="I455" s="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1"/>
      <c r="H456" s="1"/>
      <c r="I456" s="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1"/>
      <c r="H457" s="1"/>
      <c r="I457" s="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1"/>
      <c r="H458" s="1"/>
      <c r="I458" s="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1"/>
      <c r="H459" s="1"/>
      <c r="I459" s="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1"/>
      <c r="H460" s="1"/>
      <c r="I460" s="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1"/>
      <c r="H461" s="1"/>
      <c r="I461" s="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1"/>
      <c r="H462" s="1"/>
      <c r="I462" s="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1"/>
      <c r="H463" s="1"/>
      <c r="I463" s="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1"/>
      <c r="H464" s="1"/>
      <c r="I464" s="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1"/>
      <c r="H465" s="1"/>
      <c r="I465" s="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1"/>
      <c r="H466" s="1"/>
      <c r="I466" s="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1"/>
      <c r="H467" s="1"/>
      <c r="I467" s="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1"/>
      <c r="H468" s="1"/>
      <c r="I468" s="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1"/>
      <c r="H469" s="1"/>
      <c r="I469" s="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1"/>
      <c r="H470" s="1"/>
      <c r="I470" s="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1"/>
      <c r="H471" s="1"/>
      <c r="I471" s="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1"/>
      <c r="H472" s="1"/>
      <c r="I472" s="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1"/>
      <c r="H473" s="1"/>
      <c r="I473" s="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1"/>
      <c r="H474" s="1"/>
      <c r="I474" s="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1"/>
      <c r="H475" s="1"/>
      <c r="I475" s="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1"/>
      <c r="H476" s="1"/>
      <c r="I476" s="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1"/>
      <c r="H477" s="1"/>
      <c r="I477" s="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1"/>
      <c r="H478" s="1"/>
      <c r="I478" s="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1"/>
      <c r="H479" s="1"/>
      <c r="I479" s="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1"/>
      <c r="H480" s="1"/>
      <c r="I480" s="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1"/>
      <c r="H481" s="1"/>
      <c r="I481" s="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1"/>
      <c r="H482" s="1"/>
      <c r="I482" s="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1"/>
      <c r="H483" s="1"/>
      <c r="I483" s="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1"/>
      <c r="H484" s="1"/>
      <c r="I484" s="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1"/>
      <c r="H485" s="1"/>
      <c r="I485" s="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1"/>
      <c r="H486" s="1"/>
      <c r="I486" s="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1"/>
      <c r="H487" s="1"/>
      <c r="I487" s="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1"/>
      <c r="H488" s="1"/>
      <c r="I488" s="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1"/>
      <c r="H489" s="1"/>
      <c r="I489" s="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1"/>
      <c r="H490" s="1"/>
      <c r="I490" s="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1"/>
      <c r="H491" s="1"/>
      <c r="I491" s="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1"/>
      <c r="H492" s="1"/>
      <c r="I492" s="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1"/>
      <c r="H493" s="1"/>
      <c r="I493" s="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1"/>
      <c r="H494" s="1"/>
      <c r="I494" s="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1"/>
      <c r="H495" s="1"/>
      <c r="I495" s="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1"/>
      <c r="H496" s="1"/>
      <c r="I496" s="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1"/>
      <c r="H497" s="1"/>
      <c r="I497" s="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1"/>
      <c r="H498" s="1"/>
      <c r="I498" s="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1"/>
      <c r="H499" s="1"/>
      <c r="I499" s="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1"/>
      <c r="H500" s="1"/>
      <c r="I500" s="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J11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2026-09-07T10:31:28Z</dcterms:created>
  <dcterms:modified xsi:type="dcterms:W3CDTF">2026-09-14T10:07:41Z</dcterms:modified>
</cp:coreProperties>
</file>