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02,09 Малахутин\"/>
    </mc:Choice>
  </mc:AlternateContent>
  <xr:revisionPtr revIDLastSave="0" documentId="13_ncr:1_{27B25B54-E9A7-4E46-98A5-F8C5FEA9BA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Бланк!$A$9:$J$168</definedName>
    <definedName name="кол_во_инд.__упак_к">Бланк!$AC$3:$AC$604</definedName>
    <definedName name="номин.вес_нетто__кг">Бланк!$W$3:$W$604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6" i="1" l="1"/>
  <c r="G65" i="1"/>
  <c r="G91" i="1"/>
  <c r="G154" i="1"/>
  <c r="G107" i="1" l="1"/>
  <c r="G106" i="1"/>
  <c r="G133" i="1"/>
  <c r="G132" i="1"/>
  <c r="G136" i="1"/>
  <c r="G139" i="1"/>
  <c r="G167" i="1"/>
  <c r="G158" i="1"/>
  <c r="G152" i="1"/>
  <c r="G151" i="1"/>
  <c r="G166" i="1" l="1"/>
  <c r="G165" i="1"/>
  <c r="G164" i="1"/>
  <c r="G163" i="1"/>
  <c r="G162" i="1"/>
  <c r="G161" i="1"/>
  <c r="G160" i="1"/>
  <c r="G159" i="1"/>
  <c r="G157" i="1"/>
  <c r="G150" i="1"/>
  <c r="G149" i="1"/>
  <c r="G148" i="1"/>
  <c r="G147" i="1"/>
  <c r="G142" i="1"/>
  <c r="G138" i="1"/>
  <c r="G137" i="1"/>
  <c r="G135" i="1"/>
  <c r="G134" i="1"/>
  <c r="G131" i="1"/>
  <c r="G130" i="1"/>
  <c r="G129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0" i="1"/>
  <c r="G87" i="1"/>
  <c r="G80" i="1"/>
  <c r="G79" i="1"/>
  <c r="G72" i="1"/>
  <c r="G70" i="1"/>
  <c r="G71" i="1"/>
  <c r="G69" i="1"/>
  <c r="G68" i="1"/>
  <c r="G67" i="1"/>
  <c r="G64" i="1"/>
  <c r="G63" i="1"/>
  <c r="G62" i="1"/>
  <c r="G61" i="1"/>
  <c r="G60" i="1"/>
  <c r="G59" i="1"/>
  <c r="G58" i="1"/>
  <c r="G57" i="1"/>
  <c r="G55" i="1"/>
  <c r="G56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6" i="1"/>
  <c r="G146" i="1"/>
  <c r="G145" i="1"/>
  <c r="G144" i="1"/>
  <c r="G143" i="1"/>
  <c r="G141" i="1"/>
  <c r="G128" i="1"/>
  <c r="G127" i="1"/>
  <c r="G112" i="1"/>
  <c r="G111" i="1"/>
  <c r="G110" i="1"/>
  <c r="G109" i="1"/>
  <c r="G89" i="1"/>
  <c r="G88" i="1"/>
  <c r="G86" i="1"/>
  <c r="G85" i="1"/>
  <c r="G84" i="1"/>
  <c r="G83" i="1"/>
  <c r="G82" i="1"/>
  <c r="G78" i="1"/>
  <c r="G77" i="1"/>
  <c r="G76" i="1"/>
  <c r="G75" i="1"/>
  <c r="G74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E168" i="1"/>
  <c r="G12" i="1"/>
  <c r="G21" i="1"/>
  <c r="G16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<sst xmlns="http://schemas.openxmlformats.org/spreadsheetml/2006/main" count="677" uniqueCount="221">
  <si>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</si>
  <si>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</si>
  <si>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</si>
  <si>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</si>
  <si>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</si>
  <si>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</si>
  <si>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</si>
  <si>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</si>
  <si>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</si>
  <si>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</si>
  <si>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</si>
  <si>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</si>
  <si>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</si>
  <si>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</si>
  <si>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</si>
  <si>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</si>
  <si>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</si>
  <si>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</si>
  <si>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</si>
  <si>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</si>
  <si>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</si>
  <si>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</si>
  <si>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</si>
  <si>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</si>
  <si>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</si>
  <si>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</si>
  <si>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</si>
  <si>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</si>
  <si>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</si>
  <si>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</si>
  <si>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</si>
  <si>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</si>
  <si>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</si>
  <si>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</si>
  <si>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</si>
  <si>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</si>
  <si>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</si>
  <si>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</si>
  <si>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</si>
  <si>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</si>
  <si>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</si>
  <si>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</si>
  <si>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</si>
  <si>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</si>
  <si>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</si>
  <si>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</si>
  <si>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</si>
  <si>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</si>
  <si>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</si>
  <si>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</si>
  <si>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</si>
  <si>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</si>
  <si>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</si>
  <si>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</si>
  <si>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</si>
  <si>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</si>
  <si>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</si>
  <si>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</si>
  <si>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</si>
  <si>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</si>
  <si>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</si>
  <si>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</si>
  <si>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</si>
  <si>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</si>
  <si>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</si>
  <si>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</si>
  <si>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</si>
  <si>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</si>
  <si>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</si>
  <si>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</si>
  <si>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</si>
  <si>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</si>
  <si>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</si>
  <si>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</si>
  <si>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</si>
  <si>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</si>
  <si>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</si>
  <si>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</si>
  <si>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</si>
  <si>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</si>
  <si>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</si>
  <si>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</si>
  <si>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</si>
  <si>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</si>
  <si>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</si>
  <si>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</si>
  <si>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</si>
  <si>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</si>
  <si>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</si>
  <si>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</si>
  <si>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</si>
  <si>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</si>
  <si>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</si>
  <si>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</si>
  <si>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</si>
  <si>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</si>
  <si>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</si>
  <si>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</si>
  <si>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</si>
  <si>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</si>
  <si>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</si>
  <si>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</si>
  <si>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</si>
  <si>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</si>
  <si>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</si>
  <si>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</si>
  <si>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</si>
  <si>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</si>
  <si>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</si>
  <si>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</si>
  <si>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</si>
  <si>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</si>
  <si>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</si>
  <si>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</si>
  <si>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</si>
  <si>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</si>
  <si>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</si>
  <si>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</si>
  <si>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</si>
  <si>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</si>
  <si>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</si>
  <si>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</si>
  <si>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</si>
  <si>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</si>
  <si>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</si>
  <si>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</si>
  <si>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</si>
  <si>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</si>
  <si>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</si>
  <si>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</si>
  <si>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</si>
  <si>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</si>
  <si>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</si>
  <si>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</si>
  <si>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</si>
  <si>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</si>
  <si>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</si>
  <si>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</si>
  <si>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</si>
  <si>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</si>
  <si>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</si>
  <si>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</si>
  <si>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</si>
  <si>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</si>
  <si>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</si>
  <si>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</si>
  <si>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</si>
  <si>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</si>
  <si>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</si>
  <si>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</si>
  <si>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</si>
  <si>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</si>
  <si>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</si>
  <si>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</si>
  <si>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</si>
  <si>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</si>
  <si>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</si>
  <si>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</si>
  <si>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</si>
  <si>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</si>
  <si>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</si>
  <si>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</si>
  <si>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</si>
  <si>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</si>
  <si>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</si>
  <si>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</si>
  <si>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</si>
  <si>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</si>
  <si>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</si>
  <si>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</si>
  <si>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</si>
  <si>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</si>
  <si>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</si>
  <si>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</si>
  <si>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</si>
  <si>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</si>
  <si>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</si>
  <si>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</si>
  <si>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</si>
  <si>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</si>
  <si>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</si>
  <si>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</si>
  <si>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</si>
  <si>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</si>
  <si>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</si>
  <si>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</si>
  <si>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</si>
  <si>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</si>
  <si>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</si>
  <si>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</si>
  <si>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</si>
  <si>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</si>
  <si>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</si>
  <si>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</si>
  <si>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</si>
  <si>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</si>
  <si>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</si>
  <si>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</si>
  <si>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</si>
  <si>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</si>
  <si>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</si>
  <si>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</si>
  <si>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</si>
  <si>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</si>
  <si>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</si>
  <si>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</si>
  <si>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</si>
  <si>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</si>
  <si>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</si>
  <si>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</si>
  <si>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</si>
  <si>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</si>
  <si>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заблокирован</t>
  </si>
  <si>
    <t>Ротация кода 7284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</si>
  <si>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</si>
  <si>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</si>
  <si>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</si>
  <si>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</si>
  <si>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</si>
  <si>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г. Донецк ул. Чаадаева 1</t>
  </si>
  <si>
    <t>ООО "Логистический партнер" опт Малахутин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</si>
</sst>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9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8" fillId="12" borderId="0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2"/>
  <sheetViews>
    <sheetView tabSelected="1" zoomScale="85" zoomScaleNormal="85" workbookViewId="0">
      <pane ySplit="9" topLeftCell="A160" activePane="bottomLeft" state="frozen"/>
      <selection pane="bottomLeft" activeCell="L167" sqref="L16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5" t="s">
        <v>220</v>
      </c>
      <c r="F1" s="156"/>
      <c r="G1" s="156"/>
      <c r="H1" s="156"/>
      <c r="I1" s="156"/>
      <c r="J1" s="157"/>
      <c r="K1" s="123">
        <v>130438384</v>
      </c>
      <c r="L1" s="119" t="s">
        <v>171</v>
      </c>
    </row>
    <row r="2" spans="1:67" ht="16.5" customHeight="1" thickTop="1" thickBot="1" x14ac:dyDescent="0.3">
      <c r="K2" s="123">
        <v>130438644</v>
      </c>
      <c r="L2" s="119" t="s">
        <v>172</v>
      </c>
    </row>
    <row r="3" spans="1:67" ht="19.5" customHeight="1" thickTop="1" thickBot="1" x14ac:dyDescent="0.3">
      <c r="B3" s="32"/>
      <c r="C3" s="7" t="s">
        <v>1</v>
      </c>
      <c r="D3" s="55">
        <v>46271</v>
      </c>
      <c r="E3" s="7" t="s">
        <v>2</v>
      </c>
      <c r="F3" s="55"/>
      <c r="G3" s="158" t="s">
        <v>219</v>
      </c>
      <c r="H3" s="156"/>
      <c r="I3" s="156"/>
      <c r="J3" s="157"/>
      <c r="K3" s="123">
        <v>130439106</v>
      </c>
      <c r="L3" s="119" t="s">
        <v>191</v>
      </c>
    </row>
    <row r="4" spans="1:67" ht="15.75" customHeight="1" thickTop="1" x14ac:dyDescent="0.25">
      <c r="K4" s="144">
        <v>130439107</v>
      </c>
      <c r="L4" s="119" t="s">
        <v>192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>
        <v>5851</v>
      </c>
      <c r="B13" s="54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>
        <v>4813</v>
      </c>
      <c r="B14" s="54" t="s">
        <v>29</v>
      </c>
      <c r="C14" s="51" t="s">
        <v>22</v>
      </c>
      <c r="D14" s="52">
        <v>1001012564813</v>
      </c>
      <c r="E14" s="24">
        <v>30</v>
      </c>
      <c r="F14" s="23">
        <v>1.35</v>
      </c>
      <c r="G14" s="23">
        <f t="shared" si="1"/>
        <v>30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>
        <v>4063</v>
      </c>
      <c r="B16" s="54" t="s">
        <v>21</v>
      </c>
      <c r="C16" s="51" t="s">
        <v>22</v>
      </c>
      <c r="D16" s="52">
        <v>1001012484063</v>
      </c>
      <c r="E16" s="24">
        <v>150</v>
      </c>
      <c r="F16" s="23">
        <v>1.35</v>
      </c>
      <c r="G16" s="23">
        <f t="shared" si="1"/>
        <v>150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>
        <v>6220</v>
      </c>
      <c r="B17" s="54" t="s">
        <v>35</v>
      </c>
      <c r="C17" s="51" t="s">
        <v>22</v>
      </c>
      <c r="D17" s="52">
        <v>1001012426220</v>
      </c>
      <c r="E17" s="24">
        <v>30</v>
      </c>
      <c r="F17" s="23">
        <v>1.35</v>
      </c>
      <c r="G17" s="23">
        <f t="shared" si="1"/>
        <v>30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>
        <v>6498</v>
      </c>
      <c r="B18" s="54" t="s">
        <v>34</v>
      </c>
      <c r="C18" s="51" t="s">
        <v>22</v>
      </c>
      <c r="D18" s="52">
        <v>1001012456498</v>
      </c>
      <c r="E18" s="24">
        <v>20</v>
      </c>
      <c r="F18" s="23">
        <v>1</v>
      </c>
      <c r="G18" s="23">
        <f t="shared" si="1"/>
        <v>20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>
        <v>6325</v>
      </c>
      <c r="B23" s="54" t="s">
        <v>32</v>
      </c>
      <c r="C23" s="51" t="s">
        <v>20</v>
      </c>
      <c r="D23" s="52">
        <v>1001010106325</v>
      </c>
      <c r="E23" s="24">
        <v>36</v>
      </c>
      <c r="F23" s="23">
        <v>0.4</v>
      </c>
      <c r="G23" s="23">
        <f t="shared" si="2"/>
        <v>14.4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3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194</v>
      </c>
      <c r="C25" s="57" t="s">
        <v>20</v>
      </c>
      <c r="D25" s="59">
        <v>1001012507632</v>
      </c>
      <c r="E25" s="24">
        <v>42</v>
      </c>
      <c r="F25" s="60">
        <v>0.4</v>
      </c>
      <c r="G25" s="23">
        <f t="shared" ref="G25:G33" si="4">E25*F25</f>
        <v>16.8</v>
      </c>
      <c r="H25" s="61">
        <v>3.2</v>
      </c>
      <c r="I25" s="61">
        <v>60</v>
      </c>
      <c r="J25" s="53" t="s">
        <v>193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>
        <v>7523</v>
      </c>
      <c r="B26" s="56" t="s">
        <v>105</v>
      </c>
      <c r="C26" s="57" t="s">
        <v>20</v>
      </c>
      <c r="D26" s="59">
        <v>1001012427523</v>
      </c>
      <c r="E26" s="24">
        <v>48</v>
      </c>
      <c r="F26" s="60">
        <v>0.4</v>
      </c>
      <c r="G26" s="23">
        <f t="shared" si="4"/>
        <v>19.200000000000003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147">
        <v>6340</v>
      </c>
      <c r="B27" s="148" t="s">
        <v>26</v>
      </c>
      <c r="C27" s="149" t="s">
        <v>20</v>
      </c>
      <c r="D27" s="150">
        <v>1001012816340</v>
      </c>
      <c r="E27" s="151"/>
      <c r="F27" s="152">
        <v>0.5</v>
      </c>
      <c r="G27" s="152">
        <f t="shared" si="4"/>
        <v>0</v>
      </c>
      <c r="H27" s="153">
        <v>4</v>
      </c>
      <c r="I27" s="153">
        <v>60</v>
      </c>
      <c r="J27" s="153" t="s">
        <v>212</v>
      </c>
      <c r="L27" s="122"/>
    </row>
    <row r="28" spans="1:67" ht="16.5" customHeight="1" x14ac:dyDescent="0.25">
      <c r="A28" s="147">
        <v>6341</v>
      </c>
      <c r="B28" s="148" t="s">
        <v>27</v>
      </c>
      <c r="C28" s="149" t="s">
        <v>20</v>
      </c>
      <c r="D28" s="150">
        <v>1001012816341</v>
      </c>
      <c r="E28" s="151"/>
      <c r="F28" s="152">
        <v>0.5</v>
      </c>
      <c r="G28" s="152">
        <f t="shared" si="4"/>
        <v>0</v>
      </c>
      <c r="H28" s="153">
        <v>4</v>
      </c>
      <c r="I28" s="153">
        <v>60</v>
      </c>
      <c r="J28" s="153" t="s">
        <v>212</v>
      </c>
      <c r="L28" s="122"/>
    </row>
    <row r="29" spans="1:67" ht="16.5" customHeight="1" x14ac:dyDescent="0.25">
      <c r="A29" s="58"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>
        <v>6392</v>
      </c>
      <c r="B30" s="54" t="s">
        <v>109</v>
      </c>
      <c r="C30" s="51" t="s">
        <v>20</v>
      </c>
      <c r="D30" s="52">
        <v>1001012566392</v>
      </c>
      <c r="E30" s="24">
        <v>36</v>
      </c>
      <c r="F30" s="23">
        <v>0.4</v>
      </c>
      <c r="G30" s="23">
        <f t="shared" si="4"/>
        <v>14.4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>
        <v>6797</v>
      </c>
      <c r="B32" s="56" t="s">
        <v>114</v>
      </c>
      <c r="C32" s="57" t="s">
        <v>20</v>
      </c>
      <c r="D32" s="72">
        <v>1001015026797</v>
      </c>
      <c r="E32" s="24">
        <v>32</v>
      </c>
      <c r="F32" s="60">
        <v>0.4</v>
      </c>
      <c r="G32" s="23">
        <f t="shared" si="4"/>
        <v>12.8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4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5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5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5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5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5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>
        <v>7083</v>
      </c>
      <c r="B40" s="56" t="s">
        <v>160</v>
      </c>
      <c r="C40" s="57" t="s">
        <v>22</v>
      </c>
      <c r="D40" s="72">
        <v>1001022467083</v>
      </c>
      <c r="E40" s="24">
        <v>25</v>
      </c>
      <c r="F40" s="60">
        <v>1.5</v>
      </c>
      <c r="G40" s="23">
        <f t="shared" si="5"/>
        <v>25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>
        <v>6829</v>
      </c>
      <c r="B41" s="56" t="s">
        <v>156</v>
      </c>
      <c r="C41" s="57" t="s">
        <v>22</v>
      </c>
      <c r="D41" s="72">
        <v>1001024976829</v>
      </c>
      <c r="E41" s="24">
        <v>100</v>
      </c>
      <c r="F41" s="60">
        <v>2.1</v>
      </c>
      <c r="G41" s="23">
        <f t="shared" si="5"/>
        <v>100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>
        <v>7070</v>
      </c>
      <c r="B42" s="56" t="s">
        <v>44</v>
      </c>
      <c r="C42" s="57" t="s">
        <v>22</v>
      </c>
      <c r="D42" s="72">
        <v>1001022377070</v>
      </c>
      <c r="E42" s="24">
        <v>100</v>
      </c>
      <c r="F42" s="60">
        <v>1.5</v>
      </c>
      <c r="G42" s="23">
        <f t="shared" si="5"/>
        <v>100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>
        <v>7076</v>
      </c>
      <c r="B43" s="56" t="s">
        <v>185</v>
      </c>
      <c r="C43" s="57" t="s">
        <v>22</v>
      </c>
      <c r="D43" s="72">
        <v>1001022657076</v>
      </c>
      <c r="E43" s="24"/>
      <c r="F43" s="60">
        <v>1.5</v>
      </c>
      <c r="G43" s="23">
        <f t="shared" si="5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>
        <v>7271</v>
      </c>
      <c r="B44" s="56" t="s">
        <v>159</v>
      </c>
      <c r="C44" s="57" t="s">
        <v>22</v>
      </c>
      <c r="D44" s="72">
        <v>1001025507271</v>
      </c>
      <c r="E44" s="24">
        <v>60</v>
      </c>
      <c r="F44" s="60">
        <v>1.5</v>
      </c>
      <c r="G44" s="23">
        <f t="shared" si="5"/>
        <v>60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>
        <v>6303</v>
      </c>
      <c r="B45" s="56" t="s">
        <v>158</v>
      </c>
      <c r="C45" s="57" t="s">
        <v>22</v>
      </c>
      <c r="D45" s="72">
        <v>1001022726303</v>
      </c>
      <c r="E45" s="24">
        <v>70</v>
      </c>
      <c r="F45" s="60">
        <v>1.5</v>
      </c>
      <c r="G45" s="23">
        <f t="shared" si="5"/>
        <v>70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>
        <v>6661</v>
      </c>
      <c r="B46" s="56" t="s">
        <v>161</v>
      </c>
      <c r="C46" s="57" t="s">
        <v>22</v>
      </c>
      <c r="D46" s="72">
        <v>1001022246661</v>
      </c>
      <c r="E46" s="24">
        <v>32</v>
      </c>
      <c r="F46" s="60">
        <v>1.5</v>
      </c>
      <c r="G46" s="23">
        <f t="shared" si="5"/>
        <v>32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2" si="6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>
        <v>6762</v>
      </c>
      <c r="B48" s="56" t="s">
        <v>39</v>
      </c>
      <c r="C48" s="57" t="s">
        <v>20</v>
      </c>
      <c r="D48" s="72">
        <v>1001020846762</v>
      </c>
      <c r="E48" s="24">
        <v>16</v>
      </c>
      <c r="F48" s="60">
        <v>0.41</v>
      </c>
      <c r="G48" s="23">
        <f t="shared" si="6"/>
        <v>6.56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6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6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>
        <v>7123</v>
      </c>
      <c r="B51" s="56" t="s">
        <v>186</v>
      </c>
      <c r="C51" s="57" t="s">
        <v>20</v>
      </c>
      <c r="D51" s="72">
        <v>1001020867123</v>
      </c>
      <c r="E51" s="24"/>
      <c r="F51" s="60">
        <v>0.3</v>
      </c>
      <c r="G51" s="23">
        <f t="shared" si="6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6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6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147">
        <v>7284</v>
      </c>
      <c r="B54" s="148" t="s">
        <v>187</v>
      </c>
      <c r="C54" s="149" t="s">
        <v>20</v>
      </c>
      <c r="D54" s="154">
        <v>1001025767284</v>
      </c>
      <c r="E54" s="151"/>
      <c r="F54" s="152">
        <v>0.33</v>
      </c>
      <c r="G54" s="152">
        <f t="shared" si="6"/>
        <v>0</v>
      </c>
      <c r="H54" s="153">
        <v>1.98</v>
      </c>
      <c r="I54" s="153">
        <v>30</v>
      </c>
      <c r="J54" s="153" t="s">
        <v>212</v>
      </c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>
        <v>7461</v>
      </c>
      <c r="B55" s="56" t="s">
        <v>189</v>
      </c>
      <c r="C55" s="57" t="s">
        <v>20</v>
      </c>
      <c r="D55" s="72">
        <v>1001025767461</v>
      </c>
      <c r="E55" s="24">
        <v>36</v>
      </c>
      <c r="F55" s="60">
        <v>0.33</v>
      </c>
      <c r="G55" s="23">
        <f>E55*F55</f>
        <v>11.88</v>
      </c>
      <c r="H55" s="61">
        <v>1.98</v>
      </c>
      <c r="I55" s="61">
        <v>30</v>
      </c>
      <c r="J55" s="53" t="s">
        <v>213</v>
      </c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>
        <v>7601</v>
      </c>
      <c r="B56" s="56" t="s">
        <v>188</v>
      </c>
      <c r="C56" s="57" t="s">
        <v>20</v>
      </c>
      <c r="D56" s="72">
        <v>1001025767601</v>
      </c>
      <c r="E56" s="24"/>
      <c r="F56" s="60">
        <v>0.26400000000000001</v>
      </c>
      <c r="G56" s="23">
        <f t="shared" si="6"/>
        <v>0</v>
      </c>
      <c r="H56" s="61">
        <v>1.58</v>
      </c>
      <c r="I56" s="61">
        <v>30</v>
      </c>
      <c r="J56" s="61"/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147">
        <v>7371</v>
      </c>
      <c r="B57" s="148" t="s">
        <v>190</v>
      </c>
      <c r="C57" s="149" t="s">
        <v>20</v>
      </c>
      <c r="D57" s="154">
        <v>1001026947371</v>
      </c>
      <c r="E57" s="151"/>
      <c r="F57" s="152">
        <v>0.3</v>
      </c>
      <c r="G57" s="152">
        <f t="shared" si="6"/>
        <v>0</v>
      </c>
      <c r="H57" s="153">
        <v>2.4</v>
      </c>
      <c r="I57" s="153">
        <v>45</v>
      </c>
      <c r="J57" s="153" t="s">
        <v>212</v>
      </c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6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6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6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>
        <v>7066</v>
      </c>
      <c r="B61" s="56" t="s">
        <v>55</v>
      </c>
      <c r="C61" s="57" t="s">
        <v>20</v>
      </c>
      <c r="D61" s="72">
        <v>1001022377066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6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>
        <v>7255</v>
      </c>
      <c r="B63" s="56" t="s">
        <v>37</v>
      </c>
      <c r="C63" s="57" t="s">
        <v>20</v>
      </c>
      <c r="D63" s="72">
        <v>1001025507255</v>
      </c>
      <c r="E63" s="24">
        <v>30</v>
      </c>
      <c r="F63" s="23">
        <v>0.4</v>
      </c>
      <c r="G63" s="23">
        <f t="shared" si="6"/>
        <v>12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6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145">
        <v>7040</v>
      </c>
      <c r="B65" s="56" t="s">
        <v>217</v>
      </c>
      <c r="C65" s="57" t="s">
        <v>20</v>
      </c>
      <c r="D65" s="72">
        <v>1001025027040</v>
      </c>
      <c r="E65" s="24"/>
      <c r="F65" s="23">
        <v>0.27</v>
      </c>
      <c r="G65" s="23">
        <f>E65*F65</f>
        <v>0</v>
      </c>
      <c r="H65" s="14">
        <v>2.16</v>
      </c>
      <c r="I65" s="14">
        <v>45</v>
      </c>
      <c r="J65" s="146" t="s">
        <v>196</v>
      </c>
      <c r="L65" s="122"/>
    </row>
    <row r="66" spans="1:12" ht="16.5" customHeight="1" x14ac:dyDescent="0.25">
      <c r="A66" s="145">
        <v>7521</v>
      </c>
      <c r="B66" s="56" t="s">
        <v>218</v>
      </c>
      <c r="C66" s="57" t="s">
        <v>20</v>
      </c>
      <c r="D66" s="72">
        <v>1001021007521</v>
      </c>
      <c r="E66" s="24"/>
      <c r="F66" s="23">
        <v>0.5</v>
      </c>
      <c r="G66" s="23">
        <f>E66*F66</f>
        <v>0</v>
      </c>
      <c r="H66" s="14">
        <v>5</v>
      </c>
      <c r="I66" s="14">
        <v>45</v>
      </c>
      <c r="J66" s="146" t="s">
        <v>196</v>
      </c>
      <c r="L66" s="122"/>
    </row>
    <row r="67" spans="1:12" ht="16.5" customHeight="1" x14ac:dyDescent="0.25">
      <c r="A67" s="58">
        <v>7073</v>
      </c>
      <c r="B67" s="56" t="s">
        <v>50</v>
      </c>
      <c r="C67" s="57" t="s">
        <v>20</v>
      </c>
      <c r="D67" s="72">
        <v>1001022657073</v>
      </c>
      <c r="E67" s="24"/>
      <c r="F67" s="23">
        <v>0.35</v>
      </c>
      <c r="G67" s="23">
        <f t="shared" si="6"/>
        <v>0</v>
      </c>
      <c r="H67" s="14">
        <v>2.8</v>
      </c>
      <c r="I67" s="14">
        <v>50</v>
      </c>
      <c r="J67" s="29"/>
      <c r="L67" s="122"/>
    </row>
    <row r="68" spans="1:12" ht="16.5" customHeight="1" x14ac:dyDescent="0.25">
      <c r="A68" s="58">
        <v>7276</v>
      </c>
      <c r="B68" s="56" t="s">
        <v>54</v>
      </c>
      <c r="C68" s="57" t="s">
        <v>20</v>
      </c>
      <c r="D68" s="72">
        <v>1001022467276</v>
      </c>
      <c r="E68" s="24"/>
      <c r="F68" s="23">
        <v>0.3</v>
      </c>
      <c r="G68" s="23">
        <f t="shared" si="6"/>
        <v>0</v>
      </c>
      <c r="H68" s="14">
        <v>2.1</v>
      </c>
      <c r="I68" s="14">
        <v>50</v>
      </c>
      <c r="J68" s="29"/>
      <c r="L68" s="122"/>
    </row>
    <row r="69" spans="1:12" ht="16.5" customHeight="1" x14ac:dyDescent="0.25">
      <c r="A69" s="58">
        <v>6616</v>
      </c>
      <c r="B69" s="56" t="s">
        <v>42</v>
      </c>
      <c r="C69" s="57" t="s">
        <v>20</v>
      </c>
      <c r="D69" s="72">
        <v>1001024976616</v>
      </c>
      <c r="E69" s="24"/>
      <c r="F69" s="23">
        <v>0.3</v>
      </c>
      <c r="G69" s="23">
        <f t="shared" si="6"/>
        <v>0</v>
      </c>
      <c r="H69" s="14">
        <v>2.4</v>
      </c>
      <c r="I69" s="14">
        <v>45</v>
      </c>
      <c r="J69" s="29"/>
      <c r="L69" s="122"/>
    </row>
    <row r="70" spans="1:12" ht="16.5" customHeight="1" x14ac:dyDescent="0.25">
      <c r="A70" s="58">
        <v>7044</v>
      </c>
      <c r="B70" s="56" t="s">
        <v>164</v>
      </c>
      <c r="C70" s="57" t="s">
        <v>20</v>
      </c>
      <c r="D70" s="72">
        <v>1001025167044</v>
      </c>
      <c r="E70" s="24"/>
      <c r="F70" s="23">
        <v>0.32</v>
      </c>
      <c r="G70" s="23">
        <f>E70*F70</f>
        <v>0</v>
      </c>
      <c r="H70" s="14">
        <v>2.56</v>
      </c>
      <c r="I70" s="14">
        <v>45</v>
      </c>
      <c r="J70" s="29"/>
      <c r="L70" s="122"/>
    </row>
    <row r="71" spans="1:12" ht="16.5" customHeight="1" x14ac:dyDescent="0.25">
      <c r="A71" s="147">
        <v>7385</v>
      </c>
      <c r="B71" s="148" t="s">
        <v>163</v>
      </c>
      <c r="C71" s="149" t="s">
        <v>20</v>
      </c>
      <c r="D71" s="154">
        <v>1001027067385</v>
      </c>
      <c r="E71" s="151"/>
      <c r="F71" s="152">
        <v>0.33</v>
      </c>
      <c r="G71" s="152">
        <f t="shared" si="6"/>
        <v>0</v>
      </c>
      <c r="H71" s="153">
        <v>2.64</v>
      </c>
      <c r="I71" s="153">
        <v>45</v>
      </c>
      <c r="J71" s="153" t="s">
        <v>212</v>
      </c>
      <c r="L71" s="122"/>
    </row>
    <row r="72" spans="1:12" ht="16.5" customHeight="1" thickBot="1" x14ac:dyDescent="0.3">
      <c r="A72" s="147">
        <v>7460</v>
      </c>
      <c r="B72" s="148" t="s">
        <v>165</v>
      </c>
      <c r="C72" s="149" t="s">
        <v>20</v>
      </c>
      <c r="D72" s="154">
        <v>1001027247460</v>
      </c>
      <c r="E72" s="151"/>
      <c r="F72" s="152">
        <v>0.33</v>
      </c>
      <c r="G72" s="152">
        <f t="shared" si="6"/>
        <v>0</v>
      </c>
      <c r="H72" s="153">
        <v>2.64</v>
      </c>
      <c r="I72" s="153">
        <v>45</v>
      </c>
      <c r="J72" s="153" t="s">
        <v>212</v>
      </c>
      <c r="L72" s="122"/>
    </row>
    <row r="73" spans="1:12" ht="16.5" customHeight="1" thickTop="1" thickBot="1" x14ac:dyDescent="0.3">
      <c r="A73" s="48" t="s">
        <v>104</v>
      </c>
      <c r="B73" s="43" t="s">
        <v>56</v>
      </c>
      <c r="C73" s="43"/>
      <c r="D73" s="43"/>
      <c r="E73" s="43"/>
      <c r="F73" s="42"/>
      <c r="G73" s="43"/>
      <c r="H73" s="43"/>
      <c r="I73" s="43"/>
      <c r="J73" s="44"/>
      <c r="L73" s="122"/>
    </row>
    <row r="74" spans="1:12" ht="16.5" customHeight="1" thickTop="1" x14ac:dyDescent="0.25">
      <c r="A74" s="58">
        <v>6527</v>
      </c>
      <c r="B74" s="117" t="s">
        <v>152</v>
      </c>
      <c r="C74" s="118" t="s">
        <v>22</v>
      </c>
      <c r="D74" s="59">
        <v>1001031076527</v>
      </c>
      <c r="E74" s="24"/>
      <c r="F74" s="60">
        <v>1</v>
      </c>
      <c r="G74" s="23">
        <f t="shared" ref="G74:G78" si="7">E74</f>
        <v>0</v>
      </c>
      <c r="H74" s="61">
        <v>3</v>
      </c>
      <c r="I74" s="61">
        <v>45</v>
      </c>
      <c r="J74" s="61"/>
      <c r="L74" s="122"/>
    </row>
    <row r="75" spans="1:12" ht="16.5" customHeight="1" x14ac:dyDescent="0.25">
      <c r="A75" s="58">
        <v>6550</v>
      </c>
      <c r="B75" s="117" t="s">
        <v>151</v>
      </c>
      <c r="C75" s="51" t="s">
        <v>22</v>
      </c>
      <c r="D75" s="52">
        <v>1001032736550</v>
      </c>
      <c r="E75" s="24"/>
      <c r="F75" s="23">
        <v>1</v>
      </c>
      <c r="G75" s="23">
        <f t="shared" si="7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>
        <v>6549</v>
      </c>
      <c r="B76" s="117" t="s">
        <v>183</v>
      </c>
      <c r="C76" s="51" t="s">
        <v>22</v>
      </c>
      <c r="D76" s="52">
        <v>1001032736549</v>
      </c>
      <c r="E76" s="24">
        <v>40</v>
      </c>
      <c r="F76" s="23">
        <v>1</v>
      </c>
      <c r="G76" s="23">
        <f t="shared" si="7"/>
        <v>40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>
        <v>7001</v>
      </c>
      <c r="B77" s="117" t="s">
        <v>57</v>
      </c>
      <c r="C77" s="51" t="s">
        <v>22</v>
      </c>
      <c r="D77" s="52">
        <v>1001035937001</v>
      </c>
      <c r="E77" s="24"/>
      <c r="F77" s="23">
        <v>1</v>
      </c>
      <c r="G77" s="23">
        <f t="shared" si="7"/>
        <v>0</v>
      </c>
      <c r="H77" s="14">
        <v>3</v>
      </c>
      <c r="I77" s="14">
        <v>45</v>
      </c>
      <c r="J77" s="29"/>
      <c r="L77" s="122"/>
    </row>
    <row r="78" spans="1:12" ht="16.5" customHeight="1" x14ac:dyDescent="0.25">
      <c r="A78" s="58">
        <v>6608</v>
      </c>
      <c r="B78" s="107" t="s">
        <v>58</v>
      </c>
      <c r="C78" s="51" t="s">
        <v>22</v>
      </c>
      <c r="D78" s="52">
        <v>1001033856608</v>
      </c>
      <c r="E78" s="24">
        <v>40</v>
      </c>
      <c r="F78" s="23">
        <v>1</v>
      </c>
      <c r="G78" s="23">
        <f t="shared" si="7"/>
        <v>40</v>
      </c>
      <c r="H78" s="14">
        <v>3</v>
      </c>
      <c r="I78" s="14">
        <v>45</v>
      </c>
      <c r="J78" s="29"/>
      <c r="L78" s="122"/>
    </row>
    <row r="79" spans="1:12" ht="16.5" customHeight="1" x14ac:dyDescent="0.25">
      <c r="A79" s="58">
        <v>7059</v>
      </c>
      <c r="B79" s="107" t="s">
        <v>154</v>
      </c>
      <c r="C79" s="51" t="s">
        <v>20</v>
      </c>
      <c r="D79" s="52">
        <v>1001035277059</v>
      </c>
      <c r="E79" s="24"/>
      <c r="F79" s="23">
        <v>0.3</v>
      </c>
      <c r="G79" s="23">
        <f t="shared" ref="G79:G80" si="8">E79*F79</f>
        <v>0</v>
      </c>
      <c r="H79" s="14">
        <v>2.4</v>
      </c>
      <c r="I79" s="14">
        <v>60</v>
      </c>
      <c r="J79" s="29"/>
      <c r="L79" s="122"/>
    </row>
    <row r="80" spans="1:12" ht="16.5" customHeight="1" thickBot="1" x14ac:dyDescent="0.3">
      <c r="A80" s="58">
        <v>6609</v>
      </c>
      <c r="B80" s="107" t="s">
        <v>153</v>
      </c>
      <c r="C80" s="51" t="s">
        <v>20</v>
      </c>
      <c r="D80" s="52">
        <v>1001033856609</v>
      </c>
      <c r="E80" s="24">
        <v>36</v>
      </c>
      <c r="F80" s="23">
        <v>0.4</v>
      </c>
      <c r="G80" s="23">
        <f t="shared" si="8"/>
        <v>14.4</v>
      </c>
      <c r="H80" s="14">
        <v>2.4</v>
      </c>
      <c r="I80" s="14">
        <v>45</v>
      </c>
      <c r="J80" s="29"/>
      <c r="L80" s="122"/>
    </row>
    <row r="81" spans="1:12" ht="16.5" customHeight="1" thickTop="1" thickBot="1" x14ac:dyDescent="0.3">
      <c r="A81" s="48" t="s">
        <v>104</v>
      </c>
      <c r="B81" s="43" t="s">
        <v>59</v>
      </c>
      <c r="C81" s="43"/>
      <c r="D81" s="43"/>
      <c r="E81" s="43"/>
      <c r="F81" s="42"/>
      <c r="G81" s="43"/>
      <c r="H81" s="43"/>
      <c r="I81" s="43"/>
      <c r="J81" s="44"/>
      <c r="L81" s="122"/>
    </row>
    <row r="82" spans="1:12" ht="16.5" customHeight="1" thickTop="1" x14ac:dyDescent="0.25">
      <c r="A82" s="145">
        <v>7564</v>
      </c>
      <c r="B82" s="54" t="s">
        <v>121</v>
      </c>
      <c r="C82" s="51" t="s">
        <v>22</v>
      </c>
      <c r="D82" s="52">
        <v>1001303637564</v>
      </c>
      <c r="E82" s="24"/>
      <c r="F82" s="23">
        <v>0.84</v>
      </c>
      <c r="G82" s="23">
        <f t="shared" ref="G82:G86" si="9">E82</f>
        <v>0</v>
      </c>
      <c r="H82" s="14">
        <v>5.04</v>
      </c>
      <c r="I82" s="14">
        <v>45</v>
      </c>
      <c r="J82" s="53" t="s">
        <v>169</v>
      </c>
      <c r="L82" s="122"/>
    </row>
    <row r="83" spans="1:12" ht="16.5" customHeight="1" x14ac:dyDescent="0.25">
      <c r="A83" s="58">
        <v>7133</v>
      </c>
      <c r="B83" s="56" t="s">
        <v>73</v>
      </c>
      <c r="C83" s="57" t="s">
        <v>22</v>
      </c>
      <c r="D83" s="59">
        <v>1001300367133</v>
      </c>
      <c r="E83" s="24"/>
      <c r="F83" s="23">
        <v>0.84</v>
      </c>
      <c r="G83" s="23">
        <f t="shared" si="9"/>
        <v>0</v>
      </c>
      <c r="H83" s="14">
        <v>5.04</v>
      </c>
      <c r="I83" s="14">
        <v>45</v>
      </c>
      <c r="J83" s="61"/>
      <c r="L83" s="122"/>
    </row>
    <row r="84" spans="1:12" ht="16.5" customHeight="1" x14ac:dyDescent="0.25">
      <c r="A84" s="58">
        <v>6946</v>
      </c>
      <c r="B84" s="56" t="s">
        <v>178</v>
      </c>
      <c r="C84" s="57" t="s">
        <v>22</v>
      </c>
      <c r="D84" s="59">
        <v>1001300456946</v>
      </c>
      <c r="E84" s="24"/>
      <c r="F84" s="23">
        <v>0.84</v>
      </c>
      <c r="G84" s="23">
        <f t="shared" si="9"/>
        <v>0</v>
      </c>
      <c r="H84" s="14">
        <v>5.04</v>
      </c>
      <c r="I84" s="14">
        <v>45</v>
      </c>
      <c r="J84" s="29"/>
      <c r="L84" s="122"/>
    </row>
    <row r="85" spans="1:12" ht="16.5" customHeight="1" x14ac:dyDescent="0.25">
      <c r="A85" s="58">
        <v>7132</v>
      </c>
      <c r="B85" s="56" t="s">
        <v>179</v>
      </c>
      <c r="C85" s="57" t="s">
        <v>22</v>
      </c>
      <c r="D85" s="59">
        <v>1001300517132</v>
      </c>
      <c r="E85" s="24"/>
      <c r="F85" s="60">
        <v>0.84</v>
      </c>
      <c r="G85" s="23">
        <f t="shared" si="9"/>
        <v>0</v>
      </c>
      <c r="H85" s="61">
        <v>5.04</v>
      </c>
      <c r="I85" s="61">
        <v>45</v>
      </c>
      <c r="J85" s="61"/>
      <c r="L85" s="122"/>
    </row>
    <row r="86" spans="1:12" ht="16.5" customHeight="1" x14ac:dyDescent="0.25">
      <c r="A86" s="58">
        <v>5544</v>
      </c>
      <c r="B86" s="56" t="s">
        <v>72</v>
      </c>
      <c r="C86" s="57" t="s">
        <v>22</v>
      </c>
      <c r="D86" s="59">
        <v>1001051875544</v>
      </c>
      <c r="E86" s="24">
        <v>40</v>
      </c>
      <c r="F86" s="60">
        <v>0.81</v>
      </c>
      <c r="G86" s="23">
        <f t="shared" si="9"/>
        <v>40</v>
      </c>
      <c r="H86" s="61">
        <v>4.8600000000000003</v>
      </c>
      <c r="I86" s="61">
        <v>45</v>
      </c>
      <c r="J86" s="61"/>
      <c r="L86" s="122"/>
    </row>
    <row r="87" spans="1:12" ht="16.5" customHeight="1" x14ac:dyDescent="0.25">
      <c r="A87" s="58">
        <v>7149</v>
      </c>
      <c r="B87" s="56" t="s">
        <v>19</v>
      </c>
      <c r="C87" s="57" t="s">
        <v>20</v>
      </c>
      <c r="D87" s="59">
        <v>1001303637149</v>
      </c>
      <c r="E87" s="24">
        <v>30</v>
      </c>
      <c r="F87" s="60">
        <v>0.84</v>
      </c>
      <c r="G87" s="23">
        <f>E87*F87</f>
        <v>25.2</v>
      </c>
      <c r="H87" s="61">
        <v>5.04</v>
      </c>
      <c r="I87" s="61">
        <v>50</v>
      </c>
      <c r="J87" s="61"/>
      <c r="L87" s="122"/>
    </row>
    <row r="88" spans="1:12" ht="16.5" customHeight="1" x14ac:dyDescent="0.25">
      <c r="A88" s="58">
        <v>7157</v>
      </c>
      <c r="B88" s="56" t="s">
        <v>74</v>
      </c>
      <c r="C88" s="57" t="s">
        <v>22</v>
      </c>
      <c r="D88" s="59">
        <v>1001300387157</v>
      </c>
      <c r="E88" s="24">
        <v>40</v>
      </c>
      <c r="F88" s="60">
        <v>0.63</v>
      </c>
      <c r="G88" s="23">
        <f t="shared" ref="G88:G89" si="10">E88</f>
        <v>40</v>
      </c>
      <c r="H88" s="61">
        <v>5.04</v>
      </c>
      <c r="I88" s="61">
        <v>50</v>
      </c>
      <c r="J88" s="61"/>
      <c r="L88" s="122"/>
    </row>
    <row r="89" spans="1:12" ht="16.5" customHeight="1" x14ac:dyDescent="0.25">
      <c r="A89" s="58">
        <v>7166</v>
      </c>
      <c r="B89" s="56" t="s">
        <v>71</v>
      </c>
      <c r="C89" s="57" t="s">
        <v>22</v>
      </c>
      <c r="D89" s="59">
        <v>1001303987166</v>
      </c>
      <c r="E89" s="24">
        <v>50</v>
      </c>
      <c r="F89" s="60">
        <v>0.7</v>
      </c>
      <c r="G89" s="23">
        <f t="shared" si="10"/>
        <v>50</v>
      </c>
      <c r="H89" s="61">
        <v>5.6</v>
      </c>
      <c r="I89" s="61">
        <v>50</v>
      </c>
      <c r="J89" s="61"/>
      <c r="L89" s="122"/>
    </row>
    <row r="90" spans="1:12" ht="16.5" customHeight="1" x14ac:dyDescent="0.25">
      <c r="A90" s="145">
        <v>7603</v>
      </c>
      <c r="B90" s="56" t="s">
        <v>122</v>
      </c>
      <c r="C90" s="57" t="s">
        <v>20</v>
      </c>
      <c r="D90" s="59">
        <v>1001303637603</v>
      </c>
      <c r="E90" s="24">
        <v>60</v>
      </c>
      <c r="F90" s="23">
        <v>0.33</v>
      </c>
      <c r="G90" s="23">
        <f t="shared" ref="G90:G107" si="11">E90*F90</f>
        <v>19.8</v>
      </c>
      <c r="H90" s="14">
        <v>2.64</v>
      </c>
      <c r="I90" s="14">
        <v>45</v>
      </c>
      <c r="J90" s="53" t="s">
        <v>170</v>
      </c>
      <c r="L90" s="122"/>
    </row>
    <row r="91" spans="1:12" ht="16.5" customHeight="1" x14ac:dyDescent="0.25">
      <c r="A91" s="145">
        <v>7489</v>
      </c>
      <c r="B91" s="56" t="s">
        <v>216</v>
      </c>
      <c r="C91" s="57" t="s">
        <v>20</v>
      </c>
      <c r="D91" s="59">
        <v>1001307357489</v>
      </c>
      <c r="E91" s="24"/>
      <c r="F91" s="23">
        <v>0.28000000000000003</v>
      </c>
      <c r="G91" s="23">
        <f>E91*F91</f>
        <v>0</v>
      </c>
      <c r="H91" s="14">
        <v>2.2400000000000002</v>
      </c>
      <c r="I91" s="14">
        <v>45</v>
      </c>
      <c r="J91" s="146" t="s">
        <v>196</v>
      </c>
      <c r="L91" s="122"/>
    </row>
    <row r="92" spans="1:12" ht="16.5" customHeight="1" x14ac:dyDescent="0.25">
      <c r="A92" s="58">
        <v>6807</v>
      </c>
      <c r="B92" s="56" t="s">
        <v>75</v>
      </c>
      <c r="C92" s="57" t="s">
        <v>20</v>
      </c>
      <c r="D92" s="59">
        <v>1001300366807</v>
      </c>
      <c r="E92" s="24"/>
      <c r="F92" s="23">
        <v>0.33</v>
      </c>
      <c r="G92" s="23">
        <f t="shared" si="11"/>
        <v>0</v>
      </c>
      <c r="H92" s="14">
        <v>2.64</v>
      </c>
      <c r="I92" s="14">
        <v>45</v>
      </c>
      <c r="J92" s="29"/>
      <c r="L92" s="122"/>
    </row>
    <row r="93" spans="1:12" ht="16.5" customHeight="1" x14ac:dyDescent="0.25">
      <c r="A93" s="58">
        <v>6787</v>
      </c>
      <c r="B93" s="56" t="s">
        <v>65</v>
      </c>
      <c r="C93" s="57" t="s">
        <v>20</v>
      </c>
      <c r="D93" s="59">
        <v>1001300456787</v>
      </c>
      <c r="E93" s="24"/>
      <c r="F93" s="23">
        <v>0.33</v>
      </c>
      <c r="G93" s="23">
        <f t="shared" si="11"/>
        <v>0</v>
      </c>
      <c r="H93" s="14">
        <v>2.64</v>
      </c>
      <c r="I93" s="14">
        <v>45</v>
      </c>
      <c r="J93" s="29"/>
      <c r="L93" s="122"/>
    </row>
    <row r="94" spans="1:12" ht="16.5" customHeight="1" x14ac:dyDescent="0.25">
      <c r="A94" s="58">
        <v>6697</v>
      </c>
      <c r="B94" s="116" t="s">
        <v>66</v>
      </c>
      <c r="C94" s="57" t="s">
        <v>20</v>
      </c>
      <c r="D94" s="59">
        <v>1001301876697</v>
      </c>
      <c r="E94" s="24">
        <v>60</v>
      </c>
      <c r="F94" s="23">
        <v>0.35</v>
      </c>
      <c r="G94" s="23">
        <f t="shared" si="11"/>
        <v>21</v>
      </c>
      <c r="H94" s="14">
        <v>2.8</v>
      </c>
      <c r="I94" s="14">
        <v>45</v>
      </c>
      <c r="J94" s="29"/>
      <c r="L94" s="122"/>
    </row>
    <row r="95" spans="1:12" ht="16.5" customHeight="1" x14ac:dyDescent="0.25">
      <c r="A95" s="58">
        <v>7169</v>
      </c>
      <c r="B95" s="116" t="s">
        <v>70</v>
      </c>
      <c r="C95" s="57" t="s">
        <v>20</v>
      </c>
      <c r="D95" s="59">
        <v>1001303987169</v>
      </c>
      <c r="E95" s="24">
        <v>40</v>
      </c>
      <c r="F95" s="23">
        <v>0.35</v>
      </c>
      <c r="G95" s="23">
        <f t="shared" si="11"/>
        <v>14</v>
      </c>
      <c r="H95" s="14">
        <v>2.8</v>
      </c>
      <c r="I95" s="14">
        <v>50</v>
      </c>
      <c r="J95" s="29"/>
      <c r="L95" s="122"/>
    </row>
    <row r="96" spans="1:12" ht="15.75" customHeight="1" x14ac:dyDescent="0.25">
      <c r="A96" s="58">
        <v>7233</v>
      </c>
      <c r="B96" s="54" t="s">
        <v>180</v>
      </c>
      <c r="C96" s="51" t="s">
        <v>20</v>
      </c>
      <c r="D96" s="52">
        <v>1001303637233</v>
      </c>
      <c r="E96" s="24"/>
      <c r="F96" s="23">
        <v>0.31</v>
      </c>
      <c r="G96" s="23">
        <f t="shared" si="11"/>
        <v>0</v>
      </c>
      <c r="H96" s="14">
        <v>2.48</v>
      </c>
      <c r="I96" s="14">
        <v>45</v>
      </c>
      <c r="J96" s="29"/>
      <c r="L96" s="122"/>
    </row>
    <row r="97" spans="1:67" ht="15.75" customHeight="1" x14ac:dyDescent="0.25">
      <c r="A97" s="58">
        <v>7236</v>
      </c>
      <c r="B97" s="54" t="s">
        <v>68</v>
      </c>
      <c r="C97" s="51" t="s">
        <v>20</v>
      </c>
      <c r="D97" s="52">
        <v>1001304507236</v>
      </c>
      <c r="E97" s="24">
        <v>60</v>
      </c>
      <c r="F97" s="23">
        <v>0.28000000000000003</v>
      </c>
      <c r="G97" s="23">
        <f t="shared" si="11"/>
        <v>16.8</v>
      </c>
      <c r="H97" s="14">
        <v>2.2400000000000002</v>
      </c>
      <c r="I97" s="14">
        <v>45</v>
      </c>
      <c r="J97" s="50"/>
      <c r="L97" s="122"/>
    </row>
    <row r="98" spans="1:67" ht="15.75" customHeight="1" x14ac:dyDescent="0.25">
      <c r="A98" s="58">
        <v>7177</v>
      </c>
      <c r="B98" s="54" t="s">
        <v>124</v>
      </c>
      <c r="C98" s="51" t="s">
        <v>20</v>
      </c>
      <c r="D98" s="52">
        <v>1001302347177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50"/>
      <c r="L98" s="122"/>
    </row>
    <row r="99" spans="1:67" ht="15.75" customHeight="1" x14ac:dyDescent="0.25">
      <c r="A99" s="58">
        <v>7232</v>
      </c>
      <c r="B99" s="54" t="s">
        <v>61</v>
      </c>
      <c r="C99" s="51" t="s">
        <v>20</v>
      </c>
      <c r="D99" s="52">
        <v>1001302277232</v>
      </c>
      <c r="E99" s="24">
        <v>36</v>
      </c>
      <c r="F99" s="23">
        <v>0.28000000000000003</v>
      </c>
      <c r="G99" s="23">
        <f t="shared" si="11"/>
        <v>10.080000000000002</v>
      </c>
      <c r="H99" s="14">
        <v>2.2400000000000002</v>
      </c>
      <c r="I99" s="14">
        <v>50</v>
      </c>
      <c r="J99" s="50"/>
      <c r="L99" s="122"/>
    </row>
    <row r="100" spans="1:67" ht="15.75" customHeight="1" x14ac:dyDescent="0.25">
      <c r="A100" s="58">
        <v>7154</v>
      </c>
      <c r="B100" s="54" t="s">
        <v>64</v>
      </c>
      <c r="C100" s="51" t="s">
        <v>20</v>
      </c>
      <c r="D100" s="52">
        <v>1001300387154</v>
      </c>
      <c r="E100" s="24">
        <v>80</v>
      </c>
      <c r="F100" s="23">
        <v>0.35</v>
      </c>
      <c r="G100" s="23">
        <f t="shared" si="11"/>
        <v>28</v>
      </c>
      <c r="H100" s="14">
        <v>2.8</v>
      </c>
      <c r="I100" s="14">
        <v>50</v>
      </c>
      <c r="J100" s="50"/>
      <c r="L100" s="122"/>
    </row>
    <row r="101" spans="1:67" ht="15.75" customHeight="1" x14ac:dyDescent="0.25">
      <c r="A101" s="58">
        <v>7238</v>
      </c>
      <c r="B101" s="54" t="s">
        <v>123</v>
      </c>
      <c r="C101" s="51" t="s">
        <v>20</v>
      </c>
      <c r="D101" s="52">
        <v>1001305197238</v>
      </c>
      <c r="E101" s="24"/>
      <c r="F101" s="23">
        <v>0.31</v>
      </c>
      <c r="G101" s="23">
        <f t="shared" si="11"/>
        <v>0</v>
      </c>
      <c r="H101" s="14">
        <v>2.48</v>
      </c>
      <c r="I101" s="14">
        <v>45</v>
      </c>
      <c r="J101" s="50"/>
      <c r="L101" s="122"/>
    </row>
    <row r="102" spans="1:67" ht="15.75" customHeight="1" x14ac:dyDescent="0.25">
      <c r="A102" s="147">
        <v>7237</v>
      </c>
      <c r="B102" s="148" t="s">
        <v>67</v>
      </c>
      <c r="C102" s="149" t="s">
        <v>20</v>
      </c>
      <c r="D102" s="150">
        <v>1001304497237</v>
      </c>
      <c r="E102" s="151"/>
      <c r="F102" s="152">
        <v>0.28000000000000003</v>
      </c>
      <c r="G102" s="152">
        <f t="shared" si="11"/>
        <v>0</v>
      </c>
      <c r="H102" s="153">
        <v>2.2400000000000002</v>
      </c>
      <c r="I102" s="153">
        <v>45</v>
      </c>
      <c r="J102" s="153" t="s">
        <v>212</v>
      </c>
      <c r="L102" s="122"/>
    </row>
    <row r="103" spans="1:67" ht="15.75" customHeight="1" x14ac:dyDescent="0.25">
      <c r="A103" s="58">
        <v>7241</v>
      </c>
      <c r="B103" s="54" t="s">
        <v>63</v>
      </c>
      <c r="C103" s="51" t="s">
        <v>20</v>
      </c>
      <c r="D103" s="52">
        <v>1001303107241</v>
      </c>
      <c r="E103" s="24"/>
      <c r="F103" s="23">
        <v>0.28000000000000003</v>
      </c>
      <c r="G103" s="23">
        <f t="shared" si="11"/>
        <v>0</v>
      </c>
      <c r="H103" s="14">
        <v>2.2400000000000002</v>
      </c>
      <c r="I103" s="14">
        <v>45</v>
      </c>
      <c r="J103" s="50"/>
      <c r="L103" s="122"/>
    </row>
    <row r="104" spans="1:67" ht="15.75" customHeight="1" x14ac:dyDescent="0.25">
      <c r="A104" s="58">
        <v>7332</v>
      </c>
      <c r="B104" s="54" t="s">
        <v>62</v>
      </c>
      <c r="C104" s="51" t="s">
        <v>20</v>
      </c>
      <c r="D104" s="52">
        <v>1001301777332</v>
      </c>
      <c r="E104" s="24"/>
      <c r="F104" s="23">
        <v>0.28000000000000003</v>
      </c>
      <c r="G104" s="23">
        <f t="shared" si="11"/>
        <v>0</v>
      </c>
      <c r="H104" s="14">
        <v>2.2400000000000002</v>
      </c>
      <c r="I104" s="14">
        <v>50</v>
      </c>
      <c r="J104" s="50"/>
      <c r="L104" s="122"/>
    </row>
    <row r="105" spans="1:67" ht="15.75" customHeight="1" x14ac:dyDescent="0.25">
      <c r="A105" s="58">
        <v>7333</v>
      </c>
      <c r="B105" s="54" t="s">
        <v>69</v>
      </c>
      <c r="C105" s="51" t="s">
        <v>20</v>
      </c>
      <c r="D105" s="52">
        <v>1001303987333</v>
      </c>
      <c r="E105" s="24"/>
      <c r="F105" s="23">
        <v>0.28000000000000003</v>
      </c>
      <c r="G105" s="23">
        <f t="shared" si="11"/>
        <v>0</v>
      </c>
      <c r="H105" s="14">
        <v>2.2400000000000002</v>
      </c>
      <c r="I105" s="14">
        <v>50</v>
      </c>
      <c r="J105" s="50"/>
      <c r="L105" s="122"/>
    </row>
    <row r="106" spans="1:67" ht="15.75" customHeight="1" x14ac:dyDescent="0.25">
      <c r="A106" s="145">
        <v>7608</v>
      </c>
      <c r="B106" s="54" t="s">
        <v>208</v>
      </c>
      <c r="C106" s="51" t="s">
        <v>20</v>
      </c>
      <c r="D106" s="52">
        <v>1001304197608</v>
      </c>
      <c r="E106" s="24"/>
      <c r="F106" s="23">
        <v>0.1</v>
      </c>
      <c r="G106" s="23">
        <f t="shared" si="11"/>
        <v>0</v>
      </c>
      <c r="H106" s="14">
        <v>1</v>
      </c>
      <c r="I106" s="14">
        <v>45</v>
      </c>
      <c r="J106" s="53" t="s">
        <v>209</v>
      </c>
      <c r="L106" s="122"/>
    </row>
    <row r="107" spans="1:67" ht="15.75" customHeight="1" thickBot="1" x14ac:dyDescent="0.3">
      <c r="A107" s="145">
        <v>7610</v>
      </c>
      <c r="B107" s="54" t="s">
        <v>210</v>
      </c>
      <c r="C107" s="51" t="s">
        <v>20</v>
      </c>
      <c r="D107" s="52">
        <v>1001306717610</v>
      </c>
      <c r="E107" s="24"/>
      <c r="F107" s="23">
        <v>0.1</v>
      </c>
      <c r="G107" s="23">
        <f t="shared" si="11"/>
        <v>0</v>
      </c>
      <c r="H107" s="14">
        <v>1</v>
      </c>
      <c r="I107" s="14">
        <v>45</v>
      </c>
      <c r="J107" s="53" t="s">
        <v>211</v>
      </c>
      <c r="L107" s="122"/>
    </row>
    <row r="108" spans="1:67" s="63" customFormat="1" ht="16.5" customHeight="1" thickTop="1" thickBot="1" x14ac:dyDescent="0.3">
      <c r="A108" s="48" t="s">
        <v>104</v>
      </c>
      <c r="B108" s="43" t="s">
        <v>76</v>
      </c>
      <c r="C108" s="43"/>
      <c r="D108" s="43"/>
      <c r="E108" s="43"/>
      <c r="F108" s="42"/>
      <c r="G108" s="43"/>
      <c r="H108" s="43"/>
      <c r="I108" s="43"/>
      <c r="J108" s="44"/>
      <c r="K108" s="6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  <c r="AS108" s="122"/>
      <c r="AT108" s="122"/>
      <c r="AU108" s="122"/>
      <c r="AV108" s="122"/>
      <c r="AW108" s="122"/>
      <c r="AX108" s="122"/>
      <c r="AY108" s="122"/>
      <c r="AZ108" s="122"/>
      <c r="BA108" s="122"/>
      <c r="BB108" s="122"/>
      <c r="BC108" s="122"/>
      <c r="BD108" s="122"/>
      <c r="BE108" s="122"/>
      <c r="BF108" s="122"/>
      <c r="BG108" s="122"/>
      <c r="BH108" s="122"/>
      <c r="BI108" s="122"/>
      <c r="BJ108" s="122"/>
      <c r="BK108" s="122"/>
      <c r="BL108" s="122"/>
      <c r="BM108" s="122"/>
      <c r="BN108" s="122"/>
      <c r="BO108" s="122"/>
    </row>
    <row r="109" spans="1:67" s="63" customFormat="1" ht="16.5" customHeight="1" thickTop="1" x14ac:dyDescent="0.25">
      <c r="A109" s="58">
        <v>614</v>
      </c>
      <c r="B109" s="56" t="s">
        <v>140</v>
      </c>
      <c r="C109" s="57" t="s">
        <v>22</v>
      </c>
      <c r="D109" s="59">
        <v>1001060720614</v>
      </c>
      <c r="E109" s="24"/>
      <c r="F109" s="60">
        <v>0.52</v>
      </c>
      <c r="G109" s="23">
        <f t="shared" ref="G109:G112" si="12">E109</f>
        <v>0</v>
      </c>
      <c r="H109" s="110">
        <v>3.64</v>
      </c>
      <c r="I109" s="109">
        <v>120</v>
      </c>
      <c r="J109" s="61"/>
      <c r="K109" s="6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  <c r="AS109" s="122"/>
      <c r="AT109" s="122"/>
      <c r="AU109" s="122"/>
      <c r="AV109" s="122"/>
      <c r="AW109" s="122"/>
      <c r="AX109" s="122"/>
      <c r="AY109" s="122"/>
      <c r="AZ109" s="122"/>
      <c r="BA109" s="122"/>
      <c r="BB109" s="122"/>
      <c r="BC109" s="122"/>
      <c r="BD109" s="122"/>
      <c r="BE109" s="122"/>
      <c r="BF109" s="122"/>
      <c r="BG109" s="122"/>
      <c r="BH109" s="122"/>
      <c r="BI109" s="122"/>
      <c r="BJ109" s="122"/>
      <c r="BK109" s="122"/>
      <c r="BL109" s="122"/>
      <c r="BM109" s="122"/>
      <c r="BN109" s="122"/>
      <c r="BO109" s="122"/>
    </row>
    <row r="110" spans="1:67" s="63" customFormat="1" ht="16.5" customHeight="1" x14ac:dyDescent="0.25">
      <c r="A110" s="58">
        <v>3287</v>
      </c>
      <c r="B110" s="56" t="s">
        <v>90</v>
      </c>
      <c r="C110" s="57" t="s">
        <v>22</v>
      </c>
      <c r="D110" s="59">
        <v>1001060763287</v>
      </c>
      <c r="E110" s="24"/>
      <c r="F110" s="60">
        <v>0.48799999999999999</v>
      </c>
      <c r="G110" s="23">
        <f t="shared" si="12"/>
        <v>0</v>
      </c>
      <c r="H110" s="110">
        <v>3.9</v>
      </c>
      <c r="I110" s="109">
        <v>120</v>
      </c>
      <c r="J110" s="61"/>
      <c r="K110" s="6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  <c r="AS110" s="122"/>
      <c r="AT110" s="122"/>
      <c r="AU110" s="122"/>
      <c r="AV110" s="122"/>
      <c r="AW110" s="122"/>
      <c r="AX110" s="122"/>
      <c r="AY110" s="122"/>
      <c r="AZ110" s="122"/>
      <c r="BA110" s="122"/>
      <c r="BB110" s="122"/>
      <c r="BC110" s="122"/>
      <c r="BD110" s="122"/>
      <c r="BE110" s="122"/>
      <c r="BF110" s="122"/>
      <c r="BG110" s="122"/>
      <c r="BH110" s="122"/>
      <c r="BI110" s="122"/>
      <c r="BJ110" s="122"/>
      <c r="BK110" s="122"/>
      <c r="BL110" s="122"/>
      <c r="BM110" s="122"/>
      <c r="BN110" s="122"/>
      <c r="BO110" s="122"/>
    </row>
    <row r="111" spans="1:67" ht="16.5" customHeight="1" x14ac:dyDescent="0.25">
      <c r="A111" s="58">
        <v>5708</v>
      </c>
      <c r="B111" s="54" t="s">
        <v>80</v>
      </c>
      <c r="C111" s="51" t="s">
        <v>22</v>
      </c>
      <c r="D111" s="52">
        <v>1001063145708</v>
      </c>
      <c r="E111" s="24"/>
      <c r="F111" s="23">
        <v>0.5</v>
      </c>
      <c r="G111" s="23">
        <f t="shared" si="12"/>
        <v>0</v>
      </c>
      <c r="H111" s="108">
        <v>4</v>
      </c>
      <c r="I111" s="14">
        <v>120</v>
      </c>
      <c r="J111" s="29"/>
      <c r="L111" s="122"/>
    </row>
    <row r="112" spans="1:67" ht="16.5" customHeight="1" x14ac:dyDescent="0.25">
      <c r="A112" s="58">
        <v>4117</v>
      </c>
      <c r="B112" s="54" t="s">
        <v>87</v>
      </c>
      <c r="C112" s="51" t="s">
        <v>22</v>
      </c>
      <c r="D112" s="52">
        <v>1001062504117</v>
      </c>
      <c r="E112" s="24"/>
      <c r="F112" s="23">
        <v>0.49399999999999999</v>
      </c>
      <c r="G112" s="23">
        <f t="shared" si="12"/>
        <v>0</v>
      </c>
      <c r="H112" s="14">
        <v>3.95</v>
      </c>
      <c r="I112" s="14">
        <v>120</v>
      </c>
      <c r="J112" s="29"/>
      <c r="L112" s="122"/>
    </row>
    <row r="113" spans="1:12" ht="16.5" customHeight="1" x14ac:dyDescent="0.25">
      <c r="A113" s="58">
        <v>7316</v>
      </c>
      <c r="B113" s="54" t="s">
        <v>148</v>
      </c>
      <c r="C113" s="51" t="s">
        <v>20</v>
      </c>
      <c r="D113" s="52">
        <v>1001060727316</v>
      </c>
      <c r="E113" s="24"/>
      <c r="F113" s="23">
        <v>0.54</v>
      </c>
      <c r="G113" s="23">
        <f t="shared" ref="G113:G126" si="13">E113*F113</f>
        <v>0</v>
      </c>
      <c r="H113" s="14">
        <v>3.78</v>
      </c>
      <c r="I113" s="14">
        <v>120</v>
      </c>
      <c r="J113" s="29"/>
      <c r="L113" s="122"/>
    </row>
    <row r="114" spans="1:12" ht="16.5" customHeight="1" x14ac:dyDescent="0.25">
      <c r="A114" s="58">
        <v>7317</v>
      </c>
      <c r="B114" s="54" t="s">
        <v>146</v>
      </c>
      <c r="C114" s="51" t="s">
        <v>20</v>
      </c>
      <c r="D114" s="52">
        <v>1001066567317</v>
      </c>
      <c r="E114" s="24"/>
      <c r="F114" s="23">
        <v>0.54</v>
      </c>
      <c r="G114" s="23">
        <f t="shared" si="13"/>
        <v>0</v>
      </c>
      <c r="H114" s="14">
        <v>3.78</v>
      </c>
      <c r="I114" s="14">
        <v>120</v>
      </c>
      <c r="J114" s="29"/>
      <c r="L114" s="122"/>
    </row>
    <row r="115" spans="1:12" ht="16.5" customHeight="1" x14ac:dyDescent="0.25">
      <c r="A115" s="58">
        <v>7143</v>
      </c>
      <c r="B115" s="54" t="s">
        <v>142</v>
      </c>
      <c r="C115" s="51" t="s">
        <v>20</v>
      </c>
      <c r="D115" s="52">
        <v>1001060717143</v>
      </c>
      <c r="E115" s="24"/>
      <c r="F115" s="23">
        <v>0.22</v>
      </c>
      <c r="G115" s="23">
        <f t="shared" si="13"/>
        <v>0</v>
      </c>
      <c r="H115" s="14">
        <v>1.76</v>
      </c>
      <c r="I115" s="14">
        <v>120</v>
      </c>
      <c r="J115" s="29"/>
      <c r="L115" s="122"/>
    </row>
    <row r="116" spans="1:12" ht="16.5" customHeight="1" x14ac:dyDescent="0.25">
      <c r="A116" s="58">
        <v>7147</v>
      </c>
      <c r="B116" s="54" t="s">
        <v>85</v>
      </c>
      <c r="C116" s="51" t="s">
        <v>20</v>
      </c>
      <c r="D116" s="52">
        <v>1001063237147</v>
      </c>
      <c r="E116" s="24">
        <v>32</v>
      </c>
      <c r="F116" s="23">
        <v>0.22</v>
      </c>
      <c r="G116" s="23">
        <f t="shared" si="13"/>
        <v>7.04</v>
      </c>
      <c r="H116" s="14">
        <v>1.76</v>
      </c>
      <c r="I116" s="14">
        <v>120</v>
      </c>
      <c r="J116" s="29"/>
      <c r="L116" s="122"/>
    </row>
    <row r="117" spans="1:12" ht="16.5" customHeight="1" x14ac:dyDescent="0.25">
      <c r="A117" s="58">
        <v>7456</v>
      </c>
      <c r="B117" s="54" t="s">
        <v>143</v>
      </c>
      <c r="C117" s="51" t="s">
        <v>20</v>
      </c>
      <c r="D117" s="52">
        <v>1001063097456</v>
      </c>
      <c r="E117" s="24"/>
      <c r="F117" s="23">
        <v>0.15</v>
      </c>
      <c r="G117" s="23">
        <f t="shared" si="13"/>
        <v>0</v>
      </c>
      <c r="H117" s="14">
        <v>1.8</v>
      </c>
      <c r="I117" s="14">
        <v>90</v>
      </c>
      <c r="J117" s="29"/>
      <c r="L117" s="122"/>
    </row>
    <row r="118" spans="1:12" ht="16.5" customHeight="1" x14ac:dyDescent="0.25">
      <c r="A118" s="58">
        <v>7318</v>
      </c>
      <c r="B118" s="54" t="s">
        <v>147</v>
      </c>
      <c r="C118" s="51" t="s">
        <v>20</v>
      </c>
      <c r="D118" s="52">
        <v>1001060727318</v>
      </c>
      <c r="E118" s="24"/>
      <c r="F118" s="23">
        <v>0.27</v>
      </c>
      <c r="G118" s="23">
        <f t="shared" si="13"/>
        <v>0</v>
      </c>
      <c r="H118" s="14">
        <v>2.16</v>
      </c>
      <c r="I118" s="14">
        <v>120</v>
      </c>
      <c r="J118" s="29"/>
      <c r="L118" s="122"/>
    </row>
    <row r="119" spans="1:12" ht="16.5" customHeight="1" x14ac:dyDescent="0.25">
      <c r="A119" s="58">
        <v>3986</v>
      </c>
      <c r="B119" s="54" t="s">
        <v>79</v>
      </c>
      <c r="C119" s="51" t="s">
        <v>20</v>
      </c>
      <c r="D119" s="52">
        <v>1001061973986</v>
      </c>
      <c r="E119" s="24">
        <v>16</v>
      </c>
      <c r="F119" s="23">
        <v>0.25</v>
      </c>
      <c r="G119" s="23">
        <f t="shared" si="13"/>
        <v>4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>
        <v>7364</v>
      </c>
      <c r="B120" s="54" t="s">
        <v>144</v>
      </c>
      <c r="C120" s="51" t="s">
        <v>20</v>
      </c>
      <c r="D120" s="52">
        <v>1001063217364</v>
      </c>
      <c r="E120" s="24">
        <v>16</v>
      </c>
      <c r="F120" s="23">
        <v>0.22</v>
      </c>
      <c r="G120" s="23">
        <f t="shared" si="13"/>
        <v>3.52</v>
      </c>
      <c r="H120" s="14">
        <v>1.76</v>
      </c>
      <c r="I120" s="14">
        <v>90</v>
      </c>
      <c r="J120" s="29"/>
      <c r="L120" s="122"/>
    </row>
    <row r="121" spans="1:12" ht="16.5" customHeight="1" x14ac:dyDescent="0.25">
      <c r="A121" s="58">
        <v>7383</v>
      </c>
      <c r="B121" s="54" t="s">
        <v>145</v>
      </c>
      <c r="C121" s="51" t="s">
        <v>20</v>
      </c>
      <c r="D121" s="52">
        <v>1001065467383</v>
      </c>
      <c r="E121" s="24"/>
      <c r="F121" s="23">
        <v>0.22</v>
      </c>
      <c r="G121" s="23">
        <f t="shared" si="13"/>
        <v>0</v>
      </c>
      <c r="H121" s="14">
        <v>1.76</v>
      </c>
      <c r="I121" s="14">
        <v>90</v>
      </c>
      <c r="J121" s="29"/>
      <c r="L121" s="122"/>
    </row>
    <row r="122" spans="1:12" ht="16.5" customHeight="1" x14ac:dyDescent="0.25">
      <c r="A122" s="58">
        <v>6967</v>
      </c>
      <c r="B122" s="54" t="s">
        <v>83</v>
      </c>
      <c r="C122" s="51" t="s">
        <v>20</v>
      </c>
      <c r="D122" s="52">
        <v>1001063656967</v>
      </c>
      <c r="E122" s="24">
        <v>16</v>
      </c>
      <c r="F122" s="23">
        <v>0.25</v>
      </c>
      <c r="G122" s="23">
        <f t="shared" si="13"/>
        <v>4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>
        <v>4993</v>
      </c>
      <c r="B123" s="54" t="s">
        <v>139</v>
      </c>
      <c r="C123" s="51" t="s">
        <v>20</v>
      </c>
      <c r="D123" s="52">
        <v>1001060764993</v>
      </c>
      <c r="E123" s="24"/>
      <c r="F123" s="23">
        <v>0.25</v>
      </c>
      <c r="G123" s="23">
        <f t="shared" si="13"/>
        <v>0</v>
      </c>
      <c r="H123" s="14">
        <v>2</v>
      </c>
      <c r="I123" s="14">
        <v>120</v>
      </c>
      <c r="J123" s="29"/>
      <c r="L123" s="122"/>
    </row>
    <row r="124" spans="1:12" ht="16.5" customHeight="1" x14ac:dyDescent="0.25">
      <c r="A124" s="58">
        <v>6937</v>
      </c>
      <c r="B124" s="54" t="s">
        <v>141</v>
      </c>
      <c r="C124" s="51" t="s">
        <v>20</v>
      </c>
      <c r="D124" s="52">
        <v>1001063106937</v>
      </c>
      <c r="E124" s="24">
        <v>60</v>
      </c>
      <c r="F124" s="23">
        <v>0.25</v>
      </c>
      <c r="G124" s="23">
        <f t="shared" si="13"/>
        <v>15</v>
      </c>
      <c r="H124" s="14">
        <v>2</v>
      </c>
      <c r="I124" s="14">
        <v>120</v>
      </c>
      <c r="J124" s="29"/>
      <c r="L124" s="122"/>
    </row>
    <row r="125" spans="1:12" ht="16.5" customHeight="1" x14ac:dyDescent="0.25">
      <c r="A125" s="58">
        <v>5483</v>
      </c>
      <c r="B125" s="54" t="s">
        <v>88</v>
      </c>
      <c r="C125" s="51" t="s">
        <v>20</v>
      </c>
      <c r="D125" s="52">
        <v>1001062505483</v>
      </c>
      <c r="E125" s="24">
        <v>40</v>
      </c>
      <c r="F125" s="23">
        <v>0.25</v>
      </c>
      <c r="G125" s="23">
        <f t="shared" si="13"/>
        <v>10</v>
      </c>
      <c r="H125" s="14">
        <v>2</v>
      </c>
      <c r="I125" s="14">
        <v>120</v>
      </c>
      <c r="J125" s="29"/>
      <c r="L125" s="122"/>
    </row>
    <row r="126" spans="1:12" ht="16.5" customHeight="1" x14ac:dyDescent="0.25">
      <c r="A126" s="58">
        <v>5931</v>
      </c>
      <c r="B126" s="54" t="s">
        <v>77</v>
      </c>
      <c r="C126" s="51" t="s">
        <v>20</v>
      </c>
      <c r="D126" s="52">
        <v>1001060755931</v>
      </c>
      <c r="E126" s="24"/>
      <c r="F126" s="23">
        <v>0.22</v>
      </c>
      <c r="G126" s="23">
        <f t="shared" si="13"/>
        <v>0</v>
      </c>
      <c r="H126" s="14">
        <v>1.76</v>
      </c>
      <c r="I126" s="14">
        <v>120</v>
      </c>
      <c r="J126" s="29"/>
      <c r="L126" s="122"/>
    </row>
    <row r="127" spans="1:12" ht="16.5" customHeight="1" x14ac:dyDescent="0.25">
      <c r="A127" s="58">
        <v>6832</v>
      </c>
      <c r="B127" s="54" t="s">
        <v>81</v>
      </c>
      <c r="C127" s="51" t="s">
        <v>22</v>
      </c>
      <c r="D127" s="52">
        <v>1001065616832</v>
      </c>
      <c r="E127" s="24"/>
      <c r="F127" s="23">
        <v>0.215</v>
      </c>
      <c r="G127" s="23">
        <f t="shared" ref="G127:G128" si="14">E127</f>
        <v>0</v>
      </c>
      <c r="H127" s="14">
        <v>2.15</v>
      </c>
      <c r="I127" s="14">
        <v>30</v>
      </c>
      <c r="J127" s="29"/>
      <c r="L127" s="122"/>
    </row>
    <row r="128" spans="1:12" ht="16.5" customHeight="1" x14ac:dyDescent="0.25">
      <c r="A128" s="58">
        <v>7299</v>
      </c>
      <c r="B128" s="54" t="s">
        <v>82</v>
      </c>
      <c r="C128" s="51" t="s">
        <v>22</v>
      </c>
      <c r="D128" s="52">
        <v>1001060677299</v>
      </c>
      <c r="E128" s="24"/>
      <c r="F128" s="23">
        <v>0.215</v>
      </c>
      <c r="G128" s="23">
        <f t="shared" si="14"/>
        <v>0</v>
      </c>
      <c r="H128" s="14">
        <v>2.15</v>
      </c>
      <c r="I128" s="14">
        <v>30</v>
      </c>
      <c r="J128" s="29"/>
      <c r="L128" s="122"/>
    </row>
    <row r="129" spans="1:67" ht="16.5" customHeight="1" x14ac:dyDescent="0.25">
      <c r="A129" s="58">
        <v>7386</v>
      </c>
      <c r="B129" s="54" t="s">
        <v>150</v>
      </c>
      <c r="C129" s="51" t="s">
        <v>20</v>
      </c>
      <c r="D129" s="52">
        <v>1001067017386</v>
      </c>
      <c r="E129" s="24"/>
      <c r="F129" s="23">
        <v>0.15</v>
      </c>
      <c r="G129" s="23">
        <f t="shared" ref="G129:G139" si="15">E129*F129</f>
        <v>0</v>
      </c>
      <c r="H129" s="14">
        <v>1.35</v>
      </c>
      <c r="I129" s="14">
        <v>90</v>
      </c>
      <c r="J129" s="29"/>
      <c r="L129" s="122"/>
    </row>
    <row r="130" spans="1:67" ht="16.5" customHeight="1" x14ac:dyDescent="0.25">
      <c r="A130" s="58">
        <v>5679</v>
      </c>
      <c r="B130" s="54" t="s">
        <v>136</v>
      </c>
      <c r="C130" s="51" t="s">
        <v>20</v>
      </c>
      <c r="D130" s="52">
        <v>1001190765679</v>
      </c>
      <c r="E130" s="24"/>
      <c r="F130" s="23">
        <v>0.15</v>
      </c>
      <c r="G130" s="23">
        <f t="shared" si="15"/>
        <v>0</v>
      </c>
      <c r="H130" s="14">
        <v>1.2</v>
      </c>
      <c r="I130" s="14">
        <v>60</v>
      </c>
      <c r="J130" s="29"/>
      <c r="L130" s="122"/>
    </row>
    <row r="131" spans="1:67" ht="16.5" customHeight="1" x14ac:dyDescent="0.25">
      <c r="A131" s="58">
        <v>7382</v>
      </c>
      <c r="B131" s="54" t="s">
        <v>84</v>
      </c>
      <c r="C131" s="51" t="s">
        <v>20</v>
      </c>
      <c r="D131" s="52">
        <v>1001203117382</v>
      </c>
      <c r="E131" s="24">
        <v>20</v>
      </c>
      <c r="F131" s="23">
        <v>0.12</v>
      </c>
      <c r="G131" s="23">
        <f t="shared" si="15"/>
        <v>2.4</v>
      </c>
      <c r="H131" s="14">
        <v>0.96</v>
      </c>
      <c r="I131" s="14">
        <v>60</v>
      </c>
      <c r="J131" s="29"/>
      <c r="L131" s="122"/>
    </row>
    <row r="132" spans="1:67" ht="16.5" customHeight="1" x14ac:dyDescent="0.25">
      <c r="A132" s="145">
        <v>7613</v>
      </c>
      <c r="B132" s="54" t="s">
        <v>204</v>
      </c>
      <c r="C132" s="51" t="s">
        <v>20</v>
      </c>
      <c r="D132" s="52">
        <v>1001061977613</v>
      </c>
      <c r="E132" s="24">
        <v>40</v>
      </c>
      <c r="F132" s="23">
        <v>0.1</v>
      </c>
      <c r="G132" s="23">
        <f t="shared" si="15"/>
        <v>4</v>
      </c>
      <c r="H132" s="14">
        <v>1</v>
      </c>
      <c r="I132" s="14">
        <v>60</v>
      </c>
      <c r="J132" s="53" t="s">
        <v>205</v>
      </c>
      <c r="L132" s="122"/>
    </row>
    <row r="133" spans="1:67" ht="16.5" customHeight="1" x14ac:dyDescent="0.25">
      <c r="A133" s="145">
        <v>7616</v>
      </c>
      <c r="B133" s="54" t="s">
        <v>206</v>
      </c>
      <c r="C133" s="51" t="s">
        <v>20</v>
      </c>
      <c r="D133" s="52">
        <v>1001062507616</v>
      </c>
      <c r="E133" s="24">
        <v>40</v>
      </c>
      <c r="F133" s="23">
        <v>0.1</v>
      </c>
      <c r="G133" s="23">
        <f t="shared" si="15"/>
        <v>4</v>
      </c>
      <c r="H133" s="14">
        <v>1.4</v>
      </c>
      <c r="I133" s="14">
        <v>60</v>
      </c>
      <c r="J133" s="53" t="s">
        <v>207</v>
      </c>
      <c r="L133" s="122"/>
    </row>
    <row r="134" spans="1:67" ht="16.5" customHeight="1" x14ac:dyDescent="0.25">
      <c r="A134" s="58">
        <v>6221</v>
      </c>
      <c r="B134" s="54" t="s">
        <v>86</v>
      </c>
      <c r="C134" s="51" t="s">
        <v>20</v>
      </c>
      <c r="D134" s="52">
        <v>1001205376221</v>
      </c>
      <c r="E134" s="24">
        <v>10</v>
      </c>
      <c r="F134" s="23">
        <v>0.09</v>
      </c>
      <c r="G134" s="23">
        <f t="shared" si="15"/>
        <v>0.89999999999999991</v>
      </c>
      <c r="H134" s="14">
        <v>0.9</v>
      </c>
      <c r="I134" s="14">
        <v>60</v>
      </c>
      <c r="J134" s="29"/>
      <c r="L134" s="122"/>
    </row>
    <row r="135" spans="1:67" ht="16.5" customHeight="1" x14ac:dyDescent="0.25">
      <c r="A135" s="58">
        <v>6222</v>
      </c>
      <c r="B135" s="54" t="s">
        <v>133</v>
      </c>
      <c r="C135" s="51" t="s">
        <v>20</v>
      </c>
      <c r="D135" s="52">
        <v>1001205386222</v>
      </c>
      <c r="E135" s="24"/>
      <c r="F135" s="23">
        <v>0.09</v>
      </c>
      <c r="G135" s="23">
        <f t="shared" si="15"/>
        <v>0</v>
      </c>
      <c r="H135" s="14">
        <v>0.9</v>
      </c>
      <c r="I135" s="14">
        <v>60</v>
      </c>
      <c r="J135" s="29"/>
      <c r="L135" s="122"/>
    </row>
    <row r="136" spans="1:67" ht="16.5" customHeight="1" x14ac:dyDescent="0.25">
      <c r="A136" s="147">
        <v>6834</v>
      </c>
      <c r="B136" s="148" t="s">
        <v>132</v>
      </c>
      <c r="C136" s="149" t="s">
        <v>20</v>
      </c>
      <c r="D136" s="150">
        <v>1001203146834</v>
      </c>
      <c r="E136" s="151"/>
      <c r="F136" s="152">
        <v>0.1</v>
      </c>
      <c r="G136" s="152">
        <f t="shared" si="15"/>
        <v>0</v>
      </c>
      <c r="H136" s="153">
        <v>1</v>
      </c>
      <c r="I136" s="153">
        <v>60</v>
      </c>
      <c r="J136" s="153" t="s">
        <v>203</v>
      </c>
      <c r="L136" s="122"/>
    </row>
    <row r="137" spans="1:67" ht="16.5" customHeight="1" x14ac:dyDescent="0.25">
      <c r="A137" s="147">
        <v>6965</v>
      </c>
      <c r="B137" s="148" t="s">
        <v>134</v>
      </c>
      <c r="C137" s="149" t="s">
        <v>20</v>
      </c>
      <c r="D137" s="150">
        <v>1001206356965</v>
      </c>
      <c r="E137" s="151"/>
      <c r="F137" s="152">
        <v>7.0000000000000007E-2</v>
      </c>
      <c r="G137" s="152">
        <f t="shared" si="15"/>
        <v>0</v>
      </c>
      <c r="H137" s="153">
        <v>0.98</v>
      </c>
      <c r="I137" s="153">
        <v>60</v>
      </c>
      <c r="J137" s="153" t="s">
        <v>203</v>
      </c>
      <c r="L137" s="122"/>
    </row>
    <row r="138" spans="1:67" ht="16.5" customHeight="1" x14ac:dyDescent="0.25">
      <c r="A138" s="147">
        <v>6557</v>
      </c>
      <c r="B138" s="148" t="s">
        <v>135</v>
      </c>
      <c r="C138" s="149" t="s">
        <v>20</v>
      </c>
      <c r="D138" s="150">
        <v>1001200756557</v>
      </c>
      <c r="E138" s="151"/>
      <c r="F138" s="152">
        <v>0.1</v>
      </c>
      <c r="G138" s="152">
        <f t="shared" si="15"/>
        <v>0</v>
      </c>
      <c r="H138" s="153">
        <v>1</v>
      </c>
      <c r="I138" s="153">
        <v>60</v>
      </c>
      <c r="J138" s="153" t="s">
        <v>203</v>
      </c>
      <c r="L138" s="122"/>
    </row>
    <row r="139" spans="1:67" ht="16.5" customHeight="1" thickBot="1" x14ac:dyDescent="0.3">
      <c r="A139" s="145">
        <v>7626</v>
      </c>
      <c r="B139" s="54" t="s">
        <v>201</v>
      </c>
      <c r="C139" s="51" t="s">
        <v>20</v>
      </c>
      <c r="D139" s="52">
        <v>1001066607626</v>
      </c>
      <c r="E139" s="24">
        <v>10</v>
      </c>
      <c r="F139" s="23">
        <v>0.1</v>
      </c>
      <c r="G139" s="23">
        <f t="shared" si="15"/>
        <v>1</v>
      </c>
      <c r="H139" s="14">
        <v>1</v>
      </c>
      <c r="I139" s="14">
        <v>60</v>
      </c>
      <c r="J139" s="53" t="s">
        <v>202</v>
      </c>
      <c r="L139" s="122"/>
    </row>
    <row r="140" spans="1:67" ht="16.5" customHeight="1" thickTop="1" thickBot="1" x14ac:dyDescent="0.3">
      <c r="A140" s="48" t="s">
        <v>104</v>
      </c>
      <c r="B140" s="43" t="s">
        <v>91</v>
      </c>
      <c r="C140" s="43"/>
      <c r="D140" s="43"/>
      <c r="E140" s="43"/>
      <c r="F140" s="42"/>
      <c r="G140" s="43"/>
      <c r="H140" s="43"/>
      <c r="I140" s="43"/>
      <c r="J140" s="44"/>
      <c r="L140" s="122"/>
    </row>
    <row r="141" spans="1:67" ht="16.149999999999999" customHeight="1" thickTop="1" x14ac:dyDescent="0.25">
      <c r="A141" s="58">
        <v>6470</v>
      </c>
      <c r="B141" s="114" t="s">
        <v>116</v>
      </c>
      <c r="C141" s="51" t="s">
        <v>22</v>
      </c>
      <c r="D141" s="113">
        <v>1001092436470</v>
      </c>
      <c r="E141" s="24"/>
      <c r="F141" s="23">
        <v>1.2</v>
      </c>
      <c r="G141" s="23">
        <f>E141</f>
        <v>0</v>
      </c>
      <c r="H141" s="14">
        <v>4.8</v>
      </c>
      <c r="I141" s="14">
        <v>45</v>
      </c>
      <c r="J141" s="29"/>
      <c r="L141" s="122"/>
    </row>
    <row r="142" spans="1:67" s="63" customFormat="1" ht="16.149999999999999" customHeight="1" x14ac:dyDescent="0.25">
      <c r="A142" s="58">
        <v>6495</v>
      </c>
      <c r="B142" s="115" t="s">
        <v>95</v>
      </c>
      <c r="C142" s="57" t="s">
        <v>20</v>
      </c>
      <c r="D142" s="72">
        <v>1001092436495</v>
      </c>
      <c r="E142" s="24"/>
      <c r="F142" s="60">
        <v>0.3</v>
      </c>
      <c r="G142" s="23">
        <f>E142*F142</f>
        <v>0</v>
      </c>
      <c r="H142" s="61">
        <v>1.8</v>
      </c>
      <c r="I142" s="61">
        <v>45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>
        <v>5452</v>
      </c>
      <c r="B143" s="111" t="s">
        <v>93</v>
      </c>
      <c r="C143" s="57" t="s">
        <v>22</v>
      </c>
      <c r="D143" s="72">
        <v>1001092485452</v>
      </c>
      <c r="E143" s="24"/>
      <c r="F143" s="60">
        <v>1.35</v>
      </c>
      <c r="G143" s="23">
        <f t="shared" ref="G143:G146" si="16">E143</f>
        <v>0</v>
      </c>
      <c r="H143" s="61">
        <v>4.05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149999999999999" customHeight="1" x14ac:dyDescent="0.25">
      <c r="A144" s="58">
        <v>6866</v>
      </c>
      <c r="B144" s="111" t="s">
        <v>92</v>
      </c>
      <c r="C144" s="57" t="s">
        <v>22</v>
      </c>
      <c r="D144" s="72">
        <v>1001095716866</v>
      </c>
      <c r="E144" s="24"/>
      <c r="F144" s="60">
        <v>1.5</v>
      </c>
      <c r="G144" s="23">
        <f t="shared" si="16"/>
        <v>0</v>
      </c>
      <c r="H144" s="61">
        <v>6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149999999999999" customHeight="1" x14ac:dyDescent="0.25">
      <c r="A145" s="58">
        <v>6025</v>
      </c>
      <c r="B145" s="111" t="s">
        <v>118</v>
      </c>
      <c r="C145" s="57" t="s">
        <v>22</v>
      </c>
      <c r="D145" s="72">
        <v>1001094966025</v>
      </c>
      <c r="E145" s="24"/>
      <c r="F145" s="60">
        <v>3</v>
      </c>
      <c r="G145" s="23">
        <f t="shared" si="16"/>
        <v>0</v>
      </c>
      <c r="H145" s="61">
        <v>6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149999999999999" customHeight="1" x14ac:dyDescent="0.25">
      <c r="A146" s="58">
        <v>4584</v>
      </c>
      <c r="B146" s="111" t="s">
        <v>174</v>
      </c>
      <c r="C146" s="57" t="s">
        <v>22</v>
      </c>
      <c r="D146" s="72">
        <v>1001092674584</v>
      </c>
      <c r="E146" s="24"/>
      <c r="F146" s="60">
        <v>2.5</v>
      </c>
      <c r="G146" s="23">
        <f t="shared" si="16"/>
        <v>0</v>
      </c>
      <c r="H146" s="61">
        <v>7.5</v>
      </c>
      <c r="I146" s="61">
        <v>60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6.5" customHeight="1" x14ac:dyDescent="0.25">
      <c r="A147" s="58">
        <v>3215</v>
      </c>
      <c r="B147" s="56" t="s">
        <v>175</v>
      </c>
      <c r="C147" s="57" t="s">
        <v>20</v>
      </c>
      <c r="D147" s="112">
        <v>1001094053215</v>
      </c>
      <c r="E147" s="24">
        <v>16</v>
      </c>
      <c r="F147" s="60">
        <v>0.4</v>
      </c>
      <c r="G147" s="23">
        <f t="shared" ref="G147:G150" si="17">E147*F147</f>
        <v>6.4</v>
      </c>
      <c r="H147" s="61">
        <v>3.2</v>
      </c>
      <c r="I147" s="61">
        <v>60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6.5" customHeight="1" x14ac:dyDescent="0.25">
      <c r="A148" s="58">
        <v>5495</v>
      </c>
      <c r="B148" s="56" t="s">
        <v>94</v>
      </c>
      <c r="C148" s="57" t="s">
        <v>20</v>
      </c>
      <c r="D148" s="112">
        <v>1001093345495</v>
      </c>
      <c r="E148" s="24">
        <v>60</v>
      </c>
      <c r="F148" s="60">
        <v>0.4</v>
      </c>
      <c r="G148" s="23">
        <f t="shared" si="17"/>
        <v>24</v>
      </c>
      <c r="H148" s="61">
        <v>2.4</v>
      </c>
      <c r="I148" s="61">
        <v>60</v>
      </c>
      <c r="J148" s="61"/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6.5" customHeight="1" x14ac:dyDescent="0.25">
      <c r="A149" s="58">
        <v>7377</v>
      </c>
      <c r="B149" s="56" t="s">
        <v>117</v>
      </c>
      <c r="C149" s="57" t="s">
        <v>20</v>
      </c>
      <c r="D149" s="112">
        <v>1001095027377</v>
      </c>
      <c r="E149" s="24"/>
      <c r="F149" s="60">
        <v>0.3</v>
      </c>
      <c r="G149" s="23">
        <f t="shared" si="17"/>
        <v>0</v>
      </c>
      <c r="H149" s="61">
        <v>1.8</v>
      </c>
      <c r="I149" s="61">
        <v>45</v>
      </c>
      <c r="J149" s="61"/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s="63" customFormat="1" ht="15.75" customHeight="1" x14ac:dyDescent="0.25">
      <c r="A150" s="58">
        <v>6925</v>
      </c>
      <c r="B150" s="56" t="s">
        <v>103</v>
      </c>
      <c r="C150" s="57" t="s">
        <v>20</v>
      </c>
      <c r="D150" s="112">
        <v>1001095226925</v>
      </c>
      <c r="E150" s="24"/>
      <c r="F150" s="60">
        <v>0.6</v>
      </c>
      <c r="G150" s="23">
        <f t="shared" si="17"/>
        <v>0</v>
      </c>
      <c r="H150" s="61">
        <v>4.8</v>
      </c>
      <c r="I150" s="61">
        <v>45</v>
      </c>
      <c r="J150" s="61"/>
      <c r="K150" s="6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</row>
    <row r="151" spans="1:67" s="63" customFormat="1" ht="15.75" customHeight="1" x14ac:dyDescent="0.25">
      <c r="A151" s="145">
        <v>7647</v>
      </c>
      <c r="B151" s="56" t="s">
        <v>195</v>
      </c>
      <c r="C151" s="57" t="s">
        <v>20</v>
      </c>
      <c r="D151" s="112">
        <v>1001097747647</v>
      </c>
      <c r="E151" s="24"/>
      <c r="F151" s="60">
        <v>0.1</v>
      </c>
      <c r="G151" s="23">
        <f>E151*F151</f>
        <v>0</v>
      </c>
      <c r="H151" s="61">
        <v>1</v>
      </c>
      <c r="I151" s="61">
        <v>30</v>
      </c>
      <c r="J151" s="146" t="s">
        <v>196</v>
      </c>
      <c r="K151" s="6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</row>
    <row r="152" spans="1:67" s="63" customFormat="1" ht="15.75" customHeight="1" thickBot="1" x14ac:dyDescent="0.3">
      <c r="A152" s="145">
        <v>7651</v>
      </c>
      <c r="B152" s="56" t="s">
        <v>197</v>
      </c>
      <c r="C152" s="57" t="s">
        <v>20</v>
      </c>
      <c r="D152" s="112">
        <v>1001097767651</v>
      </c>
      <c r="E152" s="24"/>
      <c r="F152" s="60">
        <v>0.1</v>
      </c>
      <c r="G152" s="23">
        <f>E152*F152</f>
        <v>0</v>
      </c>
      <c r="H152" s="61">
        <v>1</v>
      </c>
      <c r="I152" s="61">
        <v>30</v>
      </c>
      <c r="J152" s="146" t="s">
        <v>196</v>
      </c>
      <c r="K152" s="6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</row>
    <row r="153" spans="1:67" s="63" customFormat="1" ht="15.75" customHeight="1" thickTop="1" thickBot="1" x14ac:dyDescent="0.3">
      <c r="A153" s="48" t="s">
        <v>104</v>
      </c>
      <c r="B153" s="43" t="s">
        <v>214</v>
      </c>
      <c r="C153" s="43"/>
      <c r="D153" s="43"/>
      <c r="E153" s="43"/>
      <c r="F153" s="42"/>
      <c r="G153" s="43"/>
      <c r="H153" s="43"/>
      <c r="I153" s="43"/>
      <c r="J153" s="44"/>
      <c r="K153" s="6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</row>
    <row r="154" spans="1:67" s="63" customFormat="1" ht="15.75" customHeight="1" thickTop="1" thickBot="1" x14ac:dyDescent="0.3">
      <c r="A154" s="145">
        <v>7485</v>
      </c>
      <c r="B154" s="35" t="s">
        <v>215</v>
      </c>
      <c r="C154" s="51" t="s">
        <v>20</v>
      </c>
      <c r="D154" s="52">
        <v>1001107397485</v>
      </c>
      <c r="E154" s="24"/>
      <c r="F154" s="23">
        <v>0.15</v>
      </c>
      <c r="G154" s="23">
        <f>E154*F154</f>
        <v>0</v>
      </c>
      <c r="H154" s="14">
        <v>2.25</v>
      </c>
      <c r="I154" s="14">
        <v>60</v>
      </c>
      <c r="J154" s="146" t="s">
        <v>196</v>
      </c>
      <c r="K154" s="6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</row>
    <row r="155" spans="1:67" ht="16.5" customHeight="1" thickTop="1" thickBot="1" x14ac:dyDescent="0.3">
      <c r="A155" s="48" t="s">
        <v>104</v>
      </c>
      <c r="B155" s="43" t="s">
        <v>96</v>
      </c>
      <c r="C155" s="43"/>
      <c r="D155" s="43"/>
      <c r="E155" s="43"/>
      <c r="F155" s="42"/>
      <c r="G155" s="43"/>
      <c r="H155" s="43"/>
      <c r="I155" s="43"/>
      <c r="J155" s="44"/>
      <c r="L155" s="122"/>
    </row>
    <row r="156" spans="1:67" ht="16.5" customHeight="1" thickTop="1" x14ac:dyDescent="0.25">
      <c r="A156" s="58">
        <v>6620</v>
      </c>
      <c r="B156" s="35" t="s">
        <v>97</v>
      </c>
      <c r="C156" s="51" t="s">
        <v>22</v>
      </c>
      <c r="D156" s="52">
        <v>1001081596620</v>
      </c>
      <c r="E156" s="24"/>
      <c r="F156" s="23">
        <v>1.05</v>
      </c>
      <c r="G156" s="23">
        <f>E156</f>
        <v>0</v>
      </c>
      <c r="H156" s="14">
        <v>3.15</v>
      </c>
      <c r="I156" s="14">
        <v>30</v>
      </c>
      <c r="J156" s="29"/>
      <c r="L156" s="122"/>
    </row>
    <row r="157" spans="1:67" ht="16.5" customHeight="1" x14ac:dyDescent="0.25">
      <c r="A157" s="58">
        <v>7187</v>
      </c>
      <c r="B157" s="35" t="s">
        <v>101</v>
      </c>
      <c r="C157" s="51" t="s">
        <v>20</v>
      </c>
      <c r="D157" s="52">
        <v>1001085637187</v>
      </c>
      <c r="E157" s="24">
        <v>60</v>
      </c>
      <c r="F157" s="23">
        <v>0.3</v>
      </c>
      <c r="G157" s="23">
        <f t="shared" ref="G157:G167" si="18">E157*F157</f>
        <v>18</v>
      </c>
      <c r="H157" s="14">
        <v>1.8</v>
      </c>
      <c r="I157" s="14">
        <v>50</v>
      </c>
      <c r="J157" s="29"/>
      <c r="L157" s="122"/>
    </row>
    <row r="158" spans="1:67" ht="16.5" customHeight="1" x14ac:dyDescent="0.25">
      <c r="A158" s="145">
        <v>6008</v>
      </c>
      <c r="B158" s="35" t="s">
        <v>198</v>
      </c>
      <c r="C158" s="51" t="s">
        <v>22</v>
      </c>
      <c r="D158" s="52">
        <v>1001084856008</v>
      </c>
      <c r="E158" s="24"/>
      <c r="F158" s="23">
        <v>0.3</v>
      </c>
      <c r="G158" s="23">
        <f t="shared" si="18"/>
        <v>0</v>
      </c>
      <c r="H158" s="14">
        <v>1.8</v>
      </c>
      <c r="I158" s="14">
        <v>40</v>
      </c>
      <c r="J158" s="146" t="s">
        <v>196</v>
      </c>
      <c r="L158" s="122"/>
    </row>
    <row r="159" spans="1:67" ht="16.5" customHeight="1" x14ac:dyDescent="0.25">
      <c r="A159" s="58">
        <v>7090</v>
      </c>
      <c r="B159" s="35" t="s">
        <v>100</v>
      </c>
      <c r="C159" s="51" t="s">
        <v>20</v>
      </c>
      <c r="D159" s="52">
        <v>1001084217090</v>
      </c>
      <c r="E159" s="24">
        <v>50</v>
      </c>
      <c r="F159" s="23">
        <v>0.3</v>
      </c>
      <c r="G159" s="23">
        <f t="shared" si="18"/>
        <v>15</v>
      </c>
      <c r="H159" s="14">
        <v>1.8</v>
      </c>
      <c r="I159" s="14">
        <v>50</v>
      </c>
      <c r="J159" s="29"/>
      <c r="L159" s="122"/>
    </row>
    <row r="160" spans="1:67" ht="16.5" customHeight="1" x14ac:dyDescent="0.25">
      <c r="A160" s="58">
        <v>7103</v>
      </c>
      <c r="B160" s="35" t="s">
        <v>176</v>
      </c>
      <c r="C160" s="51" t="s">
        <v>20</v>
      </c>
      <c r="D160" s="52">
        <v>1001223297103</v>
      </c>
      <c r="E160" s="24">
        <v>40</v>
      </c>
      <c r="F160" s="23">
        <v>0.18</v>
      </c>
      <c r="G160" s="23">
        <f t="shared" si="18"/>
        <v>7.1999999999999993</v>
      </c>
      <c r="H160" s="14">
        <v>1.8</v>
      </c>
      <c r="I160" s="14">
        <v>50</v>
      </c>
      <c r="J160" s="29"/>
      <c r="L160" s="122"/>
    </row>
    <row r="161" spans="1:12" ht="16.5" customHeight="1" x14ac:dyDescent="0.25">
      <c r="A161" s="58">
        <v>6279</v>
      </c>
      <c r="B161" s="35" t="s">
        <v>98</v>
      </c>
      <c r="C161" s="51" t="s">
        <v>20</v>
      </c>
      <c r="D161" s="52">
        <v>1001220286279</v>
      </c>
      <c r="E161" s="24">
        <v>30</v>
      </c>
      <c r="F161" s="23">
        <v>0.15</v>
      </c>
      <c r="G161" s="23">
        <f t="shared" si="18"/>
        <v>4.5</v>
      </c>
      <c r="H161" s="14">
        <v>1.2</v>
      </c>
      <c r="I161" s="14">
        <v>45</v>
      </c>
      <c r="J161" s="29"/>
      <c r="L161" s="122"/>
    </row>
    <row r="162" spans="1:12" ht="16.5" customHeight="1" x14ac:dyDescent="0.25">
      <c r="A162" s="58">
        <v>7092</v>
      </c>
      <c r="B162" s="35" t="s">
        <v>78</v>
      </c>
      <c r="C162" s="51" t="s">
        <v>20</v>
      </c>
      <c r="D162" s="52">
        <v>1001223297092</v>
      </c>
      <c r="E162" s="24"/>
      <c r="F162" s="23">
        <v>0.14000000000000001</v>
      </c>
      <c r="G162" s="23">
        <f t="shared" si="18"/>
        <v>0</v>
      </c>
      <c r="H162" s="14">
        <v>1.4</v>
      </c>
      <c r="I162" s="14">
        <v>50</v>
      </c>
      <c r="J162" s="29"/>
      <c r="L162" s="122"/>
    </row>
    <row r="163" spans="1:12" ht="16.5" customHeight="1" x14ac:dyDescent="0.25">
      <c r="A163" s="58">
        <v>6448</v>
      </c>
      <c r="B163" s="35" t="s">
        <v>128</v>
      </c>
      <c r="C163" s="51" t="s">
        <v>20</v>
      </c>
      <c r="D163" s="52">
        <v>1001234146448</v>
      </c>
      <c r="E163" s="24"/>
      <c r="F163" s="23">
        <v>0.1</v>
      </c>
      <c r="G163" s="23">
        <f t="shared" si="18"/>
        <v>0</v>
      </c>
      <c r="H163" s="14">
        <v>1</v>
      </c>
      <c r="I163" s="14">
        <v>45</v>
      </c>
      <c r="J163" s="29"/>
      <c r="L163" s="122"/>
    </row>
    <row r="164" spans="1:12" ht="16.5" customHeight="1" x14ac:dyDescent="0.25">
      <c r="A164" s="58">
        <v>6754</v>
      </c>
      <c r="B164" s="35" t="s">
        <v>177</v>
      </c>
      <c r="C164" s="51" t="s">
        <v>20</v>
      </c>
      <c r="D164" s="52">
        <v>1001225406754</v>
      </c>
      <c r="E164" s="24">
        <v>10</v>
      </c>
      <c r="F164" s="23">
        <v>0.09</v>
      </c>
      <c r="G164" s="23">
        <f t="shared" si="18"/>
        <v>0.89999999999999991</v>
      </c>
      <c r="H164" s="14">
        <v>0.72</v>
      </c>
      <c r="I164" s="14">
        <v>60</v>
      </c>
      <c r="J164" s="29"/>
      <c r="L164" s="122"/>
    </row>
    <row r="165" spans="1:12" ht="16.5" customHeight="1" x14ac:dyDescent="0.25">
      <c r="A165" s="58">
        <v>6208</v>
      </c>
      <c r="B165" s="35" t="s">
        <v>99</v>
      </c>
      <c r="C165" s="51" t="s">
        <v>20</v>
      </c>
      <c r="D165" s="52">
        <v>1001220226208</v>
      </c>
      <c r="E165" s="24"/>
      <c r="F165" s="23">
        <v>0.15</v>
      </c>
      <c r="G165" s="23">
        <f t="shared" si="18"/>
        <v>0</v>
      </c>
      <c r="H165" s="14">
        <v>1.5</v>
      </c>
      <c r="I165" s="14">
        <v>45</v>
      </c>
      <c r="J165" s="29"/>
      <c r="L165" s="122"/>
    </row>
    <row r="166" spans="1:12" ht="16.5" customHeight="1" x14ac:dyDescent="0.25">
      <c r="A166" s="58">
        <v>6228</v>
      </c>
      <c r="B166" s="35" t="s">
        <v>89</v>
      </c>
      <c r="C166" s="51" t="s">
        <v>20</v>
      </c>
      <c r="D166" s="52">
        <v>1001225416228</v>
      </c>
      <c r="E166" s="24"/>
      <c r="F166" s="23">
        <v>0.09</v>
      </c>
      <c r="G166" s="23">
        <f t="shared" si="18"/>
        <v>0</v>
      </c>
      <c r="H166" s="14">
        <v>0.9</v>
      </c>
      <c r="I166" s="14">
        <v>45</v>
      </c>
      <c r="J166" s="29"/>
      <c r="L166" s="122"/>
    </row>
    <row r="167" spans="1:12" ht="16.5" customHeight="1" thickBot="1" x14ac:dyDescent="0.3">
      <c r="A167" s="145">
        <v>7612</v>
      </c>
      <c r="B167" s="35" t="s">
        <v>199</v>
      </c>
      <c r="C167" s="51" t="s">
        <v>20</v>
      </c>
      <c r="D167" s="52">
        <v>1001453907612</v>
      </c>
      <c r="E167" s="24">
        <v>40</v>
      </c>
      <c r="F167" s="23">
        <v>0.1</v>
      </c>
      <c r="G167" s="23">
        <f t="shared" si="18"/>
        <v>4</v>
      </c>
      <c r="H167" s="14">
        <v>1</v>
      </c>
      <c r="I167" s="14">
        <v>60</v>
      </c>
      <c r="J167" s="53" t="s">
        <v>200</v>
      </c>
      <c r="L167" s="122"/>
    </row>
    <row r="168" spans="1:12" ht="16.5" customHeight="1" thickTop="1" thickBot="1" x14ac:dyDescent="0.3">
      <c r="A168" s="49"/>
      <c r="B168" s="46" t="s">
        <v>102</v>
      </c>
      <c r="C168" s="16"/>
      <c r="D168" s="36"/>
      <c r="E168" s="17">
        <f>SUM(E10:E167)</f>
        <v>2111</v>
      </c>
      <c r="F168" s="17"/>
      <c r="G168" s="17">
        <f>SUM(G11:G167)</f>
        <v>1220.18</v>
      </c>
      <c r="H168" s="17"/>
      <c r="I168" s="17"/>
      <c r="J168" s="17"/>
    </row>
    <row r="169" spans="1:12" ht="15.75" customHeight="1" thickTop="1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18"/>
      <c r="D170" s="40"/>
      <c r="F170" s="19"/>
      <c r="G170" s="19"/>
      <c r="H170" s="20"/>
      <c r="I170" s="20"/>
      <c r="J170" s="21"/>
    </row>
    <row r="171" spans="1:12" x14ac:dyDescent="0.25">
      <c r="B171" s="37"/>
      <c r="C171" s="18"/>
      <c r="D171" s="40"/>
      <c r="F171" s="19"/>
      <c r="G171" s="19"/>
      <c r="H171" s="20"/>
      <c r="I171" s="20"/>
      <c r="J171" s="21"/>
    </row>
    <row r="172" spans="1:12" x14ac:dyDescent="0.25">
      <c r="B172" s="37"/>
      <c r="C172" s="18"/>
      <c r="D172" s="40"/>
      <c r="F172" s="19"/>
      <c r="G172" s="19"/>
      <c r="H172" s="20"/>
      <c r="I172" s="20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64"/>
      <c r="D175" s="65"/>
      <c r="E175" s="66"/>
      <c r="F175" s="67"/>
      <c r="G175" s="67"/>
      <c r="H175" s="68"/>
      <c r="I175" s="68"/>
      <c r="J175" s="21"/>
    </row>
    <row r="176" spans="1:12" x14ac:dyDescent="0.25">
      <c r="B176" s="37"/>
      <c r="C176" s="64"/>
      <c r="D176" s="65"/>
      <c r="E176" s="66"/>
      <c r="F176" s="67"/>
      <c r="G176" s="67"/>
      <c r="H176" s="68"/>
      <c r="I176" s="68"/>
      <c r="J176" s="21"/>
    </row>
    <row r="177" spans="2:10" x14ac:dyDescent="0.25">
      <c r="B177" s="37"/>
      <c r="C177" s="64"/>
      <c r="D177" s="69"/>
      <c r="E177" s="70"/>
      <c r="F177" s="69"/>
      <c r="G177" s="71"/>
      <c r="H177" s="72"/>
      <c r="I177" s="73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</sheetData>
  <autoFilter ref="A9:J168" xr:uid="{00000000-0009-0000-0000-000000000000}"/>
  <mergeCells count="2">
    <mergeCell ref="E1:J1"/>
    <mergeCell ref="G3:J3"/>
  </mergeCells>
  <conditionalFormatting sqref="D177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7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173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174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175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176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177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178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179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180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181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182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183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184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185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186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187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188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189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190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2026-09-02T13:05:57Z</dcterms:modified>
</cp:coreProperties>
</file>