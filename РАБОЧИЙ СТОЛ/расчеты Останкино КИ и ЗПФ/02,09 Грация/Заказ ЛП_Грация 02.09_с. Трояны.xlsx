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2,09 Грация\"/>
    </mc:Choice>
  </mc:AlternateContent>
  <xr:revisionPtr revIDLastSave="0" documentId="13_ncr:1_{8A1F13AC-0DB0-4906-83AB-F7EBE772CE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<sst xmlns="http://schemas.openxmlformats.org/spreadsheetml/2006/main" count="677" uniqueCount="221">
  <si>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</si>
  <si>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</si>
  <si>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</si>
  <si>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</si>
  <si>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</si>
  <si>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</si>
  <si>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</si>
  <si>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</si>
  <si>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</si>
  <si>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</si>
  <si>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</si>
  <si>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</si>
  <si>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</si>
  <si>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</si>
  <si>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</si>
  <si>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</si>
  <si>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</si>
  <si>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</si>
  <si>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</si>
  <si>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</si>
  <si>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</si>
  <si>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</si>
  <si>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</si>
  <si>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</si>
  <si>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</si>
  <si>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</si>
  <si>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</si>
  <si>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</si>
  <si>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</si>
  <si>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</si>
  <si>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</si>
  <si>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</si>
  <si>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</si>
  <si>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</si>
  <si>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</si>
  <si>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</si>
  <si>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</si>
  <si>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</si>
  <si>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</si>
  <si>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</si>
  <si>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</si>
  <si>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</si>
  <si>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</si>
  <si>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</si>
  <si>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</si>
  <si>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</si>
  <si>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</si>
  <si>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</si>
  <si>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</si>
  <si>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</si>
  <si>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</si>
  <si>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</si>
  <si>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</si>
  <si>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</si>
  <si>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</si>
  <si>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</si>
  <si>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</si>
  <si>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</si>
  <si>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</si>
  <si>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</si>
  <si>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</si>
  <si>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</si>
  <si>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</si>
  <si>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</si>
  <si>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</si>
  <si>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</si>
  <si>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</si>
  <si>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</si>
  <si>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</si>
  <si>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</si>
  <si>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</si>
  <si>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</si>
  <si>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</si>
  <si>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</si>
  <si>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</si>
  <si>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</si>
  <si>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</si>
  <si>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</si>
  <si>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</si>
  <si>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</si>
  <si>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</si>
  <si>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</si>
  <si>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</si>
  <si>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</si>
  <si>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</si>
  <si>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</si>
  <si>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</si>
  <si>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</si>
  <si>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</si>
  <si>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</si>
  <si>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</si>
  <si>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</si>
  <si>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</si>
  <si>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</si>
  <si>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</si>
  <si>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</si>
  <si>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</si>
  <si>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</si>
  <si>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</si>
  <si>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</si>
  <si>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</si>
  <si>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</si>
  <si>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</si>
  <si>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</si>
  <si>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</si>
  <si>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</si>
  <si>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</si>
  <si>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</si>
  <si>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</si>
  <si>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</si>
  <si>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</si>
  <si>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</si>
  <si>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</si>
  <si>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</si>
  <si>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</si>
  <si>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</si>
  <si>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</si>
  <si>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</si>
  <si>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</si>
  <si>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</si>
  <si>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</si>
  <si>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</si>
  <si>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</si>
  <si>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</si>
  <si>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</si>
  <si>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</si>
  <si>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</si>
  <si>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</si>
  <si>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</si>
  <si>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</si>
  <si>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</si>
  <si>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</si>
  <si>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</si>
  <si>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</si>
  <si>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</si>
  <si>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</si>
  <si>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</si>
  <si>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</si>
  <si>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</si>
  <si>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</si>
  <si>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</si>
  <si>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</si>
  <si>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</si>
  <si>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</si>
  <si>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</si>
  <si>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</si>
  <si>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</si>
  <si>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</si>
  <si>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</si>
  <si>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</si>
  <si>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</si>
  <si>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</si>
  <si>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</si>
  <si>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</si>
  <si>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</si>
  <si>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</si>
  <si>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</si>
  <si>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</si>
  <si>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</si>
  <si>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</si>
  <si>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</si>
  <si>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</si>
  <si>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</si>
  <si>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</si>
  <si>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</si>
  <si>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</si>
  <si>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</si>
  <si>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</si>
  <si>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</si>
  <si>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</si>
  <si>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</si>
  <si>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</si>
  <si>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</si>
  <si>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</si>
  <si>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</si>
  <si>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</si>
  <si>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</si>
  <si>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</si>
  <si>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</si>
  <si>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</si>
  <si>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</si>
  <si>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</si>
  <si>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</si>
  <si>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</si>
  <si>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</si>
  <si>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</si>
  <si>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</si>
  <si>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</si>
  <si>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</si>
  <si>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</si>
  <si>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</si>
  <si>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</si>
  <si>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</si>
  <si>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</si>
  <si>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</si>
  <si>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</si>
  <si>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</si>
  <si>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</si>
  <si>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</si>
  <si>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</si>
  <si>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</si>
  <si>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</si>
  <si>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</si>
  <si>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</si>
  <si>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</si>
  <si>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</si>
  <si>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</si>
  <si>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</si>
  <si>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</si>
  <si>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</si>
  <si>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</si>
  <si>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</si>
  <si>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</si>
  <si>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</si>
  <si>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</si>
  <si>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</si>
  <si>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</si>
  <si>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</si>
  <si>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</si>
  <si>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</si>
  <si>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 xml:space="preserve">с. Трояны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</si>
</sst>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70" zoomScaleNormal="70" workbookViewId="0">
      <pane ySplit="9" topLeftCell="A163" activePane="bottomLeft" state="frozen"/>
      <selection pane="bottomLeft" activeCell="K178" sqref="K17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130439107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46273</v>
      </c>
      <c r="E3" s="7" t="s">
        <v>2</v>
      </c>
      <c r="F3" s="55">
        <f>D3+3</f>
        <v>46276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>
        <v>120</v>
      </c>
      <c r="F13" s="23">
        <v>1.35</v>
      </c>
      <c r="G13" s="23">
        <f t="shared" ref="G13:G20" si="1">E13</f>
        <v>120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400</v>
      </c>
      <c r="F14" s="23">
        <v>1.35</v>
      </c>
      <c r="G14" s="23">
        <f t="shared" si="1"/>
        <v>400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400</v>
      </c>
      <c r="F16" s="23">
        <v>1.35</v>
      </c>
      <c r="G16" s="23">
        <f t="shared" si="1"/>
        <v>400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150</v>
      </c>
      <c r="F17" s="23">
        <v>1.35</v>
      </c>
      <c r="G17" s="23">
        <f t="shared" si="1"/>
        <v>150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400</v>
      </c>
      <c r="F18" s="23">
        <v>1</v>
      </c>
      <c r="G18" s="23">
        <f t="shared" si="1"/>
        <v>400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120</v>
      </c>
      <c r="F21" s="23">
        <v>0.35</v>
      </c>
      <c r="G21" s="23">
        <f>E21*F21</f>
        <v>42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120</v>
      </c>
      <c r="F23" s="23">
        <v>0.4</v>
      </c>
      <c r="G23" s="23">
        <f t="shared" si="2"/>
        <v>48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350</v>
      </c>
      <c r="F25" s="60">
        <v>0.4</v>
      </c>
      <c r="G25" s="23">
        <f t="shared" ref="G25:G33" si="4">E25*F25</f>
        <v>140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350</v>
      </c>
      <c r="F26" s="60">
        <v>0.4</v>
      </c>
      <c r="G26" s="23">
        <f t="shared" si="4"/>
        <v>140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400</v>
      </c>
      <c r="F29" s="23">
        <v>0.4</v>
      </c>
      <c r="G29" s="23">
        <f t="shared" si="4"/>
        <v>160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400</v>
      </c>
      <c r="F30" s="23">
        <v>0.4</v>
      </c>
      <c r="G30" s="23">
        <f t="shared" si="4"/>
        <v>160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500</v>
      </c>
      <c r="F45" s="60">
        <v>1.5</v>
      </c>
      <c r="G45" s="23">
        <f t="shared" si="5"/>
        <v>500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>
        <v>200</v>
      </c>
      <c r="F46" s="60">
        <v>1.5</v>
      </c>
      <c r="G46" s="23">
        <f t="shared" si="5"/>
        <v>200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200</v>
      </c>
      <c r="F52" s="60">
        <v>0.4</v>
      </c>
      <c r="G52" s="23">
        <f t="shared" si="6"/>
        <v>80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>
        <v>200</v>
      </c>
      <c r="F53" s="60">
        <v>0.4</v>
      </c>
      <c r="G53" s="23">
        <f t="shared" si="6"/>
        <v>80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/>
      <c r="F55" s="60">
        <v>0.33</v>
      </c>
      <c r="G55" s="23">
        <f>E55*F55</f>
        <v>0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200</v>
      </c>
      <c r="F58" s="60">
        <v>0.4</v>
      </c>
      <c r="G58" s="23">
        <f t="shared" si="6"/>
        <v>80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>
        <v>700</v>
      </c>
      <c r="F59" s="23">
        <v>0.41</v>
      </c>
      <c r="G59" s="23">
        <f t="shared" si="6"/>
        <v>287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>
        <v>400</v>
      </c>
      <c r="F60" s="23">
        <v>0.41</v>
      </c>
      <c r="G60" s="23">
        <f t="shared" si="6"/>
        <v>164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1000</v>
      </c>
      <c r="F61" s="23">
        <v>0.41</v>
      </c>
      <c r="G61" s="23">
        <f t="shared" si="6"/>
        <v>410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>
        <v>500</v>
      </c>
      <c r="F62" s="23">
        <v>0.41</v>
      </c>
      <c r="G62" s="23">
        <f t="shared" si="6"/>
        <v>205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800</v>
      </c>
      <c r="F63" s="23">
        <v>0.4</v>
      </c>
      <c r="G63" s="23">
        <f t="shared" si="6"/>
        <v>320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>
        <v>300</v>
      </c>
      <c r="F67" s="23">
        <v>0.35</v>
      </c>
      <c r="G67" s="23">
        <f t="shared" si="6"/>
        <v>105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300</v>
      </c>
      <c r="F69" s="23">
        <v>0.3</v>
      </c>
      <c r="G69" s="23">
        <f t="shared" si="6"/>
        <v>90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>
        <v>120</v>
      </c>
      <c r="F75" s="23">
        <v>1</v>
      </c>
      <c r="G75" s="23">
        <f t="shared" si="7"/>
        <v>120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100</v>
      </c>
      <c r="F78" s="23">
        <v>1</v>
      </c>
      <c r="G78" s="23">
        <f t="shared" si="7"/>
        <v>100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200</v>
      </c>
      <c r="F86" s="60">
        <v>0.81</v>
      </c>
      <c r="G86" s="23">
        <f t="shared" si="9"/>
        <v>200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200</v>
      </c>
      <c r="F88" s="60">
        <v>0.63</v>
      </c>
      <c r="G88" s="23">
        <f t="shared" ref="G88:G89" si="10">E88</f>
        <v>200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200</v>
      </c>
      <c r="F89" s="60">
        <v>0.7</v>
      </c>
      <c r="G89" s="23">
        <f t="shared" si="10"/>
        <v>200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350</v>
      </c>
      <c r="F90" s="23">
        <v>0.33</v>
      </c>
      <c r="G90" s="23">
        <f t="shared" ref="G90:G107" si="11">E90*F90</f>
        <v>115.5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>
        <v>150</v>
      </c>
      <c r="F91" s="23">
        <v>0.28000000000000003</v>
      </c>
      <c r="G91" s="23">
        <f>E91*F91</f>
        <v>42.000000000000007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>
        <v>150</v>
      </c>
      <c r="F92" s="23">
        <v>0.33</v>
      </c>
      <c r="G92" s="23">
        <f t="shared" si="11"/>
        <v>49.5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>
        <v>150</v>
      </c>
      <c r="F93" s="23">
        <v>0.33</v>
      </c>
      <c r="G93" s="23">
        <f t="shared" si="11"/>
        <v>49.5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600</v>
      </c>
      <c r="F94" s="23">
        <v>0.35</v>
      </c>
      <c r="G94" s="23">
        <f t="shared" si="11"/>
        <v>210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600</v>
      </c>
      <c r="F95" s="23">
        <v>0.35</v>
      </c>
      <c r="G95" s="23">
        <f t="shared" si="11"/>
        <v>210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400</v>
      </c>
      <c r="F97" s="23">
        <v>0.28000000000000003</v>
      </c>
      <c r="G97" s="23">
        <f t="shared" si="11"/>
        <v>112.00000000000001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300</v>
      </c>
      <c r="F99" s="23">
        <v>0.28000000000000003</v>
      </c>
      <c r="G99" s="23">
        <f t="shared" si="11"/>
        <v>84.000000000000014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300</v>
      </c>
      <c r="F100" s="23">
        <v>0.35</v>
      </c>
      <c r="G100" s="23">
        <f t="shared" si="11"/>
        <v>105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>
        <v>150</v>
      </c>
      <c r="F101" s="23">
        <v>0.31</v>
      </c>
      <c r="G101" s="23">
        <f t="shared" si="11"/>
        <v>46.5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200</v>
      </c>
      <c r="F103" s="23">
        <v>0.28000000000000003</v>
      </c>
      <c r="G103" s="23">
        <f t="shared" si="11"/>
        <v>56.000000000000007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>
        <v>50</v>
      </c>
      <c r="F110" s="60">
        <v>0.48799999999999999</v>
      </c>
      <c r="G110" s="23">
        <f t="shared" si="12"/>
        <v>50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>
        <v>50</v>
      </c>
      <c r="F111" s="23">
        <v>0.5</v>
      </c>
      <c r="G111" s="23">
        <f t="shared" si="12"/>
        <v>50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>
        <v>50</v>
      </c>
      <c r="F112" s="23">
        <v>0.49399999999999999</v>
      </c>
      <c r="G112" s="23">
        <f t="shared" si="12"/>
        <v>50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>
        <v>150</v>
      </c>
      <c r="F115" s="23">
        <v>0.22</v>
      </c>
      <c r="G115" s="23">
        <f t="shared" si="13"/>
        <v>33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>
        <v>150</v>
      </c>
      <c r="F116" s="23">
        <v>0.22</v>
      </c>
      <c r="G116" s="23">
        <f t="shared" si="13"/>
        <v>33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250</v>
      </c>
      <c r="F119" s="23">
        <v>0.25</v>
      </c>
      <c r="G119" s="23">
        <f t="shared" si="13"/>
        <v>62.5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200</v>
      </c>
      <c r="F122" s="23">
        <v>0.25</v>
      </c>
      <c r="G122" s="23">
        <f t="shared" si="13"/>
        <v>50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300</v>
      </c>
      <c r="F123" s="23">
        <v>0.25</v>
      </c>
      <c r="G123" s="23">
        <f t="shared" si="13"/>
        <v>75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300</v>
      </c>
      <c r="F125" s="23">
        <v>0.25</v>
      </c>
      <c r="G125" s="23">
        <f t="shared" si="13"/>
        <v>75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300</v>
      </c>
      <c r="F126" s="23">
        <v>0.22</v>
      </c>
      <c r="G126" s="23">
        <f t="shared" si="13"/>
        <v>66</v>
      </c>
      <c r="H126" s="14">
        <v>1.76</v>
      </c>
      <c r="I126" s="14">
        <v>120</v>
      </c>
      <c r="J126" s="29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>
        <v>150</v>
      </c>
      <c r="F129" s="23">
        <v>0.15</v>
      </c>
      <c r="G129" s="23">
        <f t="shared" ref="G129:G139" si="15">E129*F129</f>
        <v>22.5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200</v>
      </c>
      <c r="F131" s="23">
        <v>0.12</v>
      </c>
      <c r="G131" s="23">
        <f t="shared" si="15"/>
        <v>24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200</v>
      </c>
      <c r="F132" s="23">
        <v>0.1</v>
      </c>
      <c r="G132" s="23">
        <f t="shared" si="15"/>
        <v>20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200</v>
      </c>
      <c r="F133" s="23">
        <v>0.1</v>
      </c>
      <c r="G133" s="23">
        <f t="shared" si="15"/>
        <v>20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200</v>
      </c>
      <c r="F134" s="23">
        <v>0.09</v>
      </c>
      <c r="G134" s="23">
        <f t="shared" si="15"/>
        <v>18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>
        <v>200</v>
      </c>
      <c r="F141" s="23">
        <v>1.2</v>
      </c>
      <c r="G141" s="23">
        <f>E141</f>
        <v>200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>
        <v>250</v>
      </c>
      <c r="F142" s="60">
        <v>0.3</v>
      </c>
      <c r="G142" s="23">
        <f>E142*F142</f>
        <v>75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>
        <v>200</v>
      </c>
      <c r="F143" s="60">
        <v>1.35</v>
      </c>
      <c r="G143" s="23">
        <f t="shared" ref="G143:G146" si="16">E143</f>
        <v>200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>
        <v>100</v>
      </c>
      <c r="F144" s="60">
        <v>1.5</v>
      </c>
      <c r="G144" s="23">
        <f t="shared" si="16"/>
        <v>100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300</v>
      </c>
      <c r="F147" s="60">
        <v>0.4</v>
      </c>
      <c r="G147" s="23">
        <f t="shared" ref="G147:G150" si="17">E147*F147</f>
        <v>120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150</v>
      </c>
      <c r="F148" s="60">
        <v>0.4</v>
      </c>
      <c r="G148" s="23">
        <f t="shared" si="17"/>
        <v>60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>
        <v>400</v>
      </c>
      <c r="F157" s="23">
        <v>0.3</v>
      </c>
      <c r="G157" s="23">
        <f t="shared" ref="G157:G167" si="18">E157*F157</f>
        <v>120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300</v>
      </c>
      <c r="F159" s="23">
        <v>0.3</v>
      </c>
      <c r="G159" s="23">
        <f t="shared" si="18"/>
        <v>90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400</v>
      </c>
      <c r="F160" s="23">
        <v>0.18</v>
      </c>
      <c r="G160" s="23">
        <f t="shared" si="18"/>
        <v>72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>
        <v>150</v>
      </c>
      <c r="F166" s="23">
        <v>0.09</v>
      </c>
      <c r="G166" s="23">
        <f t="shared" si="18"/>
        <v>13.5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150</v>
      </c>
      <c r="F167" s="23">
        <v>0.1</v>
      </c>
      <c r="G167" s="23">
        <f t="shared" si="18"/>
        <v>15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18330</v>
      </c>
      <c r="F168" s="17"/>
      <c r="G168" s="17">
        <f>SUM(G11:G167)</f>
        <v>8340.5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2026-09-02T13:08:01Z</dcterms:modified>
</cp:coreProperties>
</file>