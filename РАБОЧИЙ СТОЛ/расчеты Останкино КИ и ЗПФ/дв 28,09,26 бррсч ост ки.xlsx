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698891B9-369A-4500-B151-F7CCC8AF9B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5" i="1" l="1"/>
  <c r="S105" i="1" s="1"/>
  <c r="L105" i="1"/>
  <c r="P104" i="1"/>
  <c r="Q104" i="1" s="1"/>
  <c r="L104" i="1"/>
  <c r="P103" i="1"/>
  <c r="L103" i="1"/>
  <c r="P102" i="1"/>
  <c r="L102" i="1"/>
  <c r="P101" i="1"/>
  <c r="L101" i="1"/>
  <c r="P100" i="1"/>
  <c r="L100" i="1"/>
  <c r="F100" i="1"/>
  <c r="P99" i="1"/>
  <c r="L99" i="1"/>
  <c r="P98" i="1"/>
  <c r="L98" i="1"/>
  <c r="P97" i="1"/>
  <c r="L97" i="1"/>
  <c r="P96" i="1"/>
  <c r="L96" i="1"/>
  <c r="P95" i="1"/>
  <c r="Q95" i="1" s="1"/>
  <c r="L95" i="1"/>
  <c r="P94" i="1"/>
  <c r="Q94" i="1" s="1"/>
  <c r="L94" i="1"/>
  <c r="P93" i="1"/>
  <c r="L93" i="1"/>
  <c r="P92" i="1"/>
  <c r="L92" i="1"/>
  <c r="P91" i="1"/>
  <c r="L91" i="1"/>
  <c r="P90" i="1"/>
  <c r="L90" i="1"/>
  <c r="P89" i="1"/>
  <c r="Q89" i="1" s="1"/>
  <c r="L89" i="1"/>
  <c r="P88" i="1"/>
  <c r="L88" i="1"/>
  <c r="P87" i="1"/>
  <c r="Q87" i="1" s="1"/>
  <c r="L87" i="1"/>
  <c r="P86" i="1"/>
  <c r="L86" i="1"/>
  <c r="P85" i="1"/>
  <c r="L85" i="1"/>
  <c r="P84" i="1"/>
  <c r="L84" i="1"/>
  <c r="P83" i="1"/>
  <c r="L83" i="1"/>
  <c r="P82" i="1"/>
  <c r="L82" i="1"/>
  <c r="P81" i="1"/>
  <c r="Q81" i="1" s="1"/>
  <c r="L81" i="1"/>
  <c r="P80" i="1"/>
  <c r="Q80" i="1" s="1"/>
  <c r="L80" i="1"/>
  <c r="P79" i="1"/>
  <c r="Q79" i="1" s="1"/>
  <c r="L79" i="1"/>
  <c r="P78" i="1"/>
  <c r="Q78" i="1" s="1"/>
  <c r="L78" i="1"/>
  <c r="P77" i="1"/>
  <c r="Q77" i="1" s="1"/>
  <c r="L77" i="1"/>
  <c r="P76" i="1"/>
  <c r="L76" i="1"/>
  <c r="P75" i="1"/>
  <c r="L75" i="1"/>
  <c r="P74" i="1"/>
  <c r="L74" i="1"/>
  <c r="P73" i="1"/>
  <c r="L73" i="1"/>
  <c r="P72" i="1"/>
  <c r="R72" i="1" s="1"/>
  <c r="L72" i="1"/>
  <c r="P71" i="1"/>
  <c r="L71" i="1"/>
  <c r="F71" i="1"/>
  <c r="S71" i="1" s="1"/>
  <c r="P70" i="1"/>
  <c r="R70" i="1" s="1"/>
  <c r="L70" i="1"/>
  <c r="P69" i="1"/>
  <c r="L69" i="1"/>
  <c r="P68" i="1"/>
  <c r="Q68" i="1" s="1"/>
  <c r="L68" i="1"/>
  <c r="P67" i="1"/>
  <c r="L67" i="1"/>
  <c r="P66" i="1"/>
  <c r="L66" i="1"/>
  <c r="P65" i="1"/>
  <c r="L65" i="1"/>
  <c r="P64" i="1"/>
  <c r="L64" i="1"/>
  <c r="P63" i="1"/>
  <c r="Q63" i="1" s="1"/>
  <c r="L63" i="1"/>
  <c r="P62" i="1"/>
  <c r="L62" i="1"/>
  <c r="P61" i="1"/>
  <c r="L61" i="1"/>
  <c r="P60" i="1"/>
  <c r="L60" i="1"/>
  <c r="P59" i="1"/>
  <c r="Q59" i="1" s="1"/>
  <c r="L59" i="1"/>
  <c r="P58" i="1"/>
  <c r="L58" i="1"/>
  <c r="P57" i="1"/>
  <c r="L57" i="1"/>
  <c r="P56" i="1"/>
  <c r="L56" i="1"/>
  <c r="P55" i="1"/>
  <c r="L55" i="1"/>
  <c r="P54" i="1"/>
  <c r="S54" i="1" s="1"/>
  <c r="L54" i="1"/>
  <c r="P53" i="1"/>
  <c r="L53" i="1"/>
  <c r="P52" i="1"/>
  <c r="L52" i="1"/>
  <c r="P51" i="1"/>
  <c r="Q51" i="1" s="1"/>
  <c r="L51" i="1"/>
  <c r="P50" i="1"/>
  <c r="L50" i="1"/>
  <c r="P49" i="1"/>
  <c r="L49" i="1"/>
  <c r="P48" i="1"/>
  <c r="Q48" i="1" s="1"/>
  <c r="L48" i="1"/>
  <c r="P47" i="1"/>
  <c r="S47" i="1" s="1"/>
  <c r="L47" i="1"/>
  <c r="P46" i="1"/>
  <c r="L46" i="1"/>
  <c r="P45" i="1"/>
  <c r="L45" i="1"/>
  <c r="P44" i="1"/>
  <c r="L44" i="1"/>
  <c r="P43" i="1"/>
  <c r="L43" i="1"/>
  <c r="P42" i="1"/>
  <c r="Q42" i="1" s="1"/>
  <c r="L42" i="1"/>
  <c r="P41" i="1"/>
  <c r="L41" i="1"/>
  <c r="P40" i="1"/>
  <c r="Q40" i="1" s="1"/>
  <c r="L40" i="1"/>
  <c r="P39" i="1"/>
  <c r="L39" i="1"/>
  <c r="P38" i="1"/>
  <c r="L38" i="1"/>
  <c r="P37" i="1"/>
  <c r="L37" i="1"/>
  <c r="P36" i="1"/>
  <c r="L36" i="1"/>
  <c r="P35" i="1"/>
  <c r="R35" i="1" s="1"/>
  <c r="L35" i="1"/>
  <c r="P34" i="1"/>
  <c r="R34" i="1" s="1"/>
  <c r="L34" i="1"/>
  <c r="P33" i="1"/>
  <c r="L33" i="1"/>
  <c r="P32" i="1"/>
  <c r="S32" i="1" s="1"/>
  <c r="L32" i="1"/>
  <c r="P31" i="1"/>
  <c r="L31" i="1"/>
  <c r="P30" i="1"/>
  <c r="Q30" i="1" s="1"/>
  <c r="L30" i="1"/>
  <c r="P29" i="1"/>
  <c r="L29" i="1"/>
  <c r="P28" i="1"/>
  <c r="L28" i="1"/>
  <c r="P27" i="1"/>
  <c r="Q27" i="1" s="1"/>
  <c r="L27" i="1"/>
  <c r="P26" i="1"/>
  <c r="R26" i="1" s="1"/>
  <c r="L26" i="1"/>
  <c r="P25" i="1"/>
  <c r="L25" i="1"/>
  <c r="P24" i="1"/>
  <c r="L24" i="1"/>
  <c r="P23" i="1"/>
  <c r="L23" i="1"/>
  <c r="P22" i="1"/>
  <c r="Q22" i="1" s="1"/>
  <c r="L22" i="1"/>
  <c r="P21" i="1"/>
  <c r="L21" i="1"/>
  <c r="P20" i="1"/>
  <c r="L20" i="1"/>
  <c r="P19" i="1"/>
  <c r="L19" i="1"/>
  <c r="P18" i="1"/>
  <c r="Q18" i="1" s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Q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S6" i="1" l="1"/>
  <c r="R6" i="1"/>
  <c r="S8" i="1"/>
  <c r="AG8" i="1"/>
  <c r="S10" i="1"/>
  <c r="AG10" i="1"/>
  <c r="S12" i="1"/>
  <c r="AG12" i="1"/>
  <c r="S14" i="1"/>
  <c r="Q14" i="1"/>
  <c r="AG14" i="1" s="1"/>
  <c r="S16" i="1"/>
  <c r="AG16" i="1"/>
  <c r="S18" i="1"/>
  <c r="AG18" i="1"/>
  <c r="S20" i="1"/>
  <c r="AG20" i="1"/>
  <c r="AG22" i="1"/>
  <c r="AG24" i="1"/>
  <c r="AG27" i="1"/>
  <c r="AG29" i="1"/>
  <c r="Q31" i="1"/>
  <c r="AG31" i="1" s="1"/>
  <c r="AG36" i="1"/>
  <c r="AG38" i="1"/>
  <c r="AG40" i="1"/>
  <c r="AG42" i="1"/>
  <c r="Q44" i="1"/>
  <c r="AG44" i="1" s="1"/>
  <c r="Q46" i="1"/>
  <c r="AG46" i="1" s="1"/>
  <c r="AG49" i="1"/>
  <c r="AG51" i="1"/>
  <c r="AG53" i="1"/>
  <c r="Q56" i="1"/>
  <c r="AG56" i="1" s="1"/>
  <c r="Q58" i="1"/>
  <c r="AG58" i="1" s="1"/>
  <c r="Q60" i="1"/>
  <c r="AG60" i="1" s="1"/>
  <c r="Q62" i="1"/>
  <c r="AG62" i="1" s="1"/>
  <c r="Q64" i="1"/>
  <c r="AG64" i="1" s="1"/>
  <c r="Q66" i="1"/>
  <c r="AG66" i="1" s="1"/>
  <c r="AG68" i="1"/>
  <c r="AG73" i="1"/>
  <c r="AG75" i="1"/>
  <c r="AG77" i="1"/>
  <c r="AG79" i="1"/>
  <c r="AG81" i="1"/>
  <c r="AG83" i="1"/>
  <c r="Q85" i="1"/>
  <c r="AG85" i="1" s="1"/>
  <c r="AG87" i="1"/>
  <c r="AG89" i="1"/>
  <c r="Q91" i="1"/>
  <c r="AG91" i="1" s="1"/>
  <c r="Q93" i="1"/>
  <c r="AG93" i="1" s="1"/>
  <c r="AG95" i="1"/>
  <c r="AG97" i="1"/>
  <c r="AG99" i="1"/>
  <c r="AG100" i="1"/>
  <c r="Q102" i="1"/>
  <c r="AG102" i="1" s="1"/>
  <c r="AG104" i="1"/>
  <c r="Q7" i="1"/>
  <c r="AG7" i="1" s="1"/>
  <c r="AG9" i="1"/>
  <c r="AG11" i="1"/>
  <c r="Q13" i="1"/>
  <c r="AG13" i="1" s="1"/>
  <c r="AG15" i="1"/>
  <c r="AG17" i="1"/>
  <c r="AG19" i="1"/>
  <c r="S21" i="1"/>
  <c r="AG21" i="1"/>
  <c r="S23" i="1"/>
  <c r="AG23" i="1"/>
  <c r="S25" i="1"/>
  <c r="AG25" i="1"/>
  <c r="S28" i="1"/>
  <c r="AG28" i="1"/>
  <c r="S30" i="1"/>
  <c r="AG30" i="1"/>
  <c r="S33" i="1"/>
  <c r="Q33" i="1"/>
  <c r="AG33" i="1" s="1"/>
  <c r="S37" i="1"/>
  <c r="AG37" i="1"/>
  <c r="S39" i="1"/>
  <c r="AG39" i="1"/>
  <c r="S41" i="1"/>
  <c r="Q41" i="1"/>
  <c r="AG41" i="1" s="1"/>
  <c r="S43" i="1"/>
  <c r="AG43" i="1"/>
  <c r="S45" i="1"/>
  <c r="AG45" i="1"/>
  <c r="S48" i="1"/>
  <c r="AG48" i="1"/>
  <c r="S50" i="1"/>
  <c r="Q50" i="1"/>
  <c r="AG50" i="1" s="1"/>
  <c r="S52" i="1"/>
  <c r="AG52" i="1"/>
  <c r="S55" i="1"/>
  <c r="AG55" i="1"/>
  <c r="S57" i="1"/>
  <c r="AG57" i="1"/>
  <c r="S59" i="1"/>
  <c r="AG59" i="1"/>
  <c r="S61" i="1"/>
  <c r="AG61" i="1"/>
  <c r="S63" i="1"/>
  <c r="AG63" i="1"/>
  <c r="S65" i="1"/>
  <c r="Q65" i="1"/>
  <c r="AG65" i="1" s="1"/>
  <c r="S67" i="1"/>
  <c r="AG67" i="1"/>
  <c r="S69" i="1"/>
  <c r="AG69" i="1"/>
  <c r="Q71" i="1"/>
  <c r="AG71" i="1" s="1"/>
  <c r="S74" i="1"/>
  <c r="AG74" i="1"/>
  <c r="S76" i="1"/>
  <c r="Q76" i="1"/>
  <c r="AG76" i="1" s="1"/>
  <c r="S78" i="1"/>
  <c r="AG78" i="1"/>
  <c r="S80" i="1"/>
  <c r="AG80" i="1"/>
  <c r="S82" i="1"/>
  <c r="AG82" i="1"/>
  <c r="S84" i="1"/>
  <c r="AG84" i="1"/>
  <c r="S86" i="1"/>
  <c r="Q86" i="1"/>
  <c r="AG86" i="1" s="1"/>
  <c r="S88" i="1"/>
  <c r="Q88" i="1"/>
  <c r="AG88" i="1" s="1"/>
  <c r="S90" i="1"/>
  <c r="AG90" i="1"/>
  <c r="S92" i="1"/>
  <c r="AG92" i="1"/>
  <c r="S94" i="1"/>
  <c r="AG94" i="1"/>
  <c r="S96" i="1"/>
  <c r="AG96" i="1"/>
  <c r="S98" i="1"/>
  <c r="AG98" i="1"/>
  <c r="S101" i="1"/>
  <c r="Q101" i="1"/>
  <c r="AG101" i="1" s="1"/>
  <c r="S103" i="1"/>
  <c r="AG103" i="1"/>
  <c r="R54" i="1"/>
  <c r="R20" i="1"/>
  <c r="S49" i="1"/>
  <c r="S51" i="1"/>
  <c r="R52" i="1"/>
  <c r="S53" i="1"/>
  <c r="R69" i="1"/>
  <c r="R8" i="1"/>
  <c r="S35" i="1"/>
  <c r="R57" i="1"/>
  <c r="R103" i="1"/>
  <c r="L5" i="1"/>
  <c r="R25" i="1"/>
  <c r="S27" i="1"/>
  <c r="R28" i="1"/>
  <c r="S29" i="1"/>
  <c r="R30" i="1"/>
  <c r="S31" i="1"/>
  <c r="R32" i="1"/>
  <c r="R47" i="1"/>
  <c r="R55" i="1"/>
  <c r="S73" i="1"/>
  <c r="R74" i="1"/>
  <c r="S75" i="1"/>
  <c r="S77" i="1"/>
  <c r="S79" i="1"/>
  <c r="S81" i="1"/>
  <c r="R82" i="1"/>
  <c r="S83" i="1"/>
  <c r="R84" i="1"/>
  <c r="S85" i="1"/>
  <c r="S87" i="1"/>
  <c r="S89" i="1"/>
  <c r="R90" i="1"/>
  <c r="S91" i="1"/>
  <c r="R92" i="1"/>
  <c r="S93" i="1"/>
  <c r="S95" i="1"/>
  <c r="R96" i="1"/>
  <c r="S97" i="1"/>
  <c r="R98" i="1"/>
  <c r="S99" i="1"/>
  <c r="R105" i="1"/>
  <c r="S7" i="1"/>
  <c r="S9" i="1"/>
  <c r="S11" i="1"/>
  <c r="S13" i="1"/>
  <c r="S15" i="1"/>
  <c r="S17" i="1"/>
  <c r="S19" i="1"/>
  <c r="F5" i="1"/>
  <c r="P5" i="1"/>
  <c r="S22" i="1"/>
  <c r="S24" i="1"/>
  <c r="S26" i="1"/>
  <c r="S34" i="1"/>
  <c r="S36" i="1"/>
  <c r="S38" i="1"/>
  <c r="S40" i="1"/>
  <c r="S42" i="1"/>
  <c r="S44" i="1"/>
  <c r="S46" i="1"/>
  <c r="S56" i="1"/>
  <c r="S58" i="1"/>
  <c r="S60" i="1"/>
  <c r="S62" i="1"/>
  <c r="S64" i="1"/>
  <c r="S66" i="1"/>
  <c r="S68" i="1"/>
  <c r="S70" i="1"/>
  <c r="S72" i="1"/>
  <c r="S100" i="1"/>
  <c r="S102" i="1"/>
  <c r="S104" i="1"/>
  <c r="R63" i="1" l="1"/>
  <c r="R43" i="1"/>
  <c r="R37" i="1"/>
  <c r="R33" i="1"/>
  <c r="R50" i="1"/>
  <c r="R48" i="1"/>
  <c r="R41" i="1"/>
  <c r="R101" i="1"/>
  <c r="R94" i="1"/>
  <c r="R88" i="1"/>
  <c r="R86" i="1"/>
  <c r="R80" i="1"/>
  <c r="R78" i="1"/>
  <c r="R76" i="1"/>
  <c r="R71" i="1"/>
  <c r="R14" i="1"/>
  <c r="AG6" i="1"/>
  <c r="AG5" i="1" s="1"/>
  <c r="Q5" i="1"/>
  <c r="R21" i="1"/>
  <c r="R67" i="1"/>
  <c r="R59" i="1"/>
  <c r="R39" i="1"/>
  <c r="R18" i="1"/>
  <c r="R10" i="1"/>
  <c r="R65" i="1"/>
  <c r="R45" i="1"/>
  <c r="R16" i="1"/>
  <c r="R23" i="1"/>
  <c r="R61" i="1"/>
  <c r="R12" i="1"/>
  <c r="R19" i="1"/>
  <c r="R17" i="1"/>
  <c r="R15" i="1"/>
  <c r="R13" i="1"/>
  <c r="R11" i="1"/>
  <c r="R9" i="1"/>
  <c r="R7" i="1"/>
  <c r="R104" i="1"/>
  <c r="R102" i="1"/>
  <c r="R100" i="1"/>
  <c r="R99" i="1"/>
  <c r="R97" i="1"/>
  <c r="R95" i="1"/>
  <c r="R93" i="1"/>
  <c r="R91" i="1"/>
  <c r="R89" i="1"/>
  <c r="R87" i="1"/>
  <c r="R85" i="1"/>
  <c r="R83" i="1"/>
  <c r="R81" i="1"/>
  <c r="R79" i="1"/>
  <c r="R77" i="1"/>
  <c r="R75" i="1"/>
  <c r="R73" i="1"/>
  <c r="R68" i="1"/>
  <c r="R66" i="1"/>
  <c r="R64" i="1"/>
  <c r="R62" i="1"/>
  <c r="R60" i="1"/>
  <c r="R58" i="1"/>
  <c r="R56" i="1"/>
  <c r="R53" i="1"/>
  <c r="R51" i="1"/>
  <c r="R49" i="1"/>
  <c r="R46" i="1"/>
  <c r="R44" i="1"/>
  <c r="R42" i="1"/>
  <c r="R40" i="1"/>
  <c r="R38" i="1"/>
  <c r="R36" i="1"/>
  <c r="R31" i="1"/>
  <c r="R29" i="1"/>
  <c r="R27" i="1"/>
  <c r="R24" i="1"/>
  <c r="R22" i="1"/>
</calcChain>
</file>

<file path=xl/sharedStrings.xml><?xml version="1.0" encoding="utf-8"?>
<sst xmlns="http://schemas.openxmlformats.org/spreadsheetml/2006/main" count="443" uniqueCount="182">
  <si>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</si>
  <si>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</si>
  <si>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</si>
  <si>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</si>
  <si>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</si>
  <si>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</si>
  <si>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</si>
  <si>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</si>
  <si>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</si>
  <si>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</si>
  <si>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</si>
  <si>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</si>
  <si>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</si>
  <si>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</si>
  <si>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</si>
  <si>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</si>
  <si>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</si>
  <si>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</si>
  <si>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</si>
  <si>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</si>
  <si>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</si>
  <si>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ком ЛП</t>
  </si>
  <si>
    <t>ком НВ</t>
  </si>
  <si>
    <t>вес</t>
  </si>
  <si>
    <t>29,09,б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</si>
  <si>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</si>
  <si>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</si>
  <si>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</si>
  <si>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</si>
  <si>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</si>
  <si>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</si>
  <si>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</si>
  <si>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</si>
  <si>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</si>
  <si>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</si>
  <si>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</si>
  <si>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</si>
  <si>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</si>
  <si>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</si>
  <si>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</si>
  <si>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</si>
  <si>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</si>
  <si>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</si>
  <si>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</si>
  <si>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плюсом 5 дней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</si>
  <si>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</si>
  <si>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</si>
  <si>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</si>
  <si>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</si>
  <si>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</si>
  <si>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</si>
  <si>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</si>
  <si>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</si>
  <si>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</si>
  <si>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</si>
  <si>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</si>
  <si>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</si>
  <si>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</si>
  <si>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</si>
  <si>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</si>
  <si>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</si>
  <si>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</si>
  <si>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</si>
  <si>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</si>
  <si>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</si>
  <si>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</si>
  <si>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</si>
  <si>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не в матрице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</si>
  <si>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</si>
  <si>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</si>
  <si>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</si>
  <si>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</si>
  <si>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</si>
  <si>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</si>
  <si>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</si>
  <si>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</si>
  <si>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</si>
  <si>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</si>
  <si>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</si>
  <si>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</si>
  <si>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</si>
  <si>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</si>
  <si>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</si>
  <si>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</si>
  <si>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</si>
  <si>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</si>
  <si>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</si>
  <si>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</si>
  <si>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</si>
  <si>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</si>
  <si>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</si>
  <si>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</si>
  <si>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</si>
  <si>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</si>
  <si>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</si>
  <si>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</si>
  <si>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</si>
  <si>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</si>
  <si>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</si>
  <si>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</si>
  <si>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</si>
  <si>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</si>
  <si>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</si>
  <si>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</si>
  <si>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</si>
  <si>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</si>
  <si>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</si>
  <si>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</si>
  <si>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</si>
  <si>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</si>
  <si>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</si>
  <si>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</si>
  <si>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</si>
  <si>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</si>
  <si>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</si>
  <si>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</si>
  <si>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</si>
  <si>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</si>
  <si>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</si>
  <si>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</si>
  <si>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</si>
  <si>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</si>
  <si>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</si>
  <si>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</si>
  <si>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</si>
  <si>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</si>
  <si>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</si>
  <si>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</si>
  <si>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</si>
  <si>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</si>
  <si>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</si>
  <si>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</si>
  <si>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</si>
  <si>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</si>
  <si>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</si>
  <si>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</si>
  <si>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</si>
  <si>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</si>
  <si>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</si>
  <si>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</si>
  <si>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</si>
  <si>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</si>
  <si>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</si>
  <si>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</si>
  <si>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</si>
  <si>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</si>
  <si>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</si>
  <si>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</si>
  <si>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</si>
  <si>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</si>
  <si>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</si>
  <si>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</si>
  <si>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</si>
  <si>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</si>
  <si>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</si>
  <si>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</si>
  <si>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</si>
  <si>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</si>
  <si>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</si>
  <si>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</si>
  <si>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Новинка</t>
  </si>
  <si>
    <t>Закрытие с 01.10, ротация на код 7700</t>
  </si>
  <si>
    <t>Закрытие с 01.10, ротация на код 7725</t>
  </si>
  <si>
    <t>Закрытие кода, ротация на код 7490</t>
  </si>
  <si>
    <t>Закрытие с 01.10, ротация на код 7730</t>
  </si>
  <si>
    <t>Закрытие с 01.10, ротация на код 7731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</si>
  <si>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</si>
  <si>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</si>
  <si>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</si>
  <si>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</si>
  <si>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</si>
  <si>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нужно увеличить продажи / 55 шт в уценку (06,07,26)</t>
  </si>
  <si>
    <t>нужно увеличить продажи!!! / новинка</t>
  </si>
  <si>
    <t>нужно увеличить продажи / новинка</t>
  </si>
  <si>
    <t>186кг в уценку (25,09,26)</t>
  </si>
  <si>
    <t>ЛИТОВСКАЯ с/к в/у</t>
  </si>
  <si>
    <t>ВЕТЧ.МРАМОРНАЯ в/у срез 0.3кг 6шт_62с</t>
  </si>
  <si>
    <t>СОЧНЫЙ ГРИЛЬ сос ц/о мгс 0.41кг_Даблпак</t>
  </si>
  <si>
    <t>ХОЧУ ВЕТЧ.ИЗ СВ.ОТРУБА мгс 1/100_45с_Л11</t>
  </si>
  <si>
    <t>ХОЧУ ВЕТЧ. МРАМОР. с/н мгс 1/100_45с_Л11</t>
  </si>
  <si>
    <t>7156 СЕРВЕЛАТ КОПЧ.НА БУКЕ в/к в/у 0.35кг_50с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</si>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</sst>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0" fontId="0" fillId="0" borderId="1" xfId="0"/>
    <xf numFmtId="164" fontId="6" fillId="0" borderId="1" xfId="1" applyNumberFormat="1" applyFont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3" sqref="AK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9.5703125" customWidth="1"/>
    <col min="31" max="32" width="24" style="14" hidden="1" customWidth="1"/>
    <col min="33" max="33" width="7" customWidth="1"/>
    <col min="34" max="34" width="14.85546875" style="20" hidden="1" customWidth="1"/>
    <col min="35" max="35" width="0" hidden="1" customWidth="1"/>
  </cols>
  <sheetData>
    <row r="1" spans="1:3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2" t="s">
        <v>22</v>
      </c>
      <c r="AG3" s="2" t="s">
        <v>23</v>
      </c>
    </row>
    <row r="4" spans="1:3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 t="s">
        <v>32</v>
      </c>
      <c r="AA4" s="1" t="s">
        <v>33</v>
      </c>
      <c r="AB4" s="1" t="s">
        <v>34</v>
      </c>
      <c r="AC4" s="1" t="s">
        <v>35</v>
      </c>
      <c r="AD4" s="1"/>
      <c r="AE4" s="1"/>
      <c r="AF4" s="1"/>
      <c r="AG4" s="1"/>
      <c r="AH4"/>
    </row>
    <row r="5" spans="1:34" x14ac:dyDescent="0.25">
      <c r="A5" s="1"/>
      <c r="B5" s="1"/>
      <c r="C5" s="1"/>
      <c r="D5" s="1"/>
      <c r="E5" s="4">
        <f>SUM(E6:E484)</f>
        <v>8608.6910000000025</v>
      </c>
      <c r="F5" s="4">
        <f>SUM(F6:F484)</f>
        <v>16060.531000000001</v>
      </c>
      <c r="G5" s="7"/>
      <c r="H5" s="1"/>
      <c r="I5" s="1"/>
      <c r="J5" s="1"/>
      <c r="K5" s="4">
        <f t="shared" ref="K5:Q5" si="0">SUM(K6:K484)</f>
        <v>10624.292000000001</v>
      </c>
      <c r="L5" s="4">
        <f t="shared" si="0"/>
        <v>-2015.6009999999999</v>
      </c>
      <c r="M5" s="4">
        <f t="shared" si="0"/>
        <v>0</v>
      </c>
      <c r="N5" s="4">
        <f t="shared" si="0"/>
        <v>0</v>
      </c>
      <c r="O5" s="4">
        <f t="shared" si="0"/>
        <v>3854</v>
      </c>
      <c r="P5" s="4">
        <f t="shared" si="0"/>
        <v>1721.7382000000005</v>
      </c>
      <c r="Q5" s="4">
        <f t="shared" si="0"/>
        <v>8602.0486000000001</v>
      </c>
      <c r="R5" s="1"/>
      <c r="S5" s="1"/>
      <c r="T5" s="4">
        <f t="shared" ref="T5:AC5" si="1">SUM(T6:T484)</f>
        <v>2528.5627999999997</v>
      </c>
      <c r="U5" s="4">
        <f t="shared" si="1"/>
        <v>2800.0762000000004</v>
      </c>
      <c r="V5" s="4">
        <f t="shared" si="1"/>
        <v>3367.0326000000014</v>
      </c>
      <c r="W5" s="4">
        <f t="shared" si="1"/>
        <v>1979.1166000000001</v>
      </c>
      <c r="X5" s="4">
        <f t="shared" si="1"/>
        <v>3892.0544000000018</v>
      </c>
      <c r="Y5" s="4">
        <f t="shared" si="1"/>
        <v>3664.2815999999993</v>
      </c>
      <c r="Z5" s="4">
        <f t="shared" si="1"/>
        <v>2187.5886</v>
      </c>
      <c r="AA5" s="4">
        <f t="shared" si="1"/>
        <v>2526.8506000000002</v>
      </c>
      <c r="AB5" s="4">
        <f t="shared" si="1"/>
        <v>3147.8086000000008</v>
      </c>
      <c r="AC5" s="4">
        <f t="shared" si="1"/>
        <v>2887.1633999999999</v>
      </c>
      <c r="AD5" s="1"/>
      <c r="AE5" s="1"/>
      <c r="AF5" s="1"/>
      <c r="AG5" s="4">
        <f>SUM(AG6:AG484)</f>
        <v>3341.2986000000005</v>
      </c>
      <c r="AH5"/>
    </row>
    <row r="6" spans="1:34" x14ac:dyDescent="0.25">
      <c r="A6" s="1" t="s">
        <v>36</v>
      </c>
      <c r="B6" s="1" t="s">
        <v>37</v>
      </c>
      <c r="C6" s="1"/>
      <c r="D6" s="1">
        <v>19.067</v>
      </c>
      <c r="E6" s="1">
        <v>18.506</v>
      </c>
      <c r="F6" s="1"/>
      <c r="G6" s="7">
        <v>1</v>
      </c>
      <c r="H6" s="1">
        <v>120</v>
      </c>
      <c r="I6" s="1" t="s">
        <v>38</v>
      </c>
      <c r="J6" s="1"/>
      <c r="K6" s="1">
        <v>24.266999999999999</v>
      </c>
      <c r="L6" s="1">
        <f t="shared" ref="L6:L37" si="2">E6-K6</f>
        <v>-5.7609999999999992</v>
      </c>
      <c r="M6" s="1"/>
      <c r="N6" s="1"/>
      <c r="O6" s="1">
        <v>4</v>
      </c>
      <c r="P6" s="1">
        <f t="shared" ref="P6:P37" si="3">E6/5</f>
        <v>3.7012</v>
      </c>
      <c r="Q6" s="5">
        <f>9*P6-O6-F6</f>
        <v>29.3108</v>
      </c>
      <c r="R6" s="1">
        <f t="shared" ref="R6:R37" si="4">(F6+O6+Q6)/P6</f>
        <v>9</v>
      </c>
      <c r="S6" s="1">
        <f t="shared" ref="S6:S37" si="5">(F6+O6)/P6</f>
        <v>1.0807305738679347</v>
      </c>
      <c r="T6" s="1">
        <v>1.3715999999999999</v>
      </c>
      <c r="U6" s="1">
        <v>2.3786</v>
      </c>
      <c r="V6" s="1">
        <v>0.79720000000000002</v>
      </c>
      <c r="W6" s="1">
        <v>0.3392</v>
      </c>
      <c r="X6" s="1">
        <v>3.1198000000000001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39</v>
      </c>
      <c r="AE6" s="1"/>
      <c r="AF6" s="1" t="s">
        <v>160</v>
      </c>
      <c r="AG6" s="1">
        <f t="shared" ref="AG6:AG25" si="6">G6*Q6</f>
        <v>29.3108</v>
      </c>
      <c r="AH6"/>
    </row>
    <row r="7" spans="1:34" x14ac:dyDescent="0.25">
      <c r="A7" s="1" t="s">
        <v>40</v>
      </c>
      <c r="B7" s="1" t="s">
        <v>41</v>
      </c>
      <c r="C7" s="1">
        <v>70</v>
      </c>
      <c r="D7" s="1">
        <v>696</v>
      </c>
      <c r="E7" s="1">
        <v>139</v>
      </c>
      <c r="F7" s="1">
        <v>300</v>
      </c>
      <c r="G7" s="7">
        <v>0.4</v>
      </c>
      <c r="H7" s="1">
        <v>60</v>
      </c>
      <c r="I7" s="1" t="s">
        <v>38</v>
      </c>
      <c r="J7" s="1"/>
      <c r="K7" s="1">
        <v>149</v>
      </c>
      <c r="L7" s="1">
        <f t="shared" si="2"/>
        <v>-10</v>
      </c>
      <c r="M7" s="1"/>
      <c r="N7" s="1"/>
      <c r="O7" s="1">
        <v>0</v>
      </c>
      <c r="P7" s="1">
        <f t="shared" si="3"/>
        <v>27.8</v>
      </c>
      <c r="Q7" s="5">
        <f t="shared" ref="Q7:Q14" si="7">15*P7-O7-F7</f>
        <v>117</v>
      </c>
      <c r="R7" s="1">
        <f t="shared" si="4"/>
        <v>15</v>
      </c>
      <c r="S7" s="1">
        <f t="shared" si="5"/>
        <v>10.791366906474821</v>
      </c>
      <c r="T7" s="1">
        <v>29.8</v>
      </c>
      <c r="U7" s="1">
        <v>43.6</v>
      </c>
      <c r="V7" s="1">
        <v>69.400000000000006</v>
      </c>
      <c r="W7" s="1">
        <v>26.6</v>
      </c>
      <c r="X7" s="1">
        <v>68.8</v>
      </c>
      <c r="Y7" s="1">
        <v>75.599999999999994</v>
      </c>
      <c r="Z7" s="1">
        <v>35.4</v>
      </c>
      <c r="AA7" s="1">
        <v>54.2</v>
      </c>
      <c r="AB7" s="1">
        <v>62.6</v>
      </c>
      <c r="AC7" s="1">
        <v>55.6</v>
      </c>
      <c r="AD7" s="1"/>
      <c r="AE7" s="1"/>
      <c r="AF7" s="1"/>
      <c r="AG7" s="1">
        <f t="shared" si="6"/>
        <v>46.800000000000004</v>
      </c>
      <c r="AH7"/>
    </row>
    <row r="8" spans="1:34" x14ac:dyDescent="0.25">
      <c r="A8" s="1" t="s">
        <v>43</v>
      </c>
      <c r="B8" s="1" t="s">
        <v>37</v>
      </c>
      <c r="C8" s="1">
        <v>12.848000000000001</v>
      </c>
      <c r="D8" s="1">
        <v>19.829999999999998</v>
      </c>
      <c r="E8" s="1">
        <v>5.0229999999999997</v>
      </c>
      <c r="F8" s="1">
        <v>17.742999999999999</v>
      </c>
      <c r="G8" s="7">
        <v>1</v>
      </c>
      <c r="H8" s="1">
        <v>120</v>
      </c>
      <c r="I8" s="1" t="s">
        <v>38</v>
      </c>
      <c r="J8" s="1"/>
      <c r="K8" s="1">
        <v>8.4</v>
      </c>
      <c r="L8" s="1">
        <f t="shared" si="2"/>
        <v>-3.3770000000000007</v>
      </c>
      <c r="M8" s="1"/>
      <c r="N8" s="1"/>
      <c r="O8" s="1">
        <v>4</v>
      </c>
      <c r="P8" s="1">
        <f t="shared" si="3"/>
        <v>1.0045999999999999</v>
      </c>
      <c r="Q8" s="5"/>
      <c r="R8" s="1">
        <f t="shared" si="4"/>
        <v>21.643440175194108</v>
      </c>
      <c r="S8" s="1">
        <f t="shared" si="5"/>
        <v>21.643440175194108</v>
      </c>
      <c r="T8" s="1">
        <v>3.4196</v>
      </c>
      <c r="U8" s="1">
        <v>3.7907999999999999</v>
      </c>
      <c r="V8" s="1">
        <v>3.9006000000000012</v>
      </c>
      <c r="W8" s="1">
        <v>3.4222000000000001</v>
      </c>
      <c r="X8" s="1">
        <v>5.2168000000000001</v>
      </c>
      <c r="Y8" s="1">
        <v>4.2012</v>
      </c>
      <c r="Z8" s="1">
        <v>3.2757999999999998</v>
      </c>
      <c r="AA8" s="1">
        <v>0.29959999999999998</v>
      </c>
      <c r="AB8" s="1">
        <v>0.99220000000000008</v>
      </c>
      <c r="AC8" s="1">
        <v>4.3465999999999996</v>
      </c>
      <c r="AD8" s="1" t="s">
        <v>44</v>
      </c>
      <c r="AE8" s="1"/>
      <c r="AF8" s="1"/>
      <c r="AG8" s="1">
        <f t="shared" si="6"/>
        <v>0</v>
      </c>
      <c r="AH8"/>
    </row>
    <row r="9" spans="1:34" x14ac:dyDescent="0.25">
      <c r="A9" s="1" t="s">
        <v>45</v>
      </c>
      <c r="B9" s="1" t="s">
        <v>41</v>
      </c>
      <c r="C9" s="1">
        <v>70</v>
      </c>
      <c r="D9" s="1">
        <v>746</v>
      </c>
      <c r="E9" s="1">
        <v>79</v>
      </c>
      <c r="F9" s="1">
        <v>414</v>
      </c>
      <c r="G9" s="7">
        <v>0.25</v>
      </c>
      <c r="H9" s="1">
        <v>120</v>
      </c>
      <c r="I9" s="1" t="s">
        <v>38</v>
      </c>
      <c r="J9" s="1"/>
      <c r="K9" s="1">
        <v>80</v>
      </c>
      <c r="L9" s="1">
        <f t="shared" si="2"/>
        <v>-1</v>
      </c>
      <c r="M9" s="1"/>
      <c r="N9" s="1"/>
      <c r="O9" s="1">
        <v>0</v>
      </c>
      <c r="P9" s="1">
        <f t="shared" si="3"/>
        <v>15.8</v>
      </c>
      <c r="Q9" s="5"/>
      <c r="R9" s="1">
        <f t="shared" si="4"/>
        <v>26.202531645569618</v>
      </c>
      <c r="S9" s="1">
        <f t="shared" si="5"/>
        <v>26.202531645569618</v>
      </c>
      <c r="T9" s="1">
        <v>35</v>
      </c>
      <c r="U9" s="1">
        <v>54</v>
      </c>
      <c r="V9" s="1">
        <v>88</v>
      </c>
      <c r="W9" s="1">
        <v>23.2</v>
      </c>
      <c r="X9" s="1">
        <v>97.8</v>
      </c>
      <c r="Y9" s="1">
        <v>70</v>
      </c>
      <c r="Z9" s="1">
        <v>29.8</v>
      </c>
      <c r="AA9" s="1">
        <v>37.4</v>
      </c>
      <c r="AB9" s="1">
        <v>61.4</v>
      </c>
      <c r="AC9" s="1">
        <v>31.4</v>
      </c>
      <c r="AD9" s="16" t="s">
        <v>46</v>
      </c>
      <c r="AE9" s="1"/>
      <c r="AF9" s="1"/>
      <c r="AG9" s="1">
        <f t="shared" si="6"/>
        <v>0</v>
      </c>
      <c r="AH9"/>
    </row>
    <row r="10" spans="1:34" x14ac:dyDescent="0.25">
      <c r="A10" s="1" t="s">
        <v>47</v>
      </c>
      <c r="B10" s="1" t="s">
        <v>37</v>
      </c>
      <c r="C10" s="1">
        <v>378.79399999999998</v>
      </c>
      <c r="D10" s="1">
        <v>97.718000000000004</v>
      </c>
      <c r="E10" s="1">
        <v>54.366999999999997</v>
      </c>
      <c r="F10" s="1">
        <v>320.84500000000003</v>
      </c>
      <c r="G10" s="7">
        <v>1</v>
      </c>
      <c r="H10" s="1">
        <v>60</v>
      </c>
      <c r="I10" s="1" t="s">
        <v>38</v>
      </c>
      <c r="J10" s="1"/>
      <c r="K10" s="1">
        <v>55.9</v>
      </c>
      <c r="L10" s="1">
        <f t="shared" si="2"/>
        <v>-1.5330000000000013</v>
      </c>
      <c r="M10" s="1"/>
      <c r="N10" s="1"/>
      <c r="O10" s="1">
        <v>0</v>
      </c>
      <c r="P10" s="1">
        <f t="shared" si="3"/>
        <v>10.8734</v>
      </c>
      <c r="Q10" s="5"/>
      <c r="R10" s="1">
        <f t="shared" si="4"/>
        <v>29.507329814041608</v>
      </c>
      <c r="S10" s="1">
        <f t="shared" si="5"/>
        <v>29.507329814041608</v>
      </c>
      <c r="T10" s="1">
        <v>33.908200000000001</v>
      </c>
      <c r="U10" s="1">
        <v>44.263199999999998</v>
      </c>
      <c r="V10" s="1">
        <v>46.027599999999993</v>
      </c>
      <c r="W10" s="1">
        <v>57.752200000000002</v>
      </c>
      <c r="X10" s="1">
        <v>47.667999999999999</v>
      </c>
      <c r="Y10" s="1">
        <v>71.5244</v>
      </c>
      <c r="Z10" s="1">
        <v>59.996400000000008</v>
      </c>
      <c r="AA10" s="1">
        <v>49.260599999999997</v>
      </c>
      <c r="AB10" s="1">
        <v>56.257199999999997</v>
      </c>
      <c r="AC10" s="1">
        <v>69.917000000000002</v>
      </c>
      <c r="AD10" s="12" t="s">
        <v>42</v>
      </c>
      <c r="AE10" s="1"/>
      <c r="AF10" s="1"/>
      <c r="AG10" s="1">
        <f t="shared" si="6"/>
        <v>0</v>
      </c>
      <c r="AH10"/>
    </row>
    <row r="11" spans="1:34" x14ac:dyDescent="0.25">
      <c r="A11" s="1" t="s">
        <v>49</v>
      </c>
      <c r="B11" s="1" t="s">
        <v>37</v>
      </c>
      <c r="C11" s="1">
        <v>32.4</v>
      </c>
      <c r="D11" s="1"/>
      <c r="E11" s="1">
        <v>6.0490000000000004</v>
      </c>
      <c r="F11" s="1">
        <v>26.350999999999999</v>
      </c>
      <c r="G11" s="7">
        <v>1</v>
      </c>
      <c r="H11" s="1">
        <v>120</v>
      </c>
      <c r="I11" s="1" t="s">
        <v>38</v>
      </c>
      <c r="J11" s="1"/>
      <c r="K11" s="1">
        <v>6.8</v>
      </c>
      <c r="L11" s="1">
        <f t="shared" si="2"/>
        <v>-0.75099999999999945</v>
      </c>
      <c r="M11" s="1"/>
      <c r="N11" s="1"/>
      <c r="O11" s="1">
        <v>0</v>
      </c>
      <c r="P11" s="1">
        <f t="shared" si="3"/>
        <v>1.2098</v>
      </c>
      <c r="Q11" s="5"/>
      <c r="R11" s="1">
        <f t="shared" si="4"/>
        <v>21.78128616300215</v>
      </c>
      <c r="S11" s="1">
        <f t="shared" si="5"/>
        <v>21.78128616300215</v>
      </c>
      <c r="T11" s="1">
        <v>3.2311999999999999</v>
      </c>
      <c r="U11" s="1">
        <v>2.4188000000000001</v>
      </c>
      <c r="V11" s="1">
        <v>4.3449999999999998</v>
      </c>
      <c r="W11" s="1">
        <v>4.2176</v>
      </c>
      <c r="X11" s="1">
        <v>10.532</v>
      </c>
      <c r="Y11" s="1">
        <v>6.9102000000000006</v>
      </c>
      <c r="Z11" s="1">
        <v>4.5746000000000002</v>
      </c>
      <c r="AA11" s="1">
        <v>8.6004000000000005</v>
      </c>
      <c r="AB11" s="1">
        <v>5.0928000000000004</v>
      </c>
      <c r="AC11" s="1">
        <v>2.7075999999999998</v>
      </c>
      <c r="AD11" s="16" t="s">
        <v>46</v>
      </c>
      <c r="AE11" s="1"/>
      <c r="AF11" s="1"/>
      <c r="AG11" s="1">
        <f t="shared" si="6"/>
        <v>0</v>
      </c>
      <c r="AH11"/>
    </row>
    <row r="12" spans="1:34" x14ac:dyDescent="0.25">
      <c r="A12" s="1" t="s">
        <v>50</v>
      </c>
      <c r="B12" s="1" t="s">
        <v>37</v>
      </c>
      <c r="C12" s="1">
        <v>28.4</v>
      </c>
      <c r="D12" s="1"/>
      <c r="E12" s="1">
        <v>14.903</v>
      </c>
      <c r="F12" s="1">
        <v>14.843999999999999</v>
      </c>
      <c r="G12" s="7">
        <v>1</v>
      </c>
      <c r="H12" s="1">
        <v>60</v>
      </c>
      <c r="I12" s="1" t="s">
        <v>38</v>
      </c>
      <c r="J12" s="1"/>
      <c r="K12" s="1">
        <v>12.4</v>
      </c>
      <c r="L12" s="1">
        <f t="shared" si="2"/>
        <v>2.5030000000000001</v>
      </c>
      <c r="M12" s="1"/>
      <c r="N12" s="1"/>
      <c r="O12" s="1">
        <v>70</v>
      </c>
      <c r="P12" s="1">
        <f t="shared" si="3"/>
        <v>2.9805999999999999</v>
      </c>
      <c r="Q12" s="5"/>
      <c r="R12" s="1">
        <f t="shared" si="4"/>
        <v>28.465409649063947</v>
      </c>
      <c r="S12" s="1">
        <f t="shared" si="5"/>
        <v>28.465409649063947</v>
      </c>
      <c r="T12" s="1">
        <v>7.7805999999999997</v>
      </c>
      <c r="U12" s="1">
        <v>1.5187999999999999</v>
      </c>
      <c r="V12" s="1">
        <v>6.2080000000000002</v>
      </c>
      <c r="W12" s="1">
        <v>8.642199999999999</v>
      </c>
      <c r="X12" s="1">
        <v>5.4014000000000006</v>
      </c>
      <c r="Y12" s="1">
        <v>2.4533999999999998</v>
      </c>
      <c r="Z12" s="1">
        <v>4.0156000000000001</v>
      </c>
      <c r="AA12" s="1">
        <v>8.7403999999999993</v>
      </c>
      <c r="AB12" s="1">
        <v>3.5335999999999999</v>
      </c>
      <c r="AC12" s="1">
        <v>3.8138000000000001</v>
      </c>
      <c r="AD12" s="1"/>
      <c r="AE12" s="1"/>
      <c r="AF12" s="1"/>
      <c r="AG12" s="1">
        <f t="shared" si="6"/>
        <v>0</v>
      </c>
      <c r="AH12"/>
    </row>
    <row r="13" spans="1:34" x14ac:dyDescent="0.25">
      <c r="A13" s="1" t="s">
        <v>51</v>
      </c>
      <c r="B13" s="1" t="s">
        <v>37</v>
      </c>
      <c r="C13" s="1">
        <v>228.285</v>
      </c>
      <c r="D13" s="1">
        <v>95.903000000000006</v>
      </c>
      <c r="E13" s="1">
        <v>59.685000000000002</v>
      </c>
      <c r="F13" s="1">
        <v>167.732</v>
      </c>
      <c r="G13" s="7">
        <v>1</v>
      </c>
      <c r="H13" s="1">
        <v>60</v>
      </c>
      <c r="I13" s="1" t="s">
        <v>38</v>
      </c>
      <c r="J13" s="1"/>
      <c r="K13" s="1">
        <v>55.5</v>
      </c>
      <c r="L13" s="1">
        <f t="shared" si="2"/>
        <v>4.1850000000000023</v>
      </c>
      <c r="M13" s="1"/>
      <c r="N13" s="1"/>
      <c r="O13" s="1">
        <v>0</v>
      </c>
      <c r="P13" s="1">
        <f t="shared" si="3"/>
        <v>11.937000000000001</v>
      </c>
      <c r="Q13" s="5">
        <f t="shared" si="7"/>
        <v>11.323000000000008</v>
      </c>
      <c r="R13" s="1">
        <f t="shared" si="4"/>
        <v>14.999999999999998</v>
      </c>
      <c r="S13" s="1">
        <f t="shared" si="5"/>
        <v>14.051436709390968</v>
      </c>
      <c r="T13" s="1">
        <v>35.2318</v>
      </c>
      <c r="U13" s="1">
        <v>38.9786</v>
      </c>
      <c r="V13" s="1">
        <v>46.416999999999987</v>
      </c>
      <c r="W13" s="1">
        <v>60.004800000000003</v>
      </c>
      <c r="X13" s="1">
        <v>59.633799999999987</v>
      </c>
      <c r="Y13" s="1">
        <v>64.598800000000011</v>
      </c>
      <c r="Z13" s="1">
        <v>47.507800000000003</v>
      </c>
      <c r="AA13" s="1">
        <v>63.072600000000001</v>
      </c>
      <c r="AB13" s="1">
        <v>49.145600000000002</v>
      </c>
      <c r="AC13" s="1">
        <v>63.110400000000013</v>
      </c>
      <c r="AD13" s="1"/>
      <c r="AE13" s="1"/>
      <c r="AF13" s="1"/>
      <c r="AG13" s="1">
        <f t="shared" si="6"/>
        <v>11.323000000000008</v>
      </c>
      <c r="AH13"/>
    </row>
    <row r="14" spans="1:34" x14ac:dyDescent="0.25">
      <c r="A14" s="1" t="s">
        <v>52</v>
      </c>
      <c r="B14" s="1" t="s">
        <v>41</v>
      </c>
      <c r="C14" s="1">
        <v>129</v>
      </c>
      <c r="D14" s="1">
        <v>140</v>
      </c>
      <c r="E14" s="1">
        <v>59</v>
      </c>
      <c r="F14" s="1">
        <v>113</v>
      </c>
      <c r="G14" s="7">
        <v>0.25</v>
      </c>
      <c r="H14" s="1">
        <v>120</v>
      </c>
      <c r="I14" s="1" t="s">
        <v>38</v>
      </c>
      <c r="J14" s="1"/>
      <c r="K14" s="1">
        <v>60</v>
      </c>
      <c r="L14" s="1">
        <f t="shared" si="2"/>
        <v>-1</v>
      </c>
      <c r="M14" s="1"/>
      <c r="N14" s="1"/>
      <c r="O14" s="1">
        <v>0</v>
      </c>
      <c r="P14" s="1">
        <f t="shared" si="3"/>
        <v>11.8</v>
      </c>
      <c r="Q14" s="5">
        <f t="shared" si="7"/>
        <v>64</v>
      </c>
      <c r="R14" s="1">
        <f t="shared" si="4"/>
        <v>14.999999999999998</v>
      </c>
      <c r="S14" s="1">
        <f t="shared" si="5"/>
        <v>9.5762711864406782</v>
      </c>
      <c r="T14" s="1">
        <v>22.4</v>
      </c>
      <c r="U14" s="1">
        <v>29.2</v>
      </c>
      <c r="V14" s="1">
        <v>44.6</v>
      </c>
      <c r="W14" s="1">
        <v>30.6</v>
      </c>
      <c r="X14" s="1">
        <v>70.400000000000006</v>
      </c>
      <c r="Y14" s="1">
        <v>62</v>
      </c>
      <c r="Z14" s="1">
        <v>37</v>
      </c>
      <c r="AA14" s="1">
        <v>33</v>
      </c>
      <c r="AB14" s="1">
        <v>47.4</v>
      </c>
      <c r="AC14" s="1">
        <v>53.6</v>
      </c>
      <c r="AD14" s="1" t="s">
        <v>44</v>
      </c>
      <c r="AE14" s="1"/>
      <c r="AF14" s="1"/>
      <c r="AG14" s="1">
        <f t="shared" si="6"/>
        <v>16</v>
      </c>
      <c r="AH14"/>
    </row>
    <row r="15" spans="1:34" x14ac:dyDescent="0.25">
      <c r="A15" s="1" t="s">
        <v>53</v>
      </c>
      <c r="B15" s="1" t="s">
        <v>37</v>
      </c>
      <c r="C15" s="1">
        <v>10.881</v>
      </c>
      <c r="D15" s="1">
        <v>122.816</v>
      </c>
      <c r="E15" s="1">
        <v>10.943</v>
      </c>
      <c r="F15" s="1">
        <v>118.571</v>
      </c>
      <c r="G15" s="7">
        <v>1</v>
      </c>
      <c r="H15" s="1">
        <v>60</v>
      </c>
      <c r="I15" s="1" t="s">
        <v>38</v>
      </c>
      <c r="J15" s="1"/>
      <c r="K15" s="1">
        <v>22</v>
      </c>
      <c r="L15" s="1">
        <f t="shared" si="2"/>
        <v>-11.057</v>
      </c>
      <c r="M15" s="1"/>
      <c r="N15" s="1"/>
      <c r="O15" s="1">
        <v>0</v>
      </c>
      <c r="P15" s="1">
        <f t="shared" si="3"/>
        <v>2.1886000000000001</v>
      </c>
      <c r="Q15" s="5"/>
      <c r="R15" s="1">
        <f t="shared" si="4"/>
        <v>54.176642602576983</v>
      </c>
      <c r="S15" s="1">
        <f t="shared" si="5"/>
        <v>54.176642602576983</v>
      </c>
      <c r="T15" s="1">
        <v>10.3682</v>
      </c>
      <c r="U15" s="1">
        <v>12.847799999999999</v>
      </c>
      <c r="V15" s="1">
        <v>13.256399999999999</v>
      </c>
      <c r="W15" s="1">
        <v>14.061199999999999</v>
      </c>
      <c r="X15" s="1">
        <v>19.492999999999999</v>
      </c>
      <c r="Y15" s="1">
        <v>0.47199999999999998</v>
      </c>
      <c r="Z15" s="1">
        <v>8.4016000000000002</v>
      </c>
      <c r="AA15" s="1">
        <v>26.634799999999998</v>
      </c>
      <c r="AB15" s="1">
        <v>14.544</v>
      </c>
      <c r="AC15" s="1">
        <v>9.7308000000000003</v>
      </c>
      <c r="AD15" s="12" t="s">
        <v>42</v>
      </c>
      <c r="AE15" s="1"/>
      <c r="AF15" s="1"/>
      <c r="AG15" s="1">
        <f t="shared" si="6"/>
        <v>0</v>
      </c>
      <c r="AH15"/>
    </row>
    <row r="16" spans="1:34" x14ac:dyDescent="0.25">
      <c r="A16" s="1" t="s">
        <v>54</v>
      </c>
      <c r="B16" s="1" t="s">
        <v>41</v>
      </c>
      <c r="C16" s="1">
        <v>47</v>
      </c>
      <c r="D16" s="1">
        <v>684</v>
      </c>
      <c r="E16" s="1">
        <v>78</v>
      </c>
      <c r="F16" s="1">
        <v>373</v>
      </c>
      <c r="G16" s="7">
        <v>0.25</v>
      </c>
      <c r="H16" s="1">
        <v>120</v>
      </c>
      <c r="I16" s="1" t="s">
        <v>38</v>
      </c>
      <c r="J16" s="1"/>
      <c r="K16" s="1">
        <v>78</v>
      </c>
      <c r="L16" s="1">
        <f t="shared" si="2"/>
        <v>0</v>
      </c>
      <c r="M16" s="1"/>
      <c r="N16" s="1"/>
      <c r="O16" s="1">
        <v>0</v>
      </c>
      <c r="P16" s="1">
        <f t="shared" si="3"/>
        <v>15.6</v>
      </c>
      <c r="Q16" s="5"/>
      <c r="R16" s="1">
        <f t="shared" si="4"/>
        <v>23.910256410256412</v>
      </c>
      <c r="S16" s="1">
        <f t="shared" si="5"/>
        <v>23.910256410256412</v>
      </c>
      <c r="T16" s="1">
        <v>33</v>
      </c>
      <c r="U16" s="1">
        <v>59.2</v>
      </c>
      <c r="V16" s="1">
        <v>82.6</v>
      </c>
      <c r="W16" s="1">
        <v>19.600000000000001</v>
      </c>
      <c r="X16" s="1">
        <v>119.2</v>
      </c>
      <c r="Y16" s="1">
        <v>76</v>
      </c>
      <c r="Z16" s="1">
        <v>40.200000000000003</v>
      </c>
      <c r="AA16" s="1">
        <v>40.4</v>
      </c>
      <c r="AB16" s="1">
        <v>55.8</v>
      </c>
      <c r="AC16" s="1">
        <v>48.2</v>
      </c>
      <c r="AD16" s="16" t="s">
        <v>46</v>
      </c>
      <c r="AE16" s="1"/>
      <c r="AF16" s="1"/>
      <c r="AG16" s="1">
        <f t="shared" si="6"/>
        <v>0</v>
      </c>
      <c r="AH16"/>
    </row>
    <row r="17" spans="1:35" x14ac:dyDescent="0.25">
      <c r="A17" s="1" t="s">
        <v>55</v>
      </c>
      <c r="B17" s="1" t="s">
        <v>41</v>
      </c>
      <c r="C17" s="1">
        <v>145</v>
      </c>
      <c r="D17" s="1">
        <v>169</v>
      </c>
      <c r="E17" s="1">
        <v>52</v>
      </c>
      <c r="F17" s="1">
        <v>257</v>
      </c>
      <c r="G17" s="7">
        <v>0.4</v>
      </c>
      <c r="H17" s="1">
        <v>60</v>
      </c>
      <c r="I17" s="1" t="s">
        <v>38</v>
      </c>
      <c r="J17" s="1"/>
      <c r="K17" s="1">
        <v>57</v>
      </c>
      <c r="L17" s="1">
        <f t="shared" si="2"/>
        <v>-5</v>
      </c>
      <c r="M17" s="1"/>
      <c r="N17" s="1"/>
      <c r="O17" s="1">
        <v>0</v>
      </c>
      <c r="P17" s="1">
        <f t="shared" si="3"/>
        <v>10.4</v>
      </c>
      <c r="Q17" s="5"/>
      <c r="R17" s="1">
        <f t="shared" si="4"/>
        <v>24.71153846153846</v>
      </c>
      <c r="S17" s="1">
        <f t="shared" si="5"/>
        <v>24.71153846153846</v>
      </c>
      <c r="T17" s="1">
        <v>24.8</v>
      </c>
      <c r="U17" s="1">
        <v>33.200000000000003</v>
      </c>
      <c r="V17" s="1">
        <v>37.6</v>
      </c>
      <c r="W17" s="1">
        <v>7.4</v>
      </c>
      <c r="X17" s="1">
        <v>43.8</v>
      </c>
      <c r="Y17" s="1">
        <v>40</v>
      </c>
      <c r="Z17" s="1">
        <v>24.6</v>
      </c>
      <c r="AA17" s="1">
        <v>22.8</v>
      </c>
      <c r="AB17" s="1">
        <v>36.799999999999997</v>
      </c>
      <c r="AC17" s="1">
        <v>37</v>
      </c>
      <c r="AD17" s="12" t="s">
        <v>42</v>
      </c>
      <c r="AE17" s="1"/>
      <c r="AF17" s="1"/>
      <c r="AG17" s="1">
        <f t="shared" si="6"/>
        <v>0</v>
      </c>
      <c r="AH17"/>
    </row>
    <row r="18" spans="1:35" x14ac:dyDescent="0.25">
      <c r="A18" s="1" t="s">
        <v>56</v>
      </c>
      <c r="B18" s="1" t="s">
        <v>37</v>
      </c>
      <c r="C18" s="1"/>
      <c r="D18" s="1">
        <v>534.654</v>
      </c>
      <c r="E18" s="1">
        <v>176.39</v>
      </c>
      <c r="F18" s="1">
        <v>102.131</v>
      </c>
      <c r="G18" s="7">
        <v>1</v>
      </c>
      <c r="H18" s="1">
        <v>45</v>
      </c>
      <c r="I18" s="1" t="s">
        <v>38</v>
      </c>
      <c r="J18" s="1"/>
      <c r="K18" s="1">
        <v>170.37</v>
      </c>
      <c r="L18" s="1">
        <f t="shared" si="2"/>
        <v>6.0199999999999818</v>
      </c>
      <c r="M18" s="1"/>
      <c r="N18" s="1"/>
      <c r="O18" s="1">
        <v>0</v>
      </c>
      <c r="P18" s="1">
        <f t="shared" si="3"/>
        <v>35.277999999999999</v>
      </c>
      <c r="Q18" s="5">
        <f>11*P18-O18-F18</f>
        <v>285.92700000000002</v>
      </c>
      <c r="R18" s="1">
        <f t="shared" si="4"/>
        <v>11</v>
      </c>
      <c r="S18" s="1">
        <f t="shared" si="5"/>
        <v>2.8950337320709791</v>
      </c>
      <c r="T18" s="1">
        <v>29.849599999999999</v>
      </c>
      <c r="U18" s="1">
        <v>43.903599999999997</v>
      </c>
      <c r="V18" s="1">
        <v>54.553999999999988</v>
      </c>
      <c r="W18" s="1">
        <v>12.0352</v>
      </c>
      <c r="X18" s="1">
        <v>43.809600000000003</v>
      </c>
      <c r="Y18" s="1">
        <v>38.122</v>
      </c>
      <c r="Z18" s="1">
        <v>31.1738</v>
      </c>
      <c r="AA18" s="1">
        <v>36.706800000000001</v>
      </c>
      <c r="AB18" s="1">
        <v>45.036999999999999</v>
      </c>
      <c r="AC18" s="1">
        <v>38.583599999999997</v>
      </c>
      <c r="AD18" s="1"/>
      <c r="AE18" s="1"/>
      <c r="AF18" s="1"/>
      <c r="AG18" s="1">
        <f t="shared" si="6"/>
        <v>285.92700000000002</v>
      </c>
      <c r="AH18"/>
    </row>
    <row r="19" spans="1:35" x14ac:dyDescent="0.25">
      <c r="A19" s="1" t="s">
        <v>57</v>
      </c>
      <c r="B19" s="1" t="s">
        <v>37</v>
      </c>
      <c r="C19" s="1">
        <v>18.379000000000001</v>
      </c>
      <c r="D19" s="1"/>
      <c r="E19" s="1">
        <v>5.0640000000000001</v>
      </c>
      <c r="F19" s="1">
        <v>13.315</v>
      </c>
      <c r="G19" s="7">
        <v>1</v>
      </c>
      <c r="H19" s="1">
        <v>120</v>
      </c>
      <c r="I19" s="19" t="s">
        <v>166</v>
      </c>
      <c r="J19" s="1"/>
      <c r="K19" s="1">
        <v>6.2</v>
      </c>
      <c r="L19" s="1">
        <f t="shared" si="2"/>
        <v>-1.1360000000000001</v>
      </c>
      <c r="M19" s="1"/>
      <c r="N19" s="1"/>
      <c r="O19" s="1">
        <v>4</v>
      </c>
      <c r="P19" s="1">
        <f t="shared" si="3"/>
        <v>1.0127999999999999</v>
      </c>
      <c r="Q19" s="5"/>
      <c r="R19" s="1">
        <f t="shared" si="4"/>
        <v>17.096169036334913</v>
      </c>
      <c r="S19" s="1">
        <f t="shared" si="5"/>
        <v>17.096169036334913</v>
      </c>
      <c r="T19" s="1">
        <v>3.0779999999999998</v>
      </c>
      <c r="U19" s="1">
        <v>1.7467999999999999</v>
      </c>
      <c r="V19" s="1">
        <v>3.6257999999999999</v>
      </c>
      <c r="W19" s="1">
        <v>4.1105999999999998</v>
      </c>
      <c r="X19" s="1">
        <v>11.1694</v>
      </c>
      <c r="Y19" s="1">
        <v>5.2294</v>
      </c>
      <c r="Z19" s="1">
        <v>2.7151999999999998</v>
      </c>
      <c r="AA19" s="1">
        <v>5.2648000000000001</v>
      </c>
      <c r="AB19" s="1">
        <v>4.2115999999999998</v>
      </c>
      <c r="AC19" s="1">
        <v>3.5571999999999999</v>
      </c>
      <c r="AD19" s="1" t="s">
        <v>44</v>
      </c>
      <c r="AE19" s="15" t="s">
        <v>161</v>
      </c>
      <c r="AF19" s="1" t="s">
        <v>161</v>
      </c>
      <c r="AG19" s="1">
        <f t="shared" si="6"/>
        <v>0</v>
      </c>
      <c r="AH19" s="20">
        <v>1001067977700</v>
      </c>
      <c r="AI19" t="s">
        <v>175</v>
      </c>
    </row>
    <row r="20" spans="1:35" x14ac:dyDescent="0.25">
      <c r="A20" s="1" t="s">
        <v>58</v>
      </c>
      <c r="B20" s="1" t="s">
        <v>41</v>
      </c>
      <c r="C20" s="1"/>
      <c r="D20" s="1">
        <v>40</v>
      </c>
      <c r="E20" s="1">
        <v>10</v>
      </c>
      <c r="F20" s="1">
        <v>30</v>
      </c>
      <c r="G20" s="7">
        <v>0.4</v>
      </c>
      <c r="H20" s="1">
        <v>45</v>
      </c>
      <c r="I20" s="1" t="s">
        <v>38</v>
      </c>
      <c r="J20" s="1"/>
      <c r="K20" s="1">
        <v>45</v>
      </c>
      <c r="L20" s="1">
        <f t="shared" si="2"/>
        <v>-35</v>
      </c>
      <c r="M20" s="1"/>
      <c r="N20" s="1"/>
      <c r="O20" s="1">
        <v>100</v>
      </c>
      <c r="P20" s="1">
        <f t="shared" si="3"/>
        <v>2</v>
      </c>
      <c r="Q20" s="5"/>
      <c r="R20" s="1">
        <f t="shared" si="4"/>
        <v>65</v>
      </c>
      <c r="S20" s="1">
        <f t="shared" si="5"/>
        <v>65</v>
      </c>
      <c r="T20" s="1">
        <v>19.600000000000001</v>
      </c>
      <c r="U20" s="1">
        <v>0.2</v>
      </c>
      <c r="V20" s="1">
        <v>0</v>
      </c>
      <c r="W20" s="1">
        <v>0</v>
      </c>
      <c r="X20" s="1">
        <v>0</v>
      </c>
      <c r="Y20" s="1">
        <v>-1.2</v>
      </c>
      <c r="Z20" s="1">
        <v>-0.2</v>
      </c>
      <c r="AA20" s="1">
        <v>-3.8</v>
      </c>
      <c r="AB20" s="1">
        <v>-0.2</v>
      </c>
      <c r="AC20" s="1">
        <v>5</v>
      </c>
      <c r="AD20" s="1" t="s">
        <v>59</v>
      </c>
      <c r="AE20" s="1"/>
      <c r="AF20" s="1"/>
      <c r="AG20" s="1">
        <f t="shared" si="6"/>
        <v>0</v>
      </c>
      <c r="AH20"/>
    </row>
    <row r="21" spans="1:35" x14ac:dyDescent="0.25">
      <c r="A21" s="1" t="s">
        <v>60</v>
      </c>
      <c r="B21" s="1" t="s">
        <v>37</v>
      </c>
      <c r="C21" s="1">
        <v>36.090000000000003</v>
      </c>
      <c r="D21" s="1">
        <v>342.27100000000002</v>
      </c>
      <c r="E21" s="1">
        <v>59.008000000000003</v>
      </c>
      <c r="F21" s="1">
        <v>190.678</v>
      </c>
      <c r="G21" s="7">
        <v>1</v>
      </c>
      <c r="H21" s="1">
        <v>60</v>
      </c>
      <c r="I21" s="1" t="s">
        <v>38</v>
      </c>
      <c r="J21" s="1"/>
      <c r="K21" s="1">
        <v>50.9</v>
      </c>
      <c r="L21" s="1">
        <f t="shared" si="2"/>
        <v>8.1080000000000041</v>
      </c>
      <c r="M21" s="1"/>
      <c r="N21" s="1"/>
      <c r="O21" s="1">
        <v>50</v>
      </c>
      <c r="P21" s="1">
        <f t="shared" si="3"/>
        <v>11.801600000000001</v>
      </c>
      <c r="Q21" s="5"/>
      <c r="R21" s="1">
        <f t="shared" si="4"/>
        <v>20.39367543383948</v>
      </c>
      <c r="S21" s="1">
        <f t="shared" si="5"/>
        <v>20.39367543383948</v>
      </c>
      <c r="T21" s="1">
        <v>27.052199999999999</v>
      </c>
      <c r="U21" s="1">
        <v>25.654599999999999</v>
      </c>
      <c r="V21" s="1">
        <v>35.742199999999997</v>
      </c>
      <c r="W21" s="1">
        <v>24.3264</v>
      </c>
      <c r="X21" s="1">
        <v>38.0486</v>
      </c>
      <c r="Y21" s="1">
        <v>34.205199999999998</v>
      </c>
      <c r="Z21" s="1">
        <v>22.615200000000002</v>
      </c>
      <c r="AA21" s="1">
        <v>32.779600000000002</v>
      </c>
      <c r="AB21" s="1">
        <v>30.880400000000002</v>
      </c>
      <c r="AC21" s="1">
        <v>43.971800000000002</v>
      </c>
      <c r="AD21" s="16" t="s">
        <v>48</v>
      </c>
      <c r="AE21" s="1"/>
      <c r="AF21" s="1"/>
      <c r="AG21" s="1">
        <f t="shared" si="6"/>
        <v>0</v>
      </c>
      <c r="AH21"/>
    </row>
    <row r="22" spans="1:35" x14ac:dyDescent="0.25">
      <c r="A22" s="1" t="s">
        <v>61</v>
      </c>
      <c r="B22" s="1" t="s">
        <v>41</v>
      </c>
      <c r="C22" s="1">
        <v>171</v>
      </c>
      <c r="D22" s="1">
        <v>100</v>
      </c>
      <c r="E22" s="1">
        <v>221</v>
      </c>
      <c r="F22" s="1">
        <v>48</v>
      </c>
      <c r="G22" s="7">
        <v>0.22</v>
      </c>
      <c r="H22" s="1">
        <v>120</v>
      </c>
      <c r="I22" s="1" t="s">
        <v>38</v>
      </c>
      <c r="J22" s="1"/>
      <c r="K22" s="1">
        <v>222</v>
      </c>
      <c r="L22" s="1">
        <f t="shared" si="2"/>
        <v>-1</v>
      </c>
      <c r="M22" s="1"/>
      <c r="N22" s="1"/>
      <c r="O22" s="1">
        <v>0</v>
      </c>
      <c r="P22" s="1">
        <f t="shared" si="3"/>
        <v>44.2</v>
      </c>
      <c r="Q22" s="5">
        <f>9*P22-O22-F22</f>
        <v>349.8</v>
      </c>
      <c r="R22" s="1">
        <f t="shared" si="4"/>
        <v>9</v>
      </c>
      <c r="S22" s="1">
        <f t="shared" si="5"/>
        <v>1.0859728506787329</v>
      </c>
      <c r="T22" s="1">
        <v>40.4</v>
      </c>
      <c r="U22" s="1">
        <v>50.2</v>
      </c>
      <c r="V22" s="1">
        <v>44</v>
      </c>
      <c r="W22" s="1">
        <v>71.599999999999994</v>
      </c>
      <c r="X22" s="1">
        <v>133.6</v>
      </c>
      <c r="Y22" s="1">
        <v>105.8</v>
      </c>
      <c r="Z22" s="1">
        <v>63.4</v>
      </c>
      <c r="AA22" s="1">
        <v>72.2</v>
      </c>
      <c r="AB22" s="1">
        <v>83.4</v>
      </c>
      <c r="AC22" s="1">
        <v>44.2</v>
      </c>
      <c r="AD22" s="1" t="s">
        <v>44</v>
      </c>
      <c r="AE22" s="1"/>
      <c r="AF22" s="1"/>
      <c r="AG22" s="1">
        <f t="shared" si="6"/>
        <v>76.956000000000003</v>
      </c>
      <c r="AH22"/>
    </row>
    <row r="23" spans="1:35" x14ac:dyDescent="0.25">
      <c r="A23" s="1" t="s">
        <v>62</v>
      </c>
      <c r="B23" s="1" t="s">
        <v>37</v>
      </c>
      <c r="C23" s="1"/>
      <c r="D23" s="1">
        <v>23.446000000000002</v>
      </c>
      <c r="E23" s="1">
        <v>2.9319999999999999</v>
      </c>
      <c r="F23" s="1">
        <v>18.378</v>
      </c>
      <c r="G23" s="7">
        <v>1</v>
      </c>
      <c r="H23" s="1">
        <v>40</v>
      </c>
      <c r="I23" s="1" t="s">
        <v>38</v>
      </c>
      <c r="J23" s="1"/>
      <c r="K23" s="1">
        <v>35.700000000000003</v>
      </c>
      <c r="L23" s="1">
        <f t="shared" si="2"/>
        <v>-32.768000000000001</v>
      </c>
      <c r="M23" s="1"/>
      <c r="N23" s="1"/>
      <c r="O23" s="1">
        <v>50</v>
      </c>
      <c r="P23" s="1">
        <f t="shared" si="3"/>
        <v>0.58640000000000003</v>
      </c>
      <c r="Q23" s="5"/>
      <c r="R23" s="1">
        <f t="shared" si="4"/>
        <v>116.60641200545702</v>
      </c>
      <c r="S23" s="1">
        <f t="shared" si="5"/>
        <v>116.60641200545702</v>
      </c>
      <c r="T23" s="1">
        <v>3.4611999999999998</v>
      </c>
      <c r="U23" s="1">
        <v>1.8988</v>
      </c>
      <c r="V23" s="1">
        <v>4.2084000000000001</v>
      </c>
      <c r="W23" s="1">
        <v>0</v>
      </c>
      <c r="X23" s="1">
        <v>-0.17599999999999999</v>
      </c>
      <c r="Y23" s="1">
        <v>-0.27</v>
      </c>
      <c r="Z23" s="1">
        <v>1.016</v>
      </c>
      <c r="AA23" s="1">
        <v>0.62519999999999998</v>
      </c>
      <c r="AB23" s="1">
        <v>3.5935999999999999</v>
      </c>
      <c r="AC23" s="1">
        <v>9.9719999999999995</v>
      </c>
      <c r="AD23" s="1" t="s">
        <v>63</v>
      </c>
      <c r="AE23" s="1"/>
      <c r="AF23" s="1"/>
      <c r="AG23" s="1">
        <f t="shared" si="6"/>
        <v>0</v>
      </c>
      <c r="AH23"/>
    </row>
    <row r="24" spans="1:35" x14ac:dyDescent="0.25">
      <c r="A24" s="1" t="s">
        <v>64</v>
      </c>
      <c r="B24" s="1" t="s">
        <v>37</v>
      </c>
      <c r="C24" s="1">
        <v>5.5</v>
      </c>
      <c r="D24" s="1">
        <v>172.98400000000001</v>
      </c>
      <c r="E24" s="1">
        <v>25.561</v>
      </c>
      <c r="F24" s="1">
        <v>73.394999999999996</v>
      </c>
      <c r="G24" s="7">
        <v>1</v>
      </c>
      <c r="H24" s="1">
        <v>60</v>
      </c>
      <c r="I24" s="1" t="s">
        <v>38</v>
      </c>
      <c r="J24" s="1"/>
      <c r="K24" s="1">
        <v>23.1</v>
      </c>
      <c r="L24" s="1">
        <f t="shared" si="2"/>
        <v>2.4609999999999985</v>
      </c>
      <c r="M24" s="1"/>
      <c r="N24" s="1"/>
      <c r="O24" s="1">
        <v>50</v>
      </c>
      <c r="P24" s="1">
        <f t="shared" si="3"/>
        <v>5.1121999999999996</v>
      </c>
      <c r="Q24" s="5"/>
      <c r="R24" s="1">
        <f t="shared" si="4"/>
        <v>24.137357693360979</v>
      </c>
      <c r="S24" s="1">
        <f t="shared" si="5"/>
        <v>24.137357693360979</v>
      </c>
      <c r="T24" s="1">
        <v>9.1113999999999997</v>
      </c>
      <c r="U24" s="1">
        <v>9.9635999999999996</v>
      </c>
      <c r="V24" s="1">
        <v>18.268599999999999</v>
      </c>
      <c r="W24" s="1">
        <v>0.24260000000000001</v>
      </c>
      <c r="X24" s="1">
        <v>10.1114</v>
      </c>
      <c r="Y24" s="1">
        <v>16.404199999999999</v>
      </c>
      <c r="Z24" s="1">
        <v>2.4239999999999999</v>
      </c>
      <c r="AA24" s="1">
        <v>13.7454</v>
      </c>
      <c r="AB24" s="1">
        <v>15.651999999999999</v>
      </c>
      <c r="AC24" s="1">
        <v>11.1342</v>
      </c>
      <c r="AD24" s="1"/>
      <c r="AE24" s="1"/>
      <c r="AF24" s="1"/>
      <c r="AG24" s="1">
        <f t="shared" si="6"/>
        <v>0</v>
      </c>
      <c r="AH24"/>
    </row>
    <row r="25" spans="1:35" x14ac:dyDescent="0.25">
      <c r="A25" s="1" t="s">
        <v>65</v>
      </c>
      <c r="B25" s="1" t="s">
        <v>41</v>
      </c>
      <c r="C25" s="1">
        <v>15</v>
      </c>
      <c r="D25" s="1">
        <v>200</v>
      </c>
      <c r="E25" s="1">
        <v>19</v>
      </c>
      <c r="F25" s="1">
        <v>191</v>
      </c>
      <c r="G25" s="7">
        <v>0.09</v>
      </c>
      <c r="H25" s="1">
        <v>60</v>
      </c>
      <c r="I25" s="1" t="s">
        <v>38</v>
      </c>
      <c r="J25" s="1"/>
      <c r="K25" s="1">
        <v>155</v>
      </c>
      <c r="L25" s="1">
        <f t="shared" si="2"/>
        <v>-136</v>
      </c>
      <c r="M25" s="1"/>
      <c r="N25" s="1"/>
      <c r="O25" s="1">
        <v>200</v>
      </c>
      <c r="P25" s="1">
        <f t="shared" si="3"/>
        <v>3.8</v>
      </c>
      <c r="Q25" s="5"/>
      <c r="R25" s="1">
        <f t="shared" si="4"/>
        <v>102.89473684210527</v>
      </c>
      <c r="S25" s="1">
        <f t="shared" si="5"/>
        <v>102.89473684210527</v>
      </c>
      <c r="T25" s="1">
        <v>39</v>
      </c>
      <c r="U25" s="1">
        <v>46.6</v>
      </c>
      <c r="V25" s="1">
        <v>25.6</v>
      </c>
      <c r="W25" s="1">
        <v>35.4</v>
      </c>
      <c r="X25" s="1">
        <v>48.8</v>
      </c>
      <c r="Y25" s="1">
        <v>39.6</v>
      </c>
      <c r="Z25" s="1">
        <v>38.799999999999997</v>
      </c>
      <c r="AA25" s="1">
        <v>13.2</v>
      </c>
      <c r="AB25" s="1">
        <v>47.8</v>
      </c>
      <c r="AC25" s="1">
        <v>38.799999999999997</v>
      </c>
      <c r="AD25" s="1"/>
      <c r="AE25" s="1"/>
      <c r="AF25" s="1"/>
      <c r="AG25" s="1">
        <f t="shared" si="6"/>
        <v>0</v>
      </c>
      <c r="AH25"/>
    </row>
    <row r="26" spans="1:35" x14ac:dyDescent="0.25">
      <c r="A26" s="9" t="s">
        <v>66</v>
      </c>
      <c r="B26" s="9" t="s">
        <v>41</v>
      </c>
      <c r="C26" s="9">
        <v>68</v>
      </c>
      <c r="D26" s="9"/>
      <c r="E26" s="9"/>
      <c r="F26" s="9">
        <v>68</v>
      </c>
      <c r="G26" s="10">
        <v>0</v>
      </c>
      <c r="H26" s="9"/>
      <c r="I26" s="9" t="s">
        <v>67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f t="shared" si="3"/>
        <v>0</v>
      </c>
      <c r="Q26" s="11"/>
      <c r="R26" s="9" t="e">
        <f t="shared" si="4"/>
        <v>#DIV/0!</v>
      </c>
      <c r="S26" s="9" t="e">
        <f t="shared" si="5"/>
        <v>#DIV/0!</v>
      </c>
      <c r="T26" s="9">
        <v>0</v>
      </c>
      <c r="U26" s="9">
        <v>0.4</v>
      </c>
      <c r="V26" s="9">
        <v>0</v>
      </c>
      <c r="W26" s="9">
        <v>0</v>
      </c>
      <c r="X26" s="9">
        <v>0</v>
      </c>
      <c r="Y26" s="9">
        <v>6</v>
      </c>
      <c r="Z26" s="9">
        <v>0</v>
      </c>
      <c r="AA26" s="9">
        <v>4.2</v>
      </c>
      <c r="AB26" s="9">
        <v>0</v>
      </c>
      <c r="AC26" s="9">
        <v>0</v>
      </c>
      <c r="AD26" s="12" t="s">
        <v>68</v>
      </c>
      <c r="AE26" s="12"/>
      <c r="AF26" s="12"/>
      <c r="AG26" s="9"/>
      <c r="AH26"/>
    </row>
    <row r="27" spans="1:35" x14ac:dyDescent="0.25">
      <c r="A27" s="1" t="s">
        <v>69</v>
      </c>
      <c r="B27" s="1" t="s">
        <v>41</v>
      </c>
      <c r="C27" s="1"/>
      <c r="D27" s="1">
        <v>110</v>
      </c>
      <c r="E27" s="1">
        <v>86</v>
      </c>
      <c r="F27" s="1">
        <v>21</v>
      </c>
      <c r="G27" s="7">
        <v>0.09</v>
      </c>
      <c r="H27" s="1">
        <v>45</v>
      </c>
      <c r="I27" s="1" t="s">
        <v>38</v>
      </c>
      <c r="J27" s="1"/>
      <c r="K27" s="1">
        <v>94</v>
      </c>
      <c r="L27" s="1">
        <f t="shared" si="2"/>
        <v>-8</v>
      </c>
      <c r="M27" s="1"/>
      <c r="N27" s="1"/>
      <c r="O27" s="1">
        <v>5</v>
      </c>
      <c r="P27" s="1">
        <f t="shared" si="3"/>
        <v>17.2</v>
      </c>
      <c r="Q27" s="5">
        <f>10*P27-O27-F27</f>
        <v>146</v>
      </c>
      <c r="R27" s="1">
        <f t="shared" si="4"/>
        <v>10</v>
      </c>
      <c r="S27" s="1">
        <f t="shared" si="5"/>
        <v>1.5116279069767442</v>
      </c>
      <c r="T27" s="1">
        <v>9</v>
      </c>
      <c r="U27" s="1">
        <v>12.6</v>
      </c>
      <c r="V27" s="1">
        <v>12.2</v>
      </c>
      <c r="W27" s="1">
        <v>0.8</v>
      </c>
      <c r="X27" s="1">
        <v>1.8</v>
      </c>
      <c r="Y27" s="1">
        <v>14.2</v>
      </c>
      <c r="Z27" s="1">
        <v>7.2</v>
      </c>
      <c r="AA27" s="1">
        <v>6.2</v>
      </c>
      <c r="AB27" s="1">
        <v>11</v>
      </c>
      <c r="AC27" s="1">
        <v>14.8</v>
      </c>
      <c r="AD27" s="1"/>
      <c r="AE27" s="1"/>
      <c r="AF27" s="1"/>
      <c r="AG27" s="1">
        <f>G27*Q27</f>
        <v>13.139999999999999</v>
      </c>
      <c r="AH27"/>
    </row>
    <row r="28" spans="1:35" x14ac:dyDescent="0.25">
      <c r="A28" s="18" t="s">
        <v>70</v>
      </c>
      <c r="B28" s="1" t="s">
        <v>41</v>
      </c>
      <c r="C28" s="1"/>
      <c r="D28" s="1"/>
      <c r="E28" s="1"/>
      <c r="F28" s="1"/>
      <c r="G28" s="7">
        <v>0.15</v>
      </c>
      <c r="H28" s="1">
        <v>45</v>
      </c>
      <c r="I28" s="1" t="s">
        <v>38</v>
      </c>
      <c r="J28" s="1"/>
      <c r="K28" s="1">
        <v>10</v>
      </c>
      <c r="L28" s="1">
        <f t="shared" si="2"/>
        <v>-10</v>
      </c>
      <c r="M28" s="1"/>
      <c r="N28" s="1"/>
      <c r="O28" s="1">
        <v>8</v>
      </c>
      <c r="P28" s="1">
        <f t="shared" si="3"/>
        <v>0</v>
      </c>
      <c r="Q28" s="5">
        <v>16</v>
      </c>
      <c r="R28" s="1" t="e">
        <f t="shared" si="4"/>
        <v>#DIV/0!</v>
      </c>
      <c r="S28" s="1" t="e">
        <f t="shared" si="5"/>
        <v>#DIV/0!</v>
      </c>
      <c r="T28" s="1">
        <v>-0.4</v>
      </c>
      <c r="U28" s="1">
        <v>0</v>
      </c>
      <c r="V28" s="1">
        <v>6.2</v>
      </c>
      <c r="W28" s="1">
        <v>0</v>
      </c>
      <c r="X28" s="1">
        <v>0</v>
      </c>
      <c r="Y28" s="1">
        <v>8</v>
      </c>
      <c r="Z28" s="1">
        <v>2</v>
      </c>
      <c r="AA28" s="1">
        <v>1.8</v>
      </c>
      <c r="AB28" s="1">
        <v>2.2000000000000002</v>
      </c>
      <c r="AC28" s="1">
        <v>6</v>
      </c>
      <c r="AD28" s="1" t="s">
        <v>71</v>
      </c>
      <c r="AE28" s="1"/>
      <c r="AF28" s="1"/>
      <c r="AG28" s="1">
        <f>G28*Q28</f>
        <v>2.4</v>
      </c>
      <c r="AH28"/>
    </row>
    <row r="29" spans="1:35" x14ac:dyDescent="0.25">
      <c r="A29" s="1" t="s">
        <v>72</v>
      </c>
      <c r="B29" s="1" t="s">
        <v>37</v>
      </c>
      <c r="C29" s="1">
        <v>415.16</v>
      </c>
      <c r="D29" s="1">
        <v>410.89299999999997</v>
      </c>
      <c r="E29" s="1">
        <v>287.15300000000002</v>
      </c>
      <c r="F29" s="1">
        <v>538.9</v>
      </c>
      <c r="G29" s="7">
        <v>1</v>
      </c>
      <c r="H29" s="1">
        <v>45</v>
      </c>
      <c r="I29" s="1" t="s">
        <v>38</v>
      </c>
      <c r="J29" s="1"/>
      <c r="K29" s="1">
        <v>290.5</v>
      </c>
      <c r="L29" s="1">
        <f t="shared" si="2"/>
        <v>-3.34699999999998</v>
      </c>
      <c r="M29" s="1"/>
      <c r="N29" s="1"/>
      <c r="O29" s="1">
        <v>350</v>
      </c>
      <c r="P29" s="1">
        <f t="shared" si="3"/>
        <v>57.430600000000005</v>
      </c>
      <c r="Q29" s="5"/>
      <c r="R29" s="1">
        <f t="shared" si="4"/>
        <v>15.477811480290994</v>
      </c>
      <c r="S29" s="1">
        <f t="shared" si="5"/>
        <v>15.477811480290994</v>
      </c>
      <c r="T29" s="1">
        <v>81.890599999999992</v>
      </c>
      <c r="U29" s="1">
        <v>85.432600000000008</v>
      </c>
      <c r="V29" s="1">
        <v>49.553600000000003</v>
      </c>
      <c r="W29" s="1">
        <v>55.760399999999997</v>
      </c>
      <c r="X29" s="1">
        <v>95.490800000000007</v>
      </c>
      <c r="Y29" s="1">
        <v>113.20059999999999</v>
      </c>
      <c r="Z29" s="1">
        <v>18.4908</v>
      </c>
      <c r="AA29" s="1">
        <v>75.172600000000003</v>
      </c>
      <c r="AB29" s="1">
        <v>78.514399999999995</v>
      </c>
      <c r="AC29" s="1">
        <v>67.384799999999998</v>
      </c>
      <c r="AD29" s="1"/>
      <c r="AE29" s="1"/>
      <c r="AF29" s="1"/>
      <c r="AG29" s="1">
        <f>G29*Q29</f>
        <v>0</v>
      </c>
      <c r="AH29"/>
    </row>
    <row r="30" spans="1:35" x14ac:dyDescent="0.25">
      <c r="A30" s="1" t="s">
        <v>73</v>
      </c>
      <c r="B30" s="1" t="s">
        <v>41</v>
      </c>
      <c r="C30" s="1"/>
      <c r="D30" s="1">
        <v>352</v>
      </c>
      <c r="E30" s="1">
        <v>166</v>
      </c>
      <c r="F30" s="1">
        <v>42</v>
      </c>
      <c r="G30" s="7">
        <v>0.4</v>
      </c>
      <c r="H30" s="1">
        <v>60</v>
      </c>
      <c r="I30" s="1" t="s">
        <v>38</v>
      </c>
      <c r="J30" s="1"/>
      <c r="K30" s="1">
        <v>166</v>
      </c>
      <c r="L30" s="1">
        <f t="shared" si="2"/>
        <v>0</v>
      </c>
      <c r="M30" s="1"/>
      <c r="N30" s="1"/>
      <c r="O30" s="1">
        <v>0</v>
      </c>
      <c r="P30" s="1">
        <f t="shared" si="3"/>
        <v>33.200000000000003</v>
      </c>
      <c r="Q30" s="5">
        <f>9*P30-O30-F30</f>
        <v>256.8</v>
      </c>
      <c r="R30" s="1">
        <f t="shared" si="4"/>
        <v>9</v>
      </c>
      <c r="S30" s="1">
        <f t="shared" si="5"/>
        <v>1.2650602409638554</v>
      </c>
      <c r="T30" s="1">
        <v>4.8</v>
      </c>
      <c r="U30" s="1">
        <v>25.8</v>
      </c>
      <c r="V30" s="1">
        <v>35</v>
      </c>
      <c r="W30" s="1">
        <v>3.4</v>
      </c>
      <c r="X30" s="1">
        <v>24</v>
      </c>
      <c r="Y30" s="1">
        <v>24</v>
      </c>
      <c r="Z30" s="1">
        <v>7.4</v>
      </c>
      <c r="AA30" s="1">
        <v>16</v>
      </c>
      <c r="AB30" s="1">
        <v>24.8</v>
      </c>
      <c r="AC30" s="1">
        <v>16.600000000000001</v>
      </c>
      <c r="AD30" s="1"/>
      <c r="AE30" s="1"/>
      <c r="AF30" s="1"/>
      <c r="AG30" s="1">
        <f>G30*Q30</f>
        <v>102.72000000000001</v>
      </c>
      <c r="AH30"/>
    </row>
    <row r="31" spans="1:35" x14ac:dyDescent="0.25">
      <c r="A31" s="1" t="s">
        <v>74</v>
      </c>
      <c r="B31" s="1" t="s">
        <v>41</v>
      </c>
      <c r="C31" s="1">
        <v>144</v>
      </c>
      <c r="D31" s="1">
        <v>801</v>
      </c>
      <c r="E31" s="1">
        <v>222</v>
      </c>
      <c r="F31" s="1">
        <v>402</v>
      </c>
      <c r="G31" s="7">
        <v>0.4</v>
      </c>
      <c r="H31" s="1">
        <v>60</v>
      </c>
      <c r="I31" s="1" t="s">
        <v>38</v>
      </c>
      <c r="J31" s="1"/>
      <c r="K31" s="1">
        <v>232</v>
      </c>
      <c r="L31" s="1">
        <f t="shared" si="2"/>
        <v>-10</v>
      </c>
      <c r="M31" s="1"/>
      <c r="N31" s="1"/>
      <c r="O31" s="1">
        <v>24</v>
      </c>
      <c r="P31" s="1">
        <f t="shared" si="3"/>
        <v>44.4</v>
      </c>
      <c r="Q31" s="5">
        <f t="shared" ref="Q31" si="8">15*P31-O31-F31</f>
        <v>240</v>
      </c>
      <c r="R31" s="1">
        <f t="shared" si="4"/>
        <v>15</v>
      </c>
      <c r="S31" s="1">
        <f t="shared" si="5"/>
        <v>9.5945945945945947</v>
      </c>
      <c r="T31" s="1">
        <v>78</v>
      </c>
      <c r="U31" s="1">
        <v>93.8</v>
      </c>
      <c r="V31" s="1">
        <v>116.6</v>
      </c>
      <c r="W31" s="1">
        <v>78.599999999999994</v>
      </c>
      <c r="X31" s="1">
        <v>127.2</v>
      </c>
      <c r="Y31" s="1">
        <v>120</v>
      </c>
      <c r="Z31" s="1">
        <v>82.4</v>
      </c>
      <c r="AA31" s="1">
        <v>83.8</v>
      </c>
      <c r="AB31" s="1">
        <v>120.6</v>
      </c>
      <c r="AC31" s="1">
        <v>106.6</v>
      </c>
      <c r="AD31" s="1"/>
      <c r="AE31" s="1"/>
      <c r="AF31" s="1"/>
      <c r="AG31" s="1">
        <f>G31*Q31</f>
        <v>96</v>
      </c>
      <c r="AH31"/>
    </row>
    <row r="32" spans="1:35" x14ac:dyDescent="0.25">
      <c r="A32" s="9" t="s">
        <v>75</v>
      </c>
      <c r="B32" s="9" t="s">
        <v>41</v>
      </c>
      <c r="C32" s="9">
        <v>-1</v>
      </c>
      <c r="D32" s="9"/>
      <c r="E32" s="9"/>
      <c r="F32" s="13">
        <v>-1</v>
      </c>
      <c r="G32" s="10">
        <v>0</v>
      </c>
      <c r="H32" s="9"/>
      <c r="I32" s="9" t="s">
        <v>67</v>
      </c>
      <c r="J32" s="9" t="s">
        <v>76</v>
      </c>
      <c r="K32" s="9"/>
      <c r="L32" s="9">
        <f t="shared" si="2"/>
        <v>0</v>
      </c>
      <c r="M32" s="9"/>
      <c r="N32" s="9"/>
      <c r="O32" s="9">
        <v>0</v>
      </c>
      <c r="P32" s="9">
        <f t="shared" si="3"/>
        <v>0</v>
      </c>
      <c r="Q32" s="11"/>
      <c r="R32" s="9" t="e">
        <f t="shared" si="4"/>
        <v>#DIV/0!</v>
      </c>
      <c r="S32" s="9" t="e">
        <f t="shared" si="5"/>
        <v>#DIV/0!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/>
      <c r="AE32" s="9"/>
      <c r="AF32" s="9"/>
      <c r="AG32" s="9"/>
      <c r="AH32"/>
    </row>
    <row r="33" spans="1:35" x14ac:dyDescent="0.25">
      <c r="A33" s="1" t="s">
        <v>77</v>
      </c>
      <c r="B33" s="1" t="s">
        <v>41</v>
      </c>
      <c r="C33" s="1">
        <v>145</v>
      </c>
      <c r="D33" s="1">
        <v>449</v>
      </c>
      <c r="E33" s="1">
        <v>187</v>
      </c>
      <c r="F33" s="1">
        <v>163</v>
      </c>
      <c r="G33" s="7">
        <v>0.4</v>
      </c>
      <c r="H33" s="1">
        <v>60</v>
      </c>
      <c r="I33" s="1" t="s">
        <v>38</v>
      </c>
      <c r="J33" s="1"/>
      <c r="K33" s="1">
        <v>195</v>
      </c>
      <c r="L33" s="1">
        <f t="shared" si="2"/>
        <v>-8</v>
      </c>
      <c r="M33" s="1"/>
      <c r="N33" s="1"/>
      <c r="O33" s="1">
        <v>120</v>
      </c>
      <c r="P33" s="1">
        <f t="shared" si="3"/>
        <v>37.4</v>
      </c>
      <c r="Q33" s="5">
        <f>15*P33-O33-F33</f>
        <v>278</v>
      </c>
      <c r="R33" s="1">
        <f t="shared" si="4"/>
        <v>15</v>
      </c>
      <c r="S33" s="1">
        <f t="shared" si="5"/>
        <v>7.5668449197860967</v>
      </c>
      <c r="T33" s="1">
        <v>61</v>
      </c>
      <c r="U33" s="1">
        <v>68</v>
      </c>
      <c r="V33" s="1">
        <v>92.8</v>
      </c>
      <c r="W33" s="1">
        <v>62</v>
      </c>
      <c r="X33" s="1">
        <v>104.8</v>
      </c>
      <c r="Y33" s="1">
        <v>105.6</v>
      </c>
      <c r="Z33" s="1">
        <v>60</v>
      </c>
      <c r="AA33" s="1">
        <v>94.2</v>
      </c>
      <c r="AB33" s="1">
        <v>83.8</v>
      </c>
      <c r="AC33" s="1">
        <v>105</v>
      </c>
      <c r="AD33" s="1"/>
      <c r="AE33" s="1"/>
      <c r="AF33" s="1"/>
      <c r="AG33" s="1">
        <f>G33*Q33</f>
        <v>111.2</v>
      </c>
      <c r="AH33"/>
    </row>
    <row r="34" spans="1:35" x14ac:dyDescent="0.25">
      <c r="A34" s="9" t="s">
        <v>78</v>
      </c>
      <c r="B34" s="9" t="s">
        <v>41</v>
      </c>
      <c r="C34" s="9">
        <v>2</v>
      </c>
      <c r="D34" s="9"/>
      <c r="E34" s="9"/>
      <c r="F34" s="13">
        <v>2</v>
      </c>
      <c r="G34" s="10">
        <v>0</v>
      </c>
      <c r="H34" s="9">
        <v>60</v>
      </c>
      <c r="I34" s="9" t="s">
        <v>67</v>
      </c>
      <c r="J34" s="9" t="s">
        <v>79</v>
      </c>
      <c r="K34" s="9"/>
      <c r="L34" s="9">
        <f t="shared" si="2"/>
        <v>0</v>
      </c>
      <c r="M34" s="9"/>
      <c r="N34" s="9"/>
      <c r="O34" s="9">
        <v>0</v>
      </c>
      <c r="P34" s="9">
        <f t="shared" si="3"/>
        <v>0</v>
      </c>
      <c r="Q34" s="11"/>
      <c r="R34" s="9" t="e">
        <f t="shared" si="4"/>
        <v>#DIV/0!</v>
      </c>
      <c r="S34" s="9" t="e">
        <f t="shared" si="5"/>
        <v>#DIV/0!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0.2</v>
      </c>
      <c r="AC34" s="9">
        <v>-0.4</v>
      </c>
      <c r="AD34" s="9" t="s">
        <v>80</v>
      </c>
      <c r="AE34" s="9"/>
      <c r="AF34" s="9"/>
      <c r="AG34" s="9"/>
      <c r="AH34"/>
    </row>
    <row r="35" spans="1:35" x14ac:dyDescent="0.25">
      <c r="A35" s="9" t="s">
        <v>81</v>
      </c>
      <c r="B35" s="9" t="s">
        <v>41</v>
      </c>
      <c r="C35" s="9">
        <v>12</v>
      </c>
      <c r="D35" s="9"/>
      <c r="E35" s="9">
        <v>-1</v>
      </c>
      <c r="F35" s="9">
        <v>12</v>
      </c>
      <c r="G35" s="10">
        <v>0</v>
      </c>
      <c r="H35" s="9"/>
      <c r="I35" s="9" t="s">
        <v>67</v>
      </c>
      <c r="J35" s="9"/>
      <c r="K35" s="9">
        <v>27</v>
      </c>
      <c r="L35" s="9">
        <f t="shared" si="2"/>
        <v>-28</v>
      </c>
      <c r="M35" s="9"/>
      <c r="N35" s="9"/>
      <c r="O35" s="9">
        <v>0</v>
      </c>
      <c r="P35" s="9">
        <f t="shared" si="3"/>
        <v>-0.2</v>
      </c>
      <c r="Q35" s="11"/>
      <c r="R35" s="9">
        <f t="shared" si="4"/>
        <v>-60</v>
      </c>
      <c r="S35" s="9">
        <f t="shared" si="5"/>
        <v>-60</v>
      </c>
      <c r="T35" s="9">
        <v>0</v>
      </c>
      <c r="U35" s="9">
        <v>0</v>
      </c>
      <c r="V35" s="9">
        <v>2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/>
      <c r="AE35" s="9"/>
      <c r="AF35" s="9"/>
      <c r="AG35" s="9"/>
      <c r="AH35"/>
    </row>
    <row r="36" spans="1:35" x14ac:dyDescent="0.25">
      <c r="A36" s="1" t="s">
        <v>82</v>
      </c>
      <c r="B36" s="1" t="s">
        <v>41</v>
      </c>
      <c r="C36" s="1">
        <v>18</v>
      </c>
      <c r="D36" s="1">
        <v>114</v>
      </c>
      <c r="E36" s="1">
        <v>5</v>
      </c>
      <c r="F36" s="1">
        <v>119</v>
      </c>
      <c r="G36" s="7">
        <v>0.3</v>
      </c>
      <c r="H36" s="1">
        <v>45</v>
      </c>
      <c r="I36" s="19" t="s">
        <v>167</v>
      </c>
      <c r="J36" s="1"/>
      <c r="K36" s="1">
        <v>18</v>
      </c>
      <c r="L36" s="1">
        <f t="shared" si="2"/>
        <v>-13</v>
      </c>
      <c r="M36" s="1"/>
      <c r="N36" s="1"/>
      <c r="O36" s="1">
        <v>4</v>
      </c>
      <c r="P36" s="1">
        <f t="shared" si="3"/>
        <v>1</v>
      </c>
      <c r="Q36" s="5"/>
      <c r="R36" s="1">
        <f t="shared" si="4"/>
        <v>123</v>
      </c>
      <c r="S36" s="1">
        <f t="shared" si="5"/>
        <v>123</v>
      </c>
      <c r="T36" s="1">
        <v>11.4</v>
      </c>
      <c r="U36" s="1">
        <v>16.2</v>
      </c>
      <c r="V36" s="1">
        <v>15.4</v>
      </c>
      <c r="W36" s="1">
        <v>16.399999999999999</v>
      </c>
      <c r="X36" s="1">
        <v>26</v>
      </c>
      <c r="Y36" s="1">
        <v>22.4</v>
      </c>
      <c r="Z36" s="1">
        <v>25.8</v>
      </c>
      <c r="AA36" s="1">
        <v>11.4</v>
      </c>
      <c r="AB36" s="1">
        <v>21.2</v>
      </c>
      <c r="AC36" s="1">
        <v>45.2</v>
      </c>
      <c r="AD36" s="12" t="s">
        <v>42</v>
      </c>
      <c r="AE36" s="15" t="s">
        <v>162</v>
      </c>
      <c r="AF36" s="1" t="s">
        <v>162</v>
      </c>
      <c r="AG36" s="1">
        <f t="shared" ref="AG36:AG46" si="9">G36*Q36</f>
        <v>0</v>
      </c>
      <c r="AH36" s="20">
        <v>1001092437725</v>
      </c>
      <c r="AI36" t="s">
        <v>176</v>
      </c>
    </row>
    <row r="37" spans="1:35" x14ac:dyDescent="0.25">
      <c r="A37" s="1" t="s">
        <v>83</v>
      </c>
      <c r="B37" s="1" t="s">
        <v>37</v>
      </c>
      <c r="C37" s="1">
        <v>206.21799999999999</v>
      </c>
      <c r="D37" s="1">
        <v>10.099</v>
      </c>
      <c r="E37" s="1">
        <v>35.475999999999999</v>
      </c>
      <c r="F37" s="1">
        <v>-12.266999999999999</v>
      </c>
      <c r="G37" s="7">
        <v>1</v>
      </c>
      <c r="H37" s="1">
        <v>60</v>
      </c>
      <c r="I37" s="1" t="s">
        <v>38</v>
      </c>
      <c r="J37" s="1"/>
      <c r="K37" s="1">
        <v>38.700000000000003</v>
      </c>
      <c r="L37" s="1">
        <f t="shared" si="2"/>
        <v>-3.2240000000000038</v>
      </c>
      <c r="M37" s="1"/>
      <c r="N37" s="1"/>
      <c r="O37" s="1">
        <v>0</v>
      </c>
      <c r="P37" s="1">
        <f t="shared" si="3"/>
        <v>7.0952000000000002</v>
      </c>
      <c r="Q37" s="5">
        <v>50</v>
      </c>
      <c r="R37" s="1">
        <f t="shared" si="4"/>
        <v>5.318102379073177</v>
      </c>
      <c r="S37" s="1">
        <f t="shared" si="5"/>
        <v>-1.7289153230352914</v>
      </c>
      <c r="T37" s="1">
        <v>27.912800000000001</v>
      </c>
      <c r="U37" s="1">
        <v>17.353999999999999</v>
      </c>
      <c r="V37" s="1">
        <v>14.4514</v>
      </c>
      <c r="W37" s="1">
        <v>46.306199999999997</v>
      </c>
      <c r="X37" s="1">
        <v>46.882800000000003</v>
      </c>
      <c r="Y37" s="1">
        <v>45.837400000000002</v>
      </c>
      <c r="Z37" s="1">
        <v>32.807000000000002</v>
      </c>
      <c r="AA37" s="1">
        <v>36.681600000000003</v>
      </c>
      <c r="AB37" s="1">
        <v>46.652000000000001</v>
      </c>
      <c r="AC37" s="1">
        <v>53.252200000000002</v>
      </c>
      <c r="AD37" s="15" t="s">
        <v>174</v>
      </c>
      <c r="AE37" s="1"/>
      <c r="AF37" s="1"/>
      <c r="AG37" s="1">
        <f t="shared" si="9"/>
        <v>50</v>
      </c>
      <c r="AH37"/>
    </row>
    <row r="38" spans="1:35" x14ac:dyDescent="0.25">
      <c r="A38" s="1" t="s">
        <v>84</v>
      </c>
      <c r="B38" s="1" t="s">
        <v>37</v>
      </c>
      <c r="C38" s="1">
        <v>29.452000000000002</v>
      </c>
      <c r="D38" s="1">
        <v>167.19900000000001</v>
      </c>
      <c r="E38" s="1">
        <v>56.625999999999998</v>
      </c>
      <c r="F38" s="1">
        <v>124.054</v>
      </c>
      <c r="G38" s="7">
        <v>1</v>
      </c>
      <c r="H38" s="1">
        <v>45</v>
      </c>
      <c r="I38" s="1" t="s">
        <v>38</v>
      </c>
      <c r="J38" s="1"/>
      <c r="K38" s="1">
        <v>54.1</v>
      </c>
      <c r="L38" s="1">
        <f t="shared" ref="L38:L69" si="10">E38-K38</f>
        <v>2.5259999999999962</v>
      </c>
      <c r="M38" s="1"/>
      <c r="N38" s="1"/>
      <c r="O38" s="1">
        <v>150</v>
      </c>
      <c r="P38" s="1">
        <f t="shared" ref="P38:P69" si="11">E38/5</f>
        <v>11.325199999999999</v>
      </c>
      <c r="Q38" s="5"/>
      <c r="R38" s="1">
        <f t="shared" ref="R38:R69" si="12">(F38+O38+Q38)/P38</f>
        <v>24.198601349203546</v>
      </c>
      <c r="S38" s="1">
        <f t="shared" ref="S38:S69" si="13">(F38+O38)/P38</f>
        <v>24.198601349203546</v>
      </c>
      <c r="T38" s="1">
        <v>17.608000000000001</v>
      </c>
      <c r="U38" s="1">
        <v>5.7988</v>
      </c>
      <c r="V38" s="1">
        <v>18.465599999999998</v>
      </c>
      <c r="W38" s="1">
        <v>17.502400000000002</v>
      </c>
      <c r="X38" s="1">
        <v>10.848800000000001</v>
      </c>
      <c r="Y38" s="1">
        <v>17.9328</v>
      </c>
      <c r="Z38" s="1">
        <v>15.6494</v>
      </c>
      <c r="AA38" s="1">
        <v>12.670999999999999</v>
      </c>
      <c r="AB38" s="1">
        <v>16.613800000000001</v>
      </c>
      <c r="AC38" s="1">
        <v>17.702400000000001</v>
      </c>
      <c r="AD38" s="17" t="s">
        <v>48</v>
      </c>
      <c r="AE38" s="1"/>
      <c r="AF38" s="1"/>
      <c r="AG38" s="1">
        <f t="shared" si="9"/>
        <v>0</v>
      </c>
      <c r="AH38"/>
    </row>
    <row r="39" spans="1:35" x14ac:dyDescent="0.25">
      <c r="A39" s="1" t="s">
        <v>85</v>
      </c>
      <c r="B39" s="1" t="s">
        <v>37</v>
      </c>
      <c r="C39" s="1">
        <v>45.564</v>
      </c>
      <c r="D39" s="1">
        <v>352.738</v>
      </c>
      <c r="E39" s="1">
        <v>36.350999999999999</v>
      </c>
      <c r="F39" s="1">
        <v>359.73899999999998</v>
      </c>
      <c r="G39" s="7">
        <v>1</v>
      </c>
      <c r="H39" s="1">
        <v>45</v>
      </c>
      <c r="I39" s="1" t="s">
        <v>38</v>
      </c>
      <c r="J39" s="1"/>
      <c r="K39" s="1">
        <v>36</v>
      </c>
      <c r="L39" s="1">
        <f t="shared" si="10"/>
        <v>0.35099999999999909</v>
      </c>
      <c r="M39" s="1"/>
      <c r="N39" s="1"/>
      <c r="O39" s="1">
        <v>0</v>
      </c>
      <c r="P39" s="1">
        <f t="shared" si="11"/>
        <v>7.2702</v>
      </c>
      <c r="Q39" s="5"/>
      <c r="R39" s="1">
        <f t="shared" si="12"/>
        <v>49.481307254270853</v>
      </c>
      <c r="S39" s="1">
        <f t="shared" si="13"/>
        <v>49.481307254270853</v>
      </c>
      <c r="T39" s="1">
        <v>13.048999999999999</v>
      </c>
      <c r="U39" s="1">
        <v>17.644400000000001</v>
      </c>
      <c r="V39" s="1">
        <v>21.256599999999999</v>
      </c>
      <c r="W39" s="1">
        <v>2.8117999999999999</v>
      </c>
      <c r="X39" s="1">
        <v>24.3322</v>
      </c>
      <c r="Y39" s="1">
        <v>18.131399999999999</v>
      </c>
      <c r="Z39" s="1">
        <v>12.0776</v>
      </c>
      <c r="AA39" s="1">
        <v>13.896599999999999</v>
      </c>
      <c r="AB39" s="1">
        <v>19.759399999999999</v>
      </c>
      <c r="AC39" s="1">
        <v>14.8596</v>
      </c>
      <c r="AD39" s="12" t="s">
        <v>42</v>
      </c>
      <c r="AE39" s="1"/>
      <c r="AF39" s="1"/>
      <c r="AG39" s="1">
        <f t="shared" si="9"/>
        <v>0</v>
      </c>
      <c r="AH39"/>
    </row>
    <row r="40" spans="1:35" x14ac:dyDescent="0.25">
      <c r="A40" s="1" t="s">
        <v>86</v>
      </c>
      <c r="B40" s="1" t="s">
        <v>37</v>
      </c>
      <c r="C40" s="1">
        <v>12.492000000000001</v>
      </c>
      <c r="D40" s="1">
        <v>97.956000000000003</v>
      </c>
      <c r="E40" s="1">
        <v>47.186</v>
      </c>
      <c r="F40" s="1">
        <v>55.167000000000002</v>
      </c>
      <c r="G40" s="7">
        <v>1</v>
      </c>
      <c r="H40" s="1">
        <v>45</v>
      </c>
      <c r="I40" s="1" t="s">
        <v>38</v>
      </c>
      <c r="J40" s="1"/>
      <c r="K40" s="1">
        <v>47</v>
      </c>
      <c r="L40" s="1">
        <f t="shared" si="10"/>
        <v>0.18599999999999994</v>
      </c>
      <c r="M40" s="1"/>
      <c r="N40" s="1"/>
      <c r="O40" s="1">
        <v>4</v>
      </c>
      <c r="P40" s="1">
        <f t="shared" si="11"/>
        <v>9.4372000000000007</v>
      </c>
      <c r="Q40" s="5">
        <f>14*P40-O40-F40</f>
        <v>72.953800000000001</v>
      </c>
      <c r="R40" s="1">
        <f t="shared" si="12"/>
        <v>14</v>
      </c>
      <c r="S40" s="1">
        <f t="shared" si="13"/>
        <v>6.269550290340355</v>
      </c>
      <c r="T40" s="1">
        <v>7.6054000000000004</v>
      </c>
      <c r="U40" s="1">
        <v>11.007199999999999</v>
      </c>
      <c r="V40" s="1">
        <v>11.5886</v>
      </c>
      <c r="W40" s="1">
        <v>6.1677999999999997</v>
      </c>
      <c r="X40" s="1">
        <v>9.9160000000000004</v>
      </c>
      <c r="Y40" s="1">
        <v>15.056800000000001</v>
      </c>
      <c r="Z40" s="1">
        <v>10.8932</v>
      </c>
      <c r="AA40" s="1">
        <v>5.9122000000000003</v>
      </c>
      <c r="AB40" s="1">
        <v>11.0404</v>
      </c>
      <c r="AC40" s="1">
        <v>17.397600000000001</v>
      </c>
      <c r="AD40" s="1"/>
      <c r="AE40" s="1"/>
      <c r="AF40" s="1"/>
      <c r="AG40" s="1">
        <f t="shared" si="9"/>
        <v>72.953800000000001</v>
      </c>
      <c r="AH40"/>
    </row>
    <row r="41" spans="1:35" x14ac:dyDescent="0.25">
      <c r="A41" s="1" t="s">
        <v>87</v>
      </c>
      <c r="B41" s="1" t="s">
        <v>41</v>
      </c>
      <c r="C41" s="1"/>
      <c r="D41" s="1">
        <v>966</v>
      </c>
      <c r="E41" s="1">
        <v>282</v>
      </c>
      <c r="F41" s="1">
        <v>511</v>
      </c>
      <c r="G41" s="7">
        <v>0.3</v>
      </c>
      <c r="H41" s="1">
        <v>45</v>
      </c>
      <c r="I41" s="1" t="s">
        <v>38</v>
      </c>
      <c r="J41" s="1"/>
      <c r="K41" s="1">
        <v>300</v>
      </c>
      <c r="L41" s="1">
        <f t="shared" si="10"/>
        <v>-18</v>
      </c>
      <c r="M41" s="1"/>
      <c r="N41" s="1"/>
      <c r="O41" s="1">
        <v>0</v>
      </c>
      <c r="P41" s="1">
        <f t="shared" si="11"/>
        <v>56.4</v>
      </c>
      <c r="Q41" s="5">
        <f t="shared" ref="Q41:Q46" si="14">15*P41-O41-F41</f>
        <v>335</v>
      </c>
      <c r="R41" s="1">
        <f t="shared" si="12"/>
        <v>15</v>
      </c>
      <c r="S41" s="1">
        <f t="shared" si="13"/>
        <v>9.0602836879432633</v>
      </c>
      <c r="T41" s="1">
        <v>46.4</v>
      </c>
      <c r="U41" s="1">
        <v>37.200000000000003</v>
      </c>
      <c r="V41" s="1">
        <v>118.8</v>
      </c>
      <c r="W41" s="1">
        <v>1.6</v>
      </c>
      <c r="X41" s="1">
        <v>52.2</v>
      </c>
      <c r="Y41" s="1">
        <v>85.8</v>
      </c>
      <c r="Z41" s="1">
        <v>35.799999999999997</v>
      </c>
      <c r="AA41" s="1">
        <v>58.4</v>
      </c>
      <c r="AB41" s="1">
        <v>64.8</v>
      </c>
      <c r="AC41" s="1">
        <v>52.8</v>
      </c>
      <c r="AD41" s="1"/>
      <c r="AE41" s="1"/>
      <c r="AF41" s="1"/>
      <c r="AG41" s="1">
        <f t="shared" si="9"/>
        <v>100.5</v>
      </c>
      <c r="AH41"/>
    </row>
    <row r="42" spans="1:35" x14ac:dyDescent="0.25">
      <c r="A42" s="1" t="s">
        <v>88</v>
      </c>
      <c r="B42" s="1" t="s">
        <v>37</v>
      </c>
      <c r="C42" s="1"/>
      <c r="D42" s="1">
        <v>132.44999999999999</v>
      </c>
      <c r="E42" s="1">
        <v>107.504</v>
      </c>
      <c r="F42" s="1">
        <v>24.526</v>
      </c>
      <c r="G42" s="7">
        <v>1</v>
      </c>
      <c r="H42" s="1"/>
      <c r="I42" s="1" t="s">
        <v>38</v>
      </c>
      <c r="J42" s="1"/>
      <c r="K42" s="1">
        <v>100.998</v>
      </c>
      <c r="L42" s="1">
        <f t="shared" si="10"/>
        <v>6.5060000000000002</v>
      </c>
      <c r="M42" s="1"/>
      <c r="N42" s="1"/>
      <c r="O42" s="1">
        <v>15</v>
      </c>
      <c r="P42" s="1">
        <f t="shared" si="11"/>
        <v>21.500800000000002</v>
      </c>
      <c r="Q42" s="5">
        <f>10*P42-O42-F42</f>
        <v>175.482</v>
      </c>
      <c r="R42" s="1">
        <f t="shared" si="12"/>
        <v>9.9999999999999982</v>
      </c>
      <c r="S42" s="1">
        <f t="shared" si="13"/>
        <v>1.8383502009227561</v>
      </c>
      <c r="T42" s="1">
        <v>9.0207999999999995</v>
      </c>
      <c r="U42" s="1">
        <v>2.5748000000000002</v>
      </c>
      <c r="V42" s="1">
        <v>10.1496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 t="s">
        <v>89</v>
      </c>
      <c r="AE42" s="1"/>
      <c r="AF42" s="1"/>
      <c r="AG42" s="1">
        <f t="shared" si="9"/>
        <v>175.482</v>
      </c>
      <c r="AH42"/>
    </row>
    <row r="43" spans="1:35" x14ac:dyDescent="0.25">
      <c r="A43" s="1" t="s">
        <v>90</v>
      </c>
      <c r="B43" s="1" t="s">
        <v>37</v>
      </c>
      <c r="C43" s="1">
        <v>37.223999999999997</v>
      </c>
      <c r="D43" s="1">
        <v>131.37100000000001</v>
      </c>
      <c r="E43" s="1">
        <v>29.533000000000001</v>
      </c>
      <c r="F43" s="1">
        <v>-39.798000000000002</v>
      </c>
      <c r="G43" s="7">
        <v>1</v>
      </c>
      <c r="H43" s="1">
        <v>45</v>
      </c>
      <c r="I43" s="1" t="s">
        <v>38</v>
      </c>
      <c r="J43" s="1"/>
      <c r="K43" s="1">
        <v>28.5</v>
      </c>
      <c r="L43" s="1">
        <f t="shared" si="10"/>
        <v>1.0330000000000013</v>
      </c>
      <c r="M43" s="1"/>
      <c r="N43" s="1"/>
      <c r="O43" s="1">
        <v>0</v>
      </c>
      <c r="P43" s="1">
        <f t="shared" si="11"/>
        <v>5.9066000000000001</v>
      </c>
      <c r="Q43" s="5">
        <v>40</v>
      </c>
      <c r="R43" s="1">
        <f t="shared" si="12"/>
        <v>3.4199031591778381E-2</v>
      </c>
      <c r="S43" s="1">
        <f t="shared" si="13"/>
        <v>-6.737886432126774</v>
      </c>
      <c r="T43" s="1">
        <v>10.6128</v>
      </c>
      <c r="U43" s="1">
        <v>16.558199999999999</v>
      </c>
      <c r="V43" s="1">
        <v>4.0780000000000003</v>
      </c>
      <c r="W43" s="1">
        <v>8.1170000000000009</v>
      </c>
      <c r="X43" s="1">
        <v>16.876200000000001</v>
      </c>
      <c r="Y43" s="1">
        <v>10.6318</v>
      </c>
      <c r="Z43" s="1">
        <v>4.3406000000000002</v>
      </c>
      <c r="AA43" s="1">
        <v>15.939</v>
      </c>
      <c r="AB43" s="1">
        <v>6.1928000000000001</v>
      </c>
      <c r="AC43" s="1">
        <v>6.7195999999999998</v>
      </c>
      <c r="AD43" s="1"/>
      <c r="AE43" s="1"/>
      <c r="AF43" s="1"/>
      <c r="AG43" s="1">
        <f t="shared" si="9"/>
        <v>40</v>
      </c>
      <c r="AH43"/>
    </row>
    <row r="44" spans="1:35" x14ac:dyDescent="0.25">
      <c r="A44" s="1" t="s">
        <v>91</v>
      </c>
      <c r="B44" s="1" t="s">
        <v>41</v>
      </c>
      <c r="C44" s="1">
        <v>41</v>
      </c>
      <c r="D44" s="1">
        <v>1407</v>
      </c>
      <c r="E44" s="1">
        <v>353</v>
      </c>
      <c r="F44" s="1">
        <v>453</v>
      </c>
      <c r="G44" s="7">
        <v>0.35</v>
      </c>
      <c r="H44" s="1">
        <v>45</v>
      </c>
      <c r="I44" s="1" t="s">
        <v>38</v>
      </c>
      <c r="J44" s="1"/>
      <c r="K44" s="1">
        <v>353</v>
      </c>
      <c r="L44" s="1">
        <f t="shared" si="10"/>
        <v>0</v>
      </c>
      <c r="M44" s="1"/>
      <c r="N44" s="1"/>
      <c r="O44" s="1">
        <v>61</v>
      </c>
      <c r="P44" s="1">
        <f t="shared" si="11"/>
        <v>70.599999999999994</v>
      </c>
      <c r="Q44" s="5">
        <f t="shared" si="14"/>
        <v>545</v>
      </c>
      <c r="R44" s="1">
        <f t="shared" si="12"/>
        <v>15.000000000000002</v>
      </c>
      <c r="S44" s="1">
        <f t="shared" si="13"/>
        <v>7.2804532577903691</v>
      </c>
      <c r="T44" s="1">
        <v>112.6</v>
      </c>
      <c r="U44" s="1">
        <v>134</v>
      </c>
      <c r="V44" s="1">
        <v>176</v>
      </c>
      <c r="W44" s="1">
        <v>82.6</v>
      </c>
      <c r="X44" s="1">
        <v>158.6</v>
      </c>
      <c r="Y44" s="1">
        <v>169.2</v>
      </c>
      <c r="Z44" s="1">
        <v>109.4</v>
      </c>
      <c r="AA44" s="1">
        <v>94.4</v>
      </c>
      <c r="AB44" s="1">
        <v>139</v>
      </c>
      <c r="AC44" s="1">
        <v>135.4</v>
      </c>
      <c r="AD44" s="1"/>
      <c r="AE44" s="1"/>
      <c r="AF44" s="1"/>
      <c r="AG44" s="1">
        <f t="shared" si="9"/>
        <v>190.75</v>
      </c>
      <c r="AH44"/>
    </row>
    <row r="45" spans="1:35" x14ac:dyDescent="0.25">
      <c r="A45" s="1" t="s">
        <v>92</v>
      </c>
      <c r="B45" s="1" t="s">
        <v>41</v>
      </c>
      <c r="C45" s="1"/>
      <c r="D45" s="1">
        <v>40</v>
      </c>
      <c r="E45" s="1">
        <v>30</v>
      </c>
      <c r="F45" s="1">
        <v>-2</v>
      </c>
      <c r="G45" s="7">
        <v>0.41</v>
      </c>
      <c r="H45" s="1">
        <v>45</v>
      </c>
      <c r="I45" s="19" t="s">
        <v>168</v>
      </c>
      <c r="J45" s="1"/>
      <c r="K45" s="1">
        <v>129</v>
      </c>
      <c r="L45" s="1">
        <f t="shared" si="10"/>
        <v>-99</v>
      </c>
      <c r="M45" s="1"/>
      <c r="N45" s="1"/>
      <c r="O45" s="1">
        <v>0</v>
      </c>
      <c r="P45" s="1">
        <f t="shared" si="11"/>
        <v>6</v>
      </c>
      <c r="Q45" s="5">
        <v>120</v>
      </c>
      <c r="R45" s="1">
        <f t="shared" si="12"/>
        <v>19.666666666666668</v>
      </c>
      <c r="S45" s="1">
        <f t="shared" si="13"/>
        <v>-0.33333333333333331</v>
      </c>
      <c r="T45" s="1">
        <v>-0.2</v>
      </c>
      <c r="U45" s="1">
        <v>6</v>
      </c>
      <c r="V45" s="1">
        <v>80</v>
      </c>
      <c r="W45" s="1">
        <v>-2.6</v>
      </c>
      <c r="X45" s="1">
        <v>-2.8</v>
      </c>
      <c r="Y45" s="1">
        <v>46.8</v>
      </c>
      <c r="Z45" s="1">
        <v>39</v>
      </c>
      <c r="AA45" s="1">
        <v>41</v>
      </c>
      <c r="AB45" s="1">
        <v>31</v>
      </c>
      <c r="AC45" s="1">
        <v>61.6</v>
      </c>
      <c r="AD45" s="1" t="s">
        <v>93</v>
      </c>
      <c r="AE45" s="15" t="s">
        <v>163</v>
      </c>
      <c r="AF45" s="1" t="s">
        <v>163</v>
      </c>
      <c r="AG45" s="1">
        <f t="shared" si="9"/>
        <v>49.199999999999996</v>
      </c>
      <c r="AH45" s="20">
        <v>1001027417490</v>
      </c>
      <c r="AI45" t="s">
        <v>177</v>
      </c>
    </row>
    <row r="46" spans="1:35" x14ac:dyDescent="0.25">
      <c r="A46" s="1" t="s">
        <v>94</v>
      </c>
      <c r="B46" s="1" t="s">
        <v>41</v>
      </c>
      <c r="C46" s="1">
        <v>133</v>
      </c>
      <c r="D46" s="1">
        <v>202</v>
      </c>
      <c r="E46" s="1">
        <v>143</v>
      </c>
      <c r="F46" s="1">
        <v>191</v>
      </c>
      <c r="G46" s="7">
        <v>0.41</v>
      </c>
      <c r="H46" s="1">
        <v>45</v>
      </c>
      <c r="I46" s="1" t="s">
        <v>38</v>
      </c>
      <c r="J46" s="1"/>
      <c r="K46" s="1">
        <v>147</v>
      </c>
      <c r="L46" s="1">
        <f t="shared" si="10"/>
        <v>-4</v>
      </c>
      <c r="M46" s="1"/>
      <c r="N46" s="1"/>
      <c r="O46" s="1">
        <v>113</v>
      </c>
      <c r="P46" s="1">
        <f t="shared" si="11"/>
        <v>28.6</v>
      </c>
      <c r="Q46" s="5">
        <f t="shared" si="14"/>
        <v>125</v>
      </c>
      <c r="R46" s="1">
        <f t="shared" si="12"/>
        <v>15</v>
      </c>
      <c r="S46" s="1">
        <f t="shared" si="13"/>
        <v>10.629370629370628</v>
      </c>
      <c r="T46" s="1">
        <v>46.4</v>
      </c>
      <c r="U46" s="1">
        <v>48.6</v>
      </c>
      <c r="V46" s="1">
        <v>58.2</v>
      </c>
      <c r="W46" s="1">
        <v>52.4</v>
      </c>
      <c r="X46" s="1">
        <v>16.600000000000001</v>
      </c>
      <c r="Y46" s="1">
        <v>57.6</v>
      </c>
      <c r="Z46" s="1">
        <v>35.6</v>
      </c>
      <c r="AA46" s="1">
        <v>12.4</v>
      </c>
      <c r="AB46" s="1">
        <v>28</v>
      </c>
      <c r="AC46" s="1">
        <v>35</v>
      </c>
      <c r="AD46" s="1"/>
      <c r="AE46" s="1"/>
      <c r="AF46" s="1"/>
      <c r="AG46" s="1">
        <f t="shared" si="9"/>
        <v>51.25</v>
      </c>
      <c r="AH46"/>
    </row>
    <row r="47" spans="1:35" x14ac:dyDescent="0.25">
      <c r="A47" s="9" t="s">
        <v>95</v>
      </c>
      <c r="B47" s="9" t="s">
        <v>37</v>
      </c>
      <c r="C47" s="9">
        <v>16.449000000000002</v>
      </c>
      <c r="D47" s="9"/>
      <c r="E47" s="9"/>
      <c r="F47" s="9">
        <v>16.449000000000002</v>
      </c>
      <c r="G47" s="10">
        <v>0</v>
      </c>
      <c r="H47" s="9">
        <v>30</v>
      </c>
      <c r="I47" s="9" t="s">
        <v>67</v>
      </c>
      <c r="J47" s="9"/>
      <c r="K47" s="9"/>
      <c r="L47" s="9">
        <f t="shared" si="10"/>
        <v>0</v>
      </c>
      <c r="M47" s="9"/>
      <c r="N47" s="9"/>
      <c r="O47" s="9">
        <v>0</v>
      </c>
      <c r="P47" s="9">
        <f t="shared" si="11"/>
        <v>0</v>
      </c>
      <c r="Q47" s="11"/>
      <c r="R47" s="9" t="e">
        <f t="shared" si="12"/>
        <v>#DIV/0!</v>
      </c>
      <c r="S47" s="9" t="e">
        <f t="shared" si="13"/>
        <v>#DIV/0!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 t="s">
        <v>42</v>
      </c>
      <c r="AE47" s="9"/>
      <c r="AF47" s="9"/>
      <c r="AG47" s="9"/>
      <c r="AH47"/>
    </row>
    <row r="48" spans="1:35" x14ac:dyDescent="0.25">
      <c r="A48" s="1" t="s">
        <v>96</v>
      </c>
      <c r="B48" s="1" t="s">
        <v>41</v>
      </c>
      <c r="C48" s="1"/>
      <c r="D48" s="1">
        <v>114</v>
      </c>
      <c r="E48" s="1">
        <v>51</v>
      </c>
      <c r="F48" s="1">
        <v>44</v>
      </c>
      <c r="G48" s="7">
        <v>0.36</v>
      </c>
      <c r="H48" s="1">
        <v>45</v>
      </c>
      <c r="I48" s="1" t="s">
        <v>38</v>
      </c>
      <c r="J48" s="1"/>
      <c r="K48" s="1">
        <v>54</v>
      </c>
      <c r="L48" s="1">
        <f t="shared" si="10"/>
        <v>-3</v>
      </c>
      <c r="M48" s="1"/>
      <c r="N48" s="1"/>
      <c r="O48" s="1">
        <v>12</v>
      </c>
      <c r="P48" s="1">
        <f t="shared" si="11"/>
        <v>10.199999999999999</v>
      </c>
      <c r="Q48" s="5">
        <f>13*P48-O48-F48</f>
        <v>76.599999999999994</v>
      </c>
      <c r="R48" s="1">
        <f t="shared" si="12"/>
        <v>13</v>
      </c>
      <c r="S48" s="1">
        <f t="shared" si="13"/>
        <v>5.4901960784313726</v>
      </c>
      <c r="T48" s="1">
        <v>8.6</v>
      </c>
      <c r="U48" s="1">
        <v>2.2000000000000002</v>
      </c>
      <c r="V48" s="1">
        <v>12</v>
      </c>
      <c r="W48" s="1">
        <v>0.2</v>
      </c>
      <c r="X48" s="1">
        <v>6.8</v>
      </c>
      <c r="Y48" s="1">
        <v>0</v>
      </c>
      <c r="Z48" s="1">
        <v>0</v>
      </c>
      <c r="AA48" s="1">
        <v>-0.4</v>
      </c>
      <c r="AB48" s="1">
        <v>0</v>
      </c>
      <c r="AC48" s="1">
        <v>-0.8</v>
      </c>
      <c r="AD48" s="1" t="s">
        <v>97</v>
      </c>
      <c r="AE48" s="1"/>
      <c r="AF48" s="1"/>
      <c r="AG48" s="1">
        <f t="shared" ref="AG48:AG53" si="15">G48*Q48</f>
        <v>27.575999999999997</v>
      </c>
      <c r="AH48"/>
    </row>
    <row r="49" spans="1:33" customFormat="1" x14ac:dyDescent="0.25">
      <c r="A49" s="1" t="s">
        <v>98</v>
      </c>
      <c r="B49" s="1" t="s">
        <v>41</v>
      </c>
      <c r="C49" s="1">
        <v>147</v>
      </c>
      <c r="D49" s="1">
        <v>208</v>
      </c>
      <c r="E49" s="1">
        <v>53</v>
      </c>
      <c r="F49" s="1">
        <v>254</v>
      </c>
      <c r="G49" s="7">
        <v>0.33</v>
      </c>
      <c r="H49" s="1">
        <v>45</v>
      </c>
      <c r="I49" s="1" t="s">
        <v>38</v>
      </c>
      <c r="J49" s="1"/>
      <c r="K49" s="1">
        <v>53</v>
      </c>
      <c r="L49" s="1">
        <f t="shared" si="10"/>
        <v>0</v>
      </c>
      <c r="M49" s="1"/>
      <c r="N49" s="1"/>
      <c r="O49" s="1">
        <v>0</v>
      </c>
      <c r="P49" s="1">
        <f t="shared" si="11"/>
        <v>10.6</v>
      </c>
      <c r="Q49" s="5"/>
      <c r="R49" s="1">
        <f t="shared" si="12"/>
        <v>23.962264150943398</v>
      </c>
      <c r="S49" s="1">
        <f t="shared" si="13"/>
        <v>23.962264150943398</v>
      </c>
      <c r="T49" s="1">
        <v>21</v>
      </c>
      <c r="U49" s="1">
        <v>6</v>
      </c>
      <c r="V49" s="1">
        <v>27.2</v>
      </c>
      <c r="W49" s="1">
        <v>17.600000000000001</v>
      </c>
      <c r="X49" s="1">
        <v>5.2</v>
      </c>
      <c r="Y49" s="1">
        <v>20.2</v>
      </c>
      <c r="Z49" s="1">
        <v>12.8</v>
      </c>
      <c r="AA49" s="1">
        <v>2.2000000000000002</v>
      </c>
      <c r="AB49" s="1">
        <v>11.4</v>
      </c>
      <c r="AC49" s="1">
        <v>17</v>
      </c>
      <c r="AD49" s="17" t="s">
        <v>171</v>
      </c>
      <c r="AE49" s="1"/>
      <c r="AF49" s="1"/>
      <c r="AG49" s="1">
        <f t="shared" si="15"/>
        <v>0</v>
      </c>
    </row>
    <row r="50" spans="1:33" customFormat="1" x14ac:dyDescent="0.25">
      <c r="A50" s="1" t="s">
        <v>99</v>
      </c>
      <c r="B50" s="1" t="s">
        <v>41</v>
      </c>
      <c r="C50" s="1">
        <v>1</v>
      </c>
      <c r="D50" s="1">
        <v>412</v>
      </c>
      <c r="E50" s="1">
        <v>74</v>
      </c>
      <c r="F50" s="1">
        <v>179</v>
      </c>
      <c r="G50" s="7">
        <v>0.4</v>
      </c>
      <c r="H50" s="1">
        <v>60</v>
      </c>
      <c r="I50" s="1" t="s">
        <v>38</v>
      </c>
      <c r="J50" s="1"/>
      <c r="K50" s="1">
        <v>84</v>
      </c>
      <c r="L50" s="1">
        <f t="shared" si="10"/>
        <v>-10</v>
      </c>
      <c r="M50" s="1"/>
      <c r="N50" s="1"/>
      <c r="O50" s="1">
        <v>0</v>
      </c>
      <c r="P50" s="1">
        <f t="shared" si="11"/>
        <v>14.8</v>
      </c>
      <c r="Q50" s="5">
        <f t="shared" ref="Q50" si="16">15*P50-O50-F50</f>
        <v>43</v>
      </c>
      <c r="R50" s="1">
        <f t="shared" si="12"/>
        <v>15</v>
      </c>
      <c r="S50" s="1">
        <f t="shared" si="13"/>
        <v>12.094594594594595</v>
      </c>
      <c r="T50" s="1">
        <v>24.6</v>
      </c>
      <c r="U50" s="1">
        <v>36.4</v>
      </c>
      <c r="V50" s="1">
        <v>45</v>
      </c>
      <c r="W50" s="1">
        <v>9</v>
      </c>
      <c r="X50" s="1">
        <v>38</v>
      </c>
      <c r="Y50" s="1">
        <v>38.4</v>
      </c>
      <c r="Z50" s="1">
        <v>27</v>
      </c>
      <c r="AA50" s="1">
        <v>20.8</v>
      </c>
      <c r="AB50" s="1">
        <v>30.2</v>
      </c>
      <c r="AC50" s="1">
        <v>34.6</v>
      </c>
      <c r="AD50" s="1"/>
      <c r="AE50" s="1"/>
      <c r="AF50" s="1"/>
      <c r="AG50" s="1">
        <f t="shared" si="15"/>
        <v>17.2</v>
      </c>
    </row>
    <row r="51" spans="1:33" customFormat="1" x14ac:dyDescent="0.25">
      <c r="A51" s="1" t="s">
        <v>100</v>
      </c>
      <c r="B51" s="1" t="s">
        <v>41</v>
      </c>
      <c r="C51" s="1"/>
      <c r="D51" s="1">
        <v>8</v>
      </c>
      <c r="E51" s="1">
        <v>7</v>
      </c>
      <c r="F51" s="1"/>
      <c r="G51" s="7">
        <v>0.33</v>
      </c>
      <c r="H51" s="1">
        <v>45</v>
      </c>
      <c r="I51" s="1" t="s">
        <v>38</v>
      </c>
      <c r="J51" s="1"/>
      <c r="K51" s="1">
        <v>26</v>
      </c>
      <c r="L51" s="1">
        <f t="shared" si="10"/>
        <v>-19</v>
      </c>
      <c r="M51" s="1"/>
      <c r="N51" s="1"/>
      <c r="O51" s="1">
        <v>8</v>
      </c>
      <c r="P51" s="1">
        <f t="shared" si="11"/>
        <v>1.4</v>
      </c>
      <c r="Q51" s="5">
        <f>14*P51-O51-F51</f>
        <v>11.599999999999998</v>
      </c>
      <c r="R51" s="1">
        <f t="shared" si="12"/>
        <v>14</v>
      </c>
      <c r="S51" s="1">
        <f t="shared" si="13"/>
        <v>5.7142857142857144</v>
      </c>
      <c r="T51" s="1">
        <v>1.6</v>
      </c>
      <c r="U51" s="1">
        <v>2.2000000000000002</v>
      </c>
      <c r="V51" s="1">
        <v>2.6</v>
      </c>
      <c r="W51" s="1">
        <v>-0.4</v>
      </c>
      <c r="X51" s="1">
        <v>0</v>
      </c>
      <c r="Y51" s="1">
        <v>-0.6</v>
      </c>
      <c r="Z51" s="1">
        <v>0</v>
      </c>
      <c r="AA51" s="1">
        <v>0.8</v>
      </c>
      <c r="AB51" s="1">
        <v>1.4</v>
      </c>
      <c r="AC51" s="1">
        <v>3.2</v>
      </c>
      <c r="AD51" s="1" t="s">
        <v>101</v>
      </c>
      <c r="AE51" s="1"/>
      <c r="AF51" s="1"/>
      <c r="AG51" s="1">
        <f t="shared" si="15"/>
        <v>3.8279999999999994</v>
      </c>
    </row>
    <row r="52" spans="1:33" customFormat="1" x14ac:dyDescent="0.25">
      <c r="A52" s="1" t="s">
        <v>102</v>
      </c>
      <c r="B52" s="1" t="s">
        <v>37</v>
      </c>
      <c r="C52" s="1">
        <v>79.326999999999998</v>
      </c>
      <c r="D52" s="1">
        <v>1018.408</v>
      </c>
      <c r="E52" s="1">
        <v>215.452</v>
      </c>
      <c r="F52" s="1">
        <v>794.87599999999998</v>
      </c>
      <c r="G52" s="7">
        <v>1</v>
      </c>
      <c r="H52" s="1">
        <v>45</v>
      </c>
      <c r="I52" s="1" t="s">
        <v>38</v>
      </c>
      <c r="J52" s="1"/>
      <c r="K52" s="1">
        <v>203.2</v>
      </c>
      <c r="L52" s="1">
        <f t="shared" si="10"/>
        <v>12.25200000000001</v>
      </c>
      <c r="M52" s="1"/>
      <c r="N52" s="1"/>
      <c r="O52" s="1">
        <v>0</v>
      </c>
      <c r="P52" s="1">
        <f t="shared" si="11"/>
        <v>43.090400000000002</v>
      </c>
      <c r="Q52" s="5"/>
      <c r="R52" s="1">
        <f t="shared" si="12"/>
        <v>18.446707387260268</v>
      </c>
      <c r="S52" s="1">
        <f t="shared" si="13"/>
        <v>18.446707387260268</v>
      </c>
      <c r="T52" s="1">
        <v>41.2866</v>
      </c>
      <c r="U52" s="1">
        <v>47.587200000000003</v>
      </c>
      <c r="V52" s="1">
        <v>80.835799999999992</v>
      </c>
      <c r="W52" s="1">
        <v>30.045400000000001</v>
      </c>
      <c r="X52" s="1">
        <v>65.753799999999998</v>
      </c>
      <c r="Y52" s="1">
        <v>61.433399999999992</v>
      </c>
      <c r="Z52" s="1">
        <v>54.076999999999998</v>
      </c>
      <c r="AA52" s="1">
        <v>13.7126</v>
      </c>
      <c r="AB52" s="1">
        <v>63.340599999999988</v>
      </c>
      <c r="AC52" s="1">
        <v>57.431199999999997</v>
      </c>
      <c r="AD52" s="1"/>
      <c r="AE52" s="1"/>
      <c r="AF52" s="1"/>
      <c r="AG52" s="1">
        <f t="shared" si="15"/>
        <v>0</v>
      </c>
    </row>
    <row r="53" spans="1:33" customFormat="1" x14ac:dyDescent="0.25">
      <c r="A53" s="18" t="s">
        <v>103</v>
      </c>
      <c r="B53" s="1" t="s">
        <v>41</v>
      </c>
      <c r="C53" s="1"/>
      <c r="D53" s="1"/>
      <c r="E53" s="1"/>
      <c r="F53" s="1"/>
      <c r="G53" s="7">
        <v>0.4</v>
      </c>
      <c r="H53" s="1">
        <v>45</v>
      </c>
      <c r="I53" s="1" t="s">
        <v>38</v>
      </c>
      <c r="J53" s="1"/>
      <c r="K53" s="1">
        <v>46</v>
      </c>
      <c r="L53" s="1">
        <f t="shared" si="10"/>
        <v>-46</v>
      </c>
      <c r="M53" s="1"/>
      <c r="N53" s="1"/>
      <c r="O53" s="1">
        <v>10</v>
      </c>
      <c r="P53" s="1">
        <f t="shared" si="11"/>
        <v>0</v>
      </c>
      <c r="Q53" s="5">
        <v>40</v>
      </c>
      <c r="R53" s="1" t="e">
        <f t="shared" si="12"/>
        <v>#DIV/0!</v>
      </c>
      <c r="S53" s="1" t="e">
        <f t="shared" si="13"/>
        <v>#DIV/0!</v>
      </c>
      <c r="T53" s="1">
        <v>-0.2</v>
      </c>
      <c r="U53" s="1">
        <v>0</v>
      </c>
      <c r="V53" s="1">
        <v>-0.6</v>
      </c>
      <c r="W53" s="1">
        <v>-0.2</v>
      </c>
      <c r="X53" s="1">
        <v>-2.6</v>
      </c>
      <c r="Y53" s="1">
        <v>0</v>
      </c>
      <c r="Z53" s="1">
        <v>-0.4</v>
      </c>
      <c r="AA53" s="1">
        <v>-0.2</v>
      </c>
      <c r="AB53" s="1">
        <v>-2.4</v>
      </c>
      <c r="AC53" s="1">
        <v>-3.4</v>
      </c>
      <c r="AD53" s="1" t="s">
        <v>104</v>
      </c>
      <c r="AE53" s="1"/>
      <c r="AF53" s="1"/>
      <c r="AG53" s="1">
        <f t="shared" si="15"/>
        <v>16</v>
      </c>
    </row>
    <row r="54" spans="1:33" customFormat="1" x14ac:dyDescent="0.25">
      <c r="A54" s="9" t="s">
        <v>105</v>
      </c>
      <c r="B54" s="9" t="s">
        <v>37</v>
      </c>
      <c r="C54" s="9"/>
      <c r="D54" s="9"/>
      <c r="E54" s="9"/>
      <c r="F54" s="9"/>
      <c r="G54" s="10">
        <v>0</v>
      </c>
      <c r="H54" s="9"/>
      <c r="I54" s="9" t="s">
        <v>38</v>
      </c>
      <c r="J54" s="9"/>
      <c r="K54" s="9">
        <v>1.3</v>
      </c>
      <c r="L54" s="9">
        <f t="shared" si="10"/>
        <v>-1.3</v>
      </c>
      <c r="M54" s="9"/>
      <c r="N54" s="9"/>
      <c r="O54" s="9">
        <v>0</v>
      </c>
      <c r="P54" s="9">
        <f t="shared" si="11"/>
        <v>0</v>
      </c>
      <c r="Q54" s="11"/>
      <c r="R54" s="9" t="e">
        <f t="shared" si="12"/>
        <v>#DIV/0!</v>
      </c>
      <c r="S54" s="9" t="e">
        <f t="shared" si="13"/>
        <v>#DIV/0!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 t="s">
        <v>106</v>
      </c>
      <c r="AE54" s="9"/>
      <c r="AF54" s="9"/>
      <c r="AG54" s="9"/>
    </row>
    <row r="55" spans="1:33" customFormat="1" x14ac:dyDescent="0.25">
      <c r="A55" s="1" t="s">
        <v>107</v>
      </c>
      <c r="B55" s="1" t="s">
        <v>37</v>
      </c>
      <c r="C55" s="1">
        <v>37.700000000000003</v>
      </c>
      <c r="D55" s="1">
        <v>200.77500000000001</v>
      </c>
      <c r="E55" s="1">
        <v>15.125</v>
      </c>
      <c r="F55" s="1">
        <v>223.35</v>
      </c>
      <c r="G55" s="7">
        <v>1</v>
      </c>
      <c r="H55" s="1">
        <v>60</v>
      </c>
      <c r="I55" s="1" t="s">
        <v>38</v>
      </c>
      <c r="J55" s="1"/>
      <c r="K55" s="1">
        <v>15</v>
      </c>
      <c r="L55" s="1">
        <f t="shared" si="10"/>
        <v>0.125</v>
      </c>
      <c r="M55" s="1"/>
      <c r="N55" s="1"/>
      <c r="O55" s="1">
        <v>0</v>
      </c>
      <c r="P55" s="1">
        <f t="shared" si="11"/>
        <v>3.0249999999999999</v>
      </c>
      <c r="Q55" s="5"/>
      <c r="R55" s="1">
        <f t="shared" si="12"/>
        <v>73.834710743801651</v>
      </c>
      <c r="S55" s="1">
        <f t="shared" si="13"/>
        <v>73.834710743801651</v>
      </c>
      <c r="T55" s="1">
        <v>3.9409999999999998</v>
      </c>
      <c r="U55" s="1">
        <v>13.7</v>
      </c>
      <c r="V55" s="1">
        <v>7.6189999999999998</v>
      </c>
      <c r="W55" s="1">
        <v>7.8315999999999999</v>
      </c>
      <c r="X55" s="1">
        <v>9.9421999999999997</v>
      </c>
      <c r="Y55" s="1">
        <v>12.0648</v>
      </c>
      <c r="Z55" s="1">
        <v>5.1560000000000006</v>
      </c>
      <c r="AA55" s="1">
        <v>7.8439999999999994</v>
      </c>
      <c r="AB55" s="1">
        <v>4.2359999999999998</v>
      </c>
      <c r="AC55" s="1">
        <v>5.14</v>
      </c>
      <c r="AD55" s="12" t="s">
        <v>42</v>
      </c>
      <c r="AE55" s="1"/>
      <c r="AF55" s="1"/>
      <c r="AG55" s="1">
        <f t="shared" ref="AG55:AG69" si="17">G55*Q55</f>
        <v>0</v>
      </c>
    </row>
    <row r="56" spans="1:33" customFormat="1" x14ac:dyDescent="0.25">
      <c r="A56" s="1" t="s">
        <v>108</v>
      </c>
      <c r="B56" s="1" t="s">
        <v>37</v>
      </c>
      <c r="C56" s="1">
        <v>35.963999999999999</v>
      </c>
      <c r="D56" s="1">
        <v>50.152000000000001</v>
      </c>
      <c r="E56" s="1">
        <v>49.158000000000001</v>
      </c>
      <c r="F56" s="1">
        <v>38.213999999999999</v>
      </c>
      <c r="G56" s="7">
        <v>1</v>
      </c>
      <c r="H56" s="1">
        <v>45</v>
      </c>
      <c r="I56" s="1" t="s">
        <v>38</v>
      </c>
      <c r="J56" s="1"/>
      <c r="K56" s="1">
        <v>49.48</v>
      </c>
      <c r="L56" s="1">
        <f t="shared" si="10"/>
        <v>-0.32199999999999562</v>
      </c>
      <c r="M56" s="1"/>
      <c r="N56" s="1"/>
      <c r="O56" s="1">
        <v>90</v>
      </c>
      <c r="P56" s="1">
        <f t="shared" si="11"/>
        <v>9.8315999999999999</v>
      </c>
      <c r="Q56" s="5">
        <f t="shared" ref="Q56:Q66" si="18">15*P56-O56-F56</f>
        <v>19.259999999999991</v>
      </c>
      <c r="R56" s="1">
        <f t="shared" si="12"/>
        <v>14.999999999999998</v>
      </c>
      <c r="S56" s="1">
        <f t="shared" si="13"/>
        <v>13.041010618820945</v>
      </c>
      <c r="T56" s="1">
        <v>11.7372</v>
      </c>
      <c r="U56" s="1">
        <v>0.34320000000000001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 t="s">
        <v>39</v>
      </c>
      <c r="AE56" s="1" t="s">
        <v>160</v>
      </c>
      <c r="AF56" s="1" t="s">
        <v>160</v>
      </c>
      <c r="AG56" s="1">
        <f t="shared" si="17"/>
        <v>19.259999999999991</v>
      </c>
    </row>
    <row r="57" spans="1:33" customFormat="1" x14ac:dyDescent="0.25">
      <c r="A57" s="1" t="s">
        <v>109</v>
      </c>
      <c r="B57" s="1" t="s">
        <v>41</v>
      </c>
      <c r="C57" s="1">
        <v>63</v>
      </c>
      <c r="D57" s="1">
        <v>123</v>
      </c>
      <c r="E57" s="1">
        <v>30</v>
      </c>
      <c r="F57" s="1">
        <v>93</v>
      </c>
      <c r="G57" s="7">
        <v>0.25</v>
      </c>
      <c r="H57" s="1">
        <v>120</v>
      </c>
      <c r="I57" s="1" t="s">
        <v>38</v>
      </c>
      <c r="J57" s="1"/>
      <c r="K57" s="1">
        <v>29</v>
      </c>
      <c r="L57" s="1">
        <f t="shared" si="10"/>
        <v>1</v>
      </c>
      <c r="M57" s="1"/>
      <c r="N57" s="1"/>
      <c r="O57" s="1">
        <v>0</v>
      </c>
      <c r="P57" s="1">
        <f t="shared" si="11"/>
        <v>6</v>
      </c>
      <c r="Q57" s="5"/>
      <c r="R57" s="1">
        <f t="shared" si="12"/>
        <v>15.5</v>
      </c>
      <c r="S57" s="1">
        <f t="shared" si="13"/>
        <v>15.5</v>
      </c>
      <c r="T57" s="1">
        <v>12.6</v>
      </c>
      <c r="U57" s="1">
        <v>21.2</v>
      </c>
      <c r="V57" s="1">
        <v>29.6</v>
      </c>
      <c r="W57" s="1">
        <v>23.8</v>
      </c>
      <c r="X57" s="1">
        <v>41.2</v>
      </c>
      <c r="Y57" s="1">
        <v>35.799999999999997</v>
      </c>
      <c r="Z57" s="1">
        <v>24</v>
      </c>
      <c r="AA57" s="1">
        <v>14.4</v>
      </c>
      <c r="AB57" s="1">
        <v>17.2</v>
      </c>
      <c r="AC57" s="1">
        <v>29.8</v>
      </c>
      <c r="AD57" s="1" t="s">
        <v>44</v>
      </c>
      <c r="AE57" s="1"/>
      <c r="AF57" s="1"/>
      <c r="AG57" s="1">
        <f t="shared" si="17"/>
        <v>0</v>
      </c>
    </row>
    <row r="58" spans="1:33" customFormat="1" x14ac:dyDescent="0.25">
      <c r="A58" s="1" t="s">
        <v>110</v>
      </c>
      <c r="B58" s="1" t="s">
        <v>37</v>
      </c>
      <c r="C58" s="1">
        <v>37.524000000000001</v>
      </c>
      <c r="D58" s="1"/>
      <c r="E58" s="1">
        <v>18.803999999999998</v>
      </c>
      <c r="F58" s="1">
        <v>19.779</v>
      </c>
      <c r="G58" s="7">
        <v>1</v>
      </c>
      <c r="H58" s="1">
        <v>45</v>
      </c>
      <c r="I58" s="1" t="s">
        <v>38</v>
      </c>
      <c r="J58" s="1"/>
      <c r="K58" s="1">
        <v>17.100000000000001</v>
      </c>
      <c r="L58" s="1">
        <f t="shared" si="10"/>
        <v>1.7039999999999971</v>
      </c>
      <c r="M58" s="1"/>
      <c r="N58" s="1"/>
      <c r="O58" s="1">
        <v>20</v>
      </c>
      <c r="P58" s="1">
        <f t="shared" si="11"/>
        <v>3.7607999999999997</v>
      </c>
      <c r="Q58" s="5">
        <f t="shared" si="18"/>
        <v>16.632999999999992</v>
      </c>
      <c r="R58" s="1">
        <f t="shared" si="12"/>
        <v>14.999999999999998</v>
      </c>
      <c r="S58" s="1">
        <f t="shared" si="13"/>
        <v>10.577270793448202</v>
      </c>
      <c r="T58" s="1">
        <v>4.5110000000000001</v>
      </c>
      <c r="U58" s="1">
        <v>3.7778</v>
      </c>
      <c r="V58" s="1">
        <v>5.52</v>
      </c>
      <c r="W58" s="1">
        <v>-0.21079999999999999</v>
      </c>
      <c r="X58" s="1">
        <v>3.5804</v>
      </c>
      <c r="Y58" s="1">
        <v>5.7594000000000003</v>
      </c>
      <c r="Z58" s="1">
        <v>-2E-3</v>
      </c>
      <c r="AA58" s="1">
        <v>3.0392000000000001</v>
      </c>
      <c r="AB58" s="1">
        <v>5.0497999999999994</v>
      </c>
      <c r="AC58" s="1">
        <v>3.3026</v>
      </c>
      <c r="AD58" s="1"/>
      <c r="AE58" s="1"/>
      <c r="AF58" s="1"/>
      <c r="AG58" s="1">
        <f t="shared" si="17"/>
        <v>16.632999999999992</v>
      </c>
    </row>
    <row r="59" spans="1:33" customFormat="1" x14ac:dyDescent="0.25">
      <c r="A59" s="1" t="s">
        <v>111</v>
      </c>
      <c r="B59" s="1" t="s">
        <v>41</v>
      </c>
      <c r="C59" s="1"/>
      <c r="D59" s="1">
        <v>336</v>
      </c>
      <c r="E59" s="1">
        <v>218</v>
      </c>
      <c r="F59" s="1">
        <v>114</v>
      </c>
      <c r="G59" s="7">
        <v>0.27</v>
      </c>
      <c r="H59" s="1"/>
      <c r="I59" s="1" t="s">
        <v>38</v>
      </c>
      <c r="J59" s="1"/>
      <c r="K59" s="1">
        <v>245</v>
      </c>
      <c r="L59" s="1">
        <f t="shared" si="10"/>
        <v>-27</v>
      </c>
      <c r="M59" s="1"/>
      <c r="N59" s="1"/>
      <c r="O59" s="1">
        <v>0</v>
      </c>
      <c r="P59" s="1">
        <f t="shared" si="11"/>
        <v>43.6</v>
      </c>
      <c r="Q59" s="5">
        <f>11*P59-O59-F59</f>
        <v>365.6</v>
      </c>
      <c r="R59" s="1">
        <f t="shared" si="12"/>
        <v>11</v>
      </c>
      <c r="S59" s="1">
        <f t="shared" si="13"/>
        <v>2.6146788990825689</v>
      </c>
      <c r="T59" s="1">
        <v>5.6</v>
      </c>
      <c r="U59" s="1">
        <v>25</v>
      </c>
      <c r="V59" s="1">
        <v>23.2</v>
      </c>
      <c r="W59" s="1">
        <v>0.2</v>
      </c>
      <c r="X59" s="1">
        <v>14.8</v>
      </c>
      <c r="Y59" s="1">
        <v>24.8</v>
      </c>
      <c r="Z59" s="1">
        <v>10.4</v>
      </c>
      <c r="AA59" s="1">
        <v>0</v>
      </c>
      <c r="AB59" s="1">
        <v>0</v>
      </c>
      <c r="AC59" s="1">
        <v>0</v>
      </c>
      <c r="AD59" s="1" t="s">
        <v>39</v>
      </c>
      <c r="AE59" s="1"/>
      <c r="AF59" s="1"/>
      <c r="AG59" s="1">
        <f t="shared" si="17"/>
        <v>98.712000000000018</v>
      </c>
    </row>
    <row r="60" spans="1:33" customFormat="1" x14ac:dyDescent="0.25">
      <c r="A60" s="1" t="s">
        <v>112</v>
      </c>
      <c r="B60" s="1" t="s">
        <v>41</v>
      </c>
      <c r="C60" s="1"/>
      <c r="D60" s="1">
        <v>400</v>
      </c>
      <c r="E60" s="1">
        <v>117</v>
      </c>
      <c r="F60" s="1">
        <v>200</v>
      </c>
      <c r="G60" s="7">
        <v>0.3</v>
      </c>
      <c r="H60" s="1">
        <v>60</v>
      </c>
      <c r="I60" s="1" t="s">
        <v>38</v>
      </c>
      <c r="J60" s="1"/>
      <c r="K60" s="1">
        <v>121</v>
      </c>
      <c r="L60" s="1">
        <f t="shared" si="10"/>
        <v>-4</v>
      </c>
      <c r="M60" s="1"/>
      <c r="N60" s="1"/>
      <c r="O60" s="1">
        <v>0</v>
      </c>
      <c r="P60" s="1">
        <f t="shared" si="11"/>
        <v>23.4</v>
      </c>
      <c r="Q60" s="5">
        <f t="shared" si="18"/>
        <v>151</v>
      </c>
      <c r="R60" s="1">
        <f t="shared" si="12"/>
        <v>15.000000000000002</v>
      </c>
      <c r="S60" s="1">
        <f t="shared" si="13"/>
        <v>8.5470085470085468</v>
      </c>
      <c r="T60" s="1">
        <v>7.8</v>
      </c>
      <c r="U60" s="1">
        <v>19.399999999999999</v>
      </c>
      <c r="V60" s="1">
        <v>41.4</v>
      </c>
      <c r="W60" s="1">
        <v>19.2</v>
      </c>
      <c r="X60" s="1">
        <v>9.4</v>
      </c>
      <c r="Y60" s="1">
        <v>37.799999999999997</v>
      </c>
      <c r="Z60" s="1">
        <v>29.6</v>
      </c>
      <c r="AA60" s="1">
        <v>15.4</v>
      </c>
      <c r="AB60" s="1">
        <v>26.8</v>
      </c>
      <c r="AC60" s="1">
        <v>44</v>
      </c>
      <c r="AD60" s="1"/>
      <c r="AE60" s="1"/>
      <c r="AF60" s="1" t="s">
        <v>160</v>
      </c>
      <c r="AG60" s="1">
        <f t="shared" si="17"/>
        <v>45.3</v>
      </c>
    </row>
    <row r="61" spans="1:33" customFormat="1" x14ac:dyDescent="0.25">
      <c r="A61" s="1" t="s">
        <v>113</v>
      </c>
      <c r="B61" s="1" t="s">
        <v>41</v>
      </c>
      <c r="C61" s="1">
        <v>411</v>
      </c>
      <c r="D61" s="1">
        <v>2188</v>
      </c>
      <c r="E61" s="1">
        <v>512</v>
      </c>
      <c r="F61" s="1">
        <v>2067</v>
      </c>
      <c r="G61" s="7">
        <v>0.41</v>
      </c>
      <c r="H61" s="1">
        <v>50</v>
      </c>
      <c r="I61" s="1" t="s">
        <v>38</v>
      </c>
      <c r="J61" s="1"/>
      <c r="K61" s="1">
        <v>538</v>
      </c>
      <c r="L61" s="1">
        <f t="shared" si="10"/>
        <v>-26</v>
      </c>
      <c r="M61" s="1"/>
      <c r="N61" s="1"/>
      <c r="O61" s="1">
        <v>0</v>
      </c>
      <c r="P61" s="1">
        <f t="shared" si="11"/>
        <v>102.4</v>
      </c>
      <c r="Q61" s="5"/>
      <c r="R61" s="1">
        <f t="shared" si="12"/>
        <v>20.185546875</v>
      </c>
      <c r="S61" s="1">
        <f t="shared" si="13"/>
        <v>20.185546875</v>
      </c>
      <c r="T61" s="1">
        <v>161.80000000000001</v>
      </c>
      <c r="U61" s="1">
        <v>232.6</v>
      </c>
      <c r="V61" s="1">
        <v>96.2</v>
      </c>
      <c r="W61" s="1">
        <v>48.6</v>
      </c>
      <c r="X61" s="1">
        <v>324.60000000000002</v>
      </c>
      <c r="Y61" s="1">
        <v>150</v>
      </c>
      <c r="Z61" s="1">
        <v>81.2</v>
      </c>
      <c r="AA61" s="1">
        <v>212.8</v>
      </c>
      <c r="AB61" s="1">
        <v>266.8</v>
      </c>
      <c r="AC61" s="1">
        <v>172.2</v>
      </c>
      <c r="AD61" s="17" t="s">
        <v>48</v>
      </c>
      <c r="AE61" s="1"/>
      <c r="AF61" s="1"/>
      <c r="AG61" s="1">
        <f t="shared" si="17"/>
        <v>0</v>
      </c>
    </row>
    <row r="62" spans="1:33" customFormat="1" x14ac:dyDescent="0.25">
      <c r="A62" s="1" t="s">
        <v>114</v>
      </c>
      <c r="B62" s="1" t="s">
        <v>37</v>
      </c>
      <c r="C62" s="1">
        <v>190.38499999999999</v>
      </c>
      <c r="D62" s="1">
        <v>106.252</v>
      </c>
      <c r="E62" s="1">
        <v>90.134</v>
      </c>
      <c r="F62" s="1">
        <v>203.10400000000001</v>
      </c>
      <c r="G62" s="7">
        <v>1</v>
      </c>
      <c r="H62" s="1">
        <v>50</v>
      </c>
      <c r="I62" s="1" t="s">
        <v>38</v>
      </c>
      <c r="J62" s="1"/>
      <c r="K62" s="1">
        <v>85.8</v>
      </c>
      <c r="L62" s="1">
        <f t="shared" si="10"/>
        <v>4.3340000000000032</v>
      </c>
      <c r="M62" s="1"/>
      <c r="N62" s="1"/>
      <c r="O62" s="1">
        <v>0</v>
      </c>
      <c r="P62" s="1">
        <f t="shared" si="11"/>
        <v>18.026800000000001</v>
      </c>
      <c r="Q62" s="5">
        <f t="shared" si="18"/>
        <v>67.29800000000003</v>
      </c>
      <c r="R62" s="1">
        <f t="shared" si="12"/>
        <v>15.000000000000002</v>
      </c>
      <c r="S62" s="1">
        <f t="shared" si="13"/>
        <v>11.266780571149621</v>
      </c>
      <c r="T62" s="1">
        <v>23.532800000000002</v>
      </c>
      <c r="U62" s="1">
        <v>40.443800000000003</v>
      </c>
      <c r="V62" s="1">
        <v>36.291999999999987</v>
      </c>
      <c r="W62" s="1">
        <v>43.002200000000002</v>
      </c>
      <c r="X62" s="1">
        <v>52.134</v>
      </c>
      <c r="Y62" s="1">
        <v>58.188000000000002</v>
      </c>
      <c r="Z62" s="1">
        <v>30.930399999999999</v>
      </c>
      <c r="AA62" s="1">
        <v>29.0246</v>
      </c>
      <c r="AB62" s="1">
        <v>23.655999999999999</v>
      </c>
      <c r="AC62" s="1">
        <v>36.418599999999998</v>
      </c>
      <c r="AD62" s="1"/>
      <c r="AE62" s="1"/>
      <c r="AF62" s="1"/>
      <c r="AG62" s="1">
        <f t="shared" si="17"/>
        <v>67.29800000000003</v>
      </c>
    </row>
    <row r="63" spans="1:33" customFormat="1" x14ac:dyDescent="0.25">
      <c r="A63" s="1" t="s">
        <v>115</v>
      </c>
      <c r="B63" s="1" t="s">
        <v>41</v>
      </c>
      <c r="C63" s="1">
        <v>2</v>
      </c>
      <c r="D63" s="1">
        <v>456</v>
      </c>
      <c r="E63" s="1">
        <v>183</v>
      </c>
      <c r="F63" s="1">
        <v>63</v>
      </c>
      <c r="G63" s="7">
        <v>0.35</v>
      </c>
      <c r="H63" s="1">
        <v>50</v>
      </c>
      <c r="I63" s="1" t="s">
        <v>38</v>
      </c>
      <c r="J63" s="1"/>
      <c r="K63" s="1">
        <v>197</v>
      </c>
      <c r="L63" s="1">
        <f t="shared" si="10"/>
        <v>-14</v>
      </c>
      <c r="M63" s="1"/>
      <c r="N63" s="1"/>
      <c r="O63" s="1">
        <v>130</v>
      </c>
      <c r="P63" s="1">
        <f t="shared" si="11"/>
        <v>36.6</v>
      </c>
      <c r="Q63" s="5">
        <f>13*P63-O63-F63</f>
        <v>282.8</v>
      </c>
      <c r="R63" s="1">
        <f t="shared" si="12"/>
        <v>13</v>
      </c>
      <c r="S63" s="1">
        <f t="shared" si="13"/>
        <v>5.2732240437158469</v>
      </c>
      <c r="T63" s="1">
        <v>40</v>
      </c>
      <c r="U63" s="1">
        <v>48.8</v>
      </c>
      <c r="V63" s="1">
        <v>56</v>
      </c>
      <c r="W63" s="1">
        <v>17.600000000000001</v>
      </c>
      <c r="X63" s="1">
        <v>29</v>
      </c>
      <c r="Y63" s="1">
        <v>62</v>
      </c>
      <c r="Z63" s="1">
        <v>32.4</v>
      </c>
      <c r="AA63" s="1">
        <v>31</v>
      </c>
      <c r="AB63" s="1">
        <v>41</v>
      </c>
      <c r="AC63" s="1">
        <v>31.2</v>
      </c>
      <c r="AD63" s="1"/>
      <c r="AE63" s="1"/>
      <c r="AF63" s="1"/>
      <c r="AG63" s="1">
        <f t="shared" si="17"/>
        <v>98.98</v>
      </c>
    </row>
    <row r="64" spans="1:33" customFormat="1" x14ac:dyDescent="0.25">
      <c r="A64" s="1" t="s">
        <v>116</v>
      </c>
      <c r="B64" s="1" t="s">
        <v>37</v>
      </c>
      <c r="C64" s="1"/>
      <c r="D64" s="1">
        <v>68.088999999999999</v>
      </c>
      <c r="E64" s="1">
        <v>21.613</v>
      </c>
      <c r="F64" s="1">
        <v>46.475999999999999</v>
      </c>
      <c r="G64" s="7">
        <v>1</v>
      </c>
      <c r="H64" s="1">
        <v>50</v>
      </c>
      <c r="I64" s="1" t="s">
        <v>38</v>
      </c>
      <c r="J64" s="1"/>
      <c r="K64" s="1">
        <v>17.5</v>
      </c>
      <c r="L64" s="1">
        <f t="shared" si="10"/>
        <v>4.1129999999999995</v>
      </c>
      <c r="M64" s="1"/>
      <c r="N64" s="1"/>
      <c r="O64" s="1">
        <v>0</v>
      </c>
      <c r="P64" s="1">
        <f t="shared" si="11"/>
        <v>4.3225999999999996</v>
      </c>
      <c r="Q64" s="5">
        <f t="shared" si="18"/>
        <v>18.363</v>
      </c>
      <c r="R64" s="1">
        <f t="shared" si="12"/>
        <v>15.000000000000002</v>
      </c>
      <c r="S64" s="1">
        <f t="shared" si="13"/>
        <v>10.751862305094157</v>
      </c>
      <c r="T64" s="1">
        <v>0.63319999999999999</v>
      </c>
      <c r="U64" s="1">
        <v>4.0392000000000001</v>
      </c>
      <c r="V64" s="1">
        <v>7.4278000000000004</v>
      </c>
      <c r="W64" s="1">
        <v>0</v>
      </c>
      <c r="X64" s="1">
        <v>1.2567999999999999</v>
      </c>
      <c r="Y64" s="1">
        <v>7.3841999999999999</v>
      </c>
      <c r="Z64" s="1">
        <v>0.93720000000000003</v>
      </c>
      <c r="AA64" s="1">
        <v>2.504</v>
      </c>
      <c r="AB64" s="1">
        <v>3.7235999999999998</v>
      </c>
      <c r="AC64" s="1">
        <v>1.5624</v>
      </c>
      <c r="AD64" s="1"/>
      <c r="AE64" s="1"/>
      <c r="AF64" s="1"/>
      <c r="AG64" s="1">
        <f t="shared" si="17"/>
        <v>18.363</v>
      </c>
    </row>
    <row r="65" spans="1:33" customFormat="1" x14ac:dyDescent="0.25">
      <c r="A65" s="1" t="s">
        <v>117</v>
      </c>
      <c r="B65" s="1" t="s">
        <v>41</v>
      </c>
      <c r="C65" s="1">
        <v>215</v>
      </c>
      <c r="D65" s="1">
        <v>1186</v>
      </c>
      <c r="E65" s="1">
        <v>375</v>
      </c>
      <c r="F65" s="1">
        <v>420</v>
      </c>
      <c r="G65" s="7">
        <v>0.41</v>
      </c>
      <c r="H65" s="1">
        <v>50</v>
      </c>
      <c r="I65" s="1" t="s">
        <v>38</v>
      </c>
      <c r="J65" s="1"/>
      <c r="K65" s="1">
        <v>380</v>
      </c>
      <c r="L65" s="1">
        <f t="shared" si="10"/>
        <v>-5</v>
      </c>
      <c r="M65" s="1"/>
      <c r="N65" s="1"/>
      <c r="O65" s="1">
        <v>150</v>
      </c>
      <c r="P65" s="1">
        <f t="shared" si="11"/>
        <v>75</v>
      </c>
      <c r="Q65" s="5">
        <f t="shared" si="18"/>
        <v>555</v>
      </c>
      <c r="R65" s="1">
        <f t="shared" si="12"/>
        <v>15</v>
      </c>
      <c r="S65" s="1">
        <f t="shared" si="13"/>
        <v>7.6</v>
      </c>
      <c r="T65" s="1">
        <v>119.8</v>
      </c>
      <c r="U65" s="1">
        <v>126.2</v>
      </c>
      <c r="V65" s="1">
        <v>193.4</v>
      </c>
      <c r="W65" s="1">
        <v>65</v>
      </c>
      <c r="X65" s="1">
        <v>200.4</v>
      </c>
      <c r="Y65" s="1">
        <v>174.2</v>
      </c>
      <c r="Z65" s="1">
        <v>38.200000000000003</v>
      </c>
      <c r="AA65" s="1">
        <v>129.4</v>
      </c>
      <c r="AB65" s="1">
        <v>156.6</v>
      </c>
      <c r="AC65" s="1">
        <v>120.8</v>
      </c>
      <c r="AD65" s="1"/>
      <c r="AE65" s="1"/>
      <c r="AF65" s="1"/>
      <c r="AG65" s="1">
        <f t="shared" si="17"/>
        <v>227.54999999999998</v>
      </c>
    </row>
    <row r="66" spans="1:33" customFormat="1" x14ac:dyDescent="0.25">
      <c r="A66" s="1" t="s">
        <v>118</v>
      </c>
      <c r="B66" s="1" t="s">
        <v>37</v>
      </c>
      <c r="C66" s="1">
        <v>132.59399999999999</v>
      </c>
      <c r="D66" s="1"/>
      <c r="E66" s="1">
        <v>56.502000000000002</v>
      </c>
      <c r="F66" s="1">
        <v>76.091999999999999</v>
      </c>
      <c r="G66" s="7">
        <v>1</v>
      </c>
      <c r="H66" s="1">
        <v>50</v>
      </c>
      <c r="I66" s="1" t="s">
        <v>38</v>
      </c>
      <c r="J66" s="1"/>
      <c r="K66" s="1">
        <v>53.2</v>
      </c>
      <c r="L66" s="1">
        <f t="shared" si="10"/>
        <v>3.3019999999999996</v>
      </c>
      <c r="M66" s="1"/>
      <c r="N66" s="1"/>
      <c r="O66" s="1">
        <v>69</v>
      </c>
      <c r="P66" s="1">
        <f t="shared" si="11"/>
        <v>11.3004</v>
      </c>
      <c r="Q66" s="5">
        <f t="shared" si="18"/>
        <v>24.414000000000001</v>
      </c>
      <c r="R66" s="1">
        <f t="shared" si="12"/>
        <v>14.999999999999998</v>
      </c>
      <c r="S66" s="1">
        <f t="shared" si="13"/>
        <v>12.839545502814058</v>
      </c>
      <c r="T66" s="1">
        <v>14.0916</v>
      </c>
      <c r="U66" s="1">
        <v>9.633799999999999</v>
      </c>
      <c r="V66" s="1">
        <v>14.559799999999999</v>
      </c>
      <c r="W66" s="1">
        <v>26.645800000000001</v>
      </c>
      <c r="X66" s="1">
        <v>17.4558</v>
      </c>
      <c r="Y66" s="1">
        <v>13.043799999999999</v>
      </c>
      <c r="Z66" s="1">
        <v>19.4636</v>
      </c>
      <c r="AA66" s="1">
        <v>6.3722000000000003</v>
      </c>
      <c r="AB66" s="1">
        <v>12.7166</v>
      </c>
      <c r="AC66" s="1">
        <v>14.8438</v>
      </c>
      <c r="AD66" s="1"/>
      <c r="AE66" s="1"/>
      <c r="AF66" s="1"/>
      <c r="AG66" s="1">
        <f t="shared" si="17"/>
        <v>24.414000000000001</v>
      </c>
    </row>
    <row r="67" spans="1:33" customFormat="1" x14ac:dyDescent="0.25">
      <c r="A67" s="1" t="s">
        <v>119</v>
      </c>
      <c r="B67" s="1" t="s">
        <v>41</v>
      </c>
      <c r="C67" s="1">
        <v>35</v>
      </c>
      <c r="D67" s="1">
        <v>270</v>
      </c>
      <c r="E67" s="1">
        <v>52</v>
      </c>
      <c r="F67" s="1">
        <v>246</v>
      </c>
      <c r="G67" s="7">
        <v>0.3</v>
      </c>
      <c r="H67" s="1">
        <v>50</v>
      </c>
      <c r="I67" s="1" t="s">
        <v>38</v>
      </c>
      <c r="J67" s="1"/>
      <c r="K67" s="1">
        <v>121</v>
      </c>
      <c r="L67" s="1">
        <f t="shared" si="10"/>
        <v>-69</v>
      </c>
      <c r="M67" s="1"/>
      <c r="N67" s="1"/>
      <c r="O67" s="1">
        <v>38</v>
      </c>
      <c r="P67" s="1">
        <f t="shared" si="11"/>
        <v>10.4</v>
      </c>
      <c r="Q67" s="5"/>
      <c r="R67" s="1">
        <f t="shared" si="12"/>
        <v>27.307692307692307</v>
      </c>
      <c r="S67" s="1">
        <f t="shared" si="13"/>
        <v>27.307692307692307</v>
      </c>
      <c r="T67" s="1">
        <v>31.4</v>
      </c>
      <c r="U67" s="1">
        <v>37.4</v>
      </c>
      <c r="V67" s="1">
        <v>7</v>
      </c>
      <c r="W67" s="1">
        <v>33.4</v>
      </c>
      <c r="X67" s="1">
        <v>54.8</v>
      </c>
      <c r="Y67" s="1">
        <v>36.4</v>
      </c>
      <c r="Z67" s="1">
        <v>29.6</v>
      </c>
      <c r="AA67" s="1">
        <v>32.799999999999997</v>
      </c>
      <c r="AB67" s="1">
        <v>41</v>
      </c>
      <c r="AC67" s="1">
        <v>43.6</v>
      </c>
      <c r="AD67" s="1"/>
      <c r="AE67" s="1"/>
      <c r="AF67" s="1"/>
      <c r="AG67" s="1">
        <f t="shared" si="17"/>
        <v>0</v>
      </c>
    </row>
    <row r="68" spans="1:33" customFormat="1" x14ac:dyDescent="0.25">
      <c r="A68" s="1" t="s">
        <v>120</v>
      </c>
      <c r="B68" s="1" t="s">
        <v>41</v>
      </c>
      <c r="C68" s="1">
        <v>54</v>
      </c>
      <c r="D68" s="1">
        <v>51</v>
      </c>
      <c r="E68" s="1">
        <v>81</v>
      </c>
      <c r="F68" s="1">
        <v>2</v>
      </c>
      <c r="G68" s="7">
        <v>0.18</v>
      </c>
      <c r="H68" s="1">
        <v>50</v>
      </c>
      <c r="I68" s="1" t="s">
        <v>38</v>
      </c>
      <c r="J68" s="1"/>
      <c r="K68" s="1">
        <v>103</v>
      </c>
      <c r="L68" s="1">
        <f t="shared" si="10"/>
        <v>-22</v>
      </c>
      <c r="M68" s="1"/>
      <c r="N68" s="1"/>
      <c r="O68" s="1">
        <v>19</v>
      </c>
      <c r="P68" s="1">
        <f t="shared" si="11"/>
        <v>16.2</v>
      </c>
      <c r="Q68" s="5">
        <f>9*P68-O68-F68</f>
        <v>124.79999999999998</v>
      </c>
      <c r="R68" s="1">
        <f t="shared" si="12"/>
        <v>9</v>
      </c>
      <c r="S68" s="1">
        <f t="shared" si="13"/>
        <v>1.2962962962962963</v>
      </c>
      <c r="T68" s="1">
        <v>18.2</v>
      </c>
      <c r="U68" s="1">
        <v>22.4</v>
      </c>
      <c r="V68" s="1">
        <v>25.4</v>
      </c>
      <c r="W68" s="1">
        <v>33.6</v>
      </c>
      <c r="X68" s="1">
        <v>53</v>
      </c>
      <c r="Y68" s="1">
        <v>47.2</v>
      </c>
      <c r="Z68" s="1">
        <v>9.6</v>
      </c>
      <c r="AA68" s="1">
        <v>35.6</v>
      </c>
      <c r="AB68" s="1">
        <v>42</v>
      </c>
      <c r="AC68" s="1">
        <v>28.4</v>
      </c>
      <c r="AD68" s="1"/>
      <c r="AE68" s="1"/>
      <c r="AF68" s="1"/>
      <c r="AG68" s="1">
        <f t="shared" si="17"/>
        <v>22.463999999999995</v>
      </c>
    </row>
    <row r="69" spans="1:33" customFormat="1" x14ac:dyDescent="0.25">
      <c r="A69" s="1" t="s">
        <v>121</v>
      </c>
      <c r="B69" s="1" t="s">
        <v>41</v>
      </c>
      <c r="C69" s="1">
        <v>108</v>
      </c>
      <c r="D69" s="1"/>
      <c r="E69" s="1">
        <v>6</v>
      </c>
      <c r="F69" s="1">
        <v>103</v>
      </c>
      <c r="G69" s="7">
        <v>0.22</v>
      </c>
      <c r="H69" s="1">
        <v>120</v>
      </c>
      <c r="I69" s="1" t="s">
        <v>38</v>
      </c>
      <c r="J69" s="1"/>
      <c r="K69" s="1">
        <v>5</v>
      </c>
      <c r="L69" s="1">
        <f t="shared" si="10"/>
        <v>1</v>
      </c>
      <c r="M69" s="1"/>
      <c r="N69" s="1"/>
      <c r="O69" s="1">
        <v>0</v>
      </c>
      <c r="P69" s="1">
        <f t="shared" si="11"/>
        <v>1.2</v>
      </c>
      <c r="Q69" s="5"/>
      <c r="R69" s="1">
        <f t="shared" si="12"/>
        <v>85.833333333333343</v>
      </c>
      <c r="S69" s="1">
        <f t="shared" si="13"/>
        <v>85.833333333333343</v>
      </c>
      <c r="T69" s="1">
        <v>1.2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2" t="s">
        <v>172</v>
      </c>
      <c r="AE69" s="1"/>
      <c r="AF69" s="1" t="s">
        <v>160</v>
      </c>
      <c r="AG69" s="1">
        <f t="shared" si="17"/>
        <v>0</v>
      </c>
    </row>
    <row r="70" spans="1:33" customFormat="1" x14ac:dyDescent="0.25">
      <c r="A70" s="9" t="s">
        <v>122</v>
      </c>
      <c r="B70" s="9" t="s">
        <v>37</v>
      </c>
      <c r="C70" s="9"/>
      <c r="D70" s="9"/>
      <c r="E70" s="9"/>
      <c r="F70" s="9"/>
      <c r="G70" s="10">
        <v>0</v>
      </c>
      <c r="H70" s="9"/>
      <c r="I70" s="9" t="s">
        <v>38</v>
      </c>
      <c r="J70" s="9"/>
      <c r="K70" s="9">
        <v>27</v>
      </c>
      <c r="L70" s="9">
        <f t="shared" ref="L70:L101" si="19">E70-K70</f>
        <v>-27</v>
      </c>
      <c r="M70" s="9"/>
      <c r="N70" s="9"/>
      <c r="O70" s="9">
        <v>0</v>
      </c>
      <c r="P70" s="9">
        <f t="shared" ref="P70:P105" si="20">E70/5</f>
        <v>0</v>
      </c>
      <c r="Q70" s="11"/>
      <c r="R70" s="9" t="e">
        <f t="shared" ref="R70:R101" si="21">(F70+O70+Q70)/P70</f>
        <v>#DIV/0!</v>
      </c>
      <c r="S70" s="9" t="e">
        <f t="shared" ref="S70:S105" si="22">(F70+O70)/P70</f>
        <v>#DIV/0!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 t="s">
        <v>106</v>
      </c>
      <c r="AE70" s="9"/>
      <c r="AF70" s="9"/>
      <c r="AG70" s="9"/>
    </row>
    <row r="71" spans="1:33" customFormat="1" x14ac:dyDescent="0.25">
      <c r="A71" s="1" t="s">
        <v>76</v>
      </c>
      <c r="B71" s="1" t="s">
        <v>41</v>
      </c>
      <c r="C71" s="1">
        <v>360</v>
      </c>
      <c r="D71" s="1">
        <v>581</v>
      </c>
      <c r="E71" s="1">
        <v>251</v>
      </c>
      <c r="F71" s="13">
        <f>447+F32</f>
        <v>446</v>
      </c>
      <c r="G71" s="7">
        <v>0.35</v>
      </c>
      <c r="H71" s="1">
        <v>50</v>
      </c>
      <c r="I71" s="1" t="s">
        <v>38</v>
      </c>
      <c r="J71" s="1"/>
      <c r="K71" s="1">
        <v>255</v>
      </c>
      <c r="L71" s="1">
        <f t="shared" si="19"/>
        <v>-4</v>
      </c>
      <c r="M71" s="1"/>
      <c r="N71" s="1"/>
      <c r="O71" s="1">
        <v>0</v>
      </c>
      <c r="P71" s="1">
        <f t="shared" si="20"/>
        <v>50.2</v>
      </c>
      <c r="Q71" s="5">
        <f>15*P71-O71-F71</f>
        <v>307</v>
      </c>
      <c r="R71" s="1">
        <f t="shared" si="21"/>
        <v>15</v>
      </c>
      <c r="S71" s="1">
        <f t="shared" si="22"/>
        <v>8.8844621513944215</v>
      </c>
      <c r="T71" s="1">
        <v>70.8</v>
      </c>
      <c r="U71" s="1">
        <v>109.2</v>
      </c>
      <c r="V71" s="1">
        <v>139.80000000000001</v>
      </c>
      <c r="W71" s="1">
        <v>31.4</v>
      </c>
      <c r="X71" s="1">
        <v>171.8</v>
      </c>
      <c r="Y71" s="1">
        <v>167.8</v>
      </c>
      <c r="Z71" s="1">
        <v>88.4</v>
      </c>
      <c r="AA71" s="1">
        <v>88.6</v>
      </c>
      <c r="AB71" s="1">
        <v>163.19999999999999</v>
      </c>
      <c r="AC71" s="1">
        <v>117.6</v>
      </c>
      <c r="AD71" s="1"/>
      <c r="AE71" s="1"/>
      <c r="AF71" s="1"/>
      <c r="AG71" s="1">
        <f>G71*Q71</f>
        <v>107.44999999999999</v>
      </c>
    </row>
    <row r="72" spans="1:33" customFormat="1" x14ac:dyDescent="0.25">
      <c r="A72" s="9" t="s">
        <v>180</v>
      </c>
      <c r="B72" s="9" t="s">
        <v>41</v>
      </c>
      <c r="C72" s="9"/>
      <c r="D72" s="9"/>
      <c r="E72" s="9"/>
      <c r="F72" s="9"/>
      <c r="G72" s="10">
        <v>0</v>
      </c>
      <c r="H72" s="9"/>
      <c r="I72" s="9" t="s">
        <v>38</v>
      </c>
      <c r="J72" s="9"/>
      <c r="K72" s="9"/>
      <c r="L72" s="9">
        <f t="shared" si="19"/>
        <v>0</v>
      </c>
      <c r="M72" s="9"/>
      <c r="N72" s="9"/>
      <c r="O72" s="9">
        <v>0</v>
      </c>
      <c r="P72" s="9">
        <f t="shared" si="20"/>
        <v>0</v>
      </c>
      <c r="Q72" s="11"/>
      <c r="R72" s="9" t="e">
        <f t="shared" si="21"/>
        <v>#DIV/0!</v>
      </c>
      <c r="S72" s="9" t="e">
        <f t="shared" si="22"/>
        <v>#DIV/0!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 t="s">
        <v>106</v>
      </c>
      <c r="AE72" s="9" t="s">
        <v>160</v>
      </c>
      <c r="AF72" s="9" t="s">
        <v>160</v>
      </c>
      <c r="AG72" s="9"/>
    </row>
    <row r="73" spans="1:33" customFormat="1" x14ac:dyDescent="0.25">
      <c r="A73" s="1" t="s">
        <v>123</v>
      </c>
      <c r="B73" s="1" t="s">
        <v>37</v>
      </c>
      <c r="C73" s="1">
        <v>0.67700000000000005</v>
      </c>
      <c r="D73" s="1">
        <v>458.202</v>
      </c>
      <c r="E73" s="1">
        <v>74.346999999999994</v>
      </c>
      <c r="F73" s="1">
        <v>320.27499999999998</v>
      </c>
      <c r="G73" s="7">
        <v>1</v>
      </c>
      <c r="H73" s="1">
        <v>50</v>
      </c>
      <c r="I73" s="1" t="s">
        <v>38</v>
      </c>
      <c r="J73" s="1"/>
      <c r="K73" s="1">
        <v>98.2</v>
      </c>
      <c r="L73" s="1">
        <f t="shared" si="19"/>
        <v>-23.853000000000009</v>
      </c>
      <c r="M73" s="1"/>
      <c r="N73" s="1"/>
      <c r="O73" s="1">
        <v>45</v>
      </c>
      <c r="P73" s="1">
        <f t="shared" si="20"/>
        <v>14.869399999999999</v>
      </c>
      <c r="Q73" s="5"/>
      <c r="R73" s="1">
        <f t="shared" si="21"/>
        <v>24.565550728341428</v>
      </c>
      <c r="S73" s="1">
        <f t="shared" si="22"/>
        <v>24.565550728341428</v>
      </c>
      <c r="T73" s="1">
        <v>34.691199999999988</v>
      </c>
      <c r="U73" s="1">
        <v>31.833200000000001</v>
      </c>
      <c r="V73" s="1">
        <v>30.706800000000001</v>
      </c>
      <c r="W73" s="1">
        <v>26.449000000000002</v>
      </c>
      <c r="X73" s="1">
        <v>38.481000000000002</v>
      </c>
      <c r="Y73" s="1">
        <v>36.499000000000002</v>
      </c>
      <c r="Z73" s="1">
        <v>22.372399999999999</v>
      </c>
      <c r="AA73" s="1">
        <v>38.507599999999996</v>
      </c>
      <c r="AB73" s="1">
        <v>29.706199999999999</v>
      </c>
      <c r="AC73" s="1">
        <v>31.820399999999999</v>
      </c>
      <c r="AD73" s="1"/>
      <c r="AE73" s="1"/>
      <c r="AF73" s="1"/>
      <c r="AG73" s="1">
        <f t="shared" ref="AG73:AG104" si="23">G73*Q73</f>
        <v>0</v>
      </c>
    </row>
    <row r="74" spans="1:33" customFormat="1" x14ac:dyDescent="0.25">
      <c r="A74" s="1" t="s">
        <v>124</v>
      </c>
      <c r="B74" s="1" t="s">
        <v>37</v>
      </c>
      <c r="C74" s="1">
        <v>33.308999999999997</v>
      </c>
      <c r="D74" s="1">
        <v>675.327</v>
      </c>
      <c r="E74" s="1">
        <v>145.47200000000001</v>
      </c>
      <c r="F74" s="1">
        <v>431.25</v>
      </c>
      <c r="G74" s="7">
        <v>1</v>
      </c>
      <c r="H74" s="1">
        <v>50</v>
      </c>
      <c r="I74" s="1" t="s">
        <v>38</v>
      </c>
      <c r="J74" s="1"/>
      <c r="K74" s="1">
        <v>146.08000000000001</v>
      </c>
      <c r="L74" s="1">
        <f t="shared" si="19"/>
        <v>-0.60800000000000409</v>
      </c>
      <c r="M74" s="1"/>
      <c r="N74" s="1"/>
      <c r="O74" s="1">
        <v>106</v>
      </c>
      <c r="P74" s="1">
        <f t="shared" si="20"/>
        <v>29.0944</v>
      </c>
      <c r="Q74" s="5"/>
      <c r="R74" s="1">
        <f t="shared" si="21"/>
        <v>18.465752859656842</v>
      </c>
      <c r="S74" s="1">
        <f t="shared" si="22"/>
        <v>18.465752859656842</v>
      </c>
      <c r="T74" s="1">
        <v>61.27</v>
      </c>
      <c r="U74" s="1">
        <v>56.628799999999998</v>
      </c>
      <c r="V74" s="1">
        <v>59.719200000000001</v>
      </c>
      <c r="W74" s="1">
        <v>27.568200000000001</v>
      </c>
      <c r="X74" s="1">
        <v>69.794600000000003</v>
      </c>
      <c r="Y74" s="1">
        <v>60.612000000000002</v>
      </c>
      <c r="Z74" s="1">
        <v>40.339399999999998</v>
      </c>
      <c r="AA74" s="1">
        <v>47.528399999999998</v>
      </c>
      <c r="AB74" s="1">
        <v>59.781599999999997</v>
      </c>
      <c r="AC74" s="1">
        <v>56.038800000000002</v>
      </c>
      <c r="AD74" s="1"/>
      <c r="AE74" s="1"/>
      <c r="AF74" s="1"/>
      <c r="AG74" s="1">
        <f t="shared" si="23"/>
        <v>0</v>
      </c>
    </row>
    <row r="75" spans="1:33" customFormat="1" x14ac:dyDescent="0.25">
      <c r="A75" s="1" t="s">
        <v>125</v>
      </c>
      <c r="B75" s="1" t="s">
        <v>41</v>
      </c>
      <c r="C75" s="1">
        <v>18</v>
      </c>
      <c r="D75" s="1">
        <v>1502</v>
      </c>
      <c r="E75" s="1">
        <v>287</v>
      </c>
      <c r="F75" s="1">
        <v>1100</v>
      </c>
      <c r="G75" s="7">
        <v>0.35</v>
      </c>
      <c r="H75" s="1">
        <v>50</v>
      </c>
      <c r="I75" s="1" t="s">
        <v>38</v>
      </c>
      <c r="J75" s="1"/>
      <c r="K75" s="1">
        <v>292</v>
      </c>
      <c r="L75" s="1">
        <f t="shared" si="19"/>
        <v>-5</v>
      </c>
      <c r="M75" s="1"/>
      <c r="N75" s="1"/>
      <c r="O75" s="1">
        <v>0</v>
      </c>
      <c r="P75" s="1">
        <f t="shared" si="20"/>
        <v>57.4</v>
      </c>
      <c r="Q75" s="5"/>
      <c r="R75" s="1">
        <f t="shared" si="21"/>
        <v>19.16376306620209</v>
      </c>
      <c r="S75" s="1">
        <f t="shared" si="22"/>
        <v>19.16376306620209</v>
      </c>
      <c r="T75" s="1">
        <v>107.4</v>
      </c>
      <c r="U75" s="1">
        <v>141.4</v>
      </c>
      <c r="V75" s="1">
        <v>157.19999999999999</v>
      </c>
      <c r="W75" s="1">
        <v>83.2</v>
      </c>
      <c r="X75" s="1">
        <v>181</v>
      </c>
      <c r="Y75" s="1">
        <v>164.4</v>
      </c>
      <c r="Z75" s="1">
        <v>112.2</v>
      </c>
      <c r="AA75" s="1">
        <v>124.6</v>
      </c>
      <c r="AB75" s="1">
        <v>139</v>
      </c>
      <c r="AC75" s="1">
        <v>128</v>
      </c>
      <c r="AD75" s="1"/>
      <c r="AE75" s="1"/>
      <c r="AF75" s="1"/>
      <c r="AG75" s="1">
        <f t="shared" si="23"/>
        <v>0</v>
      </c>
    </row>
    <row r="76" spans="1:33" customFormat="1" x14ac:dyDescent="0.25">
      <c r="A76" s="1" t="s">
        <v>126</v>
      </c>
      <c r="B76" s="1" t="s">
        <v>41</v>
      </c>
      <c r="C76" s="1"/>
      <c r="D76" s="1">
        <v>596</v>
      </c>
      <c r="E76" s="1">
        <v>164</v>
      </c>
      <c r="F76" s="1">
        <v>297</v>
      </c>
      <c r="G76" s="7">
        <v>0.3</v>
      </c>
      <c r="H76" s="1">
        <v>50</v>
      </c>
      <c r="I76" s="1" t="s">
        <v>38</v>
      </c>
      <c r="J76" s="1"/>
      <c r="K76" s="1">
        <v>184</v>
      </c>
      <c r="L76" s="1">
        <f t="shared" si="19"/>
        <v>-20</v>
      </c>
      <c r="M76" s="1"/>
      <c r="N76" s="1"/>
      <c r="O76" s="1">
        <v>0</v>
      </c>
      <c r="P76" s="1">
        <f t="shared" si="20"/>
        <v>32.799999999999997</v>
      </c>
      <c r="Q76" s="5">
        <f t="shared" ref="Q76:Q102" si="24">15*P76-O76-F76</f>
        <v>194.99999999999994</v>
      </c>
      <c r="R76" s="1">
        <f t="shared" si="21"/>
        <v>15</v>
      </c>
      <c r="S76" s="1">
        <f t="shared" si="22"/>
        <v>9.0548780487804894</v>
      </c>
      <c r="T76" s="1">
        <v>7</v>
      </c>
      <c r="U76" s="1">
        <v>41.6</v>
      </c>
      <c r="V76" s="1">
        <v>38</v>
      </c>
      <c r="W76" s="1">
        <v>4</v>
      </c>
      <c r="X76" s="1">
        <v>39.200000000000003</v>
      </c>
      <c r="Y76" s="1">
        <v>26.6</v>
      </c>
      <c r="Z76" s="1">
        <v>20.6</v>
      </c>
      <c r="AA76" s="1">
        <v>23</v>
      </c>
      <c r="AB76" s="1">
        <v>20</v>
      </c>
      <c r="AC76" s="1">
        <v>27</v>
      </c>
      <c r="AD76" s="1"/>
      <c r="AE76" s="1"/>
      <c r="AF76" s="1"/>
      <c r="AG76" s="1">
        <f t="shared" si="23"/>
        <v>58.499999999999979</v>
      </c>
    </row>
    <row r="77" spans="1:33" customFormat="1" x14ac:dyDescent="0.25">
      <c r="A77" s="1" t="s">
        <v>127</v>
      </c>
      <c r="B77" s="1" t="s">
        <v>41</v>
      </c>
      <c r="C77" s="1"/>
      <c r="D77" s="1">
        <v>96</v>
      </c>
      <c r="E77" s="1">
        <v>48</v>
      </c>
      <c r="F77" s="1">
        <v>16</v>
      </c>
      <c r="G77" s="7">
        <v>0.3</v>
      </c>
      <c r="H77" s="1">
        <v>60</v>
      </c>
      <c r="I77" s="1" t="s">
        <v>38</v>
      </c>
      <c r="J77" s="1"/>
      <c r="K77" s="1">
        <v>50</v>
      </c>
      <c r="L77" s="1">
        <f t="shared" si="19"/>
        <v>-2</v>
      </c>
      <c r="M77" s="1"/>
      <c r="N77" s="1"/>
      <c r="O77" s="1">
        <v>26</v>
      </c>
      <c r="P77" s="1">
        <f t="shared" si="20"/>
        <v>9.6</v>
      </c>
      <c r="Q77" s="5">
        <f>12*P77-O77-F77</f>
        <v>73.199999999999989</v>
      </c>
      <c r="R77" s="1">
        <f t="shared" si="21"/>
        <v>12</v>
      </c>
      <c r="S77" s="1">
        <f t="shared" si="22"/>
        <v>4.375</v>
      </c>
      <c r="T77" s="1">
        <v>8.8000000000000007</v>
      </c>
      <c r="U77" s="1">
        <v>2.6</v>
      </c>
      <c r="V77" s="1">
        <v>12.4</v>
      </c>
      <c r="W77" s="1">
        <v>8</v>
      </c>
      <c r="X77" s="1">
        <v>5.2</v>
      </c>
      <c r="Y77" s="1">
        <v>9.6</v>
      </c>
      <c r="Z77" s="1">
        <v>8.4</v>
      </c>
      <c r="AA77" s="1">
        <v>4.5999999999999996</v>
      </c>
      <c r="AB77" s="1">
        <v>4</v>
      </c>
      <c r="AC77" s="1">
        <v>7.8</v>
      </c>
      <c r="AD77" s="1"/>
      <c r="AE77" s="1"/>
      <c r="AF77" s="1"/>
      <c r="AG77" s="1">
        <f t="shared" si="23"/>
        <v>21.959999999999997</v>
      </c>
    </row>
    <row r="78" spans="1:33" customFormat="1" x14ac:dyDescent="0.25">
      <c r="A78" s="1" t="s">
        <v>128</v>
      </c>
      <c r="B78" s="1" t="s">
        <v>41</v>
      </c>
      <c r="C78" s="1">
        <v>170</v>
      </c>
      <c r="D78" s="1">
        <v>428</v>
      </c>
      <c r="E78" s="1">
        <v>211</v>
      </c>
      <c r="F78" s="1">
        <v>164</v>
      </c>
      <c r="G78" s="7">
        <v>0.28000000000000003</v>
      </c>
      <c r="H78" s="1">
        <v>50</v>
      </c>
      <c r="I78" s="1" t="s">
        <v>38</v>
      </c>
      <c r="J78" s="1"/>
      <c r="K78" s="1">
        <v>211</v>
      </c>
      <c r="L78" s="1">
        <f t="shared" si="19"/>
        <v>0</v>
      </c>
      <c r="M78" s="1"/>
      <c r="N78" s="1"/>
      <c r="O78" s="1">
        <v>0</v>
      </c>
      <c r="P78" s="1">
        <f t="shared" si="20"/>
        <v>42.2</v>
      </c>
      <c r="Q78" s="5">
        <f>12*P78-O78-F78</f>
        <v>342.40000000000003</v>
      </c>
      <c r="R78" s="1">
        <f t="shared" si="21"/>
        <v>12</v>
      </c>
      <c r="S78" s="1">
        <f t="shared" si="22"/>
        <v>3.8862559241706158</v>
      </c>
      <c r="T78" s="1">
        <v>46.4</v>
      </c>
      <c r="U78" s="1">
        <v>51.4</v>
      </c>
      <c r="V78" s="1">
        <v>86.8</v>
      </c>
      <c r="W78" s="1">
        <v>22</v>
      </c>
      <c r="X78" s="1">
        <v>110.6</v>
      </c>
      <c r="Y78" s="1">
        <v>99.4</v>
      </c>
      <c r="Z78" s="1">
        <v>52.6</v>
      </c>
      <c r="AA78" s="1">
        <v>55.4</v>
      </c>
      <c r="AB78" s="1">
        <v>88.4</v>
      </c>
      <c r="AC78" s="1">
        <v>94.2</v>
      </c>
      <c r="AD78" s="1"/>
      <c r="AE78" s="1"/>
      <c r="AF78" s="1"/>
      <c r="AG78" s="1">
        <f t="shared" si="23"/>
        <v>95.872000000000014</v>
      </c>
    </row>
    <row r="79" spans="1:33" customFormat="1" x14ac:dyDescent="0.25">
      <c r="A79" s="1" t="s">
        <v>129</v>
      </c>
      <c r="B79" s="1" t="s">
        <v>41</v>
      </c>
      <c r="C79" s="1">
        <v>169</v>
      </c>
      <c r="D79" s="1">
        <v>370</v>
      </c>
      <c r="E79" s="1">
        <v>256</v>
      </c>
      <c r="F79" s="1">
        <v>280</v>
      </c>
      <c r="G79" s="7">
        <v>0.28000000000000003</v>
      </c>
      <c r="H79" s="1">
        <v>45</v>
      </c>
      <c r="I79" s="1" t="s">
        <v>38</v>
      </c>
      <c r="J79" s="1"/>
      <c r="K79" s="1">
        <v>261</v>
      </c>
      <c r="L79" s="1">
        <f t="shared" si="19"/>
        <v>-5</v>
      </c>
      <c r="M79" s="1"/>
      <c r="N79" s="1"/>
      <c r="O79" s="1">
        <v>37</v>
      </c>
      <c r="P79" s="1">
        <f t="shared" si="20"/>
        <v>51.2</v>
      </c>
      <c r="Q79" s="5">
        <f>14*P79-O79-F79</f>
        <v>399.80000000000007</v>
      </c>
      <c r="R79" s="1">
        <f t="shared" si="21"/>
        <v>14</v>
      </c>
      <c r="S79" s="1">
        <f t="shared" si="22"/>
        <v>6.19140625</v>
      </c>
      <c r="T79" s="1">
        <v>56.8</v>
      </c>
      <c r="U79" s="1">
        <v>70</v>
      </c>
      <c r="V79" s="1">
        <v>86.8</v>
      </c>
      <c r="W79" s="1">
        <v>43.4</v>
      </c>
      <c r="X79" s="1">
        <v>132</v>
      </c>
      <c r="Y79" s="1">
        <v>102</v>
      </c>
      <c r="Z79" s="1">
        <v>67.599999999999994</v>
      </c>
      <c r="AA79" s="1">
        <v>86.6</v>
      </c>
      <c r="AB79" s="1">
        <v>90.2</v>
      </c>
      <c r="AC79" s="1">
        <v>81.8</v>
      </c>
      <c r="AD79" s="1"/>
      <c r="AE79" s="1"/>
      <c r="AF79" s="1"/>
      <c r="AG79" s="1">
        <f t="shared" si="23"/>
        <v>111.94400000000003</v>
      </c>
    </row>
    <row r="80" spans="1:33" customFormat="1" x14ac:dyDescent="0.25">
      <c r="A80" s="1" t="s">
        <v>130</v>
      </c>
      <c r="B80" s="1" t="s">
        <v>41</v>
      </c>
      <c r="C80" s="1">
        <v>26</v>
      </c>
      <c r="D80" s="1">
        <v>563</v>
      </c>
      <c r="E80" s="1">
        <v>146</v>
      </c>
      <c r="F80" s="1">
        <v>116</v>
      </c>
      <c r="G80" s="7">
        <v>0.28000000000000003</v>
      </c>
      <c r="H80" s="1">
        <v>45</v>
      </c>
      <c r="I80" s="1" t="s">
        <v>38</v>
      </c>
      <c r="J80" s="1"/>
      <c r="K80" s="1">
        <v>154</v>
      </c>
      <c r="L80" s="1">
        <f t="shared" si="19"/>
        <v>-8</v>
      </c>
      <c r="M80" s="1"/>
      <c r="N80" s="1"/>
      <c r="O80" s="1">
        <v>34</v>
      </c>
      <c r="P80" s="1">
        <f t="shared" si="20"/>
        <v>29.2</v>
      </c>
      <c r="Q80" s="5">
        <f>13*P80-O80-F80</f>
        <v>229.59999999999997</v>
      </c>
      <c r="R80" s="1">
        <f t="shared" si="21"/>
        <v>13</v>
      </c>
      <c r="S80" s="1">
        <f t="shared" si="22"/>
        <v>5.1369863013698636</v>
      </c>
      <c r="T80" s="1">
        <v>50.8</v>
      </c>
      <c r="U80" s="1">
        <v>56</v>
      </c>
      <c r="V80" s="1">
        <v>80.8</v>
      </c>
      <c r="W80" s="1">
        <v>37.200000000000003</v>
      </c>
      <c r="X80" s="1">
        <v>103.2</v>
      </c>
      <c r="Y80" s="1">
        <v>77.2</v>
      </c>
      <c r="Z80" s="1">
        <v>52.2</v>
      </c>
      <c r="AA80" s="1">
        <v>71.8</v>
      </c>
      <c r="AB80" s="1">
        <v>70.8</v>
      </c>
      <c r="AC80" s="1">
        <v>74.2</v>
      </c>
      <c r="AD80" s="1"/>
      <c r="AE80" s="1"/>
      <c r="AF80" s="1"/>
      <c r="AG80" s="1">
        <f t="shared" si="23"/>
        <v>64.287999999999997</v>
      </c>
    </row>
    <row r="81" spans="1:33" customFormat="1" x14ac:dyDescent="0.25">
      <c r="A81" s="1" t="s">
        <v>131</v>
      </c>
      <c r="B81" s="1" t="s">
        <v>41</v>
      </c>
      <c r="C81" s="1">
        <v>225</v>
      </c>
      <c r="D81" s="1">
        <v>688</v>
      </c>
      <c r="E81" s="1">
        <v>285</v>
      </c>
      <c r="F81" s="1">
        <v>286</v>
      </c>
      <c r="G81" s="7">
        <v>0.4</v>
      </c>
      <c r="H81" s="1">
        <v>50</v>
      </c>
      <c r="I81" s="1" t="s">
        <v>38</v>
      </c>
      <c r="J81" s="1"/>
      <c r="K81" s="1">
        <v>285</v>
      </c>
      <c r="L81" s="1">
        <f t="shared" si="19"/>
        <v>0</v>
      </c>
      <c r="M81" s="1"/>
      <c r="N81" s="1"/>
      <c r="O81" s="1">
        <v>41</v>
      </c>
      <c r="P81" s="1">
        <f t="shared" si="20"/>
        <v>57</v>
      </c>
      <c r="Q81" s="5">
        <f>14*P81-O81-F81</f>
        <v>471</v>
      </c>
      <c r="R81" s="1">
        <f t="shared" si="21"/>
        <v>14</v>
      </c>
      <c r="S81" s="1">
        <f t="shared" si="22"/>
        <v>5.7368421052631575</v>
      </c>
      <c r="T81" s="1">
        <v>101.8</v>
      </c>
      <c r="U81" s="1">
        <v>116.6</v>
      </c>
      <c r="V81" s="1">
        <v>169.8</v>
      </c>
      <c r="W81" s="1">
        <v>144.4</v>
      </c>
      <c r="X81" s="1">
        <v>147.80000000000001</v>
      </c>
      <c r="Y81" s="1">
        <v>187.2</v>
      </c>
      <c r="Z81" s="1">
        <v>136.4</v>
      </c>
      <c r="AA81" s="1">
        <v>73</v>
      </c>
      <c r="AB81" s="1">
        <v>123.8</v>
      </c>
      <c r="AC81" s="1">
        <v>112.6</v>
      </c>
      <c r="AD81" s="1"/>
      <c r="AE81" s="1"/>
      <c r="AF81" s="1"/>
      <c r="AG81" s="1">
        <f t="shared" si="23"/>
        <v>188.4</v>
      </c>
    </row>
    <row r="82" spans="1:33" customFormat="1" x14ac:dyDescent="0.25">
      <c r="A82" s="1" t="s">
        <v>132</v>
      </c>
      <c r="B82" s="1" t="s">
        <v>37</v>
      </c>
      <c r="C82" s="1"/>
      <c r="D82" s="1">
        <v>79.742000000000004</v>
      </c>
      <c r="E82" s="1">
        <v>0.95199999999999996</v>
      </c>
      <c r="F82" s="1">
        <v>77.093999999999994</v>
      </c>
      <c r="G82" s="7">
        <v>1</v>
      </c>
      <c r="H82" s="1">
        <v>30</v>
      </c>
      <c r="I82" s="1" t="s">
        <v>38</v>
      </c>
      <c r="J82" s="1"/>
      <c r="K82" s="1">
        <v>18.2</v>
      </c>
      <c r="L82" s="1">
        <f t="shared" si="19"/>
        <v>-17.247999999999998</v>
      </c>
      <c r="M82" s="1"/>
      <c r="N82" s="1"/>
      <c r="O82" s="1">
        <v>0</v>
      </c>
      <c r="P82" s="1">
        <f t="shared" si="20"/>
        <v>0.19039999999999999</v>
      </c>
      <c r="Q82" s="5"/>
      <c r="R82" s="1">
        <f t="shared" si="21"/>
        <v>404.90546218487395</v>
      </c>
      <c r="S82" s="1">
        <f t="shared" si="22"/>
        <v>404.90546218487395</v>
      </c>
      <c r="T82" s="1">
        <v>-0.51180000000000003</v>
      </c>
      <c r="U82" s="1">
        <v>6.7103999999999999</v>
      </c>
      <c r="V82" s="1">
        <v>5.0915999999999997</v>
      </c>
      <c r="W82" s="1">
        <v>3.8393999999999999</v>
      </c>
      <c r="X82" s="1">
        <v>4.0342000000000002</v>
      </c>
      <c r="Y82" s="1">
        <v>9.1999999999999998E-2</v>
      </c>
      <c r="Z82" s="1">
        <v>3.0341999999999998</v>
      </c>
      <c r="AA82" s="1">
        <v>4.6256000000000004</v>
      </c>
      <c r="AB82" s="1">
        <v>0.94879999999999998</v>
      </c>
      <c r="AC82" s="1">
        <v>0.78600000000000003</v>
      </c>
      <c r="AD82" s="17" t="s">
        <v>48</v>
      </c>
      <c r="AE82" s="1"/>
      <c r="AF82" s="1"/>
      <c r="AG82" s="1">
        <f t="shared" si="23"/>
        <v>0</v>
      </c>
    </row>
    <row r="83" spans="1:33" customFormat="1" x14ac:dyDescent="0.25">
      <c r="A83" s="1" t="s">
        <v>133</v>
      </c>
      <c r="B83" s="1" t="s">
        <v>41</v>
      </c>
      <c r="C83" s="1">
        <v>178</v>
      </c>
      <c r="D83" s="1">
        <v>2</v>
      </c>
      <c r="E83" s="1">
        <v>61</v>
      </c>
      <c r="F83" s="1">
        <v>120</v>
      </c>
      <c r="G83" s="7">
        <v>0.33800000000000002</v>
      </c>
      <c r="H83" s="1" t="s">
        <v>134</v>
      </c>
      <c r="I83" s="1" t="s">
        <v>38</v>
      </c>
      <c r="J83" s="1"/>
      <c r="K83" s="1">
        <v>60</v>
      </c>
      <c r="L83" s="1">
        <f t="shared" si="19"/>
        <v>1</v>
      </c>
      <c r="M83" s="1"/>
      <c r="N83" s="1"/>
      <c r="O83" s="1">
        <v>148</v>
      </c>
      <c r="P83" s="1">
        <f t="shared" si="20"/>
        <v>12.2</v>
      </c>
      <c r="Q83" s="5"/>
      <c r="R83" s="1">
        <f t="shared" si="21"/>
        <v>21.967213114754099</v>
      </c>
      <c r="S83" s="1">
        <f t="shared" si="22"/>
        <v>21.967213114754099</v>
      </c>
      <c r="T83" s="1">
        <v>21.8</v>
      </c>
      <c r="U83" s="1">
        <v>0.8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39</v>
      </c>
      <c r="AE83" s="1" t="s">
        <v>160</v>
      </c>
      <c r="AF83" s="1" t="s">
        <v>160</v>
      </c>
      <c r="AG83" s="1">
        <f t="shared" si="23"/>
        <v>0</v>
      </c>
    </row>
    <row r="84" spans="1:33" customFormat="1" x14ac:dyDescent="0.25">
      <c r="A84" s="1" t="s">
        <v>135</v>
      </c>
      <c r="B84" s="1" t="s">
        <v>41</v>
      </c>
      <c r="C84" s="1">
        <v>121</v>
      </c>
      <c r="D84" s="1">
        <v>2</v>
      </c>
      <c r="E84" s="1">
        <v>78</v>
      </c>
      <c r="F84" s="1">
        <v>45</v>
      </c>
      <c r="G84" s="7">
        <v>0.32500000000000001</v>
      </c>
      <c r="H84" s="1" t="s">
        <v>134</v>
      </c>
      <c r="I84" s="1" t="s">
        <v>38</v>
      </c>
      <c r="J84" s="1"/>
      <c r="K84" s="1">
        <v>81</v>
      </c>
      <c r="L84" s="1">
        <f t="shared" si="19"/>
        <v>-3</v>
      </c>
      <c r="M84" s="1"/>
      <c r="N84" s="1"/>
      <c r="O84" s="1">
        <v>350</v>
      </c>
      <c r="P84" s="1">
        <f t="shared" si="20"/>
        <v>15.6</v>
      </c>
      <c r="Q84" s="5"/>
      <c r="R84" s="1">
        <f t="shared" si="21"/>
        <v>25.320512820512821</v>
      </c>
      <c r="S84" s="1">
        <f t="shared" si="22"/>
        <v>25.320512820512821</v>
      </c>
      <c r="T84" s="1">
        <v>31.2</v>
      </c>
      <c r="U84" s="1">
        <v>0.4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39</v>
      </c>
      <c r="AE84" s="1" t="s">
        <v>160</v>
      </c>
      <c r="AF84" s="1" t="s">
        <v>160</v>
      </c>
      <c r="AG84" s="1">
        <f t="shared" si="23"/>
        <v>0</v>
      </c>
    </row>
    <row r="85" spans="1:33" customFormat="1" x14ac:dyDescent="0.25">
      <c r="A85" s="1" t="s">
        <v>136</v>
      </c>
      <c r="B85" s="1" t="s">
        <v>41</v>
      </c>
      <c r="C85" s="1">
        <v>26</v>
      </c>
      <c r="D85" s="1">
        <v>634</v>
      </c>
      <c r="E85" s="1">
        <v>131</v>
      </c>
      <c r="F85" s="1">
        <v>202</v>
      </c>
      <c r="G85" s="7">
        <v>0.12</v>
      </c>
      <c r="H85" s="1">
        <v>60</v>
      </c>
      <c r="I85" s="1" t="s">
        <v>38</v>
      </c>
      <c r="J85" s="1"/>
      <c r="K85" s="1">
        <v>139</v>
      </c>
      <c r="L85" s="1">
        <f t="shared" si="19"/>
        <v>-8</v>
      </c>
      <c r="M85" s="1"/>
      <c r="N85" s="1"/>
      <c r="O85" s="1">
        <v>0</v>
      </c>
      <c r="P85" s="1">
        <f t="shared" si="20"/>
        <v>26.2</v>
      </c>
      <c r="Q85" s="5">
        <f t="shared" si="24"/>
        <v>191</v>
      </c>
      <c r="R85" s="1">
        <f t="shared" si="21"/>
        <v>15</v>
      </c>
      <c r="S85" s="1">
        <f t="shared" si="22"/>
        <v>7.7099236641221376</v>
      </c>
      <c r="T85" s="1">
        <v>37</v>
      </c>
      <c r="U85" s="1">
        <v>50.6</v>
      </c>
      <c r="V85" s="1">
        <v>77.2</v>
      </c>
      <c r="W85" s="1">
        <v>50</v>
      </c>
      <c r="X85" s="1">
        <v>83</v>
      </c>
      <c r="Y85" s="1">
        <v>79</v>
      </c>
      <c r="Z85" s="1">
        <v>54.8</v>
      </c>
      <c r="AA85" s="1">
        <v>35.6</v>
      </c>
      <c r="AB85" s="1">
        <v>57.8</v>
      </c>
      <c r="AC85" s="1">
        <v>44.4</v>
      </c>
      <c r="AD85" s="1"/>
      <c r="AE85" s="1"/>
      <c r="AF85" s="1"/>
      <c r="AG85" s="1">
        <f t="shared" si="23"/>
        <v>22.919999999999998</v>
      </c>
    </row>
    <row r="86" spans="1:33" customFormat="1" x14ac:dyDescent="0.25">
      <c r="A86" s="1" t="s">
        <v>137</v>
      </c>
      <c r="B86" s="1" t="s">
        <v>41</v>
      </c>
      <c r="C86" s="1"/>
      <c r="D86" s="1">
        <v>56</v>
      </c>
      <c r="E86" s="1">
        <v>54</v>
      </c>
      <c r="F86" s="1">
        <v>3</v>
      </c>
      <c r="G86" s="7">
        <v>0.15</v>
      </c>
      <c r="H86" s="1">
        <v>90</v>
      </c>
      <c r="I86" s="1" t="s">
        <v>38</v>
      </c>
      <c r="J86" s="1"/>
      <c r="K86" s="1">
        <v>181</v>
      </c>
      <c r="L86" s="1">
        <f t="shared" si="19"/>
        <v>-127</v>
      </c>
      <c r="M86" s="1"/>
      <c r="N86" s="1"/>
      <c r="O86" s="1">
        <v>73</v>
      </c>
      <c r="P86" s="1">
        <f t="shared" si="20"/>
        <v>10.8</v>
      </c>
      <c r="Q86" s="5">
        <f t="shared" si="24"/>
        <v>86</v>
      </c>
      <c r="R86" s="1">
        <f t="shared" si="21"/>
        <v>14.999999999999998</v>
      </c>
      <c r="S86" s="1">
        <f t="shared" si="22"/>
        <v>7.0370370370370363</v>
      </c>
      <c r="T86" s="1">
        <v>24.8</v>
      </c>
      <c r="U86" s="1">
        <v>4.5999999999999996</v>
      </c>
      <c r="V86" s="1">
        <v>0</v>
      </c>
      <c r="W86" s="1">
        <v>3.4</v>
      </c>
      <c r="X86" s="1">
        <v>9</v>
      </c>
      <c r="Y86" s="1">
        <v>7.2</v>
      </c>
      <c r="Z86" s="1">
        <v>5.4</v>
      </c>
      <c r="AA86" s="1">
        <v>9</v>
      </c>
      <c r="AB86" s="1">
        <v>0</v>
      </c>
      <c r="AC86" s="1">
        <v>0</v>
      </c>
      <c r="AD86" s="1" t="s">
        <v>39</v>
      </c>
      <c r="AE86" s="1"/>
      <c r="AF86" s="1" t="s">
        <v>160</v>
      </c>
      <c r="AG86" s="1">
        <f t="shared" si="23"/>
        <v>12.9</v>
      </c>
    </row>
    <row r="87" spans="1:33" customFormat="1" x14ac:dyDescent="0.25">
      <c r="A87" s="1" t="s">
        <v>138</v>
      </c>
      <c r="B87" s="1" t="s">
        <v>41</v>
      </c>
      <c r="C87" s="1">
        <v>1</v>
      </c>
      <c r="D87" s="1">
        <v>146</v>
      </c>
      <c r="E87" s="1">
        <v>147</v>
      </c>
      <c r="F87" s="1">
        <v>1</v>
      </c>
      <c r="G87" s="7">
        <v>0.15</v>
      </c>
      <c r="H87" s="1">
        <v>90</v>
      </c>
      <c r="I87" s="1" t="s">
        <v>38</v>
      </c>
      <c r="J87" s="1"/>
      <c r="K87" s="1">
        <v>319</v>
      </c>
      <c r="L87" s="1">
        <f t="shared" si="19"/>
        <v>-172</v>
      </c>
      <c r="M87" s="1"/>
      <c r="N87" s="1"/>
      <c r="O87" s="1">
        <v>145</v>
      </c>
      <c r="P87" s="1">
        <f t="shared" si="20"/>
        <v>29.4</v>
      </c>
      <c r="Q87" s="5">
        <f>13*P87-O87-F87</f>
        <v>236.2</v>
      </c>
      <c r="R87" s="1">
        <f t="shared" si="21"/>
        <v>13</v>
      </c>
      <c r="S87" s="1">
        <f t="shared" si="22"/>
        <v>4.9659863945578238</v>
      </c>
      <c r="T87" s="1">
        <v>21.6</v>
      </c>
      <c r="U87" s="1">
        <v>1.2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 t="s">
        <v>39</v>
      </c>
      <c r="AE87" s="1"/>
      <c r="AF87" s="1" t="s">
        <v>160</v>
      </c>
      <c r="AG87" s="1">
        <f t="shared" si="23"/>
        <v>35.43</v>
      </c>
    </row>
    <row r="88" spans="1:33" customFormat="1" x14ac:dyDescent="0.25">
      <c r="A88" s="1" t="s">
        <v>139</v>
      </c>
      <c r="B88" s="1" t="s">
        <v>41</v>
      </c>
      <c r="C88" s="1">
        <v>26</v>
      </c>
      <c r="D88" s="1">
        <v>164</v>
      </c>
      <c r="E88" s="1">
        <v>84</v>
      </c>
      <c r="F88" s="1">
        <v>67</v>
      </c>
      <c r="G88" s="7">
        <v>0.33</v>
      </c>
      <c r="H88" s="1">
        <v>30</v>
      </c>
      <c r="I88" s="1" t="s">
        <v>38</v>
      </c>
      <c r="J88" s="1"/>
      <c r="K88" s="1">
        <v>101</v>
      </c>
      <c r="L88" s="1">
        <f t="shared" si="19"/>
        <v>-17</v>
      </c>
      <c r="M88" s="1"/>
      <c r="N88" s="1"/>
      <c r="O88" s="1">
        <v>113</v>
      </c>
      <c r="P88" s="1">
        <f t="shared" si="20"/>
        <v>16.8</v>
      </c>
      <c r="Q88" s="5">
        <f t="shared" si="24"/>
        <v>72</v>
      </c>
      <c r="R88" s="1">
        <f t="shared" si="21"/>
        <v>15</v>
      </c>
      <c r="S88" s="1">
        <f t="shared" si="22"/>
        <v>10.714285714285714</v>
      </c>
      <c r="T88" s="1">
        <v>30.2</v>
      </c>
      <c r="U88" s="1">
        <v>24.4</v>
      </c>
      <c r="V88" s="1">
        <v>27.2</v>
      </c>
      <c r="W88" s="1">
        <v>30.4</v>
      </c>
      <c r="X88" s="1">
        <v>43</v>
      </c>
      <c r="Y88" s="1">
        <v>45.2</v>
      </c>
      <c r="Z88" s="1">
        <v>1.8</v>
      </c>
      <c r="AA88" s="1">
        <v>37.799999999999997</v>
      </c>
      <c r="AB88" s="1">
        <v>56</v>
      </c>
      <c r="AC88" s="1">
        <v>32.200000000000003</v>
      </c>
      <c r="AD88" s="1"/>
      <c r="AE88" s="1"/>
      <c r="AF88" s="1"/>
      <c r="AG88" s="1">
        <f t="shared" si="23"/>
        <v>23.76</v>
      </c>
    </row>
    <row r="89" spans="1:33" customFormat="1" x14ac:dyDescent="0.25">
      <c r="A89" s="1" t="s">
        <v>140</v>
      </c>
      <c r="B89" s="1" t="s">
        <v>41</v>
      </c>
      <c r="C89" s="1"/>
      <c r="D89" s="1"/>
      <c r="E89" s="1">
        <v>165</v>
      </c>
      <c r="F89" s="1">
        <v>-165</v>
      </c>
      <c r="G89" s="7">
        <v>0.15</v>
      </c>
      <c r="H89" s="1">
        <v>60</v>
      </c>
      <c r="I89" s="1" t="s">
        <v>38</v>
      </c>
      <c r="J89" s="1"/>
      <c r="K89" s="1">
        <v>453</v>
      </c>
      <c r="L89" s="1">
        <f t="shared" si="19"/>
        <v>-288</v>
      </c>
      <c r="M89" s="1"/>
      <c r="N89" s="1"/>
      <c r="O89" s="1">
        <v>171</v>
      </c>
      <c r="P89" s="1">
        <f t="shared" si="20"/>
        <v>33</v>
      </c>
      <c r="Q89" s="5">
        <f>8*P89-O89-F89</f>
        <v>258</v>
      </c>
      <c r="R89" s="1">
        <f t="shared" si="21"/>
        <v>8</v>
      </c>
      <c r="S89" s="1">
        <f t="shared" si="22"/>
        <v>0.18181818181818182</v>
      </c>
      <c r="T89" s="1">
        <v>30</v>
      </c>
      <c r="U89" s="1">
        <v>11.4</v>
      </c>
      <c r="V89" s="1">
        <v>5.6</v>
      </c>
      <c r="W89" s="1">
        <v>10</v>
      </c>
      <c r="X89" s="1">
        <v>7.8</v>
      </c>
      <c r="Y89" s="1">
        <v>5.8</v>
      </c>
      <c r="Z89" s="1">
        <v>0</v>
      </c>
      <c r="AA89" s="1">
        <v>0</v>
      </c>
      <c r="AB89" s="1">
        <v>0</v>
      </c>
      <c r="AC89" s="1">
        <v>0</v>
      </c>
      <c r="AD89" s="1" t="s">
        <v>39</v>
      </c>
      <c r="AE89" s="1"/>
      <c r="AF89" s="1"/>
      <c r="AG89" s="1">
        <f t="shared" si="23"/>
        <v>38.699999999999996</v>
      </c>
    </row>
    <row r="90" spans="1:33" customFormat="1" x14ac:dyDescent="0.25">
      <c r="A90" s="1" t="s">
        <v>141</v>
      </c>
      <c r="B90" s="1" t="s">
        <v>41</v>
      </c>
      <c r="C90" s="1">
        <v>3</v>
      </c>
      <c r="D90" s="1">
        <v>25</v>
      </c>
      <c r="E90" s="1">
        <v>30</v>
      </c>
      <c r="F90" s="1"/>
      <c r="G90" s="7">
        <v>0.26</v>
      </c>
      <c r="H90" s="1">
        <v>45</v>
      </c>
      <c r="I90" s="1" t="s">
        <v>38</v>
      </c>
      <c r="J90" s="1"/>
      <c r="K90" s="1">
        <v>137</v>
      </c>
      <c r="L90" s="1">
        <f t="shared" si="19"/>
        <v>-107</v>
      </c>
      <c r="M90" s="1"/>
      <c r="N90" s="1"/>
      <c r="O90" s="1">
        <v>124</v>
      </c>
      <c r="P90" s="1">
        <f t="shared" si="20"/>
        <v>6</v>
      </c>
      <c r="Q90" s="5"/>
      <c r="R90" s="1">
        <f t="shared" si="21"/>
        <v>20.666666666666668</v>
      </c>
      <c r="S90" s="1">
        <f t="shared" si="22"/>
        <v>20.666666666666668</v>
      </c>
      <c r="T90" s="1">
        <v>36.200000000000003</v>
      </c>
      <c r="U90" s="1">
        <v>3.4</v>
      </c>
      <c r="V90" s="1">
        <v>6.2</v>
      </c>
      <c r="W90" s="1">
        <v>11</v>
      </c>
      <c r="X90" s="1">
        <v>6.8</v>
      </c>
      <c r="Y90" s="1">
        <v>2.8</v>
      </c>
      <c r="Z90" s="1">
        <v>0</v>
      </c>
      <c r="AA90" s="1">
        <v>0</v>
      </c>
      <c r="AB90" s="1">
        <v>0</v>
      </c>
      <c r="AC90" s="1">
        <v>0</v>
      </c>
      <c r="AD90" s="1" t="s">
        <v>39</v>
      </c>
      <c r="AE90" s="1" t="s">
        <v>160</v>
      </c>
      <c r="AF90" s="1"/>
      <c r="AG90" s="1">
        <f t="shared" si="23"/>
        <v>0</v>
      </c>
    </row>
    <row r="91" spans="1:33" customFormat="1" x14ac:dyDescent="0.25">
      <c r="A91" s="1" t="s">
        <v>142</v>
      </c>
      <c r="B91" s="1" t="s">
        <v>37</v>
      </c>
      <c r="C91" s="1">
        <v>50.475000000000001</v>
      </c>
      <c r="D91" s="1">
        <v>46.664999999999999</v>
      </c>
      <c r="E91" s="1">
        <v>52.125999999999998</v>
      </c>
      <c r="F91" s="1">
        <v>48.389000000000003</v>
      </c>
      <c r="G91" s="7">
        <v>1</v>
      </c>
      <c r="H91" s="1">
        <v>30</v>
      </c>
      <c r="I91" s="1" t="s">
        <v>38</v>
      </c>
      <c r="J91" s="1"/>
      <c r="K91" s="1">
        <v>35.9</v>
      </c>
      <c r="L91" s="1">
        <f t="shared" si="19"/>
        <v>16.225999999999999</v>
      </c>
      <c r="M91" s="1"/>
      <c r="N91" s="1"/>
      <c r="O91" s="1">
        <v>36</v>
      </c>
      <c r="P91" s="1">
        <f t="shared" si="20"/>
        <v>10.4252</v>
      </c>
      <c r="Q91" s="5">
        <f t="shared" si="24"/>
        <v>71.989000000000004</v>
      </c>
      <c r="R91" s="1">
        <f t="shared" si="21"/>
        <v>15.000000000000002</v>
      </c>
      <c r="S91" s="1">
        <f t="shared" si="22"/>
        <v>8.094712811265012</v>
      </c>
      <c r="T91" s="1">
        <v>9.0858000000000008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 t="s">
        <v>39</v>
      </c>
      <c r="AE91" s="1" t="s">
        <v>160</v>
      </c>
      <c r="AF91" s="1" t="s">
        <v>160</v>
      </c>
      <c r="AG91" s="1">
        <f t="shared" si="23"/>
        <v>71.989000000000004</v>
      </c>
    </row>
    <row r="92" spans="1:33" customFormat="1" x14ac:dyDescent="0.25">
      <c r="A92" s="1" t="s">
        <v>143</v>
      </c>
      <c r="B92" s="1" t="s">
        <v>41</v>
      </c>
      <c r="C92" s="1">
        <v>3</v>
      </c>
      <c r="D92" s="1">
        <v>25</v>
      </c>
      <c r="E92" s="1">
        <v>30</v>
      </c>
      <c r="F92" s="1"/>
      <c r="G92" s="7">
        <v>0.31</v>
      </c>
      <c r="H92" s="1">
        <v>45</v>
      </c>
      <c r="I92" s="1" t="s">
        <v>38</v>
      </c>
      <c r="J92" s="1"/>
      <c r="K92" s="1">
        <v>123</v>
      </c>
      <c r="L92" s="1">
        <f t="shared" si="19"/>
        <v>-93</v>
      </c>
      <c r="M92" s="1"/>
      <c r="N92" s="1"/>
      <c r="O92" s="1">
        <v>129</v>
      </c>
      <c r="P92" s="1">
        <f t="shared" si="20"/>
        <v>6</v>
      </c>
      <c r="Q92" s="5"/>
      <c r="R92" s="1">
        <f t="shared" si="21"/>
        <v>21.5</v>
      </c>
      <c r="S92" s="1">
        <f t="shared" si="22"/>
        <v>21.5</v>
      </c>
      <c r="T92" s="1">
        <v>34.799999999999997</v>
      </c>
      <c r="U92" s="1">
        <v>5</v>
      </c>
      <c r="V92" s="1">
        <v>8.4</v>
      </c>
      <c r="W92" s="1">
        <v>9</v>
      </c>
      <c r="X92" s="1">
        <v>7.8</v>
      </c>
      <c r="Y92" s="1">
        <v>4</v>
      </c>
      <c r="Z92" s="1">
        <v>0</v>
      </c>
      <c r="AA92" s="1">
        <v>0</v>
      </c>
      <c r="AB92" s="1">
        <v>0</v>
      </c>
      <c r="AC92" s="1">
        <v>0</v>
      </c>
      <c r="AD92" s="1" t="s">
        <v>39</v>
      </c>
      <c r="AE92" s="1" t="s">
        <v>160</v>
      </c>
      <c r="AF92" s="1"/>
      <c r="AG92" s="1">
        <f t="shared" si="23"/>
        <v>0</v>
      </c>
    </row>
    <row r="93" spans="1:33" customFormat="1" x14ac:dyDescent="0.25">
      <c r="A93" s="1" t="s">
        <v>144</v>
      </c>
      <c r="B93" s="1" t="s">
        <v>37</v>
      </c>
      <c r="C93" s="1">
        <v>68.28</v>
      </c>
      <c r="D93" s="1">
        <v>51.066000000000003</v>
      </c>
      <c r="E93" s="1">
        <v>44.009</v>
      </c>
      <c r="F93" s="1">
        <v>75.731999999999999</v>
      </c>
      <c r="G93" s="7">
        <v>1</v>
      </c>
      <c r="H93" s="1">
        <v>30</v>
      </c>
      <c r="I93" s="1" t="s">
        <v>38</v>
      </c>
      <c r="J93" s="1"/>
      <c r="K93" s="1">
        <v>38.1</v>
      </c>
      <c r="L93" s="1">
        <f t="shared" si="19"/>
        <v>5.9089999999999989</v>
      </c>
      <c r="M93" s="1"/>
      <c r="N93" s="1"/>
      <c r="O93" s="1">
        <v>0</v>
      </c>
      <c r="P93" s="1">
        <f t="shared" si="20"/>
        <v>8.8018000000000001</v>
      </c>
      <c r="Q93" s="5">
        <f t="shared" si="24"/>
        <v>56.294999999999987</v>
      </c>
      <c r="R93" s="1">
        <f t="shared" si="21"/>
        <v>14.999999999999998</v>
      </c>
      <c r="S93" s="1">
        <f t="shared" si="22"/>
        <v>8.6041491513099597</v>
      </c>
      <c r="T93" s="1">
        <v>6.4154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 t="s">
        <v>39</v>
      </c>
      <c r="AE93" s="1" t="s">
        <v>160</v>
      </c>
      <c r="AF93" s="1" t="s">
        <v>160</v>
      </c>
      <c r="AG93" s="1">
        <f t="shared" si="23"/>
        <v>56.294999999999987</v>
      </c>
    </row>
    <row r="94" spans="1:33" customFormat="1" x14ac:dyDescent="0.25">
      <c r="A94" s="1" t="s">
        <v>145</v>
      </c>
      <c r="B94" s="1" t="s">
        <v>41</v>
      </c>
      <c r="C94" s="1">
        <v>117</v>
      </c>
      <c r="D94" s="1">
        <v>91</v>
      </c>
      <c r="E94" s="1">
        <v>104</v>
      </c>
      <c r="F94" s="1">
        <v>65</v>
      </c>
      <c r="G94" s="7">
        <v>0.4</v>
      </c>
      <c r="H94" s="1">
        <v>60</v>
      </c>
      <c r="I94" s="1" t="s">
        <v>38</v>
      </c>
      <c r="J94" s="1"/>
      <c r="K94" s="1">
        <v>111</v>
      </c>
      <c r="L94" s="1">
        <f t="shared" si="19"/>
        <v>-7</v>
      </c>
      <c r="M94" s="1"/>
      <c r="N94" s="1"/>
      <c r="O94" s="1">
        <v>43</v>
      </c>
      <c r="P94" s="1">
        <f t="shared" si="20"/>
        <v>20.8</v>
      </c>
      <c r="Q94" s="5">
        <f>13*P94-O94-F94</f>
        <v>162.40000000000003</v>
      </c>
      <c r="R94" s="1">
        <f t="shared" si="21"/>
        <v>13.000000000000002</v>
      </c>
      <c r="S94" s="1">
        <f t="shared" si="22"/>
        <v>5.1923076923076925</v>
      </c>
      <c r="T94" s="1">
        <v>31.4</v>
      </c>
      <c r="U94" s="1">
        <v>31.8</v>
      </c>
      <c r="V94" s="1">
        <v>39.4</v>
      </c>
      <c r="W94" s="1">
        <v>24.4</v>
      </c>
      <c r="X94" s="1">
        <v>65</v>
      </c>
      <c r="Y94" s="1">
        <v>53.4</v>
      </c>
      <c r="Z94" s="1">
        <v>32</v>
      </c>
      <c r="AA94" s="1">
        <v>33</v>
      </c>
      <c r="AB94" s="1">
        <v>43</v>
      </c>
      <c r="AC94" s="1">
        <v>36.6</v>
      </c>
      <c r="AD94" s="1"/>
      <c r="AE94" s="1"/>
      <c r="AF94" s="1"/>
      <c r="AG94" s="1">
        <f t="shared" si="23"/>
        <v>64.960000000000022</v>
      </c>
    </row>
    <row r="95" spans="1:33" customFormat="1" x14ac:dyDescent="0.25">
      <c r="A95" s="1" t="s">
        <v>146</v>
      </c>
      <c r="B95" s="1" t="s">
        <v>41</v>
      </c>
      <c r="C95" s="1">
        <v>5</v>
      </c>
      <c r="D95" s="1">
        <v>112</v>
      </c>
      <c r="E95" s="1">
        <v>61</v>
      </c>
      <c r="F95" s="1"/>
      <c r="G95" s="7">
        <v>0.35</v>
      </c>
      <c r="H95" s="1">
        <v>60</v>
      </c>
      <c r="I95" s="1" t="s">
        <v>38</v>
      </c>
      <c r="J95" s="1"/>
      <c r="K95" s="1">
        <v>80</v>
      </c>
      <c r="L95" s="1">
        <f t="shared" si="19"/>
        <v>-19</v>
      </c>
      <c r="M95" s="1"/>
      <c r="N95" s="1"/>
      <c r="O95" s="1">
        <v>0</v>
      </c>
      <c r="P95" s="1">
        <f t="shared" si="20"/>
        <v>12.2</v>
      </c>
      <c r="Q95" s="5">
        <f>8*P95-O95-F95</f>
        <v>97.6</v>
      </c>
      <c r="R95" s="1">
        <f t="shared" si="21"/>
        <v>8</v>
      </c>
      <c r="S95" s="1">
        <f t="shared" si="22"/>
        <v>0</v>
      </c>
      <c r="T95" s="1">
        <v>0.6</v>
      </c>
      <c r="U95" s="1">
        <v>0.2</v>
      </c>
      <c r="V95" s="1">
        <v>7.8</v>
      </c>
      <c r="W95" s="1">
        <v>0</v>
      </c>
      <c r="X95" s="1">
        <v>0</v>
      </c>
      <c r="Y95" s="1">
        <v>4.5999999999999996</v>
      </c>
      <c r="Z95" s="1">
        <v>3.6</v>
      </c>
      <c r="AA95" s="1">
        <v>1</v>
      </c>
      <c r="AB95" s="1">
        <v>0.6</v>
      </c>
      <c r="AC95" s="1">
        <v>0.4</v>
      </c>
      <c r="AD95" s="1" t="s">
        <v>147</v>
      </c>
      <c r="AE95" s="1"/>
      <c r="AF95" s="1"/>
      <c r="AG95" s="1">
        <f t="shared" si="23"/>
        <v>34.159999999999997</v>
      </c>
    </row>
    <row r="96" spans="1:33" customFormat="1" x14ac:dyDescent="0.25">
      <c r="A96" s="1" t="s">
        <v>148</v>
      </c>
      <c r="B96" s="1" t="s">
        <v>37</v>
      </c>
      <c r="C96" s="1">
        <v>54.991</v>
      </c>
      <c r="D96" s="1"/>
      <c r="E96" s="1">
        <v>17.760999999999999</v>
      </c>
      <c r="F96" s="1">
        <v>36.286999999999999</v>
      </c>
      <c r="G96" s="7">
        <v>1</v>
      </c>
      <c r="H96" s="1">
        <v>45</v>
      </c>
      <c r="I96" s="1" t="s">
        <v>38</v>
      </c>
      <c r="J96" s="1"/>
      <c r="K96" s="1">
        <v>18.2</v>
      </c>
      <c r="L96" s="1">
        <f t="shared" si="19"/>
        <v>-0.43900000000000006</v>
      </c>
      <c r="M96" s="1"/>
      <c r="N96" s="1"/>
      <c r="O96" s="1">
        <v>42</v>
      </c>
      <c r="P96" s="1">
        <f t="shared" si="20"/>
        <v>3.5522</v>
      </c>
      <c r="Q96" s="5"/>
      <c r="R96" s="1">
        <f t="shared" si="21"/>
        <v>22.039018073306686</v>
      </c>
      <c r="S96" s="1">
        <f t="shared" si="22"/>
        <v>22.039018073306686</v>
      </c>
      <c r="T96" s="1">
        <v>12.200200000000001</v>
      </c>
      <c r="U96" s="1">
        <v>1.3218000000000001</v>
      </c>
      <c r="V96" s="1">
        <v>3.1663999999999999</v>
      </c>
      <c r="W96" s="1">
        <v>11.7332</v>
      </c>
      <c r="X96" s="1">
        <v>0.34699999999999998</v>
      </c>
      <c r="Y96" s="1">
        <v>0.50080000000000002</v>
      </c>
      <c r="Z96" s="1">
        <v>0</v>
      </c>
      <c r="AA96" s="1">
        <v>0</v>
      </c>
      <c r="AB96" s="1">
        <v>0</v>
      </c>
      <c r="AC96" s="1">
        <v>0</v>
      </c>
      <c r="AD96" s="17" t="s">
        <v>173</v>
      </c>
      <c r="AE96" s="1" t="s">
        <v>160</v>
      </c>
      <c r="AF96" s="1"/>
      <c r="AG96" s="1">
        <f t="shared" si="23"/>
        <v>0</v>
      </c>
    </row>
    <row r="97" spans="1:35" x14ac:dyDescent="0.25">
      <c r="A97" s="1" t="s">
        <v>149</v>
      </c>
      <c r="B97" s="1" t="s">
        <v>37</v>
      </c>
      <c r="C97" s="1"/>
      <c r="D97" s="1">
        <v>127.521</v>
      </c>
      <c r="E97" s="1">
        <v>16.975999999999999</v>
      </c>
      <c r="F97" s="1">
        <v>108.86</v>
      </c>
      <c r="G97" s="7">
        <v>1</v>
      </c>
      <c r="H97" s="1">
        <v>45</v>
      </c>
      <c r="I97" s="1" t="s">
        <v>38</v>
      </c>
      <c r="J97" s="1"/>
      <c r="K97" s="1">
        <v>62.697000000000003</v>
      </c>
      <c r="L97" s="1">
        <f t="shared" si="19"/>
        <v>-45.721000000000004</v>
      </c>
      <c r="M97" s="1"/>
      <c r="N97" s="1"/>
      <c r="O97" s="1">
        <v>0</v>
      </c>
      <c r="P97" s="1">
        <f t="shared" si="20"/>
        <v>3.3952</v>
      </c>
      <c r="Q97" s="5"/>
      <c r="R97" s="1">
        <f t="shared" si="21"/>
        <v>32.062912346842602</v>
      </c>
      <c r="S97" s="1">
        <f t="shared" si="22"/>
        <v>32.062912346842602</v>
      </c>
      <c r="T97" s="1">
        <v>5.1155999999999997</v>
      </c>
      <c r="U97" s="1">
        <v>16.523</v>
      </c>
      <c r="V97" s="1">
        <v>0</v>
      </c>
      <c r="W97" s="1">
        <v>6.5928000000000004</v>
      </c>
      <c r="X97" s="1">
        <v>12.7</v>
      </c>
      <c r="Y97" s="1">
        <v>5.0625999999999998</v>
      </c>
      <c r="Z97" s="1">
        <v>0.50580000000000003</v>
      </c>
      <c r="AA97" s="1">
        <v>9.2891999999999992</v>
      </c>
      <c r="AB97" s="1">
        <v>4.9366000000000003</v>
      </c>
      <c r="AC97" s="1">
        <v>0.85839999999999994</v>
      </c>
      <c r="AD97" s="1"/>
      <c r="AE97" s="1"/>
      <c r="AF97" s="1"/>
      <c r="AG97" s="1">
        <f t="shared" si="23"/>
        <v>0</v>
      </c>
      <c r="AH97"/>
    </row>
    <row r="98" spans="1:35" x14ac:dyDescent="0.25">
      <c r="A98" s="1" t="s">
        <v>150</v>
      </c>
      <c r="B98" s="1" t="s">
        <v>41</v>
      </c>
      <c r="C98" s="1">
        <v>2</v>
      </c>
      <c r="D98" s="1"/>
      <c r="E98" s="1">
        <v>2</v>
      </c>
      <c r="F98" s="1"/>
      <c r="G98" s="7">
        <v>0.33</v>
      </c>
      <c r="H98" s="1">
        <v>45</v>
      </c>
      <c r="I98" s="1" t="s">
        <v>38</v>
      </c>
      <c r="J98" s="1"/>
      <c r="K98" s="1">
        <v>121</v>
      </c>
      <c r="L98" s="1">
        <f t="shared" si="19"/>
        <v>-119</v>
      </c>
      <c r="M98" s="1"/>
      <c r="N98" s="1"/>
      <c r="O98" s="1">
        <v>48</v>
      </c>
      <c r="P98" s="1">
        <f t="shared" si="20"/>
        <v>0.4</v>
      </c>
      <c r="Q98" s="5">
        <v>80</v>
      </c>
      <c r="R98" s="1">
        <f t="shared" si="21"/>
        <v>320</v>
      </c>
      <c r="S98" s="1">
        <f t="shared" si="22"/>
        <v>120</v>
      </c>
      <c r="T98" s="1">
        <v>10.6</v>
      </c>
      <c r="U98" s="1">
        <v>5</v>
      </c>
      <c r="V98" s="1">
        <v>1.6</v>
      </c>
      <c r="W98" s="1">
        <v>0</v>
      </c>
      <c r="X98" s="1">
        <v>-2.2000000000000002</v>
      </c>
      <c r="Y98" s="1">
        <v>23</v>
      </c>
      <c r="Z98" s="1">
        <v>25.8</v>
      </c>
      <c r="AA98" s="1">
        <v>35.200000000000003</v>
      </c>
      <c r="AB98" s="1">
        <v>18.8</v>
      </c>
      <c r="AC98" s="1">
        <v>4.8</v>
      </c>
      <c r="AD98" s="1" t="s">
        <v>151</v>
      </c>
      <c r="AE98" s="1"/>
      <c r="AF98" s="1"/>
      <c r="AG98" s="1">
        <f t="shared" si="23"/>
        <v>26.400000000000002</v>
      </c>
      <c r="AH98"/>
    </row>
    <row r="99" spans="1:35" x14ac:dyDescent="0.25">
      <c r="A99" s="1" t="s">
        <v>152</v>
      </c>
      <c r="B99" s="1" t="s">
        <v>41</v>
      </c>
      <c r="C99" s="1"/>
      <c r="D99" s="1">
        <v>152</v>
      </c>
      <c r="E99" s="1">
        <v>31</v>
      </c>
      <c r="F99" s="1">
        <v>106</v>
      </c>
      <c r="G99" s="7">
        <v>0.1</v>
      </c>
      <c r="H99" s="1">
        <v>60</v>
      </c>
      <c r="I99" s="1" t="s">
        <v>38</v>
      </c>
      <c r="J99" s="1"/>
      <c r="K99" s="1">
        <v>156</v>
      </c>
      <c r="L99" s="1">
        <f t="shared" si="19"/>
        <v>-125</v>
      </c>
      <c r="M99" s="1"/>
      <c r="N99" s="1"/>
      <c r="O99" s="1">
        <v>103</v>
      </c>
      <c r="P99" s="1">
        <f t="shared" si="20"/>
        <v>6.2</v>
      </c>
      <c r="Q99" s="5"/>
      <c r="R99" s="1">
        <f t="shared" si="21"/>
        <v>33.70967741935484</v>
      </c>
      <c r="S99" s="1">
        <f t="shared" si="22"/>
        <v>33.70967741935484</v>
      </c>
      <c r="T99" s="1">
        <v>25.6</v>
      </c>
      <c r="U99" s="1">
        <v>29.2</v>
      </c>
      <c r="V99" s="1">
        <v>28.4</v>
      </c>
      <c r="W99" s="1">
        <v>25.8</v>
      </c>
      <c r="X99" s="1">
        <v>40.4</v>
      </c>
      <c r="Y99" s="1">
        <v>27</v>
      </c>
      <c r="Z99" s="1">
        <v>16.2</v>
      </c>
      <c r="AA99" s="1">
        <v>1.4</v>
      </c>
      <c r="AB99" s="1">
        <v>17</v>
      </c>
      <c r="AC99" s="1">
        <v>24.6</v>
      </c>
      <c r="AD99" s="1" t="s">
        <v>153</v>
      </c>
      <c r="AE99" s="1"/>
      <c r="AF99" s="1"/>
      <c r="AG99" s="1">
        <f t="shared" si="23"/>
        <v>0</v>
      </c>
      <c r="AH99"/>
    </row>
    <row r="100" spans="1:35" x14ac:dyDescent="0.25">
      <c r="A100" s="1" t="s">
        <v>79</v>
      </c>
      <c r="B100" s="1" t="s">
        <v>41</v>
      </c>
      <c r="C100" s="1">
        <v>2</v>
      </c>
      <c r="D100" s="1">
        <v>442</v>
      </c>
      <c r="E100" s="1">
        <v>9</v>
      </c>
      <c r="F100" s="13">
        <f>432+F34</f>
        <v>434</v>
      </c>
      <c r="G100" s="7">
        <v>0.1</v>
      </c>
      <c r="H100" s="1">
        <v>60</v>
      </c>
      <c r="I100" s="1" t="s">
        <v>38</v>
      </c>
      <c r="J100" s="1"/>
      <c r="K100" s="1">
        <v>132</v>
      </c>
      <c r="L100" s="1">
        <f t="shared" si="19"/>
        <v>-123</v>
      </c>
      <c r="M100" s="1"/>
      <c r="N100" s="1"/>
      <c r="O100" s="1">
        <v>0</v>
      </c>
      <c r="P100" s="1">
        <f t="shared" si="20"/>
        <v>1.8</v>
      </c>
      <c r="Q100" s="5"/>
      <c r="R100" s="1">
        <f t="shared" si="21"/>
        <v>241.11111111111111</v>
      </c>
      <c r="S100" s="1">
        <f t="shared" si="22"/>
        <v>241.11111111111111</v>
      </c>
      <c r="T100" s="1">
        <v>24.8</v>
      </c>
      <c r="U100" s="1">
        <v>52.8</v>
      </c>
      <c r="V100" s="1">
        <v>10.8</v>
      </c>
      <c r="W100" s="1">
        <v>29.2</v>
      </c>
      <c r="X100" s="1">
        <v>51</v>
      </c>
      <c r="Y100" s="1">
        <v>2.2000000000000002</v>
      </c>
      <c r="Z100" s="1">
        <v>20.399999999999999</v>
      </c>
      <c r="AA100" s="1">
        <v>38.799999999999997</v>
      </c>
      <c r="AB100" s="1">
        <v>20</v>
      </c>
      <c r="AC100" s="1">
        <v>-0.4</v>
      </c>
      <c r="AD100" s="1" t="s">
        <v>154</v>
      </c>
      <c r="AE100" s="1"/>
      <c r="AF100" s="1"/>
      <c r="AG100" s="1">
        <f t="shared" si="23"/>
        <v>0</v>
      </c>
      <c r="AH100"/>
    </row>
    <row r="101" spans="1:35" x14ac:dyDescent="0.25">
      <c r="A101" s="1" t="s">
        <v>155</v>
      </c>
      <c r="B101" s="1" t="s">
        <v>41</v>
      </c>
      <c r="C101" s="1">
        <v>159</v>
      </c>
      <c r="D101" s="1">
        <v>433</v>
      </c>
      <c r="E101" s="1">
        <v>180</v>
      </c>
      <c r="F101" s="1">
        <v>249</v>
      </c>
      <c r="G101" s="7">
        <v>0.4</v>
      </c>
      <c r="H101" s="1">
        <v>60</v>
      </c>
      <c r="I101" s="1" t="s">
        <v>38</v>
      </c>
      <c r="J101" s="1"/>
      <c r="K101" s="1">
        <v>185</v>
      </c>
      <c r="L101" s="1">
        <f t="shared" si="19"/>
        <v>-5</v>
      </c>
      <c r="M101" s="1"/>
      <c r="N101" s="1"/>
      <c r="O101" s="1">
        <v>104</v>
      </c>
      <c r="P101" s="1">
        <f t="shared" si="20"/>
        <v>36</v>
      </c>
      <c r="Q101" s="5">
        <f t="shared" si="24"/>
        <v>187</v>
      </c>
      <c r="R101" s="1">
        <f t="shared" si="21"/>
        <v>15</v>
      </c>
      <c r="S101" s="1">
        <f t="shared" si="22"/>
        <v>9.8055555555555554</v>
      </c>
      <c r="T101" s="1">
        <v>61.6</v>
      </c>
      <c r="U101" s="1">
        <v>72.8</v>
      </c>
      <c r="V101" s="1">
        <v>96.4</v>
      </c>
      <c r="W101" s="1">
        <v>80</v>
      </c>
      <c r="X101" s="1">
        <v>80.2</v>
      </c>
      <c r="Y101" s="1">
        <v>93.8</v>
      </c>
      <c r="Z101" s="1">
        <v>30.4</v>
      </c>
      <c r="AA101" s="1">
        <v>47.8</v>
      </c>
      <c r="AB101" s="1">
        <v>65.8</v>
      </c>
      <c r="AC101" s="1">
        <v>42</v>
      </c>
      <c r="AD101" s="1" t="s">
        <v>156</v>
      </c>
      <c r="AE101" s="1"/>
      <c r="AF101" s="1"/>
      <c r="AG101" s="1">
        <f t="shared" si="23"/>
        <v>74.8</v>
      </c>
      <c r="AH101"/>
    </row>
    <row r="102" spans="1:35" x14ac:dyDescent="0.25">
      <c r="A102" s="1" t="s">
        <v>157</v>
      </c>
      <c r="B102" s="1" t="s">
        <v>41</v>
      </c>
      <c r="C102" s="1">
        <v>80</v>
      </c>
      <c r="D102" s="1"/>
      <c r="E102" s="1">
        <v>25</v>
      </c>
      <c r="F102" s="1">
        <v>53</v>
      </c>
      <c r="G102" s="7">
        <v>0.1</v>
      </c>
      <c r="H102" s="1"/>
      <c r="I102" s="19" t="s">
        <v>169</v>
      </c>
      <c r="J102" s="1"/>
      <c r="K102" s="1">
        <v>32</v>
      </c>
      <c r="L102" s="1">
        <f t="shared" ref="L102:L105" si="25">E102-K102</f>
        <v>-7</v>
      </c>
      <c r="M102" s="1"/>
      <c r="N102" s="1"/>
      <c r="O102" s="1">
        <v>0</v>
      </c>
      <c r="P102" s="1">
        <f t="shared" si="20"/>
        <v>5</v>
      </c>
      <c r="Q102" s="5">
        <f t="shared" si="24"/>
        <v>22</v>
      </c>
      <c r="R102" s="1">
        <f t="shared" ref="R102:R105" si="26">(F102+O102+Q102)/P102</f>
        <v>15</v>
      </c>
      <c r="S102" s="1">
        <f t="shared" si="22"/>
        <v>10.6</v>
      </c>
      <c r="T102" s="1">
        <v>6.8</v>
      </c>
      <c r="U102" s="1">
        <v>-0.8</v>
      </c>
      <c r="V102" s="1">
        <v>2.4</v>
      </c>
      <c r="W102" s="1">
        <v>23</v>
      </c>
      <c r="X102" s="1">
        <v>4.8</v>
      </c>
      <c r="Y102" s="1">
        <v>1.6</v>
      </c>
      <c r="Z102" s="1">
        <v>16</v>
      </c>
      <c r="AA102" s="1">
        <v>1.8</v>
      </c>
      <c r="AB102" s="1">
        <v>0</v>
      </c>
      <c r="AC102" s="1">
        <v>0</v>
      </c>
      <c r="AD102" s="1" t="s">
        <v>39</v>
      </c>
      <c r="AE102" s="15" t="s">
        <v>164</v>
      </c>
      <c r="AF102" s="1" t="s">
        <v>164</v>
      </c>
      <c r="AG102" s="1">
        <f t="shared" si="23"/>
        <v>2.2000000000000002</v>
      </c>
      <c r="AH102" s="20">
        <v>1001097747730</v>
      </c>
      <c r="AI102" t="s">
        <v>178</v>
      </c>
    </row>
    <row r="103" spans="1:35" x14ac:dyDescent="0.25">
      <c r="A103" s="1" t="s">
        <v>158</v>
      </c>
      <c r="B103" s="1" t="s">
        <v>41</v>
      </c>
      <c r="C103" s="1">
        <v>71</v>
      </c>
      <c r="D103" s="1"/>
      <c r="E103" s="1">
        <v>17</v>
      </c>
      <c r="F103" s="1">
        <v>53</v>
      </c>
      <c r="G103" s="7">
        <v>0.1</v>
      </c>
      <c r="H103" s="1"/>
      <c r="I103" s="19" t="s">
        <v>170</v>
      </c>
      <c r="J103" s="1"/>
      <c r="K103" s="1">
        <v>24</v>
      </c>
      <c r="L103" s="1">
        <f t="shared" si="25"/>
        <v>-7</v>
      </c>
      <c r="M103" s="1"/>
      <c r="N103" s="1"/>
      <c r="O103" s="1">
        <v>4</v>
      </c>
      <c r="P103" s="1">
        <f t="shared" si="20"/>
        <v>3.4</v>
      </c>
      <c r="Q103" s="5"/>
      <c r="R103" s="1">
        <f t="shared" si="26"/>
        <v>16.764705882352942</v>
      </c>
      <c r="S103" s="1">
        <f t="shared" si="22"/>
        <v>16.764705882352942</v>
      </c>
      <c r="T103" s="1">
        <v>8.8000000000000007</v>
      </c>
      <c r="U103" s="1">
        <v>1</v>
      </c>
      <c r="V103" s="1">
        <v>2.8</v>
      </c>
      <c r="W103" s="1">
        <v>22.8</v>
      </c>
      <c r="X103" s="1">
        <v>5.4</v>
      </c>
      <c r="Y103" s="1">
        <v>1.6</v>
      </c>
      <c r="Z103" s="1">
        <v>16</v>
      </c>
      <c r="AA103" s="1">
        <v>1.6</v>
      </c>
      <c r="AB103" s="1">
        <v>0</v>
      </c>
      <c r="AC103" s="1">
        <v>0</v>
      </c>
      <c r="AD103" s="1" t="s">
        <v>39</v>
      </c>
      <c r="AE103" s="15" t="s">
        <v>165</v>
      </c>
      <c r="AF103" s="1" t="s">
        <v>165</v>
      </c>
      <c r="AG103" s="1">
        <f t="shared" si="23"/>
        <v>0</v>
      </c>
      <c r="AH103" s="20">
        <v>1001097767731</v>
      </c>
      <c r="AI103" t="s">
        <v>179</v>
      </c>
    </row>
    <row r="104" spans="1:35" x14ac:dyDescent="0.25">
      <c r="A104" s="1" t="s">
        <v>159</v>
      </c>
      <c r="B104" s="1" t="s">
        <v>41</v>
      </c>
      <c r="C104" s="1">
        <v>5</v>
      </c>
      <c r="D104" s="1"/>
      <c r="E104" s="1">
        <v>6</v>
      </c>
      <c r="F104" s="1"/>
      <c r="G104" s="7">
        <v>0.3</v>
      </c>
      <c r="H104" s="1">
        <v>45</v>
      </c>
      <c r="I104" s="1" t="s">
        <v>38</v>
      </c>
      <c r="J104" s="1"/>
      <c r="K104" s="1">
        <v>24</v>
      </c>
      <c r="L104" s="1">
        <f t="shared" si="25"/>
        <v>-18</v>
      </c>
      <c r="M104" s="1"/>
      <c r="N104" s="1"/>
      <c r="O104" s="1">
        <v>0</v>
      </c>
      <c r="P104" s="1">
        <f t="shared" si="20"/>
        <v>1.2</v>
      </c>
      <c r="Q104" s="5">
        <f>8*P104-O104-F104</f>
        <v>9.6</v>
      </c>
      <c r="R104" s="1">
        <f t="shared" si="26"/>
        <v>8</v>
      </c>
      <c r="S104" s="1">
        <f t="shared" si="22"/>
        <v>0</v>
      </c>
      <c r="T104" s="1">
        <v>10.4</v>
      </c>
      <c r="U104" s="1">
        <v>0.6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39</v>
      </c>
      <c r="AE104" s="1" t="s">
        <v>160</v>
      </c>
      <c r="AF104" s="1" t="s">
        <v>160</v>
      </c>
      <c r="AG104" s="1">
        <f t="shared" si="23"/>
        <v>2.88</v>
      </c>
      <c r="AH104"/>
    </row>
    <row r="105" spans="1:35" x14ac:dyDescent="0.25">
      <c r="A105" s="9" t="s">
        <v>181</v>
      </c>
      <c r="B105" s="9" t="s">
        <v>37</v>
      </c>
      <c r="C105" s="9"/>
      <c r="D105" s="9"/>
      <c r="E105" s="9"/>
      <c r="F105" s="9"/>
      <c r="G105" s="10">
        <v>0</v>
      </c>
      <c r="H105" s="9"/>
      <c r="I105" s="9" t="s">
        <v>38</v>
      </c>
      <c r="J105" s="9"/>
      <c r="K105" s="9"/>
      <c r="L105" s="9">
        <f t="shared" si="25"/>
        <v>0</v>
      </c>
      <c r="M105" s="9"/>
      <c r="N105" s="9"/>
      <c r="O105" s="9">
        <v>0</v>
      </c>
      <c r="P105" s="9">
        <f t="shared" si="20"/>
        <v>0</v>
      </c>
      <c r="Q105" s="11"/>
      <c r="R105" s="9" t="e">
        <f t="shared" si="26"/>
        <v>#DIV/0!</v>
      </c>
      <c r="S105" s="9" t="e">
        <f t="shared" si="22"/>
        <v>#DIV/0!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 t="s">
        <v>106</v>
      </c>
      <c r="AE105" s="9"/>
      <c r="AF105" s="9"/>
      <c r="AG105" s="9"/>
      <c r="AH105"/>
    </row>
    <row r="106" spans="1:35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5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5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5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5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5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5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</sheetData>
  <autoFilter ref="A3:AG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2026-09-28T08:25:45Z</dcterms:created>
  <dcterms:modified xsi:type="dcterms:W3CDTF">2026-09-28T11:06:05Z</dcterms:modified>
</cp:coreProperties>
</file>