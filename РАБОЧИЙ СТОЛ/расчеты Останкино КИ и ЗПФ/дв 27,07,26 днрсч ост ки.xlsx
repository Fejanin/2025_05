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9990EF6B-349E-449A-BC55-E533FC5B4A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5" i="1" l="1"/>
  <c r="R115" i="1" s="1"/>
  <c r="U115" i="1" s="1"/>
  <c r="L115" i="1"/>
  <c r="M114" i="1"/>
  <c r="R114" i="1" s="1"/>
  <c r="L114" i="1"/>
  <c r="M113" i="1"/>
  <c r="R113" i="1" s="1"/>
  <c r="AF113" i="1" s="1"/>
  <c r="L113" i="1"/>
  <c r="M112" i="1"/>
  <c r="R112" i="1" s="1"/>
  <c r="AF112" i="1" s="1"/>
  <c r="L112" i="1"/>
  <c r="M111" i="1"/>
  <c r="R111" i="1" s="1"/>
  <c r="L111" i="1"/>
  <c r="F111" i="1"/>
  <c r="F110" i="1"/>
  <c r="E110" i="1"/>
  <c r="L110" i="1" s="1"/>
  <c r="F109" i="1"/>
  <c r="E109" i="1"/>
  <c r="L109" i="1" s="1"/>
  <c r="F108" i="1"/>
  <c r="E108" i="1"/>
  <c r="L108" i="1" s="1"/>
  <c r="F107" i="1"/>
  <c r="E107" i="1"/>
  <c r="L107" i="1" s="1"/>
  <c r="M106" i="1"/>
  <c r="R106" i="1" s="1"/>
  <c r="S106" i="1" s="1"/>
  <c r="L106" i="1"/>
  <c r="M105" i="1"/>
  <c r="R105" i="1" s="1"/>
  <c r="L105" i="1"/>
  <c r="M104" i="1"/>
  <c r="R104" i="1" s="1"/>
  <c r="AF104" i="1" s="1"/>
  <c r="L104" i="1"/>
  <c r="M103" i="1"/>
  <c r="R103" i="1" s="1"/>
  <c r="L103" i="1"/>
  <c r="F103" i="1"/>
  <c r="M102" i="1"/>
  <c r="R102" i="1" s="1"/>
  <c r="S102" i="1" s="1"/>
  <c r="AF102" i="1" s="1"/>
  <c r="L102" i="1"/>
  <c r="M101" i="1"/>
  <c r="R101" i="1" s="1"/>
  <c r="AF101" i="1" s="1"/>
  <c r="L101" i="1"/>
  <c r="M100" i="1"/>
  <c r="R100" i="1" s="1"/>
  <c r="L100" i="1"/>
  <c r="M99" i="1"/>
  <c r="R99" i="1" s="1"/>
  <c r="AF99" i="1" s="1"/>
  <c r="L99" i="1"/>
  <c r="M98" i="1"/>
  <c r="R98" i="1" s="1"/>
  <c r="L98" i="1"/>
  <c r="M97" i="1"/>
  <c r="R97" i="1" s="1"/>
  <c r="L97" i="1"/>
  <c r="M96" i="1"/>
  <c r="R96" i="1" s="1"/>
  <c r="U96" i="1" s="1"/>
  <c r="L96" i="1"/>
  <c r="M95" i="1"/>
  <c r="R95" i="1" s="1"/>
  <c r="L95" i="1"/>
  <c r="M94" i="1"/>
  <c r="R94" i="1" s="1"/>
  <c r="L94" i="1"/>
  <c r="M93" i="1"/>
  <c r="R93" i="1" s="1"/>
  <c r="L93" i="1"/>
  <c r="M92" i="1"/>
  <c r="R92" i="1" s="1"/>
  <c r="L92" i="1"/>
  <c r="M91" i="1"/>
  <c r="R91" i="1" s="1"/>
  <c r="U91" i="1" s="1"/>
  <c r="L91" i="1"/>
  <c r="M90" i="1"/>
  <c r="R90" i="1" s="1"/>
  <c r="L90" i="1"/>
  <c r="M89" i="1"/>
  <c r="R89" i="1" s="1"/>
  <c r="AF89" i="1" s="1"/>
  <c r="L89" i="1"/>
  <c r="M88" i="1"/>
  <c r="R88" i="1" s="1"/>
  <c r="L88" i="1"/>
  <c r="M87" i="1"/>
  <c r="R87" i="1" s="1"/>
  <c r="S87" i="1" s="1"/>
  <c r="L87" i="1"/>
  <c r="M86" i="1"/>
  <c r="R86" i="1" s="1"/>
  <c r="L86" i="1"/>
  <c r="M85" i="1"/>
  <c r="R85" i="1" s="1"/>
  <c r="S85" i="1" s="1"/>
  <c r="AF85" i="1" s="1"/>
  <c r="L85" i="1"/>
  <c r="M84" i="1"/>
  <c r="R84" i="1" s="1"/>
  <c r="S84" i="1" s="1"/>
  <c r="AF84" i="1" s="1"/>
  <c r="L84" i="1"/>
  <c r="M83" i="1"/>
  <c r="R83" i="1" s="1"/>
  <c r="L83" i="1"/>
  <c r="M82" i="1"/>
  <c r="R82" i="1" s="1"/>
  <c r="S82" i="1" s="1"/>
  <c r="AF82" i="1" s="1"/>
  <c r="L82" i="1"/>
  <c r="M81" i="1"/>
  <c r="R81" i="1" s="1"/>
  <c r="S81" i="1" s="1"/>
  <c r="AF81" i="1" s="1"/>
  <c r="L81" i="1"/>
  <c r="M80" i="1"/>
  <c r="R80" i="1" s="1"/>
  <c r="U80" i="1" s="1"/>
  <c r="L80" i="1"/>
  <c r="M79" i="1"/>
  <c r="R79" i="1" s="1"/>
  <c r="L79" i="1"/>
  <c r="M78" i="1"/>
  <c r="R78" i="1" s="1"/>
  <c r="L78" i="1"/>
  <c r="M77" i="1"/>
  <c r="R77" i="1" s="1"/>
  <c r="L77" i="1"/>
  <c r="M76" i="1"/>
  <c r="R76" i="1" s="1"/>
  <c r="L76" i="1"/>
  <c r="M75" i="1"/>
  <c r="R75" i="1" s="1"/>
  <c r="AF75" i="1" s="1"/>
  <c r="L75" i="1"/>
  <c r="M74" i="1"/>
  <c r="R74" i="1" s="1"/>
  <c r="AF74" i="1" s="1"/>
  <c r="L74" i="1"/>
  <c r="M73" i="1"/>
  <c r="R73" i="1" s="1"/>
  <c r="L73" i="1"/>
  <c r="M72" i="1"/>
  <c r="R72" i="1" s="1"/>
  <c r="L72" i="1"/>
  <c r="M71" i="1"/>
  <c r="R71" i="1" s="1"/>
  <c r="L71" i="1"/>
  <c r="M70" i="1"/>
  <c r="R70" i="1" s="1"/>
  <c r="S70" i="1" s="1"/>
  <c r="AF70" i="1" s="1"/>
  <c r="L70" i="1"/>
  <c r="M69" i="1"/>
  <c r="R69" i="1" s="1"/>
  <c r="L69" i="1"/>
  <c r="F69" i="1"/>
  <c r="M68" i="1"/>
  <c r="R68" i="1" s="1"/>
  <c r="L68" i="1"/>
  <c r="M67" i="1"/>
  <c r="R67" i="1" s="1"/>
  <c r="L67" i="1"/>
  <c r="F67" i="1"/>
  <c r="M66" i="1"/>
  <c r="R66" i="1" s="1"/>
  <c r="S66" i="1" s="1"/>
  <c r="L66" i="1"/>
  <c r="M65" i="1"/>
  <c r="R65" i="1" s="1"/>
  <c r="L65" i="1"/>
  <c r="M64" i="1"/>
  <c r="R64" i="1" s="1"/>
  <c r="S64" i="1" s="1"/>
  <c r="L64" i="1"/>
  <c r="M63" i="1"/>
  <c r="R63" i="1" s="1"/>
  <c r="S63" i="1" s="1"/>
  <c r="L63" i="1"/>
  <c r="M62" i="1"/>
  <c r="R62" i="1" s="1"/>
  <c r="L62" i="1"/>
  <c r="M61" i="1"/>
  <c r="R61" i="1" s="1"/>
  <c r="L61" i="1"/>
  <c r="M60" i="1"/>
  <c r="R60" i="1" s="1"/>
  <c r="L60" i="1"/>
  <c r="M59" i="1"/>
  <c r="R59" i="1" s="1"/>
  <c r="L59" i="1"/>
  <c r="M58" i="1"/>
  <c r="R58" i="1" s="1"/>
  <c r="L58" i="1"/>
  <c r="M57" i="1"/>
  <c r="R57" i="1" s="1"/>
  <c r="S57" i="1" s="1"/>
  <c r="L57" i="1"/>
  <c r="M56" i="1"/>
  <c r="R56" i="1" s="1"/>
  <c r="S56" i="1" s="1"/>
  <c r="L56" i="1"/>
  <c r="M55" i="1"/>
  <c r="R55" i="1" s="1"/>
  <c r="S55" i="1" s="1"/>
  <c r="L55" i="1"/>
  <c r="M54" i="1"/>
  <c r="R54" i="1" s="1"/>
  <c r="L54" i="1"/>
  <c r="M53" i="1"/>
  <c r="R53" i="1" s="1"/>
  <c r="S53" i="1" s="1"/>
  <c r="L53" i="1"/>
  <c r="M52" i="1"/>
  <c r="R52" i="1" s="1"/>
  <c r="L52" i="1"/>
  <c r="M51" i="1"/>
  <c r="R51" i="1" s="1"/>
  <c r="T51" i="1" s="1"/>
  <c r="L51" i="1"/>
  <c r="M50" i="1"/>
  <c r="R50" i="1" s="1"/>
  <c r="S50" i="1" s="1"/>
  <c r="L50" i="1"/>
  <c r="M49" i="1"/>
  <c r="R49" i="1" s="1"/>
  <c r="S49" i="1" s="1"/>
  <c r="L49" i="1"/>
  <c r="M48" i="1"/>
  <c r="L48" i="1"/>
  <c r="M47" i="1"/>
  <c r="R47" i="1" s="1"/>
  <c r="L47" i="1"/>
  <c r="M46" i="1"/>
  <c r="R46" i="1" s="1"/>
  <c r="U46" i="1" s="1"/>
  <c r="L46" i="1"/>
  <c r="M45" i="1"/>
  <c r="R45" i="1" s="1"/>
  <c r="L45" i="1"/>
  <c r="M44" i="1"/>
  <c r="R44" i="1" s="1"/>
  <c r="S44" i="1" s="1"/>
  <c r="L44" i="1"/>
  <c r="M43" i="1"/>
  <c r="R43" i="1" s="1"/>
  <c r="L43" i="1"/>
  <c r="M42" i="1"/>
  <c r="R42" i="1" s="1"/>
  <c r="S42" i="1" s="1"/>
  <c r="L42" i="1"/>
  <c r="M41" i="1"/>
  <c r="R41" i="1" s="1"/>
  <c r="L41" i="1"/>
  <c r="M40" i="1"/>
  <c r="R40" i="1" s="1"/>
  <c r="L40" i="1"/>
  <c r="M39" i="1"/>
  <c r="R39" i="1" s="1"/>
  <c r="S39" i="1" s="1"/>
  <c r="L39" i="1"/>
  <c r="M38" i="1"/>
  <c r="R38" i="1" s="1"/>
  <c r="T38" i="1" s="1"/>
  <c r="L38" i="1"/>
  <c r="M37" i="1"/>
  <c r="R37" i="1" s="1"/>
  <c r="U37" i="1" s="1"/>
  <c r="L37" i="1"/>
  <c r="M36" i="1"/>
  <c r="R36" i="1" s="1"/>
  <c r="T36" i="1" s="1"/>
  <c r="L36" i="1"/>
  <c r="M35" i="1"/>
  <c r="R35" i="1" s="1"/>
  <c r="U35" i="1" s="1"/>
  <c r="L35" i="1"/>
  <c r="M34" i="1"/>
  <c r="R34" i="1" s="1"/>
  <c r="L34" i="1"/>
  <c r="M33" i="1"/>
  <c r="R33" i="1" s="1"/>
  <c r="L33" i="1"/>
  <c r="M32" i="1"/>
  <c r="R32" i="1" s="1"/>
  <c r="T32" i="1" s="1"/>
  <c r="L32" i="1"/>
  <c r="M31" i="1"/>
  <c r="R31" i="1" s="1"/>
  <c r="L31" i="1"/>
  <c r="M30" i="1"/>
  <c r="L30" i="1"/>
  <c r="M29" i="1"/>
  <c r="R29" i="1" s="1"/>
  <c r="U29" i="1" s="1"/>
  <c r="L29" i="1"/>
  <c r="M28" i="1"/>
  <c r="R28" i="1" s="1"/>
  <c r="L28" i="1"/>
  <c r="F28" i="1"/>
  <c r="M27" i="1"/>
  <c r="R27" i="1" s="1"/>
  <c r="AF27" i="1" s="1"/>
  <c r="L27" i="1"/>
  <c r="M26" i="1"/>
  <c r="R26" i="1" s="1"/>
  <c r="AF26" i="1" s="1"/>
  <c r="L26" i="1"/>
  <c r="M25" i="1"/>
  <c r="R25" i="1" s="1"/>
  <c r="S25" i="1" s="1"/>
  <c r="AF25" i="1" s="1"/>
  <c r="L25" i="1"/>
  <c r="M24" i="1"/>
  <c r="R24" i="1" s="1"/>
  <c r="S24" i="1" s="1"/>
  <c r="AF24" i="1" s="1"/>
  <c r="L24" i="1"/>
  <c r="M23" i="1"/>
  <c r="R23" i="1" s="1"/>
  <c r="T23" i="1" s="1"/>
  <c r="L23" i="1"/>
  <c r="M22" i="1"/>
  <c r="R22" i="1" s="1"/>
  <c r="S22" i="1" s="1"/>
  <c r="L22" i="1"/>
  <c r="M21" i="1"/>
  <c r="R21" i="1" s="1"/>
  <c r="S21" i="1" s="1"/>
  <c r="L21" i="1"/>
  <c r="M20" i="1"/>
  <c r="R20" i="1" s="1"/>
  <c r="L20" i="1"/>
  <c r="M19" i="1"/>
  <c r="R19" i="1" s="1"/>
  <c r="S19" i="1" s="1"/>
  <c r="L19" i="1"/>
  <c r="M18" i="1"/>
  <c r="R18" i="1" s="1"/>
  <c r="L18" i="1"/>
  <c r="M17" i="1"/>
  <c r="R17" i="1" s="1"/>
  <c r="L17" i="1"/>
  <c r="M16" i="1"/>
  <c r="R16" i="1" s="1"/>
  <c r="L16" i="1"/>
  <c r="M15" i="1"/>
  <c r="R15" i="1" s="1"/>
  <c r="L15" i="1"/>
  <c r="M14" i="1"/>
  <c r="R14" i="1" s="1"/>
  <c r="L14" i="1"/>
  <c r="M13" i="1"/>
  <c r="R13" i="1" s="1"/>
  <c r="S13" i="1" s="1"/>
  <c r="L13" i="1"/>
  <c r="M12" i="1"/>
  <c r="R12" i="1" s="1"/>
  <c r="L12" i="1"/>
  <c r="M11" i="1"/>
  <c r="R11" i="1" s="1"/>
  <c r="S11" i="1" s="1"/>
  <c r="L11" i="1"/>
  <c r="M10" i="1"/>
  <c r="R10" i="1" s="1"/>
  <c r="S10" i="1" s="1"/>
  <c r="L10" i="1"/>
  <c r="M9" i="1"/>
  <c r="R9" i="1" s="1"/>
  <c r="L9" i="1"/>
  <c r="M8" i="1"/>
  <c r="R8" i="1" s="1"/>
  <c r="S8" i="1" s="1"/>
  <c r="L8" i="1"/>
  <c r="M7" i="1"/>
  <c r="R7" i="1" s="1"/>
  <c r="S7" i="1" s="1"/>
  <c r="L7" i="1"/>
  <c r="M6" i="1"/>
  <c r="R6" i="1" s="1"/>
  <c r="S6" i="1" s="1"/>
  <c r="L6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K5" i="1"/>
  <c r="S28" i="1" l="1"/>
  <c r="AF86" i="1"/>
  <c r="S86" i="1"/>
  <c r="AF88" i="1"/>
  <c r="S88" i="1"/>
  <c r="AF98" i="1"/>
  <c r="S98" i="1"/>
  <c r="S73" i="1"/>
  <c r="AF73" i="1" s="1"/>
  <c r="R48" i="1"/>
  <c r="S72" i="1"/>
  <c r="AF72" i="1" s="1"/>
  <c r="S100" i="1"/>
  <c r="AF100" i="1" s="1"/>
  <c r="S67" i="1"/>
  <c r="AF67" i="1" s="1"/>
  <c r="S103" i="1"/>
  <c r="AF103" i="1" s="1"/>
  <c r="T29" i="1"/>
  <c r="AF30" i="1"/>
  <c r="R30" i="1"/>
  <c r="U30" i="1" s="1"/>
  <c r="L5" i="1"/>
  <c r="E5" i="1"/>
  <c r="AF8" i="1"/>
  <c r="AF10" i="1"/>
  <c r="S12" i="1"/>
  <c r="AF12" i="1" s="1"/>
  <c r="S14" i="1"/>
  <c r="AF14" i="1" s="1"/>
  <c r="S16" i="1"/>
  <c r="AF16" i="1" s="1"/>
  <c r="AF18" i="1"/>
  <c r="S20" i="1"/>
  <c r="AF20" i="1" s="1"/>
  <c r="AF22" i="1"/>
  <c r="U33" i="1"/>
  <c r="S33" i="1"/>
  <c r="AF33" i="1" s="1"/>
  <c r="U40" i="1"/>
  <c r="AF40" i="1"/>
  <c r="U44" i="1"/>
  <c r="AF44" i="1"/>
  <c r="AF49" i="1"/>
  <c r="U52" i="1"/>
  <c r="U54" i="1"/>
  <c r="U56" i="1"/>
  <c r="U58" i="1"/>
  <c r="S58" i="1"/>
  <c r="U60" i="1"/>
  <c r="U64" i="1"/>
  <c r="AF64" i="1"/>
  <c r="AF87" i="1"/>
  <c r="AF7" i="1"/>
  <c r="S9" i="1"/>
  <c r="AF9" i="1" s="1"/>
  <c r="AF11" i="1"/>
  <c r="AF13" i="1"/>
  <c r="AF15" i="1"/>
  <c r="AF17" i="1"/>
  <c r="AF19" i="1"/>
  <c r="AF21" i="1"/>
  <c r="U28" i="1"/>
  <c r="AF28" i="1"/>
  <c r="AF31" i="1"/>
  <c r="U42" i="1"/>
  <c r="AF42" i="1"/>
  <c r="AF47" i="1"/>
  <c r="AF50" i="1"/>
  <c r="U53" i="1"/>
  <c r="U55" i="1"/>
  <c r="U57" i="1"/>
  <c r="U59" i="1"/>
  <c r="S59" i="1"/>
  <c r="U61" i="1"/>
  <c r="T61" i="1"/>
  <c r="U66" i="1"/>
  <c r="AF66" i="1"/>
  <c r="S83" i="1"/>
  <c r="AF83" i="1" s="1"/>
  <c r="S69" i="1"/>
  <c r="AF69" i="1" s="1"/>
  <c r="U78" i="1"/>
  <c r="S78" i="1"/>
  <c r="U79" i="1"/>
  <c r="S79" i="1"/>
  <c r="U94" i="1"/>
  <c r="AF94" i="1"/>
  <c r="U34" i="1"/>
  <c r="AF34" i="1"/>
  <c r="U39" i="1"/>
  <c r="AF39" i="1"/>
  <c r="U41" i="1"/>
  <c r="S41" i="1"/>
  <c r="AF41" i="1" s="1"/>
  <c r="U43" i="1"/>
  <c r="AF43" i="1"/>
  <c r="U45" i="1"/>
  <c r="AF45" i="1"/>
  <c r="U63" i="1"/>
  <c r="AF63" i="1"/>
  <c r="U65" i="1"/>
  <c r="AF65" i="1"/>
  <c r="T80" i="1"/>
  <c r="AF92" i="1"/>
  <c r="U95" i="1"/>
  <c r="AF95" i="1"/>
  <c r="U106" i="1"/>
  <c r="AF106" i="1"/>
  <c r="S111" i="1"/>
  <c r="AF111" i="1" s="1"/>
  <c r="T63" i="1"/>
  <c r="T65" i="1"/>
  <c r="T96" i="1"/>
  <c r="U103" i="1"/>
  <c r="T71" i="1"/>
  <c r="U71" i="1"/>
  <c r="T97" i="1"/>
  <c r="U97" i="1"/>
  <c r="T113" i="1"/>
  <c r="U113" i="1"/>
  <c r="U48" i="1"/>
  <c r="T81" i="1"/>
  <c r="U81" i="1"/>
  <c r="T85" i="1"/>
  <c r="U85" i="1"/>
  <c r="T89" i="1"/>
  <c r="U89" i="1"/>
  <c r="T104" i="1"/>
  <c r="U104" i="1"/>
  <c r="U67" i="1"/>
  <c r="F5" i="1"/>
  <c r="U32" i="1"/>
  <c r="T37" i="1"/>
  <c r="U38" i="1"/>
  <c r="U50" i="1"/>
  <c r="U69" i="1"/>
  <c r="U83" i="1"/>
  <c r="U87" i="1"/>
  <c r="T91" i="1"/>
  <c r="U92" i="1"/>
  <c r="M107" i="1"/>
  <c r="R107" i="1" s="1"/>
  <c r="M108" i="1"/>
  <c r="R108" i="1" s="1"/>
  <c r="M109" i="1"/>
  <c r="R109" i="1" s="1"/>
  <c r="U109" i="1" s="1"/>
  <c r="M110" i="1"/>
  <c r="R110" i="1" s="1"/>
  <c r="U111" i="1"/>
  <c r="T115" i="1"/>
  <c r="U24" i="1"/>
  <c r="T24" i="1"/>
  <c r="U26" i="1"/>
  <c r="T26" i="1"/>
  <c r="U25" i="1"/>
  <c r="T25" i="1"/>
  <c r="U27" i="1"/>
  <c r="T27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T68" i="1"/>
  <c r="U68" i="1"/>
  <c r="U72" i="1"/>
  <c r="U74" i="1"/>
  <c r="T74" i="1"/>
  <c r="U76" i="1"/>
  <c r="T76" i="1"/>
  <c r="T82" i="1"/>
  <c r="U82" i="1"/>
  <c r="T86" i="1"/>
  <c r="U86" i="1"/>
  <c r="T90" i="1"/>
  <c r="U90" i="1"/>
  <c r="U98" i="1"/>
  <c r="T98" i="1"/>
  <c r="U100" i="1"/>
  <c r="T100" i="1"/>
  <c r="U102" i="1"/>
  <c r="T102" i="1"/>
  <c r="T105" i="1"/>
  <c r="U105" i="1"/>
  <c r="T114" i="1"/>
  <c r="U114" i="1"/>
  <c r="U31" i="1"/>
  <c r="T34" i="1"/>
  <c r="T35" i="1"/>
  <c r="U36" i="1"/>
  <c r="T43" i="1"/>
  <c r="T45" i="1"/>
  <c r="T46" i="1"/>
  <c r="U47" i="1"/>
  <c r="U49" i="1"/>
  <c r="U51" i="1"/>
  <c r="T62" i="1"/>
  <c r="U62" i="1"/>
  <c r="T70" i="1"/>
  <c r="U70" i="1"/>
  <c r="U73" i="1"/>
  <c r="U75" i="1"/>
  <c r="T75" i="1"/>
  <c r="T77" i="1"/>
  <c r="U77" i="1"/>
  <c r="T84" i="1"/>
  <c r="U84" i="1"/>
  <c r="T88" i="1"/>
  <c r="U88" i="1"/>
  <c r="T93" i="1"/>
  <c r="U93" i="1"/>
  <c r="U99" i="1"/>
  <c r="T99" i="1"/>
  <c r="U101" i="1"/>
  <c r="T101" i="1"/>
  <c r="T112" i="1"/>
  <c r="U112" i="1"/>
  <c r="S48" i="1" l="1"/>
  <c r="AF48" i="1" s="1"/>
  <c r="T73" i="1"/>
  <c r="T72" i="1"/>
  <c r="T39" i="1"/>
  <c r="T67" i="1"/>
  <c r="T30" i="1"/>
  <c r="T42" i="1"/>
  <c r="T103" i="1"/>
  <c r="T41" i="1"/>
  <c r="T44" i="1"/>
  <c r="T40" i="1"/>
  <c r="T111" i="1"/>
  <c r="T28" i="1"/>
  <c r="T94" i="1"/>
  <c r="AF109" i="1"/>
  <c r="R5" i="1"/>
  <c r="AF107" i="1"/>
  <c r="T79" i="1"/>
  <c r="AF79" i="1"/>
  <c r="T78" i="1"/>
  <c r="AF78" i="1"/>
  <c r="T59" i="1"/>
  <c r="AF59" i="1"/>
  <c r="T57" i="1"/>
  <c r="AF57" i="1"/>
  <c r="T55" i="1"/>
  <c r="AF55" i="1"/>
  <c r="T53" i="1"/>
  <c r="AF53" i="1"/>
  <c r="T60" i="1"/>
  <c r="AF60" i="1"/>
  <c r="T58" i="1"/>
  <c r="AF58" i="1"/>
  <c r="T56" i="1"/>
  <c r="AF56" i="1"/>
  <c r="T54" i="1"/>
  <c r="AF54" i="1"/>
  <c r="T52" i="1"/>
  <c r="AF52" i="1"/>
  <c r="AF6" i="1"/>
  <c r="U107" i="1"/>
  <c r="T33" i="1"/>
  <c r="M5" i="1"/>
  <c r="S110" i="1"/>
  <c r="AF110" i="1" s="1"/>
  <c r="U108" i="1"/>
  <c r="AF108" i="1"/>
  <c r="T106" i="1"/>
  <c r="T69" i="1"/>
  <c r="T95" i="1"/>
  <c r="T66" i="1"/>
  <c r="T64" i="1"/>
  <c r="T92" i="1"/>
  <c r="T83" i="1"/>
  <c r="T50" i="1"/>
  <c r="T47" i="1"/>
  <c r="T31" i="1"/>
  <c r="T21" i="1"/>
  <c r="T19" i="1"/>
  <c r="T17" i="1"/>
  <c r="T15" i="1"/>
  <c r="T13" i="1"/>
  <c r="T11" i="1"/>
  <c r="T9" i="1"/>
  <c r="T7" i="1"/>
  <c r="T87" i="1"/>
  <c r="T49" i="1"/>
  <c r="T22" i="1"/>
  <c r="T20" i="1"/>
  <c r="T18" i="1"/>
  <c r="T16" i="1"/>
  <c r="T14" i="1"/>
  <c r="T12" i="1"/>
  <c r="T10" i="1"/>
  <c r="T8" i="1"/>
  <c r="T6" i="1"/>
  <c r="U110" i="1"/>
  <c r="T48" i="1" l="1"/>
  <c r="T108" i="1"/>
  <c r="T110" i="1"/>
  <c r="S5" i="1"/>
  <c r="T107" i="1"/>
  <c r="AF5" i="1"/>
  <c r="T109" i="1"/>
</calcChain>
</file>

<file path=xl/sharedStrings.xml><?xml version="1.0" encoding="utf-8"?>
<sst xmlns="http://schemas.openxmlformats.org/spreadsheetml/2006/main" count="429" uniqueCount="178">
  <si>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</si>
  <si>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</si>
  <si>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</si>
  <si>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</si>
  <si>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</si>
  <si>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</si>
  <si>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</si>
  <si>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</si>
  <si>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</si>
  <si>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</si>
  <si>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</si>
  <si>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</si>
  <si>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</si>
  <si>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</si>
  <si>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</si>
  <si>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</si>
  <si>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</si>
  <si>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</si>
  <si>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</si>
  <si>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</si>
  <si>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</si>
  <si>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</si>
  <si>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26,07,</t>
  </si>
  <si>
    <t>27,07,</t>
  </si>
  <si>
    <t>27,07,доз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</si>
  <si>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</si>
  <si>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</si>
  <si>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</si>
  <si>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</si>
  <si>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</si>
  <si>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</si>
  <si>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</si>
  <si>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</si>
  <si>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</si>
  <si>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</si>
  <si>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</si>
  <si>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</si>
  <si>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</si>
  <si>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</si>
  <si>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</si>
  <si>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</si>
  <si>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</si>
  <si>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</si>
  <si>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</si>
  <si>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</si>
  <si>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</si>
  <si>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</si>
  <si>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</si>
  <si>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</si>
  <si>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</si>
  <si>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</si>
  <si>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22,07,26 уменьшить на 317шт (Босых)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</si>
  <si>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</si>
  <si>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</si>
  <si>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</si>
  <si>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</si>
  <si>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</si>
  <si>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</si>
  <si>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</si>
  <si>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</si>
  <si>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</si>
  <si>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</si>
  <si>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</si>
  <si>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</si>
  <si>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</si>
  <si>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</si>
  <si>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</si>
  <si>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</si>
  <si>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</si>
  <si>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</si>
  <si>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</si>
  <si>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</si>
  <si>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</si>
  <si>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</si>
  <si>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</si>
  <si>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</si>
  <si>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</si>
  <si>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</si>
  <si>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</si>
  <si>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</si>
  <si>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</si>
  <si>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</si>
  <si>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</si>
  <si>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</si>
  <si>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</si>
  <si>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</si>
  <si>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</si>
  <si>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</si>
  <si>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</si>
  <si>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</si>
  <si>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</si>
  <si>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</si>
  <si>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</si>
  <si>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</si>
  <si>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</si>
  <si>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</si>
  <si>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</si>
  <si>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</si>
  <si>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</si>
  <si>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</si>
  <si>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</si>
  <si>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</si>
  <si>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</si>
  <si>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</si>
  <si>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</si>
  <si>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</si>
  <si>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</si>
  <si>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</si>
  <si>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</si>
  <si>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</si>
  <si>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</si>
  <si>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</si>
  <si>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</si>
  <si>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</si>
  <si>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</si>
  <si>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</si>
  <si>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</si>
  <si>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</si>
  <si>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</si>
  <si>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</si>
  <si>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</si>
  <si>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</si>
  <si>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</si>
  <si>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</si>
  <si>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</si>
  <si>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</si>
  <si>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</si>
  <si>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</si>
  <si>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</si>
  <si>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</si>
  <si>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</si>
  <si>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</si>
  <si>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</si>
  <si>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</si>
  <si>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</si>
  <si>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</si>
  <si>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</si>
  <si>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</si>
  <si>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</si>
  <si>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</si>
  <si>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</si>
  <si>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</si>
  <si>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</si>
  <si>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</si>
  <si>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</si>
  <si>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</si>
  <si>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</si>
  <si>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</si>
  <si>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</si>
  <si>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</si>
  <si>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</si>
  <si>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</si>
  <si>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</si>
  <si>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</si>
  <si>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</si>
  <si>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</si>
  <si>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</si>
  <si>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</si>
  <si>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</si>
  <si>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7601 ДЛЯ ДЕТЕЙ Папа может сос п/о мгс 0.264кг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</si>
  <si>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</si>
  <si>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</si>
  <si>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</si>
  <si>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</si>
  <si>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</si>
  <si>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</si>
  <si>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</si>
  <si>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</si>
  <si>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</si>
  <si>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</si>
  <si>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</si>
  <si>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</si>
  <si>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</si>
  <si>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пересчет +155кг (12,07,26)</t>
    </r>
  </si>
  <si>
    <t>нужно увеличить продажи / 07,07,26 +400шт в заказ (просьба Босых под сети)</t>
  </si>
  <si>
    <t>нужно увеличить продажи / вместо 6459</t>
  </si>
  <si>
    <t>262шт в уценку (21,07,26)</t>
  </si>
  <si>
    <t>22,07,26 1200шт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</si>
</sst>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4" fillId="5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9" width="7" style="9" customWidth="1"/>
    <col min="20" max="21" width="5" style="9" customWidth="1"/>
    <col min="22" max="30" width="6" style="9" customWidth="1"/>
    <col min="31" max="31" width="38.7109375" style="9" customWidth="1"/>
    <col min="32" max="32" width="7" style="9" customWidth="1"/>
    <col min="33" max="48" width="3" style="9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 t="s">
        <v>23</v>
      </c>
      <c r="S4" s="6"/>
      <c r="T4" s="6"/>
      <c r="U4" s="6"/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 t="s">
        <v>33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SUM(E6:E499)</f>
        <v>19766.361000000004</v>
      </c>
      <c r="F5" s="3">
        <f>SUM(F6:F499)</f>
        <v>16840.591999999997</v>
      </c>
      <c r="G5" s="7"/>
      <c r="H5" s="6"/>
      <c r="I5" s="6"/>
      <c r="J5" s="6"/>
      <c r="K5" s="3">
        <f t="shared" ref="K5:S5" si="0">SUM(K6:K499)</f>
        <v>24906.557000000008</v>
      </c>
      <c r="L5" s="3">
        <f t="shared" si="0"/>
        <v>-5140.1960000000008</v>
      </c>
      <c r="M5" s="3">
        <f t="shared" si="0"/>
        <v>17603.160999999996</v>
      </c>
      <c r="N5" s="3">
        <f t="shared" si="0"/>
        <v>2163.1999999999998</v>
      </c>
      <c r="O5" s="3">
        <f t="shared" si="0"/>
        <v>9114</v>
      </c>
      <c r="P5" s="3">
        <f t="shared" si="0"/>
        <v>7101</v>
      </c>
      <c r="Q5" s="3">
        <f t="shared" si="0"/>
        <v>850</v>
      </c>
      <c r="R5" s="3">
        <f t="shared" si="0"/>
        <v>3520.6322</v>
      </c>
      <c r="S5" s="3">
        <f t="shared" si="0"/>
        <v>21739.504199999996</v>
      </c>
      <c r="T5" s="6"/>
      <c r="U5" s="6"/>
      <c r="V5" s="3">
        <f t="shared" ref="V5:AD5" si="1">SUM(V6:V499)</f>
        <v>3026.5261999999993</v>
      </c>
      <c r="W5" s="3">
        <f t="shared" si="1"/>
        <v>3547.9377999999992</v>
      </c>
      <c r="X5" s="3">
        <f t="shared" si="1"/>
        <v>3677.5456000000004</v>
      </c>
      <c r="Y5" s="3">
        <f t="shared" si="1"/>
        <v>3882.8182000000011</v>
      </c>
      <c r="Z5" s="3">
        <f t="shared" si="1"/>
        <v>5273.8137999999999</v>
      </c>
      <c r="AA5" s="3">
        <f t="shared" si="1"/>
        <v>3446.3420000000001</v>
      </c>
      <c r="AB5" s="3">
        <f t="shared" si="1"/>
        <v>3664.1063999999997</v>
      </c>
      <c r="AC5" s="3">
        <f t="shared" si="1"/>
        <v>3580.8385999999991</v>
      </c>
      <c r="AD5" s="3">
        <f t="shared" si="1"/>
        <v>3497.3595999999998</v>
      </c>
      <c r="AE5" s="6"/>
      <c r="AF5" s="3">
        <f>SUM(AF6:AF499)</f>
        <v>10800.184200000002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34</v>
      </c>
      <c r="B6" s="6" t="s">
        <v>35</v>
      </c>
      <c r="C6" s="6">
        <v>574</v>
      </c>
      <c r="D6" s="6">
        <v>162</v>
      </c>
      <c r="E6" s="6">
        <v>363</v>
      </c>
      <c r="F6" s="6">
        <v>339</v>
      </c>
      <c r="G6" s="7">
        <v>0.4</v>
      </c>
      <c r="H6" s="6">
        <v>60</v>
      </c>
      <c r="I6" s="6" t="s">
        <v>36</v>
      </c>
      <c r="J6" s="6"/>
      <c r="K6" s="6">
        <v>400</v>
      </c>
      <c r="L6" s="6">
        <f t="shared" ref="L6:L37" si="2">E6-K6</f>
        <v>-37</v>
      </c>
      <c r="M6" s="6">
        <f t="shared" ref="M6:M37" si="3">E6-N6</f>
        <v>323</v>
      </c>
      <c r="N6" s="6">
        <v>40</v>
      </c>
      <c r="O6" s="6">
        <v>60</v>
      </c>
      <c r="P6" s="6">
        <v>111</v>
      </c>
      <c r="Q6" s="6"/>
      <c r="R6" s="6">
        <f t="shared" ref="R6:R37" si="4">M6/5</f>
        <v>64.599999999999994</v>
      </c>
      <c r="S6" s="8">
        <f>15*R6-Q6-P6-O6-F6</f>
        <v>458.99999999999989</v>
      </c>
      <c r="T6" s="6">
        <f t="shared" ref="T6:T37" si="5">(F6+O6+P6+Q6+S6)/R6</f>
        <v>15</v>
      </c>
      <c r="U6" s="6">
        <f t="shared" ref="U6:U37" si="6">(F6+O6+P6+Q6)/R6</f>
        <v>7.8947368421052637</v>
      </c>
      <c r="V6" s="6">
        <v>54.6</v>
      </c>
      <c r="W6" s="6">
        <v>62.6</v>
      </c>
      <c r="X6" s="6">
        <v>77.400000000000006</v>
      </c>
      <c r="Y6" s="6">
        <v>50</v>
      </c>
      <c r="Z6" s="6">
        <v>76.400000000000006</v>
      </c>
      <c r="AA6" s="6">
        <v>59.8</v>
      </c>
      <c r="AB6" s="6">
        <v>79.8</v>
      </c>
      <c r="AC6" s="6">
        <v>60.4</v>
      </c>
      <c r="AD6" s="6">
        <v>56.2</v>
      </c>
      <c r="AE6" s="6"/>
      <c r="AF6" s="6">
        <f t="shared" ref="AF6:AF22" si="7">G6*S6</f>
        <v>183.59999999999997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37</v>
      </c>
      <c r="B7" s="6" t="s">
        <v>38</v>
      </c>
      <c r="C7" s="6">
        <v>10.044</v>
      </c>
      <c r="D7" s="6">
        <v>9.0299999999999994</v>
      </c>
      <c r="E7" s="6">
        <v>16.562000000000001</v>
      </c>
      <c r="F7" s="6">
        <v>1.5109999999999999</v>
      </c>
      <c r="G7" s="7">
        <v>1</v>
      </c>
      <c r="H7" s="6">
        <v>120</v>
      </c>
      <c r="I7" s="6" t="s">
        <v>36</v>
      </c>
      <c r="J7" s="6"/>
      <c r="K7" s="6">
        <v>15.5</v>
      </c>
      <c r="L7" s="6">
        <f t="shared" si="2"/>
        <v>1.0620000000000012</v>
      </c>
      <c r="M7" s="6">
        <f t="shared" si="3"/>
        <v>16.562000000000001</v>
      </c>
      <c r="N7" s="6"/>
      <c r="O7" s="6">
        <v>24</v>
      </c>
      <c r="P7" s="6"/>
      <c r="Q7" s="6"/>
      <c r="R7" s="6">
        <f t="shared" si="4"/>
        <v>3.3124000000000002</v>
      </c>
      <c r="S7" s="8">
        <f>20*R7-Q7-P7-O7-F7</f>
        <v>40.737000000000002</v>
      </c>
      <c r="T7" s="6">
        <f t="shared" si="5"/>
        <v>20</v>
      </c>
      <c r="U7" s="6">
        <f t="shared" si="6"/>
        <v>7.7016664654027283</v>
      </c>
      <c r="V7" s="6">
        <v>2.1114000000000002</v>
      </c>
      <c r="W7" s="6">
        <v>1.4079999999999999</v>
      </c>
      <c r="X7" s="6">
        <v>0.70300000000000007</v>
      </c>
      <c r="Y7" s="6">
        <v>1.204</v>
      </c>
      <c r="Z7" s="6">
        <v>1.9656</v>
      </c>
      <c r="AA7" s="6">
        <v>1.6342000000000001</v>
      </c>
      <c r="AB7" s="6">
        <v>1.167</v>
      </c>
      <c r="AC7" s="6">
        <v>0.98599999999999999</v>
      </c>
      <c r="AD7" s="6">
        <v>1.5744</v>
      </c>
      <c r="AE7" s="6" t="s">
        <v>39</v>
      </c>
      <c r="AF7" s="6">
        <f t="shared" si="7"/>
        <v>40.737000000000002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40</v>
      </c>
      <c r="B8" s="6" t="s">
        <v>35</v>
      </c>
      <c r="C8" s="6">
        <v>349</v>
      </c>
      <c r="D8" s="6">
        <v>143</v>
      </c>
      <c r="E8" s="6">
        <v>309</v>
      </c>
      <c r="F8" s="6">
        <v>156</v>
      </c>
      <c r="G8" s="7">
        <v>0.25</v>
      </c>
      <c r="H8" s="6">
        <v>120</v>
      </c>
      <c r="I8" s="6" t="s">
        <v>36</v>
      </c>
      <c r="J8" s="6"/>
      <c r="K8" s="6">
        <v>336</v>
      </c>
      <c r="L8" s="6">
        <f t="shared" si="2"/>
        <v>-27</v>
      </c>
      <c r="M8" s="6">
        <f t="shared" si="3"/>
        <v>293</v>
      </c>
      <c r="N8" s="6">
        <v>16</v>
      </c>
      <c r="O8" s="6">
        <v>106</v>
      </c>
      <c r="P8" s="6">
        <v>197</v>
      </c>
      <c r="Q8" s="6"/>
      <c r="R8" s="6">
        <f t="shared" si="4"/>
        <v>58.6</v>
      </c>
      <c r="S8" s="8">
        <f>20*R8-Q8-P8-O8-F8</f>
        <v>713</v>
      </c>
      <c r="T8" s="6">
        <f t="shared" si="5"/>
        <v>20</v>
      </c>
      <c r="U8" s="6">
        <f t="shared" si="6"/>
        <v>7.8327645051194539</v>
      </c>
      <c r="V8" s="6">
        <v>37</v>
      </c>
      <c r="W8" s="6">
        <v>32</v>
      </c>
      <c r="X8" s="6">
        <v>56.8</v>
      </c>
      <c r="Y8" s="6">
        <v>27</v>
      </c>
      <c r="Z8" s="6">
        <v>45.8</v>
      </c>
      <c r="AA8" s="6">
        <v>42.2</v>
      </c>
      <c r="AB8" s="6">
        <v>25.8</v>
      </c>
      <c r="AC8" s="6">
        <v>49.4</v>
      </c>
      <c r="AD8" s="6">
        <v>55.2</v>
      </c>
      <c r="AE8" s="6" t="s">
        <v>39</v>
      </c>
      <c r="AF8" s="6">
        <f t="shared" si="7"/>
        <v>178.25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41</v>
      </c>
      <c r="B9" s="6" t="s">
        <v>38</v>
      </c>
      <c r="C9" s="6">
        <v>828.88199999999995</v>
      </c>
      <c r="D9" s="6">
        <v>1111.7719999999999</v>
      </c>
      <c r="E9" s="6">
        <v>1276.5989999999999</v>
      </c>
      <c r="F9" s="6">
        <v>640.86</v>
      </c>
      <c r="G9" s="7">
        <v>1</v>
      </c>
      <c r="H9" s="6">
        <v>60</v>
      </c>
      <c r="I9" s="6" t="s">
        <v>36</v>
      </c>
      <c r="J9" s="6"/>
      <c r="K9" s="6">
        <v>1292.402</v>
      </c>
      <c r="L9" s="6">
        <f t="shared" si="2"/>
        <v>-15.803000000000111</v>
      </c>
      <c r="M9" s="6">
        <f t="shared" si="3"/>
        <v>1027.9969999999998</v>
      </c>
      <c r="N9" s="6">
        <v>248.602</v>
      </c>
      <c r="O9" s="6">
        <v>613</v>
      </c>
      <c r="P9" s="6">
        <v>1138</v>
      </c>
      <c r="Q9" s="6"/>
      <c r="R9" s="6">
        <f t="shared" si="4"/>
        <v>205.59939999999997</v>
      </c>
      <c r="S9" s="8">
        <f t="shared" ref="S9:S22" si="8">15*R9-Q9-P9-O9-F9</f>
        <v>692.13099999999952</v>
      </c>
      <c r="T9" s="6">
        <f t="shared" si="5"/>
        <v>15</v>
      </c>
      <c r="U9" s="6">
        <f t="shared" si="6"/>
        <v>11.633594261461855</v>
      </c>
      <c r="V9" s="6">
        <v>216.34460000000001</v>
      </c>
      <c r="W9" s="6">
        <v>179.56120000000001</v>
      </c>
      <c r="X9" s="6">
        <v>188.56039999999999</v>
      </c>
      <c r="Y9" s="6">
        <v>210.9682</v>
      </c>
      <c r="Z9" s="6">
        <v>273.19080000000002</v>
      </c>
      <c r="AA9" s="6">
        <v>182.46039999999999</v>
      </c>
      <c r="AB9" s="6">
        <v>221.37100000000001</v>
      </c>
      <c r="AC9" s="6">
        <v>197.34700000000001</v>
      </c>
      <c r="AD9" s="6">
        <v>222.8562</v>
      </c>
      <c r="AE9" s="6"/>
      <c r="AF9" s="6">
        <f t="shared" si="7"/>
        <v>692.13099999999952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42</v>
      </c>
      <c r="B10" s="6" t="s">
        <v>38</v>
      </c>
      <c r="C10" s="6">
        <v>13.938000000000001</v>
      </c>
      <c r="D10" s="6">
        <v>11.944000000000001</v>
      </c>
      <c r="E10" s="6">
        <v>36.014000000000003</v>
      </c>
      <c r="F10" s="6">
        <v>-10.641999999999999</v>
      </c>
      <c r="G10" s="7">
        <v>1</v>
      </c>
      <c r="H10" s="6">
        <v>120</v>
      </c>
      <c r="I10" s="6" t="s">
        <v>36</v>
      </c>
      <c r="J10" s="6"/>
      <c r="K10" s="6">
        <v>34.200000000000003</v>
      </c>
      <c r="L10" s="6">
        <f t="shared" si="2"/>
        <v>1.8140000000000001</v>
      </c>
      <c r="M10" s="6">
        <f t="shared" si="3"/>
        <v>36.014000000000003</v>
      </c>
      <c r="N10" s="6"/>
      <c r="O10" s="6">
        <v>40</v>
      </c>
      <c r="P10" s="6">
        <v>74</v>
      </c>
      <c r="Q10" s="6"/>
      <c r="R10" s="6">
        <f t="shared" si="4"/>
        <v>7.2028000000000008</v>
      </c>
      <c r="S10" s="8">
        <f>20*R10-Q10-P10-O10-F10</f>
        <v>40.698000000000008</v>
      </c>
      <c r="T10" s="6">
        <f t="shared" si="5"/>
        <v>20</v>
      </c>
      <c r="U10" s="6">
        <f t="shared" si="6"/>
        <v>14.349697339923361</v>
      </c>
      <c r="V10" s="6">
        <v>7.5352000000000006</v>
      </c>
      <c r="W10" s="6">
        <v>4.4573999999999998</v>
      </c>
      <c r="X10" s="6">
        <v>2.1379999999999999</v>
      </c>
      <c r="Y10" s="6">
        <v>1.2092000000000001</v>
      </c>
      <c r="Z10" s="6">
        <v>6.8614000000000006</v>
      </c>
      <c r="AA10" s="6">
        <v>1.8819999999999999</v>
      </c>
      <c r="AB10" s="6">
        <v>0.79900000000000004</v>
      </c>
      <c r="AC10" s="6">
        <v>6.34</v>
      </c>
      <c r="AD10" s="6">
        <v>3.8715999999999999</v>
      </c>
      <c r="AE10" s="6" t="s">
        <v>39</v>
      </c>
      <c r="AF10" s="6">
        <f t="shared" si="7"/>
        <v>40.698000000000008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43</v>
      </c>
      <c r="B11" s="6" t="s">
        <v>38</v>
      </c>
      <c r="C11" s="6">
        <v>227.22</v>
      </c>
      <c r="D11" s="6">
        <v>58.936</v>
      </c>
      <c r="E11" s="6">
        <v>99.808000000000007</v>
      </c>
      <c r="F11" s="6">
        <v>178.25200000000001</v>
      </c>
      <c r="G11" s="7">
        <v>1</v>
      </c>
      <c r="H11" s="6">
        <v>60</v>
      </c>
      <c r="I11" s="6" t="s">
        <v>36</v>
      </c>
      <c r="J11" s="6"/>
      <c r="K11" s="6">
        <v>110.4</v>
      </c>
      <c r="L11" s="6">
        <f t="shared" si="2"/>
        <v>-10.591999999999999</v>
      </c>
      <c r="M11" s="6">
        <f t="shared" si="3"/>
        <v>99.808000000000007</v>
      </c>
      <c r="N11" s="6"/>
      <c r="O11" s="6">
        <v>0</v>
      </c>
      <c r="P11" s="6"/>
      <c r="Q11" s="6"/>
      <c r="R11" s="6">
        <f t="shared" si="4"/>
        <v>19.961600000000001</v>
      </c>
      <c r="S11" s="8">
        <f>14*R11-Q11-P11-O11-F11</f>
        <v>101.21039999999999</v>
      </c>
      <c r="T11" s="6">
        <f t="shared" si="5"/>
        <v>14</v>
      </c>
      <c r="U11" s="6">
        <f t="shared" si="6"/>
        <v>8.9297451106123766</v>
      </c>
      <c r="V11" s="6">
        <v>12.8834</v>
      </c>
      <c r="W11" s="6">
        <v>22.982600000000001</v>
      </c>
      <c r="X11" s="6">
        <v>20.1874</v>
      </c>
      <c r="Y11" s="6">
        <v>35.412799999999997</v>
      </c>
      <c r="Z11" s="6">
        <v>36.8416</v>
      </c>
      <c r="AA11" s="6">
        <v>21.529199999999999</v>
      </c>
      <c r="AB11" s="6">
        <v>24.9114</v>
      </c>
      <c r="AC11" s="6">
        <v>29.545400000000001</v>
      </c>
      <c r="AD11" s="6">
        <v>27.542200000000001</v>
      </c>
      <c r="AE11" s="6"/>
      <c r="AF11" s="6">
        <f t="shared" si="7"/>
        <v>101.21039999999999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44</v>
      </c>
      <c r="B12" s="6" t="s">
        <v>38</v>
      </c>
      <c r="C12" s="6">
        <v>669.74900000000002</v>
      </c>
      <c r="D12" s="6">
        <v>288.02999999999997</v>
      </c>
      <c r="E12" s="6">
        <v>578.66300000000001</v>
      </c>
      <c r="F12" s="6">
        <v>361.63</v>
      </c>
      <c r="G12" s="7">
        <v>1</v>
      </c>
      <c r="H12" s="6">
        <v>60</v>
      </c>
      <c r="I12" s="6" t="s">
        <v>36</v>
      </c>
      <c r="J12" s="6"/>
      <c r="K12" s="6">
        <v>600.51300000000003</v>
      </c>
      <c r="L12" s="6">
        <f t="shared" si="2"/>
        <v>-21.850000000000023</v>
      </c>
      <c r="M12" s="6">
        <f t="shared" si="3"/>
        <v>522.65</v>
      </c>
      <c r="N12" s="6">
        <v>56.012999999999998</v>
      </c>
      <c r="O12" s="6">
        <v>400</v>
      </c>
      <c r="P12" s="6"/>
      <c r="Q12" s="6"/>
      <c r="R12" s="6">
        <f t="shared" si="4"/>
        <v>104.53</v>
      </c>
      <c r="S12" s="8">
        <f t="shared" si="8"/>
        <v>806.32</v>
      </c>
      <c r="T12" s="6">
        <f t="shared" si="5"/>
        <v>15</v>
      </c>
      <c r="U12" s="6">
        <f t="shared" si="6"/>
        <v>7.2862336171434041</v>
      </c>
      <c r="V12" s="6">
        <v>78.040800000000004</v>
      </c>
      <c r="W12" s="6">
        <v>85.428200000000004</v>
      </c>
      <c r="X12" s="6">
        <v>98.685399999999987</v>
      </c>
      <c r="Y12" s="6">
        <v>97.275999999999996</v>
      </c>
      <c r="Z12" s="6">
        <v>103.453</v>
      </c>
      <c r="AA12" s="6">
        <v>79.201400000000007</v>
      </c>
      <c r="AB12" s="6">
        <v>95.4328</v>
      </c>
      <c r="AC12" s="6">
        <v>114.4444</v>
      </c>
      <c r="AD12" s="6">
        <v>86.782200000000003</v>
      </c>
      <c r="AE12" s="6"/>
      <c r="AF12" s="6">
        <f t="shared" si="7"/>
        <v>806.32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45</v>
      </c>
      <c r="B13" s="6" t="s">
        <v>35</v>
      </c>
      <c r="C13" s="6">
        <v>93</v>
      </c>
      <c r="D13" s="6">
        <v>60</v>
      </c>
      <c r="E13" s="6">
        <v>99</v>
      </c>
      <c r="F13" s="6">
        <v>2</v>
      </c>
      <c r="G13" s="7">
        <v>0.25</v>
      </c>
      <c r="H13" s="6">
        <v>120</v>
      </c>
      <c r="I13" s="6" t="s">
        <v>36</v>
      </c>
      <c r="J13" s="6"/>
      <c r="K13" s="6">
        <v>161</v>
      </c>
      <c r="L13" s="6">
        <f t="shared" si="2"/>
        <v>-62</v>
      </c>
      <c r="M13" s="6">
        <f t="shared" si="3"/>
        <v>99</v>
      </c>
      <c r="N13" s="6"/>
      <c r="O13" s="6">
        <v>52</v>
      </c>
      <c r="P13" s="6">
        <v>96</v>
      </c>
      <c r="Q13" s="6"/>
      <c r="R13" s="6">
        <f t="shared" si="4"/>
        <v>19.8</v>
      </c>
      <c r="S13" s="8">
        <f>20*R13-Q13-P13-O13-F13</f>
        <v>246</v>
      </c>
      <c r="T13" s="6">
        <f t="shared" si="5"/>
        <v>20</v>
      </c>
      <c r="U13" s="6">
        <f t="shared" si="6"/>
        <v>7.5757575757575752</v>
      </c>
      <c r="V13" s="6">
        <v>12.4</v>
      </c>
      <c r="W13" s="6">
        <v>8.4</v>
      </c>
      <c r="X13" s="6">
        <v>8.4</v>
      </c>
      <c r="Y13" s="6">
        <v>17.399999999999999</v>
      </c>
      <c r="Z13" s="6">
        <v>20.097200000000001</v>
      </c>
      <c r="AA13" s="6">
        <v>15.8</v>
      </c>
      <c r="AB13" s="6">
        <v>13.2</v>
      </c>
      <c r="AC13" s="6">
        <v>23</v>
      </c>
      <c r="AD13" s="6">
        <v>14.2</v>
      </c>
      <c r="AE13" s="6" t="s">
        <v>39</v>
      </c>
      <c r="AF13" s="6">
        <f t="shared" si="7"/>
        <v>61.5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46</v>
      </c>
      <c r="B14" s="6" t="s">
        <v>38</v>
      </c>
      <c r="C14" s="6">
        <v>228.255</v>
      </c>
      <c r="D14" s="6">
        <v>5.4889999999999999</v>
      </c>
      <c r="E14" s="6">
        <v>58.960999999999999</v>
      </c>
      <c r="F14" s="6">
        <v>169.29400000000001</v>
      </c>
      <c r="G14" s="7">
        <v>1</v>
      </c>
      <c r="H14" s="6">
        <v>60</v>
      </c>
      <c r="I14" s="6" t="s">
        <v>36</v>
      </c>
      <c r="J14" s="6"/>
      <c r="K14" s="6">
        <v>58.7</v>
      </c>
      <c r="L14" s="6">
        <f t="shared" si="2"/>
        <v>0.26099999999999568</v>
      </c>
      <c r="M14" s="6">
        <f t="shared" si="3"/>
        <v>58.960999999999999</v>
      </c>
      <c r="N14" s="6"/>
      <c r="O14" s="6">
        <v>0</v>
      </c>
      <c r="P14" s="6"/>
      <c r="Q14" s="6"/>
      <c r="R14" s="6">
        <f t="shared" si="4"/>
        <v>11.792199999999999</v>
      </c>
      <c r="S14" s="8">
        <f t="shared" si="8"/>
        <v>7.5889999999999702</v>
      </c>
      <c r="T14" s="6">
        <f t="shared" si="5"/>
        <v>15</v>
      </c>
      <c r="U14" s="6">
        <f t="shared" si="6"/>
        <v>14.356439002052205</v>
      </c>
      <c r="V14" s="6">
        <v>12.676</v>
      </c>
      <c r="W14" s="6">
        <v>10.680199999999999</v>
      </c>
      <c r="X14" s="6">
        <v>23.291399999999999</v>
      </c>
      <c r="Y14" s="6">
        <v>15.771800000000001</v>
      </c>
      <c r="Z14" s="6">
        <v>13.082800000000001</v>
      </c>
      <c r="AA14" s="6">
        <v>7.8231999999999999</v>
      </c>
      <c r="AB14" s="6">
        <v>13.077400000000001</v>
      </c>
      <c r="AC14" s="6">
        <v>11.439399999999999</v>
      </c>
      <c r="AD14" s="6">
        <v>10.8256</v>
      </c>
      <c r="AE14" s="6"/>
      <c r="AF14" s="6">
        <f t="shared" si="7"/>
        <v>7.5889999999999702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47</v>
      </c>
      <c r="B15" s="6" t="s">
        <v>35</v>
      </c>
      <c r="C15" s="6">
        <v>302</v>
      </c>
      <c r="D15" s="6">
        <v>20</v>
      </c>
      <c r="E15" s="6">
        <v>63</v>
      </c>
      <c r="F15" s="6">
        <v>258</v>
      </c>
      <c r="G15" s="7">
        <v>0.25</v>
      </c>
      <c r="H15" s="6">
        <v>120</v>
      </c>
      <c r="I15" s="6" t="s">
        <v>36</v>
      </c>
      <c r="J15" s="6"/>
      <c r="K15" s="6">
        <v>245</v>
      </c>
      <c r="L15" s="6">
        <f t="shared" si="2"/>
        <v>-182</v>
      </c>
      <c r="M15" s="6">
        <f t="shared" si="3"/>
        <v>47</v>
      </c>
      <c r="N15" s="6">
        <v>16</v>
      </c>
      <c r="O15" s="6">
        <v>0</v>
      </c>
      <c r="P15" s="6"/>
      <c r="Q15" s="6"/>
      <c r="R15" s="6">
        <f t="shared" si="4"/>
        <v>9.4</v>
      </c>
      <c r="S15" s="8"/>
      <c r="T15" s="6">
        <f t="shared" si="5"/>
        <v>27.446808510638295</v>
      </c>
      <c r="U15" s="6">
        <f t="shared" si="6"/>
        <v>27.446808510638295</v>
      </c>
      <c r="V15" s="6">
        <v>11.4</v>
      </c>
      <c r="W15" s="6">
        <v>10</v>
      </c>
      <c r="X15" s="6">
        <v>10.4</v>
      </c>
      <c r="Y15" s="6">
        <v>14</v>
      </c>
      <c r="Z15" s="6">
        <v>13.6</v>
      </c>
      <c r="AA15" s="6">
        <v>61</v>
      </c>
      <c r="AB15" s="6">
        <v>10.4</v>
      </c>
      <c r="AC15" s="6">
        <v>34</v>
      </c>
      <c r="AD15" s="6">
        <v>20.2</v>
      </c>
      <c r="AE15" s="15" t="s">
        <v>48</v>
      </c>
      <c r="AF15" s="6">
        <f t="shared" si="7"/>
        <v>0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49</v>
      </c>
      <c r="B16" s="6" t="s">
        <v>35</v>
      </c>
      <c r="C16" s="6">
        <v>626</v>
      </c>
      <c r="D16" s="6">
        <v>68</v>
      </c>
      <c r="E16" s="6">
        <v>474</v>
      </c>
      <c r="F16" s="6">
        <v>218</v>
      </c>
      <c r="G16" s="7">
        <v>0.4</v>
      </c>
      <c r="H16" s="6">
        <v>60</v>
      </c>
      <c r="I16" s="10" t="s">
        <v>50</v>
      </c>
      <c r="J16" s="6"/>
      <c r="K16" s="6">
        <v>478</v>
      </c>
      <c r="L16" s="6">
        <f t="shared" si="2"/>
        <v>-4</v>
      </c>
      <c r="M16" s="6">
        <f t="shared" si="3"/>
        <v>414</v>
      </c>
      <c r="N16" s="6">
        <v>60</v>
      </c>
      <c r="O16" s="6">
        <v>400</v>
      </c>
      <c r="P16" s="6"/>
      <c r="Q16" s="6">
        <v>300</v>
      </c>
      <c r="R16" s="6">
        <f t="shared" si="4"/>
        <v>82.8</v>
      </c>
      <c r="S16" s="8">
        <f t="shared" si="8"/>
        <v>324</v>
      </c>
      <c r="T16" s="6">
        <f t="shared" si="5"/>
        <v>15</v>
      </c>
      <c r="U16" s="6">
        <f t="shared" si="6"/>
        <v>11.086956521739131</v>
      </c>
      <c r="V16" s="6">
        <v>92</v>
      </c>
      <c r="W16" s="6">
        <v>271.2</v>
      </c>
      <c r="X16" s="6">
        <v>117.8</v>
      </c>
      <c r="Y16" s="6">
        <v>83.6</v>
      </c>
      <c r="Z16" s="6">
        <v>90.4</v>
      </c>
      <c r="AA16" s="6">
        <v>68</v>
      </c>
      <c r="AB16" s="6">
        <v>82.4</v>
      </c>
      <c r="AC16" s="6">
        <v>65.400000000000006</v>
      </c>
      <c r="AD16" s="6">
        <v>74.8</v>
      </c>
      <c r="AE16" s="6" t="s">
        <v>51</v>
      </c>
      <c r="AF16" s="6">
        <f t="shared" si="7"/>
        <v>129.6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52</v>
      </c>
      <c r="B17" s="6" t="s">
        <v>38</v>
      </c>
      <c r="C17" s="6">
        <v>227.249</v>
      </c>
      <c r="D17" s="6">
        <v>420.17700000000002</v>
      </c>
      <c r="E17" s="6">
        <v>278.77600000000001</v>
      </c>
      <c r="F17" s="6">
        <v>363.56099999999998</v>
      </c>
      <c r="G17" s="7">
        <v>1</v>
      </c>
      <c r="H17" s="6">
        <v>45</v>
      </c>
      <c r="I17" s="6" t="s">
        <v>36</v>
      </c>
      <c r="J17" s="6"/>
      <c r="K17" s="6">
        <v>280.786</v>
      </c>
      <c r="L17" s="6">
        <f t="shared" si="2"/>
        <v>-2.0099999999999909</v>
      </c>
      <c r="M17" s="6">
        <f t="shared" si="3"/>
        <v>227.39000000000001</v>
      </c>
      <c r="N17" s="6">
        <v>51.386000000000003</v>
      </c>
      <c r="O17" s="6">
        <v>150</v>
      </c>
      <c r="P17" s="6">
        <v>279</v>
      </c>
      <c r="Q17" s="6"/>
      <c r="R17" s="6">
        <f t="shared" si="4"/>
        <v>45.478000000000002</v>
      </c>
      <c r="S17" s="8"/>
      <c r="T17" s="6">
        <f t="shared" si="5"/>
        <v>17.427349487664362</v>
      </c>
      <c r="U17" s="6">
        <f t="shared" si="6"/>
        <v>17.427349487664362</v>
      </c>
      <c r="V17" s="6">
        <v>63.830599999999997</v>
      </c>
      <c r="W17" s="6">
        <v>58.777599999999993</v>
      </c>
      <c r="X17" s="6">
        <v>55.939200000000007</v>
      </c>
      <c r="Y17" s="6">
        <v>60.511800000000008</v>
      </c>
      <c r="Z17" s="6">
        <v>76.385400000000004</v>
      </c>
      <c r="AA17" s="6">
        <v>56.423400000000001</v>
      </c>
      <c r="AB17" s="6">
        <v>67.234400000000008</v>
      </c>
      <c r="AC17" s="6">
        <v>65.8172</v>
      </c>
      <c r="AD17" s="6">
        <v>70.875</v>
      </c>
      <c r="AE17" s="6"/>
      <c r="AF17" s="6">
        <f t="shared" si="7"/>
        <v>0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53</v>
      </c>
      <c r="B18" s="6" t="s">
        <v>38</v>
      </c>
      <c r="C18" s="6"/>
      <c r="D18" s="6"/>
      <c r="E18" s="6"/>
      <c r="F18" s="6"/>
      <c r="G18" s="7">
        <v>1</v>
      </c>
      <c r="H18" s="6">
        <v>120</v>
      </c>
      <c r="I18" s="6" t="s">
        <v>36</v>
      </c>
      <c r="J18" s="6"/>
      <c r="K18" s="6">
        <v>27.9</v>
      </c>
      <c r="L18" s="6">
        <f t="shared" si="2"/>
        <v>-27.9</v>
      </c>
      <c r="M18" s="6">
        <f t="shared" si="3"/>
        <v>0</v>
      </c>
      <c r="N18" s="6"/>
      <c r="O18" s="6">
        <v>63</v>
      </c>
      <c r="P18" s="6"/>
      <c r="Q18" s="6"/>
      <c r="R18" s="6">
        <f t="shared" si="4"/>
        <v>0</v>
      </c>
      <c r="S18" s="8"/>
      <c r="T18" s="6" t="e">
        <f t="shared" si="5"/>
        <v>#DIV/0!</v>
      </c>
      <c r="U18" s="6" t="e">
        <f t="shared" si="6"/>
        <v>#DIV/0!</v>
      </c>
      <c r="V18" s="6">
        <v>4.2124000000000006</v>
      </c>
      <c r="W18" s="6">
        <v>0.98399999999999999</v>
      </c>
      <c r="X18" s="6">
        <v>2.4192</v>
      </c>
      <c r="Y18" s="6">
        <v>2.4304000000000001</v>
      </c>
      <c r="Z18" s="6">
        <v>0.68220000000000003</v>
      </c>
      <c r="AA18" s="6">
        <v>2.8746</v>
      </c>
      <c r="AB18" s="6">
        <v>0.99380000000000002</v>
      </c>
      <c r="AC18" s="6">
        <v>3.379</v>
      </c>
      <c r="AD18" s="6">
        <v>9.8799999999999999E-2</v>
      </c>
      <c r="AE18" s="6" t="s">
        <v>39</v>
      </c>
      <c r="AF18" s="6">
        <f t="shared" si="7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54</v>
      </c>
      <c r="B19" s="6" t="s">
        <v>35</v>
      </c>
      <c r="C19" s="6">
        <v>489</v>
      </c>
      <c r="D19" s="6">
        <v>77</v>
      </c>
      <c r="E19" s="6">
        <v>413</v>
      </c>
      <c r="F19" s="6">
        <v>76</v>
      </c>
      <c r="G19" s="7">
        <v>0.4</v>
      </c>
      <c r="H19" s="6">
        <v>45</v>
      </c>
      <c r="I19" s="6" t="s">
        <v>36</v>
      </c>
      <c r="J19" s="6"/>
      <c r="K19" s="6">
        <v>490</v>
      </c>
      <c r="L19" s="6">
        <f t="shared" si="2"/>
        <v>-77</v>
      </c>
      <c r="M19" s="6">
        <f t="shared" si="3"/>
        <v>413</v>
      </c>
      <c r="N19" s="6"/>
      <c r="O19" s="6">
        <v>63</v>
      </c>
      <c r="P19" s="6"/>
      <c r="Q19" s="6"/>
      <c r="R19" s="6">
        <f t="shared" si="4"/>
        <v>82.6</v>
      </c>
      <c r="S19" s="8">
        <f>12*R19-Q19-P19-O19-F19</f>
        <v>852.19999999999993</v>
      </c>
      <c r="T19" s="6">
        <f t="shared" si="5"/>
        <v>12</v>
      </c>
      <c r="U19" s="6">
        <f t="shared" si="6"/>
        <v>1.6828087167070218</v>
      </c>
      <c r="V19" s="6">
        <v>45</v>
      </c>
      <c r="W19" s="6">
        <v>56.6</v>
      </c>
      <c r="X19" s="6">
        <v>68.2</v>
      </c>
      <c r="Y19" s="6">
        <v>54.6</v>
      </c>
      <c r="Z19" s="6">
        <v>56.6</v>
      </c>
      <c r="AA19" s="6">
        <v>67.400000000000006</v>
      </c>
      <c r="AB19" s="6">
        <v>44</v>
      </c>
      <c r="AC19" s="6">
        <v>55</v>
      </c>
      <c r="AD19" s="6">
        <v>71.2</v>
      </c>
      <c r="AE19" s="6"/>
      <c r="AF19" s="6">
        <f t="shared" si="7"/>
        <v>340.88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55</v>
      </c>
      <c r="B20" s="6" t="s">
        <v>38</v>
      </c>
      <c r="C20" s="6">
        <v>494.76100000000002</v>
      </c>
      <c r="D20" s="6">
        <v>58.951999999999998</v>
      </c>
      <c r="E20" s="6">
        <v>349.07799999999997</v>
      </c>
      <c r="F20" s="6">
        <v>203.25200000000001</v>
      </c>
      <c r="G20" s="7">
        <v>1</v>
      </c>
      <c r="H20" s="6">
        <v>60</v>
      </c>
      <c r="I20" s="6" t="s">
        <v>36</v>
      </c>
      <c r="J20" s="6"/>
      <c r="K20" s="6">
        <v>345.72399999999999</v>
      </c>
      <c r="L20" s="6">
        <f t="shared" si="2"/>
        <v>3.353999999999985</v>
      </c>
      <c r="M20" s="6">
        <f t="shared" si="3"/>
        <v>292.85399999999998</v>
      </c>
      <c r="N20" s="6">
        <v>56.223999999999997</v>
      </c>
      <c r="O20" s="6">
        <v>48</v>
      </c>
      <c r="P20" s="6">
        <v>90</v>
      </c>
      <c r="Q20" s="6"/>
      <c r="R20" s="6">
        <f t="shared" si="4"/>
        <v>58.570799999999998</v>
      </c>
      <c r="S20" s="8">
        <f t="shared" si="8"/>
        <v>537.30999999999995</v>
      </c>
      <c r="T20" s="6">
        <f t="shared" si="5"/>
        <v>14.999999999999998</v>
      </c>
      <c r="U20" s="6">
        <f t="shared" si="6"/>
        <v>5.8263161848566183</v>
      </c>
      <c r="V20" s="6">
        <v>43.5886</v>
      </c>
      <c r="W20" s="6">
        <v>30.848199999999999</v>
      </c>
      <c r="X20" s="6">
        <v>57.430399999999999</v>
      </c>
      <c r="Y20" s="6">
        <v>43.7378</v>
      </c>
      <c r="Z20" s="6">
        <v>68.502600000000001</v>
      </c>
      <c r="AA20" s="6">
        <v>41.588000000000001</v>
      </c>
      <c r="AB20" s="6">
        <v>50.5824</v>
      </c>
      <c r="AC20" s="6">
        <v>56.876399999999997</v>
      </c>
      <c r="AD20" s="6">
        <v>42.729599999999998</v>
      </c>
      <c r="AE20" s="6"/>
      <c r="AF20" s="6">
        <f t="shared" si="7"/>
        <v>537.30999999999995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56</v>
      </c>
      <c r="B21" s="6" t="s">
        <v>35</v>
      </c>
      <c r="C21" s="6">
        <v>295</v>
      </c>
      <c r="D21" s="6">
        <v>295</v>
      </c>
      <c r="E21" s="6">
        <v>204</v>
      </c>
      <c r="F21" s="6">
        <v>360</v>
      </c>
      <c r="G21" s="7">
        <v>0.22</v>
      </c>
      <c r="H21" s="6">
        <v>120</v>
      </c>
      <c r="I21" s="6" t="s">
        <v>36</v>
      </c>
      <c r="J21" s="6"/>
      <c r="K21" s="6">
        <v>231</v>
      </c>
      <c r="L21" s="6">
        <f t="shared" si="2"/>
        <v>-27</v>
      </c>
      <c r="M21" s="6">
        <f t="shared" si="3"/>
        <v>204</v>
      </c>
      <c r="N21" s="6"/>
      <c r="O21" s="6">
        <v>24</v>
      </c>
      <c r="P21" s="6"/>
      <c r="Q21" s="6"/>
      <c r="R21" s="6">
        <f t="shared" si="4"/>
        <v>40.799999999999997</v>
      </c>
      <c r="S21" s="8">
        <f>20*R21-Q21-P21-O21-F21</f>
        <v>432</v>
      </c>
      <c r="T21" s="6">
        <f t="shared" si="5"/>
        <v>20</v>
      </c>
      <c r="U21" s="6">
        <f t="shared" si="6"/>
        <v>9.4117647058823533</v>
      </c>
      <c r="V21" s="6">
        <v>29.4</v>
      </c>
      <c r="W21" s="6">
        <v>36</v>
      </c>
      <c r="X21" s="6">
        <v>41.8</v>
      </c>
      <c r="Y21" s="6">
        <v>34.799999999999997</v>
      </c>
      <c r="Z21" s="6">
        <v>44</v>
      </c>
      <c r="AA21" s="6">
        <v>26.4</v>
      </c>
      <c r="AB21" s="6">
        <v>17.2</v>
      </c>
      <c r="AC21" s="6">
        <v>28.8</v>
      </c>
      <c r="AD21" s="6">
        <v>17.399999999999999</v>
      </c>
      <c r="AE21" s="6" t="s">
        <v>39</v>
      </c>
      <c r="AF21" s="6">
        <f t="shared" si="7"/>
        <v>95.04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57</v>
      </c>
      <c r="B22" s="6" t="s">
        <v>38</v>
      </c>
      <c r="C22" s="6">
        <v>41.293999999999997</v>
      </c>
      <c r="D22" s="6">
        <v>0.68600000000000005</v>
      </c>
      <c r="E22" s="6">
        <v>18.888000000000002</v>
      </c>
      <c r="F22" s="6">
        <v>20.026</v>
      </c>
      <c r="G22" s="7">
        <v>1</v>
      </c>
      <c r="H22" s="6">
        <v>40</v>
      </c>
      <c r="I22" s="6" t="s">
        <v>36</v>
      </c>
      <c r="J22" s="6"/>
      <c r="K22" s="6">
        <v>20.611999999999998</v>
      </c>
      <c r="L22" s="6">
        <f t="shared" si="2"/>
        <v>-1.7239999999999966</v>
      </c>
      <c r="M22" s="6">
        <f t="shared" si="3"/>
        <v>18.888000000000002</v>
      </c>
      <c r="N22" s="6"/>
      <c r="O22" s="6">
        <v>10</v>
      </c>
      <c r="P22" s="6"/>
      <c r="Q22" s="6"/>
      <c r="R22" s="6">
        <f t="shared" si="4"/>
        <v>3.7776000000000005</v>
      </c>
      <c r="S22" s="8">
        <f>14*R22-Q22-P22-O22-F22</f>
        <v>22.860400000000009</v>
      </c>
      <c r="T22" s="6">
        <f t="shared" si="5"/>
        <v>14</v>
      </c>
      <c r="U22" s="6">
        <f t="shared" si="6"/>
        <v>7.9484328674290543</v>
      </c>
      <c r="V22" s="6">
        <v>3.5044</v>
      </c>
      <c r="W22" s="6">
        <v>4.4631999999999996</v>
      </c>
      <c r="X22" s="6">
        <v>9.3635999999999999</v>
      </c>
      <c r="Y22" s="6">
        <v>8.4480000000000004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/>
      <c r="AF22" s="6">
        <f t="shared" si="7"/>
        <v>22.860400000000009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11" t="s">
        <v>58</v>
      </c>
      <c r="B23" s="11" t="s">
        <v>35</v>
      </c>
      <c r="C23" s="11">
        <v>18</v>
      </c>
      <c r="D23" s="11">
        <v>59</v>
      </c>
      <c r="E23" s="11">
        <v>10</v>
      </c>
      <c r="F23" s="11">
        <v>48</v>
      </c>
      <c r="G23" s="12">
        <v>0</v>
      </c>
      <c r="H23" s="11">
        <v>45</v>
      </c>
      <c r="I23" s="11" t="s">
        <v>59</v>
      </c>
      <c r="J23" s="11"/>
      <c r="K23" s="11">
        <v>43</v>
      </c>
      <c r="L23" s="11">
        <f t="shared" si="2"/>
        <v>-33</v>
      </c>
      <c r="M23" s="11">
        <f t="shared" si="3"/>
        <v>10</v>
      </c>
      <c r="N23" s="11"/>
      <c r="O23" s="11">
        <v>0</v>
      </c>
      <c r="P23" s="11"/>
      <c r="Q23" s="11"/>
      <c r="R23" s="11">
        <f t="shared" si="4"/>
        <v>2</v>
      </c>
      <c r="S23" s="13"/>
      <c r="T23" s="11">
        <f t="shared" si="5"/>
        <v>24</v>
      </c>
      <c r="U23" s="11">
        <f t="shared" si="6"/>
        <v>24</v>
      </c>
      <c r="V23" s="11">
        <v>1</v>
      </c>
      <c r="W23" s="11">
        <v>5.6</v>
      </c>
      <c r="X23" s="11">
        <v>0.8</v>
      </c>
      <c r="Y23" s="11">
        <v>3.8</v>
      </c>
      <c r="Z23" s="11">
        <v>2.2000000000000002</v>
      </c>
      <c r="AA23" s="11">
        <v>1.8</v>
      </c>
      <c r="AB23" s="11">
        <v>9</v>
      </c>
      <c r="AC23" s="11">
        <v>2.8</v>
      </c>
      <c r="AD23" s="11">
        <v>4</v>
      </c>
      <c r="AE23" s="15" t="s">
        <v>48</v>
      </c>
      <c r="AF23" s="11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60</v>
      </c>
      <c r="B24" s="6" t="s">
        <v>38</v>
      </c>
      <c r="C24" s="6">
        <v>94.268000000000001</v>
      </c>
      <c r="D24" s="6">
        <v>356.02800000000002</v>
      </c>
      <c r="E24" s="6">
        <v>309.07600000000002</v>
      </c>
      <c r="F24" s="6">
        <v>136.23500000000001</v>
      </c>
      <c r="G24" s="7">
        <v>1</v>
      </c>
      <c r="H24" s="6">
        <v>60</v>
      </c>
      <c r="I24" s="6" t="s">
        <v>36</v>
      </c>
      <c r="J24" s="6"/>
      <c r="K24" s="6">
        <v>348.339</v>
      </c>
      <c r="L24" s="6">
        <f t="shared" si="2"/>
        <v>-39.262999999999977</v>
      </c>
      <c r="M24" s="6">
        <f t="shared" si="3"/>
        <v>268.137</v>
      </c>
      <c r="N24" s="6">
        <v>40.939</v>
      </c>
      <c r="O24" s="6">
        <v>165</v>
      </c>
      <c r="P24" s="6">
        <v>306</v>
      </c>
      <c r="Q24" s="6"/>
      <c r="R24" s="6">
        <f t="shared" si="4"/>
        <v>53.627400000000002</v>
      </c>
      <c r="S24" s="8">
        <f t="shared" ref="S24:S28" si="9">15*R24-Q24-P24-O24-F24</f>
        <v>197.17600000000004</v>
      </c>
      <c r="T24" s="6">
        <f t="shared" si="5"/>
        <v>15</v>
      </c>
      <c r="U24" s="6">
        <f t="shared" si="6"/>
        <v>11.323222830120423</v>
      </c>
      <c r="V24" s="6">
        <v>57.724600000000002</v>
      </c>
      <c r="W24" s="6">
        <v>46.6706</v>
      </c>
      <c r="X24" s="6">
        <v>41.666800000000002</v>
      </c>
      <c r="Y24" s="6">
        <v>53.355600000000003</v>
      </c>
      <c r="Z24" s="6">
        <v>72.2042</v>
      </c>
      <c r="AA24" s="6">
        <v>33.979999999999997</v>
      </c>
      <c r="AB24" s="6">
        <v>58.654400000000003</v>
      </c>
      <c r="AC24" s="6">
        <v>38.292200000000001</v>
      </c>
      <c r="AD24" s="6">
        <v>37.873399999999997</v>
      </c>
      <c r="AE24" s="6"/>
      <c r="AF24" s="6">
        <f>G24*S24</f>
        <v>197.17600000000004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61</v>
      </c>
      <c r="B25" s="6" t="s">
        <v>35</v>
      </c>
      <c r="C25" s="6">
        <v>386</v>
      </c>
      <c r="D25" s="6">
        <v>217</v>
      </c>
      <c r="E25" s="6">
        <v>423</v>
      </c>
      <c r="F25" s="6">
        <v>64</v>
      </c>
      <c r="G25" s="7">
        <v>0.09</v>
      </c>
      <c r="H25" s="6">
        <v>60</v>
      </c>
      <c r="I25" s="6" t="s">
        <v>36</v>
      </c>
      <c r="J25" s="6"/>
      <c r="K25" s="6">
        <v>566</v>
      </c>
      <c r="L25" s="6">
        <f t="shared" si="2"/>
        <v>-143</v>
      </c>
      <c r="M25" s="6">
        <f t="shared" si="3"/>
        <v>423</v>
      </c>
      <c r="N25" s="6"/>
      <c r="O25" s="6">
        <v>140</v>
      </c>
      <c r="P25" s="6">
        <v>259</v>
      </c>
      <c r="Q25" s="6"/>
      <c r="R25" s="6">
        <f t="shared" si="4"/>
        <v>84.6</v>
      </c>
      <c r="S25" s="8">
        <f t="shared" si="9"/>
        <v>806</v>
      </c>
      <c r="T25" s="6">
        <f t="shared" si="5"/>
        <v>15.000000000000002</v>
      </c>
      <c r="U25" s="6">
        <f t="shared" si="6"/>
        <v>5.4728132387706863</v>
      </c>
      <c r="V25" s="6">
        <v>59</v>
      </c>
      <c r="W25" s="6">
        <v>53.4</v>
      </c>
      <c r="X25" s="6">
        <v>74.400000000000006</v>
      </c>
      <c r="Y25" s="6">
        <v>83</v>
      </c>
      <c r="Z25" s="6">
        <v>88.8</v>
      </c>
      <c r="AA25" s="6">
        <v>72</v>
      </c>
      <c r="AB25" s="6">
        <v>76.599999999999994</v>
      </c>
      <c r="AC25" s="6">
        <v>96</v>
      </c>
      <c r="AD25" s="6">
        <v>71.8</v>
      </c>
      <c r="AE25" s="6"/>
      <c r="AF25" s="6">
        <f>G25*S25</f>
        <v>72.539999999999992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62</v>
      </c>
      <c r="B26" s="6" t="s">
        <v>35</v>
      </c>
      <c r="C26" s="6">
        <v>219</v>
      </c>
      <c r="D26" s="6">
        <v>1</v>
      </c>
      <c r="E26" s="6">
        <v>23</v>
      </c>
      <c r="F26" s="6">
        <v>196</v>
      </c>
      <c r="G26" s="7">
        <v>0.09</v>
      </c>
      <c r="H26" s="6">
        <v>45</v>
      </c>
      <c r="I26" s="6" t="s">
        <v>36</v>
      </c>
      <c r="J26" s="6"/>
      <c r="K26" s="6">
        <v>227</v>
      </c>
      <c r="L26" s="6">
        <f t="shared" si="2"/>
        <v>-204</v>
      </c>
      <c r="M26" s="6">
        <f t="shared" si="3"/>
        <v>23</v>
      </c>
      <c r="N26" s="6"/>
      <c r="O26" s="6">
        <v>43</v>
      </c>
      <c r="P26" s="6"/>
      <c r="Q26" s="6"/>
      <c r="R26" s="6">
        <f t="shared" si="4"/>
        <v>4.5999999999999996</v>
      </c>
      <c r="S26" s="8"/>
      <c r="T26" s="6">
        <f t="shared" si="5"/>
        <v>51.956521739130437</v>
      </c>
      <c r="U26" s="6">
        <f t="shared" si="6"/>
        <v>51.956521739130437</v>
      </c>
      <c r="V26" s="6">
        <v>18.399999999999999</v>
      </c>
      <c r="W26" s="6">
        <v>16</v>
      </c>
      <c r="X26" s="6">
        <v>20.399999999999999</v>
      </c>
      <c r="Y26" s="6">
        <v>10</v>
      </c>
      <c r="Z26" s="6">
        <v>40.799999999999997</v>
      </c>
      <c r="AA26" s="6">
        <v>19</v>
      </c>
      <c r="AB26" s="6">
        <v>14.8</v>
      </c>
      <c r="AC26" s="6">
        <v>20.2</v>
      </c>
      <c r="AD26" s="6">
        <v>13.2</v>
      </c>
      <c r="AE26" s="15" t="s">
        <v>48</v>
      </c>
      <c r="AF26" s="6">
        <f>G26*S26</f>
        <v>0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63</v>
      </c>
      <c r="B27" s="6" t="s">
        <v>35</v>
      </c>
      <c r="C27" s="6">
        <v>271</v>
      </c>
      <c r="D27" s="6">
        <v>40</v>
      </c>
      <c r="E27" s="6">
        <v>48</v>
      </c>
      <c r="F27" s="6"/>
      <c r="G27" s="7">
        <v>0.15</v>
      </c>
      <c r="H27" s="6">
        <v>45</v>
      </c>
      <c r="I27" s="6" t="s">
        <v>36</v>
      </c>
      <c r="J27" s="6"/>
      <c r="K27" s="6">
        <v>202</v>
      </c>
      <c r="L27" s="6">
        <f t="shared" si="2"/>
        <v>-154</v>
      </c>
      <c r="M27" s="6">
        <f t="shared" si="3"/>
        <v>8</v>
      </c>
      <c r="N27" s="6">
        <v>40</v>
      </c>
      <c r="O27" s="6">
        <v>0</v>
      </c>
      <c r="P27" s="6"/>
      <c r="Q27" s="6"/>
      <c r="R27" s="6">
        <f t="shared" si="4"/>
        <v>1.6</v>
      </c>
      <c r="S27" s="8">
        <v>60</v>
      </c>
      <c r="T27" s="6">
        <f t="shared" si="5"/>
        <v>37.5</v>
      </c>
      <c r="U27" s="6">
        <f t="shared" si="6"/>
        <v>0</v>
      </c>
      <c r="V27" s="6">
        <v>1.8</v>
      </c>
      <c r="W27" s="6">
        <v>3.8</v>
      </c>
      <c r="X27" s="6">
        <v>6</v>
      </c>
      <c r="Y27" s="6">
        <v>13.6</v>
      </c>
      <c r="Z27" s="6">
        <v>29.4</v>
      </c>
      <c r="AA27" s="6">
        <v>16.600000000000001</v>
      </c>
      <c r="AB27" s="6">
        <v>24.6</v>
      </c>
      <c r="AC27" s="6">
        <v>45.6</v>
      </c>
      <c r="AD27" s="6">
        <v>6.2</v>
      </c>
      <c r="AE27" s="18" t="s">
        <v>176</v>
      </c>
      <c r="AF27" s="6">
        <f>G27*S27</f>
        <v>9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64</v>
      </c>
      <c r="B28" s="6" t="s">
        <v>38</v>
      </c>
      <c r="C28" s="6">
        <v>40.759</v>
      </c>
      <c r="D28" s="6">
        <v>299.291</v>
      </c>
      <c r="E28" s="6">
        <v>333.459</v>
      </c>
      <c r="F28" s="16">
        <f>0.272+F114</f>
        <v>129.90199999999999</v>
      </c>
      <c r="G28" s="7">
        <v>1</v>
      </c>
      <c r="H28" s="6">
        <v>45</v>
      </c>
      <c r="I28" s="6" t="s">
        <v>36</v>
      </c>
      <c r="J28" s="6"/>
      <c r="K28" s="6">
        <v>332.41199999999998</v>
      </c>
      <c r="L28" s="6">
        <f t="shared" si="2"/>
        <v>1.0470000000000255</v>
      </c>
      <c r="M28" s="6">
        <f t="shared" si="3"/>
        <v>242.447</v>
      </c>
      <c r="N28" s="6">
        <v>91.012</v>
      </c>
      <c r="O28" s="6">
        <v>136</v>
      </c>
      <c r="P28" s="6">
        <v>254</v>
      </c>
      <c r="Q28" s="6"/>
      <c r="R28" s="6">
        <f t="shared" si="4"/>
        <v>48.489400000000003</v>
      </c>
      <c r="S28" s="8">
        <f>14*R28-Q28-P28-O28-F28</f>
        <v>158.94960000000009</v>
      </c>
      <c r="T28" s="6">
        <f t="shared" si="5"/>
        <v>14.000000000000004</v>
      </c>
      <c r="U28" s="6">
        <f t="shared" si="6"/>
        <v>10.721972224857392</v>
      </c>
      <c r="V28" s="6">
        <v>48.859400000000001</v>
      </c>
      <c r="W28" s="6">
        <v>40.973200000000013</v>
      </c>
      <c r="X28" s="6">
        <v>46.067999999999998</v>
      </c>
      <c r="Y28" s="6">
        <v>42.266199999999998</v>
      </c>
      <c r="Z28" s="6">
        <v>73.7684</v>
      </c>
      <c r="AA28" s="6">
        <v>25.926400000000001</v>
      </c>
      <c r="AB28" s="6">
        <v>46.323399999999999</v>
      </c>
      <c r="AC28" s="6">
        <v>37.568800000000003</v>
      </c>
      <c r="AD28" s="6">
        <v>53.324800000000003</v>
      </c>
      <c r="AE28" s="6"/>
      <c r="AF28" s="6">
        <f>G28*S28</f>
        <v>158.94960000000009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11" t="s">
        <v>65</v>
      </c>
      <c r="B29" s="11" t="s">
        <v>35</v>
      </c>
      <c r="C29" s="11">
        <v>4</v>
      </c>
      <c r="D29" s="11">
        <v>2</v>
      </c>
      <c r="E29" s="11"/>
      <c r="F29" s="16">
        <v>-5</v>
      </c>
      <c r="G29" s="12">
        <v>0</v>
      </c>
      <c r="H29" s="11"/>
      <c r="I29" s="11" t="s">
        <v>59</v>
      </c>
      <c r="J29" s="11" t="s">
        <v>66</v>
      </c>
      <c r="K29" s="11">
        <v>15</v>
      </c>
      <c r="L29" s="11">
        <f t="shared" si="2"/>
        <v>-15</v>
      </c>
      <c r="M29" s="11">
        <f t="shared" si="3"/>
        <v>0</v>
      </c>
      <c r="N29" s="11"/>
      <c r="O29" s="11">
        <v>0</v>
      </c>
      <c r="P29" s="11"/>
      <c r="Q29" s="11"/>
      <c r="R29" s="11">
        <f t="shared" si="4"/>
        <v>0</v>
      </c>
      <c r="S29" s="13"/>
      <c r="T29" s="11" t="e">
        <f t="shared" si="5"/>
        <v>#DIV/0!</v>
      </c>
      <c r="U29" s="11" t="e">
        <f t="shared" si="6"/>
        <v>#DIV/0!</v>
      </c>
      <c r="V29" s="11">
        <v>0</v>
      </c>
      <c r="W29" s="11">
        <v>0.2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/>
      <c r="AF29" s="11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67</v>
      </c>
      <c r="B30" s="6" t="s">
        <v>35</v>
      </c>
      <c r="C30" s="6">
        <v>7</v>
      </c>
      <c r="D30" s="6">
        <v>161</v>
      </c>
      <c r="E30" s="6">
        <v>91</v>
      </c>
      <c r="F30" s="6">
        <v>76</v>
      </c>
      <c r="G30" s="7">
        <v>0.4</v>
      </c>
      <c r="H30" s="6">
        <v>60</v>
      </c>
      <c r="I30" s="6" t="s">
        <v>36</v>
      </c>
      <c r="J30" s="6"/>
      <c r="K30" s="6">
        <v>111</v>
      </c>
      <c r="L30" s="6">
        <f t="shared" si="2"/>
        <v>-20</v>
      </c>
      <c r="M30" s="6">
        <f t="shared" si="3"/>
        <v>51</v>
      </c>
      <c r="N30" s="6">
        <v>40</v>
      </c>
      <c r="O30" s="6">
        <v>36</v>
      </c>
      <c r="P30" s="6">
        <v>67</v>
      </c>
      <c r="Q30" s="6"/>
      <c r="R30" s="6">
        <f t="shared" si="4"/>
        <v>10.199999999999999</v>
      </c>
      <c r="S30" s="8">
        <v>16</v>
      </c>
      <c r="T30" s="6">
        <f t="shared" si="5"/>
        <v>19.117647058823529</v>
      </c>
      <c r="U30" s="6">
        <f t="shared" si="6"/>
        <v>17.549019607843139</v>
      </c>
      <c r="V30" s="6">
        <v>15.8</v>
      </c>
      <c r="W30" s="6">
        <v>14.4</v>
      </c>
      <c r="X30" s="6">
        <v>10.8</v>
      </c>
      <c r="Y30" s="6">
        <v>7</v>
      </c>
      <c r="Z30" s="6">
        <v>9.1999999999999993</v>
      </c>
      <c r="AA30" s="6">
        <v>5.2</v>
      </c>
      <c r="AB30" s="6">
        <v>-0.2</v>
      </c>
      <c r="AC30" s="6">
        <v>6</v>
      </c>
      <c r="AD30" s="6">
        <v>-0.2</v>
      </c>
      <c r="AE30" s="6"/>
      <c r="AF30" s="6">
        <f>G30*S30</f>
        <v>6.4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6" t="s">
        <v>68</v>
      </c>
      <c r="B31" s="6" t="s">
        <v>35</v>
      </c>
      <c r="C31" s="6">
        <v>501</v>
      </c>
      <c r="D31" s="6">
        <v>1116</v>
      </c>
      <c r="E31" s="6">
        <v>699</v>
      </c>
      <c r="F31" s="6">
        <v>859</v>
      </c>
      <c r="G31" s="7">
        <v>0.4</v>
      </c>
      <c r="H31" s="6">
        <v>60</v>
      </c>
      <c r="I31" s="10" t="s">
        <v>50</v>
      </c>
      <c r="J31" s="6"/>
      <c r="K31" s="6">
        <v>773</v>
      </c>
      <c r="L31" s="6">
        <f t="shared" si="2"/>
        <v>-74</v>
      </c>
      <c r="M31" s="6">
        <f t="shared" si="3"/>
        <v>699</v>
      </c>
      <c r="N31" s="6"/>
      <c r="O31" s="6">
        <v>1200</v>
      </c>
      <c r="P31" s="6"/>
      <c r="Q31" s="6"/>
      <c r="R31" s="6">
        <f t="shared" si="4"/>
        <v>139.80000000000001</v>
      </c>
      <c r="S31" s="8"/>
      <c r="T31" s="6">
        <f t="shared" si="5"/>
        <v>14.728183118741057</v>
      </c>
      <c r="U31" s="6">
        <f t="shared" si="6"/>
        <v>14.728183118741057</v>
      </c>
      <c r="V31" s="6">
        <v>69.2</v>
      </c>
      <c r="W31" s="6">
        <v>126.4</v>
      </c>
      <c r="X31" s="6">
        <v>97</v>
      </c>
      <c r="Y31" s="6">
        <v>134.6</v>
      </c>
      <c r="Z31" s="6">
        <v>131.6</v>
      </c>
      <c r="AA31" s="6">
        <v>108.6</v>
      </c>
      <c r="AB31" s="6">
        <v>119.2</v>
      </c>
      <c r="AC31" s="6">
        <v>106</v>
      </c>
      <c r="AD31" s="6">
        <v>145</v>
      </c>
      <c r="AE31" s="18" t="s">
        <v>177</v>
      </c>
      <c r="AF31" s="6">
        <f>G31*S31</f>
        <v>0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11" t="s">
        <v>69</v>
      </c>
      <c r="B32" s="11" t="s">
        <v>35</v>
      </c>
      <c r="C32" s="11">
        <v>-6</v>
      </c>
      <c r="D32" s="11"/>
      <c r="E32" s="11"/>
      <c r="F32" s="16">
        <v>-6</v>
      </c>
      <c r="G32" s="12">
        <v>0</v>
      </c>
      <c r="H32" s="11">
        <v>60</v>
      </c>
      <c r="I32" s="11" t="s">
        <v>59</v>
      </c>
      <c r="J32" s="11" t="s">
        <v>70</v>
      </c>
      <c r="K32" s="11">
        <v>31</v>
      </c>
      <c r="L32" s="11">
        <f t="shared" si="2"/>
        <v>-31</v>
      </c>
      <c r="M32" s="11">
        <f t="shared" si="3"/>
        <v>0</v>
      </c>
      <c r="N32" s="11"/>
      <c r="O32" s="11">
        <v>0</v>
      </c>
      <c r="P32" s="11"/>
      <c r="Q32" s="11"/>
      <c r="R32" s="11">
        <f t="shared" si="4"/>
        <v>0</v>
      </c>
      <c r="S32" s="13"/>
      <c r="T32" s="11" t="e">
        <f t="shared" si="5"/>
        <v>#DIV/0!</v>
      </c>
      <c r="U32" s="11" t="e">
        <f t="shared" si="6"/>
        <v>#DIV/0!</v>
      </c>
      <c r="V32" s="11">
        <v>1.2</v>
      </c>
      <c r="W32" s="11">
        <v>1</v>
      </c>
      <c r="X32" s="11">
        <v>0</v>
      </c>
      <c r="Y32" s="11">
        <v>57.4</v>
      </c>
      <c r="Z32" s="11">
        <v>111</v>
      </c>
      <c r="AA32" s="11">
        <v>112.6</v>
      </c>
      <c r="AB32" s="11">
        <v>84</v>
      </c>
      <c r="AC32" s="11">
        <v>105.4</v>
      </c>
      <c r="AD32" s="11">
        <v>131.80000000000001</v>
      </c>
      <c r="AE32" s="11" t="s">
        <v>71</v>
      </c>
      <c r="AF32" s="11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72</v>
      </c>
      <c r="B33" s="6" t="s">
        <v>35</v>
      </c>
      <c r="C33" s="6">
        <v>1090</v>
      </c>
      <c r="D33" s="6">
        <v>807</v>
      </c>
      <c r="E33" s="6">
        <v>838</v>
      </c>
      <c r="F33" s="6">
        <v>931</v>
      </c>
      <c r="G33" s="7">
        <v>0.4</v>
      </c>
      <c r="H33" s="6">
        <v>60</v>
      </c>
      <c r="I33" s="6" t="s">
        <v>36</v>
      </c>
      <c r="J33" s="6"/>
      <c r="K33" s="6">
        <v>978</v>
      </c>
      <c r="L33" s="6">
        <f t="shared" si="2"/>
        <v>-140</v>
      </c>
      <c r="M33" s="6">
        <f t="shared" si="3"/>
        <v>814</v>
      </c>
      <c r="N33" s="6">
        <v>24</v>
      </c>
      <c r="O33" s="6">
        <v>0</v>
      </c>
      <c r="P33" s="6"/>
      <c r="Q33" s="6"/>
      <c r="R33" s="6">
        <f t="shared" si="4"/>
        <v>162.80000000000001</v>
      </c>
      <c r="S33" s="8">
        <f t="shared" ref="S33" si="10">15*R33-Q33-P33-O33-F33</f>
        <v>1511</v>
      </c>
      <c r="T33" s="6">
        <f t="shared" si="5"/>
        <v>14.999999999999998</v>
      </c>
      <c r="U33" s="6">
        <f t="shared" si="6"/>
        <v>5.7186732186732181</v>
      </c>
      <c r="V33" s="6">
        <v>91.8</v>
      </c>
      <c r="W33" s="6">
        <v>147.6</v>
      </c>
      <c r="X33" s="6">
        <v>152.4</v>
      </c>
      <c r="Y33" s="6">
        <v>133.94</v>
      </c>
      <c r="Z33" s="6">
        <v>162.6</v>
      </c>
      <c r="AA33" s="6">
        <v>195.6</v>
      </c>
      <c r="AB33" s="6">
        <v>155.80000000000001</v>
      </c>
      <c r="AC33" s="6">
        <v>136.4</v>
      </c>
      <c r="AD33" s="6">
        <v>189.4</v>
      </c>
      <c r="AE33" s="6"/>
      <c r="AF33" s="6">
        <f>G33*S33</f>
        <v>604.4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73</v>
      </c>
      <c r="B34" s="6" t="s">
        <v>35</v>
      </c>
      <c r="C34" s="6"/>
      <c r="D34" s="6"/>
      <c r="E34" s="6"/>
      <c r="F34" s="6"/>
      <c r="G34" s="7">
        <v>0.3</v>
      </c>
      <c r="H34" s="6">
        <v>45</v>
      </c>
      <c r="I34" s="6" t="s">
        <v>36</v>
      </c>
      <c r="J34" s="6"/>
      <c r="K34" s="6"/>
      <c r="L34" s="6">
        <f t="shared" si="2"/>
        <v>0</v>
      </c>
      <c r="M34" s="6">
        <f t="shared" si="3"/>
        <v>0</v>
      </c>
      <c r="N34" s="6"/>
      <c r="O34" s="6">
        <v>120</v>
      </c>
      <c r="P34" s="6"/>
      <c r="Q34" s="6"/>
      <c r="R34" s="6">
        <f t="shared" si="4"/>
        <v>0</v>
      </c>
      <c r="S34" s="8"/>
      <c r="T34" s="6" t="e">
        <f t="shared" si="5"/>
        <v>#DIV/0!</v>
      </c>
      <c r="U34" s="6" t="e">
        <f t="shared" si="6"/>
        <v>#DIV/0!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 t="s">
        <v>74</v>
      </c>
      <c r="AF34" s="6">
        <f>G34*S34</f>
        <v>0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11" t="s">
        <v>75</v>
      </c>
      <c r="B35" s="11" t="s">
        <v>35</v>
      </c>
      <c r="C35" s="11">
        <v>-13</v>
      </c>
      <c r="D35" s="11"/>
      <c r="E35" s="16">
        <v>8</v>
      </c>
      <c r="F35" s="16">
        <v>-23</v>
      </c>
      <c r="G35" s="12">
        <v>0</v>
      </c>
      <c r="H35" s="11">
        <v>60</v>
      </c>
      <c r="I35" s="11" t="s">
        <v>59</v>
      </c>
      <c r="J35" s="11" t="s">
        <v>76</v>
      </c>
      <c r="K35" s="11">
        <v>350</v>
      </c>
      <c r="L35" s="11">
        <f t="shared" si="2"/>
        <v>-342</v>
      </c>
      <c r="M35" s="11">
        <f t="shared" si="3"/>
        <v>8</v>
      </c>
      <c r="N35" s="11"/>
      <c r="O35" s="11">
        <v>0</v>
      </c>
      <c r="P35" s="11"/>
      <c r="Q35" s="11"/>
      <c r="R35" s="11">
        <f t="shared" si="4"/>
        <v>1.6</v>
      </c>
      <c r="S35" s="13"/>
      <c r="T35" s="11">
        <f t="shared" si="5"/>
        <v>-14.375</v>
      </c>
      <c r="U35" s="11">
        <f t="shared" si="6"/>
        <v>-14.375</v>
      </c>
      <c r="V35" s="11">
        <v>25.6</v>
      </c>
      <c r="W35" s="11">
        <v>54.8</v>
      </c>
      <c r="X35" s="11">
        <v>70.599999999999994</v>
      </c>
      <c r="Y35" s="11">
        <v>60</v>
      </c>
      <c r="Z35" s="11">
        <v>72.400000000000006</v>
      </c>
      <c r="AA35" s="11">
        <v>65.2</v>
      </c>
      <c r="AB35" s="11">
        <v>59</v>
      </c>
      <c r="AC35" s="11">
        <v>96.6</v>
      </c>
      <c r="AD35" s="11">
        <v>47.6</v>
      </c>
      <c r="AE35" s="11" t="s">
        <v>77</v>
      </c>
      <c r="AF35" s="11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11" t="s">
        <v>78</v>
      </c>
      <c r="B36" s="11" t="s">
        <v>35</v>
      </c>
      <c r="C36" s="11">
        <v>40</v>
      </c>
      <c r="D36" s="11">
        <v>1</v>
      </c>
      <c r="E36" s="16">
        <v>30</v>
      </c>
      <c r="F36" s="16">
        <v>10</v>
      </c>
      <c r="G36" s="12">
        <v>0</v>
      </c>
      <c r="H36" s="11">
        <v>60</v>
      </c>
      <c r="I36" s="11" t="s">
        <v>59</v>
      </c>
      <c r="J36" s="11" t="s">
        <v>79</v>
      </c>
      <c r="K36" s="11">
        <v>326</v>
      </c>
      <c r="L36" s="11">
        <f t="shared" si="2"/>
        <v>-296</v>
      </c>
      <c r="M36" s="11">
        <f t="shared" si="3"/>
        <v>30</v>
      </c>
      <c r="N36" s="11"/>
      <c r="O36" s="11">
        <v>0</v>
      </c>
      <c r="P36" s="11"/>
      <c r="Q36" s="11"/>
      <c r="R36" s="11">
        <f t="shared" si="4"/>
        <v>6</v>
      </c>
      <c r="S36" s="13"/>
      <c r="T36" s="11">
        <f t="shared" si="5"/>
        <v>1.6666666666666667</v>
      </c>
      <c r="U36" s="11">
        <f t="shared" si="6"/>
        <v>1.6666666666666667</v>
      </c>
      <c r="V36" s="11">
        <v>38.799999999999997</v>
      </c>
      <c r="W36" s="11">
        <v>31.8</v>
      </c>
      <c r="X36" s="11">
        <v>36.4</v>
      </c>
      <c r="Y36" s="11">
        <v>41.2</v>
      </c>
      <c r="Z36" s="11">
        <v>44</v>
      </c>
      <c r="AA36" s="11">
        <v>32.799999999999997</v>
      </c>
      <c r="AB36" s="11">
        <v>42.6</v>
      </c>
      <c r="AC36" s="11">
        <v>28</v>
      </c>
      <c r="AD36" s="11">
        <v>48.2</v>
      </c>
      <c r="AE36" s="11" t="s">
        <v>80</v>
      </c>
      <c r="AF36" s="11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11" t="s">
        <v>81</v>
      </c>
      <c r="B37" s="11" t="s">
        <v>35</v>
      </c>
      <c r="C37" s="11">
        <v>55</v>
      </c>
      <c r="D37" s="11"/>
      <c r="E37" s="16">
        <v>13</v>
      </c>
      <c r="F37" s="16">
        <v>42</v>
      </c>
      <c r="G37" s="12">
        <v>0</v>
      </c>
      <c r="H37" s="11">
        <v>45</v>
      </c>
      <c r="I37" s="11" t="s">
        <v>59</v>
      </c>
      <c r="J37" s="11" t="s">
        <v>82</v>
      </c>
      <c r="K37" s="11">
        <v>136</v>
      </c>
      <c r="L37" s="11">
        <f t="shared" si="2"/>
        <v>-123</v>
      </c>
      <c r="M37" s="11">
        <f t="shared" si="3"/>
        <v>13</v>
      </c>
      <c r="N37" s="11"/>
      <c r="O37" s="11">
        <v>0</v>
      </c>
      <c r="P37" s="11"/>
      <c r="Q37" s="11"/>
      <c r="R37" s="11">
        <f t="shared" si="4"/>
        <v>2.6</v>
      </c>
      <c r="S37" s="13"/>
      <c r="T37" s="11">
        <f t="shared" si="5"/>
        <v>16.153846153846153</v>
      </c>
      <c r="U37" s="11">
        <f t="shared" si="6"/>
        <v>16.153846153846153</v>
      </c>
      <c r="V37" s="11">
        <v>10.4</v>
      </c>
      <c r="W37" s="11">
        <v>4.2</v>
      </c>
      <c r="X37" s="11">
        <v>14.4</v>
      </c>
      <c r="Y37" s="11">
        <v>21.2</v>
      </c>
      <c r="Z37" s="11">
        <v>25.2</v>
      </c>
      <c r="AA37" s="11">
        <v>13.4</v>
      </c>
      <c r="AB37" s="11">
        <v>5</v>
      </c>
      <c r="AC37" s="11">
        <v>20.6</v>
      </c>
      <c r="AD37" s="11">
        <v>13.2</v>
      </c>
      <c r="AE37" s="11" t="s">
        <v>83</v>
      </c>
      <c r="AF37" s="11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11" t="s">
        <v>84</v>
      </c>
      <c r="B38" s="11" t="s">
        <v>38</v>
      </c>
      <c r="C38" s="11">
        <v>15.914999999999999</v>
      </c>
      <c r="D38" s="11">
        <v>24.585000000000001</v>
      </c>
      <c r="E38" s="11">
        <v>24.54</v>
      </c>
      <c r="F38" s="11">
        <v>15.96</v>
      </c>
      <c r="G38" s="12">
        <v>0</v>
      </c>
      <c r="H38" s="11">
        <v>45</v>
      </c>
      <c r="I38" s="11" t="s">
        <v>59</v>
      </c>
      <c r="J38" s="11"/>
      <c r="K38" s="11">
        <v>23</v>
      </c>
      <c r="L38" s="11">
        <f t="shared" ref="L38:L69" si="11">E38-K38</f>
        <v>1.5399999999999991</v>
      </c>
      <c r="M38" s="11">
        <f t="shared" ref="M38:M69" si="12">E38-N38</f>
        <v>24.54</v>
      </c>
      <c r="N38" s="11"/>
      <c r="O38" s="11">
        <v>0</v>
      </c>
      <c r="P38" s="11"/>
      <c r="Q38" s="11"/>
      <c r="R38" s="11">
        <f t="shared" ref="R38:R69" si="13">M38/5</f>
        <v>4.9079999999999995</v>
      </c>
      <c r="S38" s="13"/>
      <c r="T38" s="11">
        <f t="shared" ref="T38:T69" si="14">(F38+O38+P38+Q38+S38)/R38</f>
        <v>3.2518337408312963</v>
      </c>
      <c r="U38" s="11">
        <f t="shared" ref="U38:U69" si="15">(F38+O38+P38+Q38)/R38</f>
        <v>3.2518337408312963</v>
      </c>
      <c r="V38" s="11">
        <v>2.702</v>
      </c>
      <c r="W38" s="11">
        <v>1.6173999999999999</v>
      </c>
      <c r="X38" s="11">
        <v>4.3179999999999996</v>
      </c>
      <c r="Y38" s="11">
        <v>2.4239999999999999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 t="s">
        <v>85</v>
      </c>
      <c r="AF38" s="11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86</v>
      </c>
      <c r="B39" s="6" t="s">
        <v>35</v>
      </c>
      <c r="C39" s="6"/>
      <c r="D39" s="6">
        <v>128</v>
      </c>
      <c r="E39" s="6">
        <v>50</v>
      </c>
      <c r="F39" s="6">
        <v>70</v>
      </c>
      <c r="G39" s="7">
        <v>0.4</v>
      </c>
      <c r="H39" s="6">
        <v>45</v>
      </c>
      <c r="I39" s="6" t="s">
        <v>36</v>
      </c>
      <c r="J39" s="6"/>
      <c r="K39" s="6">
        <v>58</v>
      </c>
      <c r="L39" s="6">
        <f t="shared" si="11"/>
        <v>-8</v>
      </c>
      <c r="M39" s="6">
        <f t="shared" si="12"/>
        <v>50</v>
      </c>
      <c r="N39" s="6"/>
      <c r="O39" s="6">
        <v>0</v>
      </c>
      <c r="P39" s="6"/>
      <c r="Q39" s="6"/>
      <c r="R39" s="6">
        <f t="shared" si="13"/>
        <v>10</v>
      </c>
      <c r="S39" s="8">
        <f>14*R39-Q39-P39-O39-F39</f>
        <v>70</v>
      </c>
      <c r="T39" s="6">
        <f t="shared" si="14"/>
        <v>14</v>
      </c>
      <c r="U39" s="6">
        <f t="shared" si="15"/>
        <v>7</v>
      </c>
      <c r="V39" s="6">
        <v>5.4</v>
      </c>
      <c r="W39" s="6">
        <v>13</v>
      </c>
      <c r="X39" s="6">
        <v>1.2</v>
      </c>
      <c r="Y39" s="6">
        <v>10.6</v>
      </c>
      <c r="Z39" s="6">
        <v>3</v>
      </c>
      <c r="AA39" s="6">
        <v>7.4</v>
      </c>
      <c r="AB39" s="6">
        <v>1.6</v>
      </c>
      <c r="AC39" s="6">
        <v>0</v>
      </c>
      <c r="AD39" s="6">
        <v>1.2</v>
      </c>
      <c r="AE39" s="6"/>
      <c r="AF39" s="6">
        <f t="shared" ref="AF39:AF45" si="16">G39*S39</f>
        <v>28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87</v>
      </c>
      <c r="B40" s="6" t="s">
        <v>35</v>
      </c>
      <c r="C40" s="6">
        <v>52</v>
      </c>
      <c r="D40" s="6">
        <v>267</v>
      </c>
      <c r="E40" s="6">
        <v>81</v>
      </c>
      <c r="F40" s="6">
        <v>233</v>
      </c>
      <c r="G40" s="7">
        <v>0.3</v>
      </c>
      <c r="H40" s="6">
        <v>45</v>
      </c>
      <c r="I40" s="6" t="s">
        <v>36</v>
      </c>
      <c r="J40" s="6"/>
      <c r="K40" s="6">
        <v>121</v>
      </c>
      <c r="L40" s="6">
        <f t="shared" si="11"/>
        <v>-40</v>
      </c>
      <c r="M40" s="6">
        <f t="shared" si="12"/>
        <v>81</v>
      </c>
      <c r="N40" s="6"/>
      <c r="O40" s="6">
        <v>30</v>
      </c>
      <c r="P40" s="6"/>
      <c r="Q40" s="6"/>
      <c r="R40" s="6">
        <f t="shared" si="13"/>
        <v>16.2</v>
      </c>
      <c r="S40" s="8"/>
      <c r="T40" s="6">
        <f t="shared" si="14"/>
        <v>16.23456790123457</v>
      </c>
      <c r="U40" s="6">
        <f t="shared" si="15"/>
        <v>16.23456790123457</v>
      </c>
      <c r="V40" s="6">
        <v>23</v>
      </c>
      <c r="W40" s="6">
        <v>29.6</v>
      </c>
      <c r="X40" s="6">
        <v>17.600000000000001</v>
      </c>
      <c r="Y40" s="6">
        <v>29.2</v>
      </c>
      <c r="Z40" s="6">
        <v>42</v>
      </c>
      <c r="AA40" s="6">
        <v>0</v>
      </c>
      <c r="AB40" s="6">
        <v>0</v>
      </c>
      <c r="AC40" s="6">
        <v>0</v>
      </c>
      <c r="AD40" s="6">
        <v>18.399999999999999</v>
      </c>
      <c r="AE40" s="6"/>
      <c r="AF40" s="6">
        <f t="shared" si="16"/>
        <v>0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88</v>
      </c>
      <c r="B41" s="6" t="s">
        <v>38</v>
      </c>
      <c r="C41" s="6">
        <v>175.179</v>
      </c>
      <c r="D41" s="6">
        <v>20.074999999999999</v>
      </c>
      <c r="E41" s="6">
        <v>160.167</v>
      </c>
      <c r="F41" s="6">
        <v>35.087000000000003</v>
      </c>
      <c r="G41" s="7">
        <v>1</v>
      </c>
      <c r="H41" s="6">
        <v>60</v>
      </c>
      <c r="I41" s="6" t="s">
        <v>36</v>
      </c>
      <c r="J41" s="6"/>
      <c r="K41" s="6">
        <v>162.47499999999999</v>
      </c>
      <c r="L41" s="6">
        <f t="shared" si="11"/>
        <v>-2.3079999999999927</v>
      </c>
      <c r="M41" s="6">
        <f t="shared" si="12"/>
        <v>140.09200000000001</v>
      </c>
      <c r="N41" s="6">
        <v>20.074999999999999</v>
      </c>
      <c r="O41" s="6">
        <v>250</v>
      </c>
      <c r="P41" s="6"/>
      <c r="Q41" s="6"/>
      <c r="R41" s="6">
        <f t="shared" si="13"/>
        <v>28.018400000000003</v>
      </c>
      <c r="S41" s="8">
        <f t="shared" ref="S39:S44" si="17">15*R41-Q41-P41-O41-F41</f>
        <v>135.18900000000008</v>
      </c>
      <c r="T41" s="6">
        <f t="shared" si="14"/>
        <v>15</v>
      </c>
      <c r="U41" s="6">
        <f t="shared" si="15"/>
        <v>10.174992148017015</v>
      </c>
      <c r="V41" s="6">
        <v>23.045400000000001</v>
      </c>
      <c r="W41" s="6">
        <v>18.9406</v>
      </c>
      <c r="X41" s="6">
        <v>26.659800000000001</v>
      </c>
      <c r="Y41" s="6">
        <v>21.777200000000001</v>
      </c>
      <c r="Z41" s="6">
        <v>22.845600000000001</v>
      </c>
      <c r="AA41" s="6">
        <v>21.195799999999998</v>
      </c>
      <c r="AB41" s="6">
        <v>26.767199999999999</v>
      </c>
      <c r="AC41" s="6">
        <v>22.452999999999999</v>
      </c>
      <c r="AD41" s="6">
        <v>14.877000000000001</v>
      </c>
      <c r="AE41" s="6"/>
      <c r="AF41" s="6">
        <f t="shared" si="16"/>
        <v>135.18900000000008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89</v>
      </c>
      <c r="B42" s="6" t="s">
        <v>38</v>
      </c>
      <c r="C42" s="6">
        <v>37.627000000000002</v>
      </c>
      <c r="D42" s="6">
        <v>135.851</v>
      </c>
      <c r="E42" s="6">
        <v>65.882999999999996</v>
      </c>
      <c r="F42" s="6">
        <v>105.376</v>
      </c>
      <c r="G42" s="7">
        <v>1</v>
      </c>
      <c r="H42" s="6">
        <v>45</v>
      </c>
      <c r="I42" s="6" t="s">
        <v>36</v>
      </c>
      <c r="J42" s="6"/>
      <c r="K42" s="6">
        <v>68.599999999999994</v>
      </c>
      <c r="L42" s="6">
        <f t="shared" si="11"/>
        <v>-2.7169999999999987</v>
      </c>
      <c r="M42" s="6">
        <f t="shared" si="12"/>
        <v>65.882999999999996</v>
      </c>
      <c r="N42" s="6"/>
      <c r="O42" s="6">
        <v>9</v>
      </c>
      <c r="P42" s="6"/>
      <c r="Q42" s="6"/>
      <c r="R42" s="6">
        <f t="shared" si="13"/>
        <v>13.176599999999999</v>
      </c>
      <c r="S42" s="8">
        <f>14*R42-Q42-P42-O42-F42</f>
        <v>70.096399999999988</v>
      </c>
      <c r="T42" s="6">
        <f t="shared" si="14"/>
        <v>14</v>
      </c>
      <c r="U42" s="6">
        <f t="shared" si="15"/>
        <v>8.6802361762518423</v>
      </c>
      <c r="V42" s="6">
        <v>11.030799999999999</v>
      </c>
      <c r="W42" s="6">
        <v>15.082599999999999</v>
      </c>
      <c r="X42" s="6">
        <v>11.778600000000001</v>
      </c>
      <c r="Y42" s="6">
        <v>11.2448</v>
      </c>
      <c r="Z42" s="6">
        <v>14.4396</v>
      </c>
      <c r="AA42" s="6">
        <v>14.8492</v>
      </c>
      <c r="AB42" s="6">
        <v>17.9648</v>
      </c>
      <c r="AC42" s="6">
        <v>14.7774</v>
      </c>
      <c r="AD42" s="6">
        <v>12.758800000000001</v>
      </c>
      <c r="AE42" s="6"/>
      <c r="AF42" s="6">
        <f t="shared" si="16"/>
        <v>70.096399999999988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90</v>
      </c>
      <c r="B43" s="6" t="s">
        <v>38</v>
      </c>
      <c r="C43" s="6">
        <v>120.437</v>
      </c>
      <c r="D43" s="6">
        <v>51.414999999999999</v>
      </c>
      <c r="E43" s="6">
        <v>72.843000000000004</v>
      </c>
      <c r="F43" s="6">
        <v>95.471000000000004</v>
      </c>
      <c r="G43" s="7">
        <v>1</v>
      </c>
      <c r="H43" s="6">
        <v>45</v>
      </c>
      <c r="I43" s="6" t="s">
        <v>36</v>
      </c>
      <c r="J43" s="6"/>
      <c r="K43" s="6">
        <v>75.599999999999994</v>
      </c>
      <c r="L43" s="6">
        <f t="shared" si="11"/>
        <v>-2.7569999999999908</v>
      </c>
      <c r="M43" s="6">
        <f t="shared" si="12"/>
        <v>72.843000000000004</v>
      </c>
      <c r="N43" s="6"/>
      <c r="O43" s="6">
        <v>61</v>
      </c>
      <c r="P43" s="6">
        <v>113</v>
      </c>
      <c r="Q43" s="6"/>
      <c r="R43" s="6">
        <f t="shared" si="13"/>
        <v>14.5686</v>
      </c>
      <c r="S43" s="8"/>
      <c r="T43" s="6">
        <f t="shared" si="14"/>
        <v>18.496698378704885</v>
      </c>
      <c r="U43" s="6">
        <f t="shared" si="15"/>
        <v>18.496698378704885</v>
      </c>
      <c r="V43" s="6">
        <v>20.5672</v>
      </c>
      <c r="W43" s="6">
        <v>17.590800000000002</v>
      </c>
      <c r="X43" s="6">
        <v>22.394200000000001</v>
      </c>
      <c r="Y43" s="6">
        <v>22.173999999999999</v>
      </c>
      <c r="Z43" s="6">
        <v>24.6816</v>
      </c>
      <c r="AA43" s="6">
        <v>17.996200000000002</v>
      </c>
      <c r="AB43" s="6">
        <v>17.272200000000002</v>
      </c>
      <c r="AC43" s="6">
        <v>10.6646</v>
      </c>
      <c r="AD43" s="6">
        <v>20.632000000000001</v>
      </c>
      <c r="AE43" s="6"/>
      <c r="AF43" s="6">
        <f t="shared" si="16"/>
        <v>0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91</v>
      </c>
      <c r="B44" s="6" t="s">
        <v>38</v>
      </c>
      <c r="C44" s="6">
        <v>146.416</v>
      </c>
      <c r="D44" s="6">
        <v>179.97200000000001</v>
      </c>
      <c r="E44" s="6">
        <v>204.756</v>
      </c>
      <c r="F44" s="6">
        <v>111.521</v>
      </c>
      <c r="G44" s="7">
        <v>1</v>
      </c>
      <c r="H44" s="6">
        <v>45</v>
      </c>
      <c r="I44" s="6" t="s">
        <v>36</v>
      </c>
      <c r="J44" s="6"/>
      <c r="K44" s="6">
        <v>212.078</v>
      </c>
      <c r="L44" s="6">
        <f t="shared" si="11"/>
        <v>-7.3220000000000027</v>
      </c>
      <c r="M44" s="6">
        <f t="shared" si="12"/>
        <v>173.37799999999999</v>
      </c>
      <c r="N44" s="6">
        <v>31.378</v>
      </c>
      <c r="O44" s="6">
        <v>100</v>
      </c>
      <c r="P44" s="6"/>
      <c r="Q44" s="6"/>
      <c r="R44" s="6">
        <f t="shared" si="13"/>
        <v>34.675599999999996</v>
      </c>
      <c r="S44" s="8">
        <f>14*R44-Q44-P44-O44-F44</f>
        <v>273.93739999999991</v>
      </c>
      <c r="T44" s="6">
        <f t="shared" si="14"/>
        <v>14</v>
      </c>
      <c r="U44" s="6">
        <f t="shared" si="15"/>
        <v>6.0999953858044282</v>
      </c>
      <c r="V44" s="6">
        <v>24.506</v>
      </c>
      <c r="W44" s="6">
        <v>27.321200000000001</v>
      </c>
      <c r="X44" s="6">
        <v>24.925999999999998</v>
      </c>
      <c r="Y44" s="6">
        <v>38.509399999999999</v>
      </c>
      <c r="Z44" s="6">
        <v>42.509799999999998</v>
      </c>
      <c r="AA44" s="6">
        <v>27.579799999999999</v>
      </c>
      <c r="AB44" s="6">
        <v>40.957799999999999</v>
      </c>
      <c r="AC44" s="6">
        <v>29.583200000000001</v>
      </c>
      <c r="AD44" s="6">
        <v>33.079799999999999</v>
      </c>
      <c r="AE44" s="6"/>
      <c r="AF44" s="6">
        <f t="shared" si="16"/>
        <v>273.93739999999991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92</v>
      </c>
      <c r="B45" s="6" t="s">
        <v>35</v>
      </c>
      <c r="C45" s="6">
        <v>1643</v>
      </c>
      <c r="D45" s="6">
        <v>41</v>
      </c>
      <c r="E45" s="6">
        <v>262</v>
      </c>
      <c r="F45" s="6">
        <v>1414</v>
      </c>
      <c r="G45" s="7">
        <v>0.3</v>
      </c>
      <c r="H45" s="6">
        <v>45</v>
      </c>
      <c r="I45" s="6" t="s">
        <v>36</v>
      </c>
      <c r="J45" s="6"/>
      <c r="K45" s="6">
        <v>430</v>
      </c>
      <c r="L45" s="6">
        <f t="shared" si="11"/>
        <v>-168</v>
      </c>
      <c r="M45" s="6">
        <f t="shared" si="12"/>
        <v>230</v>
      </c>
      <c r="N45" s="6">
        <v>32</v>
      </c>
      <c r="O45" s="6">
        <v>0</v>
      </c>
      <c r="P45" s="6"/>
      <c r="Q45" s="6"/>
      <c r="R45" s="6">
        <f t="shared" si="13"/>
        <v>46</v>
      </c>
      <c r="S45" s="8"/>
      <c r="T45" s="6">
        <f t="shared" si="14"/>
        <v>30.739130434782609</v>
      </c>
      <c r="U45" s="6">
        <f t="shared" si="15"/>
        <v>30.739130434782609</v>
      </c>
      <c r="V45" s="6">
        <v>45.4</v>
      </c>
      <c r="W45" s="6">
        <v>55.4</v>
      </c>
      <c r="X45" s="6">
        <v>70.8</v>
      </c>
      <c r="Y45" s="6">
        <v>472.6</v>
      </c>
      <c r="Z45" s="6">
        <v>1125</v>
      </c>
      <c r="AA45" s="6">
        <v>88.8</v>
      </c>
      <c r="AB45" s="6">
        <v>92.2</v>
      </c>
      <c r="AC45" s="6">
        <v>90.2</v>
      </c>
      <c r="AD45" s="6">
        <v>75.2</v>
      </c>
      <c r="AE45" s="15" t="s">
        <v>48</v>
      </c>
      <c r="AF45" s="6">
        <f t="shared" si="16"/>
        <v>0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11" t="s">
        <v>93</v>
      </c>
      <c r="B46" s="11" t="s">
        <v>38</v>
      </c>
      <c r="C46" s="11"/>
      <c r="D46" s="11"/>
      <c r="E46" s="11"/>
      <c r="F46" s="11"/>
      <c r="G46" s="12">
        <v>0</v>
      </c>
      <c r="H46" s="11"/>
      <c r="I46" s="11" t="s">
        <v>36</v>
      </c>
      <c r="J46" s="11"/>
      <c r="K46" s="11"/>
      <c r="L46" s="11">
        <f t="shared" si="11"/>
        <v>0</v>
      </c>
      <c r="M46" s="11">
        <f t="shared" si="12"/>
        <v>0</v>
      </c>
      <c r="N46" s="11"/>
      <c r="O46" s="11">
        <v>0</v>
      </c>
      <c r="P46" s="11"/>
      <c r="Q46" s="11"/>
      <c r="R46" s="11">
        <f t="shared" si="13"/>
        <v>0</v>
      </c>
      <c r="S46" s="13"/>
      <c r="T46" s="11" t="e">
        <f t="shared" si="14"/>
        <v>#DIV/0!</v>
      </c>
      <c r="U46" s="11" t="e">
        <f t="shared" si="15"/>
        <v>#DIV/0!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 t="s">
        <v>94</v>
      </c>
      <c r="AF46" s="11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95</v>
      </c>
      <c r="B47" s="6" t="s">
        <v>38</v>
      </c>
      <c r="C47" s="6">
        <v>170.69</v>
      </c>
      <c r="D47" s="6"/>
      <c r="E47" s="6">
        <v>7.7430000000000003</v>
      </c>
      <c r="F47" s="6">
        <v>162.947</v>
      </c>
      <c r="G47" s="7">
        <v>1</v>
      </c>
      <c r="H47" s="6">
        <v>45</v>
      </c>
      <c r="I47" s="6" t="s">
        <v>36</v>
      </c>
      <c r="J47" s="6"/>
      <c r="K47" s="6">
        <v>9</v>
      </c>
      <c r="L47" s="6">
        <f t="shared" si="11"/>
        <v>-1.2569999999999997</v>
      </c>
      <c r="M47" s="6">
        <f t="shared" si="12"/>
        <v>7.7430000000000003</v>
      </c>
      <c r="N47" s="6"/>
      <c r="O47" s="6">
        <v>0</v>
      </c>
      <c r="P47" s="6"/>
      <c r="Q47" s="6"/>
      <c r="R47" s="6">
        <f t="shared" si="13"/>
        <v>1.5486</v>
      </c>
      <c r="S47" s="8"/>
      <c r="T47" s="6">
        <f t="shared" si="14"/>
        <v>105.22213612294976</v>
      </c>
      <c r="U47" s="6">
        <f t="shared" si="15"/>
        <v>105.22213612294976</v>
      </c>
      <c r="V47" s="6">
        <v>0</v>
      </c>
      <c r="W47" s="6">
        <v>2.1534</v>
      </c>
      <c r="X47" s="6">
        <v>0.62980000000000003</v>
      </c>
      <c r="Y47" s="6">
        <v>2.1646000000000001</v>
      </c>
      <c r="Z47" s="6">
        <v>2.6646000000000001</v>
      </c>
      <c r="AA47" s="6">
        <v>1.2427999999999999</v>
      </c>
      <c r="AB47" s="6">
        <v>1.234</v>
      </c>
      <c r="AC47" s="6">
        <v>3.0461999999999998</v>
      </c>
      <c r="AD47" s="6">
        <v>2.7833999999999999</v>
      </c>
      <c r="AE47" s="17" t="s">
        <v>173</v>
      </c>
      <c r="AF47" s="6">
        <f>G47*S47</f>
        <v>0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96</v>
      </c>
      <c r="B48" s="6" t="s">
        <v>35</v>
      </c>
      <c r="C48" s="6">
        <v>2002</v>
      </c>
      <c r="D48" s="6">
        <v>171</v>
      </c>
      <c r="E48" s="6">
        <v>993</v>
      </c>
      <c r="F48" s="6">
        <v>1097</v>
      </c>
      <c r="G48" s="7">
        <v>0.35</v>
      </c>
      <c r="H48" s="6">
        <v>45</v>
      </c>
      <c r="I48" s="10" t="s">
        <v>50</v>
      </c>
      <c r="J48" s="6"/>
      <c r="K48" s="6">
        <v>1202</v>
      </c>
      <c r="L48" s="6">
        <f t="shared" si="11"/>
        <v>-209</v>
      </c>
      <c r="M48" s="6">
        <f t="shared" si="12"/>
        <v>905</v>
      </c>
      <c r="N48" s="6">
        <v>88</v>
      </c>
      <c r="O48" s="6">
        <v>1100</v>
      </c>
      <c r="P48" s="6"/>
      <c r="Q48" s="6"/>
      <c r="R48" s="6">
        <f t="shared" si="13"/>
        <v>181</v>
      </c>
      <c r="S48" s="8">
        <f>14*R48-Q48-P48-O48-F48</f>
        <v>337</v>
      </c>
      <c r="T48" s="6">
        <f t="shared" si="14"/>
        <v>14</v>
      </c>
      <c r="U48" s="6">
        <f t="shared" si="15"/>
        <v>12.138121546961326</v>
      </c>
      <c r="V48" s="6">
        <v>160.6</v>
      </c>
      <c r="W48" s="6">
        <v>152.19999999999999</v>
      </c>
      <c r="X48" s="6">
        <v>238</v>
      </c>
      <c r="Y48" s="6">
        <v>215.8</v>
      </c>
      <c r="Z48" s="6">
        <v>254.4</v>
      </c>
      <c r="AA48" s="6">
        <v>225.4</v>
      </c>
      <c r="AB48" s="6">
        <v>174.6</v>
      </c>
      <c r="AC48" s="6">
        <v>242.8</v>
      </c>
      <c r="AD48" s="6">
        <v>195.2</v>
      </c>
      <c r="AE48" s="6" t="s">
        <v>97</v>
      </c>
      <c r="AF48" s="6">
        <f>G48*S48</f>
        <v>117.94999999999999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98</v>
      </c>
      <c r="B49" s="6" t="s">
        <v>35</v>
      </c>
      <c r="C49" s="6">
        <v>637</v>
      </c>
      <c r="D49" s="6">
        <v>87</v>
      </c>
      <c r="E49" s="6">
        <v>392</v>
      </c>
      <c r="F49" s="6">
        <v>265</v>
      </c>
      <c r="G49" s="7">
        <v>0.41</v>
      </c>
      <c r="H49" s="6">
        <v>45</v>
      </c>
      <c r="I49" s="6" t="s">
        <v>36</v>
      </c>
      <c r="J49" s="6"/>
      <c r="K49" s="6">
        <v>463</v>
      </c>
      <c r="L49" s="6">
        <f t="shared" si="11"/>
        <v>-71</v>
      </c>
      <c r="M49" s="6">
        <f t="shared" si="12"/>
        <v>360</v>
      </c>
      <c r="N49" s="6">
        <v>32</v>
      </c>
      <c r="O49" s="6">
        <v>0</v>
      </c>
      <c r="P49" s="6"/>
      <c r="Q49" s="6"/>
      <c r="R49" s="6">
        <f t="shared" si="13"/>
        <v>72</v>
      </c>
      <c r="S49" s="8">
        <f>14*R49-Q49-P49-O49-F49</f>
        <v>743</v>
      </c>
      <c r="T49" s="6">
        <f t="shared" si="14"/>
        <v>14</v>
      </c>
      <c r="U49" s="6">
        <f t="shared" si="15"/>
        <v>3.6805555555555554</v>
      </c>
      <c r="V49" s="6">
        <v>37.200000000000003</v>
      </c>
      <c r="W49" s="6">
        <v>47.2</v>
      </c>
      <c r="X49" s="6">
        <v>73.8</v>
      </c>
      <c r="Y49" s="6">
        <v>85.4</v>
      </c>
      <c r="Z49" s="6">
        <v>90</v>
      </c>
      <c r="AA49" s="6">
        <v>70.8</v>
      </c>
      <c r="AB49" s="6">
        <v>61</v>
      </c>
      <c r="AC49" s="6">
        <v>64.599999999999994</v>
      </c>
      <c r="AD49" s="6">
        <v>87.2</v>
      </c>
      <c r="AE49" s="6"/>
      <c r="AF49" s="6">
        <f>G49*S49</f>
        <v>304.63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99</v>
      </c>
      <c r="B50" s="6" t="s">
        <v>35</v>
      </c>
      <c r="C50" s="6">
        <v>99</v>
      </c>
      <c r="D50" s="6">
        <v>66</v>
      </c>
      <c r="E50" s="6">
        <v>51</v>
      </c>
      <c r="F50" s="6">
        <v>108</v>
      </c>
      <c r="G50" s="7">
        <v>0.41</v>
      </c>
      <c r="H50" s="6">
        <v>45</v>
      </c>
      <c r="I50" s="6" t="s">
        <v>36</v>
      </c>
      <c r="J50" s="6"/>
      <c r="K50" s="6">
        <v>60</v>
      </c>
      <c r="L50" s="6">
        <f t="shared" si="11"/>
        <v>-9</v>
      </c>
      <c r="M50" s="6">
        <f t="shared" si="12"/>
        <v>51</v>
      </c>
      <c r="N50" s="6"/>
      <c r="O50" s="6">
        <v>0</v>
      </c>
      <c r="P50" s="6"/>
      <c r="Q50" s="6"/>
      <c r="R50" s="6">
        <f t="shared" si="13"/>
        <v>10.199999999999999</v>
      </c>
      <c r="S50" s="8">
        <f>14*R50-Q50-P50-O50-F50</f>
        <v>34.799999999999983</v>
      </c>
      <c r="T50" s="6">
        <f t="shared" si="14"/>
        <v>14</v>
      </c>
      <c r="U50" s="6">
        <f t="shared" si="15"/>
        <v>10.588235294117649</v>
      </c>
      <c r="V50" s="6">
        <v>7.6</v>
      </c>
      <c r="W50" s="6">
        <v>13.8</v>
      </c>
      <c r="X50" s="6">
        <v>14</v>
      </c>
      <c r="Y50" s="6">
        <v>12.6</v>
      </c>
      <c r="Z50" s="6">
        <v>24.6</v>
      </c>
      <c r="AA50" s="6">
        <v>24.6</v>
      </c>
      <c r="AB50" s="6">
        <v>19</v>
      </c>
      <c r="AC50" s="6">
        <v>12.2</v>
      </c>
      <c r="AD50" s="6">
        <v>19.8</v>
      </c>
      <c r="AE50" s="6"/>
      <c r="AF50" s="6">
        <f>G50*S50</f>
        <v>14.267999999999992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11" t="s">
        <v>100</v>
      </c>
      <c r="B51" s="11" t="s">
        <v>35</v>
      </c>
      <c r="C51" s="11"/>
      <c r="D51" s="11">
        <v>16</v>
      </c>
      <c r="E51" s="11">
        <v>16</v>
      </c>
      <c r="F51" s="11"/>
      <c r="G51" s="12">
        <v>0</v>
      </c>
      <c r="H51" s="11"/>
      <c r="I51" s="14" t="s">
        <v>59</v>
      </c>
      <c r="J51" s="11"/>
      <c r="K51" s="11">
        <v>58</v>
      </c>
      <c r="L51" s="11">
        <f t="shared" si="11"/>
        <v>-42</v>
      </c>
      <c r="M51" s="11">
        <f t="shared" si="12"/>
        <v>0</v>
      </c>
      <c r="N51" s="11">
        <v>16</v>
      </c>
      <c r="O51" s="11"/>
      <c r="P51" s="11"/>
      <c r="Q51" s="11"/>
      <c r="R51" s="11">
        <f t="shared" si="13"/>
        <v>0</v>
      </c>
      <c r="S51" s="13"/>
      <c r="T51" s="11" t="e">
        <f t="shared" si="14"/>
        <v>#DIV/0!</v>
      </c>
      <c r="U51" s="11" t="e">
        <f t="shared" si="15"/>
        <v>#DIV/0!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/>
      <c r="AF51" s="11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101</v>
      </c>
      <c r="B52" s="6" t="s">
        <v>35</v>
      </c>
      <c r="C52" s="6">
        <v>501</v>
      </c>
      <c r="D52" s="6">
        <v>115</v>
      </c>
      <c r="E52" s="6">
        <v>200</v>
      </c>
      <c r="F52" s="6">
        <v>361</v>
      </c>
      <c r="G52" s="7">
        <v>0.36</v>
      </c>
      <c r="H52" s="6">
        <v>45</v>
      </c>
      <c r="I52" s="6" t="s">
        <v>36</v>
      </c>
      <c r="J52" s="6"/>
      <c r="K52" s="6">
        <v>218</v>
      </c>
      <c r="L52" s="6">
        <f t="shared" si="11"/>
        <v>-18</v>
      </c>
      <c r="M52" s="6">
        <f t="shared" si="12"/>
        <v>140</v>
      </c>
      <c r="N52" s="6">
        <v>60</v>
      </c>
      <c r="O52" s="6">
        <v>51</v>
      </c>
      <c r="P52" s="6"/>
      <c r="Q52" s="6"/>
      <c r="R52" s="6">
        <f t="shared" si="13"/>
        <v>28</v>
      </c>
      <c r="S52" s="8"/>
      <c r="T52" s="6">
        <f t="shared" si="14"/>
        <v>14.714285714285714</v>
      </c>
      <c r="U52" s="6">
        <f t="shared" si="15"/>
        <v>14.714285714285714</v>
      </c>
      <c r="V52" s="6">
        <v>36.799999999999997</v>
      </c>
      <c r="W52" s="6">
        <v>35.6</v>
      </c>
      <c r="X52" s="6">
        <v>58.4</v>
      </c>
      <c r="Y52" s="6">
        <v>42.6</v>
      </c>
      <c r="Z52" s="6">
        <v>61.8</v>
      </c>
      <c r="AA52" s="6">
        <v>30.8</v>
      </c>
      <c r="AB52" s="6">
        <v>48.8</v>
      </c>
      <c r="AC52" s="6">
        <v>26.6</v>
      </c>
      <c r="AD52" s="6">
        <v>45.8</v>
      </c>
      <c r="AE52" s="6"/>
      <c r="AF52" s="6">
        <f t="shared" ref="AF52:AF60" si="18">G52*S52</f>
        <v>0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102</v>
      </c>
      <c r="B53" s="6" t="s">
        <v>35</v>
      </c>
      <c r="C53" s="6">
        <v>461</v>
      </c>
      <c r="D53" s="6">
        <v>11</v>
      </c>
      <c r="E53" s="6">
        <v>234</v>
      </c>
      <c r="F53" s="6">
        <v>226</v>
      </c>
      <c r="G53" s="7">
        <v>0.33</v>
      </c>
      <c r="H53" s="6">
        <v>45</v>
      </c>
      <c r="I53" s="6" t="s">
        <v>36</v>
      </c>
      <c r="J53" s="6"/>
      <c r="K53" s="6">
        <v>270</v>
      </c>
      <c r="L53" s="6">
        <f t="shared" si="11"/>
        <v>-36</v>
      </c>
      <c r="M53" s="6">
        <f t="shared" si="12"/>
        <v>234</v>
      </c>
      <c r="N53" s="6"/>
      <c r="O53" s="6">
        <v>0</v>
      </c>
      <c r="P53" s="6"/>
      <c r="Q53" s="6"/>
      <c r="R53" s="6">
        <f t="shared" si="13"/>
        <v>46.8</v>
      </c>
      <c r="S53" s="8">
        <f t="shared" ref="S52:S53" si="19">14*R53-Q53-P53-O53-F53</f>
        <v>429.19999999999993</v>
      </c>
      <c r="T53" s="6">
        <f t="shared" si="14"/>
        <v>14</v>
      </c>
      <c r="U53" s="6">
        <f t="shared" si="15"/>
        <v>4.8290598290598297</v>
      </c>
      <c r="V53" s="6">
        <v>26.4</v>
      </c>
      <c r="W53" s="6">
        <v>39.4</v>
      </c>
      <c r="X53" s="6">
        <v>53.2</v>
      </c>
      <c r="Y53" s="6">
        <v>56.4</v>
      </c>
      <c r="Z53" s="6">
        <v>54.2</v>
      </c>
      <c r="AA53" s="6">
        <v>59.2</v>
      </c>
      <c r="AB53" s="6">
        <v>41.2</v>
      </c>
      <c r="AC53" s="6">
        <v>51.6</v>
      </c>
      <c r="AD53" s="6">
        <v>54.8</v>
      </c>
      <c r="AE53" s="6"/>
      <c r="AF53" s="6">
        <f t="shared" si="18"/>
        <v>141.636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103</v>
      </c>
      <c r="B54" s="6" t="s">
        <v>35</v>
      </c>
      <c r="C54" s="6">
        <v>141</v>
      </c>
      <c r="D54" s="6">
        <v>380</v>
      </c>
      <c r="E54" s="6">
        <v>285</v>
      </c>
      <c r="F54" s="6">
        <v>235</v>
      </c>
      <c r="G54" s="7">
        <v>0.4</v>
      </c>
      <c r="H54" s="6">
        <v>60</v>
      </c>
      <c r="I54" s="6" t="s">
        <v>36</v>
      </c>
      <c r="J54" s="6"/>
      <c r="K54" s="6">
        <v>286</v>
      </c>
      <c r="L54" s="6">
        <f t="shared" si="11"/>
        <v>-1</v>
      </c>
      <c r="M54" s="6">
        <f t="shared" si="12"/>
        <v>141</v>
      </c>
      <c r="N54" s="6">
        <v>144</v>
      </c>
      <c r="O54" s="6">
        <v>100</v>
      </c>
      <c r="P54" s="6"/>
      <c r="Q54" s="6">
        <v>250</v>
      </c>
      <c r="R54" s="6">
        <f t="shared" si="13"/>
        <v>28.2</v>
      </c>
      <c r="S54" s="8"/>
      <c r="T54" s="6">
        <f t="shared" si="14"/>
        <v>20.74468085106383</v>
      </c>
      <c r="U54" s="6">
        <f t="shared" si="15"/>
        <v>20.74468085106383</v>
      </c>
      <c r="V54" s="6">
        <v>23.8</v>
      </c>
      <c r="W54" s="6">
        <v>33.200000000000003</v>
      </c>
      <c r="X54" s="6">
        <v>20.8</v>
      </c>
      <c r="Y54" s="6">
        <v>38.799999999999997</v>
      </c>
      <c r="Z54" s="6">
        <v>37.4</v>
      </c>
      <c r="AA54" s="6">
        <v>0</v>
      </c>
      <c r="AB54" s="6">
        <v>0</v>
      </c>
      <c r="AC54" s="6">
        <v>11.2</v>
      </c>
      <c r="AD54" s="6">
        <v>40.200000000000003</v>
      </c>
      <c r="AE54" s="6"/>
      <c r="AF54" s="6">
        <f t="shared" si="18"/>
        <v>0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104</v>
      </c>
      <c r="B55" s="6" t="s">
        <v>35</v>
      </c>
      <c r="C55" s="6">
        <v>22</v>
      </c>
      <c r="D55" s="6">
        <v>1</v>
      </c>
      <c r="E55" s="6">
        <v>21</v>
      </c>
      <c r="F55" s="6">
        <v>1</v>
      </c>
      <c r="G55" s="7">
        <v>0.33</v>
      </c>
      <c r="H55" s="6">
        <v>45</v>
      </c>
      <c r="I55" s="6" t="s">
        <v>36</v>
      </c>
      <c r="J55" s="6"/>
      <c r="K55" s="6">
        <v>31</v>
      </c>
      <c r="L55" s="6">
        <f t="shared" si="11"/>
        <v>-10</v>
      </c>
      <c r="M55" s="6">
        <f t="shared" si="12"/>
        <v>21</v>
      </c>
      <c r="N55" s="6"/>
      <c r="O55" s="6">
        <v>28</v>
      </c>
      <c r="P55" s="6"/>
      <c r="Q55" s="6"/>
      <c r="R55" s="6">
        <f t="shared" si="13"/>
        <v>4.2</v>
      </c>
      <c r="S55" s="8">
        <f t="shared" ref="S55:S56" si="20">14*R55-Q55-P55-O55-F55</f>
        <v>29.800000000000004</v>
      </c>
      <c r="T55" s="6">
        <f t="shared" si="14"/>
        <v>14</v>
      </c>
      <c r="U55" s="6">
        <f t="shared" si="15"/>
        <v>6.9047619047619042</v>
      </c>
      <c r="V55" s="6">
        <v>3.6</v>
      </c>
      <c r="W55" s="6">
        <v>3.6</v>
      </c>
      <c r="X55" s="6">
        <v>4.5999999999999996</v>
      </c>
      <c r="Y55" s="6">
        <v>5.6</v>
      </c>
      <c r="Z55" s="6">
        <v>6.2</v>
      </c>
      <c r="AA55" s="6">
        <v>18</v>
      </c>
      <c r="AB55" s="6">
        <v>13</v>
      </c>
      <c r="AC55" s="6">
        <v>26.6</v>
      </c>
      <c r="AD55" s="6">
        <v>4.8</v>
      </c>
      <c r="AE55" s="6"/>
      <c r="AF55" s="6">
        <f t="shared" si="18"/>
        <v>9.8340000000000014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105</v>
      </c>
      <c r="B56" s="6" t="s">
        <v>38</v>
      </c>
      <c r="C56" s="6">
        <v>188.84800000000001</v>
      </c>
      <c r="D56" s="6">
        <v>734.61199999999997</v>
      </c>
      <c r="E56" s="6">
        <v>494.79599999999999</v>
      </c>
      <c r="F56" s="6">
        <v>422.80099999999999</v>
      </c>
      <c r="G56" s="7">
        <v>1</v>
      </c>
      <c r="H56" s="6">
        <v>45</v>
      </c>
      <c r="I56" s="6" t="s">
        <v>36</v>
      </c>
      <c r="J56" s="6"/>
      <c r="K56" s="6">
        <v>489.70299999999997</v>
      </c>
      <c r="L56" s="6">
        <f t="shared" si="11"/>
        <v>5.0930000000000177</v>
      </c>
      <c r="M56" s="6">
        <f t="shared" si="12"/>
        <v>418.79300000000001</v>
      </c>
      <c r="N56" s="6">
        <v>76.003</v>
      </c>
      <c r="O56" s="6">
        <v>240</v>
      </c>
      <c r="P56" s="6"/>
      <c r="Q56" s="6"/>
      <c r="R56" s="6">
        <f t="shared" si="13"/>
        <v>83.758600000000001</v>
      </c>
      <c r="S56" s="8">
        <f t="shared" si="20"/>
        <v>509.81940000000003</v>
      </c>
      <c r="T56" s="6">
        <f t="shared" si="14"/>
        <v>14</v>
      </c>
      <c r="U56" s="6">
        <f t="shared" si="15"/>
        <v>7.9132292087021501</v>
      </c>
      <c r="V56" s="6">
        <v>66.909199999999998</v>
      </c>
      <c r="W56" s="6">
        <v>79.169799999999995</v>
      </c>
      <c r="X56" s="6">
        <v>59.140799999999999</v>
      </c>
      <c r="Y56" s="6">
        <v>88.197000000000003</v>
      </c>
      <c r="Z56" s="6">
        <v>93.295600000000007</v>
      </c>
      <c r="AA56" s="6">
        <v>55.942399999999999</v>
      </c>
      <c r="AB56" s="6">
        <v>66.259600000000006</v>
      </c>
      <c r="AC56" s="6">
        <v>76.353999999999999</v>
      </c>
      <c r="AD56" s="6">
        <v>67.717999999999989</v>
      </c>
      <c r="AE56" s="6"/>
      <c r="AF56" s="6">
        <f t="shared" si="18"/>
        <v>509.81940000000003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106</v>
      </c>
      <c r="B57" s="6" t="s">
        <v>35</v>
      </c>
      <c r="C57" s="6">
        <v>46</v>
      </c>
      <c r="D57" s="6"/>
      <c r="E57" s="6">
        <v>24</v>
      </c>
      <c r="F57" s="6">
        <v>9</v>
      </c>
      <c r="G57" s="7">
        <v>0.4</v>
      </c>
      <c r="H57" s="6">
        <v>45</v>
      </c>
      <c r="I57" s="6" t="s">
        <v>36</v>
      </c>
      <c r="J57" s="6"/>
      <c r="K57" s="6">
        <v>43</v>
      </c>
      <c r="L57" s="6">
        <f t="shared" si="11"/>
        <v>-19</v>
      </c>
      <c r="M57" s="6">
        <f t="shared" si="12"/>
        <v>24</v>
      </c>
      <c r="N57" s="6"/>
      <c r="O57" s="6">
        <v>0</v>
      </c>
      <c r="P57" s="6"/>
      <c r="Q57" s="6"/>
      <c r="R57" s="6">
        <f t="shared" si="13"/>
        <v>4.8</v>
      </c>
      <c r="S57" s="8">
        <f>12*R57-Q57-P57-O57-F57</f>
        <v>48.599999999999994</v>
      </c>
      <c r="T57" s="6">
        <f t="shared" si="14"/>
        <v>12</v>
      </c>
      <c r="U57" s="6">
        <f t="shared" si="15"/>
        <v>1.875</v>
      </c>
      <c r="V57" s="6">
        <v>2.8</v>
      </c>
      <c r="W57" s="6">
        <v>3.4</v>
      </c>
      <c r="X57" s="6">
        <v>1.6</v>
      </c>
      <c r="Y57" s="6">
        <v>4.2</v>
      </c>
      <c r="Z57" s="6">
        <v>9</v>
      </c>
      <c r="AA57" s="6">
        <v>6.2</v>
      </c>
      <c r="AB57" s="6">
        <v>7.2</v>
      </c>
      <c r="AC57" s="6">
        <v>7.2</v>
      </c>
      <c r="AD57" s="6">
        <v>2.6</v>
      </c>
      <c r="AE57" s="6"/>
      <c r="AF57" s="6">
        <f t="shared" si="18"/>
        <v>19.439999999999998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107</v>
      </c>
      <c r="B58" s="6" t="s">
        <v>38</v>
      </c>
      <c r="C58" s="6">
        <v>11.829000000000001</v>
      </c>
      <c r="D58" s="6">
        <v>3.8570000000000002</v>
      </c>
      <c r="E58" s="6">
        <v>15.63</v>
      </c>
      <c r="F58" s="6">
        <v>5.6000000000000001E-2</v>
      </c>
      <c r="G58" s="7">
        <v>1</v>
      </c>
      <c r="H58" s="6">
        <v>60</v>
      </c>
      <c r="I58" s="6" t="s">
        <v>36</v>
      </c>
      <c r="J58" s="6"/>
      <c r="K58" s="6">
        <v>22.2</v>
      </c>
      <c r="L58" s="6">
        <f t="shared" si="11"/>
        <v>-6.5699999999999985</v>
      </c>
      <c r="M58" s="6">
        <f t="shared" si="12"/>
        <v>15.63</v>
      </c>
      <c r="N58" s="6"/>
      <c r="O58" s="6">
        <v>29</v>
      </c>
      <c r="P58" s="6"/>
      <c r="Q58" s="6"/>
      <c r="R58" s="6">
        <f t="shared" si="13"/>
        <v>3.1260000000000003</v>
      </c>
      <c r="S58" s="8">
        <f t="shared" ref="S52:S59" si="21">15*R58-Q58-P58-O58-F58</f>
        <v>17.834000000000007</v>
      </c>
      <c r="T58" s="6">
        <f t="shared" si="14"/>
        <v>15</v>
      </c>
      <c r="U58" s="6">
        <f t="shared" si="15"/>
        <v>9.2949456174024299</v>
      </c>
      <c r="V58" s="6">
        <v>3.1627999999999998</v>
      </c>
      <c r="W58" s="6">
        <v>2.3344</v>
      </c>
      <c r="X58" s="6">
        <v>0.3916</v>
      </c>
      <c r="Y58" s="6">
        <v>2.6023999999999998</v>
      </c>
      <c r="Z58" s="6">
        <v>0.76580000000000004</v>
      </c>
      <c r="AA58" s="6">
        <v>4.7548000000000004</v>
      </c>
      <c r="AB58" s="6">
        <v>5.0624000000000002</v>
      </c>
      <c r="AC58" s="6">
        <v>3.1055999999999999</v>
      </c>
      <c r="AD58" s="6">
        <v>4.3197999999999999</v>
      </c>
      <c r="AE58" s="6"/>
      <c r="AF58" s="6">
        <f t="shared" si="18"/>
        <v>17.834000000000007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108</v>
      </c>
      <c r="B59" s="6" t="s">
        <v>38</v>
      </c>
      <c r="C59" s="6">
        <v>19.63</v>
      </c>
      <c r="D59" s="6">
        <v>37.685000000000002</v>
      </c>
      <c r="E59" s="6">
        <v>16.61</v>
      </c>
      <c r="F59" s="6">
        <v>39.195</v>
      </c>
      <c r="G59" s="7">
        <v>1</v>
      </c>
      <c r="H59" s="6">
        <v>60</v>
      </c>
      <c r="I59" s="6" t="s">
        <v>36</v>
      </c>
      <c r="J59" s="6"/>
      <c r="K59" s="6">
        <v>18.100000000000001</v>
      </c>
      <c r="L59" s="6">
        <f t="shared" si="11"/>
        <v>-1.490000000000002</v>
      </c>
      <c r="M59" s="6">
        <f t="shared" si="12"/>
        <v>16.61</v>
      </c>
      <c r="N59" s="6"/>
      <c r="O59" s="6">
        <v>0</v>
      </c>
      <c r="P59" s="6"/>
      <c r="Q59" s="6"/>
      <c r="R59" s="6">
        <f t="shared" si="13"/>
        <v>3.3220000000000001</v>
      </c>
      <c r="S59" s="8">
        <f t="shared" si="21"/>
        <v>10.634999999999998</v>
      </c>
      <c r="T59" s="6">
        <f t="shared" si="14"/>
        <v>15</v>
      </c>
      <c r="U59" s="6">
        <f t="shared" si="15"/>
        <v>11.798615291992775</v>
      </c>
      <c r="V59" s="6">
        <v>2.1120000000000001</v>
      </c>
      <c r="W59" s="6">
        <v>4.5110000000000001</v>
      </c>
      <c r="X59" s="6">
        <v>3.62</v>
      </c>
      <c r="Y59" s="6">
        <v>2.024</v>
      </c>
      <c r="Z59" s="6">
        <v>4.5279999999999996</v>
      </c>
      <c r="AA59" s="6">
        <v>3.6309999999999998</v>
      </c>
      <c r="AB59" s="6">
        <v>3.617</v>
      </c>
      <c r="AC59" s="6">
        <v>1.8580000000000001</v>
      </c>
      <c r="AD59" s="6">
        <v>2.8534000000000002</v>
      </c>
      <c r="AE59" s="6"/>
      <c r="AF59" s="6">
        <f t="shared" si="18"/>
        <v>10.634999999999998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109</v>
      </c>
      <c r="B60" s="6" t="s">
        <v>35</v>
      </c>
      <c r="C60" s="6">
        <v>8</v>
      </c>
      <c r="D60" s="6">
        <v>27</v>
      </c>
      <c r="E60" s="6">
        <v>19</v>
      </c>
      <c r="F60" s="6">
        <v>15</v>
      </c>
      <c r="G60" s="7">
        <v>0.6</v>
      </c>
      <c r="H60" s="6">
        <v>45</v>
      </c>
      <c r="I60" s="6" t="s">
        <v>36</v>
      </c>
      <c r="J60" s="6"/>
      <c r="K60" s="6">
        <v>21</v>
      </c>
      <c r="L60" s="6">
        <f t="shared" si="11"/>
        <v>-2</v>
      </c>
      <c r="M60" s="6">
        <f t="shared" si="12"/>
        <v>19</v>
      </c>
      <c r="N60" s="6"/>
      <c r="O60" s="6">
        <v>37</v>
      </c>
      <c r="P60" s="6"/>
      <c r="Q60" s="6"/>
      <c r="R60" s="6">
        <f t="shared" si="13"/>
        <v>3.8</v>
      </c>
      <c r="S60" s="8">
        <v>8</v>
      </c>
      <c r="T60" s="6">
        <f t="shared" si="14"/>
        <v>15.789473684210527</v>
      </c>
      <c r="U60" s="6">
        <f t="shared" si="15"/>
        <v>13.684210526315789</v>
      </c>
      <c r="V60" s="6">
        <v>4.8</v>
      </c>
      <c r="W60" s="6">
        <v>4</v>
      </c>
      <c r="X60" s="6">
        <v>-0.2</v>
      </c>
      <c r="Y60" s="6">
        <v>0.8</v>
      </c>
      <c r="Z60" s="6">
        <v>3</v>
      </c>
      <c r="AA60" s="6">
        <v>10.4</v>
      </c>
      <c r="AB60" s="6">
        <v>6</v>
      </c>
      <c r="AC60" s="6">
        <v>7</v>
      </c>
      <c r="AD60" s="6">
        <v>4.8</v>
      </c>
      <c r="AE60" s="6"/>
      <c r="AF60" s="6">
        <f t="shared" si="18"/>
        <v>4.8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11" t="s">
        <v>110</v>
      </c>
      <c r="B61" s="11" t="s">
        <v>38</v>
      </c>
      <c r="C61" s="11"/>
      <c r="D61" s="11">
        <v>15.25</v>
      </c>
      <c r="E61" s="11">
        <v>5.0810000000000004</v>
      </c>
      <c r="F61" s="11">
        <v>10.169</v>
      </c>
      <c r="G61" s="12">
        <v>0</v>
      </c>
      <c r="H61" s="11">
        <v>45</v>
      </c>
      <c r="I61" s="11" t="s">
        <v>59</v>
      </c>
      <c r="J61" s="11"/>
      <c r="K61" s="11">
        <v>4.9450000000000003</v>
      </c>
      <c r="L61" s="11">
        <f t="shared" si="11"/>
        <v>0.13600000000000012</v>
      </c>
      <c r="M61" s="11">
        <f t="shared" si="12"/>
        <v>5.0810000000000004</v>
      </c>
      <c r="N61" s="11"/>
      <c r="O61" s="11">
        <v>0</v>
      </c>
      <c r="P61" s="11"/>
      <c r="Q61" s="11"/>
      <c r="R61" s="11">
        <f t="shared" si="13"/>
        <v>1.0162</v>
      </c>
      <c r="S61" s="13"/>
      <c r="T61" s="11">
        <f t="shared" si="14"/>
        <v>10.006888407793742</v>
      </c>
      <c r="U61" s="11">
        <f t="shared" si="15"/>
        <v>10.006888407793742</v>
      </c>
      <c r="V61" s="11">
        <v>-0.17180000000000001</v>
      </c>
      <c r="W61" s="11">
        <v>1.7132000000000001</v>
      </c>
      <c r="X61" s="11">
        <v>1.03</v>
      </c>
      <c r="Y61" s="11">
        <v>0.85760000000000003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/>
      <c r="AF61" s="11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11" t="s">
        <v>111</v>
      </c>
      <c r="B62" s="11" t="s">
        <v>38</v>
      </c>
      <c r="C62" s="11">
        <v>-12.435</v>
      </c>
      <c r="D62" s="11"/>
      <c r="E62" s="11"/>
      <c r="F62" s="16">
        <v>-12.435</v>
      </c>
      <c r="G62" s="12">
        <v>0</v>
      </c>
      <c r="H62" s="11">
        <v>0</v>
      </c>
      <c r="I62" s="11" t="s">
        <v>112</v>
      </c>
      <c r="J62" s="11" t="s">
        <v>113</v>
      </c>
      <c r="K62" s="11"/>
      <c r="L62" s="11">
        <f t="shared" si="11"/>
        <v>0</v>
      </c>
      <c r="M62" s="11">
        <f t="shared" si="12"/>
        <v>0</v>
      </c>
      <c r="N62" s="11"/>
      <c r="O62" s="11">
        <v>0</v>
      </c>
      <c r="P62" s="11"/>
      <c r="Q62" s="11"/>
      <c r="R62" s="11">
        <f t="shared" si="13"/>
        <v>0</v>
      </c>
      <c r="S62" s="13"/>
      <c r="T62" s="11" t="e">
        <f t="shared" si="14"/>
        <v>#DIV/0!</v>
      </c>
      <c r="U62" s="11" t="e">
        <f t="shared" si="15"/>
        <v>#DIV/0!</v>
      </c>
      <c r="V62" s="11">
        <v>2.4870000000000001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/>
      <c r="AF62" s="11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114</v>
      </c>
      <c r="B63" s="6" t="s">
        <v>35</v>
      </c>
      <c r="C63" s="6">
        <v>60</v>
      </c>
      <c r="D63" s="6">
        <v>90</v>
      </c>
      <c r="E63" s="6">
        <v>78</v>
      </c>
      <c r="F63" s="6">
        <v>38</v>
      </c>
      <c r="G63" s="7">
        <v>0.25</v>
      </c>
      <c r="H63" s="6">
        <v>120</v>
      </c>
      <c r="I63" s="6" t="s">
        <v>36</v>
      </c>
      <c r="J63" s="6"/>
      <c r="K63" s="6">
        <v>112</v>
      </c>
      <c r="L63" s="6">
        <f t="shared" si="11"/>
        <v>-34</v>
      </c>
      <c r="M63" s="6">
        <f t="shared" si="12"/>
        <v>62</v>
      </c>
      <c r="N63" s="6">
        <v>16</v>
      </c>
      <c r="O63" s="6">
        <v>36</v>
      </c>
      <c r="P63" s="6">
        <v>67</v>
      </c>
      <c r="Q63" s="6"/>
      <c r="R63" s="6">
        <f t="shared" si="13"/>
        <v>12.4</v>
      </c>
      <c r="S63" s="8">
        <f>20*R63-Q63-P63-O63-F63</f>
        <v>107</v>
      </c>
      <c r="T63" s="6">
        <f t="shared" si="14"/>
        <v>20</v>
      </c>
      <c r="U63" s="6">
        <f t="shared" si="15"/>
        <v>11.370967741935484</v>
      </c>
      <c r="V63" s="6">
        <v>10</v>
      </c>
      <c r="W63" s="6">
        <v>7.6</v>
      </c>
      <c r="X63" s="6">
        <v>10</v>
      </c>
      <c r="Y63" s="6">
        <v>11.4</v>
      </c>
      <c r="Z63" s="6">
        <v>4.5999999999999996</v>
      </c>
      <c r="AA63" s="6">
        <v>7</v>
      </c>
      <c r="AB63" s="6">
        <v>8.8000000000000007</v>
      </c>
      <c r="AC63" s="6">
        <v>15.8</v>
      </c>
      <c r="AD63" s="6">
        <v>8</v>
      </c>
      <c r="AE63" s="6" t="s">
        <v>39</v>
      </c>
      <c r="AF63" s="6">
        <f>G63*S63</f>
        <v>26.75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115</v>
      </c>
      <c r="B64" s="6" t="s">
        <v>38</v>
      </c>
      <c r="C64" s="6">
        <v>7.2220000000000004</v>
      </c>
      <c r="D64" s="6">
        <v>20.295000000000002</v>
      </c>
      <c r="E64" s="6">
        <v>22.303000000000001</v>
      </c>
      <c r="F64" s="6">
        <v>3.2189999999999999</v>
      </c>
      <c r="G64" s="7">
        <v>1</v>
      </c>
      <c r="H64" s="6">
        <v>45</v>
      </c>
      <c r="I64" s="6" t="s">
        <v>36</v>
      </c>
      <c r="J64" s="6"/>
      <c r="K64" s="6">
        <v>23.2</v>
      </c>
      <c r="L64" s="6">
        <f t="shared" si="11"/>
        <v>-0.89699999999999847</v>
      </c>
      <c r="M64" s="6">
        <f t="shared" si="12"/>
        <v>22.303000000000001</v>
      </c>
      <c r="N64" s="6"/>
      <c r="O64" s="6">
        <v>6</v>
      </c>
      <c r="P64" s="6"/>
      <c r="Q64" s="6"/>
      <c r="R64" s="6">
        <f t="shared" si="13"/>
        <v>4.4606000000000003</v>
      </c>
      <c r="S64" s="8">
        <f>12*R64-Q64-P64-O64-F64</f>
        <v>44.308200000000006</v>
      </c>
      <c r="T64" s="6">
        <f t="shared" si="14"/>
        <v>12</v>
      </c>
      <c r="U64" s="6">
        <f t="shared" si="15"/>
        <v>2.0667623189705417</v>
      </c>
      <c r="V64" s="6">
        <v>1.9952000000000001</v>
      </c>
      <c r="W64" s="6">
        <v>2.8637999999999999</v>
      </c>
      <c r="X64" s="6">
        <v>2.9007999999999998</v>
      </c>
      <c r="Y64" s="6">
        <v>3.1057999999999999</v>
      </c>
      <c r="Z64" s="6">
        <v>3.4205999999999999</v>
      </c>
      <c r="AA64" s="6">
        <v>3.7978000000000001</v>
      </c>
      <c r="AB64" s="6">
        <v>2.9956</v>
      </c>
      <c r="AC64" s="6">
        <v>3.9388000000000001</v>
      </c>
      <c r="AD64" s="6">
        <v>3.18</v>
      </c>
      <c r="AE64" s="6"/>
      <c r="AF64" s="6">
        <f>G64*S64</f>
        <v>44.308200000000006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116</v>
      </c>
      <c r="B65" s="6" t="s">
        <v>35</v>
      </c>
      <c r="C65" s="6"/>
      <c r="D65" s="6"/>
      <c r="E65" s="6"/>
      <c r="F65" s="6"/>
      <c r="G65" s="7">
        <v>0.27</v>
      </c>
      <c r="H65" s="6"/>
      <c r="I65" s="6" t="s">
        <v>36</v>
      </c>
      <c r="J65" s="6"/>
      <c r="K65" s="6"/>
      <c r="L65" s="6">
        <f t="shared" si="11"/>
        <v>0</v>
      </c>
      <c r="M65" s="6">
        <f t="shared" si="12"/>
        <v>0</v>
      </c>
      <c r="N65" s="6"/>
      <c r="O65" s="6">
        <v>300</v>
      </c>
      <c r="P65" s="6"/>
      <c r="Q65" s="6"/>
      <c r="R65" s="6">
        <f t="shared" si="13"/>
        <v>0</v>
      </c>
      <c r="S65" s="8"/>
      <c r="T65" s="6" t="e">
        <f t="shared" si="14"/>
        <v>#DIV/0!</v>
      </c>
      <c r="U65" s="6" t="e">
        <f t="shared" si="15"/>
        <v>#DIV/0!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 t="s">
        <v>74</v>
      </c>
      <c r="AF65" s="6">
        <f>G65*S65</f>
        <v>0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117</v>
      </c>
      <c r="B66" s="6" t="s">
        <v>35</v>
      </c>
      <c r="C66" s="6">
        <v>165</v>
      </c>
      <c r="D66" s="6"/>
      <c r="E66" s="6">
        <v>125</v>
      </c>
      <c r="F66" s="6">
        <v>40</v>
      </c>
      <c r="G66" s="7">
        <v>0.3</v>
      </c>
      <c r="H66" s="6">
        <v>60</v>
      </c>
      <c r="I66" s="6" t="s">
        <v>36</v>
      </c>
      <c r="J66" s="6"/>
      <c r="K66" s="6">
        <v>125</v>
      </c>
      <c r="L66" s="6">
        <f t="shared" si="11"/>
        <v>0</v>
      </c>
      <c r="M66" s="6">
        <f t="shared" si="12"/>
        <v>125</v>
      </c>
      <c r="N66" s="6"/>
      <c r="O66" s="6">
        <v>0</v>
      </c>
      <c r="P66" s="6"/>
      <c r="Q66" s="6"/>
      <c r="R66" s="6">
        <f t="shared" si="13"/>
        <v>25</v>
      </c>
      <c r="S66" s="8">
        <f>12*R66-Q66-P66-O66-F66</f>
        <v>260</v>
      </c>
      <c r="T66" s="6">
        <f t="shared" si="14"/>
        <v>12</v>
      </c>
      <c r="U66" s="6">
        <f t="shared" si="15"/>
        <v>1.6</v>
      </c>
      <c r="V66" s="6">
        <v>15.8</v>
      </c>
      <c r="W66" s="6">
        <v>24.4</v>
      </c>
      <c r="X66" s="6">
        <v>27.4</v>
      </c>
      <c r="Y66" s="6">
        <v>18.399999999999999</v>
      </c>
      <c r="Z66" s="6">
        <v>26.2</v>
      </c>
      <c r="AA66" s="6">
        <v>33.4</v>
      </c>
      <c r="AB66" s="6">
        <v>35.6</v>
      </c>
      <c r="AC66" s="6">
        <v>17.600000000000001</v>
      </c>
      <c r="AD66" s="6">
        <v>13.2</v>
      </c>
      <c r="AE66" s="6"/>
      <c r="AF66" s="6">
        <f>G66*S66</f>
        <v>78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118</v>
      </c>
      <c r="B67" s="6" t="s">
        <v>35</v>
      </c>
      <c r="C67" s="6">
        <v>1796</v>
      </c>
      <c r="D67" s="6">
        <v>1057</v>
      </c>
      <c r="E67" s="6">
        <v>1598</v>
      </c>
      <c r="F67" s="16">
        <f>1000+F68</f>
        <v>997</v>
      </c>
      <c r="G67" s="7">
        <v>0.41</v>
      </c>
      <c r="H67" s="6">
        <v>50</v>
      </c>
      <c r="I67" s="6" t="s">
        <v>36</v>
      </c>
      <c r="J67" s="6"/>
      <c r="K67" s="6">
        <v>1862</v>
      </c>
      <c r="L67" s="6">
        <f t="shared" si="11"/>
        <v>-264</v>
      </c>
      <c r="M67" s="6">
        <f t="shared" si="12"/>
        <v>1478</v>
      </c>
      <c r="N67" s="6">
        <v>120</v>
      </c>
      <c r="O67" s="6">
        <v>100</v>
      </c>
      <c r="P67" s="6">
        <v>186</v>
      </c>
      <c r="Q67" s="6"/>
      <c r="R67" s="6">
        <f t="shared" si="13"/>
        <v>295.60000000000002</v>
      </c>
      <c r="S67" s="8">
        <f>14*R67-Q67-P67-O67-F67</f>
        <v>2855.4000000000005</v>
      </c>
      <c r="T67" s="6">
        <f t="shared" si="14"/>
        <v>14</v>
      </c>
      <c r="U67" s="6">
        <f t="shared" si="15"/>
        <v>4.3403247631935047</v>
      </c>
      <c r="V67" s="6">
        <v>177.8</v>
      </c>
      <c r="W67" s="6">
        <v>224.2</v>
      </c>
      <c r="X67" s="6">
        <v>325.39999999999998</v>
      </c>
      <c r="Y67" s="6">
        <v>226.4</v>
      </c>
      <c r="Z67" s="6">
        <v>282</v>
      </c>
      <c r="AA67" s="6">
        <v>262.39999999999998</v>
      </c>
      <c r="AB67" s="6">
        <v>228</v>
      </c>
      <c r="AC67" s="6">
        <v>234</v>
      </c>
      <c r="AD67" s="6">
        <v>316.39999999999998</v>
      </c>
      <c r="AE67" s="6"/>
      <c r="AF67" s="6">
        <f>G67*S67</f>
        <v>1170.7140000000002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11" t="s">
        <v>119</v>
      </c>
      <c r="B68" s="11" t="s">
        <v>35</v>
      </c>
      <c r="C68" s="11">
        <v>-3</v>
      </c>
      <c r="D68" s="11"/>
      <c r="E68" s="11"/>
      <c r="F68" s="16">
        <v>-3</v>
      </c>
      <c r="G68" s="12">
        <v>0</v>
      </c>
      <c r="H68" s="11"/>
      <c r="I68" s="11" t="s">
        <v>112</v>
      </c>
      <c r="J68" s="11" t="s">
        <v>118</v>
      </c>
      <c r="K68" s="11">
        <v>24</v>
      </c>
      <c r="L68" s="11">
        <f t="shared" si="11"/>
        <v>-24</v>
      </c>
      <c r="M68" s="11">
        <f t="shared" si="12"/>
        <v>0</v>
      </c>
      <c r="N68" s="11"/>
      <c r="O68" s="11">
        <v>0</v>
      </c>
      <c r="P68" s="11"/>
      <c r="Q68" s="11"/>
      <c r="R68" s="11">
        <f t="shared" si="13"/>
        <v>0</v>
      </c>
      <c r="S68" s="13"/>
      <c r="T68" s="11" t="e">
        <f t="shared" si="14"/>
        <v>#DIV/0!</v>
      </c>
      <c r="U68" s="11" t="e">
        <f t="shared" si="15"/>
        <v>#DIV/0!</v>
      </c>
      <c r="V68" s="11">
        <v>0.8</v>
      </c>
      <c r="W68" s="11">
        <v>33.4</v>
      </c>
      <c r="X68" s="11">
        <v>184.6</v>
      </c>
      <c r="Y68" s="11">
        <v>20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/>
      <c r="AF68" s="11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113</v>
      </c>
      <c r="B69" s="6" t="s">
        <v>38</v>
      </c>
      <c r="C69" s="6">
        <v>344.23899999999998</v>
      </c>
      <c r="D69" s="6">
        <v>228.864</v>
      </c>
      <c r="E69" s="6">
        <v>385.21899999999999</v>
      </c>
      <c r="F69" s="16">
        <f>184.748+F62+F115</f>
        <v>208.98999999999998</v>
      </c>
      <c r="G69" s="7">
        <v>1</v>
      </c>
      <c r="H69" s="6">
        <v>50</v>
      </c>
      <c r="I69" s="6" t="s">
        <v>36</v>
      </c>
      <c r="J69" s="6"/>
      <c r="K69" s="6">
        <v>401.2</v>
      </c>
      <c r="L69" s="6">
        <f t="shared" si="11"/>
        <v>-15.980999999999995</v>
      </c>
      <c r="M69" s="6">
        <f t="shared" si="12"/>
        <v>385.21899999999999</v>
      </c>
      <c r="N69" s="6"/>
      <c r="O69" s="6">
        <v>159</v>
      </c>
      <c r="P69" s="6">
        <v>294</v>
      </c>
      <c r="Q69" s="6"/>
      <c r="R69" s="6">
        <f t="shared" si="13"/>
        <v>77.043800000000005</v>
      </c>
      <c r="S69" s="8">
        <f t="shared" ref="S69:S70" si="22">15*R69-Q69-P69-O69-F69</f>
        <v>493.66700000000014</v>
      </c>
      <c r="T69" s="6">
        <f t="shared" si="14"/>
        <v>15.000000000000002</v>
      </c>
      <c r="U69" s="6">
        <f t="shared" si="15"/>
        <v>8.5923851108070988</v>
      </c>
      <c r="V69" s="6">
        <v>68.825599999999994</v>
      </c>
      <c r="W69" s="6">
        <v>62.052600000000012</v>
      </c>
      <c r="X69" s="6">
        <v>67.328400000000002</v>
      </c>
      <c r="Y69" s="6">
        <v>75.135400000000004</v>
      </c>
      <c r="Z69" s="6">
        <v>94.911000000000001</v>
      </c>
      <c r="AA69" s="6">
        <v>43.7624</v>
      </c>
      <c r="AB69" s="6">
        <v>79.599999999999994</v>
      </c>
      <c r="AC69" s="6">
        <v>20.056000000000001</v>
      </c>
      <c r="AD69" s="6">
        <v>51.692399999999999</v>
      </c>
      <c r="AE69" s="6"/>
      <c r="AF69" s="6">
        <f>G69*S69</f>
        <v>493.66700000000014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120</v>
      </c>
      <c r="B70" s="6" t="s">
        <v>35</v>
      </c>
      <c r="C70" s="6">
        <v>41</v>
      </c>
      <c r="D70" s="6">
        <v>32</v>
      </c>
      <c r="E70" s="6">
        <v>42</v>
      </c>
      <c r="F70" s="6">
        <v>26</v>
      </c>
      <c r="G70" s="7">
        <v>0.35</v>
      </c>
      <c r="H70" s="6">
        <v>50</v>
      </c>
      <c r="I70" s="6" t="s">
        <v>36</v>
      </c>
      <c r="J70" s="6"/>
      <c r="K70" s="6">
        <v>47</v>
      </c>
      <c r="L70" s="6">
        <f t="shared" ref="L70:L101" si="23">E70-K70</f>
        <v>-5</v>
      </c>
      <c r="M70" s="6">
        <f t="shared" ref="M70:M101" si="24">E70-N70</f>
        <v>42</v>
      </c>
      <c r="N70" s="6"/>
      <c r="O70" s="6">
        <v>78</v>
      </c>
      <c r="P70" s="6"/>
      <c r="Q70" s="6"/>
      <c r="R70" s="6">
        <f t="shared" ref="R70:R101" si="25">M70/5</f>
        <v>8.4</v>
      </c>
      <c r="S70" s="8">
        <f t="shared" si="22"/>
        <v>22</v>
      </c>
      <c r="T70" s="6">
        <f t="shared" ref="T70:T101" si="26">(F70+O70+P70+Q70+S70)/R70</f>
        <v>15</v>
      </c>
      <c r="U70" s="6">
        <f t="shared" ref="U70:U101" si="27">(F70+O70+P70+Q70)/R70</f>
        <v>12.38095238095238</v>
      </c>
      <c r="V70" s="6">
        <v>9.4</v>
      </c>
      <c r="W70" s="6">
        <v>8</v>
      </c>
      <c r="X70" s="6">
        <v>9.8000000000000007</v>
      </c>
      <c r="Y70" s="6">
        <v>10</v>
      </c>
      <c r="Z70" s="6">
        <v>9.4</v>
      </c>
      <c r="AA70" s="6">
        <v>8</v>
      </c>
      <c r="AB70" s="6">
        <v>7.6</v>
      </c>
      <c r="AC70" s="6">
        <v>12.6</v>
      </c>
      <c r="AD70" s="6">
        <v>5.4</v>
      </c>
      <c r="AE70" s="6"/>
      <c r="AF70" s="6">
        <f>G70*S70</f>
        <v>7.6999999999999993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11" t="s">
        <v>121</v>
      </c>
      <c r="B71" s="11" t="s">
        <v>38</v>
      </c>
      <c r="C71" s="11"/>
      <c r="D71" s="11"/>
      <c r="E71" s="11"/>
      <c r="F71" s="11"/>
      <c r="G71" s="12">
        <v>0</v>
      </c>
      <c r="H71" s="11"/>
      <c r="I71" s="11" t="s">
        <v>36</v>
      </c>
      <c r="J71" s="11"/>
      <c r="K71" s="11">
        <v>1.5</v>
      </c>
      <c r="L71" s="11">
        <f t="shared" si="23"/>
        <v>-1.5</v>
      </c>
      <c r="M71" s="11">
        <f t="shared" si="24"/>
        <v>0</v>
      </c>
      <c r="N71" s="11"/>
      <c r="O71" s="11">
        <v>0</v>
      </c>
      <c r="P71" s="11"/>
      <c r="Q71" s="11"/>
      <c r="R71" s="11">
        <f t="shared" si="25"/>
        <v>0</v>
      </c>
      <c r="S71" s="13"/>
      <c r="T71" s="11" t="e">
        <f t="shared" si="26"/>
        <v>#DIV/0!</v>
      </c>
      <c r="U71" s="11" t="e">
        <f t="shared" si="27"/>
        <v>#DIV/0!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 t="s">
        <v>94</v>
      </c>
      <c r="AF71" s="11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122</v>
      </c>
      <c r="B72" s="6" t="s">
        <v>35</v>
      </c>
      <c r="C72" s="6">
        <v>170</v>
      </c>
      <c r="D72" s="6">
        <v>546</v>
      </c>
      <c r="E72" s="6">
        <v>579</v>
      </c>
      <c r="F72" s="6">
        <v>-20</v>
      </c>
      <c r="G72" s="7">
        <v>0.41</v>
      </c>
      <c r="H72" s="6">
        <v>50</v>
      </c>
      <c r="I72" s="10" t="s">
        <v>50</v>
      </c>
      <c r="J72" s="6"/>
      <c r="K72" s="6">
        <v>1136</v>
      </c>
      <c r="L72" s="6">
        <f t="shared" si="23"/>
        <v>-557</v>
      </c>
      <c r="M72" s="6">
        <f t="shared" si="24"/>
        <v>579</v>
      </c>
      <c r="N72" s="6"/>
      <c r="O72" s="6">
        <v>245</v>
      </c>
      <c r="P72" s="6">
        <v>455</v>
      </c>
      <c r="Q72" s="6"/>
      <c r="R72" s="6">
        <f t="shared" si="25"/>
        <v>115.8</v>
      </c>
      <c r="S72" s="8">
        <f>13*R72-Q72-P72-O72-F72</f>
        <v>825.39999999999986</v>
      </c>
      <c r="T72" s="6">
        <f t="shared" si="26"/>
        <v>13</v>
      </c>
      <c r="U72" s="6">
        <f t="shared" si="27"/>
        <v>5.8721934369602762</v>
      </c>
      <c r="V72" s="6">
        <v>51.4</v>
      </c>
      <c r="W72" s="6">
        <v>131.80000000000001</v>
      </c>
      <c r="X72" s="6">
        <v>48</v>
      </c>
      <c r="Y72" s="6">
        <v>131.4</v>
      </c>
      <c r="Z72" s="6">
        <v>124</v>
      </c>
      <c r="AA72" s="6">
        <v>154.19999999999999</v>
      </c>
      <c r="AB72" s="6">
        <v>270.60000000000002</v>
      </c>
      <c r="AC72" s="6">
        <v>133</v>
      </c>
      <c r="AD72" s="6">
        <v>136.80000000000001</v>
      </c>
      <c r="AE72" s="6" t="s">
        <v>123</v>
      </c>
      <c r="AF72" s="6">
        <f>G72*S72</f>
        <v>338.41399999999993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124</v>
      </c>
      <c r="B73" s="6" t="s">
        <v>38</v>
      </c>
      <c r="C73" s="6">
        <v>120.598</v>
      </c>
      <c r="D73" s="6">
        <v>120.096</v>
      </c>
      <c r="E73" s="6">
        <v>95.376999999999995</v>
      </c>
      <c r="F73" s="6">
        <v>143.786</v>
      </c>
      <c r="G73" s="7">
        <v>1</v>
      </c>
      <c r="H73" s="6">
        <v>50</v>
      </c>
      <c r="I73" s="6" t="s">
        <v>36</v>
      </c>
      <c r="J73" s="6"/>
      <c r="K73" s="6">
        <v>98.358999999999995</v>
      </c>
      <c r="L73" s="6">
        <f t="shared" si="23"/>
        <v>-2.9819999999999993</v>
      </c>
      <c r="M73" s="6">
        <f t="shared" si="24"/>
        <v>89.117999999999995</v>
      </c>
      <c r="N73" s="6">
        <v>6.2590000000000003</v>
      </c>
      <c r="O73" s="6">
        <v>0</v>
      </c>
      <c r="P73" s="6"/>
      <c r="Q73" s="6"/>
      <c r="R73" s="6">
        <f t="shared" si="25"/>
        <v>17.823599999999999</v>
      </c>
      <c r="S73" s="8">
        <f>14*R73-Q73-P73-O73-F73</f>
        <v>105.74439999999998</v>
      </c>
      <c r="T73" s="6">
        <f t="shared" si="26"/>
        <v>14</v>
      </c>
      <c r="U73" s="6">
        <f t="shared" si="27"/>
        <v>8.0671693709463863</v>
      </c>
      <c r="V73" s="6">
        <v>10.4872</v>
      </c>
      <c r="W73" s="6">
        <v>19.265799999999999</v>
      </c>
      <c r="X73" s="6">
        <v>18.461200000000002</v>
      </c>
      <c r="Y73" s="6">
        <v>25.2182</v>
      </c>
      <c r="Z73" s="6">
        <v>39</v>
      </c>
      <c r="AA73" s="6">
        <v>44.2</v>
      </c>
      <c r="AB73" s="6">
        <v>23.9648</v>
      </c>
      <c r="AC73" s="6">
        <v>22.8184</v>
      </c>
      <c r="AD73" s="6">
        <v>27.2654</v>
      </c>
      <c r="AE73" s="6"/>
      <c r="AF73" s="6">
        <f>G73*S73</f>
        <v>105.74439999999998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125</v>
      </c>
      <c r="B74" s="6" t="s">
        <v>35</v>
      </c>
      <c r="C74" s="6">
        <v>5</v>
      </c>
      <c r="D74" s="6">
        <v>12</v>
      </c>
      <c r="E74" s="6">
        <v>18</v>
      </c>
      <c r="F74" s="6">
        <v>-1</v>
      </c>
      <c r="G74" s="7">
        <v>0.3</v>
      </c>
      <c r="H74" s="6">
        <v>50</v>
      </c>
      <c r="I74" s="6" t="s">
        <v>36</v>
      </c>
      <c r="J74" s="6"/>
      <c r="K74" s="6">
        <v>209</v>
      </c>
      <c r="L74" s="6">
        <f t="shared" si="23"/>
        <v>-191</v>
      </c>
      <c r="M74" s="6">
        <f t="shared" si="24"/>
        <v>18</v>
      </c>
      <c r="N74" s="6"/>
      <c r="O74" s="6">
        <v>88</v>
      </c>
      <c r="P74" s="6"/>
      <c r="Q74" s="6"/>
      <c r="R74" s="6">
        <f t="shared" si="25"/>
        <v>3.6</v>
      </c>
      <c r="S74" s="8">
        <v>50</v>
      </c>
      <c r="T74" s="6">
        <f t="shared" si="26"/>
        <v>38.055555555555557</v>
      </c>
      <c r="U74" s="6">
        <f t="shared" si="27"/>
        <v>24.166666666666664</v>
      </c>
      <c r="V74" s="6">
        <v>8.6</v>
      </c>
      <c r="W74" s="6">
        <v>4.4000000000000004</v>
      </c>
      <c r="X74" s="6">
        <v>-0.6</v>
      </c>
      <c r="Y74" s="6">
        <v>3</v>
      </c>
      <c r="Z74" s="6">
        <v>-0.6</v>
      </c>
      <c r="AA74" s="6">
        <v>7.2</v>
      </c>
      <c r="AB74" s="6">
        <v>39.799999999999997</v>
      </c>
      <c r="AC74" s="6">
        <v>10.6</v>
      </c>
      <c r="AD74" s="6">
        <v>1.2</v>
      </c>
      <c r="AE74" s="6"/>
      <c r="AF74" s="6">
        <f>G74*S74</f>
        <v>15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126</v>
      </c>
      <c r="B75" s="6" t="s">
        <v>35</v>
      </c>
      <c r="C75" s="6">
        <v>109</v>
      </c>
      <c r="D75" s="6">
        <v>404</v>
      </c>
      <c r="E75" s="6">
        <v>222</v>
      </c>
      <c r="F75" s="6">
        <v>244</v>
      </c>
      <c r="G75" s="7">
        <v>0.18</v>
      </c>
      <c r="H75" s="6">
        <v>50</v>
      </c>
      <c r="I75" s="6" t="s">
        <v>36</v>
      </c>
      <c r="J75" s="6"/>
      <c r="K75" s="6">
        <v>275</v>
      </c>
      <c r="L75" s="6">
        <f t="shared" si="23"/>
        <v>-53</v>
      </c>
      <c r="M75" s="6">
        <f t="shared" si="24"/>
        <v>192</v>
      </c>
      <c r="N75" s="6">
        <v>30</v>
      </c>
      <c r="O75" s="6">
        <v>196</v>
      </c>
      <c r="P75" s="6">
        <v>365</v>
      </c>
      <c r="Q75" s="6"/>
      <c r="R75" s="6">
        <f t="shared" si="25"/>
        <v>38.4</v>
      </c>
      <c r="S75" s="8"/>
      <c r="T75" s="6">
        <f t="shared" si="26"/>
        <v>20.963541666666668</v>
      </c>
      <c r="U75" s="6">
        <f t="shared" si="27"/>
        <v>20.963541666666668</v>
      </c>
      <c r="V75" s="6">
        <v>66</v>
      </c>
      <c r="W75" s="6">
        <v>52.6</v>
      </c>
      <c r="X75" s="6">
        <v>48.4</v>
      </c>
      <c r="Y75" s="6">
        <v>41.2</v>
      </c>
      <c r="Z75" s="6">
        <v>48.6</v>
      </c>
      <c r="AA75" s="6">
        <v>28</v>
      </c>
      <c r="AB75" s="6">
        <v>25.8</v>
      </c>
      <c r="AC75" s="6">
        <v>49.4</v>
      </c>
      <c r="AD75" s="6">
        <v>15.2</v>
      </c>
      <c r="AE75" s="6"/>
      <c r="AF75" s="6">
        <f>G75*S75</f>
        <v>0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11" t="s">
        <v>127</v>
      </c>
      <c r="B76" s="11" t="s">
        <v>35</v>
      </c>
      <c r="C76" s="11">
        <v>-8</v>
      </c>
      <c r="D76" s="11"/>
      <c r="E76" s="11">
        <v>4</v>
      </c>
      <c r="F76" s="11">
        <v>-12</v>
      </c>
      <c r="G76" s="12">
        <v>0</v>
      </c>
      <c r="H76" s="11">
        <v>120</v>
      </c>
      <c r="I76" s="11" t="s">
        <v>59</v>
      </c>
      <c r="J76" s="11"/>
      <c r="K76" s="11">
        <v>9</v>
      </c>
      <c r="L76" s="11">
        <f t="shared" si="23"/>
        <v>-5</v>
      </c>
      <c r="M76" s="11">
        <f t="shared" si="24"/>
        <v>4</v>
      </c>
      <c r="N76" s="11"/>
      <c r="O76" s="11">
        <v>0</v>
      </c>
      <c r="P76" s="11"/>
      <c r="Q76" s="11"/>
      <c r="R76" s="11">
        <f t="shared" si="25"/>
        <v>0.8</v>
      </c>
      <c r="S76" s="13"/>
      <c r="T76" s="11">
        <f t="shared" si="26"/>
        <v>-15</v>
      </c>
      <c r="U76" s="11">
        <f t="shared" si="27"/>
        <v>-15</v>
      </c>
      <c r="V76" s="11">
        <v>1.6</v>
      </c>
      <c r="W76" s="11">
        <v>0</v>
      </c>
      <c r="X76" s="11">
        <v>1.4</v>
      </c>
      <c r="Y76" s="11">
        <v>1.8</v>
      </c>
      <c r="Z76" s="11">
        <v>3</v>
      </c>
      <c r="AA76" s="11">
        <v>2.4</v>
      </c>
      <c r="AB76" s="11">
        <v>2.4</v>
      </c>
      <c r="AC76" s="11">
        <v>1.6</v>
      </c>
      <c r="AD76" s="11">
        <v>5.2</v>
      </c>
      <c r="AE76" s="11"/>
      <c r="AF76" s="11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11" t="s">
        <v>128</v>
      </c>
      <c r="B77" s="11" t="s">
        <v>38</v>
      </c>
      <c r="C77" s="11"/>
      <c r="D77" s="11">
        <v>12</v>
      </c>
      <c r="E77" s="11">
        <v>12</v>
      </c>
      <c r="F77" s="11"/>
      <c r="G77" s="12">
        <v>0</v>
      </c>
      <c r="H77" s="11"/>
      <c r="I77" s="11" t="s">
        <v>36</v>
      </c>
      <c r="J77" s="11"/>
      <c r="K77" s="11">
        <v>12</v>
      </c>
      <c r="L77" s="11">
        <f t="shared" si="23"/>
        <v>0</v>
      </c>
      <c r="M77" s="11">
        <f t="shared" si="24"/>
        <v>0</v>
      </c>
      <c r="N77" s="11">
        <v>12</v>
      </c>
      <c r="O77" s="11">
        <v>0</v>
      </c>
      <c r="P77" s="11"/>
      <c r="Q77" s="11"/>
      <c r="R77" s="11">
        <f t="shared" si="25"/>
        <v>0</v>
      </c>
      <c r="S77" s="13"/>
      <c r="T77" s="11" t="e">
        <f t="shared" si="26"/>
        <v>#DIV/0!</v>
      </c>
      <c r="U77" s="11" t="e">
        <f t="shared" si="27"/>
        <v>#DIV/0!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 t="s">
        <v>94</v>
      </c>
      <c r="AF77" s="11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129</v>
      </c>
      <c r="B78" s="6" t="s">
        <v>35</v>
      </c>
      <c r="C78" s="6">
        <v>1381</v>
      </c>
      <c r="D78" s="6">
        <v>162</v>
      </c>
      <c r="E78" s="6">
        <v>901</v>
      </c>
      <c r="F78" s="6">
        <v>529</v>
      </c>
      <c r="G78" s="7">
        <v>0.35</v>
      </c>
      <c r="H78" s="6">
        <v>50</v>
      </c>
      <c r="I78" s="6" t="s">
        <v>36</v>
      </c>
      <c r="J78" s="6"/>
      <c r="K78" s="6">
        <v>1028</v>
      </c>
      <c r="L78" s="6">
        <f t="shared" si="23"/>
        <v>-127</v>
      </c>
      <c r="M78" s="6">
        <f t="shared" si="24"/>
        <v>845</v>
      </c>
      <c r="N78" s="6">
        <v>56</v>
      </c>
      <c r="O78" s="6">
        <v>181</v>
      </c>
      <c r="P78" s="6">
        <v>336</v>
      </c>
      <c r="Q78" s="6"/>
      <c r="R78" s="6">
        <f t="shared" si="25"/>
        <v>169</v>
      </c>
      <c r="S78" s="8">
        <f t="shared" ref="S78:S79" si="28">15*R78-Q78-P78-O78-F78</f>
        <v>1489</v>
      </c>
      <c r="T78" s="6">
        <f t="shared" si="26"/>
        <v>15</v>
      </c>
      <c r="U78" s="6">
        <f t="shared" si="27"/>
        <v>6.1893491124260356</v>
      </c>
      <c r="V78" s="6">
        <v>124</v>
      </c>
      <c r="W78" s="6">
        <v>132.19999999999999</v>
      </c>
      <c r="X78" s="6">
        <v>175.6</v>
      </c>
      <c r="Y78" s="6">
        <v>149.80000000000001</v>
      </c>
      <c r="Z78" s="6">
        <v>176.6688</v>
      </c>
      <c r="AA78" s="6">
        <v>152.4</v>
      </c>
      <c r="AB78" s="6">
        <v>142.6</v>
      </c>
      <c r="AC78" s="6">
        <v>166</v>
      </c>
      <c r="AD78" s="6">
        <v>139</v>
      </c>
      <c r="AE78" s="6"/>
      <c r="AF78" s="6">
        <f>G78*S78</f>
        <v>521.15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130</v>
      </c>
      <c r="B79" s="6" t="s">
        <v>38</v>
      </c>
      <c r="C79" s="6">
        <v>76.370999999999995</v>
      </c>
      <c r="D79" s="6">
        <v>98.879000000000005</v>
      </c>
      <c r="E79" s="6">
        <v>161.268</v>
      </c>
      <c r="F79" s="6">
        <v>12.647</v>
      </c>
      <c r="G79" s="7">
        <v>1</v>
      </c>
      <c r="H79" s="6">
        <v>50</v>
      </c>
      <c r="I79" s="6" t="s">
        <v>36</v>
      </c>
      <c r="J79" s="6"/>
      <c r="K79" s="6">
        <v>202.2</v>
      </c>
      <c r="L79" s="6">
        <f t="shared" si="23"/>
        <v>-40.931999999999988</v>
      </c>
      <c r="M79" s="6">
        <f t="shared" si="24"/>
        <v>161.268</v>
      </c>
      <c r="N79" s="6"/>
      <c r="O79" s="6">
        <v>99</v>
      </c>
      <c r="P79" s="6">
        <v>184</v>
      </c>
      <c r="Q79" s="6"/>
      <c r="R79" s="6">
        <f t="shared" si="25"/>
        <v>32.253599999999999</v>
      </c>
      <c r="S79" s="8">
        <f t="shared" si="28"/>
        <v>188.15699999999998</v>
      </c>
      <c r="T79" s="6">
        <f t="shared" si="26"/>
        <v>15</v>
      </c>
      <c r="U79" s="6">
        <f t="shared" si="27"/>
        <v>9.1663256194657343</v>
      </c>
      <c r="V79" s="6">
        <v>29.294</v>
      </c>
      <c r="W79" s="6">
        <v>20.121400000000001</v>
      </c>
      <c r="X79" s="6">
        <v>21.1388</v>
      </c>
      <c r="Y79" s="6">
        <v>21.977599999999999</v>
      </c>
      <c r="Z79" s="6">
        <v>24.486999999999998</v>
      </c>
      <c r="AA79" s="6">
        <v>16.852399999999999</v>
      </c>
      <c r="AB79" s="6">
        <v>27.894400000000001</v>
      </c>
      <c r="AC79" s="6">
        <v>17.2348</v>
      </c>
      <c r="AD79" s="6">
        <v>19.504200000000001</v>
      </c>
      <c r="AE79" s="6"/>
      <c r="AF79" s="6">
        <f>G79*S79</f>
        <v>188.15699999999998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11" t="s">
        <v>131</v>
      </c>
      <c r="B80" s="11" t="s">
        <v>35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/>
      <c r="L80" s="11">
        <f t="shared" si="23"/>
        <v>0</v>
      </c>
      <c r="M80" s="11">
        <f t="shared" si="24"/>
        <v>0</v>
      </c>
      <c r="N80" s="11"/>
      <c r="O80" s="11">
        <v>0</v>
      </c>
      <c r="P80" s="11"/>
      <c r="Q80" s="11"/>
      <c r="R80" s="11">
        <f t="shared" si="25"/>
        <v>0</v>
      </c>
      <c r="S80" s="13"/>
      <c r="T80" s="11" t="e">
        <f t="shared" si="26"/>
        <v>#DIV/0!</v>
      </c>
      <c r="U80" s="11" t="e">
        <f t="shared" si="27"/>
        <v>#DIV/0!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5" t="s">
        <v>48</v>
      </c>
      <c r="AF80" s="11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132</v>
      </c>
      <c r="B81" s="6" t="s">
        <v>38</v>
      </c>
      <c r="C81" s="6">
        <v>167.69499999999999</v>
      </c>
      <c r="D81" s="6">
        <v>384.65</v>
      </c>
      <c r="E81" s="6">
        <v>347.25099999999998</v>
      </c>
      <c r="F81" s="6">
        <v>201.61699999999999</v>
      </c>
      <c r="G81" s="7">
        <v>1</v>
      </c>
      <c r="H81" s="6">
        <v>50</v>
      </c>
      <c r="I81" s="6" t="s">
        <v>36</v>
      </c>
      <c r="J81" s="6"/>
      <c r="K81" s="6">
        <v>329.66699999999997</v>
      </c>
      <c r="L81" s="6">
        <f t="shared" si="23"/>
        <v>17.584000000000003</v>
      </c>
      <c r="M81" s="6">
        <f t="shared" si="24"/>
        <v>318.98399999999998</v>
      </c>
      <c r="N81" s="6">
        <v>28.266999999999999</v>
      </c>
      <c r="O81" s="6">
        <v>127</v>
      </c>
      <c r="P81" s="6">
        <v>237</v>
      </c>
      <c r="Q81" s="6"/>
      <c r="R81" s="6">
        <f t="shared" si="25"/>
        <v>63.796799999999998</v>
      </c>
      <c r="S81" s="8">
        <f t="shared" ref="S81:S88" si="29">15*R81-Q81-P81-O81-F81</f>
        <v>391.33500000000004</v>
      </c>
      <c r="T81" s="6">
        <f t="shared" si="26"/>
        <v>15</v>
      </c>
      <c r="U81" s="6">
        <f t="shared" si="27"/>
        <v>8.8659149048228123</v>
      </c>
      <c r="V81" s="6">
        <v>56.350199999999987</v>
      </c>
      <c r="W81" s="6">
        <v>53.830199999999998</v>
      </c>
      <c r="X81" s="6">
        <v>48.284999999999989</v>
      </c>
      <c r="Y81" s="6">
        <v>52.988399999999999</v>
      </c>
      <c r="Z81" s="6">
        <v>77.6614</v>
      </c>
      <c r="AA81" s="6">
        <v>51.933399999999992</v>
      </c>
      <c r="AB81" s="6">
        <v>61.083799999999997</v>
      </c>
      <c r="AC81" s="6">
        <v>50.800600000000003</v>
      </c>
      <c r="AD81" s="6">
        <v>63.891399999999997</v>
      </c>
      <c r="AE81" s="6"/>
      <c r="AF81" s="6">
        <f t="shared" ref="AF81:AF89" si="30">G81*S81</f>
        <v>391.33500000000004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133</v>
      </c>
      <c r="B82" s="6" t="s">
        <v>35</v>
      </c>
      <c r="C82" s="6">
        <v>1095</v>
      </c>
      <c r="D82" s="6">
        <v>651</v>
      </c>
      <c r="E82" s="6">
        <v>910</v>
      </c>
      <c r="F82" s="6">
        <v>707</v>
      </c>
      <c r="G82" s="7">
        <v>0.35</v>
      </c>
      <c r="H82" s="6">
        <v>50</v>
      </c>
      <c r="I82" s="6" t="s">
        <v>36</v>
      </c>
      <c r="J82" s="6"/>
      <c r="K82" s="6">
        <v>1050</v>
      </c>
      <c r="L82" s="6">
        <f t="shared" si="23"/>
        <v>-140</v>
      </c>
      <c r="M82" s="6">
        <f t="shared" si="24"/>
        <v>910</v>
      </c>
      <c r="N82" s="6"/>
      <c r="O82" s="6">
        <v>139</v>
      </c>
      <c r="P82" s="6">
        <v>257</v>
      </c>
      <c r="Q82" s="6"/>
      <c r="R82" s="6">
        <f t="shared" si="25"/>
        <v>182</v>
      </c>
      <c r="S82" s="8">
        <f t="shared" si="29"/>
        <v>1627</v>
      </c>
      <c r="T82" s="6">
        <f t="shared" si="26"/>
        <v>15</v>
      </c>
      <c r="U82" s="6">
        <f t="shared" si="27"/>
        <v>6.0604395604395602</v>
      </c>
      <c r="V82" s="6">
        <v>132.6</v>
      </c>
      <c r="W82" s="6">
        <v>161.6</v>
      </c>
      <c r="X82" s="6">
        <v>172.8</v>
      </c>
      <c r="Y82" s="6">
        <v>140.2818</v>
      </c>
      <c r="Z82" s="6">
        <v>173.4</v>
      </c>
      <c r="AA82" s="6">
        <v>162.80000000000001</v>
      </c>
      <c r="AB82" s="6">
        <v>250.2</v>
      </c>
      <c r="AC82" s="6">
        <v>195.6</v>
      </c>
      <c r="AD82" s="6">
        <v>125.8</v>
      </c>
      <c r="AE82" s="6"/>
      <c r="AF82" s="6">
        <f t="shared" si="30"/>
        <v>569.44999999999993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134</v>
      </c>
      <c r="B83" s="6" t="s">
        <v>35</v>
      </c>
      <c r="C83" s="6">
        <v>152</v>
      </c>
      <c r="D83" s="6">
        <v>21</v>
      </c>
      <c r="E83" s="6">
        <v>95</v>
      </c>
      <c r="F83" s="6">
        <v>74</v>
      </c>
      <c r="G83" s="7">
        <v>0.3</v>
      </c>
      <c r="H83" s="6">
        <v>50</v>
      </c>
      <c r="I83" s="6" t="s">
        <v>36</v>
      </c>
      <c r="J83" s="6"/>
      <c r="K83" s="6">
        <v>105</v>
      </c>
      <c r="L83" s="6">
        <f t="shared" si="23"/>
        <v>-10</v>
      </c>
      <c r="M83" s="6">
        <f t="shared" si="24"/>
        <v>95</v>
      </c>
      <c r="N83" s="6"/>
      <c r="O83" s="6">
        <v>79</v>
      </c>
      <c r="P83" s="6"/>
      <c r="Q83" s="6"/>
      <c r="R83" s="6">
        <f t="shared" si="25"/>
        <v>19</v>
      </c>
      <c r="S83" s="8">
        <f t="shared" si="29"/>
        <v>132</v>
      </c>
      <c r="T83" s="6">
        <f t="shared" si="26"/>
        <v>15</v>
      </c>
      <c r="U83" s="6">
        <f t="shared" si="27"/>
        <v>8.0526315789473681</v>
      </c>
      <c r="V83" s="6">
        <v>16.2</v>
      </c>
      <c r="W83" s="6">
        <v>17</v>
      </c>
      <c r="X83" s="6">
        <v>22</v>
      </c>
      <c r="Y83" s="6">
        <v>20.6</v>
      </c>
      <c r="Z83" s="6">
        <v>1</v>
      </c>
      <c r="AA83" s="6">
        <v>0</v>
      </c>
      <c r="AB83" s="6">
        <v>0</v>
      </c>
      <c r="AC83" s="6">
        <v>0</v>
      </c>
      <c r="AD83" s="6">
        <v>17.8</v>
      </c>
      <c r="AE83" s="6"/>
      <c r="AF83" s="6">
        <f t="shared" si="30"/>
        <v>39.6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135</v>
      </c>
      <c r="B84" s="6" t="s">
        <v>35</v>
      </c>
      <c r="C84" s="6">
        <v>58</v>
      </c>
      <c r="D84" s="6">
        <v>55</v>
      </c>
      <c r="E84" s="6">
        <v>46</v>
      </c>
      <c r="F84" s="6">
        <v>52</v>
      </c>
      <c r="G84" s="7">
        <v>0.3</v>
      </c>
      <c r="H84" s="6">
        <v>60</v>
      </c>
      <c r="I84" s="6" t="s">
        <v>36</v>
      </c>
      <c r="J84" s="6"/>
      <c r="K84" s="6">
        <v>61</v>
      </c>
      <c r="L84" s="6">
        <f t="shared" si="23"/>
        <v>-15</v>
      </c>
      <c r="M84" s="6">
        <f t="shared" si="24"/>
        <v>46</v>
      </c>
      <c r="N84" s="6"/>
      <c r="O84" s="6">
        <v>17</v>
      </c>
      <c r="P84" s="6"/>
      <c r="Q84" s="6"/>
      <c r="R84" s="6">
        <f t="shared" si="25"/>
        <v>9.1999999999999993</v>
      </c>
      <c r="S84" s="8">
        <f t="shared" si="29"/>
        <v>69</v>
      </c>
      <c r="T84" s="6">
        <f t="shared" si="26"/>
        <v>15.000000000000002</v>
      </c>
      <c r="U84" s="6">
        <f t="shared" si="27"/>
        <v>7.5000000000000009</v>
      </c>
      <c r="V84" s="6">
        <v>7.8</v>
      </c>
      <c r="W84" s="6">
        <v>11</v>
      </c>
      <c r="X84" s="6">
        <v>10.8</v>
      </c>
      <c r="Y84" s="6">
        <v>14.2</v>
      </c>
      <c r="Z84" s="6">
        <v>15</v>
      </c>
      <c r="AA84" s="6">
        <v>7.6</v>
      </c>
      <c r="AB84" s="6">
        <v>19</v>
      </c>
      <c r="AC84" s="6">
        <v>10.199999999999999</v>
      </c>
      <c r="AD84" s="6">
        <v>9.6</v>
      </c>
      <c r="AE84" s="6"/>
      <c r="AF84" s="6">
        <f t="shared" si="30"/>
        <v>20.7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136</v>
      </c>
      <c r="B85" s="6" t="s">
        <v>35</v>
      </c>
      <c r="C85" s="6">
        <v>126</v>
      </c>
      <c r="D85" s="6">
        <v>106</v>
      </c>
      <c r="E85" s="6">
        <v>179</v>
      </c>
      <c r="F85" s="6">
        <v>35</v>
      </c>
      <c r="G85" s="7">
        <v>0.28000000000000003</v>
      </c>
      <c r="H85" s="6">
        <v>50</v>
      </c>
      <c r="I85" s="6" t="s">
        <v>36</v>
      </c>
      <c r="J85" s="6"/>
      <c r="K85" s="6">
        <v>202</v>
      </c>
      <c r="L85" s="6">
        <f t="shared" si="23"/>
        <v>-23</v>
      </c>
      <c r="M85" s="6">
        <f t="shared" si="24"/>
        <v>155</v>
      </c>
      <c r="N85" s="6">
        <v>24</v>
      </c>
      <c r="O85" s="6">
        <v>87</v>
      </c>
      <c r="P85" s="6">
        <v>162</v>
      </c>
      <c r="Q85" s="6"/>
      <c r="R85" s="6">
        <f t="shared" si="25"/>
        <v>31</v>
      </c>
      <c r="S85" s="8">
        <f t="shared" si="29"/>
        <v>181</v>
      </c>
      <c r="T85" s="6">
        <f t="shared" si="26"/>
        <v>15</v>
      </c>
      <c r="U85" s="6">
        <f t="shared" si="27"/>
        <v>9.1612903225806459</v>
      </c>
      <c r="V85" s="6">
        <v>29.2</v>
      </c>
      <c r="W85" s="6">
        <v>23</v>
      </c>
      <c r="X85" s="6">
        <v>27.2</v>
      </c>
      <c r="Y85" s="6">
        <v>25.2</v>
      </c>
      <c r="Z85" s="6">
        <v>32.6</v>
      </c>
      <c r="AA85" s="6">
        <v>18.8</v>
      </c>
      <c r="AB85" s="6">
        <v>33.6</v>
      </c>
      <c r="AC85" s="6">
        <v>27</v>
      </c>
      <c r="AD85" s="6">
        <v>37</v>
      </c>
      <c r="AE85" s="6"/>
      <c r="AF85" s="6">
        <f t="shared" si="30"/>
        <v>50.680000000000007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137</v>
      </c>
      <c r="B86" s="6" t="s">
        <v>35</v>
      </c>
      <c r="C86" s="6">
        <v>38</v>
      </c>
      <c r="D86" s="6">
        <v>462</v>
      </c>
      <c r="E86" s="6">
        <v>296</v>
      </c>
      <c r="F86" s="6">
        <v>140</v>
      </c>
      <c r="G86" s="7">
        <v>0.28000000000000003</v>
      </c>
      <c r="H86" s="6">
        <v>45</v>
      </c>
      <c r="I86" s="6" t="s">
        <v>36</v>
      </c>
      <c r="J86" s="6"/>
      <c r="K86" s="6">
        <v>437</v>
      </c>
      <c r="L86" s="6">
        <f t="shared" si="23"/>
        <v>-141</v>
      </c>
      <c r="M86" s="6">
        <f t="shared" si="24"/>
        <v>256</v>
      </c>
      <c r="N86" s="6">
        <v>40</v>
      </c>
      <c r="O86" s="6">
        <v>167</v>
      </c>
      <c r="P86" s="6">
        <v>310</v>
      </c>
      <c r="Q86" s="6"/>
      <c r="R86" s="6">
        <f t="shared" si="25"/>
        <v>51.2</v>
      </c>
      <c r="S86" s="8">
        <f t="shared" ref="S86:S88" si="31">14*R86-Q86-P86-O86-F86</f>
        <v>99.800000000000068</v>
      </c>
      <c r="T86" s="6">
        <f t="shared" si="26"/>
        <v>14</v>
      </c>
      <c r="U86" s="6">
        <f t="shared" si="27"/>
        <v>12.05078125</v>
      </c>
      <c r="V86" s="6">
        <v>57.2</v>
      </c>
      <c r="W86" s="6">
        <v>46.6</v>
      </c>
      <c r="X86" s="6">
        <v>39</v>
      </c>
      <c r="Y86" s="6">
        <v>8.4</v>
      </c>
      <c r="Z86" s="6">
        <v>60.4</v>
      </c>
      <c r="AA86" s="6">
        <v>40.799999999999997</v>
      </c>
      <c r="AB86" s="6">
        <v>41.2</v>
      </c>
      <c r="AC86" s="6">
        <v>42.6</v>
      </c>
      <c r="AD86" s="6">
        <v>22.4</v>
      </c>
      <c r="AE86" s="6"/>
      <c r="AF86" s="6">
        <f t="shared" si="30"/>
        <v>27.94400000000002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138</v>
      </c>
      <c r="B87" s="6" t="s">
        <v>35</v>
      </c>
      <c r="C87" s="6">
        <v>118</v>
      </c>
      <c r="D87" s="6">
        <v>34</v>
      </c>
      <c r="E87" s="6">
        <v>60</v>
      </c>
      <c r="F87" s="6">
        <v>88</v>
      </c>
      <c r="G87" s="7">
        <v>0.28000000000000003</v>
      </c>
      <c r="H87" s="6">
        <v>45</v>
      </c>
      <c r="I87" s="6" t="s">
        <v>36</v>
      </c>
      <c r="J87" s="6"/>
      <c r="K87" s="6">
        <v>66</v>
      </c>
      <c r="L87" s="6">
        <f t="shared" si="23"/>
        <v>-6</v>
      </c>
      <c r="M87" s="6">
        <f t="shared" si="24"/>
        <v>60</v>
      </c>
      <c r="N87" s="6"/>
      <c r="O87" s="6">
        <v>0</v>
      </c>
      <c r="P87" s="6"/>
      <c r="Q87" s="6"/>
      <c r="R87" s="6">
        <f t="shared" si="25"/>
        <v>12</v>
      </c>
      <c r="S87" s="8">
        <f t="shared" si="31"/>
        <v>80</v>
      </c>
      <c r="T87" s="6">
        <f t="shared" si="26"/>
        <v>14</v>
      </c>
      <c r="U87" s="6">
        <f t="shared" si="27"/>
        <v>7.333333333333333</v>
      </c>
      <c r="V87" s="6">
        <v>6.8</v>
      </c>
      <c r="W87" s="6">
        <v>12.6</v>
      </c>
      <c r="X87" s="6">
        <v>14.6</v>
      </c>
      <c r="Y87" s="6">
        <v>9.1999999999999993</v>
      </c>
      <c r="Z87" s="6">
        <v>10.8</v>
      </c>
      <c r="AA87" s="6">
        <v>17.600000000000001</v>
      </c>
      <c r="AB87" s="6">
        <v>12</v>
      </c>
      <c r="AC87" s="6">
        <v>16.399999999999999</v>
      </c>
      <c r="AD87" s="6">
        <v>18.600000000000001</v>
      </c>
      <c r="AE87" s="6"/>
      <c r="AF87" s="6">
        <f t="shared" si="30"/>
        <v>22.400000000000002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 t="s">
        <v>139</v>
      </c>
      <c r="B88" s="6" t="s">
        <v>35</v>
      </c>
      <c r="C88" s="6">
        <v>299</v>
      </c>
      <c r="D88" s="6">
        <v>101</v>
      </c>
      <c r="E88" s="6">
        <v>239</v>
      </c>
      <c r="F88" s="6">
        <v>98</v>
      </c>
      <c r="G88" s="7">
        <v>0.28000000000000003</v>
      </c>
      <c r="H88" s="6">
        <v>45</v>
      </c>
      <c r="I88" s="6" t="s">
        <v>36</v>
      </c>
      <c r="J88" s="6"/>
      <c r="K88" s="6">
        <v>281</v>
      </c>
      <c r="L88" s="6">
        <f t="shared" si="23"/>
        <v>-42</v>
      </c>
      <c r="M88" s="6">
        <f t="shared" si="24"/>
        <v>183</v>
      </c>
      <c r="N88" s="6">
        <v>56</v>
      </c>
      <c r="O88" s="6">
        <v>118</v>
      </c>
      <c r="P88" s="6">
        <v>218</v>
      </c>
      <c r="Q88" s="6"/>
      <c r="R88" s="6">
        <f t="shared" si="25"/>
        <v>36.6</v>
      </c>
      <c r="S88" s="8">
        <f t="shared" si="31"/>
        <v>78.399999999999977</v>
      </c>
      <c r="T88" s="6">
        <f t="shared" si="26"/>
        <v>13.999999999999998</v>
      </c>
      <c r="U88" s="6">
        <f t="shared" si="27"/>
        <v>11.857923497267759</v>
      </c>
      <c r="V88" s="6">
        <v>41.2</v>
      </c>
      <c r="W88" s="6">
        <v>34</v>
      </c>
      <c r="X88" s="6">
        <v>45.8</v>
      </c>
      <c r="Y88" s="6">
        <v>23.4</v>
      </c>
      <c r="Z88" s="6">
        <v>51</v>
      </c>
      <c r="AA88" s="6">
        <v>34</v>
      </c>
      <c r="AB88" s="6">
        <v>10.8</v>
      </c>
      <c r="AC88" s="6">
        <v>50.6</v>
      </c>
      <c r="AD88" s="6">
        <v>9.1999999999999993</v>
      </c>
      <c r="AE88" s="6"/>
      <c r="AF88" s="6">
        <f t="shared" si="30"/>
        <v>21.951999999999995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140</v>
      </c>
      <c r="B89" s="6" t="s">
        <v>35</v>
      </c>
      <c r="C89" s="6">
        <v>139</v>
      </c>
      <c r="D89" s="6">
        <v>8</v>
      </c>
      <c r="E89" s="6">
        <v>124</v>
      </c>
      <c r="F89" s="6">
        <v>22</v>
      </c>
      <c r="G89" s="7">
        <v>0.4</v>
      </c>
      <c r="H89" s="6">
        <v>50</v>
      </c>
      <c r="I89" s="6" t="s">
        <v>36</v>
      </c>
      <c r="J89" s="6"/>
      <c r="K89" s="6">
        <v>500</v>
      </c>
      <c r="L89" s="6">
        <f t="shared" si="23"/>
        <v>-376</v>
      </c>
      <c r="M89" s="6">
        <f t="shared" si="24"/>
        <v>124</v>
      </c>
      <c r="N89" s="6"/>
      <c r="O89" s="6">
        <v>184</v>
      </c>
      <c r="P89" s="6">
        <v>341</v>
      </c>
      <c r="Q89" s="6"/>
      <c r="R89" s="6">
        <f t="shared" si="25"/>
        <v>24.8</v>
      </c>
      <c r="S89" s="8"/>
      <c r="T89" s="6">
        <f t="shared" si="26"/>
        <v>22.056451612903224</v>
      </c>
      <c r="U89" s="6">
        <f t="shared" si="27"/>
        <v>22.056451612903224</v>
      </c>
      <c r="V89" s="6">
        <v>68</v>
      </c>
      <c r="W89" s="6">
        <v>57.4</v>
      </c>
      <c r="X89" s="6">
        <v>43.4</v>
      </c>
      <c r="Y89" s="6">
        <v>68.400000000000006</v>
      </c>
      <c r="Z89" s="6">
        <v>89.6</v>
      </c>
      <c r="AA89" s="6">
        <v>57.4</v>
      </c>
      <c r="AB89" s="6">
        <v>83.4</v>
      </c>
      <c r="AC89" s="6">
        <v>67</v>
      </c>
      <c r="AD89" s="6">
        <v>52.6</v>
      </c>
      <c r="AE89" s="6"/>
      <c r="AF89" s="6">
        <f t="shared" si="30"/>
        <v>0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11" t="s">
        <v>141</v>
      </c>
      <c r="B90" s="11" t="s">
        <v>38</v>
      </c>
      <c r="C90" s="11"/>
      <c r="D90" s="11">
        <v>63.042000000000002</v>
      </c>
      <c r="E90" s="11">
        <v>63.042000000000002</v>
      </c>
      <c r="F90" s="11"/>
      <c r="G90" s="12">
        <v>0</v>
      </c>
      <c r="H90" s="11"/>
      <c r="I90" s="14" t="s">
        <v>59</v>
      </c>
      <c r="J90" s="11"/>
      <c r="K90" s="11">
        <v>84.042000000000002</v>
      </c>
      <c r="L90" s="11">
        <f t="shared" si="23"/>
        <v>-21</v>
      </c>
      <c r="M90" s="11">
        <f t="shared" si="24"/>
        <v>0</v>
      </c>
      <c r="N90" s="11">
        <v>63.042000000000002</v>
      </c>
      <c r="O90" s="11"/>
      <c r="P90" s="11"/>
      <c r="Q90" s="11"/>
      <c r="R90" s="11">
        <f t="shared" si="25"/>
        <v>0</v>
      </c>
      <c r="S90" s="13"/>
      <c r="T90" s="11" t="e">
        <f t="shared" si="26"/>
        <v>#DIV/0!</v>
      </c>
      <c r="U90" s="11" t="e">
        <f t="shared" si="27"/>
        <v>#DIV/0!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/>
      <c r="AF90" s="11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11" t="s">
        <v>142</v>
      </c>
      <c r="B91" s="11" t="s">
        <v>35</v>
      </c>
      <c r="C91" s="11">
        <v>125</v>
      </c>
      <c r="D91" s="11">
        <v>2</v>
      </c>
      <c r="E91" s="11">
        <v>11</v>
      </c>
      <c r="F91" s="11">
        <v>81</v>
      </c>
      <c r="G91" s="12">
        <v>0</v>
      </c>
      <c r="H91" s="11">
        <v>50</v>
      </c>
      <c r="I91" s="11" t="s">
        <v>59</v>
      </c>
      <c r="J91" s="11"/>
      <c r="K91" s="11">
        <v>16</v>
      </c>
      <c r="L91" s="11">
        <f t="shared" si="23"/>
        <v>-5</v>
      </c>
      <c r="M91" s="11">
        <f t="shared" si="24"/>
        <v>11</v>
      </c>
      <c r="N91" s="11"/>
      <c r="O91" s="11">
        <v>0</v>
      </c>
      <c r="P91" s="11"/>
      <c r="Q91" s="11"/>
      <c r="R91" s="11">
        <f t="shared" si="25"/>
        <v>2.2000000000000002</v>
      </c>
      <c r="S91" s="13"/>
      <c r="T91" s="11">
        <f t="shared" si="26"/>
        <v>36.818181818181813</v>
      </c>
      <c r="U91" s="11">
        <f t="shared" si="27"/>
        <v>36.818181818181813</v>
      </c>
      <c r="V91" s="11">
        <v>3.6</v>
      </c>
      <c r="W91" s="11">
        <v>1.4</v>
      </c>
      <c r="X91" s="11">
        <v>2.2000000000000002</v>
      </c>
      <c r="Y91" s="11">
        <v>1.8</v>
      </c>
      <c r="Z91" s="11">
        <v>2.4</v>
      </c>
      <c r="AA91" s="11">
        <v>10.4</v>
      </c>
      <c r="AB91" s="11">
        <v>6.2</v>
      </c>
      <c r="AC91" s="11">
        <v>11.4</v>
      </c>
      <c r="AD91" s="11">
        <v>13.6</v>
      </c>
      <c r="AE91" s="15" t="s">
        <v>48</v>
      </c>
      <c r="AF91" s="11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143</v>
      </c>
      <c r="B92" s="6" t="s">
        <v>35</v>
      </c>
      <c r="C92" s="6">
        <v>-8</v>
      </c>
      <c r="D92" s="6">
        <v>30</v>
      </c>
      <c r="E92" s="6">
        <v>30</v>
      </c>
      <c r="F92" s="6">
        <v>-10</v>
      </c>
      <c r="G92" s="7">
        <v>0.33</v>
      </c>
      <c r="H92" s="6">
        <v>30</v>
      </c>
      <c r="I92" s="6" t="s">
        <v>36</v>
      </c>
      <c r="J92" s="6"/>
      <c r="K92" s="6">
        <v>56</v>
      </c>
      <c r="L92" s="6">
        <f t="shared" si="23"/>
        <v>-26</v>
      </c>
      <c r="M92" s="6">
        <f t="shared" si="24"/>
        <v>0</v>
      </c>
      <c r="N92" s="6">
        <v>30</v>
      </c>
      <c r="O92" s="6">
        <v>6</v>
      </c>
      <c r="P92" s="6"/>
      <c r="Q92" s="6"/>
      <c r="R92" s="6">
        <f t="shared" si="25"/>
        <v>0</v>
      </c>
      <c r="S92" s="8">
        <v>42</v>
      </c>
      <c r="T92" s="6" t="e">
        <f t="shared" si="26"/>
        <v>#DIV/0!</v>
      </c>
      <c r="U92" s="6" t="e">
        <f t="shared" si="27"/>
        <v>#DIV/0!</v>
      </c>
      <c r="V92" s="6">
        <v>2.4</v>
      </c>
      <c r="W92" s="6">
        <v>4</v>
      </c>
      <c r="X92" s="6">
        <v>1.6</v>
      </c>
      <c r="Y92" s="6">
        <v>3.4</v>
      </c>
      <c r="Z92" s="6">
        <v>3.6</v>
      </c>
      <c r="AA92" s="6">
        <v>2.8</v>
      </c>
      <c r="AB92" s="6">
        <v>5.8</v>
      </c>
      <c r="AC92" s="6">
        <v>4</v>
      </c>
      <c r="AD92" s="6">
        <v>1.4</v>
      </c>
      <c r="AE92" s="6"/>
      <c r="AF92" s="6">
        <f>G92*S92</f>
        <v>13.860000000000001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11" t="s">
        <v>144</v>
      </c>
      <c r="B93" s="11" t="s">
        <v>35</v>
      </c>
      <c r="C93" s="11">
        <v>44</v>
      </c>
      <c r="D93" s="11">
        <v>2</v>
      </c>
      <c r="E93" s="16">
        <v>25</v>
      </c>
      <c r="F93" s="16">
        <v>21</v>
      </c>
      <c r="G93" s="12">
        <v>0</v>
      </c>
      <c r="H93" s="11">
        <v>60</v>
      </c>
      <c r="I93" s="11" t="s">
        <v>59</v>
      </c>
      <c r="J93" s="11" t="s">
        <v>145</v>
      </c>
      <c r="K93" s="11">
        <v>28</v>
      </c>
      <c r="L93" s="11">
        <f t="shared" si="23"/>
        <v>-3</v>
      </c>
      <c r="M93" s="11">
        <f t="shared" si="24"/>
        <v>25</v>
      </c>
      <c r="N93" s="11"/>
      <c r="O93" s="11">
        <v>0</v>
      </c>
      <c r="P93" s="11"/>
      <c r="Q93" s="11"/>
      <c r="R93" s="11">
        <f t="shared" si="25"/>
        <v>5</v>
      </c>
      <c r="S93" s="13"/>
      <c r="T93" s="11">
        <f t="shared" si="26"/>
        <v>4.2</v>
      </c>
      <c r="U93" s="11">
        <f t="shared" si="27"/>
        <v>4.2</v>
      </c>
      <c r="V93" s="11">
        <v>9.6</v>
      </c>
      <c r="W93" s="11">
        <v>5.6</v>
      </c>
      <c r="X93" s="11">
        <v>5.2</v>
      </c>
      <c r="Y93" s="11">
        <v>9.8000000000000007</v>
      </c>
      <c r="Z93" s="11">
        <v>13</v>
      </c>
      <c r="AA93" s="11">
        <v>9.1999999999999993</v>
      </c>
      <c r="AB93" s="11">
        <v>13.6</v>
      </c>
      <c r="AC93" s="11">
        <v>8.8000000000000007</v>
      </c>
      <c r="AD93" s="11">
        <v>5.2</v>
      </c>
      <c r="AE93" s="11" t="s">
        <v>146</v>
      </c>
      <c r="AF93" s="11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147</v>
      </c>
      <c r="B94" s="6" t="s">
        <v>38</v>
      </c>
      <c r="C94" s="6">
        <v>49.738</v>
      </c>
      <c r="D94" s="6"/>
      <c r="E94" s="6">
        <v>49.738</v>
      </c>
      <c r="F94" s="6"/>
      <c r="G94" s="7">
        <v>1</v>
      </c>
      <c r="H94" s="6"/>
      <c r="I94" s="6" t="s">
        <v>36</v>
      </c>
      <c r="J94" s="6"/>
      <c r="K94" s="6">
        <v>76.900000000000006</v>
      </c>
      <c r="L94" s="6">
        <f t="shared" si="23"/>
        <v>-27.162000000000006</v>
      </c>
      <c r="M94" s="6">
        <f t="shared" si="24"/>
        <v>49.738</v>
      </c>
      <c r="N94" s="6"/>
      <c r="O94" s="6">
        <v>0</v>
      </c>
      <c r="P94" s="6"/>
      <c r="Q94" s="6"/>
      <c r="R94" s="6">
        <f t="shared" si="25"/>
        <v>9.9475999999999996</v>
      </c>
      <c r="S94" s="8">
        <v>100</v>
      </c>
      <c r="T94" s="6">
        <f t="shared" si="26"/>
        <v>10.052676022357153</v>
      </c>
      <c r="U94" s="6">
        <f t="shared" si="27"/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 t="s">
        <v>74</v>
      </c>
      <c r="AF94" s="6">
        <f>G94*S94</f>
        <v>100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148</v>
      </c>
      <c r="B95" s="6" t="s">
        <v>35</v>
      </c>
      <c r="C95" s="6">
        <v>26</v>
      </c>
      <c r="D95" s="6">
        <v>17</v>
      </c>
      <c r="E95" s="6">
        <v>12</v>
      </c>
      <c r="F95" s="6">
        <v>30</v>
      </c>
      <c r="G95" s="7">
        <v>0.28000000000000003</v>
      </c>
      <c r="H95" s="6">
        <v>50</v>
      </c>
      <c r="I95" s="6" t="s">
        <v>36</v>
      </c>
      <c r="J95" s="6"/>
      <c r="K95" s="6">
        <v>15</v>
      </c>
      <c r="L95" s="6">
        <f t="shared" si="23"/>
        <v>-3</v>
      </c>
      <c r="M95" s="6">
        <f t="shared" si="24"/>
        <v>12</v>
      </c>
      <c r="N95" s="6"/>
      <c r="O95" s="6">
        <v>0</v>
      </c>
      <c r="P95" s="6"/>
      <c r="Q95" s="6"/>
      <c r="R95" s="6">
        <f t="shared" si="25"/>
        <v>2.4</v>
      </c>
      <c r="S95" s="8">
        <v>8</v>
      </c>
      <c r="T95" s="6">
        <f t="shared" si="26"/>
        <v>15.833333333333334</v>
      </c>
      <c r="U95" s="6">
        <f t="shared" si="27"/>
        <v>12.5</v>
      </c>
      <c r="V95" s="6">
        <v>1.2</v>
      </c>
      <c r="W95" s="6">
        <v>3.6</v>
      </c>
      <c r="X95" s="6">
        <v>3.8</v>
      </c>
      <c r="Y95" s="6">
        <v>2.8</v>
      </c>
      <c r="Z95" s="6">
        <v>4.4000000000000004</v>
      </c>
      <c r="AA95" s="6">
        <v>0.4</v>
      </c>
      <c r="AB95" s="6">
        <v>3.2</v>
      </c>
      <c r="AC95" s="6">
        <v>6.4</v>
      </c>
      <c r="AD95" s="6">
        <v>3.6</v>
      </c>
      <c r="AE95" s="6"/>
      <c r="AF95" s="6">
        <f>G95*S95</f>
        <v>2.2400000000000002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11" t="s">
        <v>149</v>
      </c>
      <c r="B96" s="11" t="s">
        <v>35</v>
      </c>
      <c r="C96" s="11">
        <v>34</v>
      </c>
      <c r="D96" s="11">
        <v>89</v>
      </c>
      <c r="E96" s="11">
        <v>118</v>
      </c>
      <c r="F96" s="11"/>
      <c r="G96" s="12">
        <v>0</v>
      </c>
      <c r="H96" s="11">
        <v>50</v>
      </c>
      <c r="I96" s="11" t="s">
        <v>59</v>
      </c>
      <c r="J96" s="11"/>
      <c r="K96" s="11">
        <v>121</v>
      </c>
      <c r="L96" s="11">
        <f t="shared" si="23"/>
        <v>-3</v>
      </c>
      <c r="M96" s="11">
        <f t="shared" si="24"/>
        <v>30</v>
      </c>
      <c r="N96" s="11">
        <v>88</v>
      </c>
      <c r="O96" s="11">
        <v>0</v>
      </c>
      <c r="P96" s="11"/>
      <c r="Q96" s="11"/>
      <c r="R96" s="11">
        <f t="shared" si="25"/>
        <v>6</v>
      </c>
      <c r="S96" s="13"/>
      <c r="T96" s="11">
        <f t="shared" si="26"/>
        <v>0</v>
      </c>
      <c r="U96" s="11">
        <f t="shared" si="27"/>
        <v>0</v>
      </c>
      <c r="V96" s="11">
        <v>3.4</v>
      </c>
      <c r="W96" s="11">
        <v>0.2</v>
      </c>
      <c r="X96" s="11">
        <v>1.4</v>
      </c>
      <c r="Y96" s="11">
        <v>3</v>
      </c>
      <c r="Z96" s="11">
        <v>4</v>
      </c>
      <c r="AA96" s="11">
        <v>0.2</v>
      </c>
      <c r="AB96" s="11">
        <v>4.5999999999999996</v>
      </c>
      <c r="AC96" s="11">
        <v>6</v>
      </c>
      <c r="AD96" s="11">
        <v>3.4</v>
      </c>
      <c r="AE96" s="11"/>
      <c r="AF96" s="11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11" t="s">
        <v>150</v>
      </c>
      <c r="B97" s="11" t="s">
        <v>35</v>
      </c>
      <c r="C97" s="11"/>
      <c r="D97" s="11">
        <v>48</v>
      </c>
      <c r="E97" s="11">
        <v>48</v>
      </c>
      <c r="F97" s="11"/>
      <c r="G97" s="12">
        <v>0</v>
      </c>
      <c r="H97" s="11"/>
      <c r="I97" s="11" t="s">
        <v>59</v>
      </c>
      <c r="J97" s="11"/>
      <c r="K97" s="11">
        <v>39</v>
      </c>
      <c r="L97" s="11">
        <f t="shared" si="23"/>
        <v>9</v>
      </c>
      <c r="M97" s="11">
        <f t="shared" si="24"/>
        <v>0</v>
      </c>
      <c r="N97" s="11">
        <v>48</v>
      </c>
      <c r="O97" s="11"/>
      <c r="P97" s="11"/>
      <c r="Q97" s="11"/>
      <c r="R97" s="11">
        <f t="shared" si="25"/>
        <v>0</v>
      </c>
      <c r="S97" s="13"/>
      <c r="T97" s="11" t="e">
        <f t="shared" si="26"/>
        <v>#DIV/0!</v>
      </c>
      <c r="U97" s="11" t="e">
        <f t="shared" si="27"/>
        <v>#DIV/0!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/>
      <c r="AF97" s="11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151</v>
      </c>
      <c r="B98" s="6" t="s">
        <v>35</v>
      </c>
      <c r="C98" s="6">
        <v>185</v>
      </c>
      <c r="D98" s="6">
        <v>10</v>
      </c>
      <c r="E98" s="6">
        <v>137</v>
      </c>
      <c r="F98" s="6">
        <v>54</v>
      </c>
      <c r="G98" s="7">
        <v>0.3</v>
      </c>
      <c r="H98" s="6">
        <v>45</v>
      </c>
      <c r="I98" s="6" t="s">
        <v>36</v>
      </c>
      <c r="J98" s="6"/>
      <c r="K98" s="6">
        <v>149</v>
      </c>
      <c r="L98" s="6">
        <f t="shared" si="23"/>
        <v>-12</v>
      </c>
      <c r="M98" s="6">
        <f t="shared" si="24"/>
        <v>137</v>
      </c>
      <c r="N98" s="6"/>
      <c r="O98" s="6">
        <v>41</v>
      </c>
      <c r="P98" s="6">
        <v>76</v>
      </c>
      <c r="Q98" s="6"/>
      <c r="R98" s="6">
        <f t="shared" si="25"/>
        <v>27.4</v>
      </c>
      <c r="S98" s="8">
        <f>14*R98-Q98-P98-O98-F98</f>
        <v>212.59999999999997</v>
      </c>
      <c r="T98" s="6">
        <f t="shared" si="26"/>
        <v>14</v>
      </c>
      <c r="U98" s="6">
        <f t="shared" si="27"/>
        <v>6.2408759124087592</v>
      </c>
      <c r="V98" s="6">
        <v>23.4</v>
      </c>
      <c r="W98" s="6">
        <v>24.4</v>
      </c>
      <c r="X98" s="6">
        <v>12.4</v>
      </c>
      <c r="Y98" s="6">
        <v>33.200000000000003</v>
      </c>
      <c r="Z98" s="6">
        <v>32.6</v>
      </c>
      <c r="AA98" s="6">
        <v>21</v>
      </c>
      <c r="AB98" s="6">
        <v>33.6</v>
      </c>
      <c r="AC98" s="6">
        <v>28.4</v>
      </c>
      <c r="AD98" s="6">
        <v>25.8</v>
      </c>
      <c r="AE98" s="6"/>
      <c r="AF98" s="6">
        <f t="shared" ref="AF98:AF104" si="32">G98*S98</f>
        <v>63.779999999999987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152</v>
      </c>
      <c r="B99" s="6" t="s">
        <v>35</v>
      </c>
      <c r="C99" s="6">
        <v>351</v>
      </c>
      <c r="D99" s="6">
        <v>274</v>
      </c>
      <c r="E99" s="6">
        <v>157</v>
      </c>
      <c r="F99" s="6">
        <v>420</v>
      </c>
      <c r="G99" s="7">
        <v>0.12</v>
      </c>
      <c r="H99" s="6">
        <v>60</v>
      </c>
      <c r="I99" s="10" t="s">
        <v>50</v>
      </c>
      <c r="J99" s="6"/>
      <c r="K99" s="6">
        <v>217</v>
      </c>
      <c r="L99" s="6">
        <f t="shared" si="23"/>
        <v>-60</v>
      </c>
      <c r="M99" s="6">
        <f t="shared" si="24"/>
        <v>125</v>
      </c>
      <c r="N99" s="6">
        <v>32</v>
      </c>
      <c r="O99" s="6">
        <v>87</v>
      </c>
      <c r="P99" s="6">
        <v>163</v>
      </c>
      <c r="Q99" s="6"/>
      <c r="R99" s="6">
        <f t="shared" si="25"/>
        <v>25</v>
      </c>
      <c r="S99" s="8"/>
      <c r="T99" s="6">
        <f t="shared" si="26"/>
        <v>26.8</v>
      </c>
      <c r="U99" s="6">
        <f t="shared" si="27"/>
        <v>26.8</v>
      </c>
      <c r="V99" s="6">
        <v>67</v>
      </c>
      <c r="W99" s="6">
        <v>112.6</v>
      </c>
      <c r="X99" s="6">
        <v>98</v>
      </c>
      <c r="Y99" s="6">
        <v>31</v>
      </c>
      <c r="Z99" s="6">
        <v>50.6</v>
      </c>
      <c r="AA99" s="6">
        <v>42.6</v>
      </c>
      <c r="AB99" s="6">
        <v>30.8</v>
      </c>
      <c r="AC99" s="6">
        <v>46.2</v>
      </c>
      <c r="AD99" s="6">
        <v>34.200000000000003</v>
      </c>
      <c r="AE99" s="17" t="s">
        <v>174</v>
      </c>
      <c r="AF99" s="6">
        <f t="shared" si="32"/>
        <v>0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153</v>
      </c>
      <c r="B100" s="6" t="s">
        <v>35</v>
      </c>
      <c r="C100" s="6">
        <v>203</v>
      </c>
      <c r="D100" s="6">
        <v>13</v>
      </c>
      <c r="E100" s="6">
        <v>231</v>
      </c>
      <c r="F100" s="6">
        <v>-23</v>
      </c>
      <c r="G100" s="7">
        <v>0.33</v>
      </c>
      <c r="H100" s="6">
        <v>30</v>
      </c>
      <c r="I100" s="6" t="s">
        <v>36</v>
      </c>
      <c r="J100" s="6"/>
      <c r="K100" s="6">
        <v>266</v>
      </c>
      <c r="L100" s="6">
        <f t="shared" si="23"/>
        <v>-35</v>
      </c>
      <c r="M100" s="6">
        <f t="shared" si="24"/>
        <v>231</v>
      </c>
      <c r="N100" s="6"/>
      <c r="O100" s="6">
        <v>82</v>
      </c>
      <c r="P100" s="6">
        <v>153</v>
      </c>
      <c r="Q100" s="6"/>
      <c r="R100" s="6">
        <f t="shared" si="25"/>
        <v>46.2</v>
      </c>
      <c r="S100" s="8">
        <f>14*R100-Q100-P100-O100-F100</f>
        <v>434.80000000000007</v>
      </c>
      <c r="T100" s="6">
        <f t="shared" si="26"/>
        <v>14</v>
      </c>
      <c r="U100" s="6">
        <f t="shared" si="27"/>
        <v>4.5887445887445883</v>
      </c>
      <c r="V100" s="6">
        <v>28</v>
      </c>
      <c r="W100" s="6">
        <v>24</v>
      </c>
      <c r="X100" s="6">
        <v>41.2</v>
      </c>
      <c r="Y100" s="6">
        <v>37.200000000000003</v>
      </c>
      <c r="Z100" s="6">
        <v>56.2</v>
      </c>
      <c r="AA100" s="6">
        <v>49.8</v>
      </c>
      <c r="AB100" s="6">
        <v>31</v>
      </c>
      <c r="AC100" s="6">
        <v>40.799999999999997</v>
      </c>
      <c r="AD100" s="6">
        <v>42.8</v>
      </c>
      <c r="AE100" s="6"/>
      <c r="AF100" s="6">
        <f t="shared" si="32"/>
        <v>143.48400000000004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154</v>
      </c>
      <c r="B101" s="6" t="s">
        <v>35</v>
      </c>
      <c r="C101" s="6">
        <v>221</v>
      </c>
      <c r="D101" s="6"/>
      <c r="E101" s="6">
        <v>19</v>
      </c>
      <c r="F101" s="6">
        <v>200</v>
      </c>
      <c r="G101" s="7">
        <v>0.28000000000000003</v>
      </c>
      <c r="H101" s="6">
        <v>45</v>
      </c>
      <c r="I101" s="6" t="s">
        <v>36</v>
      </c>
      <c r="J101" s="6"/>
      <c r="K101" s="6">
        <v>30</v>
      </c>
      <c r="L101" s="6">
        <f t="shared" si="23"/>
        <v>-11</v>
      </c>
      <c r="M101" s="6">
        <f t="shared" si="24"/>
        <v>19</v>
      </c>
      <c r="N101" s="6"/>
      <c r="O101" s="6">
        <v>0</v>
      </c>
      <c r="P101" s="6"/>
      <c r="Q101" s="6"/>
      <c r="R101" s="6">
        <f t="shared" si="25"/>
        <v>3.8</v>
      </c>
      <c r="S101" s="8"/>
      <c r="T101" s="6">
        <f t="shared" si="26"/>
        <v>52.631578947368425</v>
      </c>
      <c r="U101" s="6">
        <f t="shared" si="27"/>
        <v>52.631578947368425</v>
      </c>
      <c r="V101" s="6">
        <v>4.5999999999999996</v>
      </c>
      <c r="W101" s="6">
        <v>4.4000000000000004</v>
      </c>
      <c r="X101" s="6">
        <v>0</v>
      </c>
      <c r="Y101" s="6">
        <v>31.2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15" t="s">
        <v>48</v>
      </c>
      <c r="AF101" s="6">
        <f t="shared" si="32"/>
        <v>0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155</v>
      </c>
      <c r="B102" s="6" t="s">
        <v>35</v>
      </c>
      <c r="C102" s="6">
        <v>4</v>
      </c>
      <c r="D102" s="6">
        <v>475</v>
      </c>
      <c r="E102" s="6">
        <v>191</v>
      </c>
      <c r="F102" s="6">
        <v>280</v>
      </c>
      <c r="G102" s="7">
        <v>0.4</v>
      </c>
      <c r="H102" s="6">
        <v>60</v>
      </c>
      <c r="I102" s="6" t="s">
        <v>36</v>
      </c>
      <c r="J102" s="6"/>
      <c r="K102" s="6">
        <v>263</v>
      </c>
      <c r="L102" s="6">
        <f t="shared" ref="L102:L115" si="33">E102-K102</f>
        <v>-72</v>
      </c>
      <c r="M102" s="6">
        <f t="shared" ref="M102:M115" si="34">E102-N102</f>
        <v>101</v>
      </c>
      <c r="N102" s="6">
        <v>90</v>
      </c>
      <c r="O102" s="6">
        <v>7</v>
      </c>
      <c r="P102" s="6"/>
      <c r="Q102" s="6"/>
      <c r="R102" s="6">
        <f t="shared" ref="R102:R115" si="35">M102/5</f>
        <v>20.2</v>
      </c>
      <c r="S102" s="8">
        <f t="shared" ref="S98:S102" si="36">15*R102-Q102-P102-O102-F102</f>
        <v>16</v>
      </c>
      <c r="T102" s="6">
        <f t="shared" ref="T102:T115" si="37">(F102+O102+P102+Q102+S102)/R102</f>
        <v>15</v>
      </c>
      <c r="U102" s="6">
        <f t="shared" ref="U102:U115" si="38">(F102+O102+P102+Q102)/R102</f>
        <v>14.207920792079209</v>
      </c>
      <c r="V102" s="6">
        <v>25.8</v>
      </c>
      <c r="W102" s="6">
        <v>39.4</v>
      </c>
      <c r="X102" s="6">
        <v>20.399999999999999</v>
      </c>
      <c r="Y102" s="6">
        <v>9.4</v>
      </c>
      <c r="Z102" s="6">
        <v>35.200000000000003</v>
      </c>
      <c r="AA102" s="6">
        <v>13</v>
      </c>
      <c r="AB102" s="6">
        <v>27.6</v>
      </c>
      <c r="AC102" s="6">
        <v>20.2</v>
      </c>
      <c r="AD102" s="6">
        <v>18.8</v>
      </c>
      <c r="AE102" s="6"/>
      <c r="AF102" s="6">
        <f t="shared" si="32"/>
        <v>6.4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 t="s">
        <v>66</v>
      </c>
      <c r="B103" s="6" t="s">
        <v>35</v>
      </c>
      <c r="C103" s="6">
        <v>51</v>
      </c>
      <c r="D103" s="6">
        <v>16</v>
      </c>
      <c r="E103" s="6">
        <v>51</v>
      </c>
      <c r="F103" s="16">
        <f>16+F29</f>
        <v>11</v>
      </c>
      <c r="G103" s="7">
        <v>0.35</v>
      </c>
      <c r="H103" s="6">
        <v>60</v>
      </c>
      <c r="I103" s="6" t="s">
        <v>36</v>
      </c>
      <c r="J103" s="6"/>
      <c r="K103" s="6">
        <v>51</v>
      </c>
      <c r="L103" s="6">
        <f t="shared" si="33"/>
        <v>0</v>
      </c>
      <c r="M103" s="6">
        <f t="shared" si="34"/>
        <v>35</v>
      </c>
      <c r="N103" s="6">
        <v>16</v>
      </c>
      <c r="O103" s="6">
        <v>13</v>
      </c>
      <c r="P103" s="6"/>
      <c r="Q103" s="6"/>
      <c r="R103" s="6">
        <f t="shared" si="35"/>
        <v>7</v>
      </c>
      <c r="S103" s="8">
        <f>13*R103-Q103-P103-O103-F103</f>
        <v>67</v>
      </c>
      <c r="T103" s="6">
        <f t="shared" si="37"/>
        <v>13</v>
      </c>
      <c r="U103" s="6">
        <f t="shared" si="38"/>
        <v>3.4285714285714284</v>
      </c>
      <c r="V103" s="6">
        <v>4.4000000000000004</v>
      </c>
      <c r="W103" s="6">
        <v>1.4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 t="s">
        <v>156</v>
      </c>
      <c r="AF103" s="6">
        <f t="shared" si="32"/>
        <v>23.45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 t="s">
        <v>157</v>
      </c>
      <c r="B104" s="6" t="s">
        <v>38</v>
      </c>
      <c r="C104" s="6"/>
      <c r="D104" s="6">
        <v>20.227</v>
      </c>
      <c r="E104" s="6">
        <v>4.2300000000000004</v>
      </c>
      <c r="F104" s="6">
        <v>15.997</v>
      </c>
      <c r="G104" s="7">
        <v>1</v>
      </c>
      <c r="H104" s="6">
        <v>45</v>
      </c>
      <c r="I104" s="6" t="s">
        <v>36</v>
      </c>
      <c r="J104" s="6"/>
      <c r="K104" s="6">
        <v>4.3</v>
      </c>
      <c r="L104" s="6">
        <f t="shared" si="33"/>
        <v>-6.9999999999999396E-2</v>
      </c>
      <c r="M104" s="6">
        <f t="shared" si="34"/>
        <v>4.2300000000000004</v>
      </c>
      <c r="N104" s="6"/>
      <c r="O104" s="6">
        <v>10</v>
      </c>
      <c r="P104" s="6"/>
      <c r="Q104" s="6"/>
      <c r="R104" s="6">
        <f t="shared" si="35"/>
        <v>0.84600000000000009</v>
      </c>
      <c r="S104" s="8"/>
      <c r="T104" s="6">
        <f t="shared" si="37"/>
        <v>30.729314420803778</v>
      </c>
      <c r="U104" s="6">
        <f t="shared" si="38"/>
        <v>30.729314420803778</v>
      </c>
      <c r="V104" s="6">
        <v>0</v>
      </c>
      <c r="W104" s="6">
        <v>2.0257999999999998</v>
      </c>
      <c r="X104" s="6">
        <v>0.68120000000000003</v>
      </c>
      <c r="Y104" s="6">
        <v>1.6926000000000001</v>
      </c>
      <c r="Z104" s="6">
        <v>4.6631999999999998</v>
      </c>
      <c r="AA104" s="6">
        <v>0</v>
      </c>
      <c r="AB104" s="6">
        <v>0</v>
      </c>
      <c r="AC104" s="6">
        <v>0</v>
      </c>
      <c r="AD104" s="6">
        <v>2.8502000000000001</v>
      </c>
      <c r="AE104" s="6" t="s">
        <v>158</v>
      </c>
      <c r="AF104" s="6">
        <f t="shared" si="32"/>
        <v>0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11" t="s">
        <v>159</v>
      </c>
      <c r="B105" s="11" t="s">
        <v>35</v>
      </c>
      <c r="C105" s="11"/>
      <c r="D105" s="11"/>
      <c r="E105" s="11"/>
      <c r="F105" s="11"/>
      <c r="G105" s="12">
        <v>0</v>
      </c>
      <c r="H105" s="11"/>
      <c r="I105" s="11" t="s">
        <v>59</v>
      </c>
      <c r="J105" s="11"/>
      <c r="K105" s="11"/>
      <c r="L105" s="11">
        <f t="shared" si="33"/>
        <v>0</v>
      </c>
      <c r="M105" s="11">
        <f t="shared" si="34"/>
        <v>0</v>
      </c>
      <c r="N105" s="11"/>
      <c r="O105" s="11"/>
      <c r="P105" s="11"/>
      <c r="Q105" s="11">
        <v>300</v>
      </c>
      <c r="R105" s="11">
        <f t="shared" si="35"/>
        <v>0</v>
      </c>
      <c r="S105" s="13"/>
      <c r="T105" s="11" t="e">
        <f t="shared" si="37"/>
        <v>#DIV/0!</v>
      </c>
      <c r="U105" s="11" t="e">
        <f t="shared" si="38"/>
        <v>#DIV/0!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 t="s">
        <v>160</v>
      </c>
      <c r="AF105" s="11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 t="s">
        <v>161</v>
      </c>
      <c r="B106" s="6" t="s">
        <v>35</v>
      </c>
      <c r="C106" s="6">
        <v>-7</v>
      </c>
      <c r="D106" s="6">
        <v>321</v>
      </c>
      <c r="E106" s="6">
        <v>187</v>
      </c>
      <c r="F106" s="6">
        <v>110</v>
      </c>
      <c r="G106" s="7">
        <v>0.33</v>
      </c>
      <c r="H106" s="6">
        <v>45</v>
      </c>
      <c r="I106" s="6" t="s">
        <v>36</v>
      </c>
      <c r="J106" s="6"/>
      <c r="K106" s="6">
        <v>205</v>
      </c>
      <c r="L106" s="6">
        <f t="shared" si="33"/>
        <v>-18</v>
      </c>
      <c r="M106" s="6">
        <f t="shared" si="34"/>
        <v>131</v>
      </c>
      <c r="N106" s="6">
        <v>56</v>
      </c>
      <c r="O106" s="6">
        <v>60</v>
      </c>
      <c r="P106" s="6"/>
      <c r="Q106" s="6"/>
      <c r="R106" s="6">
        <f t="shared" si="35"/>
        <v>26.2</v>
      </c>
      <c r="S106" s="8">
        <f>14*R106-Q106-P106-O106-F106</f>
        <v>196.8</v>
      </c>
      <c r="T106" s="6">
        <f t="shared" si="37"/>
        <v>14</v>
      </c>
      <c r="U106" s="6">
        <f t="shared" si="38"/>
        <v>6.4885496183206106</v>
      </c>
      <c r="V106" s="6">
        <v>15</v>
      </c>
      <c r="W106" s="6">
        <v>24.6</v>
      </c>
      <c r="X106" s="6">
        <v>1</v>
      </c>
      <c r="Y106" s="6">
        <v>14.8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 t="s">
        <v>162</v>
      </c>
      <c r="AF106" s="6">
        <f t="shared" ref="AF106:AF113" si="39">G106*S106</f>
        <v>64.944000000000003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 t="s">
        <v>82</v>
      </c>
      <c r="B107" s="6" t="s">
        <v>35</v>
      </c>
      <c r="C107" s="6">
        <v>86</v>
      </c>
      <c r="D107" s="6"/>
      <c r="E107" s="16">
        <f>1+E37</f>
        <v>14</v>
      </c>
      <c r="F107" s="16">
        <f>85+F37</f>
        <v>127</v>
      </c>
      <c r="G107" s="7">
        <v>0.1</v>
      </c>
      <c r="H107" s="6">
        <v>45</v>
      </c>
      <c r="I107" s="6" t="s">
        <v>36</v>
      </c>
      <c r="J107" s="6"/>
      <c r="K107" s="6">
        <v>1</v>
      </c>
      <c r="L107" s="6">
        <f t="shared" si="33"/>
        <v>13</v>
      </c>
      <c r="M107" s="6">
        <f t="shared" si="34"/>
        <v>14</v>
      </c>
      <c r="N107" s="6"/>
      <c r="O107" s="6">
        <v>28</v>
      </c>
      <c r="P107" s="6"/>
      <c r="Q107" s="6"/>
      <c r="R107" s="6">
        <f t="shared" si="35"/>
        <v>2.8</v>
      </c>
      <c r="S107" s="8"/>
      <c r="T107" s="6">
        <f t="shared" si="37"/>
        <v>55.357142857142861</v>
      </c>
      <c r="U107" s="6">
        <f t="shared" si="38"/>
        <v>55.357142857142861</v>
      </c>
      <c r="V107" s="6">
        <v>11</v>
      </c>
      <c r="W107" s="6">
        <v>4.2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17" t="s">
        <v>175</v>
      </c>
      <c r="AF107" s="6">
        <f t="shared" si="39"/>
        <v>0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 t="s">
        <v>145</v>
      </c>
      <c r="B108" s="6" t="s">
        <v>35</v>
      </c>
      <c r="C108" s="6">
        <v>29</v>
      </c>
      <c r="D108" s="6">
        <v>40</v>
      </c>
      <c r="E108" s="16">
        <f>41+E93</f>
        <v>66</v>
      </c>
      <c r="F108" s="16">
        <f>28+F93</f>
        <v>49</v>
      </c>
      <c r="G108" s="7">
        <v>0.1</v>
      </c>
      <c r="H108" s="6">
        <v>60</v>
      </c>
      <c r="I108" s="6" t="s">
        <v>36</v>
      </c>
      <c r="J108" s="6"/>
      <c r="K108" s="6">
        <v>41</v>
      </c>
      <c r="L108" s="6">
        <f t="shared" si="33"/>
        <v>25</v>
      </c>
      <c r="M108" s="6">
        <f t="shared" si="34"/>
        <v>26</v>
      </c>
      <c r="N108" s="6">
        <v>40</v>
      </c>
      <c r="O108" s="6">
        <v>78</v>
      </c>
      <c r="P108" s="6"/>
      <c r="Q108" s="6"/>
      <c r="R108" s="6">
        <f t="shared" si="35"/>
        <v>5.2</v>
      </c>
      <c r="S108" s="8"/>
      <c r="T108" s="6">
        <f t="shared" si="37"/>
        <v>24.423076923076923</v>
      </c>
      <c r="U108" s="6">
        <f t="shared" si="38"/>
        <v>24.423076923076923</v>
      </c>
      <c r="V108" s="6">
        <v>9.6</v>
      </c>
      <c r="W108" s="6">
        <v>5.6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 t="s">
        <v>163</v>
      </c>
      <c r="AF108" s="6">
        <f t="shared" si="39"/>
        <v>0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 t="s">
        <v>79</v>
      </c>
      <c r="B109" s="6" t="s">
        <v>35</v>
      </c>
      <c r="C109" s="6"/>
      <c r="D109" s="6"/>
      <c r="E109" s="16">
        <f>0+E36</f>
        <v>30</v>
      </c>
      <c r="F109" s="16">
        <f>0+F36</f>
        <v>10</v>
      </c>
      <c r="G109" s="7">
        <v>0.1</v>
      </c>
      <c r="H109" s="6">
        <v>60</v>
      </c>
      <c r="I109" s="6" t="s">
        <v>36</v>
      </c>
      <c r="J109" s="6"/>
      <c r="K109" s="6"/>
      <c r="L109" s="6">
        <f t="shared" si="33"/>
        <v>30</v>
      </c>
      <c r="M109" s="6">
        <f t="shared" si="34"/>
        <v>30</v>
      </c>
      <c r="N109" s="6"/>
      <c r="O109" s="6">
        <v>131</v>
      </c>
      <c r="P109" s="6">
        <v>243</v>
      </c>
      <c r="Q109" s="6"/>
      <c r="R109" s="6">
        <f t="shared" si="35"/>
        <v>6</v>
      </c>
      <c r="S109" s="8"/>
      <c r="T109" s="6">
        <f t="shared" si="37"/>
        <v>64</v>
      </c>
      <c r="U109" s="6">
        <f t="shared" si="38"/>
        <v>64</v>
      </c>
      <c r="V109" s="6">
        <v>38.799999999999997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 t="s">
        <v>164</v>
      </c>
      <c r="AF109" s="6">
        <f t="shared" si="39"/>
        <v>0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 t="s">
        <v>76</v>
      </c>
      <c r="B110" s="6" t="s">
        <v>35</v>
      </c>
      <c r="C110" s="6">
        <v>567</v>
      </c>
      <c r="D110" s="6">
        <v>132</v>
      </c>
      <c r="E110" s="16">
        <f>178+E35</f>
        <v>186</v>
      </c>
      <c r="F110" s="16">
        <f>500+F35</f>
        <v>477</v>
      </c>
      <c r="G110" s="7">
        <v>0.1</v>
      </c>
      <c r="H110" s="6">
        <v>60</v>
      </c>
      <c r="I110" s="6" t="s">
        <v>36</v>
      </c>
      <c r="J110" s="6"/>
      <c r="K110" s="6">
        <v>202</v>
      </c>
      <c r="L110" s="6">
        <f t="shared" si="33"/>
        <v>-16</v>
      </c>
      <c r="M110" s="6">
        <f t="shared" si="34"/>
        <v>186</v>
      </c>
      <c r="N110" s="6"/>
      <c r="O110" s="6">
        <v>0</v>
      </c>
      <c r="P110" s="6"/>
      <c r="Q110" s="6"/>
      <c r="R110" s="6">
        <f t="shared" si="35"/>
        <v>37.200000000000003</v>
      </c>
      <c r="S110" s="8">
        <f t="shared" ref="S106:S111" si="40">15*R110-Q110-P110-O110-F110</f>
        <v>81</v>
      </c>
      <c r="T110" s="6">
        <f t="shared" si="37"/>
        <v>14.999999999999998</v>
      </c>
      <c r="U110" s="6">
        <f t="shared" si="38"/>
        <v>12.82258064516129</v>
      </c>
      <c r="V110" s="6">
        <v>28.6</v>
      </c>
      <c r="W110" s="6">
        <v>54.8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 t="s">
        <v>165</v>
      </c>
      <c r="AF110" s="6">
        <f t="shared" si="39"/>
        <v>8.1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 t="s">
        <v>70</v>
      </c>
      <c r="B111" s="6" t="s">
        <v>35</v>
      </c>
      <c r="C111" s="6">
        <v>415</v>
      </c>
      <c r="D111" s="6">
        <v>487</v>
      </c>
      <c r="E111" s="6">
        <v>437</v>
      </c>
      <c r="F111" s="16">
        <f>374+F32</f>
        <v>368</v>
      </c>
      <c r="G111" s="7">
        <v>0.4</v>
      </c>
      <c r="H111" s="6">
        <v>60</v>
      </c>
      <c r="I111" s="6" t="s">
        <v>36</v>
      </c>
      <c r="J111" s="6"/>
      <c r="K111" s="6">
        <v>531</v>
      </c>
      <c r="L111" s="6">
        <f t="shared" si="33"/>
        <v>-94</v>
      </c>
      <c r="M111" s="6">
        <f t="shared" si="34"/>
        <v>405</v>
      </c>
      <c r="N111" s="6">
        <v>32</v>
      </c>
      <c r="O111" s="6">
        <v>37</v>
      </c>
      <c r="P111" s="6">
        <v>70</v>
      </c>
      <c r="Q111" s="6"/>
      <c r="R111" s="6">
        <f t="shared" si="35"/>
        <v>81</v>
      </c>
      <c r="S111" s="8">
        <f t="shared" si="40"/>
        <v>740</v>
      </c>
      <c r="T111" s="6">
        <f t="shared" si="37"/>
        <v>15</v>
      </c>
      <c r="U111" s="6">
        <f t="shared" si="38"/>
        <v>5.8641975308641978</v>
      </c>
      <c r="V111" s="6">
        <v>58.6</v>
      </c>
      <c r="W111" s="6">
        <v>71.400000000000006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 t="s">
        <v>166</v>
      </c>
      <c r="AF111" s="6">
        <f t="shared" si="39"/>
        <v>296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 t="s">
        <v>167</v>
      </c>
      <c r="B112" s="6" t="s">
        <v>35</v>
      </c>
      <c r="C112" s="6"/>
      <c r="D112" s="6"/>
      <c r="E112" s="6"/>
      <c r="F112" s="6"/>
      <c r="G112" s="7">
        <v>0.1</v>
      </c>
      <c r="H112" s="6"/>
      <c r="I112" s="6" t="s">
        <v>36</v>
      </c>
      <c r="J112" s="6"/>
      <c r="K112" s="6"/>
      <c r="L112" s="6">
        <f t="shared" si="33"/>
        <v>0</v>
      </c>
      <c r="M112" s="6">
        <f t="shared" si="34"/>
        <v>0</v>
      </c>
      <c r="N112" s="6"/>
      <c r="O112" s="6">
        <v>100</v>
      </c>
      <c r="P112" s="6"/>
      <c r="Q112" s="6"/>
      <c r="R112" s="6">
        <f t="shared" si="35"/>
        <v>0</v>
      </c>
      <c r="S112" s="8"/>
      <c r="T112" s="6" t="e">
        <f t="shared" si="37"/>
        <v>#DIV/0!</v>
      </c>
      <c r="U112" s="6" t="e">
        <f t="shared" si="38"/>
        <v>#DIV/0!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 t="s">
        <v>168</v>
      </c>
      <c r="AF112" s="6">
        <f t="shared" si="39"/>
        <v>0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 t="s">
        <v>169</v>
      </c>
      <c r="B113" s="6" t="s">
        <v>35</v>
      </c>
      <c r="C113" s="6"/>
      <c r="D113" s="6"/>
      <c r="E113" s="6"/>
      <c r="F113" s="6"/>
      <c r="G113" s="7">
        <v>0.1</v>
      </c>
      <c r="H113" s="6"/>
      <c r="I113" s="6" t="s">
        <v>36</v>
      </c>
      <c r="J113" s="6"/>
      <c r="K113" s="6"/>
      <c r="L113" s="6">
        <f t="shared" si="33"/>
        <v>0</v>
      </c>
      <c r="M113" s="6">
        <f t="shared" si="34"/>
        <v>0</v>
      </c>
      <c r="N113" s="6"/>
      <c r="O113" s="6">
        <v>100</v>
      </c>
      <c r="P113" s="6"/>
      <c r="Q113" s="6"/>
      <c r="R113" s="6">
        <f t="shared" si="35"/>
        <v>0</v>
      </c>
      <c r="S113" s="8"/>
      <c r="T113" s="6" t="e">
        <f t="shared" si="37"/>
        <v>#DIV/0!</v>
      </c>
      <c r="U113" s="6" t="e">
        <f t="shared" si="38"/>
        <v>#DIV/0!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 t="s">
        <v>168</v>
      </c>
      <c r="AF113" s="6">
        <f t="shared" si="39"/>
        <v>0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11" t="s">
        <v>170</v>
      </c>
      <c r="B114" s="11" t="s">
        <v>38</v>
      </c>
      <c r="C114" s="11">
        <v>129.63</v>
      </c>
      <c r="D114" s="11"/>
      <c r="E114" s="11"/>
      <c r="F114" s="16">
        <v>129.63</v>
      </c>
      <c r="G114" s="12">
        <v>0</v>
      </c>
      <c r="H114" s="11"/>
      <c r="I114" s="11" t="s">
        <v>171</v>
      </c>
      <c r="J114" s="11" t="s">
        <v>64</v>
      </c>
      <c r="K114" s="11"/>
      <c r="L114" s="11">
        <f t="shared" si="33"/>
        <v>0</v>
      </c>
      <c r="M114" s="11">
        <f t="shared" si="34"/>
        <v>0</v>
      </c>
      <c r="N114" s="11"/>
      <c r="O114" s="11">
        <v>0</v>
      </c>
      <c r="P114" s="11"/>
      <c r="Q114" s="11"/>
      <c r="R114" s="11">
        <f t="shared" si="35"/>
        <v>0</v>
      </c>
      <c r="S114" s="13"/>
      <c r="T114" s="11" t="e">
        <f t="shared" si="37"/>
        <v>#DIV/0!</v>
      </c>
      <c r="U114" s="11" t="e">
        <f t="shared" si="38"/>
        <v>#DIV/0!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/>
      <c r="AF114" s="11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11" t="s">
        <v>172</v>
      </c>
      <c r="B115" s="11" t="s">
        <v>38</v>
      </c>
      <c r="C115" s="11">
        <v>36.677</v>
      </c>
      <c r="D115" s="11"/>
      <c r="E115" s="11"/>
      <c r="F115" s="16">
        <v>36.677</v>
      </c>
      <c r="G115" s="12">
        <v>0</v>
      </c>
      <c r="H115" s="11"/>
      <c r="I115" s="11" t="s">
        <v>171</v>
      </c>
      <c r="J115" s="11" t="s">
        <v>113</v>
      </c>
      <c r="K115" s="11"/>
      <c r="L115" s="11">
        <f t="shared" si="33"/>
        <v>0</v>
      </c>
      <c r="M115" s="11">
        <f t="shared" si="34"/>
        <v>0</v>
      </c>
      <c r="N115" s="11"/>
      <c r="O115" s="11">
        <v>0</v>
      </c>
      <c r="P115" s="11"/>
      <c r="Q115" s="11"/>
      <c r="R115" s="11">
        <f t="shared" si="35"/>
        <v>0</v>
      </c>
      <c r="S115" s="13"/>
      <c r="T115" s="11" t="e">
        <f t="shared" si="37"/>
        <v>#DIV/0!</v>
      </c>
      <c r="U115" s="11" t="e">
        <f t="shared" si="38"/>
        <v>#DIV/0!</v>
      </c>
      <c r="V115" s="11">
        <v>0.312</v>
      </c>
      <c r="W115" s="11">
        <v>0.30940000000000001</v>
      </c>
      <c r="X115" s="11">
        <v>6.8086000000000002</v>
      </c>
      <c r="Y115" s="11">
        <v>15.711600000000001</v>
      </c>
      <c r="Z115" s="11">
        <v>12.635999999999999</v>
      </c>
      <c r="AA115" s="11">
        <v>14.8812</v>
      </c>
      <c r="AB115" s="11">
        <v>13.2858</v>
      </c>
      <c r="AC115" s="11">
        <v>0.31219999999999998</v>
      </c>
      <c r="AD115" s="11">
        <v>0</v>
      </c>
      <c r="AE115" s="11"/>
      <c r="AF115" s="11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spans="1:48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spans="1:48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</sheetData>
  <autoFilter ref="A3:AF11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2026-07-27T09:49:54Z</dcterms:created>
  <dcterms:modified xsi:type="dcterms:W3CDTF">2026-07-27T10:27:00Z</dcterms:modified>
</cp:coreProperties>
</file>