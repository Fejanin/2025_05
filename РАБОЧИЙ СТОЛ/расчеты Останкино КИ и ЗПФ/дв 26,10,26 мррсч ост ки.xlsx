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D55A64DA-E6E5-48F9-86E5-93518026FAC6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Sheet!$A$3:$Y$107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A95" i="1" l="1"/>
  <c r="AA89" i="1"/>
  <c r="AA70" i="1"/>
  <c r="Z7" i="1" l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6" i="1"/>
  <c r="Z5" i="1" s="1"/>
  <c r="Y96" i="1" l="1"/>
  <c r="Y88" i="1"/>
  <c r="Y85" i="1"/>
  <c r="Y84" i="1"/>
  <c r="Y61" i="1"/>
  <c r="Y60" i="1"/>
  <c r="Y45" i="1"/>
  <c r="Y38" i="1"/>
  <c r="Y17" i="1"/>
  <c r="P107" i="1"/>
  <c r="S107" i="1" s="1"/>
  <c r="L107" i="1"/>
  <c r="P106" i="1"/>
  <c r="S106" i="1" s="1"/>
  <c r="L106" i="1"/>
  <c r="P105" i="1"/>
  <c r="S105" i="1" s="1"/>
  <c r="L105" i="1"/>
  <c r="P104" i="1"/>
  <c r="Y104" i="1" s="1"/>
  <c r="L104" i="1"/>
  <c r="F103" i="1"/>
  <c r="F5" i="1" s="1"/>
  <c r="E103" i="1"/>
  <c r="P103" i="1" s="1"/>
  <c r="Y103" i="1" s="1"/>
  <c r="P102" i="1"/>
  <c r="Y102" i="1" s="1"/>
  <c r="L102" i="1"/>
  <c r="P101" i="1"/>
  <c r="S101" i="1" s="1"/>
  <c r="L101" i="1"/>
  <c r="P100" i="1"/>
  <c r="S100" i="1" s="1"/>
  <c r="L100" i="1"/>
  <c r="P99" i="1"/>
  <c r="S99" i="1" s="1"/>
  <c r="L99" i="1"/>
  <c r="P98" i="1"/>
  <c r="L98" i="1"/>
  <c r="P97" i="1"/>
  <c r="R97" i="1" s="1"/>
  <c r="L97" i="1"/>
  <c r="P96" i="1"/>
  <c r="S96" i="1" s="1"/>
  <c r="L96" i="1"/>
  <c r="P95" i="1"/>
  <c r="S95" i="1" s="1"/>
  <c r="L95" i="1"/>
  <c r="P94" i="1"/>
  <c r="S94" i="1" s="1"/>
  <c r="L94" i="1"/>
  <c r="P93" i="1"/>
  <c r="S93" i="1" s="1"/>
  <c r="L93" i="1"/>
  <c r="P92" i="1"/>
  <c r="S92" i="1" s="1"/>
  <c r="L92" i="1"/>
  <c r="P91" i="1"/>
  <c r="S91" i="1" s="1"/>
  <c r="L91" i="1"/>
  <c r="P90" i="1"/>
  <c r="S90" i="1" s="1"/>
  <c r="L90" i="1"/>
  <c r="P89" i="1"/>
  <c r="L89" i="1"/>
  <c r="P88" i="1"/>
  <c r="L88" i="1"/>
  <c r="P87" i="1"/>
  <c r="R87" i="1" s="1"/>
  <c r="L87" i="1"/>
  <c r="E86" i="1"/>
  <c r="L86" i="1" s="1"/>
  <c r="P85" i="1"/>
  <c r="S85" i="1" s="1"/>
  <c r="L85" i="1"/>
  <c r="P84" i="1"/>
  <c r="L84" i="1"/>
  <c r="P83" i="1"/>
  <c r="S83" i="1" s="1"/>
  <c r="L83" i="1"/>
  <c r="P82" i="1"/>
  <c r="S82" i="1" s="1"/>
  <c r="L82" i="1"/>
  <c r="P81" i="1"/>
  <c r="S81" i="1" s="1"/>
  <c r="L81" i="1"/>
  <c r="P80" i="1"/>
  <c r="Y80" i="1" s="1"/>
  <c r="L80" i="1"/>
  <c r="P79" i="1"/>
  <c r="S79" i="1" s="1"/>
  <c r="L79" i="1"/>
  <c r="P78" i="1"/>
  <c r="R78" i="1" s="1"/>
  <c r="L78" i="1"/>
  <c r="P77" i="1"/>
  <c r="L77" i="1"/>
  <c r="P76" i="1"/>
  <c r="S76" i="1" s="1"/>
  <c r="L76" i="1"/>
  <c r="P75" i="1"/>
  <c r="Q75" i="1" s="1"/>
  <c r="Y75" i="1" s="1"/>
  <c r="L75" i="1"/>
  <c r="P74" i="1"/>
  <c r="Q74" i="1" s="1"/>
  <c r="Y74" i="1" s="1"/>
  <c r="L74" i="1"/>
  <c r="P73" i="1"/>
  <c r="S73" i="1" s="1"/>
  <c r="L73" i="1"/>
  <c r="P72" i="1"/>
  <c r="S72" i="1" s="1"/>
  <c r="L72" i="1"/>
  <c r="P71" i="1"/>
  <c r="L71" i="1"/>
  <c r="P70" i="1"/>
  <c r="L70" i="1"/>
  <c r="P69" i="1"/>
  <c r="S69" i="1" s="1"/>
  <c r="L69" i="1"/>
  <c r="P68" i="1"/>
  <c r="Q68" i="1" s="1"/>
  <c r="Y68" i="1" s="1"/>
  <c r="L68" i="1"/>
  <c r="P67" i="1"/>
  <c r="S67" i="1" s="1"/>
  <c r="L67" i="1"/>
  <c r="P66" i="1"/>
  <c r="S66" i="1" s="1"/>
  <c r="L66" i="1"/>
  <c r="P65" i="1"/>
  <c r="S65" i="1" s="1"/>
  <c r="L65" i="1"/>
  <c r="P64" i="1"/>
  <c r="S64" i="1" s="1"/>
  <c r="L64" i="1"/>
  <c r="P63" i="1"/>
  <c r="Q63" i="1" s="1"/>
  <c r="Y63" i="1" s="1"/>
  <c r="L63" i="1"/>
  <c r="P62" i="1"/>
  <c r="S62" i="1" s="1"/>
  <c r="L62" i="1"/>
  <c r="P61" i="1"/>
  <c r="S61" i="1" s="1"/>
  <c r="L61" i="1"/>
  <c r="P60" i="1"/>
  <c r="S60" i="1" s="1"/>
  <c r="L60" i="1"/>
  <c r="P59" i="1"/>
  <c r="S59" i="1" s="1"/>
  <c r="L59" i="1"/>
  <c r="P58" i="1"/>
  <c r="S58" i="1" s="1"/>
  <c r="L58" i="1"/>
  <c r="P57" i="1"/>
  <c r="L57" i="1"/>
  <c r="P56" i="1"/>
  <c r="S56" i="1" s="1"/>
  <c r="L56" i="1"/>
  <c r="P55" i="1"/>
  <c r="Y55" i="1" s="1"/>
  <c r="L55" i="1"/>
  <c r="P54" i="1"/>
  <c r="S54" i="1" s="1"/>
  <c r="L54" i="1"/>
  <c r="P53" i="1"/>
  <c r="S53" i="1" s="1"/>
  <c r="L53" i="1"/>
  <c r="P52" i="1"/>
  <c r="Y52" i="1" s="1"/>
  <c r="L52" i="1"/>
  <c r="P51" i="1"/>
  <c r="S51" i="1" s="1"/>
  <c r="L51" i="1"/>
  <c r="P50" i="1"/>
  <c r="S50" i="1" s="1"/>
  <c r="L50" i="1"/>
  <c r="P49" i="1"/>
  <c r="S49" i="1" s="1"/>
  <c r="L49" i="1"/>
  <c r="P48" i="1"/>
  <c r="S48" i="1" s="1"/>
  <c r="L48" i="1"/>
  <c r="P47" i="1"/>
  <c r="L47" i="1"/>
  <c r="P46" i="1"/>
  <c r="S46" i="1" s="1"/>
  <c r="L46" i="1"/>
  <c r="P45" i="1"/>
  <c r="S45" i="1" s="1"/>
  <c r="L45" i="1"/>
  <c r="P44" i="1"/>
  <c r="S44" i="1" s="1"/>
  <c r="L44" i="1"/>
  <c r="P43" i="1"/>
  <c r="S43" i="1" s="1"/>
  <c r="L43" i="1"/>
  <c r="P42" i="1"/>
  <c r="S42" i="1" s="1"/>
  <c r="L42" i="1"/>
  <c r="P41" i="1"/>
  <c r="S41" i="1" s="1"/>
  <c r="L41" i="1"/>
  <c r="P40" i="1"/>
  <c r="R40" i="1" s="1"/>
  <c r="L40" i="1"/>
  <c r="P39" i="1"/>
  <c r="S39" i="1" s="1"/>
  <c r="L39" i="1"/>
  <c r="P38" i="1"/>
  <c r="S38" i="1" s="1"/>
  <c r="L38" i="1"/>
  <c r="P37" i="1"/>
  <c r="S37" i="1" s="1"/>
  <c r="L37" i="1"/>
  <c r="P36" i="1"/>
  <c r="S36" i="1" s="1"/>
  <c r="L36" i="1"/>
  <c r="P35" i="1"/>
  <c r="S35" i="1" s="1"/>
  <c r="L35" i="1"/>
  <c r="P34" i="1"/>
  <c r="Y34" i="1" s="1"/>
  <c r="L34" i="1"/>
  <c r="P33" i="1"/>
  <c r="Y33" i="1" s="1"/>
  <c r="L33" i="1"/>
  <c r="P32" i="1"/>
  <c r="S32" i="1" s="1"/>
  <c r="L32" i="1"/>
  <c r="P31" i="1"/>
  <c r="R31" i="1" s="1"/>
  <c r="L31" i="1"/>
  <c r="P30" i="1"/>
  <c r="S30" i="1" s="1"/>
  <c r="L30" i="1"/>
  <c r="P29" i="1"/>
  <c r="S29" i="1" s="1"/>
  <c r="L29" i="1"/>
  <c r="P28" i="1"/>
  <c r="S28" i="1" s="1"/>
  <c r="L28" i="1"/>
  <c r="P27" i="1"/>
  <c r="L27" i="1"/>
  <c r="Y26" i="1"/>
  <c r="P26" i="1"/>
  <c r="S26" i="1" s="1"/>
  <c r="L26" i="1"/>
  <c r="P25" i="1"/>
  <c r="S25" i="1" s="1"/>
  <c r="L25" i="1"/>
  <c r="P24" i="1"/>
  <c r="S24" i="1" s="1"/>
  <c r="L24" i="1"/>
  <c r="P23" i="1"/>
  <c r="Y23" i="1" s="1"/>
  <c r="L23" i="1"/>
  <c r="P22" i="1"/>
  <c r="S22" i="1" s="1"/>
  <c r="L22" i="1"/>
  <c r="P21" i="1"/>
  <c r="S21" i="1" s="1"/>
  <c r="L21" i="1"/>
  <c r="P20" i="1"/>
  <c r="Y20" i="1" s="1"/>
  <c r="L20" i="1"/>
  <c r="P19" i="1"/>
  <c r="Y19" i="1" s="1"/>
  <c r="L19" i="1"/>
  <c r="P18" i="1"/>
  <c r="R18" i="1" s="1"/>
  <c r="L18" i="1"/>
  <c r="P17" i="1"/>
  <c r="S17" i="1" s="1"/>
  <c r="L17" i="1"/>
  <c r="P16" i="1"/>
  <c r="L16" i="1"/>
  <c r="P15" i="1"/>
  <c r="L15" i="1"/>
  <c r="P14" i="1"/>
  <c r="S14" i="1" s="1"/>
  <c r="L14" i="1"/>
  <c r="P13" i="1"/>
  <c r="S13" i="1" s="1"/>
  <c r="L13" i="1"/>
  <c r="P12" i="1"/>
  <c r="S12" i="1" s="1"/>
  <c r="L12" i="1"/>
  <c r="P11" i="1"/>
  <c r="Y11" i="1" s="1"/>
  <c r="L11" i="1"/>
  <c r="P10" i="1"/>
  <c r="S10" i="1" s="1"/>
  <c r="L10" i="1"/>
  <c r="P9" i="1"/>
  <c r="S9" i="1" s="1"/>
  <c r="L9" i="1"/>
  <c r="P8" i="1"/>
  <c r="S8" i="1" s="1"/>
  <c r="L8" i="1"/>
  <c r="P7" i="1"/>
  <c r="L7" i="1"/>
  <c r="P6" i="1"/>
  <c r="L6" i="1"/>
  <c r="W5" i="1"/>
  <c r="V5" i="1"/>
  <c r="U5" i="1"/>
  <c r="T5" i="1"/>
  <c r="O5" i="1"/>
  <c r="N5" i="1"/>
  <c r="M5" i="1"/>
  <c r="K5" i="1"/>
  <c r="Q76" i="1" l="1"/>
  <c r="Q95" i="1"/>
  <c r="Y95" i="1" s="1"/>
  <c r="Q91" i="1"/>
  <c r="Y91" i="1" s="1"/>
  <c r="Q89" i="1"/>
  <c r="Y89" i="1" s="1"/>
  <c r="S55" i="1"/>
  <c r="S18" i="1"/>
  <c r="S89" i="1"/>
  <c r="Q39" i="1"/>
  <c r="Y39" i="1" s="1"/>
  <c r="Y77" i="1"/>
  <c r="R77" i="1"/>
  <c r="Y44" i="1"/>
  <c r="R44" i="1"/>
  <c r="R6" i="1"/>
  <c r="Y6" i="1"/>
  <c r="Y36" i="1"/>
  <c r="R36" i="1"/>
  <c r="S40" i="1"/>
  <c r="S97" i="1"/>
  <c r="Y41" i="1"/>
  <c r="R19" i="1"/>
  <c r="R27" i="1"/>
  <c r="Y42" i="1"/>
  <c r="Y64" i="1"/>
  <c r="R84" i="1"/>
  <c r="R98" i="1"/>
  <c r="Y21" i="1"/>
  <c r="Y43" i="1"/>
  <c r="Y66" i="1"/>
  <c r="Y22" i="1"/>
  <c r="Y90" i="1"/>
  <c r="S6" i="1"/>
  <c r="S77" i="1"/>
  <c r="Y69" i="1"/>
  <c r="R63" i="1"/>
  <c r="R85" i="1"/>
  <c r="Y24" i="1"/>
  <c r="Y46" i="1"/>
  <c r="Y70" i="1"/>
  <c r="Q92" i="1"/>
  <c r="Y92" i="1" s="1"/>
  <c r="Y25" i="1"/>
  <c r="Y47" i="1"/>
  <c r="Y71" i="1"/>
  <c r="Q93" i="1"/>
  <c r="Y93" i="1" s="1"/>
  <c r="Y48" i="1"/>
  <c r="Y72" i="1"/>
  <c r="Y94" i="1"/>
  <c r="Q7" i="1"/>
  <c r="Y7" i="1" s="1"/>
  <c r="Y27" i="1"/>
  <c r="Y49" i="1"/>
  <c r="Y73" i="1"/>
  <c r="R23" i="1"/>
  <c r="Y8" i="1"/>
  <c r="Y28" i="1"/>
  <c r="Q51" i="1"/>
  <c r="Y51" i="1" s="1"/>
  <c r="R16" i="1"/>
  <c r="Y9" i="1"/>
  <c r="Y29" i="1"/>
  <c r="Y98" i="1"/>
  <c r="Y30" i="1"/>
  <c r="Y53" i="1"/>
  <c r="Y76" i="1"/>
  <c r="Y99" i="1"/>
  <c r="Y32" i="1"/>
  <c r="Q54" i="1"/>
  <c r="Y54" i="1" s="1"/>
  <c r="Q100" i="1"/>
  <c r="Y100" i="1" s="1"/>
  <c r="R74" i="1"/>
  <c r="R88" i="1"/>
  <c r="Y12" i="1"/>
  <c r="Y79" i="1"/>
  <c r="Y101" i="1"/>
  <c r="Y13" i="1"/>
  <c r="Q56" i="1"/>
  <c r="Y56" i="1" s="1"/>
  <c r="R52" i="1"/>
  <c r="Q14" i="1"/>
  <c r="Y14" i="1" s="1"/>
  <c r="Y35" i="1"/>
  <c r="Q57" i="1"/>
  <c r="Y57" i="1" s="1"/>
  <c r="Y81" i="1"/>
  <c r="R75" i="1"/>
  <c r="Q15" i="1"/>
  <c r="Y15" i="1" s="1"/>
  <c r="Y58" i="1"/>
  <c r="Y82" i="1"/>
  <c r="R11" i="1"/>
  <c r="Y18" i="1"/>
  <c r="R104" i="1"/>
  <c r="Y16" i="1"/>
  <c r="Y37" i="1"/>
  <c r="Q59" i="1"/>
  <c r="Y59" i="1" s="1"/>
  <c r="Y83" i="1"/>
  <c r="R34" i="1"/>
  <c r="R60" i="1"/>
  <c r="R80" i="1"/>
  <c r="R68" i="1"/>
  <c r="R55" i="1"/>
  <c r="R89" i="1"/>
  <c r="R102" i="1"/>
  <c r="R38" i="1"/>
  <c r="R33" i="1"/>
  <c r="R20" i="1"/>
  <c r="S52" i="1"/>
  <c r="R69" i="1"/>
  <c r="R103" i="1"/>
  <c r="S63" i="1"/>
  <c r="L103" i="1"/>
  <c r="L5" i="1" s="1"/>
  <c r="S75" i="1"/>
  <c r="S103" i="1"/>
  <c r="R48" i="1"/>
  <c r="S87" i="1"/>
  <c r="R26" i="1"/>
  <c r="R32" i="1"/>
  <c r="S104" i="1"/>
  <c r="S71" i="1"/>
  <c r="R22" i="1"/>
  <c r="R67" i="1"/>
  <c r="S34" i="1"/>
  <c r="R73" i="1"/>
  <c r="R107" i="1"/>
  <c r="R12" i="1"/>
  <c r="R24" i="1"/>
  <c r="S20" i="1"/>
  <c r="R96" i="1"/>
  <c r="S7" i="1"/>
  <c r="S11" i="1"/>
  <c r="S15" i="1"/>
  <c r="S19" i="1"/>
  <c r="S23" i="1"/>
  <c r="S27" i="1"/>
  <c r="S31" i="1"/>
  <c r="E5" i="1"/>
  <c r="S47" i="1"/>
  <c r="R72" i="1"/>
  <c r="S80" i="1"/>
  <c r="S84" i="1"/>
  <c r="S88" i="1"/>
  <c r="S68" i="1"/>
  <c r="R43" i="1"/>
  <c r="R8" i="1"/>
  <c r="S16" i="1"/>
  <c r="R106" i="1"/>
  <c r="R65" i="1"/>
  <c r="R41" i="1"/>
  <c r="R45" i="1"/>
  <c r="S57" i="1"/>
  <c r="R82" i="1"/>
  <c r="P86" i="1"/>
  <c r="R90" i="1"/>
  <c r="R94" i="1"/>
  <c r="S98" i="1"/>
  <c r="S102" i="1"/>
  <c r="R37" i="1"/>
  <c r="R17" i="1"/>
  <c r="S33" i="1"/>
  <c r="R66" i="1"/>
  <c r="S70" i="1"/>
  <c r="S74" i="1"/>
  <c r="S78" i="1"/>
  <c r="R58" i="1"/>
  <c r="R99" i="1"/>
  <c r="R61" i="1"/>
  <c r="R62" i="1"/>
  <c r="R46" i="1"/>
  <c r="R50" i="1"/>
  <c r="R79" i="1"/>
  <c r="R83" i="1"/>
  <c r="R39" i="1" l="1"/>
  <c r="R59" i="1"/>
  <c r="R95" i="1"/>
  <c r="R91" i="1"/>
  <c r="R76" i="1"/>
  <c r="R54" i="1"/>
  <c r="R70" i="1"/>
  <c r="R47" i="1"/>
  <c r="R93" i="1"/>
  <c r="R21" i="1"/>
  <c r="R15" i="1"/>
  <c r="Y10" i="1"/>
  <c r="R10" i="1"/>
  <c r="R9" i="1"/>
  <c r="R81" i="1"/>
  <c r="Y105" i="1"/>
  <c r="R105" i="1"/>
  <c r="R57" i="1"/>
  <c r="R53" i="1"/>
  <c r="R56" i="1"/>
  <c r="R71" i="1"/>
  <c r="R51" i="1"/>
  <c r="R13" i="1"/>
  <c r="R42" i="1"/>
  <c r="P5" i="1"/>
  <c r="Q86" i="1"/>
  <c r="Y86" i="1" s="1"/>
  <c r="R35" i="1"/>
  <c r="R101" i="1"/>
  <c r="R25" i="1"/>
  <c r="R28" i="1"/>
  <c r="R30" i="1"/>
  <c r="R7" i="1"/>
  <c r="R29" i="1"/>
  <c r="R14" i="1"/>
  <c r="R92" i="1"/>
  <c r="R49" i="1"/>
  <c r="R64" i="1"/>
  <c r="R100" i="1"/>
  <c r="R86" i="1"/>
  <c r="S86" i="1"/>
  <c r="Y5" i="1" l="1"/>
  <c r="Q5" i="1"/>
</calcChain>
</file>

<file path=xl/sharedStrings.xml><?xml version="1.0" encoding="utf-8"?>
<sst xmlns="http://schemas.openxmlformats.org/spreadsheetml/2006/main" count="393" uniqueCount="152">
  <si>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</si>
  <si>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</si>
  <si>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</si>
  <si>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</si>
  <si>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</si>
  <si>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</si>
  <si>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</si>
  <si>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</si>
  <si>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</si>
  <si>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</si>
  <si>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</si>
  <si>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</si>
  <si>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</si>
  <si>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</si>
  <si>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</si>
  <si>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</si>
  <si>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</si>
  <si>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</si>
  <si>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</si>
  <si>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</si>
  <si>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</si>
  <si>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</si>
  <si>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28,10,</t>
  </si>
  <si>
    <t>26,10,</t>
  </si>
  <si>
    <t>19,10,</t>
  </si>
  <si>
    <t>12,10,</t>
  </si>
  <si>
    <t>05,10,</t>
  </si>
  <si>
    <t>28,09,</t>
  </si>
  <si>
    <t>0614 ПРАЗДНИЧНАЯ с/к в/с дек.спец.мгс  Останкино</t>
  </si>
  <si>
    <t>кг</t>
  </si>
  <si>
    <t>матрица</t>
  </si>
  <si>
    <t>нужно увеличить продажи!!!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</si>
  <si>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</si>
  <si>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</si>
  <si>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</si>
  <si>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</si>
  <si>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</si>
  <si>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</si>
  <si>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</si>
  <si>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</si>
  <si>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</si>
  <si>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</si>
  <si>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</si>
  <si>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</si>
  <si>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</si>
  <si>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</si>
  <si>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</si>
  <si>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</si>
  <si>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завод не отгрузил 06,10,26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</si>
  <si>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</si>
  <si>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</si>
  <si>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</si>
  <si>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нужно увеличить продажи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</si>
  <si>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</si>
  <si>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</si>
  <si>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</si>
  <si>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</si>
  <si>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</si>
  <si>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</si>
  <si>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</si>
  <si>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вывод</t>
  </si>
  <si>
    <t>7725 ВЕТ.МРАМОРНАЯ в/у срез 0.3кг 6шт_62  ОСТАНКИНО</t>
  </si>
  <si>
    <t>ротация на код 7725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</si>
  <si>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</si>
  <si>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</si>
  <si>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</si>
  <si>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</si>
  <si>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</si>
  <si>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</si>
  <si>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</si>
  <si>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</si>
  <si>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</si>
  <si>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7490 СОЧНЫЙ ГРИЛЬ сос ц/о мгс 0.41кг_Даблпак  ОСТАНКИНО</t>
  </si>
  <si>
    <t>ротация на код 7490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</si>
  <si>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</si>
  <si>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</si>
  <si>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</si>
  <si>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</si>
  <si>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</si>
  <si>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</si>
  <si>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</si>
  <si>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6866 ВЕТЧ.НЕЖНАЯ Коровино п/о_Маяк  Останкино</t>
  </si>
  <si>
    <t>6929 КАРБОНАД ДОМАШНИЙ ПМ к/в кр/к в/у  ОСТАНКИНО</t>
  </si>
  <si>
    <t>6937 САЛЯМИ Папа может с/к в/у 1/250 8шт  Останкино</t>
  </si>
  <si>
    <t>не в матрице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</si>
  <si>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</si>
  <si>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</si>
  <si>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</si>
  <si>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</si>
  <si>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</si>
  <si>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</si>
  <si>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</si>
  <si>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</si>
  <si>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</si>
  <si>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</si>
  <si>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</si>
  <si>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</si>
  <si>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</si>
  <si>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</si>
  <si>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</si>
  <si>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нет потребности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</si>
  <si>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</si>
  <si>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</si>
  <si>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</si>
  <si>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</si>
  <si>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</si>
  <si>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</si>
  <si>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</si>
  <si>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</si>
  <si>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</si>
  <si>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</si>
  <si>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</si>
  <si>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</si>
  <si>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7332 БОЯРСКАЯ ПМ п/к в/у 0,28кг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</si>
  <si>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</si>
  <si>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</si>
  <si>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</si>
  <si>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</si>
  <si>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</si>
  <si>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</si>
  <si>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</si>
  <si>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</si>
  <si>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вместо 6713</t>
  </si>
  <si>
    <t>7512 ЧАЙНАЯ Останкино вар н/о 1*3</t>
  </si>
  <si>
    <t>РАЗОВО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</si>
  <si>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</si>
  <si>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</si>
  <si>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</si>
  <si>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</si>
  <si>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</si>
  <si>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</si>
  <si>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</si>
  <si>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</si>
  <si>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</si>
  <si>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7612 БАЛЫК с/к с/н в/у 1/100 10шт_  ОСТАНКИНО</t>
  </si>
  <si>
    <t>со склада Грации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</si>
  <si>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</si>
  <si>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</si>
  <si>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</si>
  <si>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7700 ЛИТОВСКАЯ с/к в/у</t>
  </si>
  <si>
    <t>вместо 5708</t>
  </si>
  <si>
    <t>7710 КРАКОВСКАЯ ГОСТ п/к н/о мгс 0.3кг  ОСТАНКИНО</t>
  </si>
  <si>
    <t>вместо 6495</t>
  </si>
  <si>
    <t>7730 ХОЧУ ВЕТЧ.ИЗ СВ.ОТРУБА мгс 1/100_45с_Л11  ОСТАНКИНО</t>
  </si>
  <si>
    <t>вместо 7647</t>
  </si>
  <si>
    <t>7731 ХОЧУ ВЕТЧ. МРАМОР. с/н мгс 1/100_45с_Л11  ОСТАНКИНО</t>
  </si>
  <si>
    <t>вместо 7651</t>
  </si>
  <si>
    <t>7754 ДОМАШНИЙ РЕЦЕПТ Коровино вар п/о_332к</t>
  </si>
  <si>
    <t>8014 ДОКТОРСКАЯ ПРЕМИУМ вар п/о(п)  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</si>
  <si>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152шт в уценку (21,10,26)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</si>
  <si>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110кг в уценку (21,10,26)</t>
    </r>
  </si>
  <si>
    <t>ротация на код 7520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</si>
</sst>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5" fillId="6" borderId="1" xfId="1" applyNumberFormat="1" applyFont="1" applyFill="1"/>
    <xf numFmtId="164" fontId="6" fillId="7" borderId="1" xfId="1" applyNumberFormat="1" applyFont="1" applyFill="1"/>
    <xf numFmtId="164" fontId="4" fillId="7" borderId="1" xfId="1" applyNumberFormat="1" applyFont="1" applyFill="1"/>
    <xf numFmtId="165" fontId="1" fillId="0" borderId="1" xfId="1" applyNumberFormat="1"/>
    <xf numFmtId="165" fontId="0" fillId="0" borderId="0" xfId="0" applyNumberForma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72" activePane="bottomRight" state="frozen"/>
      <selection pane="topRight"/>
      <selection pane="bottomLeft"/>
      <selection pane="bottomRight" activeCell="AA95" sqref="AA9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7" width="7" customWidth="1"/>
    <col min="18" max="19" width="5" customWidth="1"/>
    <col min="20" max="23" width="6" customWidth="1"/>
    <col min="24" max="24" width="43.140625" customWidth="1"/>
    <col min="25" max="26" width="7" customWidth="1"/>
    <col min="27" max="27" width="6.7109375" style="20" customWidth="1"/>
    <col min="28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9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9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20</v>
      </c>
      <c r="Y3" s="2" t="s">
        <v>21</v>
      </c>
      <c r="Z3" s="1"/>
      <c r="AA3" s="19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/>
      <c r="T4" s="1" t="s">
        <v>24</v>
      </c>
      <c r="U4" s="1" t="s">
        <v>25</v>
      </c>
      <c r="V4" s="1" t="s">
        <v>26</v>
      </c>
      <c r="W4" s="1" t="s">
        <v>27</v>
      </c>
      <c r="X4" s="1"/>
      <c r="Y4" s="1"/>
      <c r="Z4" s="1"/>
      <c r="AA4" s="19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SUM(E6:E499)</f>
        <v>4893.9210000000012</v>
      </c>
      <c r="F5" s="4">
        <f>SUM(F6:F499)</f>
        <v>12464.47</v>
      </c>
      <c r="G5" s="7"/>
      <c r="H5" s="1"/>
      <c r="I5" s="1"/>
      <c r="J5" s="1"/>
      <c r="K5" s="4">
        <f t="shared" ref="K5:Q5" si="0">SUM(K6:K499)</f>
        <v>5929.32</v>
      </c>
      <c r="L5" s="4">
        <f t="shared" si="0"/>
        <v>-1035.3989999999999</v>
      </c>
      <c r="M5" s="4">
        <f t="shared" si="0"/>
        <v>0</v>
      </c>
      <c r="N5" s="4">
        <f t="shared" si="0"/>
        <v>0</v>
      </c>
      <c r="O5" s="4">
        <f t="shared" si="0"/>
        <v>6451</v>
      </c>
      <c r="P5" s="4">
        <f t="shared" si="0"/>
        <v>978.78420000000028</v>
      </c>
      <c r="Q5" s="4">
        <f t="shared" si="0"/>
        <v>1528.1264000000003</v>
      </c>
      <c r="R5" s="1"/>
      <c r="S5" s="1"/>
      <c r="T5" s="4">
        <f>SUM(T6:T499)</f>
        <v>1131.7820000000002</v>
      </c>
      <c r="U5" s="4">
        <f>SUM(U6:U499)</f>
        <v>1071.7348</v>
      </c>
      <c r="V5" s="4">
        <f>SUM(V6:V499)</f>
        <v>942.28719999999998</v>
      </c>
      <c r="W5" s="4">
        <f>SUM(W6:W499)</f>
        <v>1026.7248000000002</v>
      </c>
      <c r="X5" s="1"/>
      <c r="Y5" s="4">
        <f>SUM(Y6:Y499)</f>
        <v>689.38639999999998</v>
      </c>
      <c r="Z5" s="4">
        <f>SUM(Z6:Z499)</f>
        <v>427.13720000000001</v>
      </c>
      <c r="AA5" s="19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28</v>
      </c>
      <c r="B6" s="1" t="s">
        <v>29</v>
      </c>
      <c r="C6" s="1">
        <v>40.781999999999996</v>
      </c>
      <c r="D6" s="1">
        <v>0.52900000000000003</v>
      </c>
      <c r="E6" s="1">
        <v>3.7519999999999998</v>
      </c>
      <c r="F6" s="1">
        <v>36.485999999999997</v>
      </c>
      <c r="G6" s="7">
        <v>1</v>
      </c>
      <c r="H6" s="1">
        <v>120</v>
      </c>
      <c r="I6" s="1" t="s">
        <v>30</v>
      </c>
      <c r="J6" s="1"/>
      <c r="K6" s="1">
        <v>4.5</v>
      </c>
      <c r="L6" s="1">
        <f t="shared" ref="L6:L37" si="1">E6-K6</f>
        <v>-0.74800000000000022</v>
      </c>
      <c r="M6" s="1"/>
      <c r="N6" s="1"/>
      <c r="O6" s="1">
        <v>0</v>
      </c>
      <c r="P6" s="1">
        <f t="shared" ref="P6:P37" si="2">E6/5</f>
        <v>0.75039999999999996</v>
      </c>
      <c r="Q6" s="5"/>
      <c r="R6" s="1">
        <f t="shared" ref="R6:R37" si="3">(F6+O6+Q6)/P6</f>
        <v>48.622068230277186</v>
      </c>
      <c r="S6" s="1">
        <f t="shared" ref="S6:S37" si="4">(F6+O6)/P6</f>
        <v>48.622068230277186</v>
      </c>
      <c r="T6" s="1">
        <v>0.43340000000000001</v>
      </c>
      <c r="U6" s="1">
        <v>0.54239999999999999</v>
      </c>
      <c r="V6" s="1">
        <v>0</v>
      </c>
      <c r="W6" s="1">
        <v>0</v>
      </c>
      <c r="X6" s="17" t="s">
        <v>31</v>
      </c>
      <c r="Y6" s="1">
        <f t="shared" ref="Y6:Y30" si="5">G6*Q6</f>
        <v>0</v>
      </c>
      <c r="Z6" s="1">
        <f>P6*G6</f>
        <v>0.75039999999999996</v>
      </c>
      <c r="AA6" s="19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32</v>
      </c>
      <c r="B7" s="1" t="s">
        <v>33</v>
      </c>
      <c r="C7" s="1">
        <v>263</v>
      </c>
      <c r="D7" s="1">
        <v>104</v>
      </c>
      <c r="E7" s="1">
        <v>106</v>
      </c>
      <c r="F7" s="1">
        <v>255</v>
      </c>
      <c r="G7" s="7">
        <v>0.4</v>
      </c>
      <c r="H7" s="1">
        <v>60</v>
      </c>
      <c r="I7" s="1" t="s">
        <v>30</v>
      </c>
      <c r="J7" s="1"/>
      <c r="K7" s="1">
        <v>107</v>
      </c>
      <c r="L7" s="1">
        <f t="shared" si="1"/>
        <v>-1</v>
      </c>
      <c r="M7" s="1"/>
      <c r="N7" s="1"/>
      <c r="O7" s="1">
        <v>0</v>
      </c>
      <c r="P7" s="1">
        <f t="shared" si="2"/>
        <v>21.2</v>
      </c>
      <c r="Q7" s="5">
        <f t="shared" ref="Q7:Q15" si="6">14*P7-O7-F7</f>
        <v>41.800000000000011</v>
      </c>
      <c r="R7" s="1">
        <f t="shared" si="3"/>
        <v>14.000000000000002</v>
      </c>
      <c r="S7" s="1">
        <f t="shared" si="4"/>
        <v>12.028301886792454</v>
      </c>
      <c r="T7" s="1">
        <v>11.6</v>
      </c>
      <c r="U7" s="1">
        <v>24.8</v>
      </c>
      <c r="V7" s="1">
        <v>19.399999999999999</v>
      </c>
      <c r="W7" s="1">
        <v>27.8</v>
      </c>
      <c r="X7" s="1"/>
      <c r="Y7" s="1">
        <f t="shared" si="5"/>
        <v>16.720000000000006</v>
      </c>
      <c r="Z7" s="1">
        <f t="shared" ref="Z7:Z70" si="7">P7*G7</f>
        <v>8.48</v>
      </c>
      <c r="AA7" s="19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34</v>
      </c>
      <c r="B8" s="1" t="s">
        <v>29</v>
      </c>
      <c r="C8" s="1">
        <v>55.414999999999999</v>
      </c>
      <c r="D8" s="1">
        <v>48.154000000000003</v>
      </c>
      <c r="E8" s="1">
        <v>6.45</v>
      </c>
      <c r="F8" s="1">
        <v>94.631</v>
      </c>
      <c r="G8" s="7">
        <v>1</v>
      </c>
      <c r="H8" s="1">
        <v>120</v>
      </c>
      <c r="I8" s="1" t="s">
        <v>30</v>
      </c>
      <c r="J8" s="1"/>
      <c r="K8" s="1">
        <v>6.5</v>
      </c>
      <c r="L8" s="1">
        <f t="shared" si="1"/>
        <v>-4.9999999999999822E-2</v>
      </c>
      <c r="M8" s="1"/>
      <c r="N8" s="1"/>
      <c r="O8" s="1">
        <v>0</v>
      </c>
      <c r="P8" s="1">
        <f t="shared" si="2"/>
        <v>1.29</v>
      </c>
      <c r="Q8" s="5"/>
      <c r="R8" s="1">
        <f t="shared" si="3"/>
        <v>73.357364341085272</v>
      </c>
      <c r="S8" s="1">
        <f t="shared" si="4"/>
        <v>73.357364341085272</v>
      </c>
      <c r="T8" s="1">
        <v>1.1848000000000001</v>
      </c>
      <c r="U8" s="1">
        <v>1.107</v>
      </c>
      <c r="V8" s="1">
        <v>1.1876</v>
      </c>
      <c r="W8" s="1">
        <v>1.9132</v>
      </c>
      <c r="X8" s="17" t="s">
        <v>31</v>
      </c>
      <c r="Y8" s="1">
        <f t="shared" si="5"/>
        <v>0</v>
      </c>
      <c r="Z8" s="1">
        <f t="shared" si="7"/>
        <v>1.29</v>
      </c>
      <c r="AA8" s="19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35</v>
      </c>
      <c r="B9" s="1" t="s">
        <v>33</v>
      </c>
      <c r="C9" s="1">
        <v>45</v>
      </c>
      <c r="D9" s="1">
        <v>165</v>
      </c>
      <c r="E9" s="1">
        <v>62</v>
      </c>
      <c r="F9" s="1">
        <v>138</v>
      </c>
      <c r="G9" s="7">
        <v>0.25</v>
      </c>
      <c r="H9" s="1">
        <v>120</v>
      </c>
      <c r="I9" s="1" t="s">
        <v>30</v>
      </c>
      <c r="J9" s="1"/>
      <c r="K9" s="1">
        <v>68</v>
      </c>
      <c r="L9" s="1">
        <f t="shared" si="1"/>
        <v>-6</v>
      </c>
      <c r="M9" s="1"/>
      <c r="N9" s="1"/>
      <c r="O9" s="1">
        <v>38</v>
      </c>
      <c r="P9" s="1">
        <f t="shared" si="2"/>
        <v>12.4</v>
      </c>
      <c r="Q9" s="5"/>
      <c r="R9" s="1">
        <f t="shared" si="3"/>
        <v>14.193548387096774</v>
      </c>
      <c r="S9" s="1">
        <f t="shared" si="4"/>
        <v>14.193548387096774</v>
      </c>
      <c r="T9" s="1">
        <v>16.2</v>
      </c>
      <c r="U9" s="1">
        <v>16.399999999999999</v>
      </c>
      <c r="V9" s="1">
        <v>20.2</v>
      </c>
      <c r="W9" s="1">
        <v>19.600000000000001</v>
      </c>
      <c r="X9" s="1"/>
      <c r="Y9" s="1">
        <f t="shared" si="5"/>
        <v>0</v>
      </c>
      <c r="Z9" s="1">
        <f t="shared" si="7"/>
        <v>3.1</v>
      </c>
      <c r="AA9" s="19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36</v>
      </c>
      <c r="B10" s="1" t="s">
        <v>29</v>
      </c>
      <c r="C10" s="1">
        <v>186.697</v>
      </c>
      <c r="D10" s="1">
        <v>76.923000000000002</v>
      </c>
      <c r="E10" s="1">
        <v>88.691000000000003</v>
      </c>
      <c r="F10" s="1">
        <v>151.4</v>
      </c>
      <c r="G10" s="7">
        <v>1</v>
      </c>
      <c r="H10" s="1">
        <v>60</v>
      </c>
      <c r="I10" s="1" t="s">
        <v>30</v>
      </c>
      <c r="J10" s="1"/>
      <c r="K10" s="1">
        <v>84.8</v>
      </c>
      <c r="L10" s="1">
        <f t="shared" si="1"/>
        <v>3.8910000000000053</v>
      </c>
      <c r="M10" s="1"/>
      <c r="N10" s="1"/>
      <c r="O10" s="1">
        <v>98</v>
      </c>
      <c r="P10" s="1">
        <f t="shared" si="2"/>
        <v>17.738199999999999</v>
      </c>
      <c r="Q10" s="5"/>
      <c r="R10" s="1">
        <f t="shared" si="3"/>
        <v>14.060051188959422</v>
      </c>
      <c r="S10" s="1">
        <f t="shared" si="4"/>
        <v>14.060051188959422</v>
      </c>
      <c r="T10" s="1">
        <v>22.943200000000001</v>
      </c>
      <c r="U10" s="1">
        <v>23.295000000000002</v>
      </c>
      <c r="V10" s="1">
        <v>24.975200000000001</v>
      </c>
      <c r="W10" s="1">
        <v>24.263999999999999</v>
      </c>
      <c r="X10" s="1"/>
      <c r="Y10" s="1">
        <f t="shared" si="5"/>
        <v>0</v>
      </c>
      <c r="Z10" s="1">
        <f t="shared" si="7"/>
        <v>17.738199999999999</v>
      </c>
      <c r="AA10" s="19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37</v>
      </c>
      <c r="B11" s="1" t="s">
        <v>29</v>
      </c>
      <c r="C11" s="1">
        <v>100.49299999999999</v>
      </c>
      <c r="D11" s="1">
        <v>20.315999999999999</v>
      </c>
      <c r="E11" s="1">
        <v>5.0789999999999997</v>
      </c>
      <c r="F11" s="1">
        <v>112.488</v>
      </c>
      <c r="G11" s="7">
        <v>1</v>
      </c>
      <c r="H11" s="1">
        <v>120</v>
      </c>
      <c r="I11" s="1" t="s">
        <v>30</v>
      </c>
      <c r="J11" s="1"/>
      <c r="K11" s="1">
        <v>5.5</v>
      </c>
      <c r="L11" s="1">
        <f t="shared" si="1"/>
        <v>-0.42100000000000026</v>
      </c>
      <c r="M11" s="1"/>
      <c r="N11" s="1"/>
      <c r="O11" s="1">
        <v>0</v>
      </c>
      <c r="P11" s="1">
        <f t="shared" si="2"/>
        <v>1.0158</v>
      </c>
      <c r="Q11" s="5"/>
      <c r="R11" s="1">
        <f t="shared" si="3"/>
        <v>110.73833431777909</v>
      </c>
      <c r="S11" s="1">
        <f t="shared" si="4"/>
        <v>110.73833431777909</v>
      </c>
      <c r="T11" s="1">
        <v>1.2214</v>
      </c>
      <c r="U11" s="1">
        <v>0.71179999999999999</v>
      </c>
      <c r="V11" s="1">
        <v>2.6046</v>
      </c>
      <c r="W11" s="1">
        <v>4.6021999999999998</v>
      </c>
      <c r="X11" s="17" t="s">
        <v>31</v>
      </c>
      <c r="Y11" s="1">
        <f t="shared" si="5"/>
        <v>0</v>
      </c>
      <c r="Z11" s="1">
        <f t="shared" si="7"/>
        <v>1.0158</v>
      </c>
      <c r="AA11" s="19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38</v>
      </c>
      <c r="B12" s="1" t="s">
        <v>29</v>
      </c>
      <c r="C12" s="1">
        <v>55.207999999999998</v>
      </c>
      <c r="D12" s="1">
        <v>48.48</v>
      </c>
      <c r="E12" s="1">
        <v>13.484</v>
      </c>
      <c r="F12" s="1">
        <v>80.697999999999993</v>
      </c>
      <c r="G12" s="7">
        <v>1</v>
      </c>
      <c r="H12" s="1">
        <v>60</v>
      </c>
      <c r="I12" s="1" t="s">
        <v>30</v>
      </c>
      <c r="J12" s="1"/>
      <c r="K12" s="1">
        <v>12.2</v>
      </c>
      <c r="L12" s="1">
        <f t="shared" si="1"/>
        <v>1.2840000000000007</v>
      </c>
      <c r="M12" s="1"/>
      <c r="N12" s="1"/>
      <c r="O12" s="1">
        <v>0</v>
      </c>
      <c r="P12" s="1">
        <f t="shared" si="2"/>
        <v>2.6968000000000001</v>
      </c>
      <c r="Q12" s="5"/>
      <c r="R12" s="1">
        <f t="shared" si="3"/>
        <v>29.923613171165822</v>
      </c>
      <c r="S12" s="1">
        <f t="shared" si="4"/>
        <v>29.923613171165822</v>
      </c>
      <c r="T12" s="1">
        <v>5.9462000000000002</v>
      </c>
      <c r="U12" s="1">
        <v>6.7349999999999994</v>
      </c>
      <c r="V12" s="1">
        <v>2.7080000000000002</v>
      </c>
      <c r="W12" s="1">
        <v>5.3704000000000001</v>
      </c>
      <c r="X12" s="17" t="s">
        <v>31</v>
      </c>
      <c r="Y12" s="1">
        <f t="shared" si="5"/>
        <v>0</v>
      </c>
      <c r="Z12" s="1">
        <f t="shared" si="7"/>
        <v>2.6968000000000001</v>
      </c>
      <c r="AA12" s="19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39</v>
      </c>
      <c r="B13" s="1" t="s">
        <v>29</v>
      </c>
      <c r="C13" s="1">
        <v>78.135000000000005</v>
      </c>
      <c r="D13" s="1">
        <v>301.12700000000001</v>
      </c>
      <c r="E13" s="1">
        <v>111.48699999999999</v>
      </c>
      <c r="F13" s="1">
        <v>244.72800000000001</v>
      </c>
      <c r="G13" s="7">
        <v>1</v>
      </c>
      <c r="H13" s="1">
        <v>60</v>
      </c>
      <c r="I13" s="1" t="s">
        <v>30</v>
      </c>
      <c r="J13" s="1"/>
      <c r="K13" s="1">
        <v>107.5</v>
      </c>
      <c r="L13" s="1">
        <f t="shared" si="1"/>
        <v>3.9869999999999948</v>
      </c>
      <c r="M13" s="1"/>
      <c r="N13" s="1"/>
      <c r="O13" s="1">
        <v>120</v>
      </c>
      <c r="P13" s="1">
        <f t="shared" si="2"/>
        <v>22.2974</v>
      </c>
      <c r="Q13" s="5"/>
      <c r="R13" s="1">
        <f t="shared" si="3"/>
        <v>16.357422838537229</v>
      </c>
      <c r="S13" s="1">
        <f t="shared" si="4"/>
        <v>16.357422838537229</v>
      </c>
      <c r="T13" s="1">
        <v>27.268599999999999</v>
      </c>
      <c r="U13" s="1">
        <v>33.433999999999997</v>
      </c>
      <c r="V13" s="1">
        <v>26.646599999999999</v>
      </c>
      <c r="W13" s="1">
        <v>28.103400000000001</v>
      </c>
      <c r="X13" s="1"/>
      <c r="Y13" s="1">
        <f t="shared" si="5"/>
        <v>0</v>
      </c>
      <c r="Z13" s="1">
        <f t="shared" si="7"/>
        <v>22.2974</v>
      </c>
      <c r="AA13" s="19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40</v>
      </c>
      <c r="B14" s="1" t="s">
        <v>33</v>
      </c>
      <c r="C14" s="1">
        <v>120</v>
      </c>
      <c r="D14" s="1">
        <v>53</v>
      </c>
      <c r="E14" s="1">
        <v>73</v>
      </c>
      <c r="F14" s="1">
        <v>94</v>
      </c>
      <c r="G14" s="7">
        <v>0.25</v>
      </c>
      <c r="H14" s="1">
        <v>120</v>
      </c>
      <c r="I14" s="1" t="s">
        <v>30</v>
      </c>
      <c r="J14" s="1"/>
      <c r="K14" s="1">
        <v>78</v>
      </c>
      <c r="L14" s="1">
        <f t="shared" si="1"/>
        <v>-5</v>
      </c>
      <c r="M14" s="1"/>
      <c r="N14" s="1"/>
      <c r="O14" s="1">
        <v>100</v>
      </c>
      <c r="P14" s="1">
        <f t="shared" si="2"/>
        <v>14.6</v>
      </c>
      <c r="Q14" s="5">
        <f t="shared" si="6"/>
        <v>10.400000000000006</v>
      </c>
      <c r="R14" s="1">
        <f t="shared" si="3"/>
        <v>14</v>
      </c>
      <c r="S14" s="1">
        <f t="shared" si="4"/>
        <v>13.287671232876713</v>
      </c>
      <c r="T14" s="1">
        <v>15.4</v>
      </c>
      <c r="U14" s="1">
        <v>15.8</v>
      </c>
      <c r="V14" s="1">
        <v>17.600000000000001</v>
      </c>
      <c r="W14" s="1">
        <v>20.2</v>
      </c>
      <c r="X14" s="1"/>
      <c r="Y14" s="1">
        <f t="shared" si="5"/>
        <v>2.6000000000000014</v>
      </c>
      <c r="Z14" s="1">
        <f t="shared" si="7"/>
        <v>3.65</v>
      </c>
      <c r="AA14" s="19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41</v>
      </c>
      <c r="B15" s="1" t="s">
        <v>29</v>
      </c>
      <c r="C15" s="1">
        <v>73.355000000000004</v>
      </c>
      <c r="D15" s="1">
        <v>74.656000000000006</v>
      </c>
      <c r="E15" s="1">
        <v>39.536000000000001</v>
      </c>
      <c r="F15" s="1">
        <v>94.679000000000002</v>
      </c>
      <c r="G15" s="7">
        <v>1</v>
      </c>
      <c r="H15" s="1">
        <v>60</v>
      </c>
      <c r="I15" s="1" t="s">
        <v>30</v>
      </c>
      <c r="J15" s="1"/>
      <c r="K15" s="1">
        <v>37</v>
      </c>
      <c r="L15" s="1">
        <f t="shared" si="1"/>
        <v>2.5360000000000014</v>
      </c>
      <c r="M15" s="1"/>
      <c r="N15" s="1"/>
      <c r="O15" s="1">
        <v>0</v>
      </c>
      <c r="P15" s="1">
        <f t="shared" si="2"/>
        <v>7.9072000000000005</v>
      </c>
      <c r="Q15" s="5">
        <f t="shared" si="6"/>
        <v>16.021799999999999</v>
      </c>
      <c r="R15" s="1">
        <f t="shared" si="3"/>
        <v>14</v>
      </c>
      <c r="S15" s="1">
        <f t="shared" si="4"/>
        <v>11.973770740590853</v>
      </c>
      <c r="T15" s="1">
        <v>7.9296000000000006</v>
      </c>
      <c r="U15" s="1">
        <v>0</v>
      </c>
      <c r="V15" s="1">
        <v>4.8827999999999996</v>
      </c>
      <c r="W15" s="1">
        <v>7.3674000000000008</v>
      </c>
      <c r="X15" s="1"/>
      <c r="Y15" s="1">
        <f t="shared" si="5"/>
        <v>16.021799999999999</v>
      </c>
      <c r="Z15" s="1">
        <f t="shared" si="7"/>
        <v>7.9072000000000005</v>
      </c>
      <c r="AA15" s="19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42</v>
      </c>
      <c r="B16" s="1" t="s">
        <v>33</v>
      </c>
      <c r="C16" s="1">
        <v>166</v>
      </c>
      <c r="D16" s="1">
        <v>96</v>
      </c>
      <c r="E16" s="1">
        <v>65</v>
      </c>
      <c r="F16" s="1">
        <v>195</v>
      </c>
      <c r="G16" s="7">
        <v>0.25</v>
      </c>
      <c r="H16" s="1">
        <v>120</v>
      </c>
      <c r="I16" s="1" t="s">
        <v>30</v>
      </c>
      <c r="J16" s="1"/>
      <c r="K16" s="1">
        <v>74</v>
      </c>
      <c r="L16" s="1">
        <f t="shared" si="1"/>
        <v>-9</v>
      </c>
      <c r="M16" s="1"/>
      <c r="N16" s="1"/>
      <c r="O16" s="1">
        <v>100</v>
      </c>
      <c r="P16" s="1">
        <f t="shared" si="2"/>
        <v>13</v>
      </c>
      <c r="Q16" s="5"/>
      <c r="R16" s="1">
        <f t="shared" si="3"/>
        <v>22.692307692307693</v>
      </c>
      <c r="S16" s="1">
        <f t="shared" si="4"/>
        <v>22.692307692307693</v>
      </c>
      <c r="T16" s="1">
        <v>20.2</v>
      </c>
      <c r="U16" s="1">
        <v>18</v>
      </c>
      <c r="V16" s="1">
        <v>18.399999999999999</v>
      </c>
      <c r="W16" s="1">
        <v>19.600000000000001</v>
      </c>
      <c r="X16" s="17" t="s">
        <v>31</v>
      </c>
      <c r="Y16" s="1">
        <f t="shared" si="5"/>
        <v>0</v>
      </c>
      <c r="Z16" s="1">
        <f t="shared" si="7"/>
        <v>3.25</v>
      </c>
      <c r="AA16" s="19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43</v>
      </c>
      <c r="B17" s="1" t="s">
        <v>33</v>
      </c>
      <c r="C17" s="1">
        <v>71</v>
      </c>
      <c r="D17" s="1">
        <v>100</v>
      </c>
      <c r="E17" s="1">
        <v>41</v>
      </c>
      <c r="F17" s="1">
        <v>129</v>
      </c>
      <c r="G17" s="7">
        <v>0.4</v>
      </c>
      <c r="H17" s="1">
        <v>60</v>
      </c>
      <c r="I17" s="1" t="s">
        <v>30</v>
      </c>
      <c r="J17" s="1"/>
      <c r="K17" s="1">
        <v>42</v>
      </c>
      <c r="L17" s="1">
        <f t="shared" si="1"/>
        <v>-1</v>
      </c>
      <c r="M17" s="1"/>
      <c r="N17" s="1"/>
      <c r="O17" s="1">
        <v>0</v>
      </c>
      <c r="P17" s="1">
        <f t="shared" si="2"/>
        <v>8.1999999999999993</v>
      </c>
      <c r="Q17" s="5"/>
      <c r="R17" s="1">
        <f t="shared" si="3"/>
        <v>15.731707317073171</v>
      </c>
      <c r="S17" s="1">
        <f t="shared" si="4"/>
        <v>15.731707317073171</v>
      </c>
      <c r="T17" s="1">
        <v>5.4</v>
      </c>
      <c r="U17" s="1">
        <v>6</v>
      </c>
      <c r="V17" s="1">
        <v>11.6</v>
      </c>
      <c r="W17" s="1">
        <v>4.4000000000000004</v>
      </c>
      <c r="X17" s="18" t="s">
        <v>52</v>
      </c>
      <c r="Y17" s="1">
        <f t="shared" si="5"/>
        <v>0</v>
      </c>
      <c r="Z17" s="1">
        <f t="shared" si="7"/>
        <v>3.28</v>
      </c>
      <c r="AA17" s="19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44</v>
      </c>
      <c r="B18" s="1" t="s">
        <v>29</v>
      </c>
      <c r="C18" s="1">
        <v>144.64699999999999</v>
      </c>
      <c r="D18" s="1">
        <v>30.42</v>
      </c>
      <c r="E18" s="1">
        <v>72.620999999999995</v>
      </c>
      <c r="F18" s="1">
        <v>77.239000000000004</v>
      </c>
      <c r="G18" s="7">
        <v>1</v>
      </c>
      <c r="H18" s="1">
        <v>45</v>
      </c>
      <c r="I18" s="1" t="s">
        <v>30</v>
      </c>
      <c r="J18" s="1"/>
      <c r="K18" s="1">
        <v>64.5</v>
      </c>
      <c r="L18" s="1">
        <f t="shared" si="1"/>
        <v>8.1209999999999951</v>
      </c>
      <c r="M18" s="1"/>
      <c r="N18" s="1"/>
      <c r="O18" s="1">
        <v>240</v>
      </c>
      <c r="P18" s="1">
        <f t="shared" si="2"/>
        <v>14.524199999999999</v>
      </c>
      <c r="Q18" s="5"/>
      <c r="R18" s="1">
        <f t="shared" si="3"/>
        <v>21.842098015725483</v>
      </c>
      <c r="S18" s="1">
        <f t="shared" si="4"/>
        <v>21.842098015725483</v>
      </c>
      <c r="T18" s="1">
        <v>21.8306</v>
      </c>
      <c r="U18" s="1">
        <v>18.452000000000002</v>
      </c>
      <c r="V18" s="1">
        <v>23.300999999999998</v>
      </c>
      <c r="W18" s="1">
        <v>10.481400000000001</v>
      </c>
      <c r="X18" s="18" t="s">
        <v>52</v>
      </c>
      <c r="Y18" s="1">
        <f t="shared" si="5"/>
        <v>0</v>
      </c>
      <c r="Z18" s="1">
        <f t="shared" si="7"/>
        <v>14.524199999999999</v>
      </c>
      <c r="AA18" s="19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45</v>
      </c>
      <c r="B19" s="1" t="s">
        <v>33</v>
      </c>
      <c r="C19" s="1">
        <v>422</v>
      </c>
      <c r="D19" s="1">
        <v>2</v>
      </c>
      <c r="E19" s="1">
        <v>42</v>
      </c>
      <c r="F19" s="1">
        <v>225</v>
      </c>
      <c r="G19" s="7">
        <v>0.4</v>
      </c>
      <c r="H19" s="1">
        <v>45</v>
      </c>
      <c r="I19" s="1" t="s">
        <v>30</v>
      </c>
      <c r="J19" s="1"/>
      <c r="K19" s="1">
        <v>45</v>
      </c>
      <c r="L19" s="1">
        <f t="shared" si="1"/>
        <v>-3</v>
      </c>
      <c r="M19" s="1"/>
      <c r="N19" s="1"/>
      <c r="O19" s="1">
        <v>0</v>
      </c>
      <c r="P19" s="1">
        <f t="shared" si="2"/>
        <v>8.4</v>
      </c>
      <c r="Q19" s="5"/>
      <c r="R19" s="1">
        <f t="shared" si="3"/>
        <v>26.785714285714285</v>
      </c>
      <c r="S19" s="1">
        <f t="shared" si="4"/>
        <v>26.785714285714285</v>
      </c>
      <c r="T19" s="1">
        <v>7</v>
      </c>
      <c r="U19" s="1">
        <v>29</v>
      </c>
      <c r="V19" s="1">
        <v>0</v>
      </c>
      <c r="W19" s="1">
        <v>0</v>
      </c>
      <c r="X19" s="18" t="s">
        <v>149</v>
      </c>
      <c r="Y19" s="1">
        <f t="shared" si="5"/>
        <v>0</v>
      </c>
      <c r="Z19" s="1">
        <f t="shared" si="7"/>
        <v>3.3600000000000003</v>
      </c>
      <c r="AA19" s="19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46</v>
      </c>
      <c r="B20" s="1" t="s">
        <v>29</v>
      </c>
      <c r="C20" s="1">
        <v>18.971</v>
      </c>
      <c r="D20" s="1">
        <v>179.18700000000001</v>
      </c>
      <c r="E20" s="1">
        <v>47.540999999999997</v>
      </c>
      <c r="F20" s="1">
        <v>132.976</v>
      </c>
      <c r="G20" s="7">
        <v>1</v>
      </c>
      <c r="H20" s="1">
        <v>60</v>
      </c>
      <c r="I20" s="1" t="s">
        <v>30</v>
      </c>
      <c r="J20" s="1"/>
      <c r="K20" s="1">
        <v>45</v>
      </c>
      <c r="L20" s="1">
        <f t="shared" si="1"/>
        <v>2.5409999999999968</v>
      </c>
      <c r="M20" s="1"/>
      <c r="N20" s="1"/>
      <c r="O20" s="1">
        <v>18</v>
      </c>
      <c r="P20" s="1">
        <f t="shared" si="2"/>
        <v>9.5081999999999987</v>
      </c>
      <c r="Q20" s="5"/>
      <c r="R20" s="1">
        <f t="shared" si="3"/>
        <v>15.878504869481082</v>
      </c>
      <c r="S20" s="1">
        <f t="shared" si="4"/>
        <v>15.878504869481082</v>
      </c>
      <c r="T20" s="1">
        <v>13.8462</v>
      </c>
      <c r="U20" s="1">
        <v>16.053000000000001</v>
      </c>
      <c r="V20" s="1">
        <v>18.135999999999999</v>
      </c>
      <c r="W20" s="1">
        <v>11.881</v>
      </c>
      <c r="X20" s="1"/>
      <c r="Y20" s="1">
        <f t="shared" si="5"/>
        <v>0</v>
      </c>
      <c r="Z20" s="1">
        <f t="shared" si="7"/>
        <v>9.5081999999999987</v>
      </c>
      <c r="AA20" s="19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47</v>
      </c>
      <c r="B21" s="1" t="s">
        <v>33</v>
      </c>
      <c r="C21" s="1">
        <v>-8</v>
      </c>
      <c r="D21" s="1">
        <v>193</v>
      </c>
      <c r="E21" s="1">
        <v>71</v>
      </c>
      <c r="F21" s="1">
        <v>105</v>
      </c>
      <c r="G21" s="7">
        <v>0.22</v>
      </c>
      <c r="H21" s="1">
        <v>120</v>
      </c>
      <c r="I21" s="1" t="s">
        <v>30</v>
      </c>
      <c r="J21" s="1"/>
      <c r="K21" s="1">
        <v>108</v>
      </c>
      <c r="L21" s="1">
        <f t="shared" si="1"/>
        <v>-37</v>
      </c>
      <c r="M21" s="1"/>
      <c r="N21" s="1"/>
      <c r="O21" s="1">
        <v>200</v>
      </c>
      <c r="P21" s="1">
        <f t="shared" si="2"/>
        <v>14.2</v>
      </c>
      <c r="Q21" s="5"/>
      <c r="R21" s="1">
        <f t="shared" si="3"/>
        <v>21.47887323943662</v>
      </c>
      <c r="S21" s="1">
        <f t="shared" si="4"/>
        <v>21.47887323943662</v>
      </c>
      <c r="T21" s="1">
        <v>0</v>
      </c>
      <c r="U21" s="1">
        <v>0.2</v>
      </c>
      <c r="V21" s="1">
        <v>25</v>
      </c>
      <c r="W21" s="1">
        <v>28.8</v>
      </c>
      <c r="X21" s="1" t="s">
        <v>48</v>
      </c>
      <c r="Y21" s="1">
        <f t="shared" si="5"/>
        <v>0</v>
      </c>
      <c r="Z21" s="1">
        <f t="shared" si="7"/>
        <v>3.1239999999999997</v>
      </c>
      <c r="AA21" s="19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49</v>
      </c>
      <c r="B22" s="1" t="s">
        <v>29</v>
      </c>
      <c r="C22" s="1">
        <v>30.6</v>
      </c>
      <c r="D22" s="1">
        <v>0.59799999999999998</v>
      </c>
      <c r="E22" s="1">
        <v>8.2379999999999995</v>
      </c>
      <c r="F22" s="1">
        <v>17.611999999999998</v>
      </c>
      <c r="G22" s="7">
        <v>1</v>
      </c>
      <c r="H22" s="1">
        <v>40</v>
      </c>
      <c r="I22" s="1" t="s">
        <v>30</v>
      </c>
      <c r="J22" s="1"/>
      <c r="K22" s="1">
        <v>8.6</v>
      </c>
      <c r="L22" s="1">
        <f t="shared" si="1"/>
        <v>-0.3620000000000001</v>
      </c>
      <c r="M22" s="1"/>
      <c r="N22" s="1"/>
      <c r="O22" s="1">
        <v>4</v>
      </c>
      <c r="P22" s="1">
        <f t="shared" si="2"/>
        <v>1.6476</v>
      </c>
      <c r="Q22" s="5"/>
      <c r="R22" s="1">
        <f t="shared" si="3"/>
        <v>13.117261471230881</v>
      </c>
      <c r="S22" s="1">
        <f t="shared" si="4"/>
        <v>13.117261471230881</v>
      </c>
      <c r="T22" s="1">
        <v>2.0428000000000002</v>
      </c>
      <c r="U22" s="1">
        <v>0.76639999999999997</v>
      </c>
      <c r="V22" s="1">
        <v>0</v>
      </c>
      <c r="W22" s="1">
        <v>0</v>
      </c>
      <c r="X22" s="1"/>
      <c r="Y22" s="1">
        <f t="shared" si="5"/>
        <v>0</v>
      </c>
      <c r="Z22" s="1">
        <f t="shared" si="7"/>
        <v>1.6476</v>
      </c>
      <c r="AA22" s="19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50</v>
      </c>
      <c r="B23" s="1" t="s">
        <v>29</v>
      </c>
      <c r="C23" s="1">
        <v>20.440000000000001</v>
      </c>
      <c r="D23" s="1">
        <v>40.286000000000001</v>
      </c>
      <c r="E23" s="1">
        <v>28.282</v>
      </c>
      <c r="F23" s="1">
        <v>22.902999999999999</v>
      </c>
      <c r="G23" s="7">
        <v>1</v>
      </c>
      <c r="H23" s="1">
        <v>60</v>
      </c>
      <c r="I23" s="1" t="s">
        <v>30</v>
      </c>
      <c r="J23" s="1"/>
      <c r="K23" s="1">
        <v>27.1</v>
      </c>
      <c r="L23" s="1">
        <f t="shared" si="1"/>
        <v>1.1819999999999986</v>
      </c>
      <c r="M23" s="1"/>
      <c r="N23" s="1"/>
      <c r="O23" s="1">
        <v>120</v>
      </c>
      <c r="P23" s="1">
        <f t="shared" si="2"/>
        <v>5.6563999999999997</v>
      </c>
      <c r="Q23" s="5"/>
      <c r="R23" s="1">
        <f t="shared" si="3"/>
        <v>25.263948801357753</v>
      </c>
      <c r="S23" s="1">
        <f t="shared" si="4"/>
        <v>25.263948801357753</v>
      </c>
      <c r="T23" s="1">
        <v>10.5684</v>
      </c>
      <c r="U23" s="1">
        <v>7.7824</v>
      </c>
      <c r="V23" s="1">
        <v>8.2713999999999999</v>
      </c>
      <c r="W23" s="1">
        <v>5.6849999999999996</v>
      </c>
      <c r="X23" s="1"/>
      <c r="Y23" s="1">
        <f t="shared" si="5"/>
        <v>0</v>
      </c>
      <c r="Z23" s="1">
        <f t="shared" si="7"/>
        <v>5.6563999999999997</v>
      </c>
      <c r="AA23" s="19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51</v>
      </c>
      <c r="B24" s="1" t="s">
        <v>33</v>
      </c>
      <c r="C24" s="1">
        <v>86</v>
      </c>
      <c r="D24" s="1">
        <v>320</v>
      </c>
      <c r="E24" s="1">
        <v>50</v>
      </c>
      <c r="F24" s="1">
        <v>348</v>
      </c>
      <c r="G24" s="7">
        <v>0.09</v>
      </c>
      <c r="H24" s="1">
        <v>60</v>
      </c>
      <c r="I24" s="1" t="s">
        <v>30</v>
      </c>
      <c r="J24" s="1"/>
      <c r="K24" s="1">
        <v>50</v>
      </c>
      <c r="L24" s="1">
        <f t="shared" si="1"/>
        <v>0</v>
      </c>
      <c r="M24" s="1"/>
      <c r="N24" s="1"/>
      <c r="O24" s="1">
        <v>0</v>
      </c>
      <c r="P24" s="1">
        <f t="shared" si="2"/>
        <v>10</v>
      </c>
      <c r="Q24" s="5"/>
      <c r="R24" s="1">
        <f t="shared" si="3"/>
        <v>34.799999999999997</v>
      </c>
      <c r="S24" s="1">
        <f t="shared" si="4"/>
        <v>34.799999999999997</v>
      </c>
      <c r="T24" s="1">
        <v>9.8000000000000007</v>
      </c>
      <c r="U24" s="1">
        <v>30.2</v>
      </c>
      <c r="V24" s="1">
        <v>0.4</v>
      </c>
      <c r="W24" s="1">
        <v>3.8</v>
      </c>
      <c r="X24" s="17" t="s">
        <v>31</v>
      </c>
      <c r="Y24" s="1">
        <f t="shared" si="5"/>
        <v>0</v>
      </c>
      <c r="Z24" s="1">
        <f t="shared" si="7"/>
        <v>0.89999999999999991</v>
      </c>
      <c r="AA24" s="19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53</v>
      </c>
      <c r="B25" s="1" t="s">
        <v>33</v>
      </c>
      <c r="C25" s="1">
        <v>136</v>
      </c>
      <c r="D25" s="1">
        <v>80</v>
      </c>
      <c r="E25" s="1">
        <v>31</v>
      </c>
      <c r="F25" s="1">
        <v>178</v>
      </c>
      <c r="G25" s="7">
        <v>0.09</v>
      </c>
      <c r="H25" s="1">
        <v>45</v>
      </c>
      <c r="I25" s="1" t="s">
        <v>30</v>
      </c>
      <c r="J25" s="1"/>
      <c r="K25" s="1">
        <v>34</v>
      </c>
      <c r="L25" s="1">
        <f t="shared" si="1"/>
        <v>-3</v>
      </c>
      <c r="M25" s="1"/>
      <c r="N25" s="1"/>
      <c r="O25" s="1">
        <v>0</v>
      </c>
      <c r="P25" s="1">
        <f t="shared" si="2"/>
        <v>6.2</v>
      </c>
      <c r="Q25" s="5"/>
      <c r="R25" s="1">
        <f t="shared" si="3"/>
        <v>28.709677419354836</v>
      </c>
      <c r="S25" s="1">
        <f t="shared" si="4"/>
        <v>28.709677419354836</v>
      </c>
      <c r="T25" s="1">
        <v>5.6</v>
      </c>
      <c r="U25" s="1">
        <v>7.2</v>
      </c>
      <c r="V25" s="1">
        <v>0</v>
      </c>
      <c r="W25" s="1">
        <v>0</v>
      </c>
      <c r="X25" s="17" t="s">
        <v>31</v>
      </c>
      <c r="Y25" s="1">
        <f t="shared" si="5"/>
        <v>0</v>
      </c>
      <c r="Z25" s="1">
        <f t="shared" si="7"/>
        <v>0.55799999999999994</v>
      </c>
      <c r="AA25" s="19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54</v>
      </c>
      <c r="B26" s="1" t="s">
        <v>33</v>
      </c>
      <c r="C26" s="1">
        <v>53</v>
      </c>
      <c r="D26" s="1">
        <v>48</v>
      </c>
      <c r="E26" s="1">
        <v>7</v>
      </c>
      <c r="F26" s="1">
        <v>90</v>
      </c>
      <c r="G26" s="7">
        <v>0.15</v>
      </c>
      <c r="H26" s="1">
        <v>45</v>
      </c>
      <c r="I26" s="1" t="s">
        <v>30</v>
      </c>
      <c r="J26" s="1"/>
      <c r="K26" s="1">
        <v>7</v>
      </c>
      <c r="L26" s="1">
        <f t="shared" si="1"/>
        <v>0</v>
      </c>
      <c r="M26" s="1"/>
      <c r="N26" s="1"/>
      <c r="O26" s="1">
        <v>0</v>
      </c>
      <c r="P26" s="1">
        <f t="shared" si="2"/>
        <v>1.4</v>
      </c>
      <c r="Q26" s="5"/>
      <c r="R26" s="1">
        <f t="shared" si="3"/>
        <v>64.285714285714292</v>
      </c>
      <c r="S26" s="1">
        <f t="shared" si="4"/>
        <v>64.285714285714292</v>
      </c>
      <c r="T26" s="1">
        <v>4.8</v>
      </c>
      <c r="U26" s="1">
        <v>0.6</v>
      </c>
      <c r="V26" s="1">
        <v>0</v>
      </c>
      <c r="W26" s="1">
        <v>0</v>
      </c>
      <c r="X26" s="17" t="s">
        <v>31</v>
      </c>
      <c r="Y26" s="1">
        <f t="shared" si="5"/>
        <v>0</v>
      </c>
      <c r="Z26" s="1">
        <f t="shared" si="7"/>
        <v>0.21</v>
      </c>
      <c r="AA26" s="19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55</v>
      </c>
      <c r="B27" s="1" t="s">
        <v>29</v>
      </c>
      <c r="C27" s="1">
        <v>497.26400000000001</v>
      </c>
      <c r="D27" s="1">
        <v>4.7629999999999999</v>
      </c>
      <c r="E27" s="1">
        <v>28.756</v>
      </c>
      <c r="F27" s="1">
        <v>468.50799999999998</v>
      </c>
      <c r="G27" s="7">
        <v>1</v>
      </c>
      <c r="H27" s="1">
        <v>45</v>
      </c>
      <c r="I27" s="1" t="s">
        <v>30</v>
      </c>
      <c r="J27" s="1"/>
      <c r="K27" s="1">
        <v>33</v>
      </c>
      <c r="L27" s="1">
        <f t="shared" si="1"/>
        <v>-4.2439999999999998</v>
      </c>
      <c r="M27" s="1"/>
      <c r="N27" s="1"/>
      <c r="O27" s="1">
        <v>0</v>
      </c>
      <c r="P27" s="1">
        <f t="shared" si="2"/>
        <v>5.7511999999999999</v>
      </c>
      <c r="Q27" s="5"/>
      <c r="R27" s="1">
        <f t="shared" si="3"/>
        <v>81.462651272777848</v>
      </c>
      <c r="S27" s="1">
        <f t="shared" si="4"/>
        <v>81.462651272777848</v>
      </c>
      <c r="T27" s="1">
        <v>5.7784000000000004</v>
      </c>
      <c r="U27" s="1">
        <v>5.4177999999999997</v>
      </c>
      <c r="V27" s="1">
        <v>2.5611999999999999</v>
      </c>
      <c r="W27" s="1">
        <v>11.716200000000001</v>
      </c>
      <c r="X27" s="17" t="s">
        <v>31</v>
      </c>
      <c r="Y27" s="1">
        <f t="shared" si="5"/>
        <v>0</v>
      </c>
      <c r="Z27" s="1">
        <f t="shared" si="7"/>
        <v>5.7511999999999999</v>
      </c>
      <c r="AA27" s="19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56</v>
      </c>
      <c r="B28" s="1" t="s">
        <v>33</v>
      </c>
      <c r="C28" s="1">
        <v>7</v>
      </c>
      <c r="D28" s="1">
        <v>130</v>
      </c>
      <c r="E28" s="1">
        <v>34</v>
      </c>
      <c r="F28" s="1">
        <v>95</v>
      </c>
      <c r="G28" s="7">
        <v>0.4</v>
      </c>
      <c r="H28" s="1">
        <v>60</v>
      </c>
      <c r="I28" s="1" t="s">
        <v>30</v>
      </c>
      <c r="J28" s="1"/>
      <c r="K28" s="1">
        <v>47</v>
      </c>
      <c r="L28" s="1">
        <f t="shared" si="1"/>
        <v>-13</v>
      </c>
      <c r="M28" s="1"/>
      <c r="N28" s="1"/>
      <c r="O28" s="1">
        <v>0</v>
      </c>
      <c r="P28" s="1">
        <f t="shared" si="2"/>
        <v>6.8</v>
      </c>
      <c r="Q28" s="5"/>
      <c r="R28" s="1">
        <f t="shared" si="3"/>
        <v>13.970588235294118</v>
      </c>
      <c r="S28" s="1">
        <f t="shared" si="4"/>
        <v>13.970588235294118</v>
      </c>
      <c r="T28" s="1">
        <v>7.8</v>
      </c>
      <c r="U28" s="1">
        <v>9.1999999999999993</v>
      </c>
      <c r="V28" s="1">
        <v>15.4</v>
      </c>
      <c r="W28" s="1">
        <v>6.6</v>
      </c>
      <c r="X28" s="1"/>
      <c r="Y28" s="1">
        <f t="shared" si="5"/>
        <v>0</v>
      </c>
      <c r="Z28" s="1">
        <f t="shared" si="7"/>
        <v>2.72</v>
      </c>
      <c r="AA28" s="19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57</v>
      </c>
      <c r="B29" s="1" t="s">
        <v>33</v>
      </c>
      <c r="C29" s="1">
        <v>234</v>
      </c>
      <c r="D29" s="1">
        <v>148</v>
      </c>
      <c r="E29" s="1">
        <v>151</v>
      </c>
      <c r="F29" s="1">
        <v>218</v>
      </c>
      <c r="G29" s="7">
        <v>0.4</v>
      </c>
      <c r="H29" s="1">
        <v>60</v>
      </c>
      <c r="I29" s="1" t="s">
        <v>30</v>
      </c>
      <c r="J29" s="1"/>
      <c r="K29" s="1">
        <v>155</v>
      </c>
      <c r="L29" s="1">
        <f t="shared" si="1"/>
        <v>-4</v>
      </c>
      <c r="M29" s="1"/>
      <c r="N29" s="1"/>
      <c r="O29" s="1">
        <v>250</v>
      </c>
      <c r="P29" s="1">
        <f t="shared" si="2"/>
        <v>30.2</v>
      </c>
      <c r="Q29" s="5"/>
      <c r="R29" s="1">
        <f t="shared" si="3"/>
        <v>15.496688741721854</v>
      </c>
      <c r="S29" s="1">
        <f t="shared" si="4"/>
        <v>15.496688741721854</v>
      </c>
      <c r="T29" s="1">
        <v>35</v>
      </c>
      <c r="U29" s="1">
        <v>36.799999999999997</v>
      </c>
      <c r="V29" s="1">
        <v>34.6</v>
      </c>
      <c r="W29" s="1">
        <v>42</v>
      </c>
      <c r="X29" s="1"/>
      <c r="Y29" s="1">
        <f t="shared" si="5"/>
        <v>0</v>
      </c>
      <c r="Z29" s="1">
        <f t="shared" si="7"/>
        <v>12.08</v>
      </c>
      <c r="AA29" s="19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58</v>
      </c>
      <c r="B30" s="1" t="s">
        <v>33</v>
      </c>
      <c r="C30" s="1">
        <v>201</v>
      </c>
      <c r="D30" s="1">
        <v>195</v>
      </c>
      <c r="E30" s="1">
        <v>119</v>
      </c>
      <c r="F30" s="1">
        <v>264</v>
      </c>
      <c r="G30" s="7">
        <v>0.4</v>
      </c>
      <c r="H30" s="1">
        <v>60</v>
      </c>
      <c r="I30" s="1" t="s">
        <v>30</v>
      </c>
      <c r="J30" s="1"/>
      <c r="K30" s="1">
        <v>123</v>
      </c>
      <c r="L30" s="1">
        <f t="shared" si="1"/>
        <v>-4</v>
      </c>
      <c r="M30" s="1"/>
      <c r="N30" s="1"/>
      <c r="O30" s="1">
        <v>300</v>
      </c>
      <c r="P30" s="1">
        <f t="shared" si="2"/>
        <v>23.8</v>
      </c>
      <c r="Q30" s="5"/>
      <c r="R30" s="1">
        <f t="shared" si="3"/>
        <v>23.697478991596636</v>
      </c>
      <c r="S30" s="1">
        <f t="shared" si="4"/>
        <v>23.697478991596636</v>
      </c>
      <c r="T30" s="1">
        <v>39.6</v>
      </c>
      <c r="U30" s="1">
        <v>32.200000000000003</v>
      </c>
      <c r="V30" s="1">
        <v>43.8</v>
      </c>
      <c r="W30" s="1">
        <v>39</v>
      </c>
      <c r="X30" s="17" t="s">
        <v>31</v>
      </c>
      <c r="Y30" s="1">
        <f t="shared" si="5"/>
        <v>0</v>
      </c>
      <c r="Z30" s="1">
        <f t="shared" si="7"/>
        <v>9.5200000000000014</v>
      </c>
      <c r="AA30" s="19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3" t="s">
        <v>59</v>
      </c>
      <c r="B31" s="13" t="s">
        <v>33</v>
      </c>
      <c r="C31" s="13">
        <v>-19</v>
      </c>
      <c r="D31" s="13">
        <v>24</v>
      </c>
      <c r="E31" s="16">
        <v>3</v>
      </c>
      <c r="F31" s="16">
        <v>-1</v>
      </c>
      <c r="G31" s="14">
        <v>0</v>
      </c>
      <c r="H31" s="13">
        <v>45</v>
      </c>
      <c r="I31" s="13" t="s">
        <v>60</v>
      </c>
      <c r="J31" s="13" t="s">
        <v>61</v>
      </c>
      <c r="K31" s="13">
        <v>8</v>
      </c>
      <c r="L31" s="13">
        <f t="shared" si="1"/>
        <v>-5</v>
      </c>
      <c r="M31" s="13"/>
      <c r="N31" s="13"/>
      <c r="O31" s="13">
        <v>0</v>
      </c>
      <c r="P31" s="13">
        <f t="shared" si="2"/>
        <v>0.6</v>
      </c>
      <c r="Q31" s="15"/>
      <c r="R31" s="13">
        <f t="shared" si="3"/>
        <v>-1.6666666666666667</v>
      </c>
      <c r="S31" s="13">
        <f t="shared" si="4"/>
        <v>-1.6666666666666667</v>
      </c>
      <c r="T31" s="13">
        <v>3.8</v>
      </c>
      <c r="U31" s="13">
        <v>3.2</v>
      </c>
      <c r="V31" s="13">
        <v>2.2000000000000002</v>
      </c>
      <c r="W31" s="13">
        <v>1.8</v>
      </c>
      <c r="X31" s="13" t="s">
        <v>62</v>
      </c>
      <c r="Y31" s="13"/>
      <c r="Z31" s="1">
        <f t="shared" si="7"/>
        <v>0</v>
      </c>
      <c r="AA31" s="19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63</v>
      </c>
      <c r="B32" s="1" t="s">
        <v>29</v>
      </c>
      <c r="C32" s="1">
        <v>143.86199999999999</v>
      </c>
      <c r="D32" s="1"/>
      <c r="E32" s="1">
        <v>28.388999999999999</v>
      </c>
      <c r="F32" s="1">
        <v>101.399</v>
      </c>
      <c r="G32" s="7">
        <v>1</v>
      </c>
      <c r="H32" s="1">
        <v>60</v>
      </c>
      <c r="I32" s="1" t="s">
        <v>30</v>
      </c>
      <c r="J32" s="1"/>
      <c r="K32" s="1">
        <v>69</v>
      </c>
      <c r="L32" s="1">
        <f t="shared" si="1"/>
        <v>-40.611000000000004</v>
      </c>
      <c r="M32" s="1"/>
      <c r="N32" s="1"/>
      <c r="O32" s="1">
        <v>0</v>
      </c>
      <c r="P32" s="1">
        <f t="shared" si="2"/>
        <v>5.6777999999999995</v>
      </c>
      <c r="Q32" s="5"/>
      <c r="R32" s="1">
        <f t="shared" si="3"/>
        <v>17.858853781394203</v>
      </c>
      <c r="S32" s="1">
        <f t="shared" si="4"/>
        <v>17.858853781394203</v>
      </c>
      <c r="T32" s="1">
        <v>7.6383999999999999</v>
      </c>
      <c r="U32" s="1">
        <v>9.8628</v>
      </c>
      <c r="V32" s="1">
        <v>8.6745999999999999</v>
      </c>
      <c r="W32" s="1">
        <v>14.520200000000001</v>
      </c>
      <c r="X32" s="17" t="s">
        <v>31</v>
      </c>
      <c r="Y32" s="1">
        <f t="shared" ref="Y32:Y39" si="8">G32*Q32</f>
        <v>0</v>
      </c>
      <c r="Z32" s="1">
        <f t="shared" si="7"/>
        <v>5.6777999999999995</v>
      </c>
      <c r="AA32" s="19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64</v>
      </c>
      <c r="B33" s="1" t="s">
        <v>29</v>
      </c>
      <c r="C33" s="1">
        <v>59.886000000000003</v>
      </c>
      <c r="D33" s="1"/>
      <c r="E33" s="1">
        <v>6.335</v>
      </c>
      <c r="F33" s="1">
        <v>53.551000000000002</v>
      </c>
      <c r="G33" s="7">
        <v>1</v>
      </c>
      <c r="H33" s="1">
        <v>45</v>
      </c>
      <c r="I33" s="1" t="s">
        <v>30</v>
      </c>
      <c r="J33" s="1"/>
      <c r="K33" s="1">
        <v>10</v>
      </c>
      <c r="L33" s="1">
        <f t="shared" si="1"/>
        <v>-3.665</v>
      </c>
      <c r="M33" s="1"/>
      <c r="N33" s="1"/>
      <c r="O33" s="1">
        <v>0</v>
      </c>
      <c r="P33" s="1">
        <f t="shared" si="2"/>
        <v>1.2669999999999999</v>
      </c>
      <c r="Q33" s="5"/>
      <c r="R33" s="1">
        <f t="shared" si="3"/>
        <v>42.265982636148387</v>
      </c>
      <c r="S33" s="1">
        <f t="shared" si="4"/>
        <v>42.265982636148387</v>
      </c>
      <c r="T33" s="1">
        <v>1.0569999999999999</v>
      </c>
      <c r="U33" s="1">
        <v>0.8448</v>
      </c>
      <c r="V33" s="1">
        <v>0.83539999999999992</v>
      </c>
      <c r="W33" s="1">
        <v>0</v>
      </c>
      <c r="X33" s="17" t="s">
        <v>31</v>
      </c>
      <c r="Y33" s="1">
        <f t="shared" si="8"/>
        <v>0</v>
      </c>
      <c r="Z33" s="1">
        <f t="shared" si="7"/>
        <v>1.2669999999999999</v>
      </c>
      <c r="AA33" s="19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65</v>
      </c>
      <c r="B34" s="1" t="s">
        <v>29</v>
      </c>
      <c r="C34" s="1">
        <v>76.161000000000001</v>
      </c>
      <c r="D34" s="1">
        <v>6.3559999999999999</v>
      </c>
      <c r="E34" s="1">
        <v>8.3810000000000002</v>
      </c>
      <c r="F34" s="1">
        <v>67.872</v>
      </c>
      <c r="G34" s="7">
        <v>1</v>
      </c>
      <c r="H34" s="1">
        <v>45</v>
      </c>
      <c r="I34" s="1" t="s">
        <v>30</v>
      </c>
      <c r="J34" s="1"/>
      <c r="K34" s="1">
        <v>21</v>
      </c>
      <c r="L34" s="1">
        <f t="shared" si="1"/>
        <v>-12.619</v>
      </c>
      <c r="M34" s="1"/>
      <c r="N34" s="1"/>
      <c r="O34" s="1">
        <v>38</v>
      </c>
      <c r="P34" s="1">
        <f t="shared" si="2"/>
        <v>1.6762000000000001</v>
      </c>
      <c r="Q34" s="5"/>
      <c r="R34" s="1">
        <f t="shared" si="3"/>
        <v>63.161913852762197</v>
      </c>
      <c r="S34" s="1">
        <f t="shared" si="4"/>
        <v>63.161913852762197</v>
      </c>
      <c r="T34" s="1">
        <v>7.3105999999999991</v>
      </c>
      <c r="U34" s="1">
        <v>0.20519999999999999</v>
      </c>
      <c r="V34" s="1">
        <v>1.4379999999999999</v>
      </c>
      <c r="W34" s="1">
        <v>4.5678000000000001</v>
      </c>
      <c r="X34" s="17" t="s">
        <v>31</v>
      </c>
      <c r="Y34" s="1">
        <f t="shared" si="8"/>
        <v>0</v>
      </c>
      <c r="Z34" s="1">
        <f t="shared" si="7"/>
        <v>1.6762000000000001</v>
      </c>
      <c r="AA34" s="19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66</v>
      </c>
      <c r="B35" s="1" t="s">
        <v>29</v>
      </c>
      <c r="C35" s="1">
        <v>59.622</v>
      </c>
      <c r="D35" s="1"/>
      <c r="E35" s="1">
        <v>4.218</v>
      </c>
      <c r="F35" s="1">
        <v>53.277000000000001</v>
      </c>
      <c r="G35" s="7">
        <v>1</v>
      </c>
      <c r="H35" s="1">
        <v>45</v>
      </c>
      <c r="I35" s="1" t="s">
        <v>30</v>
      </c>
      <c r="J35" s="1"/>
      <c r="K35" s="1">
        <v>5</v>
      </c>
      <c r="L35" s="1">
        <f t="shared" si="1"/>
        <v>-0.78200000000000003</v>
      </c>
      <c r="M35" s="1"/>
      <c r="N35" s="1"/>
      <c r="O35" s="1">
        <v>0</v>
      </c>
      <c r="P35" s="1">
        <f t="shared" si="2"/>
        <v>0.84360000000000002</v>
      </c>
      <c r="Q35" s="5"/>
      <c r="R35" s="1">
        <f t="shared" si="3"/>
        <v>63.154338549075391</v>
      </c>
      <c r="S35" s="1">
        <f t="shared" si="4"/>
        <v>63.154338549075391</v>
      </c>
      <c r="T35" s="1">
        <v>1.2729999999999999</v>
      </c>
      <c r="U35" s="1">
        <v>1.0702</v>
      </c>
      <c r="V35" s="1">
        <v>1.0384</v>
      </c>
      <c r="W35" s="1">
        <v>0.83240000000000003</v>
      </c>
      <c r="X35" s="17" t="s">
        <v>31</v>
      </c>
      <c r="Y35" s="1">
        <f t="shared" si="8"/>
        <v>0</v>
      </c>
      <c r="Z35" s="1">
        <f t="shared" si="7"/>
        <v>0.84360000000000002</v>
      </c>
      <c r="AA35" s="19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67</v>
      </c>
      <c r="B36" s="1" t="s">
        <v>33</v>
      </c>
      <c r="C36" s="1">
        <v>77</v>
      </c>
      <c r="D36" s="1">
        <v>250</v>
      </c>
      <c r="E36" s="1">
        <v>31</v>
      </c>
      <c r="F36" s="1">
        <v>280</v>
      </c>
      <c r="G36" s="7">
        <v>0.3</v>
      </c>
      <c r="H36" s="1">
        <v>45</v>
      </c>
      <c r="I36" s="1" t="s">
        <v>30</v>
      </c>
      <c r="J36" s="1"/>
      <c r="K36" s="1">
        <v>89</v>
      </c>
      <c r="L36" s="1">
        <f t="shared" si="1"/>
        <v>-58</v>
      </c>
      <c r="M36" s="1"/>
      <c r="N36" s="1"/>
      <c r="O36" s="1">
        <v>0</v>
      </c>
      <c r="P36" s="1">
        <f t="shared" si="2"/>
        <v>6.2</v>
      </c>
      <c r="Q36" s="5"/>
      <c r="R36" s="1">
        <f t="shared" si="3"/>
        <v>45.161290322580641</v>
      </c>
      <c r="S36" s="1">
        <f t="shared" si="4"/>
        <v>45.161290322580641</v>
      </c>
      <c r="T36" s="1">
        <v>18</v>
      </c>
      <c r="U36" s="1">
        <v>26.6</v>
      </c>
      <c r="V36" s="1">
        <v>12</v>
      </c>
      <c r="W36" s="1">
        <v>10.8</v>
      </c>
      <c r="X36" s="18" t="s">
        <v>150</v>
      </c>
      <c r="Y36" s="1">
        <f t="shared" si="8"/>
        <v>0</v>
      </c>
      <c r="Z36" s="1">
        <f t="shared" si="7"/>
        <v>1.8599999999999999</v>
      </c>
      <c r="AA36" s="19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68</v>
      </c>
      <c r="B37" s="1" t="s">
        <v>29</v>
      </c>
      <c r="C37" s="1">
        <v>59.79</v>
      </c>
      <c r="D37" s="1">
        <v>1.1220000000000001</v>
      </c>
      <c r="E37" s="1">
        <v>7.8040000000000003</v>
      </c>
      <c r="F37" s="1">
        <v>51.985999999999997</v>
      </c>
      <c r="G37" s="7">
        <v>1</v>
      </c>
      <c r="H37" s="1"/>
      <c r="I37" s="1" t="s">
        <v>30</v>
      </c>
      <c r="J37" s="1"/>
      <c r="K37" s="1">
        <v>10</v>
      </c>
      <c r="L37" s="1">
        <f t="shared" si="1"/>
        <v>-2.1959999999999997</v>
      </c>
      <c r="M37" s="1"/>
      <c r="N37" s="1"/>
      <c r="O37" s="1">
        <v>0</v>
      </c>
      <c r="P37" s="1">
        <f t="shared" si="2"/>
        <v>1.5608</v>
      </c>
      <c r="Q37" s="5"/>
      <c r="R37" s="1">
        <f t="shared" si="3"/>
        <v>33.307278318810866</v>
      </c>
      <c r="S37" s="1">
        <f t="shared" si="4"/>
        <v>33.307278318810866</v>
      </c>
      <c r="T37" s="1">
        <v>0.93200000000000005</v>
      </c>
      <c r="U37" s="1">
        <v>0.89200000000000002</v>
      </c>
      <c r="V37" s="1">
        <v>0</v>
      </c>
      <c r="W37" s="1">
        <v>0</v>
      </c>
      <c r="X37" s="17" t="s">
        <v>31</v>
      </c>
      <c r="Y37" s="1">
        <f t="shared" si="8"/>
        <v>0</v>
      </c>
      <c r="Z37" s="1">
        <f t="shared" si="7"/>
        <v>1.5608</v>
      </c>
      <c r="AA37" s="19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69</v>
      </c>
      <c r="B38" s="1" t="s">
        <v>29</v>
      </c>
      <c r="C38" s="1">
        <v>224.85300000000001</v>
      </c>
      <c r="D38" s="1">
        <v>4.5810000000000004</v>
      </c>
      <c r="E38" s="1">
        <v>7.6609999999999996</v>
      </c>
      <c r="F38" s="1">
        <v>106.752</v>
      </c>
      <c r="G38" s="7">
        <v>1</v>
      </c>
      <c r="H38" s="1">
        <v>45</v>
      </c>
      <c r="I38" s="1" t="s">
        <v>30</v>
      </c>
      <c r="J38" s="1"/>
      <c r="K38" s="1">
        <v>15</v>
      </c>
      <c r="L38" s="1">
        <f t="shared" ref="L38:L69" si="9">E38-K38</f>
        <v>-7.3390000000000004</v>
      </c>
      <c r="M38" s="1"/>
      <c r="N38" s="1"/>
      <c r="O38" s="1">
        <v>0</v>
      </c>
      <c r="P38" s="1">
        <f t="shared" ref="P38:P69" si="10">E38/5</f>
        <v>1.5322</v>
      </c>
      <c r="Q38" s="5"/>
      <c r="R38" s="1">
        <f t="shared" ref="R38:R69" si="11">(F38+O38+Q38)/P38</f>
        <v>69.672366531784363</v>
      </c>
      <c r="S38" s="1">
        <f t="shared" ref="S38:S69" si="12">(F38+O38)/P38</f>
        <v>69.672366531784363</v>
      </c>
      <c r="T38" s="1">
        <v>0</v>
      </c>
      <c r="U38" s="1">
        <v>0.61060000000000003</v>
      </c>
      <c r="V38" s="1">
        <v>0</v>
      </c>
      <c r="W38" s="1">
        <v>2.5089999999999999</v>
      </c>
      <c r="X38" s="17" t="s">
        <v>31</v>
      </c>
      <c r="Y38" s="1">
        <f t="shared" si="8"/>
        <v>0</v>
      </c>
      <c r="Z38" s="1">
        <f t="shared" si="7"/>
        <v>1.5322</v>
      </c>
      <c r="AA38" s="19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70</v>
      </c>
      <c r="B39" s="1" t="s">
        <v>33</v>
      </c>
      <c r="C39" s="1">
        <v>33</v>
      </c>
      <c r="D39" s="1">
        <v>559</v>
      </c>
      <c r="E39" s="1">
        <v>321</v>
      </c>
      <c r="F39" s="1">
        <v>261</v>
      </c>
      <c r="G39" s="7">
        <v>0.35</v>
      </c>
      <c r="H39" s="1">
        <v>45</v>
      </c>
      <c r="I39" s="1" t="s">
        <v>30</v>
      </c>
      <c r="J39" s="1"/>
      <c r="K39" s="1">
        <v>381</v>
      </c>
      <c r="L39" s="1">
        <f t="shared" si="9"/>
        <v>-60</v>
      </c>
      <c r="M39" s="1"/>
      <c r="N39" s="1"/>
      <c r="O39" s="1">
        <v>540</v>
      </c>
      <c r="P39" s="1">
        <f t="shared" si="10"/>
        <v>64.2</v>
      </c>
      <c r="Q39" s="5">
        <f t="shared" ref="Q39" si="13">14*P39-O39-F39</f>
        <v>97.800000000000068</v>
      </c>
      <c r="R39" s="1">
        <f t="shared" si="11"/>
        <v>14</v>
      </c>
      <c r="S39" s="1">
        <f t="shared" si="12"/>
        <v>12.476635514018691</v>
      </c>
      <c r="T39" s="1">
        <v>73.2</v>
      </c>
      <c r="U39" s="1">
        <v>56.2</v>
      </c>
      <c r="V39" s="1">
        <v>77.2</v>
      </c>
      <c r="W39" s="1">
        <v>61.4</v>
      </c>
      <c r="X39" s="1"/>
      <c r="Y39" s="1">
        <f t="shared" si="8"/>
        <v>34.230000000000018</v>
      </c>
      <c r="Z39" s="1">
        <f t="shared" si="7"/>
        <v>22.47</v>
      </c>
      <c r="AA39" s="19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3" t="s">
        <v>71</v>
      </c>
      <c r="B40" s="13" t="s">
        <v>33</v>
      </c>
      <c r="C40" s="13">
        <v>-47</v>
      </c>
      <c r="D40" s="13">
        <v>91</v>
      </c>
      <c r="E40" s="16">
        <v>39</v>
      </c>
      <c r="F40" s="13"/>
      <c r="G40" s="14">
        <v>0</v>
      </c>
      <c r="H40" s="13">
        <v>45</v>
      </c>
      <c r="I40" s="13" t="s">
        <v>60</v>
      </c>
      <c r="J40" s="13" t="s">
        <v>72</v>
      </c>
      <c r="K40" s="13">
        <v>39</v>
      </c>
      <c r="L40" s="13">
        <f t="shared" si="9"/>
        <v>0</v>
      </c>
      <c r="M40" s="13"/>
      <c r="N40" s="13"/>
      <c r="O40" s="13">
        <v>0</v>
      </c>
      <c r="P40" s="13">
        <f t="shared" si="10"/>
        <v>7.8</v>
      </c>
      <c r="Q40" s="15"/>
      <c r="R40" s="13">
        <f t="shared" si="11"/>
        <v>0</v>
      </c>
      <c r="S40" s="13">
        <f t="shared" si="12"/>
        <v>0</v>
      </c>
      <c r="T40" s="13">
        <v>9.4</v>
      </c>
      <c r="U40" s="13">
        <v>9.4</v>
      </c>
      <c r="V40" s="13">
        <v>0</v>
      </c>
      <c r="W40" s="13">
        <v>0</v>
      </c>
      <c r="X40" s="13" t="s">
        <v>73</v>
      </c>
      <c r="Y40" s="13"/>
      <c r="Z40" s="1">
        <f t="shared" si="7"/>
        <v>0</v>
      </c>
      <c r="AA40" s="19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74</v>
      </c>
      <c r="B41" s="1" t="s">
        <v>33</v>
      </c>
      <c r="C41" s="1">
        <v>150</v>
      </c>
      <c r="D41" s="1">
        <v>62</v>
      </c>
      <c r="E41" s="1">
        <v>55</v>
      </c>
      <c r="F41" s="1">
        <v>144</v>
      </c>
      <c r="G41" s="7">
        <v>0.41</v>
      </c>
      <c r="H41" s="1">
        <v>45</v>
      </c>
      <c r="I41" s="1" t="s">
        <v>30</v>
      </c>
      <c r="J41" s="1"/>
      <c r="K41" s="1">
        <v>70</v>
      </c>
      <c r="L41" s="1">
        <f t="shared" si="9"/>
        <v>-15</v>
      </c>
      <c r="M41" s="1"/>
      <c r="N41" s="1"/>
      <c r="O41" s="1">
        <v>38</v>
      </c>
      <c r="P41" s="1">
        <f t="shared" si="10"/>
        <v>11</v>
      </c>
      <c r="Q41" s="5"/>
      <c r="R41" s="1">
        <f t="shared" si="11"/>
        <v>16.545454545454547</v>
      </c>
      <c r="S41" s="1">
        <f t="shared" si="12"/>
        <v>16.545454545454547</v>
      </c>
      <c r="T41" s="1">
        <v>15.4</v>
      </c>
      <c r="U41" s="1">
        <v>18.399999999999999</v>
      </c>
      <c r="V41" s="1">
        <v>15.8</v>
      </c>
      <c r="W41" s="1">
        <v>20.8</v>
      </c>
      <c r="X41" s="1"/>
      <c r="Y41" s="1">
        <f t="shared" ref="Y41:Y49" si="14">G41*Q41</f>
        <v>0</v>
      </c>
      <c r="Z41" s="1">
        <f t="shared" si="7"/>
        <v>4.51</v>
      </c>
      <c r="AA41" s="19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75</v>
      </c>
      <c r="B42" s="1" t="s">
        <v>33</v>
      </c>
      <c r="C42" s="1">
        <v>-2</v>
      </c>
      <c r="D42" s="1">
        <v>66</v>
      </c>
      <c r="E42" s="1"/>
      <c r="F42" s="1">
        <v>64</v>
      </c>
      <c r="G42" s="7">
        <v>0.36</v>
      </c>
      <c r="H42" s="1">
        <v>45</v>
      </c>
      <c r="I42" s="1" t="s">
        <v>151</v>
      </c>
      <c r="J42" s="1"/>
      <c r="K42" s="1">
        <v>5</v>
      </c>
      <c r="L42" s="1">
        <f t="shared" si="9"/>
        <v>-5</v>
      </c>
      <c r="M42" s="1"/>
      <c r="N42" s="1"/>
      <c r="O42" s="1">
        <v>30</v>
      </c>
      <c r="P42" s="1">
        <f t="shared" si="10"/>
        <v>0</v>
      </c>
      <c r="Q42" s="5"/>
      <c r="R42" s="1" t="e">
        <f t="shared" si="11"/>
        <v>#DIV/0!</v>
      </c>
      <c r="S42" s="1" t="e">
        <f t="shared" si="12"/>
        <v>#DIV/0!</v>
      </c>
      <c r="T42" s="1">
        <v>3</v>
      </c>
      <c r="U42" s="1">
        <v>5.4</v>
      </c>
      <c r="V42" s="1">
        <v>0.4</v>
      </c>
      <c r="W42" s="1">
        <v>3.2</v>
      </c>
      <c r="X42" s="17" t="s">
        <v>31</v>
      </c>
      <c r="Y42" s="1">
        <f t="shared" si="14"/>
        <v>0</v>
      </c>
      <c r="Z42" s="1">
        <f t="shared" si="7"/>
        <v>0</v>
      </c>
      <c r="AA42" s="19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76</v>
      </c>
      <c r="B43" s="1" t="s">
        <v>33</v>
      </c>
      <c r="C43" s="1">
        <v>16</v>
      </c>
      <c r="D43" s="1">
        <v>16</v>
      </c>
      <c r="E43" s="1"/>
      <c r="F43" s="1">
        <v>32</v>
      </c>
      <c r="G43" s="7">
        <v>0.33</v>
      </c>
      <c r="H43" s="1">
        <v>45</v>
      </c>
      <c r="I43" s="1" t="s">
        <v>30</v>
      </c>
      <c r="J43" s="1"/>
      <c r="K43" s="1">
        <v>23</v>
      </c>
      <c r="L43" s="1">
        <f t="shared" si="9"/>
        <v>-23</v>
      </c>
      <c r="M43" s="1"/>
      <c r="N43" s="1"/>
      <c r="O43" s="1">
        <v>130</v>
      </c>
      <c r="P43" s="1">
        <f t="shared" si="10"/>
        <v>0</v>
      </c>
      <c r="Q43" s="5"/>
      <c r="R43" s="1" t="e">
        <f t="shared" si="11"/>
        <v>#DIV/0!</v>
      </c>
      <c r="S43" s="1" t="e">
        <f t="shared" si="12"/>
        <v>#DIV/0!</v>
      </c>
      <c r="T43" s="1">
        <v>8.1999999999999993</v>
      </c>
      <c r="U43" s="1">
        <v>4.8</v>
      </c>
      <c r="V43" s="1">
        <v>4.5999999999999996</v>
      </c>
      <c r="W43" s="1">
        <v>4.8</v>
      </c>
      <c r="X43" s="17" t="s">
        <v>31</v>
      </c>
      <c r="Y43" s="1">
        <f t="shared" si="14"/>
        <v>0</v>
      </c>
      <c r="Z43" s="1">
        <f t="shared" si="7"/>
        <v>0</v>
      </c>
      <c r="AA43" s="19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77</v>
      </c>
      <c r="B44" s="1" t="s">
        <v>33</v>
      </c>
      <c r="C44" s="1">
        <v>19</v>
      </c>
      <c r="D44" s="1">
        <v>76</v>
      </c>
      <c r="E44" s="1">
        <v>30</v>
      </c>
      <c r="F44" s="1">
        <v>62</v>
      </c>
      <c r="G44" s="7">
        <v>0.4</v>
      </c>
      <c r="H44" s="1">
        <v>60</v>
      </c>
      <c r="I44" s="1" t="s">
        <v>30</v>
      </c>
      <c r="J44" s="1"/>
      <c r="K44" s="1">
        <v>31</v>
      </c>
      <c r="L44" s="1">
        <f t="shared" si="9"/>
        <v>-1</v>
      </c>
      <c r="M44" s="1"/>
      <c r="N44" s="1"/>
      <c r="O44" s="1">
        <v>100</v>
      </c>
      <c r="P44" s="1">
        <f t="shared" si="10"/>
        <v>6</v>
      </c>
      <c r="Q44" s="5"/>
      <c r="R44" s="1">
        <f t="shared" si="11"/>
        <v>27</v>
      </c>
      <c r="S44" s="1">
        <f t="shared" si="12"/>
        <v>27</v>
      </c>
      <c r="T44" s="1">
        <v>9.8000000000000007</v>
      </c>
      <c r="U44" s="1">
        <v>8.4</v>
      </c>
      <c r="V44" s="1">
        <v>12.6</v>
      </c>
      <c r="W44" s="1">
        <v>5.4</v>
      </c>
      <c r="X44" s="1"/>
      <c r="Y44" s="1">
        <f t="shared" si="14"/>
        <v>0</v>
      </c>
      <c r="Z44" s="1">
        <f t="shared" si="7"/>
        <v>2.4000000000000004</v>
      </c>
      <c r="AA44" s="19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78</v>
      </c>
      <c r="B45" s="1" t="s">
        <v>33</v>
      </c>
      <c r="C45" s="1">
        <v>16</v>
      </c>
      <c r="D45" s="1"/>
      <c r="E45" s="1"/>
      <c r="F45" s="1">
        <v>16</v>
      </c>
      <c r="G45" s="7">
        <v>0.33</v>
      </c>
      <c r="H45" s="1">
        <v>45</v>
      </c>
      <c r="I45" s="1" t="s">
        <v>30</v>
      </c>
      <c r="J45" s="1"/>
      <c r="K45" s="1"/>
      <c r="L45" s="1">
        <f t="shared" si="9"/>
        <v>0</v>
      </c>
      <c r="M45" s="1"/>
      <c r="N45" s="1"/>
      <c r="O45" s="1">
        <v>0</v>
      </c>
      <c r="P45" s="1">
        <f t="shared" si="10"/>
        <v>0</v>
      </c>
      <c r="Q45" s="5"/>
      <c r="R45" s="1" t="e">
        <f t="shared" si="11"/>
        <v>#DIV/0!</v>
      </c>
      <c r="S45" s="1" t="e">
        <f t="shared" si="12"/>
        <v>#DIV/0!</v>
      </c>
      <c r="T45" s="1">
        <v>0</v>
      </c>
      <c r="U45" s="1">
        <v>0</v>
      </c>
      <c r="V45" s="1">
        <v>0</v>
      </c>
      <c r="W45" s="1">
        <v>0</v>
      </c>
      <c r="X45" s="17" t="s">
        <v>31</v>
      </c>
      <c r="Y45" s="1">
        <f t="shared" si="14"/>
        <v>0</v>
      </c>
      <c r="Z45" s="1">
        <f t="shared" si="7"/>
        <v>0</v>
      </c>
      <c r="AA45" s="19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79</v>
      </c>
      <c r="B46" s="1" t="s">
        <v>29</v>
      </c>
      <c r="C46" s="1">
        <v>-8</v>
      </c>
      <c r="D46" s="1">
        <v>130.84899999999999</v>
      </c>
      <c r="E46" s="1">
        <v>18.317</v>
      </c>
      <c r="F46" s="1">
        <v>100.456</v>
      </c>
      <c r="G46" s="7">
        <v>1</v>
      </c>
      <c r="H46" s="1">
        <v>45</v>
      </c>
      <c r="I46" s="1" t="s">
        <v>30</v>
      </c>
      <c r="J46" s="1"/>
      <c r="K46" s="1">
        <v>30</v>
      </c>
      <c r="L46" s="1">
        <f t="shared" si="9"/>
        <v>-11.683</v>
      </c>
      <c r="M46" s="1"/>
      <c r="N46" s="1"/>
      <c r="O46" s="1">
        <v>0</v>
      </c>
      <c r="P46" s="1">
        <f t="shared" si="10"/>
        <v>3.6634000000000002</v>
      </c>
      <c r="Q46" s="5"/>
      <c r="R46" s="1">
        <f t="shared" si="11"/>
        <v>27.421520991428725</v>
      </c>
      <c r="S46" s="1">
        <f t="shared" si="12"/>
        <v>27.421520991428725</v>
      </c>
      <c r="T46" s="1">
        <v>1.6</v>
      </c>
      <c r="U46" s="1">
        <v>9.3769999999999989</v>
      </c>
      <c r="V46" s="1">
        <v>5.5220000000000002</v>
      </c>
      <c r="W46" s="1">
        <v>4.2398000000000007</v>
      </c>
      <c r="X46" s="1"/>
      <c r="Y46" s="1">
        <f t="shared" si="14"/>
        <v>0</v>
      </c>
      <c r="Z46" s="1">
        <f t="shared" si="7"/>
        <v>3.6634000000000002</v>
      </c>
      <c r="AA46" s="19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80</v>
      </c>
      <c r="B47" s="1" t="s">
        <v>33</v>
      </c>
      <c r="C47" s="1">
        <v>219</v>
      </c>
      <c r="D47" s="1">
        <v>30</v>
      </c>
      <c r="E47" s="1">
        <v>22</v>
      </c>
      <c r="F47" s="1">
        <v>207</v>
      </c>
      <c r="G47" s="7">
        <v>0.4</v>
      </c>
      <c r="H47" s="1">
        <v>45</v>
      </c>
      <c r="I47" s="1" t="s">
        <v>30</v>
      </c>
      <c r="J47" s="1"/>
      <c r="K47" s="1">
        <v>48</v>
      </c>
      <c r="L47" s="1">
        <f t="shared" si="9"/>
        <v>-26</v>
      </c>
      <c r="M47" s="1"/>
      <c r="N47" s="1"/>
      <c r="O47" s="1">
        <v>0</v>
      </c>
      <c r="P47" s="1">
        <f t="shared" si="10"/>
        <v>4.4000000000000004</v>
      </c>
      <c r="Q47" s="5"/>
      <c r="R47" s="1">
        <f t="shared" si="11"/>
        <v>47.04545454545454</v>
      </c>
      <c r="S47" s="1">
        <f t="shared" si="12"/>
        <v>47.04545454545454</v>
      </c>
      <c r="T47" s="1">
        <v>3</v>
      </c>
      <c r="U47" s="1">
        <v>4.8</v>
      </c>
      <c r="V47" s="1">
        <v>0</v>
      </c>
      <c r="W47" s="1">
        <v>2.4</v>
      </c>
      <c r="X47" s="17" t="s">
        <v>31</v>
      </c>
      <c r="Y47" s="1">
        <f t="shared" si="14"/>
        <v>0</v>
      </c>
      <c r="Z47" s="1">
        <f t="shared" si="7"/>
        <v>1.7600000000000002</v>
      </c>
      <c r="AA47" s="19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81</v>
      </c>
      <c r="B48" s="1" t="s">
        <v>29</v>
      </c>
      <c r="C48" s="1">
        <v>39.07</v>
      </c>
      <c r="D48" s="1"/>
      <c r="E48" s="1">
        <v>1.5</v>
      </c>
      <c r="F48" s="1">
        <v>37.57</v>
      </c>
      <c r="G48" s="7">
        <v>1</v>
      </c>
      <c r="H48" s="1">
        <v>60</v>
      </c>
      <c r="I48" s="1" t="s">
        <v>30</v>
      </c>
      <c r="J48" s="1"/>
      <c r="K48" s="1">
        <v>1.5</v>
      </c>
      <c r="L48" s="1">
        <f t="shared" si="9"/>
        <v>0</v>
      </c>
      <c r="M48" s="1"/>
      <c r="N48" s="1"/>
      <c r="O48" s="1">
        <v>0</v>
      </c>
      <c r="P48" s="1">
        <f t="shared" si="10"/>
        <v>0.3</v>
      </c>
      <c r="Q48" s="5"/>
      <c r="R48" s="1">
        <f t="shared" si="11"/>
        <v>125.23333333333333</v>
      </c>
      <c r="S48" s="1">
        <f t="shared" si="12"/>
        <v>125.23333333333333</v>
      </c>
      <c r="T48" s="1">
        <v>1.2170000000000001</v>
      </c>
      <c r="U48" s="1">
        <v>1.8149999999999999</v>
      </c>
      <c r="V48" s="1">
        <v>0</v>
      </c>
      <c r="W48" s="1">
        <v>1.222</v>
      </c>
      <c r="X48" s="17" t="s">
        <v>31</v>
      </c>
      <c r="Y48" s="1">
        <f t="shared" si="14"/>
        <v>0</v>
      </c>
      <c r="Z48" s="1">
        <f t="shared" si="7"/>
        <v>0.3</v>
      </c>
      <c r="AA48" s="19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82</v>
      </c>
      <c r="B49" s="1" t="s">
        <v>29</v>
      </c>
      <c r="C49" s="1">
        <v>111.6</v>
      </c>
      <c r="D49" s="1">
        <v>1.028</v>
      </c>
      <c r="E49" s="1">
        <v>9.09</v>
      </c>
      <c r="F49" s="1">
        <v>101.492</v>
      </c>
      <c r="G49" s="7">
        <v>1</v>
      </c>
      <c r="H49" s="1">
        <v>45</v>
      </c>
      <c r="I49" s="1" t="s">
        <v>30</v>
      </c>
      <c r="J49" s="1"/>
      <c r="K49" s="1">
        <v>15</v>
      </c>
      <c r="L49" s="1">
        <f t="shared" si="9"/>
        <v>-5.91</v>
      </c>
      <c r="M49" s="1"/>
      <c r="N49" s="1"/>
      <c r="O49" s="1">
        <v>0</v>
      </c>
      <c r="P49" s="1">
        <f t="shared" si="10"/>
        <v>1.8180000000000001</v>
      </c>
      <c r="Q49" s="5"/>
      <c r="R49" s="1">
        <f t="shared" si="11"/>
        <v>55.826182618261825</v>
      </c>
      <c r="S49" s="1">
        <f t="shared" si="12"/>
        <v>55.826182618261825</v>
      </c>
      <c r="T49" s="1">
        <v>0.59800000000000009</v>
      </c>
      <c r="U49" s="1">
        <v>0.23880000000000001</v>
      </c>
      <c r="V49" s="1">
        <v>0</v>
      </c>
      <c r="W49" s="1">
        <v>0</v>
      </c>
      <c r="X49" s="17" t="s">
        <v>31</v>
      </c>
      <c r="Y49" s="1">
        <f t="shared" si="14"/>
        <v>0</v>
      </c>
      <c r="Z49" s="1">
        <f t="shared" si="7"/>
        <v>1.8180000000000001</v>
      </c>
      <c r="AA49" s="19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3" t="s">
        <v>83</v>
      </c>
      <c r="B50" s="13" t="s">
        <v>33</v>
      </c>
      <c r="C50" s="13">
        <v>111</v>
      </c>
      <c r="D50" s="13"/>
      <c r="E50" s="13"/>
      <c r="F50" s="13">
        <v>111</v>
      </c>
      <c r="G50" s="14">
        <v>0</v>
      </c>
      <c r="H50" s="13"/>
      <c r="I50" s="13" t="s">
        <v>84</v>
      </c>
      <c r="J50" s="13"/>
      <c r="K50" s="13"/>
      <c r="L50" s="13">
        <f t="shared" si="9"/>
        <v>0</v>
      </c>
      <c r="M50" s="13"/>
      <c r="N50" s="13"/>
      <c r="O50" s="13">
        <v>0</v>
      </c>
      <c r="P50" s="13">
        <f t="shared" si="10"/>
        <v>0</v>
      </c>
      <c r="Q50" s="15"/>
      <c r="R50" s="13" t="e">
        <f t="shared" si="11"/>
        <v>#DIV/0!</v>
      </c>
      <c r="S50" s="13" t="e">
        <f t="shared" si="12"/>
        <v>#DIV/0!</v>
      </c>
      <c r="T50" s="13">
        <v>0</v>
      </c>
      <c r="U50" s="13">
        <v>0</v>
      </c>
      <c r="V50" s="13">
        <v>0</v>
      </c>
      <c r="W50" s="13">
        <v>0</v>
      </c>
      <c r="X50" s="13"/>
      <c r="Y50" s="13"/>
      <c r="Z50" s="1">
        <f t="shared" si="7"/>
        <v>0</v>
      </c>
      <c r="AA50" s="19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85</v>
      </c>
      <c r="B51" s="1" t="s">
        <v>33</v>
      </c>
      <c r="C51" s="1">
        <v>130</v>
      </c>
      <c r="D51" s="1">
        <v>1</v>
      </c>
      <c r="E51" s="1">
        <v>39</v>
      </c>
      <c r="F51" s="1">
        <v>91</v>
      </c>
      <c r="G51" s="7">
        <v>0.25</v>
      </c>
      <c r="H51" s="1">
        <v>120</v>
      </c>
      <c r="I51" s="1" t="s">
        <v>30</v>
      </c>
      <c r="J51" s="1"/>
      <c r="K51" s="1">
        <v>45</v>
      </c>
      <c r="L51" s="1">
        <f t="shared" si="9"/>
        <v>-6</v>
      </c>
      <c r="M51" s="1"/>
      <c r="N51" s="1"/>
      <c r="O51" s="1">
        <v>12</v>
      </c>
      <c r="P51" s="1">
        <f t="shared" si="10"/>
        <v>7.8</v>
      </c>
      <c r="Q51" s="5">
        <f t="shared" ref="Q51:Q59" si="15">14*P51-O51-F51</f>
        <v>6.2000000000000028</v>
      </c>
      <c r="R51" s="1">
        <f t="shared" si="11"/>
        <v>14</v>
      </c>
      <c r="S51" s="1">
        <f t="shared" si="12"/>
        <v>13.205128205128206</v>
      </c>
      <c r="T51" s="1">
        <v>9.1999999999999993</v>
      </c>
      <c r="U51" s="1">
        <v>6.4</v>
      </c>
      <c r="V51" s="1">
        <v>8.6</v>
      </c>
      <c r="W51" s="1">
        <v>12.4</v>
      </c>
      <c r="X51" s="1"/>
      <c r="Y51" s="1">
        <f t="shared" ref="Y51:Y61" si="16">G51*Q51</f>
        <v>1.5500000000000007</v>
      </c>
      <c r="Z51" s="1">
        <f t="shared" si="7"/>
        <v>1.95</v>
      </c>
      <c r="AA51" s="19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86</v>
      </c>
      <c r="B52" s="1" t="s">
        <v>29</v>
      </c>
      <c r="C52" s="1">
        <v>44.823</v>
      </c>
      <c r="D52" s="1"/>
      <c r="E52" s="1">
        <v>6.2119999999999997</v>
      </c>
      <c r="F52" s="1">
        <v>36.520000000000003</v>
      </c>
      <c r="G52" s="7">
        <v>1</v>
      </c>
      <c r="H52" s="1">
        <v>45</v>
      </c>
      <c r="I52" s="1" t="s">
        <v>30</v>
      </c>
      <c r="J52" s="1"/>
      <c r="K52" s="1">
        <v>6</v>
      </c>
      <c r="L52" s="1">
        <f t="shared" si="9"/>
        <v>0.21199999999999974</v>
      </c>
      <c r="M52" s="1"/>
      <c r="N52" s="1"/>
      <c r="O52" s="1">
        <v>0</v>
      </c>
      <c r="P52" s="1">
        <f t="shared" si="10"/>
        <v>1.2423999999999999</v>
      </c>
      <c r="Q52" s="5"/>
      <c r="R52" s="1">
        <f t="shared" si="11"/>
        <v>29.394719896973601</v>
      </c>
      <c r="S52" s="1">
        <f t="shared" si="12"/>
        <v>29.394719896973601</v>
      </c>
      <c r="T52" s="1">
        <v>0</v>
      </c>
      <c r="U52" s="1">
        <v>0.20960000000000001</v>
      </c>
      <c r="V52" s="1">
        <v>0.20799999999999999</v>
      </c>
      <c r="W52" s="1">
        <v>0</v>
      </c>
      <c r="X52" s="17" t="s">
        <v>31</v>
      </c>
      <c r="Y52" s="1">
        <f t="shared" si="16"/>
        <v>0</v>
      </c>
      <c r="Z52" s="1">
        <f t="shared" si="7"/>
        <v>1.2423999999999999</v>
      </c>
      <c r="AA52" s="19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87</v>
      </c>
      <c r="B53" s="1" t="s">
        <v>33</v>
      </c>
      <c r="C53" s="1">
        <v>96</v>
      </c>
      <c r="D53" s="1"/>
      <c r="E53" s="1"/>
      <c r="F53" s="1">
        <v>96</v>
      </c>
      <c r="G53" s="7">
        <v>0.27</v>
      </c>
      <c r="H53" s="1"/>
      <c r="I53" s="1" t="s">
        <v>30</v>
      </c>
      <c r="J53" s="1"/>
      <c r="K53" s="1"/>
      <c r="L53" s="1">
        <f t="shared" si="9"/>
        <v>0</v>
      </c>
      <c r="M53" s="1"/>
      <c r="N53" s="1"/>
      <c r="O53" s="1">
        <v>0</v>
      </c>
      <c r="P53" s="1">
        <f t="shared" si="10"/>
        <v>0</v>
      </c>
      <c r="Q53" s="5"/>
      <c r="R53" s="1" t="e">
        <f t="shared" si="11"/>
        <v>#DIV/0!</v>
      </c>
      <c r="S53" s="1" t="e">
        <f t="shared" si="12"/>
        <v>#DIV/0!</v>
      </c>
      <c r="T53" s="1">
        <v>0</v>
      </c>
      <c r="U53" s="1">
        <v>0</v>
      </c>
      <c r="V53" s="1">
        <v>0</v>
      </c>
      <c r="W53" s="1">
        <v>0</v>
      </c>
      <c r="X53" s="17" t="s">
        <v>31</v>
      </c>
      <c r="Y53" s="1">
        <f t="shared" si="16"/>
        <v>0</v>
      </c>
      <c r="Z53" s="1">
        <f t="shared" si="7"/>
        <v>0</v>
      </c>
      <c r="AA53" s="19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88</v>
      </c>
      <c r="B54" s="1" t="s">
        <v>33</v>
      </c>
      <c r="C54" s="1">
        <v>55</v>
      </c>
      <c r="D54" s="1">
        <v>18</v>
      </c>
      <c r="E54" s="1">
        <v>20</v>
      </c>
      <c r="F54" s="1">
        <v>47</v>
      </c>
      <c r="G54" s="7">
        <v>0.3</v>
      </c>
      <c r="H54" s="1">
        <v>60</v>
      </c>
      <c r="I54" s="1" t="s">
        <v>30</v>
      </c>
      <c r="J54" s="1"/>
      <c r="K54" s="1">
        <v>22</v>
      </c>
      <c r="L54" s="1">
        <f t="shared" si="9"/>
        <v>-2</v>
      </c>
      <c r="M54" s="1"/>
      <c r="N54" s="1"/>
      <c r="O54" s="1">
        <v>0</v>
      </c>
      <c r="P54" s="1">
        <f t="shared" si="10"/>
        <v>4</v>
      </c>
      <c r="Q54" s="5">
        <f t="shared" si="15"/>
        <v>9</v>
      </c>
      <c r="R54" s="1">
        <f t="shared" si="11"/>
        <v>14</v>
      </c>
      <c r="S54" s="1">
        <f t="shared" si="12"/>
        <v>11.75</v>
      </c>
      <c r="T54" s="1">
        <v>4.2</v>
      </c>
      <c r="U54" s="1">
        <v>6.8</v>
      </c>
      <c r="V54" s="1">
        <v>2.6</v>
      </c>
      <c r="W54" s="1">
        <v>2</v>
      </c>
      <c r="X54" s="1"/>
      <c r="Y54" s="1">
        <f t="shared" si="16"/>
        <v>2.6999999999999997</v>
      </c>
      <c r="Z54" s="1">
        <f t="shared" si="7"/>
        <v>1.2</v>
      </c>
      <c r="AA54" s="19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89</v>
      </c>
      <c r="B55" s="1" t="s">
        <v>33</v>
      </c>
      <c r="C55" s="1">
        <v>383</v>
      </c>
      <c r="D55" s="1">
        <v>509</v>
      </c>
      <c r="E55" s="1">
        <v>354</v>
      </c>
      <c r="F55" s="1">
        <v>473</v>
      </c>
      <c r="G55" s="7">
        <v>0.41</v>
      </c>
      <c r="H55" s="1">
        <v>50</v>
      </c>
      <c r="I55" s="1" t="s">
        <v>30</v>
      </c>
      <c r="J55" s="1"/>
      <c r="K55" s="1">
        <v>377</v>
      </c>
      <c r="L55" s="1">
        <f t="shared" si="9"/>
        <v>-23</v>
      </c>
      <c r="M55" s="1"/>
      <c r="N55" s="1"/>
      <c r="O55" s="1">
        <v>831</v>
      </c>
      <c r="P55" s="1">
        <f t="shared" si="10"/>
        <v>70.8</v>
      </c>
      <c r="Q55" s="5"/>
      <c r="R55" s="1">
        <f t="shared" si="11"/>
        <v>18.418079096045197</v>
      </c>
      <c r="S55" s="1">
        <f t="shared" si="12"/>
        <v>18.418079096045197</v>
      </c>
      <c r="T55" s="1">
        <v>111.4</v>
      </c>
      <c r="U55" s="1">
        <v>0.8</v>
      </c>
      <c r="V55" s="1">
        <v>19.399999999999999</v>
      </c>
      <c r="W55" s="1">
        <v>92.4</v>
      </c>
      <c r="X55" s="1"/>
      <c r="Y55" s="1">
        <f t="shared" si="16"/>
        <v>0</v>
      </c>
      <c r="Z55" s="1">
        <f t="shared" si="7"/>
        <v>29.027999999999999</v>
      </c>
      <c r="AA55" s="19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90</v>
      </c>
      <c r="B56" s="1" t="s">
        <v>29</v>
      </c>
      <c r="C56" s="1">
        <v>65</v>
      </c>
      <c r="D56" s="1">
        <v>49.204999999999998</v>
      </c>
      <c r="E56" s="1">
        <v>38.476999999999997</v>
      </c>
      <c r="F56" s="1">
        <v>69.477999999999994</v>
      </c>
      <c r="G56" s="7">
        <v>1</v>
      </c>
      <c r="H56" s="1">
        <v>50</v>
      </c>
      <c r="I56" s="1" t="s">
        <v>30</v>
      </c>
      <c r="J56" s="1"/>
      <c r="K56" s="1">
        <v>47</v>
      </c>
      <c r="L56" s="1">
        <f t="shared" si="9"/>
        <v>-8.5230000000000032</v>
      </c>
      <c r="M56" s="1"/>
      <c r="N56" s="1"/>
      <c r="O56" s="1">
        <v>17</v>
      </c>
      <c r="P56" s="1">
        <f t="shared" si="10"/>
        <v>7.6953999999999994</v>
      </c>
      <c r="Q56" s="5">
        <f t="shared" si="15"/>
        <v>21.257599999999996</v>
      </c>
      <c r="R56" s="1">
        <f t="shared" si="11"/>
        <v>14</v>
      </c>
      <c r="S56" s="1">
        <f t="shared" si="12"/>
        <v>11.237622475764743</v>
      </c>
      <c r="T56" s="1">
        <v>7.1261999999999999</v>
      </c>
      <c r="U56" s="1">
        <v>9.2581999999999987</v>
      </c>
      <c r="V56" s="1">
        <v>8.0629999999999988</v>
      </c>
      <c r="W56" s="1">
        <v>10.9092</v>
      </c>
      <c r="X56" s="1"/>
      <c r="Y56" s="1">
        <f t="shared" si="16"/>
        <v>21.257599999999996</v>
      </c>
      <c r="Z56" s="1">
        <f t="shared" si="7"/>
        <v>7.6953999999999994</v>
      </c>
      <c r="AA56" s="19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91</v>
      </c>
      <c r="B57" s="1" t="s">
        <v>33</v>
      </c>
      <c r="C57" s="1">
        <v>-2</v>
      </c>
      <c r="D57" s="1">
        <v>333</v>
      </c>
      <c r="E57" s="1">
        <v>104</v>
      </c>
      <c r="F57" s="1">
        <v>209</v>
      </c>
      <c r="G57" s="7">
        <v>0.35</v>
      </c>
      <c r="H57" s="1">
        <v>50</v>
      </c>
      <c r="I57" s="1" t="s">
        <v>30</v>
      </c>
      <c r="J57" s="1"/>
      <c r="K57" s="1">
        <v>105</v>
      </c>
      <c r="L57" s="1">
        <f t="shared" si="9"/>
        <v>-1</v>
      </c>
      <c r="M57" s="1"/>
      <c r="N57" s="1"/>
      <c r="O57" s="1">
        <v>0</v>
      </c>
      <c r="P57" s="1">
        <f t="shared" si="10"/>
        <v>20.8</v>
      </c>
      <c r="Q57" s="5">
        <f t="shared" si="15"/>
        <v>82.199999999999989</v>
      </c>
      <c r="R57" s="1">
        <f t="shared" si="11"/>
        <v>13.999999999999998</v>
      </c>
      <c r="S57" s="1">
        <f t="shared" si="12"/>
        <v>10.048076923076923</v>
      </c>
      <c r="T57" s="1">
        <v>15.6</v>
      </c>
      <c r="U57" s="1">
        <v>27</v>
      </c>
      <c r="V57" s="1">
        <v>24</v>
      </c>
      <c r="W57" s="1">
        <v>15.8</v>
      </c>
      <c r="X57" s="1"/>
      <c r="Y57" s="1">
        <f t="shared" si="16"/>
        <v>28.769999999999992</v>
      </c>
      <c r="Z57" s="1">
        <f t="shared" si="7"/>
        <v>7.2799999999999994</v>
      </c>
      <c r="AA57" s="19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92</v>
      </c>
      <c r="B58" s="1" t="s">
        <v>29</v>
      </c>
      <c r="C58" s="1">
        <v>6.2690000000000001</v>
      </c>
      <c r="D58" s="1"/>
      <c r="E58" s="1"/>
      <c r="F58" s="1">
        <v>6.2690000000000001</v>
      </c>
      <c r="G58" s="7">
        <v>1</v>
      </c>
      <c r="H58" s="1">
        <v>50</v>
      </c>
      <c r="I58" s="1" t="s">
        <v>30</v>
      </c>
      <c r="J58" s="1"/>
      <c r="K58" s="1"/>
      <c r="L58" s="1">
        <f t="shared" si="9"/>
        <v>0</v>
      </c>
      <c r="M58" s="1"/>
      <c r="N58" s="1"/>
      <c r="O58" s="1">
        <v>0</v>
      </c>
      <c r="P58" s="1">
        <f t="shared" si="10"/>
        <v>0</v>
      </c>
      <c r="Q58" s="5"/>
      <c r="R58" s="1" t="e">
        <f t="shared" si="11"/>
        <v>#DIV/0!</v>
      </c>
      <c r="S58" s="1" t="e">
        <f t="shared" si="12"/>
        <v>#DIV/0!</v>
      </c>
      <c r="T58" s="1">
        <v>0</v>
      </c>
      <c r="U58" s="1">
        <v>0</v>
      </c>
      <c r="V58" s="1">
        <v>0</v>
      </c>
      <c r="W58" s="1">
        <v>0</v>
      </c>
      <c r="X58" s="18" t="s">
        <v>52</v>
      </c>
      <c r="Y58" s="1">
        <f t="shared" si="16"/>
        <v>0</v>
      </c>
      <c r="Z58" s="1">
        <f t="shared" si="7"/>
        <v>0</v>
      </c>
      <c r="AA58" s="19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93</v>
      </c>
      <c r="B59" s="1" t="s">
        <v>33</v>
      </c>
      <c r="C59" s="1">
        <v>195</v>
      </c>
      <c r="D59" s="1">
        <v>654</v>
      </c>
      <c r="E59" s="1">
        <v>247</v>
      </c>
      <c r="F59" s="1">
        <v>582</v>
      </c>
      <c r="G59" s="7">
        <v>0.41</v>
      </c>
      <c r="H59" s="1">
        <v>50</v>
      </c>
      <c r="I59" s="1" t="s">
        <v>30</v>
      </c>
      <c r="J59" s="1"/>
      <c r="K59" s="1">
        <v>251</v>
      </c>
      <c r="L59" s="1">
        <f t="shared" si="9"/>
        <v>-4</v>
      </c>
      <c r="M59" s="1"/>
      <c r="N59" s="1"/>
      <c r="O59" s="1">
        <v>0</v>
      </c>
      <c r="P59" s="1">
        <f t="shared" si="10"/>
        <v>49.4</v>
      </c>
      <c r="Q59" s="5">
        <f t="shared" si="15"/>
        <v>109.60000000000002</v>
      </c>
      <c r="R59" s="1">
        <f t="shared" si="11"/>
        <v>14</v>
      </c>
      <c r="S59" s="1">
        <f t="shared" si="12"/>
        <v>11.781376518218623</v>
      </c>
      <c r="T59" s="1">
        <v>43.6</v>
      </c>
      <c r="U59" s="1">
        <v>50</v>
      </c>
      <c r="V59" s="1">
        <v>69.400000000000006</v>
      </c>
      <c r="W59" s="1">
        <v>57.8</v>
      </c>
      <c r="X59" s="1"/>
      <c r="Y59" s="1">
        <f t="shared" si="16"/>
        <v>44.936000000000007</v>
      </c>
      <c r="Z59" s="1">
        <f t="shared" si="7"/>
        <v>20.253999999999998</v>
      </c>
      <c r="AA59" s="19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94</v>
      </c>
      <c r="B60" s="1" t="s">
        <v>29</v>
      </c>
      <c r="C60" s="1"/>
      <c r="D60" s="1">
        <v>12.544</v>
      </c>
      <c r="E60" s="1">
        <v>1.571</v>
      </c>
      <c r="F60" s="1">
        <v>10.973000000000001</v>
      </c>
      <c r="G60" s="7">
        <v>1</v>
      </c>
      <c r="H60" s="1">
        <v>50</v>
      </c>
      <c r="I60" s="1" t="s">
        <v>30</v>
      </c>
      <c r="J60" s="1"/>
      <c r="K60" s="1">
        <v>9</v>
      </c>
      <c r="L60" s="1">
        <f t="shared" si="9"/>
        <v>-7.4290000000000003</v>
      </c>
      <c r="M60" s="1"/>
      <c r="N60" s="1"/>
      <c r="O60" s="1">
        <v>0</v>
      </c>
      <c r="P60" s="1">
        <f t="shared" si="10"/>
        <v>0.31419999999999998</v>
      </c>
      <c r="Q60" s="5"/>
      <c r="R60" s="1">
        <f t="shared" si="11"/>
        <v>34.923615531508595</v>
      </c>
      <c r="S60" s="1">
        <f t="shared" si="12"/>
        <v>34.923615531508595</v>
      </c>
      <c r="T60" s="1">
        <v>0.61740000000000006</v>
      </c>
      <c r="U60" s="1">
        <v>1.5629999999999999</v>
      </c>
      <c r="V60" s="1">
        <v>0</v>
      </c>
      <c r="W60" s="1">
        <v>0.31519999999999998</v>
      </c>
      <c r="X60" s="1"/>
      <c r="Y60" s="1">
        <f t="shared" si="16"/>
        <v>0</v>
      </c>
      <c r="Z60" s="1">
        <f t="shared" si="7"/>
        <v>0.31419999999999998</v>
      </c>
      <c r="AA60" s="19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95</v>
      </c>
      <c r="B61" s="1" t="s">
        <v>33</v>
      </c>
      <c r="C61" s="1">
        <v>223</v>
      </c>
      <c r="D61" s="1">
        <v>3</v>
      </c>
      <c r="E61" s="1">
        <v>19</v>
      </c>
      <c r="F61" s="1">
        <v>203</v>
      </c>
      <c r="G61" s="7">
        <v>0.3</v>
      </c>
      <c r="H61" s="1">
        <v>50</v>
      </c>
      <c r="I61" s="1" t="s">
        <v>30</v>
      </c>
      <c r="J61" s="1"/>
      <c r="K61" s="1">
        <v>26</v>
      </c>
      <c r="L61" s="1">
        <f t="shared" si="9"/>
        <v>-7</v>
      </c>
      <c r="M61" s="1"/>
      <c r="N61" s="1"/>
      <c r="O61" s="1">
        <v>0</v>
      </c>
      <c r="P61" s="1">
        <f t="shared" si="10"/>
        <v>3.8</v>
      </c>
      <c r="Q61" s="5"/>
      <c r="R61" s="1">
        <f t="shared" si="11"/>
        <v>53.421052631578952</v>
      </c>
      <c r="S61" s="1">
        <f t="shared" si="12"/>
        <v>53.421052631578952</v>
      </c>
      <c r="T61" s="1">
        <v>10.199999999999999</v>
      </c>
      <c r="U61" s="1">
        <v>12</v>
      </c>
      <c r="V61" s="1">
        <v>1.6</v>
      </c>
      <c r="W61" s="1">
        <v>15.2</v>
      </c>
      <c r="X61" s="17" t="s">
        <v>31</v>
      </c>
      <c r="Y61" s="1">
        <f t="shared" si="16"/>
        <v>0</v>
      </c>
      <c r="Z61" s="1">
        <f t="shared" si="7"/>
        <v>1.1399999999999999</v>
      </c>
      <c r="AA61" s="19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3" t="s">
        <v>96</v>
      </c>
      <c r="B62" s="13" t="s">
        <v>33</v>
      </c>
      <c r="C62" s="13">
        <v>-2</v>
      </c>
      <c r="D62" s="13"/>
      <c r="E62" s="13"/>
      <c r="F62" s="13">
        <v>-2</v>
      </c>
      <c r="G62" s="14">
        <v>0</v>
      </c>
      <c r="H62" s="13"/>
      <c r="I62" s="13" t="s">
        <v>84</v>
      </c>
      <c r="J62" s="13"/>
      <c r="K62" s="13">
        <v>2</v>
      </c>
      <c r="L62" s="13">
        <f t="shared" si="9"/>
        <v>-2</v>
      </c>
      <c r="M62" s="13"/>
      <c r="N62" s="13"/>
      <c r="O62" s="13">
        <v>0</v>
      </c>
      <c r="P62" s="13">
        <f t="shared" si="10"/>
        <v>0</v>
      </c>
      <c r="Q62" s="15"/>
      <c r="R62" s="13" t="e">
        <f t="shared" si="11"/>
        <v>#DIV/0!</v>
      </c>
      <c r="S62" s="13" t="e">
        <f t="shared" si="12"/>
        <v>#DIV/0!</v>
      </c>
      <c r="T62" s="13">
        <v>0.4</v>
      </c>
      <c r="U62" s="13">
        <v>0</v>
      </c>
      <c r="V62" s="13">
        <v>0</v>
      </c>
      <c r="W62" s="13">
        <v>0</v>
      </c>
      <c r="X62" s="13"/>
      <c r="Y62" s="13"/>
      <c r="Z62" s="1">
        <f t="shared" si="7"/>
        <v>0</v>
      </c>
      <c r="AA62" s="19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97</v>
      </c>
      <c r="B63" s="1" t="s">
        <v>33</v>
      </c>
      <c r="C63" s="1">
        <v>33</v>
      </c>
      <c r="D63" s="1">
        <v>90</v>
      </c>
      <c r="E63" s="1">
        <v>46</v>
      </c>
      <c r="F63" s="1">
        <v>67</v>
      </c>
      <c r="G63" s="7">
        <v>0.18</v>
      </c>
      <c r="H63" s="1">
        <v>50</v>
      </c>
      <c r="I63" s="1" t="s">
        <v>30</v>
      </c>
      <c r="J63" s="1"/>
      <c r="K63" s="1">
        <v>79</v>
      </c>
      <c r="L63" s="1">
        <f t="shared" si="9"/>
        <v>-33</v>
      </c>
      <c r="M63" s="1"/>
      <c r="N63" s="1"/>
      <c r="O63" s="1">
        <v>40</v>
      </c>
      <c r="P63" s="1">
        <f t="shared" si="10"/>
        <v>9.1999999999999993</v>
      </c>
      <c r="Q63" s="5">
        <f t="shared" ref="Q63" si="17">14*P63-O63-F63</f>
        <v>21.799999999999983</v>
      </c>
      <c r="R63" s="1">
        <f t="shared" si="11"/>
        <v>14</v>
      </c>
      <c r="S63" s="1">
        <f t="shared" si="12"/>
        <v>11.630434782608697</v>
      </c>
      <c r="T63" s="1">
        <v>9.1999999999999993</v>
      </c>
      <c r="U63" s="1">
        <v>12.6</v>
      </c>
      <c r="V63" s="1">
        <v>4.4000000000000004</v>
      </c>
      <c r="W63" s="1">
        <v>11.4</v>
      </c>
      <c r="X63" s="1"/>
      <c r="Y63" s="1">
        <f>G63*Q63</f>
        <v>3.9239999999999968</v>
      </c>
      <c r="Z63" s="1">
        <f t="shared" si="7"/>
        <v>1.6559999999999999</v>
      </c>
      <c r="AA63" s="19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98</v>
      </c>
      <c r="B64" s="1" t="s">
        <v>33</v>
      </c>
      <c r="C64" s="1">
        <v>8</v>
      </c>
      <c r="D64" s="1"/>
      <c r="E64" s="1">
        <v>3</v>
      </c>
      <c r="F64" s="1">
        <v>5</v>
      </c>
      <c r="G64" s="7">
        <v>0.22</v>
      </c>
      <c r="H64" s="1">
        <v>120</v>
      </c>
      <c r="I64" s="1" t="s">
        <v>30</v>
      </c>
      <c r="J64" s="1"/>
      <c r="K64" s="1">
        <v>3</v>
      </c>
      <c r="L64" s="1">
        <f t="shared" si="9"/>
        <v>0</v>
      </c>
      <c r="M64" s="1"/>
      <c r="N64" s="1"/>
      <c r="O64" s="1">
        <v>0</v>
      </c>
      <c r="P64" s="1">
        <f t="shared" si="10"/>
        <v>0.6</v>
      </c>
      <c r="Q64" s="5">
        <v>8</v>
      </c>
      <c r="R64" s="1">
        <f t="shared" si="11"/>
        <v>21.666666666666668</v>
      </c>
      <c r="S64" s="1">
        <f t="shared" si="12"/>
        <v>8.3333333333333339</v>
      </c>
      <c r="T64" s="1">
        <v>0</v>
      </c>
      <c r="U64" s="1">
        <v>0</v>
      </c>
      <c r="V64" s="1">
        <v>0</v>
      </c>
      <c r="W64" s="1">
        <v>0</v>
      </c>
      <c r="X64" s="1"/>
      <c r="Y64" s="1">
        <f>G64*Q64</f>
        <v>1.76</v>
      </c>
      <c r="Z64" s="1">
        <f t="shared" si="7"/>
        <v>0.13200000000000001</v>
      </c>
      <c r="AA64" s="19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3" t="s">
        <v>99</v>
      </c>
      <c r="B65" s="13" t="s">
        <v>29</v>
      </c>
      <c r="C65" s="13"/>
      <c r="D65" s="13"/>
      <c r="E65" s="13"/>
      <c r="F65" s="13"/>
      <c r="G65" s="14">
        <v>0</v>
      </c>
      <c r="H65" s="13"/>
      <c r="I65" s="13" t="s">
        <v>30</v>
      </c>
      <c r="J65" s="13"/>
      <c r="K65" s="13"/>
      <c r="L65" s="13">
        <f t="shared" si="9"/>
        <v>0</v>
      </c>
      <c r="M65" s="13"/>
      <c r="N65" s="13"/>
      <c r="O65" s="13">
        <v>0</v>
      </c>
      <c r="P65" s="13">
        <f t="shared" si="10"/>
        <v>0</v>
      </c>
      <c r="Q65" s="15"/>
      <c r="R65" s="13" t="e">
        <f t="shared" si="11"/>
        <v>#DIV/0!</v>
      </c>
      <c r="S65" s="13" t="e">
        <f t="shared" si="12"/>
        <v>#DIV/0!</v>
      </c>
      <c r="T65" s="13">
        <v>0</v>
      </c>
      <c r="U65" s="13">
        <v>0</v>
      </c>
      <c r="V65" s="13">
        <v>0</v>
      </c>
      <c r="W65" s="13">
        <v>0</v>
      </c>
      <c r="X65" s="13" t="s">
        <v>100</v>
      </c>
      <c r="Y65" s="13"/>
      <c r="Z65" s="1">
        <f t="shared" si="7"/>
        <v>0</v>
      </c>
      <c r="AA65" s="19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101</v>
      </c>
      <c r="B66" s="1" t="s">
        <v>33</v>
      </c>
      <c r="C66" s="1">
        <v>192</v>
      </c>
      <c r="D66" s="1">
        <v>411</v>
      </c>
      <c r="E66" s="1">
        <v>175</v>
      </c>
      <c r="F66" s="1">
        <v>386</v>
      </c>
      <c r="G66" s="7">
        <v>0.35</v>
      </c>
      <c r="H66" s="1">
        <v>50</v>
      </c>
      <c r="I66" s="1" t="s">
        <v>30</v>
      </c>
      <c r="J66" s="1"/>
      <c r="K66" s="1">
        <v>194</v>
      </c>
      <c r="L66" s="1">
        <f t="shared" si="9"/>
        <v>-19</v>
      </c>
      <c r="M66" s="1"/>
      <c r="N66" s="1"/>
      <c r="O66" s="1">
        <v>492</v>
      </c>
      <c r="P66" s="1">
        <f t="shared" si="10"/>
        <v>35</v>
      </c>
      <c r="Q66" s="5"/>
      <c r="R66" s="1">
        <f t="shared" si="11"/>
        <v>25.085714285714285</v>
      </c>
      <c r="S66" s="1">
        <f t="shared" si="12"/>
        <v>25.085714285714285</v>
      </c>
      <c r="T66" s="1">
        <v>71.2</v>
      </c>
      <c r="U66" s="1">
        <v>19.399999999999999</v>
      </c>
      <c r="V66" s="1">
        <v>53</v>
      </c>
      <c r="W66" s="1">
        <v>58.2</v>
      </c>
      <c r="X66" s="17" t="s">
        <v>31</v>
      </c>
      <c r="Y66" s="1">
        <f>G66*Q66</f>
        <v>0</v>
      </c>
      <c r="Z66" s="1">
        <f t="shared" si="7"/>
        <v>12.25</v>
      </c>
      <c r="AA66" s="19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3" t="s">
        <v>102</v>
      </c>
      <c r="B67" s="13" t="s">
        <v>33</v>
      </c>
      <c r="C67" s="13"/>
      <c r="D67" s="13"/>
      <c r="E67" s="13"/>
      <c r="F67" s="13"/>
      <c r="G67" s="14">
        <v>0</v>
      </c>
      <c r="H67" s="13"/>
      <c r="I67" s="13" t="s">
        <v>30</v>
      </c>
      <c r="J67" s="13"/>
      <c r="K67" s="13"/>
      <c r="L67" s="13">
        <f t="shared" si="9"/>
        <v>0</v>
      </c>
      <c r="M67" s="13"/>
      <c r="N67" s="13"/>
      <c r="O67" s="13">
        <v>0</v>
      </c>
      <c r="P67" s="13">
        <f t="shared" si="10"/>
        <v>0</v>
      </c>
      <c r="Q67" s="15"/>
      <c r="R67" s="13" t="e">
        <f t="shared" si="11"/>
        <v>#DIV/0!</v>
      </c>
      <c r="S67" s="13" t="e">
        <f t="shared" si="12"/>
        <v>#DIV/0!</v>
      </c>
      <c r="T67" s="13">
        <v>0</v>
      </c>
      <c r="U67" s="13">
        <v>0</v>
      </c>
      <c r="V67" s="13">
        <v>0</v>
      </c>
      <c r="W67" s="13">
        <v>0</v>
      </c>
      <c r="X67" s="13" t="s">
        <v>100</v>
      </c>
      <c r="Y67" s="13"/>
      <c r="Z67" s="1">
        <f t="shared" si="7"/>
        <v>0</v>
      </c>
      <c r="AA67" s="19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103</v>
      </c>
      <c r="B68" s="1" t="s">
        <v>29</v>
      </c>
      <c r="C68" s="1">
        <v>19.251000000000001</v>
      </c>
      <c r="D68" s="1">
        <v>54.305999999999997</v>
      </c>
      <c r="E68" s="1">
        <v>29.812000000000001</v>
      </c>
      <c r="F68" s="1">
        <v>42.344999999999999</v>
      </c>
      <c r="G68" s="7">
        <v>1</v>
      </c>
      <c r="H68" s="1">
        <v>50</v>
      </c>
      <c r="I68" s="1" t="s">
        <v>30</v>
      </c>
      <c r="J68" s="1"/>
      <c r="K68" s="1">
        <v>35.4</v>
      </c>
      <c r="L68" s="1">
        <f t="shared" si="9"/>
        <v>-5.5879999999999974</v>
      </c>
      <c r="M68" s="1"/>
      <c r="N68" s="1"/>
      <c r="O68" s="1">
        <v>6</v>
      </c>
      <c r="P68" s="1">
        <f t="shared" si="10"/>
        <v>5.9624000000000006</v>
      </c>
      <c r="Q68" s="5">
        <f t="shared" ref="Q68:Q75" si="18">14*P68-O68-F68</f>
        <v>35.128600000000006</v>
      </c>
      <c r="R68" s="1">
        <f t="shared" si="11"/>
        <v>14</v>
      </c>
      <c r="S68" s="1">
        <f t="shared" si="12"/>
        <v>8.1083120890916405</v>
      </c>
      <c r="T68" s="1">
        <v>4.8146000000000004</v>
      </c>
      <c r="U68" s="1">
        <v>1.7536</v>
      </c>
      <c r="V68" s="1">
        <v>7.1468000000000007</v>
      </c>
      <c r="W68" s="1">
        <v>6.1280000000000001</v>
      </c>
      <c r="X68" s="1"/>
      <c r="Y68" s="1">
        <f t="shared" ref="Y68:Y77" si="19">G68*Q68</f>
        <v>35.128600000000006</v>
      </c>
      <c r="Z68" s="1">
        <f t="shared" si="7"/>
        <v>5.9624000000000006</v>
      </c>
      <c r="AA68" s="19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104</v>
      </c>
      <c r="B69" s="1" t="s">
        <v>29</v>
      </c>
      <c r="C69" s="1">
        <v>55.332000000000001</v>
      </c>
      <c r="D69" s="1">
        <v>100.82299999999999</v>
      </c>
      <c r="E69" s="1">
        <v>59.234999999999999</v>
      </c>
      <c r="F69" s="1">
        <v>73.144000000000005</v>
      </c>
      <c r="G69" s="7">
        <v>1</v>
      </c>
      <c r="H69" s="1">
        <v>50</v>
      </c>
      <c r="I69" s="1" t="s">
        <v>30</v>
      </c>
      <c r="J69" s="1"/>
      <c r="K69" s="1">
        <v>62.3</v>
      </c>
      <c r="L69" s="1">
        <f t="shared" si="9"/>
        <v>-3.0649999999999977</v>
      </c>
      <c r="M69" s="1"/>
      <c r="N69" s="1"/>
      <c r="O69" s="1">
        <v>164</v>
      </c>
      <c r="P69" s="1">
        <f t="shared" si="10"/>
        <v>11.847</v>
      </c>
      <c r="Q69" s="5"/>
      <c r="R69" s="1">
        <f t="shared" si="11"/>
        <v>20.017219549252978</v>
      </c>
      <c r="S69" s="1">
        <f t="shared" si="12"/>
        <v>20.017219549252978</v>
      </c>
      <c r="T69" s="1">
        <v>21.8462</v>
      </c>
      <c r="U69" s="1">
        <v>16.320799999999998</v>
      </c>
      <c r="V69" s="1">
        <v>14.980600000000001</v>
      </c>
      <c r="W69" s="1">
        <v>13.975199999999999</v>
      </c>
      <c r="X69" s="1"/>
      <c r="Y69" s="1">
        <f t="shared" si="19"/>
        <v>0</v>
      </c>
      <c r="Z69" s="1">
        <f t="shared" si="7"/>
        <v>11.847</v>
      </c>
      <c r="AA69" s="19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105</v>
      </c>
      <c r="B70" s="1" t="s">
        <v>33</v>
      </c>
      <c r="C70" s="1">
        <v>92</v>
      </c>
      <c r="D70" s="1">
        <v>146</v>
      </c>
      <c r="E70" s="1">
        <v>101</v>
      </c>
      <c r="F70" s="1">
        <v>134</v>
      </c>
      <c r="G70" s="7">
        <v>0.35</v>
      </c>
      <c r="H70" s="1">
        <v>50</v>
      </c>
      <c r="I70" s="1" t="s">
        <v>30</v>
      </c>
      <c r="J70" s="1"/>
      <c r="K70" s="1">
        <v>246</v>
      </c>
      <c r="L70" s="1">
        <f t="shared" ref="L70:L101" si="20">E70-K70</f>
        <v>-145</v>
      </c>
      <c r="M70" s="1"/>
      <c r="N70" s="1"/>
      <c r="O70" s="1">
        <v>605</v>
      </c>
      <c r="P70" s="1">
        <f t="shared" ref="P70:P101" si="21">E70/5</f>
        <v>20.2</v>
      </c>
      <c r="Q70" s="5"/>
      <c r="R70" s="1">
        <f t="shared" ref="R70:R101" si="22">(F70+O70+Q70)/P70</f>
        <v>36.584158415841586</v>
      </c>
      <c r="S70" s="1">
        <f t="shared" ref="S70:S101" si="23">(F70+O70)/P70</f>
        <v>36.584158415841586</v>
      </c>
      <c r="T70" s="1">
        <v>74</v>
      </c>
      <c r="U70" s="1">
        <v>13</v>
      </c>
      <c r="V70" s="1">
        <v>10.8</v>
      </c>
      <c r="W70" s="1">
        <v>47.2</v>
      </c>
      <c r="X70" s="1"/>
      <c r="Y70" s="1">
        <f t="shared" si="19"/>
        <v>0</v>
      </c>
      <c r="Z70" s="1">
        <f t="shared" si="7"/>
        <v>7.0699999999999994</v>
      </c>
      <c r="AA70" s="19">
        <f>T70/U70</f>
        <v>5.6923076923076925</v>
      </c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106</v>
      </c>
      <c r="B71" s="1" t="s">
        <v>33</v>
      </c>
      <c r="C71" s="1">
        <v>1</v>
      </c>
      <c r="D71" s="1">
        <v>259</v>
      </c>
      <c r="E71" s="1">
        <v>60</v>
      </c>
      <c r="F71" s="1">
        <v>186</v>
      </c>
      <c r="G71" s="7">
        <v>0.3</v>
      </c>
      <c r="H71" s="1">
        <v>50</v>
      </c>
      <c r="I71" s="1" t="s">
        <v>30</v>
      </c>
      <c r="J71" s="1"/>
      <c r="K71" s="1">
        <v>66</v>
      </c>
      <c r="L71" s="1">
        <f t="shared" si="20"/>
        <v>-6</v>
      </c>
      <c r="M71" s="1"/>
      <c r="N71" s="1"/>
      <c r="O71" s="1">
        <v>0</v>
      </c>
      <c r="P71" s="1">
        <f t="shared" si="21"/>
        <v>12</v>
      </c>
      <c r="Q71" s="5"/>
      <c r="R71" s="1">
        <f t="shared" si="22"/>
        <v>15.5</v>
      </c>
      <c r="S71" s="1">
        <f t="shared" si="23"/>
        <v>15.5</v>
      </c>
      <c r="T71" s="1">
        <v>5.8</v>
      </c>
      <c r="U71" s="1">
        <v>19.600000000000001</v>
      </c>
      <c r="V71" s="1">
        <v>13.8</v>
      </c>
      <c r="W71" s="1">
        <v>4.4000000000000004</v>
      </c>
      <c r="X71" s="1"/>
      <c r="Y71" s="1">
        <f t="shared" si="19"/>
        <v>0</v>
      </c>
      <c r="Z71" s="1">
        <f t="shared" ref="Z71:Z107" si="24">P71*G71</f>
        <v>3.5999999999999996</v>
      </c>
      <c r="AA71" s="19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107</v>
      </c>
      <c r="B72" s="1" t="s">
        <v>33</v>
      </c>
      <c r="C72" s="1">
        <v>78</v>
      </c>
      <c r="D72" s="1"/>
      <c r="E72" s="1">
        <v>10</v>
      </c>
      <c r="F72" s="1">
        <v>68</v>
      </c>
      <c r="G72" s="7">
        <v>0.3</v>
      </c>
      <c r="H72" s="1">
        <v>60</v>
      </c>
      <c r="I72" s="1" t="s">
        <v>30</v>
      </c>
      <c r="J72" s="1"/>
      <c r="K72" s="1">
        <v>10</v>
      </c>
      <c r="L72" s="1">
        <f t="shared" si="20"/>
        <v>0</v>
      </c>
      <c r="M72" s="1"/>
      <c r="N72" s="1"/>
      <c r="O72" s="1">
        <v>0</v>
      </c>
      <c r="P72" s="1">
        <f t="shared" si="21"/>
        <v>2</v>
      </c>
      <c r="Q72" s="5"/>
      <c r="R72" s="1">
        <f t="shared" si="22"/>
        <v>34</v>
      </c>
      <c r="S72" s="1">
        <f t="shared" si="23"/>
        <v>34</v>
      </c>
      <c r="T72" s="1">
        <v>1.8</v>
      </c>
      <c r="U72" s="1">
        <v>1</v>
      </c>
      <c r="V72" s="1">
        <v>2.4</v>
      </c>
      <c r="W72" s="1">
        <v>1</v>
      </c>
      <c r="X72" s="17" t="s">
        <v>31</v>
      </c>
      <c r="Y72" s="1">
        <f t="shared" si="19"/>
        <v>0</v>
      </c>
      <c r="Z72" s="1">
        <f t="shared" si="24"/>
        <v>0.6</v>
      </c>
      <c r="AA72" s="19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108</v>
      </c>
      <c r="B73" s="1" t="s">
        <v>33</v>
      </c>
      <c r="C73" s="1">
        <v>4</v>
      </c>
      <c r="D73" s="1">
        <v>333</v>
      </c>
      <c r="E73" s="1">
        <v>108</v>
      </c>
      <c r="F73" s="1">
        <v>204</v>
      </c>
      <c r="G73" s="7">
        <v>0.28000000000000003</v>
      </c>
      <c r="H73" s="1">
        <v>50</v>
      </c>
      <c r="I73" s="1" t="s">
        <v>30</v>
      </c>
      <c r="J73" s="1"/>
      <c r="K73" s="1">
        <v>120</v>
      </c>
      <c r="L73" s="1">
        <f t="shared" si="20"/>
        <v>-12</v>
      </c>
      <c r="M73" s="1"/>
      <c r="N73" s="1"/>
      <c r="O73" s="1">
        <v>106</v>
      </c>
      <c r="P73" s="1">
        <f t="shared" si="21"/>
        <v>21.6</v>
      </c>
      <c r="Q73" s="5"/>
      <c r="R73" s="1">
        <f t="shared" si="22"/>
        <v>14.351851851851851</v>
      </c>
      <c r="S73" s="1">
        <f t="shared" si="23"/>
        <v>14.351851851851851</v>
      </c>
      <c r="T73" s="1">
        <v>28.4</v>
      </c>
      <c r="U73" s="1">
        <v>31.2</v>
      </c>
      <c r="V73" s="1">
        <v>30</v>
      </c>
      <c r="W73" s="1">
        <v>26.2</v>
      </c>
      <c r="X73" s="1"/>
      <c r="Y73" s="1">
        <f t="shared" si="19"/>
        <v>0</v>
      </c>
      <c r="Z73" s="1">
        <f t="shared" si="24"/>
        <v>6.0480000000000009</v>
      </c>
      <c r="AA73" s="19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109</v>
      </c>
      <c r="B74" s="1" t="s">
        <v>33</v>
      </c>
      <c r="C74" s="1">
        <v>239</v>
      </c>
      <c r="D74" s="1">
        <v>97</v>
      </c>
      <c r="E74" s="1">
        <v>167</v>
      </c>
      <c r="F74" s="1">
        <v>166</v>
      </c>
      <c r="G74" s="7">
        <v>0.28000000000000003</v>
      </c>
      <c r="H74" s="1">
        <v>45</v>
      </c>
      <c r="I74" s="1" t="s">
        <v>30</v>
      </c>
      <c r="J74" s="1"/>
      <c r="K74" s="1">
        <v>179</v>
      </c>
      <c r="L74" s="1">
        <f t="shared" si="20"/>
        <v>-12</v>
      </c>
      <c r="M74" s="1"/>
      <c r="N74" s="1"/>
      <c r="O74" s="1">
        <v>282</v>
      </c>
      <c r="P74" s="1">
        <f t="shared" si="21"/>
        <v>33.4</v>
      </c>
      <c r="Q74" s="5">
        <f t="shared" si="18"/>
        <v>19.599999999999966</v>
      </c>
      <c r="R74" s="1">
        <f t="shared" si="22"/>
        <v>14</v>
      </c>
      <c r="S74" s="1">
        <f t="shared" si="23"/>
        <v>13.413173652694612</v>
      </c>
      <c r="T74" s="1">
        <v>39.200000000000003</v>
      </c>
      <c r="U74" s="1">
        <v>29</v>
      </c>
      <c r="V74" s="1">
        <v>5</v>
      </c>
      <c r="W74" s="1">
        <v>46</v>
      </c>
      <c r="X74" s="1"/>
      <c r="Y74" s="1">
        <f t="shared" si="19"/>
        <v>5.4879999999999907</v>
      </c>
      <c r="Z74" s="1">
        <f t="shared" si="24"/>
        <v>9.3520000000000003</v>
      </c>
      <c r="AA74" s="19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110</v>
      </c>
      <c r="B75" s="1" t="s">
        <v>33</v>
      </c>
      <c r="C75" s="1">
        <v>3</v>
      </c>
      <c r="D75" s="1">
        <v>460</v>
      </c>
      <c r="E75" s="1">
        <v>146</v>
      </c>
      <c r="F75" s="1">
        <v>302</v>
      </c>
      <c r="G75" s="7">
        <v>0.28000000000000003</v>
      </c>
      <c r="H75" s="1">
        <v>45</v>
      </c>
      <c r="I75" s="1" t="s">
        <v>30</v>
      </c>
      <c r="J75" s="1"/>
      <c r="K75" s="1">
        <v>150</v>
      </c>
      <c r="L75" s="1">
        <f t="shared" si="20"/>
        <v>-4</v>
      </c>
      <c r="M75" s="1"/>
      <c r="N75" s="1"/>
      <c r="O75" s="1">
        <v>0</v>
      </c>
      <c r="P75" s="1">
        <f t="shared" si="21"/>
        <v>29.2</v>
      </c>
      <c r="Q75" s="5">
        <f t="shared" si="18"/>
        <v>106.80000000000001</v>
      </c>
      <c r="R75" s="1">
        <f t="shared" si="22"/>
        <v>14</v>
      </c>
      <c r="S75" s="1">
        <f t="shared" si="23"/>
        <v>10.342465753424658</v>
      </c>
      <c r="T75" s="1">
        <v>5</v>
      </c>
      <c r="U75" s="1">
        <v>31.4</v>
      </c>
      <c r="V75" s="1">
        <v>40.4</v>
      </c>
      <c r="W75" s="1">
        <v>23.8</v>
      </c>
      <c r="X75" s="1"/>
      <c r="Y75" s="1">
        <f t="shared" si="19"/>
        <v>29.904000000000007</v>
      </c>
      <c r="Z75" s="1">
        <f t="shared" si="24"/>
        <v>8.1760000000000002</v>
      </c>
      <c r="AA75" s="19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111</v>
      </c>
      <c r="B76" s="1" t="s">
        <v>33</v>
      </c>
      <c r="C76" s="1">
        <v>9</v>
      </c>
      <c r="D76" s="1">
        <v>712</v>
      </c>
      <c r="E76" s="1">
        <v>362</v>
      </c>
      <c r="F76" s="1">
        <v>321</v>
      </c>
      <c r="G76" s="7">
        <v>0.4</v>
      </c>
      <c r="H76" s="1">
        <v>50</v>
      </c>
      <c r="I76" s="1" t="s">
        <v>30</v>
      </c>
      <c r="J76" s="1"/>
      <c r="K76" s="1">
        <v>376</v>
      </c>
      <c r="L76" s="1">
        <f t="shared" si="20"/>
        <v>-14</v>
      </c>
      <c r="M76" s="1"/>
      <c r="N76" s="1"/>
      <c r="O76" s="1">
        <v>0</v>
      </c>
      <c r="P76" s="1">
        <f t="shared" si="21"/>
        <v>72.400000000000006</v>
      </c>
      <c r="Q76" s="5">
        <f>12*P76-O76-F76</f>
        <v>547.80000000000007</v>
      </c>
      <c r="R76" s="1">
        <f t="shared" si="22"/>
        <v>12</v>
      </c>
      <c r="S76" s="1">
        <f t="shared" si="23"/>
        <v>4.4337016574585633</v>
      </c>
      <c r="T76" s="1">
        <v>22.4</v>
      </c>
      <c r="U76" s="1">
        <v>48.8</v>
      </c>
      <c r="V76" s="1">
        <v>71.400000000000006</v>
      </c>
      <c r="W76" s="1">
        <v>42.4</v>
      </c>
      <c r="X76" s="1"/>
      <c r="Y76" s="1">
        <f t="shared" si="19"/>
        <v>219.12000000000003</v>
      </c>
      <c r="Z76" s="1">
        <f t="shared" si="24"/>
        <v>28.960000000000004</v>
      </c>
      <c r="AA76" s="19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112</v>
      </c>
      <c r="B77" s="1" t="s">
        <v>29</v>
      </c>
      <c r="C77" s="1">
        <v>87.177999999999997</v>
      </c>
      <c r="D77" s="1">
        <v>0.73499999999999999</v>
      </c>
      <c r="E77" s="1">
        <v>3.86</v>
      </c>
      <c r="F77" s="1">
        <v>83.317999999999998</v>
      </c>
      <c r="G77" s="7">
        <v>1</v>
      </c>
      <c r="H77" s="1">
        <v>30</v>
      </c>
      <c r="I77" s="1" t="s">
        <v>30</v>
      </c>
      <c r="J77" s="1"/>
      <c r="K77" s="1">
        <v>4.3</v>
      </c>
      <c r="L77" s="1">
        <f t="shared" si="20"/>
        <v>-0.43999999999999995</v>
      </c>
      <c r="M77" s="1"/>
      <c r="N77" s="1"/>
      <c r="O77" s="1">
        <v>0</v>
      </c>
      <c r="P77" s="1">
        <f t="shared" si="21"/>
        <v>0.77200000000000002</v>
      </c>
      <c r="Q77" s="5"/>
      <c r="R77" s="1">
        <f t="shared" si="22"/>
        <v>107.92487046632124</v>
      </c>
      <c r="S77" s="1">
        <f t="shared" si="23"/>
        <v>107.92487046632124</v>
      </c>
      <c r="T77" s="1">
        <v>2.379</v>
      </c>
      <c r="U77" s="1">
        <v>0</v>
      </c>
      <c r="V77" s="1">
        <v>0</v>
      </c>
      <c r="W77" s="1">
        <v>0</v>
      </c>
      <c r="X77" s="17" t="s">
        <v>31</v>
      </c>
      <c r="Y77" s="1">
        <f t="shared" si="19"/>
        <v>0</v>
      </c>
      <c r="Z77" s="1">
        <f t="shared" si="24"/>
        <v>0.77200000000000002</v>
      </c>
      <c r="AA77" s="19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3" t="s">
        <v>113</v>
      </c>
      <c r="B78" s="13" t="s">
        <v>33</v>
      </c>
      <c r="C78" s="13">
        <v>-1</v>
      </c>
      <c r="D78" s="13">
        <v>1</v>
      </c>
      <c r="E78" s="13">
        <v>1</v>
      </c>
      <c r="F78" s="13">
        <v>-1</v>
      </c>
      <c r="G78" s="14">
        <v>0</v>
      </c>
      <c r="H78" s="13"/>
      <c r="I78" s="13" t="s">
        <v>84</v>
      </c>
      <c r="J78" s="13"/>
      <c r="K78" s="13">
        <v>3</v>
      </c>
      <c r="L78" s="13">
        <f t="shared" si="20"/>
        <v>-2</v>
      </c>
      <c r="M78" s="13"/>
      <c r="N78" s="13"/>
      <c r="O78" s="13">
        <v>0</v>
      </c>
      <c r="P78" s="13">
        <f t="shared" si="21"/>
        <v>0.2</v>
      </c>
      <c r="Q78" s="15"/>
      <c r="R78" s="13">
        <f t="shared" si="22"/>
        <v>-5</v>
      </c>
      <c r="S78" s="13">
        <f t="shared" si="23"/>
        <v>-5</v>
      </c>
      <c r="T78" s="13">
        <v>0</v>
      </c>
      <c r="U78" s="13">
        <v>0.4</v>
      </c>
      <c r="V78" s="13">
        <v>0</v>
      </c>
      <c r="W78" s="13">
        <v>0</v>
      </c>
      <c r="X78" s="13"/>
      <c r="Y78" s="13"/>
      <c r="Z78" s="1">
        <f t="shared" si="24"/>
        <v>0</v>
      </c>
      <c r="AA78" s="19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114</v>
      </c>
      <c r="B79" s="1" t="s">
        <v>33</v>
      </c>
      <c r="C79" s="1">
        <v>197</v>
      </c>
      <c r="D79" s="1"/>
      <c r="E79" s="1">
        <v>5</v>
      </c>
      <c r="F79" s="1">
        <v>192</v>
      </c>
      <c r="G79" s="7">
        <v>0.33800000000000002</v>
      </c>
      <c r="H79" s="1" t="s">
        <v>115</v>
      </c>
      <c r="I79" s="1" t="s">
        <v>30</v>
      </c>
      <c r="J79" s="1"/>
      <c r="K79" s="1">
        <v>5</v>
      </c>
      <c r="L79" s="1">
        <f t="shared" si="20"/>
        <v>0</v>
      </c>
      <c r="M79" s="1"/>
      <c r="N79" s="1"/>
      <c r="O79" s="1">
        <v>0</v>
      </c>
      <c r="P79" s="1">
        <f t="shared" si="21"/>
        <v>1</v>
      </c>
      <c r="Q79" s="5"/>
      <c r="R79" s="1">
        <f t="shared" si="22"/>
        <v>192</v>
      </c>
      <c r="S79" s="1">
        <f t="shared" si="23"/>
        <v>192</v>
      </c>
      <c r="T79" s="1">
        <v>2.4</v>
      </c>
      <c r="U79" s="1">
        <v>6.2</v>
      </c>
      <c r="V79" s="1">
        <v>0</v>
      </c>
      <c r="W79" s="1">
        <v>0</v>
      </c>
      <c r="X79" s="17" t="s">
        <v>31</v>
      </c>
      <c r="Y79" s="1">
        <f t="shared" ref="Y79:Y86" si="25">G79*Q79</f>
        <v>0</v>
      </c>
      <c r="Z79" s="1">
        <f t="shared" si="24"/>
        <v>0.33800000000000002</v>
      </c>
      <c r="AA79" s="19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116</v>
      </c>
      <c r="B80" s="1" t="s">
        <v>33</v>
      </c>
      <c r="C80" s="1">
        <v>153</v>
      </c>
      <c r="D80" s="1">
        <v>1</v>
      </c>
      <c r="E80" s="1">
        <v>3</v>
      </c>
      <c r="F80" s="1">
        <v>149</v>
      </c>
      <c r="G80" s="7">
        <v>0.32500000000000001</v>
      </c>
      <c r="H80" s="1" t="s">
        <v>115</v>
      </c>
      <c r="I80" s="1" t="s">
        <v>30</v>
      </c>
      <c r="J80" s="1"/>
      <c r="K80" s="1">
        <v>3</v>
      </c>
      <c r="L80" s="1">
        <f t="shared" si="20"/>
        <v>0</v>
      </c>
      <c r="M80" s="1"/>
      <c r="N80" s="1"/>
      <c r="O80" s="1">
        <v>0</v>
      </c>
      <c r="P80" s="1">
        <f t="shared" si="21"/>
        <v>0.6</v>
      </c>
      <c r="Q80" s="5"/>
      <c r="R80" s="1">
        <f t="shared" si="22"/>
        <v>248.33333333333334</v>
      </c>
      <c r="S80" s="1">
        <f t="shared" si="23"/>
        <v>248.33333333333334</v>
      </c>
      <c r="T80" s="1">
        <v>3.8</v>
      </c>
      <c r="U80" s="1">
        <v>8.6</v>
      </c>
      <c r="V80" s="1">
        <v>0</v>
      </c>
      <c r="W80" s="1">
        <v>0</v>
      </c>
      <c r="X80" s="17" t="s">
        <v>31</v>
      </c>
      <c r="Y80" s="1">
        <f t="shared" si="25"/>
        <v>0</v>
      </c>
      <c r="Z80" s="1">
        <f t="shared" si="24"/>
        <v>0.19500000000000001</v>
      </c>
      <c r="AA80" s="19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117</v>
      </c>
      <c r="B81" s="1" t="s">
        <v>33</v>
      </c>
      <c r="C81" s="1">
        <v>82</v>
      </c>
      <c r="D81" s="1">
        <v>122</v>
      </c>
      <c r="E81" s="1">
        <v>74</v>
      </c>
      <c r="F81" s="1">
        <v>110</v>
      </c>
      <c r="G81" s="7">
        <v>0.12</v>
      </c>
      <c r="H81" s="1">
        <v>60</v>
      </c>
      <c r="I81" s="1" t="s">
        <v>30</v>
      </c>
      <c r="J81" s="1"/>
      <c r="K81" s="1">
        <v>87</v>
      </c>
      <c r="L81" s="1">
        <f t="shared" si="20"/>
        <v>-13</v>
      </c>
      <c r="M81" s="1"/>
      <c r="N81" s="1"/>
      <c r="O81" s="1">
        <v>100</v>
      </c>
      <c r="P81" s="1">
        <f t="shared" si="21"/>
        <v>14.8</v>
      </c>
      <c r="Q81" s="5"/>
      <c r="R81" s="1">
        <f t="shared" si="22"/>
        <v>14.189189189189188</v>
      </c>
      <c r="S81" s="1">
        <f t="shared" si="23"/>
        <v>14.189189189189188</v>
      </c>
      <c r="T81" s="1">
        <v>15.6</v>
      </c>
      <c r="U81" s="1">
        <v>22.4</v>
      </c>
      <c r="V81" s="1">
        <v>19.600000000000001</v>
      </c>
      <c r="W81" s="1">
        <v>16.2</v>
      </c>
      <c r="X81" s="1"/>
      <c r="Y81" s="1">
        <f t="shared" si="25"/>
        <v>0</v>
      </c>
      <c r="Z81" s="1">
        <f t="shared" si="24"/>
        <v>1.776</v>
      </c>
      <c r="AA81" s="19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118</v>
      </c>
      <c r="B82" s="1" t="s">
        <v>33</v>
      </c>
      <c r="C82" s="1">
        <v>40</v>
      </c>
      <c r="D82" s="1"/>
      <c r="E82" s="1">
        <v>23</v>
      </c>
      <c r="F82" s="1">
        <v>17</v>
      </c>
      <c r="G82" s="7">
        <v>0.15</v>
      </c>
      <c r="H82" s="1">
        <v>90</v>
      </c>
      <c r="I82" s="1" t="s">
        <v>30</v>
      </c>
      <c r="J82" s="1"/>
      <c r="K82" s="1">
        <v>36</v>
      </c>
      <c r="L82" s="1">
        <f t="shared" si="20"/>
        <v>-13</v>
      </c>
      <c r="M82" s="1"/>
      <c r="N82" s="1"/>
      <c r="O82" s="1">
        <v>180</v>
      </c>
      <c r="P82" s="1">
        <f t="shared" si="21"/>
        <v>4.5999999999999996</v>
      </c>
      <c r="Q82" s="5"/>
      <c r="R82" s="1">
        <f t="shared" si="22"/>
        <v>42.826086956521742</v>
      </c>
      <c r="S82" s="1">
        <f t="shared" si="23"/>
        <v>42.826086956521742</v>
      </c>
      <c r="T82" s="1">
        <v>11.8</v>
      </c>
      <c r="U82" s="1">
        <v>0</v>
      </c>
      <c r="V82" s="1">
        <v>0</v>
      </c>
      <c r="W82" s="1">
        <v>0</v>
      </c>
      <c r="X82" s="1"/>
      <c r="Y82" s="1">
        <f t="shared" si="25"/>
        <v>0</v>
      </c>
      <c r="Z82" s="1">
        <f t="shared" si="24"/>
        <v>0.69</v>
      </c>
      <c r="AA82" s="19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119</v>
      </c>
      <c r="B83" s="1" t="s">
        <v>33</v>
      </c>
      <c r="C83" s="1">
        <v>30</v>
      </c>
      <c r="D83" s="1">
        <v>72</v>
      </c>
      <c r="E83" s="1">
        <v>59</v>
      </c>
      <c r="F83" s="1">
        <v>34</v>
      </c>
      <c r="G83" s="7">
        <v>0.15</v>
      </c>
      <c r="H83" s="1">
        <v>90</v>
      </c>
      <c r="I83" s="1" t="s">
        <v>30</v>
      </c>
      <c r="J83" s="1"/>
      <c r="K83" s="1">
        <v>60</v>
      </c>
      <c r="L83" s="1">
        <f t="shared" si="20"/>
        <v>-1</v>
      </c>
      <c r="M83" s="1"/>
      <c r="N83" s="1"/>
      <c r="O83" s="1">
        <v>180</v>
      </c>
      <c r="P83" s="1">
        <f t="shared" si="21"/>
        <v>11.8</v>
      </c>
      <c r="Q83" s="5"/>
      <c r="R83" s="1">
        <f t="shared" si="22"/>
        <v>18.135593220338983</v>
      </c>
      <c r="S83" s="1">
        <f t="shared" si="23"/>
        <v>18.135593220338983</v>
      </c>
      <c r="T83" s="1">
        <v>13.4</v>
      </c>
      <c r="U83" s="1">
        <v>11.2</v>
      </c>
      <c r="V83" s="1">
        <v>0</v>
      </c>
      <c r="W83" s="1">
        <v>0</v>
      </c>
      <c r="X83" s="1"/>
      <c r="Y83" s="1">
        <f t="shared" si="25"/>
        <v>0</v>
      </c>
      <c r="Z83" s="1">
        <f t="shared" si="24"/>
        <v>1.77</v>
      </c>
      <c r="AA83" s="19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120</v>
      </c>
      <c r="B84" s="1" t="s">
        <v>33</v>
      </c>
      <c r="C84" s="1">
        <v>7</v>
      </c>
      <c r="D84" s="1">
        <v>60</v>
      </c>
      <c r="E84" s="1">
        <v>17</v>
      </c>
      <c r="F84" s="1">
        <v>43</v>
      </c>
      <c r="G84" s="7">
        <v>0.33</v>
      </c>
      <c r="H84" s="1">
        <v>30</v>
      </c>
      <c r="I84" s="1" t="s">
        <v>30</v>
      </c>
      <c r="J84" s="1"/>
      <c r="K84" s="1">
        <v>27</v>
      </c>
      <c r="L84" s="1">
        <f t="shared" si="20"/>
        <v>-10</v>
      </c>
      <c r="M84" s="1"/>
      <c r="N84" s="1"/>
      <c r="O84" s="1">
        <v>40</v>
      </c>
      <c r="P84" s="1">
        <f t="shared" si="21"/>
        <v>3.4</v>
      </c>
      <c r="Q84" s="5"/>
      <c r="R84" s="1">
        <f t="shared" si="22"/>
        <v>24.411764705882355</v>
      </c>
      <c r="S84" s="1">
        <f t="shared" si="23"/>
        <v>24.411764705882355</v>
      </c>
      <c r="T84" s="1">
        <v>6.2</v>
      </c>
      <c r="U84" s="1">
        <v>6.6</v>
      </c>
      <c r="V84" s="1">
        <v>3.4</v>
      </c>
      <c r="W84" s="1">
        <v>6.4</v>
      </c>
      <c r="X84" s="1"/>
      <c r="Y84" s="1">
        <f t="shared" si="25"/>
        <v>0</v>
      </c>
      <c r="Z84" s="1">
        <f t="shared" si="24"/>
        <v>1.1220000000000001</v>
      </c>
      <c r="AA84" s="19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121</v>
      </c>
      <c r="B85" s="1" t="s">
        <v>33</v>
      </c>
      <c r="C85" s="1">
        <v>16</v>
      </c>
      <c r="D85" s="1">
        <v>2</v>
      </c>
      <c r="E85" s="1">
        <v>16</v>
      </c>
      <c r="F85" s="1"/>
      <c r="G85" s="7">
        <v>0.15</v>
      </c>
      <c r="H85" s="1">
        <v>60</v>
      </c>
      <c r="I85" s="1" t="s">
        <v>30</v>
      </c>
      <c r="J85" s="1"/>
      <c r="K85" s="1">
        <v>85</v>
      </c>
      <c r="L85" s="1">
        <f t="shared" si="20"/>
        <v>-69</v>
      </c>
      <c r="M85" s="1"/>
      <c r="N85" s="1"/>
      <c r="O85" s="1">
        <v>350</v>
      </c>
      <c r="P85" s="1">
        <f t="shared" si="21"/>
        <v>3.2</v>
      </c>
      <c r="Q85" s="5"/>
      <c r="R85" s="1">
        <f t="shared" si="22"/>
        <v>109.375</v>
      </c>
      <c r="S85" s="1">
        <f t="shared" si="23"/>
        <v>109.375</v>
      </c>
      <c r="T85" s="1">
        <v>26.6</v>
      </c>
      <c r="U85" s="1">
        <v>0</v>
      </c>
      <c r="V85" s="1">
        <v>0</v>
      </c>
      <c r="W85" s="1">
        <v>0</v>
      </c>
      <c r="X85" s="1"/>
      <c r="Y85" s="1">
        <f t="shared" si="25"/>
        <v>0</v>
      </c>
      <c r="Z85" s="1">
        <f t="shared" si="24"/>
        <v>0.48</v>
      </c>
      <c r="AA85" s="19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72</v>
      </c>
      <c r="B86" s="1" t="s">
        <v>33</v>
      </c>
      <c r="C86" s="1">
        <v>267</v>
      </c>
      <c r="D86" s="1">
        <v>33</v>
      </c>
      <c r="E86" s="16">
        <f>77+E40</f>
        <v>116</v>
      </c>
      <c r="F86" s="1">
        <v>133</v>
      </c>
      <c r="G86" s="7">
        <v>0.41</v>
      </c>
      <c r="H86" s="1">
        <v>45</v>
      </c>
      <c r="I86" s="1" t="s">
        <v>30</v>
      </c>
      <c r="J86" s="1"/>
      <c r="K86" s="1">
        <v>87</v>
      </c>
      <c r="L86" s="1">
        <f t="shared" si="20"/>
        <v>29</v>
      </c>
      <c r="M86" s="1"/>
      <c r="N86" s="1"/>
      <c r="O86" s="1">
        <v>150</v>
      </c>
      <c r="P86" s="1">
        <f t="shared" si="21"/>
        <v>23.2</v>
      </c>
      <c r="Q86" s="5">
        <f t="shared" ref="Q86" si="26">14*P86-O86-F86</f>
        <v>41.800000000000011</v>
      </c>
      <c r="R86" s="1">
        <f t="shared" si="22"/>
        <v>14.000000000000002</v>
      </c>
      <c r="S86" s="1">
        <f t="shared" si="23"/>
        <v>12.198275862068966</v>
      </c>
      <c r="T86" s="1">
        <v>18.399999999999999</v>
      </c>
      <c r="U86" s="1">
        <v>9.4</v>
      </c>
      <c r="V86" s="1">
        <v>0</v>
      </c>
      <c r="W86" s="1">
        <v>0</v>
      </c>
      <c r="X86" s="1" t="s">
        <v>122</v>
      </c>
      <c r="Y86" s="1">
        <f t="shared" si="25"/>
        <v>17.138000000000005</v>
      </c>
      <c r="Z86" s="1">
        <f t="shared" si="24"/>
        <v>9.5119999999999987</v>
      </c>
      <c r="AA86" s="19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0" t="s">
        <v>123</v>
      </c>
      <c r="B87" s="10" t="s">
        <v>29</v>
      </c>
      <c r="C87" s="10"/>
      <c r="D87" s="10">
        <v>51.762999999999998</v>
      </c>
      <c r="E87" s="10"/>
      <c r="F87" s="10">
        <v>51.762999999999998</v>
      </c>
      <c r="G87" s="11">
        <v>0</v>
      </c>
      <c r="H87" s="10"/>
      <c r="I87" s="10" t="s">
        <v>124</v>
      </c>
      <c r="J87" s="10"/>
      <c r="K87" s="10"/>
      <c r="L87" s="10">
        <f t="shared" si="20"/>
        <v>0</v>
      </c>
      <c r="M87" s="10"/>
      <c r="N87" s="10"/>
      <c r="O87" s="10"/>
      <c r="P87" s="10">
        <f t="shared" si="21"/>
        <v>0</v>
      </c>
      <c r="Q87" s="12"/>
      <c r="R87" s="10" t="e">
        <f t="shared" si="22"/>
        <v>#DIV/0!</v>
      </c>
      <c r="S87" s="10" t="e">
        <f t="shared" si="23"/>
        <v>#DIV/0!</v>
      </c>
      <c r="T87" s="10">
        <v>0</v>
      </c>
      <c r="U87" s="10">
        <v>0</v>
      </c>
      <c r="V87" s="10">
        <v>0</v>
      </c>
      <c r="W87" s="10">
        <v>0</v>
      </c>
      <c r="X87" s="10"/>
      <c r="Y87" s="10"/>
      <c r="Z87" s="1">
        <f t="shared" si="24"/>
        <v>0</v>
      </c>
      <c r="AA87" s="19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125</v>
      </c>
      <c r="B88" s="1" t="s">
        <v>33</v>
      </c>
      <c r="C88" s="1"/>
      <c r="D88" s="1">
        <v>274</v>
      </c>
      <c r="E88" s="1">
        <v>26</v>
      </c>
      <c r="F88" s="1">
        <v>234</v>
      </c>
      <c r="G88" s="7">
        <v>0.26</v>
      </c>
      <c r="H88" s="1">
        <v>45</v>
      </c>
      <c r="I88" s="1" t="s">
        <v>30</v>
      </c>
      <c r="J88" s="1"/>
      <c r="K88" s="1">
        <v>31</v>
      </c>
      <c r="L88" s="1">
        <f t="shared" si="20"/>
        <v>-5</v>
      </c>
      <c r="M88" s="1"/>
      <c r="N88" s="1"/>
      <c r="O88" s="1">
        <v>0</v>
      </c>
      <c r="P88" s="1">
        <f t="shared" si="21"/>
        <v>5.2</v>
      </c>
      <c r="Q88" s="5"/>
      <c r="R88" s="1">
        <f t="shared" si="22"/>
        <v>45</v>
      </c>
      <c r="S88" s="1">
        <f t="shared" si="23"/>
        <v>45</v>
      </c>
      <c r="T88" s="1">
        <v>2.4</v>
      </c>
      <c r="U88" s="1">
        <v>18.600000000000001</v>
      </c>
      <c r="V88" s="1">
        <v>0</v>
      </c>
      <c r="W88" s="1">
        <v>0</v>
      </c>
      <c r="X88" s="1"/>
      <c r="Y88" s="1">
        <f t="shared" ref="Y88:Y96" si="27">G88*Q88</f>
        <v>0</v>
      </c>
      <c r="Z88" s="1">
        <f t="shared" si="24"/>
        <v>1.3520000000000001</v>
      </c>
      <c r="AA88" s="19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 t="s">
        <v>126</v>
      </c>
      <c r="B89" s="1" t="s">
        <v>29</v>
      </c>
      <c r="C89" s="1">
        <v>30.744</v>
      </c>
      <c r="D89" s="1"/>
      <c r="E89" s="1">
        <v>30.78</v>
      </c>
      <c r="F89" s="1">
        <v>-3.5999999999999997E-2</v>
      </c>
      <c r="G89" s="7">
        <v>1</v>
      </c>
      <c r="H89" s="1">
        <v>30</v>
      </c>
      <c r="I89" s="1" t="s">
        <v>30</v>
      </c>
      <c r="J89" s="1"/>
      <c r="K89" s="1">
        <v>31</v>
      </c>
      <c r="L89" s="1">
        <f t="shared" si="20"/>
        <v>-0.21999999999999886</v>
      </c>
      <c r="M89" s="1"/>
      <c r="N89" s="1"/>
      <c r="O89" s="1">
        <v>0</v>
      </c>
      <c r="P89" s="1">
        <f t="shared" si="21"/>
        <v>6.1560000000000006</v>
      </c>
      <c r="Q89" s="5">
        <f>8*P89-O89-F89</f>
        <v>49.284000000000006</v>
      </c>
      <c r="R89" s="1">
        <f t="shared" si="22"/>
        <v>8</v>
      </c>
      <c r="S89" s="1">
        <f t="shared" si="23"/>
        <v>-5.8479532163742678E-3</v>
      </c>
      <c r="T89" s="1">
        <v>2.9487999999999999</v>
      </c>
      <c r="U89" s="1">
        <v>8.9306000000000001</v>
      </c>
      <c r="V89" s="1">
        <v>0</v>
      </c>
      <c r="W89" s="1">
        <v>0</v>
      </c>
      <c r="X89" s="1"/>
      <c r="Y89" s="1">
        <f t="shared" si="27"/>
        <v>49.284000000000006</v>
      </c>
      <c r="Z89" s="1">
        <f t="shared" si="24"/>
        <v>6.1560000000000006</v>
      </c>
      <c r="AA89" s="19">
        <f>P89/T89</f>
        <v>2.0876288659793816</v>
      </c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 t="s">
        <v>127</v>
      </c>
      <c r="B90" s="1" t="s">
        <v>33</v>
      </c>
      <c r="C90" s="1">
        <v>176</v>
      </c>
      <c r="D90" s="1">
        <v>12</v>
      </c>
      <c r="E90" s="1">
        <v>26</v>
      </c>
      <c r="F90" s="1">
        <v>153</v>
      </c>
      <c r="G90" s="7">
        <v>0.31</v>
      </c>
      <c r="H90" s="1">
        <v>45</v>
      </c>
      <c r="I90" s="1" t="s">
        <v>30</v>
      </c>
      <c r="J90" s="1"/>
      <c r="K90" s="1">
        <v>28</v>
      </c>
      <c r="L90" s="1">
        <f t="shared" si="20"/>
        <v>-2</v>
      </c>
      <c r="M90" s="1"/>
      <c r="N90" s="1"/>
      <c r="O90" s="1">
        <v>0</v>
      </c>
      <c r="P90" s="1">
        <f t="shared" si="21"/>
        <v>5.2</v>
      </c>
      <c r="Q90" s="5"/>
      <c r="R90" s="1">
        <f t="shared" si="22"/>
        <v>29.423076923076923</v>
      </c>
      <c r="S90" s="1">
        <f t="shared" si="23"/>
        <v>29.423076923076923</v>
      </c>
      <c r="T90" s="1">
        <v>10</v>
      </c>
      <c r="U90" s="1">
        <v>15</v>
      </c>
      <c r="V90" s="1">
        <v>0</v>
      </c>
      <c r="W90" s="1">
        <v>0</v>
      </c>
      <c r="X90" s="17" t="s">
        <v>31</v>
      </c>
      <c r="Y90" s="1">
        <f t="shared" si="27"/>
        <v>0</v>
      </c>
      <c r="Z90" s="1">
        <f t="shared" si="24"/>
        <v>1.6120000000000001</v>
      </c>
      <c r="AA90" s="19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128</v>
      </c>
      <c r="B91" s="1" t="s">
        <v>29</v>
      </c>
      <c r="C91" s="1">
        <v>32.723999999999997</v>
      </c>
      <c r="D91" s="1">
        <v>1.544</v>
      </c>
      <c r="E91" s="1">
        <v>22.462</v>
      </c>
      <c r="F91" s="1">
        <v>4.3490000000000002</v>
      </c>
      <c r="G91" s="7">
        <v>1</v>
      </c>
      <c r="H91" s="1">
        <v>30</v>
      </c>
      <c r="I91" s="1" t="s">
        <v>30</v>
      </c>
      <c r="J91" s="1"/>
      <c r="K91" s="1">
        <v>21</v>
      </c>
      <c r="L91" s="1">
        <f t="shared" si="20"/>
        <v>1.4619999999999997</v>
      </c>
      <c r="M91" s="1"/>
      <c r="N91" s="1"/>
      <c r="O91" s="1">
        <v>5</v>
      </c>
      <c r="P91" s="1">
        <f t="shared" si="21"/>
        <v>4.4923999999999999</v>
      </c>
      <c r="Q91" s="5">
        <f>10*P91-O91-F91</f>
        <v>35.575000000000003</v>
      </c>
      <c r="R91" s="1">
        <f t="shared" si="22"/>
        <v>10.000000000000002</v>
      </c>
      <c r="S91" s="1">
        <f t="shared" si="23"/>
        <v>2.0810702519811239</v>
      </c>
      <c r="T91" s="1">
        <v>2.0064000000000002</v>
      </c>
      <c r="U91" s="1">
        <v>2.3283999999999998</v>
      </c>
      <c r="V91" s="1">
        <v>0</v>
      </c>
      <c r="W91" s="1">
        <v>0</v>
      </c>
      <c r="X91" s="1"/>
      <c r="Y91" s="1">
        <f t="shared" si="27"/>
        <v>35.575000000000003</v>
      </c>
      <c r="Z91" s="1">
        <f t="shared" si="24"/>
        <v>4.4923999999999999</v>
      </c>
      <c r="AA91" s="19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 t="s">
        <v>129</v>
      </c>
      <c r="B92" s="1" t="s">
        <v>33</v>
      </c>
      <c r="C92" s="1">
        <v>28</v>
      </c>
      <c r="D92" s="1">
        <v>202</v>
      </c>
      <c r="E92" s="1">
        <v>84</v>
      </c>
      <c r="F92" s="1">
        <v>141</v>
      </c>
      <c r="G92" s="7">
        <v>0.4</v>
      </c>
      <c r="H92" s="1">
        <v>60</v>
      </c>
      <c r="I92" s="1" t="s">
        <v>30</v>
      </c>
      <c r="J92" s="1"/>
      <c r="K92" s="1">
        <v>86</v>
      </c>
      <c r="L92" s="1">
        <f t="shared" si="20"/>
        <v>-2</v>
      </c>
      <c r="M92" s="1"/>
      <c r="N92" s="1"/>
      <c r="O92" s="1">
        <v>77</v>
      </c>
      <c r="P92" s="1">
        <f t="shared" si="21"/>
        <v>16.8</v>
      </c>
      <c r="Q92" s="5">
        <f t="shared" ref="Q92:Q93" si="28">14*P92-O92-F92</f>
        <v>17.200000000000017</v>
      </c>
      <c r="R92" s="1">
        <f t="shared" si="22"/>
        <v>14</v>
      </c>
      <c r="S92" s="1">
        <f t="shared" si="23"/>
        <v>12.976190476190476</v>
      </c>
      <c r="T92" s="1">
        <v>20</v>
      </c>
      <c r="U92" s="1">
        <v>21.8</v>
      </c>
      <c r="V92" s="1">
        <v>18</v>
      </c>
      <c r="W92" s="1">
        <v>20</v>
      </c>
      <c r="X92" s="1"/>
      <c r="Y92" s="1">
        <f t="shared" si="27"/>
        <v>6.880000000000007</v>
      </c>
      <c r="Z92" s="1">
        <f t="shared" si="24"/>
        <v>6.7200000000000006</v>
      </c>
      <c r="AA92" s="19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 t="s">
        <v>130</v>
      </c>
      <c r="B93" s="1" t="s">
        <v>33</v>
      </c>
      <c r="C93" s="1">
        <v>34</v>
      </c>
      <c r="D93" s="1"/>
      <c r="E93" s="1">
        <v>33</v>
      </c>
      <c r="F93" s="1">
        <v>1</v>
      </c>
      <c r="G93" s="7">
        <v>0.35</v>
      </c>
      <c r="H93" s="1">
        <v>60</v>
      </c>
      <c r="I93" s="1" t="s">
        <v>30</v>
      </c>
      <c r="J93" s="1"/>
      <c r="K93" s="1">
        <v>33</v>
      </c>
      <c r="L93" s="1">
        <f t="shared" si="20"/>
        <v>0</v>
      </c>
      <c r="M93" s="1"/>
      <c r="N93" s="1"/>
      <c r="O93" s="1">
        <v>47</v>
      </c>
      <c r="P93" s="1">
        <f t="shared" si="21"/>
        <v>6.6</v>
      </c>
      <c r="Q93" s="5">
        <f t="shared" si="28"/>
        <v>44.399999999999991</v>
      </c>
      <c r="R93" s="1">
        <f t="shared" si="22"/>
        <v>14</v>
      </c>
      <c r="S93" s="1">
        <f t="shared" si="23"/>
        <v>7.2727272727272734</v>
      </c>
      <c r="T93" s="1">
        <v>6.2</v>
      </c>
      <c r="U93" s="1">
        <v>1</v>
      </c>
      <c r="V93" s="1">
        <v>3.6</v>
      </c>
      <c r="W93" s="1">
        <v>7</v>
      </c>
      <c r="X93" s="1"/>
      <c r="Y93" s="1">
        <f t="shared" si="27"/>
        <v>15.539999999999996</v>
      </c>
      <c r="Z93" s="1">
        <f t="shared" si="24"/>
        <v>2.3099999999999996</v>
      </c>
      <c r="AA93" s="19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 t="s">
        <v>131</v>
      </c>
      <c r="B94" s="1" t="s">
        <v>29</v>
      </c>
      <c r="C94" s="1">
        <v>85.774000000000001</v>
      </c>
      <c r="D94" s="1"/>
      <c r="E94" s="1">
        <v>0.51400000000000001</v>
      </c>
      <c r="F94" s="1">
        <v>83.98</v>
      </c>
      <c r="G94" s="7">
        <v>1</v>
      </c>
      <c r="H94" s="1">
        <v>45</v>
      </c>
      <c r="I94" s="1" t="s">
        <v>30</v>
      </c>
      <c r="J94" s="1"/>
      <c r="K94" s="1">
        <v>2.9</v>
      </c>
      <c r="L94" s="1">
        <f t="shared" si="20"/>
        <v>-2.3860000000000001</v>
      </c>
      <c r="M94" s="1"/>
      <c r="N94" s="1"/>
      <c r="O94" s="1">
        <v>0</v>
      </c>
      <c r="P94" s="1">
        <f t="shared" si="21"/>
        <v>0.1028</v>
      </c>
      <c r="Q94" s="5"/>
      <c r="R94" s="1">
        <f t="shared" si="22"/>
        <v>816.92607003891055</v>
      </c>
      <c r="S94" s="1">
        <f t="shared" si="23"/>
        <v>816.92607003891055</v>
      </c>
      <c r="T94" s="1">
        <v>2.8464</v>
      </c>
      <c r="U94" s="1">
        <v>2.9573999999999998</v>
      </c>
      <c r="V94" s="1">
        <v>1.506</v>
      </c>
      <c r="W94" s="1">
        <v>3.1217999999999999</v>
      </c>
      <c r="X94" s="17" t="s">
        <v>31</v>
      </c>
      <c r="Y94" s="1">
        <f t="shared" si="27"/>
        <v>0</v>
      </c>
      <c r="Z94" s="1">
        <f t="shared" si="24"/>
        <v>0.1028</v>
      </c>
      <c r="AA94" s="19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 t="s">
        <v>132</v>
      </c>
      <c r="B95" s="1" t="s">
        <v>29</v>
      </c>
      <c r="C95" s="1">
        <v>19.452999999999999</v>
      </c>
      <c r="D95" s="1"/>
      <c r="E95" s="1">
        <v>19.385999999999999</v>
      </c>
      <c r="F95" s="1">
        <v>6.7000000000000004E-2</v>
      </c>
      <c r="G95" s="7">
        <v>1</v>
      </c>
      <c r="H95" s="1">
        <v>45</v>
      </c>
      <c r="I95" s="1" t="s">
        <v>30</v>
      </c>
      <c r="J95" s="1"/>
      <c r="K95" s="1">
        <v>17.72</v>
      </c>
      <c r="L95" s="1">
        <f t="shared" si="20"/>
        <v>1.6660000000000004</v>
      </c>
      <c r="M95" s="1"/>
      <c r="N95" s="1"/>
      <c r="O95" s="1">
        <v>16</v>
      </c>
      <c r="P95" s="1">
        <f t="shared" si="21"/>
        <v>3.8771999999999998</v>
      </c>
      <c r="Q95" s="5">
        <f>12*P95-O95-F95</f>
        <v>30.459399999999995</v>
      </c>
      <c r="R95" s="1">
        <f t="shared" si="22"/>
        <v>12</v>
      </c>
      <c r="S95" s="1">
        <f t="shared" si="23"/>
        <v>4.143969875167647</v>
      </c>
      <c r="T95" s="1">
        <v>2.1774</v>
      </c>
      <c r="U95" s="1">
        <v>0</v>
      </c>
      <c r="V95" s="1">
        <v>0</v>
      </c>
      <c r="W95" s="1">
        <v>0</v>
      </c>
      <c r="X95" s="1"/>
      <c r="Y95" s="1">
        <f t="shared" si="27"/>
        <v>30.459399999999995</v>
      </c>
      <c r="Z95" s="1">
        <f t="shared" si="24"/>
        <v>3.8771999999999998</v>
      </c>
      <c r="AA95" s="19">
        <f>P95/T95</f>
        <v>1.7806558280518048</v>
      </c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 t="s">
        <v>133</v>
      </c>
      <c r="B96" s="1" t="s">
        <v>33</v>
      </c>
      <c r="C96" s="1">
        <v>61</v>
      </c>
      <c r="D96" s="1">
        <v>104</v>
      </c>
      <c r="E96" s="1">
        <v>18</v>
      </c>
      <c r="F96" s="1">
        <v>143</v>
      </c>
      <c r="G96" s="7">
        <v>0.33</v>
      </c>
      <c r="H96" s="1">
        <v>45</v>
      </c>
      <c r="I96" s="1" t="s">
        <v>30</v>
      </c>
      <c r="J96" s="1"/>
      <c r="K96" s="1">
        <v>40</v>
      </c>
      <c r="L96" s="1">
        <f t="shared" si="20"/>
        <v>-22</v>
      </c>
      <c r="M96" s="1"/>
      <c r="N96" s="1"/>
      <c r="O96" s="1">
        <v>17</v>
      </c>
      <c r="P96" s="1">
        <f t="shared" si="21"/>
        <v>3.6</v>
      </c>
      <c r="Q96" s="5"/>
      <c r="R96" s="1">
        <f t="shared" si="22"/>
        <v>44.444444444444443</v>
      </c>
      <c r="S96" s="1">
        <f t="shared" si="23"/>
        <v>44.444444444444443</v>
      </c>
      <c r="T96" s="1">
        <v>12.4</v>
      </c>
      <c r="U96" s="1">
        <v>15.4</v>
      </c>
      <c r="V96" s="1">
        <v>0</v>
      </c>
      <c r="W96" s="1">
        <v>0</v>
      </c>
      <c r="X96" s="17" t="s">
        <v>31</v>
      </c>
      <c r="Y96" s="1">
        <f t="shared" si="27"/>
        <v>0</v>
      </c>
      <c r="Z96" s="1">
        <f t="shared" si="24"/>
        <v>1.1880000000000002</v>
      </c>
      <c r="AA96" s="19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3" t="s">
        <v>134</v>
      </c>
      <c r="B97" s="13" t="s">
        <v>33</v>
      </c>
      <c r="C97" s="13"/>
      <c r="D97" s="13">
        <v>90</v>
      </c>
      <c r="E97" s="13"/>
      <c r="F97" s="13">
        <v>90</v>
      </c>
      <c r="G97" s="14">
        <v>0</v>
      </c>
      <c r="H97" s="13"/>
      <c r="I97" s="13" t="s">
        <v>84</v>
      </c>
      <c r="J97" s="13"/>
      <c r="K97" s="13">
        <v>26</v>
      </c>
      <c r="L97" s="13">
        <f t="shared" si="20"/>
        <v>-26</v>
      </c>
      <c r="M97" s="13"/>
      <c r="N97" s="13"/>
      <c r="O97" s="13"/>
      <c r="P97" s="13">
        <f t="shared" si="21"/>
        <v>0</v>
      </c>
      <c r="Q97" s="15"/>
      <c r="R97" s="13" t="e">
        <f t="shared" si="22"/>
        <v>#DIV/0!</v>
      </c>
      <c r="S97" s="13" t="e">
        <f t="shared" si="23"/>
        <v>#DIV/0!</v>
      </c>
      <c r="T97" s="13">
        <v>0</v>
      </c>
      <c r="U97" s="13">
        <v>0</v>
      </c>
      <c r="V97" s="13">
        <v>0</v>
      </c>
      <c r="W97" s="13">
        <v>0</v>
      </c>
      <c r="X97" s="13" t="s">
        <v>135</v>
      </c>
      <c r="Y97" s="13"/>
      <c r="Z97" s="1">
        <f t="shared" si="24"/>
        <v>0</v>
      </c>
      <c r="AA97" s="19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 t="s">
        <v>136</v>
      </c>
      <c r="B98" s="1" t="s">
        <v>33</v>
      </c>
      <c r="C98" s="1">
        <v>9</v>
      </c>
      <c r="D98" s="1">
        <v>330</v>
      </c>
      <c r="E98" s="1">
        <v>26</v>
      </c>
      <c r="F98" s="1">
        <v>293</v>
      </c>
      <c r="G98" s="7">
        <v>0.1</v>
      </c>
      <c r="H98" s="1">
        <v>60</v>
      </c>
      <c r="I98" s="1" t="s">
        <v>30</v>
      </c>
      <c r="J98" s="1"/>
      <c r="K98" s="1">
        <v>95</v>
      </c>
      <c r="L98" s="1">
        <f t="shared" si="20"/>
        <v>-69</v>
      </c>
      <c r="M98" s="1"/>
      <c r="N98" s="1"/>
      <c r="O98" s="1">
        <v>0</v>
      </c>
      <c r="P98" s="1">
        <f t="shared" si="21"/>
        <v>5.2</v>
      </c>
      <c r="Q98" s="5"/>
      <c r="R98" s="1">
        <f t="shared" si="22"/>
        <v>56.346153846153847</v>
      </c>
      <c r="S98" s="1">
        <f t="shared" si="23"/>
        <v>56.346153846153847</v>
      </c>
      <c r="T98" s="1">
        <v>5.6</v>
      </c>
      <c r="U98" s="1">
        <v>24.4</v>
      </c>
      <c r="V98" s="1">
        <v>0.2</v>
      </c>
      <c r="W98" s="1">
        <v>0.2</v>
      </c>
      <c r="X98" s="1"/>
      <c r="Y98" s="1">
        <f t="shared" ref="Y98:Y105" si="29">G98*Q98</f>
        <v>0</v>
      </c>
      <c r="Z98" s="1">
        <f t="shared" si="24"/>
        <v>0.52</v>
      </c>
      <c r="AA98" s="19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 t="s">
        <v>137</v>
      </c>
      <c r="B99" s="1" t="s">
        <v>33</v>
      </c>
      <c r="C99" s="1"/>
      <c r="D99" s="1">
        <v>530</v>
      </c>
      <c r="E99" s="1">
        <v>32</v>
      </c>
      <c r="F99" s="1">
        <v>487</v>
      </c>
      <c r="G99" s="7">
        <v>0.1</v>
      </c>
      <c r="H99" s="1">
        <v>60</v>
      </c>
      <c r="I99" s="1" t="s">
        <v>30</v>
      </c>
      <c r="J99" s="1"/>
      <c r="K99" s="1">
        <v>162</v>
      </c>
      <c r="L99" s="1">
        <f t="shared" si="20"/>
        <v>-130</v>
      </c>
      <c r="M99" s="1"/>
      <c r="N99" s="1"/>
      <c r="O99" s="1">
        <v>0</v>
      </c>
      <c r="P99" s="1">
        <f t="shared" si="21"/>
        <v>6.4</v>
      </c>
      <c r="Q99" s="5"/>
      <c r="R99" s="1">
        <f t="shared" si="22"/>
        <v>76.09375</v>
      </c>
      <c r="S99" s="1">
        <f t="shared" si="23"/>
        <v>76.09375</v>
      </c>
      <c r="T99" s="1">
        <v>0</v>
      </c>
      <c r="U99" s="1">
        <v>24.8</v>
      </c>
      <c r="V99" s="1">
        <v>0</v>
      </c>
      <c r="W99" s="1">
        <v>0.2</v>
      </c>
      <c r="X99" s="1"/>
      <c r="Y99" s="1">
        <f t="shared" si="29"/>
        <v>0</v>
      </c>
      <c r="Z99" s="1">
        <f t="shared" si="24"/>
        <v>0.64000000000000012</v>
      </c>
      <c r="AA99" s="19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 t="s">
        <v>138</v>
      </c>
      <c r="B100" s="1" t="s">
        <v>33</v>
      </c>
      <c r="C100" s="1"/>
      <c r="D100" s="1">
        <v>579</v>
      </c>
      <c r="E100" s="1">
        <v>195</v>
      </c>
      <c r="F100" s="1">
        <v>370</v>
      </c>
      <c r="G100" s="7">
        <v>0.4</v>
      </c>
      <c r="H100" s="1">
        <v>60</v>
      </c>
      <c r="I100" s="1" t="s">
        <v>30</v>
      </c>
      <c r="J100" s="1"/>
      <c r="K100" s="1">
        <v>199</v>
      </c>
      <c r="L100" s="1">
        <f t="shared" si="20"/>
        <v>-4</v>
      </c>
      <c r="M100" s="1"/>
      <c r="N100" s="1"/>
      <c r="O100" s="1">
        <v>0</v>
      </c>
      <c r="P100" s="1">
        <f t="shared" si="21"/>
        <v>39</v>
      </c>
      <c r="Q100" s="5">
        <f t="shared" ref="Q100" si="30">14*P100-O100-F100</f>
        <v>176</v>
      </c>
      <c r="R100" s="1">
        <f t="shared" si="22"/>
        <v>14</v>
      </c>
      <c r="S100" s="1">
        <f t="shared" si="23"/>
        <v>9.4871794871794872</v>
      </c>
      <c r="T100" s="1">
        <v>0</v>
      </c>
      <c r="U100" s="1">
        <v>19.399999999999999</v>
      </c>
      <c r="V100" s="1">
        <v>38</v>
      </c>
      <c r="W100" s="1">
        <v>18.600000000000001</v>
      </c>
      <c r="X100" s="1"/>
      <c r="Y100" s="1">
        <f t="shared" si="29"/>
        <v>70.400000000000006</v>
      </c>
      <c r="Z100" s="1">
        <f t="shared" si="24"/>
        <v>15.600000000000001</v>
      </c>
      <c r="AA100" s="19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 t="s">
        <v>139</v>
      </c>
      <c r="B101" s="1" t="s">
        <v>29</v>
      </c>
      <c r="C101" s="1"/>
      <c r="D101" s="1">
        <v>13.597</v>
      </c>
      <c r="E101" s="1"/>
      <c r="F101" s="1">
        <v>13.597</v>
      </c>
      <c r="G101" s="7">
        <v>1</v>
      </c>
      <c r="H101" s="1">
        <v>120</v>
      </c>
      <c r="I101" s="9" t="s">
        <v>30</v>
      </c>
      <c r="J101" s="1"/>
      <c r="K101" s="1"/>
      <c r="L101" s="1">
        <f t="shared" si="20"/>
        <v>0</v>
      </c>
      <c r="M101" s="1"/>
      <c r="N101" s="1"/>
      <c r="O101" s="1"/>
      <c r="P101" s="1">
        <f t="shared" si="21"/>
        <v>0</v>
      </c>
      <c r="Q101" s="5"/>
      <c r="R101" s="1" t="e">
        <f t="shared" si="22"/>
        <v>#DIV/0!</v>
      </c>
      <c r="S101" s="1" t="e">
        <f t="shared" si="23"/>
        <v>#DIV/0!</v>
      </c>
      <c r="T101" s="1">
        <v>0</v>
      </c>
      <c r="U101" s="1">
        <v>0</v>
      </c>
      <c r="V101" s="1">
        <v>0</v>
      </c>
      <c r="W101" s="1">
        <v>0</v>
      </c>
      <c r="X101" s="9" t="s">
        <v>140</v>
      </c>
      <c r="Y101" s="1">
        <f t="shared" si="29"/>
        <v>0</v>
      </c>
      <c r="Z101" s="1">
        <f t="shared" si="24"/>
        <v>0</v>
      </c>
      <c r="AA101" s="19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 t="s">
        <v>141</v>
      </c>
      <c r="B102" s="1" t="s">
        <v>33</v>
      </c>
      <c r="C102" s="1">
        <v>71</v>
      </c>
      <c r="D102" s="1">
        <v>41</v>
      </c>
      <c r="E102" s="1">
        <v>30</v>
      </c>
      <c r="F102" s="1">
        <v>67</v>
      </c>
      <c r="G102" s="7">
        <v>0.3</v>
      </c>
      <c r="H102" s="1">
        <v>45</v>
      </c>
      <c r="I102" s="1" t="s">
        <v>30</v>
      </c>
      <c r="J102" s="1"/>
      <c r="K102" s="1">
        <v>32</v>
      </c>
      <c r="L102" s="1">
        <f t="shared" ref="L102:L107" si="31">E102-K102</f>
        <v>-2</v>
      </c>
      <c r="M102" s="1"/>
      <c r="N102" s="1"/>
      <c r="O102" s="1">
        <v>60</v>
      </c>
      <c r="P102" s="1">
        <f t="shared" ref="P102:P107" si="32">E102/5</f>
        <v>6</v>
      </c>
      <c r="Q102" s="5"/>
      <c r="R102" s="1">
        <f t="shared" ref="R102:R107" si="33">(F102+O102+Q102)/P102</f>
        <v>21.166666666666668</v>
      </c>
      <c r="S102" s="1">
        <f t="shared" ref="S102:S107" si="34">(F102+O102)/P102</f>
        <v>21.166666666666668</v>
      </c>
      <c r="T102" s="1">
        <v>8.4</v>
      </c>
      <c r="U102" s="1">
        <v>8.1999999999999993</v>
      </c>
      <c r="V102" s="1">
        <v>6.2</v>
      </c>
      <c r="W102" s="1">
        <v>5</v>
      </c>
      <c r="X102" s="18" t="s">
        <v>52</v>
      </c>
      <c r="Y102" s="1">
        <f t="shared" si="29"/>
        <v>0</v>
      </c>
      <c r="Z102" s="1">
        <f t="shared" si="24"/>
        <v>1.7999999999999998</v>
      </c>
      <c r="AA102" s="19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 t="s">
        <v>61</v>
      </c>
      <c r="B103" s="1" t="s">
        <v>33</v>
      </c>
      <c r="C103" s="1">
        <v>19</v>
      </c>
      <c r="D103" s="1">
        <v>99</v>
      </c>
      <c r="E103" s="16">
        <f>28+E31</f>
        <v>31</v>
      </c>
      <c r="F103" s="16">
        <f>63+F31</f>
        <v>62</v>
      </c>
      <c r="G103" s="7">
        <v>0.3</v>
      </c>
      <c r="H103" s="1">
        <v>62</v>
      </c>
      <c r="I103" s="1" t="s">
        <v>30</v>
      </c>
      <c r="J103" s="1"/>
      <c r="K103" s="1">
        <v>42</v>
      </c>
      <c r="L103" s="1">
        <f t="shared" si="31"/>
        <v>-11</v>
      </c>
      <c r="M103" s="1"/>
      <c r="N103" s="1"/>
      <c r="O103" s="1">
        <v>70</v>
      </c>
      <c r="P103" s="1">
        <f t="shared" si="32"/>
        <v>6.2</v>
      </c>
      <c r="Q103" s="5"/>
      <c r="R103" s="1">
        <f t="shared" si="33"/>
        <v>21.29032258064516</v>
      </c>
      <c r="S103" s="1">
        <f t="shared" si="34"/>
        <v>21.29032258064516</v>
      </c>
      <c r="T103" s="1">
        <v>5.8</v>
      </c>
      <c r="U103" s="1">
        <v>3.2</v>
      </c>
      <c r="V103" s="1">
        <v>0</v>
      </c>
      <c r="W103" s="1">
        <v>0</v>
      </c>
      <c r="X103" s="1" t="s">
        <v>142</v>
      </c>
      <c r="Y103" s="1">
        <f t="shared" si="29"/>
        <v>0</v>
      </c>
      <c r="Z103" s="1">
        <f t="shared" si="24"/>
        <v>1.8599999999999999</v>
      </c>
      <c r="AA103" s="19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 t="s">
        <v>143</v>
      </c>
      <c r="B104" s="1" t="s">
        <v>33</v>
      </c>
      <c r="C104" s="1"/>
      <c r="D104" s="1">
        <v>24</v>
      </c>
      <c r="E104" s="1">
        <v>3</v>
      </c>
      <c r="F104" s="1">
        <v>19</v>
      </c>
      <c r="G104" s="7">
        <v>0.1</v>
      </c>
      <c r="H104" s="1">
        <v>45</v>
      </c>
      <c r="I104" s="1" t="s">
        <v>30</v>
      </c>
      <c r="J104" s="1"/>
      <c r="K104" s="1">
        <v>11</v>
      </c>
      <c r="L104" s="1">
        <f t="shared" si="31"/>
        <v>-8</v>
      </c>
      <c r="M104" s="1"/>
      <c r="N104" s="1"/>
      <c r="O104" s="1">
        <v>70</v>
      </c>
      <c r="P104" s="1">
        <f t="shared" si="32"/>
        <v>0.6</v>
      </c>
      <c r="Q104" s="5"/>
      <c r="R104" s="1">
        <f t="shared" si="33"/>
        <v>148.33333333333334</v>
      </c>
      <c r="S104" s="1">
        <f t="shared" si="34"/>
        <v>148.33333333333334</v>
      </c>
      <c r="T104" s="1">
        <v>-0.2</v>
      </c>
      <c r="U104" s="1">
        <v>0</v>
      </c>
      <c r="V104" s="1">
        <v>0</v>
      </c>
      <c r="W104" s="1">
        <v>0</v>
      </c>
      <c r="X104" s="1" t="s">
        <v>144</v>
      </c>
      <c r="Y104" s="1">
        <f t="shared" si="29"/>
        <v>0</v>
      </c>
      <c r="Z104" s="1">
        <f t="shared" si="24"/>
        <v>0.06</v>
      </c>
      <c r="AA104" s="19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 t="s">
        <v>145</v>
      </c>
      <c r="B105" s="1" t="s">
        <v>33</v>
      </c>
      <c r="C105" s="1"/>
      <c r="D105" s="1"/>
      <c r="E105" s="1">
        <v>4</v>
      </c>
      <c r="F105" s="1">
        <v>-5</v>
      </c>
      <c r="G105" s="7">
        <v>0.1</v>
      </c>
      <c r="H105" s="1">
        <v>45</v>
      </c>
      <c r="I105" s="1" t="s">
        <v>30</v>
      </c>
      <c r="J105" s="1"/>
      <c r="K105" s="1">
        <v>19</v>
      </c>
      <c r="L105" s="1">
        <f t="shared" si="31"/>
        <v>-15</v>
      </c>
      <c r="M105" s="1"/>
      <c r="N105" s="1"/>
      <c r="O105" s="1">
        <v>70</v>
      </c>
      <c r="P105" s="1">
        <f t="shared" si="32"/>
        <v>0.8</v>
      </c>
      <c r="Q105" s="5"/>
      <c r="R105" s="1">
        <f t="shared" si="33"/>
        <v>81.25</v>
      </c>
      <c r="S105" s="1">
        <f t="shared" si="34"/>
        <v>81.25</v>
      </c>
      <c r="T105" s="1">
        <v>-0.2</v>
      </c>
      <c r="U105" s="1">
        <v>0</v>
      </c>
      <c r="V105" s="1">
        <v>0.6</v>
      </c>
      <c r="W105" s="1">
        <v>0.8</v>
      </c>
      <c r="X105" s="1" t="s">
        <v>146</v>
      </c>
      <c r="Y105" s="1">
        <f t="shared" si="29"/>
        <v>0</v>
      </c>
      <c r="Z105" s="1">
        <f t="shared" si="24"/>
        <v>8.0000000000000016E-2</v>
      </c>
      <c r="AA105" s="19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3" t="s">
        <v>147</v>
      </c>
      <c r="B106" s="13" t="s">
        <v>29</v>
      </c>
      <c r="C106" s="13"/>
      <c r="D106" s="13"/>
      <c r="E106" s="13"/>
      <c r="F106" s="13"/>
      <c r="G106" s="14">
        <v>0</v>
      </c>
      <c r="H106" s="13">
        <v>60</v>
      </c>
      <c r="I106" s="13" t="s">
        <v>30</v>
      </c>
      <c r="J106" s="13"/>
      <c r="K106" s="13"/>
      <c r="L106" s="13">
        <f t="shared" si="31"/>
        <v>0</v>
      </c>
      <c r="M106" s="13"/>
      <c r="N106" s="13"/>
      <c r="O106" s="13">
        <v>0</v>
      </c>
      <c r="P106" s="13">
        <f t="shared" si="32"/>
        <v>0</v>
      </c>
      <c r="Q106" s="15"/>
      <c r="R106" s="13" t="e">
        <f t="shared" si="33"/>
        <v>#DIV/0!</v>
      </c>
      <c r="S106" s="13" t="e">
        <f t="shared" si="34"/>
        <v>#DIV/0!</v>
      </c>
      <c r="T106" s="13">
        <v>0</v>
      </c>
      <c r="U106" s="13">
        <v>0</v>
      </c>
      <c r="V106" s="13">
        <v>0</v>
      </c>
      <c r="W106" s="13">
        <v>0</v>
      </c>
      <c r="X106" s="13" t="s">
        <v>100</v>
      </c>
      <c r="Y106" s="13"/>
      <c r="Z106" s="1">
        <f t="shared" si="24"/>
        <v>0</v>
      </c>
      <c r="AA106" s="19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3" t="s">
        <v>148</v>
      </c>
      <c r="B107" s="13" t="s">
        <v>29</v>
      </c>
      <c r="C107" s="13"/>
      <c r="D107" s="13"/>
      <c r="E107" s="13"/>
      <c r="F107" s="13"/>
      <c r="G107" s="14">
        <v>0</v>
      </c>
      <c r="H107" s="13"/>
      <c r="I107" s="13" t="s">
        <v>30</v>
      </c>
      <c r="J107" s="13"/>
      <c r="K107" s="13"/>
      <c r="L107" s="13">
        <f t="shared" si="31"/>
        <v>0</v>
      </c>
      <c r="M107" s="13"/>
      <c r="N107" s="13"/>
      <c r="O107" s="13">
        <v>0</v>
      </c>
      <c r="P107" s="13">
        <f t="shared" si="32"/>
        <v>0</v>
      </c>
      <c r="Q107" s="15"/>
      <c r="R107" s="13" t="e">
        <f t="shared" si="33"/>
        <v>#DIV/0!</v>
      </c>
      <c r="S107" s="13" t="e">
        <f t="shared" si="34"/>
        <v>#DIV/0!</v>
      </c>
      <c r="T107" s="13">
        <v>0</v>
      </c>
      <c r="U107" s="13">
        <v>0</v>
      </c>
      <c r="V107" s="13">
        <v>0</v>
      </c>
      <c r="W107" s="13">
        <v>0</v>
      </c>
      <c r="X107" s="13" t="s">
        <v>100</v>
      </c>
      <c r="Y107" s="13"/>
      <c r="Z107" s="1">
        <f t="shared" si="24"/>
        <v>0</v>
      </c>
      <c r="AA107" s="19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9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9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9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9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9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9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9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9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9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9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9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9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9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9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9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9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9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9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9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9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9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9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9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9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9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9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9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9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9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9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9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9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9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9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9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9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9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9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9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9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9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9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9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9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9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9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9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9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9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9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9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9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9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9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9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9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9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9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9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9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9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9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9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9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9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9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9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9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9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9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9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9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9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9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9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9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9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9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9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9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9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9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9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9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9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9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9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9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9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9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9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9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9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9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9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9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9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9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9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9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9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9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9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9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9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9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9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9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9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9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9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9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9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9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9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9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9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9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9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9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9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9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9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9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9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9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9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9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9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9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9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9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9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9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9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9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9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9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9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9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9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9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9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9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9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9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9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9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9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9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9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9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9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9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9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9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9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9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9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9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9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9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9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9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9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9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9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9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9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9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9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9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9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9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9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9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9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9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9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9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9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9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9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9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9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9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9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9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9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9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9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9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9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9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9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9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9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9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9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9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9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9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9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9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9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9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9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9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9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9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9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9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9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9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9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9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9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9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9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9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9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9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9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9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9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9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9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9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9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9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9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9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9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9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9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9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9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9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9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9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9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9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9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9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9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9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9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9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9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9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9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9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9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9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9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9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9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9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9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9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9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9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9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9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9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9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9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9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9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9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9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9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9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9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9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9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9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9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9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9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9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9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9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9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9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9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9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9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9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9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9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9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9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9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9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9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9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9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9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9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9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9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9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9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9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9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9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9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9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9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9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9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9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9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9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9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9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9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9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9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9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9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9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9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9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9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9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9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9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9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9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9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9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9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9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9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9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9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9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9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9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9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9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9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9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9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9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9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9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9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9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9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9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9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9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9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9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9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9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9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9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9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9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9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9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9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9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9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9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9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9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9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9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9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9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9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9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9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9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9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9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9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9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9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9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9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9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9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9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9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9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9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</sheetData>
  <autoFilter ref="A3:Y107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2026-10-26T15:01:02Z</dcterms:created>
  <dcterms:modified xsi:type="dcterms:W3CDTF">2026-10-27T09:37:22Z</dcterms:modified>
</cp:coreProperties>
</file>