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8A37D965-6A2F-4BB8-83AC-71EC6898D8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5" i="1" s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<sst xmlns="http://schemas.openxmlformats.org/spreadsheetml/2006/main" count="86" uniqueCount="51">
  <si>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</si>
  <si>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</si>
  <si>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</si>
  <si>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</si>
  <si>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</si>
  <si>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</si>
  <si>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</si>
  <si>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</si>
  <si>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</si>
  <si>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</si>
  <si>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</si>
  <si>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</si>
  <si>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</si>
  <si>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</si>
  <si>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</si>
  <si>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</si>
  <si>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</si>
  <si>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</si>
  <si>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</si>
  <si>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</si>
  <si>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</si>
  <si>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</si>
  <si>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</si>
  <si>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</si>
  <si>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</si>
  <si>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</si>
  <si>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</si>
  <si>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</si>
  <si>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</si>
  <si>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</si>
  <si>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</si>
  <si>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</si>
  <si>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</si>
  <si>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</si>
  <si>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</si>
  <si>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</si>
  <si>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</si>
  <si>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</si>
  <si>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</si>
  <si>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</si>
  <si>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</si>
  <si>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</si>
  <si>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</si>
  <si>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</si>
  <si>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</si>
  <si>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</si>
  <si>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</si>
  <si>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</si>
  <si>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</si>
  <si>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184кг в уценку (29,09,26)</t>
  </si>
  <si>
    <t>54кг в уценку (29,09,26)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</si>
</sst>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9" sqref="V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38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84.122</v>
      </c>
      <c r="F5" s="4">
        <f>SUM(F6:F500)</f>
        <v>978.40800000000002</v>
      </c>
      <c r="G5" s="7"/>
      <c r="H5" s="1"/>
      <c r="I5" s="1"/>
      <c r="J5" s="1"/>
      <c r="K5" s="4">
        <f t="shared" ref="K5:Q5" si="0">SUM(K6:K500)</f>
        <v>84</v>
      </c>
      <c r="L5" s="4">
        <f t="shared" si="0"/>
        <v>0.12199999999999989</v>
      </c>
      <c r="M5" s="4">
        <f t="shared" si="0"/>
        <v>0</v>
      </c>
      <c r="N5" s="4">
        <f t="shared" si="0"/>
        <v>0</v>
      </c>
      <c r="O5" s="4">
        <f t="shared" si="0"/>
        <v>170</v>
      </c>
      <c r="P5" s="4">
        <f t="shared" si="0"/>
        <v>16.824400000000001</v>
      </c>
      <c r="Q5" s="4">
        <f t="shared" si="0"/>
        <v>20</v>
      </c>
      <c r="R5" s="1"/>
      <c r="S5" s="1"/>
      <c r="T5" s="4">
        <f t="shared" ref="T5:AC5" si="1">SUM(T6:T500)</f>
        <v>14.9</v>
      </c>
      <c r="U5" s="4">
        <f t="shared" si="1"/>
        <v>67.129599999999996</v>
      </c>
      <c r="V5" s="4">
        <f t="shared" si="1"/>
        <v>51.828400000000002</v>
      </c>
      <c r="W5" s="4">
        <f t="shared" si="1"/>
        <v>21.6</v>
      </c>
      <c r="X5" s="4">
        <f t="shared" si="1"/>
        <v>100.2</v>
      </c>
      <c r="Y5" s="4">
        <f t="shared" si="1"/>
        <v>57.6</v>
      </c>
      <c r="Z5" s="4">
        <f t="shared" si="1"/>
        <v>15.600000000000001</v>
      </c>
      <c r="AA5" s="4">
        <f t="shared" si="1"/>
        <v>19</v>
      </c>
      <c r="AB5" s="4">
        <f t="shared" si="1"/>
        <v>136.226</v>
      </c>
      <c r="AC5" s="4">
        <f t="shared" si="1"/>
        <v>45.400000000000006</v>
      </c>
      <c r="AD5" s="1"/>
      <c r="AE5" s="4">
        <f>SUM(AE6:AE500)</f>
        <v>20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10</v>
      </c>
      <c r="D6" s="1">
        <v>10</v>
      </c>
      <c r="E6" s="1"/>
      <c r="F6" s="1">
        <v>10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>
        <v>40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1</v>
      </c>
      <c r="W6" s="1">
        <v>0</v>
      </c>
      <c r="X6" s="1">
        <v>2.2000000000000002</v>
      </c>
      <c r="Y6" s="1">
        <v>0.6</v>
      </c>
      <c r="Z6" s="1">
        <v>0.6</v>
      </c>
      <c r="AA6" s="1">
        <v>0</v>
      </c>
      <c r="AB6" s="1">
        <v>8.4</v>
      </c>
      <c r="AC6" s="1">
        <v>1</v>
      </c>
      <c r="AD6" s="1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184.40799999999999</v>
      </c>
      <c r="D7" s="1">
        <v>50.465000000000003</v>
      </c>
      <c r="E7" s="1">
        <v>4.5919999999999996</v>
      </c>
      <c r="F7" s="1">
        <v>-4.5919999999999996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9.1999999999999638E-2</v>
      </c>
      <c r="M7" s="1"/>
      <c r="N7" s="1"/>
      <c r="O7" s="1"/>
      <c r="P7" s="1">
        <f t="shared" ref="P7:P16" si="3">E7/5</f>
        <v>0.91839999999999988</v>
      </c>
      <c r="Q7" s="5">
        <v>10</v>
      </c>
      <c r="R7" s="1">
        <f t="shared" ref="R7:R16" si="4">(F7+O7+Q7)/P7</f>
        <v>5.8885017421602797</v>
      </c>
      <c r="S7" s="1">
        <f t="shared" ref="S7:S16" si="5">(F7+O7)/P7</f>
        <v>-5</v>
      </c>
      <c r="T7" s="1">
        <v>0</v>
      </c>
      <c r="U7" s="1">
        <v>0.91799999999999993</v>
      </c>
      <c r="V7" s="1">
        <v>0.91679999999999995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0.91880000000000006</v>
      </c>
      <c r="AC7" s="1">
        <v>0</v>
      </c>
      <c r="AD7" s="9" t="s">
        <v>49</v>
      </c>
      <c r="AE7" s="1">
        <f>G7*Q7</f>
        <v>10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38</v>
      </c>
      <c r="C8" s="1">
        <v>58.442</v>
      </c>
      <c r="D8" s="1">
        <v>27.207999999999998</v>
      </c>
      <c r="E8" s="1">
        <v>4.53</v>
      </c>
      <c r="F8" s="1"/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3.0000000000000249E-2</v>
      </c>
      <c r="M8" s="1"/>
      <c r="N8" s="1"/>
      <c r="O8" s="1"/>
      <c r="P8" s="1">
        <f t="shared" si="3"/>
        <v>0.90600000000000003</v>
      </c>
      <c r="Q8" s="5">
        <v>10</v>
      </c>
      <c r="R8" s="1">
        <f t="shared" si="4"/>
        <v>11.037527593818984</v>
      </c>
      <c r="S8" s="1">
        <f t="shared" si="5"/>
        <v>0</v>
      </c>
      <c r="T8" s="1">
        <v>0.9</v>
      </c>
      <c r="U8" s="1">
        <v>1.8116000000000001</v>
      </c>
      <c r="V8" s="1">
        <v>0.91159999999999997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0.9071999999999999</v>
      </c>
      <c r="AC8" s="1">
        <v>0</v>
      </c>
      <c r="AD8" s="9" t="s">
        <v>50</v>
      </c>
      <c r="AE8" s="1">
        <f>G8*Q8</f>
        <v>10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>
        <v>20</v>
      </c>
      <c r="D9" s="1"/>
      <c r="E9" s="1"/>
      <c r="F9" s="1">
        <v>10</v>
      </c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>
        <v>40</v>
      </c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210</v>
      </c>
      <c r="D10" s="1"/>
      <c r="E10" s="1">
        <v>9</v>
      </c>
      <c r="F10" s="1">
        <v>187</v>
      </c>
      <c r="G10" s="7">
        <v>0.3</v>
      </c>
      <c r="H10" s="1">
        <v>120</v>
      </c>
      <c r="I10" s="1" t="s">
        <v>35</v>
      </c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1">
        <f t="shared" si="4"/>
        <v>103.88888888888889</v>
      </c>
      <c r="S10" s="1">
        <f t="shared" si="5"/>
        <v>103.88888888888889</v>
      </c>
      <c r="T10" s="1">
        <v>1.4</v>
      </c>
      <c r="U10" s="1">
        <v>13</v>
      </c>
      <c r="V10" s="1">
        <v>5.8</v>
      </c>
      <c r="W10" s="1">
        <v>3.4</v>
      </c>
      <c r="X10" s="1">
        <v>21.6</v>
      </c>
      <c r="Y10" s="1">
        <v>12.2</v>
      </c>
      <c r="Z10" s="1">
        <v>1.2</v>
      </c>
      <c r="AA10" s="1">
        <v>2.4</v>
      </c>
      <c r="AB10" s="1">
        <v>37.4</v>
      </c>
      <c r="AC10" s="1">
        <v>16</v>
      </c>
      <c r="AD10" s="10" t="s">
        <v>39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43</v>
      </c>
      <c r="D11" s="1">
        <v>96</v>
      </c>
      <c r="E11" s="1">
        <v>17</v>
      </c>
      <c r="F11" s="1">
        <v>108</v>
      </c>
      <c r="G11" s="7">
        <v>0.3</v>
      </c>
      <c r="H11" s="1">
        <v>120</v>
      </c>
      <c r="I11" s="1" t="s">
        <v>35</v>
      </c>
      <c r="J11" s="1"/>
      <c r="K11" s="1">
        <v>17</v>
      </c>
      <c r="L11" s="1">
        <f t="shared" si="2"/>
        <v>0</v>
      </c>
      <c r="M11" s="1"/>
      <c r="N11" s="1"/>
      <c r="O11" s="1">
        <v>20</v>
      </c>
      <c r="P11" s="1">
        <f t="shared" si="3"/>
        <v>3.4</v>
      </c>
      <c r="Q11" s="5"/>
      <c r="R11" s="1">
        <f t="shared" si="4"/>
        <v>37.647058823529413</v>
      </c>
      <c r="S11" s="1">
        <f t="shared" si="5"/>
        <v>37.647058823529413</v>
      </c>
      <c r="T11" s="1">
        <v>1.2</v>
      </c>
      <c r="U11" s="1">
        <v>9.6</v>
      </c>
      <c r="V11" s="1">
        <v>3.4</v>
      </c>
      <c r="W11" s="1">
        <v>3.6</v>
      </c>
      <c r="X11" s="1">
        <v>9</v>
      </c>
      <c r="Y11" s="1">
        <v>5.8</v>
      </c>
      <c r="Z11" s="1">
        <v>1.4</v>
      </c>
      <c r="AA11" s="1">
        <v>4.4000000000000004</v>
      </c>
      <c r="AB11" s="1">
        <v>8.8000000000000007</v>
      </c>
      <c r="AC11" s="1">
        <v>4.4000000000000004</v>
      </c>
      <c r="AD11" s="10" t="s">
        <v>39</v>
      </c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254</v>
      </c>
      <c r="D12" s="1"/>
      <c r="E12" s="1">
        <v>20</v>
      </c>
      <c r="F12" s="1">
        <v>215</v>
      </c>
      <c r="G12" s="7">
        <v>0.35</v>
      </c>
      <c r="H12" s="1">
        <v>120</v>
      </c>
      <c r="I12" s="1" t="s">
        <v>35</v>
      </c>
      <c r="J12" s="1"/>
      <c r="K12" s="1">
        <v>20</v>
      </c>
      <c r="L12" s="1">
        <f t="shared" si="2"/>
        <v>0</v>
      </c>
      <c r="M12" s="1"/>
      <c r="N12" s="1"/>
      <c r="O12" s="1"/>
      <c r="P12" s="1">
        <f t="shared" si="3"/>
        <v>4</v>
      </c>
      <c r="Q12" s="5"/>
      <c r="R12" s="1">
        <f t="shared" si="4"/>
        <v>53.75</v>
      </c>
      <c r="S12" s="1">
        <f t="shared" si="5"/>
        <v>53.75</v>
      </c>
      <c r="T12" s="1">
        <v>3</v>
      </c>
      <c r="U12" s="1">
        <v>8.1999999999999993</v>
      </c>
      <c r="V12" s="1">
        <v>11</v>
      </c>
      <c r="W12" s="1">
        <v>2.6</v>
      </c>
      <c r="X12" s="1">
        <v>24.6</v>
      </c>
      <c r="Y12" s="1">
        <v>11.8</v>
      </c>
      <c r="Z12" s="1">
        <v>2.4</v>
      </c>
      <c r="AA12" s="1">
        <v>2.6</v>
      </c>
      <c r="AB12" s="1">
        <v>37.6</v>
      </c>
      <c r="AC12" s="1">
        <v>0.6</v>
      </c>
      <c r="AD12" s="10" t="s">
        <v>39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39</v>
      </c>
      <c r="D13" s="1">
        <v>36</v>
      </c>
      <c r="E13" s="1">
        <v>3</v>
      </c>
      <c r="F13" s="1">
        <v>53</v>
      </c>
      <c r="G13" s="7">
        <v>0.3</v>
      </c>
      <c r="H13" s="1">
        <v>120</v>
      </c>
      <c r="I13" s="1" t="s">
        <v>35</v>
      </c>
      <c r="J13" s="1"/>
      <c r="K13" s="1">
        <v>3</v>
      </c>
      <c r="L13" s="1">
        <f t="shared" si="2"/>
        <v>0</v>
      </c>
      <c r="M13" s="1"/>
      <c r="N13" s="1"/>
      <c r="O13" s="1">
        <v>20</v>
      </c>
      <c r="P13" s="1">
        <f t="shared" si="3"/>
        <v>0.6</v>
      </c>
      <c r="Q13" s="5"/>
      <c r="R13" s="1">
        <f t="shared" si="4"/>
        <v>121.66666666666667</v>
      </c>
      <c r="S13" s="1">
        <f t="shared" si="5"/>
        <v>121.66666666666667</v>
      </c>
      <c r="T13" s="1">
        <v>1</v>
      </c>
      <c r="U13" s="1">
        <v>6</v>
      </c>
      <c r="V13" s="1">
        <v>4.8</v>
      </c>
      <c r="W13" s="1">
        <v>3</v>
      </c>
      <c r="X13" s="1">
        <v>6.8</v>
      </c>
      <c r="Y13" s="1">
        <v>5.8</v>
      </c>
      <c r="Z13" s="1">
        <v>3.2</v>
      </c>
      <c r="AA13" s="1">
        <v>3.8</v>
      </c>
      <c r="AB13" s="1">
        <v>0.2</v>
      </c>
      <c r="AC13" s="1">
        <v>5</v>
      </c>
      <c r="AD13" s="10" t="s">
        <v>39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231</v>
      </c>
      <c r="D14" s="1">
        <v>36</v>
      </c>
      <c r="E14" s="1">
        <v>21</v>
      </c>
      <c r="F14" s="1">
        <v>232</v>
      </c>
      <c r="G14" s="7">
        <v>0.35</v>
      </c>
      <c r="H14" s="1">
        <v>120</v>
      </c>
      <c r="I14" s="1" t="s">
        <v>35</v>
      </c>
      <c r="J14" s="1"/>
      <c r="K14" s="1">
        <v>21</v>
      </c>
      <c r="L14" s="1">
        <f t="shared" si="2"/>
        <v>0</v>
      </c>
      <c r="M14" s="1"/>
      <c r="N14" s="1"/>
      <c r="O14" s="1"/>
      <c r="P14" s="1">
        <f t="shared" si="3"/>
        <v>4.2</v>
      </c>
      <c r="Q14" s="5"/>
      <c r="R14" s="1">
        <f t="shared" si="4"/>
        <v>55.238095238095234</v>
      </c>
      <c r="S14" s="1">
        <f t="shared" si="5"/>
        <v>55.238095238095234</v>
      </c>
      <c r="T14" s="1">
        <v>2.4</v>
      </c>
      <c r="U14" s="1">
        <v>18.8</v>
      </c>
      <c r="V14" s="1">
        <v>13.4</v>
      </c>
      <c r="W14" s="1">
        <v>5</v>
      </c>
      <c r="X14" s="1">
        <v>29.2</v>
      </c>
      <c r="Y14" s="1">
        <v>19.600000000000001</v>
      </c>
      <c r="Z14" s="1">
        <v>3.8</v>
      </c>
      <c r="AA14" s="1">
        <v>4.4000000000000004</v>
      </c>
      <c r="AB14" s="1">
        <v>39.4</v>
      </c>
      <c r="AC14" s="1">
        <v>16.2</v>
      </c>
      <c r="AD14" s="10" t="s">
        <v>39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101</v>
      </c>
      <c r="D15" s="1"/>
      <c r="E15" s="1"/>
      <c r="F15" s="1">
        <v>91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0.2</v>
      </c>
      <c r="V15" s="1">
        <v>0.2</v>
      </c>
      <c r="W15" s="1">
        <v>0</v>
      </c>
      <c r="X15" s="1">
        <v>1</v>
      </c>
      <c r="Y15" s="1">
        <v>0.6</v>
      </c>
      <c r="Z15" s="1">
        <v>0.6</v>
      </c>
      <c r="AA15" s="1">
        <v>0.4</v>
      </c>
      <c r="AB15" s="1">
        <v>1</v>
      </c>
      <c r="AC15" s="1">
        <v>0</v>
      </c>
      <c r="AD15" s="10" t="s">
        <v>39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107</v>
      </c>
      <c r="D16" s="1"/>
      <c r="E16" s="1">
        <v>5</v>
      </c>
      <c r="F16" s="1">
        <v>77</v>
      </c>
      <c r="G16" s="7">
        <v>0.7</v>
      </c>
      <c r="H16" s="1">
        <v>180</v>
      </c>
      <c r="I16" s="1" t="s">
        <v>35</v>
      </c>
      <c r="J16" s="1"/>
      <c r="K16" s="1">
        <v>5</v>
      </c>
      <c r="L16" s="1">
        <f t="shared" si="2"/>
        <v>0</v>
      </c>
      <c r="M16" s="1"/>
      <c r="N16" s="1"/>
      <c r="O16" s="1">
        <v>50</v>
      </c>
      <c r="P16" s="1">
        <f t="shared" si="3"/>
        <v>1</v>
      </c>
      <c r="Q16" s="5"/>
      <c r="R16" s="1">
        <f t="shared" si="4"/>
        <v>127</v>
      </c>
      <c r="S16" s="1">
        <f t="shared" si="5"/>
        <v>127</v>
      </c>
      <c r="T16" s="1">
        <v>5</v>
      </c>
      <c r="U16" s="1">
        <v>8.6</v>
      </c>
      <c r="V16" s="1">
        <v>10.4</v>
      </c>
      <c r="W16" s="1">
        <v>4</v>
      </c>
      <c r="X16" s="1">
        <v>5.8</v>
      </c>
      <c r="Y16" s="1">
        <v>1.2</v>
      </c>
      <c r="Z16" s="1">
        <v>2.4</v>
      </c>
      <c r="AA16" s="1">
        <v>1</v>
      </c>
      <c r="AB16" s="1">
        <v>1.6</v>
      </c>
      <c r="AC16" s="1">
        <v>2.2000000000000002</v>
      </c>
      <c r="AD16" s="10" t="s">
        <v>39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2026-10-05T15:53:52Z</dcterms:created>
  <dcterms:modified xsi:type="dcterms:W3CDTF">2026-10-05T15:58:25Z</dcterms:modified>
</cp:coreProperties>
</file>