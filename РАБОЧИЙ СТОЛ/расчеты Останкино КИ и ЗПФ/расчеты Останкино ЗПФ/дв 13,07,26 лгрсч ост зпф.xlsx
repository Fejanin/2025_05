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ЗПФ\"/>
    </mc:Choice>
  </mc:AlternateContent>
  <xr:revisionPtr revIDLastSave="0" documentId="13_ncr:1_{0F618787-D4E9-45EF-A32C-9EA62C9D988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8" i="1" l="1"/>
  <c r="W10" i="1"/>
  <c r="Q11" i="1"/>
  <c r="Q12" i="1"/>
  <c r="W12" i="1" s="1"/>
  <c r="W14" i="1"/>
  <c r="W1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S6" i="1"/>
  <c r="R6" i="1"/>
  <c r="P7" i="1"/>
  <c r="P8" i="1"/>
  <c r="P9" i="1"/>
  <c r="P10" i="1"/>
  <c r="P11" i="1"/>
  <c r="P12" i="1"/>
  <c r="P13" i="1"/>
  <c r="P14" i="1"/>
  <c r="P15" i="1"/>
  <c r="P16" i="1"/>
  <c r="P6" i="1"/>
  <c r="L16" i="1"/>
  <c r="W15" i="1"/>
  <c r="L15" i="1"/>
  <c r="L14" i="1"/>
  <c r="W13" i="1"/>
  <c r="L13" i="1"/>
  <c r="L12" i="1"/>
  <c r="W11" i="1"/>
  <c r="L11" i="1"/>
  <c r="L10" i="1"/>
  <c r="W9" i="1"/>
  <c r="L9" i="1"/>
  <c r="L8" i="1"/>
  <c r="W7" i="1"/>
  <c r="L7" i="1"/>
  <c r="W6" i="1"/>
  <c r="L6" i="1"/>
  <c r="L5" i="1" s="1"/>
  <c r="U5" i="1"/>
  <c r="T5" i="1"/>
  <c r="O5" i="1"/>
  <c r="N5" i="1"/>
  <c r="M5" i="1"/>
  <c r="K5" i="1"/>
  <c r="F5" i="1"/>
  <c r="E5" i="1"/>
  <c r="W5" i="1" l="1"/>
  <c r="Q5" i="1"/>
  <c r="P5" i="1"/>
</calcChain>
</file>

<file path=xl/sharedStrings.xml><?xml version="1.0" encoding="utf-8"?>
<sst xmlns="http://schemas.openxmlformats.org/spreadsheetml/2006/main" count="64" uniqueCount="40">
  <si>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</si>
  <si>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</si>
  <si>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</si>
  <si>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</si>
  <si>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</si>
  <si>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</si>
  <si>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</si>
  <si>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</si>
  <si>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</si>
  <si>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</si>
  <si>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</si>
  <si>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</si>
  <si>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</si>
  <si>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</si>
  <si>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</si>
  <si>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</si>
  <si>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</si>
  <si>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</si>
  <si>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</si>
  <si>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</si>
  <si>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</si>
  <si>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</si>
  <si>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13,07,</t>
  </si>
  <si>
    <t>06,07,</t>
  </si>
  <si>
    <t>29,06,</t>
  </si>
  <si>
    <t>5579 БЛИНЧ.КРУГЛЫЕ С САД.ЯБЛОК.пл.1/420 зам. ОСТАНКИНО</t>
  </si>
  <si>
    <t>шт</t>
  </si>
  <si>
    <t>5754 БЛИНЧ.КРУГЛЫЕ С МЯСОМ 4,5кг зам. ПМ ОСТАНКИНО</t>
  </si>
  <si>
    <t>кг</t>
  </si>
  <si>
    <t>нужно увеличить продажи!!!</t>
  </si>
  <si>
    <t>5755 БЛИНЧ.КРУГЛЫЕ С ТВОРОГОМ 4,5кг зам. ПМ ОСТАНКИНО</t>
  </si>
  <si>
    <t>5897 БЛИНЧ.КРУГЛЫЕ С ГРУШЕЙ пл.1/420 зам.   ОСТАНКИНО</t>
  </si>
  <si>
    <t>6148 БЛИНЧ.КРУГЛЫЕ С ВЕТЧ.И СЫР. ПМ 1/300 зам. ОСТАНКИНО</t>
  </si>
  <si>
    <t>6149 БЛИНЧ.КРУГЛЫЕ С ПЕЧЕНЬЮ ПМ 1/300 зам. ОСТАНКИНО</t>
  </si>
  <si>
    <t>6168 Блинчики с мясом пл. 1/350 зам. ОСТАНКИНО</t>
  </si>
  <si>
    <t>6202 БЛИНЧ.КРУГЛЫЕ С ТВОРОГОМ ПМ 1/300 зам. ОСТАНКИНО</t>
  </si>
  <si>
    <t>6209 Блинчики с куриным мясом пл. 1/350 зам. ОСТАНКИНО</t>
  </si>
  <si>
    <t>6819 БЛИНЧ.КРУГЛЫЕ С САД.ЯБЛОК. пл. 1/300 зам. ОСТАНКИНО</t>
  </si>
  <si>
    <t>7216 СОЧНЫЕ СО СЛ.МАСЛ.ПМ пельм пл.0.7кг зам. ОСТАНКИНО</t>
  </si>
  <si>
    <t>матрица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</si>
</sst>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1" fillId="0" borderId="1" xfId="1" applyNumberFormat="1" applyFill="1"/>
    <xf numFmtId="2" fontId="1" fillId="0" borderId="1" xfId="1" applyNumberFormat="1"/>
    <xf numFmtId="2" fontId="2" fillId="2" borderId="1" xfId="1" applyNumberFormat="1" applyFont="1" applyFill="1"/>
    <xf numFmtId="164" fontId="4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B22" sqref="AB2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28515625" customWidth="1"/>
    <col min="10" max="10" width="1" customWidth="1"/>
    <col min="11" max="12" width="7" customWidth="1"/>
    <col min="13" max="14" width="0.5703125" customWidth="1"/>
    <col min="15" max="17" width="7" customWidth="1"/>
    <col min="18" max="19" width="5" customWidth="1"/>
    <col min="20" max="21" width="6" customWidth="1"/>
    <col min="22" max="22" width="40.5703125" customWidth="1"/>
    <col min="23" max="23" width="7" customWidth="1"/>
    <col min="24" max="49" width="3" customWidth="1"/>
  </cols>
  <sheetData>
    <row r="1" spans="1:49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2" t="s">
        <v>17</v>
      </c>
      <c r="S3" s="2" t="s">
        <v>18</v>
      </c>
      <c r="T3" s="2" t="s">
        <v>19</v>
      </c>
      <c r="U3" s="2" t="s">
        <v>19</v>
      </c>
      <c r="V3" s="2" t="s">
        <v>20</v>
      </c>
      <c r="W3" s="2" t="s">
        <v>21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22</v>
      </c>
      <c r="P4" s="1" t="s">
        <v>22</v>
      </c>
      <c r="Q4" s="1"/>
      <c r="R4" s="1"/>
      <c r="S4" s="1"/>
      <c r="T4" s="1" t="s">
        <v>23</v>
      </c>
      <c r="U4" s="1" t="s">
        <v>24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437</v>
      </c>
      <c r="F5" s="4">
        <f>SUM(F6:F500)</f>
        <v>949.28800000000001</v>
      </c>
      <c r="G5" s="8"/>
      <c r="H5" s="1"/>
      <c r="I5" s="1"/>
      <c r="J5" s="1"/>
      <c r="K5" s="4">
        <f t="shared" ref="K5:Q5" si="0">SUM(K6:K500)</f>
        <v>924</v>
      </c>
      <c r="L5" s="4">
        <f t="shared" si="0"/>
        <v>-487</v>
      </c>
      <c r="M5" s="4">
        <f t="shared" si="0"/>
        <v>0</v>
      </c>
      <c r="N5" s="4">
        <f t="shared" si="0"/>
        <v>0</v>
      </c>
      <c r="O5" s="4">
        <f t="shared" si="0"/>
        <v>1090</v>
      </c>
      <c r="P5" s="4">
        <f t="shared" si="0"/>
        <v>87.4</v>
      </c>
      <c r="Q5" s="4">
        <f t="shared" si="0"/>
        <v>159</v>
      </c>
      <c r="R5" s="1"/>
      <c r="S5" s="1"/>
      <c r="T5" s="4">
        <f>SUM(T6:T500)</f>
        <v>130.39999999999998</v>
      </c>
      <c r="U5" s="4">
        <f>SUM(U6:U500)</f>
        <v>95.042399999999986</v>
      </c>
      <c r="V5" s="1"/>
      <c r="W5" s="4">
        <f>SUM(W6:W500)</f>
        <v>48.8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7" t="s">
        <v>25</v>
      </c>
      <c r="B6" s="1" t="s">
        <v>26</v>
      </c>
      <c r="C6" s="1"/>
      <c r="D6" s="1"/>
      <c r="E6" s="1"/>
      <c r="F6" s="1"/>
      <c r="G6" s="8">
        <v>0.42</v>
      </c>
      <c r="H6" s="1"/>
      <c r="I6" s="1" t="s">
        <v>39</v>
      </c>
      <c r="J6" s="1"/>
      <c r="K6" s="1">
        <v>91</v>
      </c>
      <c r="L6" s="1">
        <f t="shared" ref="L6:L16" si="1">E6-K6</f>
        <v>-91</v>
      </c>
      <c r="M6" s="1"/>
      <c r="N6" s="1"/>
      <c r="O6" s="1">
        <v>50</v>
      </c>
      <c r="P6" s="1">
        <f>E6/5</f>
        <v>0</v>
      </c>
      <c r="Q6" s="5"/>
      <c r="R6" s="1" t="e">
        <f>(F6+O6+Q6)/P6</f>
        <v>#DIV/0!</v>
      </c>
      <c r="S6" s="1" t="e">
        <f>(F6+O6)/P6</f>
        <v>#DIV/0!</v>
      </c>
      <c r="T6" s="1">
        <v>0</v>
      </c>
      <c r="U6" s="1">
        <v>0</v>
      </c>
      <c r="V6" s="1"/>
      <c r="W6" s="1">
        <f t="shared" ref="W6:W16" si="2">G6*Q6</f>
        <v>0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7" t="s">
        <v>27</v>
      </c>
      <c r="B7" s="1" t="s">
        <v>28</v>
      </c>
      <c r="C7" s="1">
        <v>157.28800000000001</v>
      </c>
      <c r="D7" s="1"/>
      <c r="E7" s="1">
        <v>18</v>
      </c>
      <c r="F7" s="1">
        <v>139.28800000000001</v>
      </c>
      <c r="G7" s="8">
        <v>1</v>
      </c>
      <c r="H7" s="1"/>
      <c r="I7" s="1" t="s">
        <v>39</v>
      </c>
      <c r="J7" s="1"/>
      <c r="K7" s="1">
        <v>27</v>
      </c>
      <c r="L7" s="1">
        <f t="shared" si="1"/>
        <v>-9</v>
      </c>
      <c r="M7" s="1"/>
      <c r="N7" s="1"/>
      <c r="O7" s="1"/>
      <c r="P7" s="1">
        <f t="shared" ref="P7:P16" si="3">E7/5</f>
        <v>3.6</v>
      </c>
      <c r="Q7" s="5"/>
      <c r="R7" s="1">
        <f t="shared" ref="R7:R16" si="4">(F7+O7+Q7)/P7</f>
        <v>38.691111111111113</v>
      </c>
      <c r="S7" s="1">
        <f t="shared" ref="S7:S16" si="5">(F7+O7)/P7</f>
        <v>38.691111111111113</v>
      </c>
      <c r="T7" s="1">
        <v>3.6</v>
      </c>
      <c r="U7" s="1">
        <v>6.3423999999999996</v>
      </c>
      <c r="V7" s="10" t="s">
        <v>29</v>
      </c>
      <c r="W7" s="1">
        <f t="shared" si="2"/>
        <v>0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7" t="s">
        <v>30</v>
      </c>
      <c r="B8" s="1" t="s">
        <v>28</v>
      </c>
      <c r="C8" s="1">
        <v>306</v>
      </c>
      <c r="D8" s="1"/>
      <c r="E8" s="1"/>
      <c r="F8" s="1">
        <v>306</v>
      </c>
      <c r="G8" s="8">
        <v>1</v>
      </c>
      <c r="H8" s="1"/>
      <c r="I8" s="1" t="s">
        <v>39</v>
      </c>
      <c r="J8" s="1"/>
      <c r="K8" s="1"/>
      <c r="L8" s="1">
        <f t="shared" si="1"/>
        <v>0</v>
      </c>
      <c r="M8" s="1"/>
      <c r="N8" s="1"/>
      <c r="O8" s="1"/>
      <c r="P8" s="1">
        <f t="shared" si="3"/>
        <v>0</v>
      </c>
      <c r="Q8" s="5"/>
      <c r="R8" s="1" t="e">
        <f t="shared" si="4"/>
        <v>#DIV/0!</v>
      </c>
      <c r="S8" s="1" t="e">
        <f t="shared" si="5"/>
        <v>#DIV/0!</v>
      </c>
      <c r="T8" s="1">
        <v>1.8</v>
      </c>
      <c r="U8" s="1">
        <v>0.9</v>
      </c>
      <c r="V8" s="10" t="s">
        <v>29</v>
      </c>
      <c r="W8" s="1">
        <f t="shared" si="2"/>
        <v>0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7" t="s">
        <v>31</v>
      </c>
      <c r="B9" s="1" t="s">
        <v>26</v>
      </c>
      <c r="C9" s="1"/>
      <c r="D9" s="1"/>
      <c r="E9" s="1"/>
      <c r="F9" s="1"/>
      <c r="G9" s="8">
        <v>0.42</v>
      </c>
      <c r="H9" s="1"/>
      <c r="I9" s="1" t="s">
        <v>39</v>
      </c>
      <c r="J9" s="1"/>
      <c r="K9" s="1">
        <v>85</v>
      </c>
      <c r="L9" s="1">
        <f t="shared" si="1"/>
        <v>-85</v>
      </c>
      <c r="M9" s="1"/>
      <c r="N9" s="1"/>
      <c r="O9" s="1">
        <v>80</v>
      </c>
      <c r="P9" s="1">
        <f t="shared" si="3"/>
        <v>0</v>
      </c>
      <c r="Q9" s="5"/>
      <c r="R9" s="1" t="e">
        <f t="shared" si="4"/>
        <v>#DIV/0!</v>
      </c>
      <c r="S9" s="1" t="e">
        <f t="shared" si="5"/>
        <v>#DIV/0!</v>
      </c>
      <c r="T9" s="1">
        <v>0</v>
      </c>
      <c r="U9" s="1">
        <v>0</v>
      </c>
      <c r="V9" s="1"/>
      <c r="W9" s="1">
        <f t="shared" si="2"/>
        <v>0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7" t="s">
        <v>32</v>
      </c>
      <c r="B10" s="1" t="s">
        <v>26</v>
      </c>
      <c r="C10" s="1">
        <v>85</v>
      </c>
      <c r="D10" s="1"/>
      <c r="E10" s="1">
        <v>78</v>
      </c>
      <c r="F10" s="1">
        <v>7</v>
      </c>
      <c r="G10" s="8">
        <v>0.3</v>
      </c>
      <c r="H10" s="1"/>
      <c r="I10" s="1" t="s">
        <v>39</v>
      </c>
      <c r="J10" s="1"/>
      <c r="K10" s="1">
        <v>170</v>
      </c>
      <c r="L10" s="1">
        <f t="shared" si="1"/>
        <v>-92</v>
      </c>
      <c r="M10" s="1"/>
      <c r="N10" s="1"/>
      <c r="O10" s="1">
        <v>270</v>
      </c>
      <c r="P10" s="1">
        <f t="shared" si="3"/>
        <v>15.6</v>
      </c>
      <c r="Q10" s="5"/>
      <c r="R10" s="1">
        <f t="shared" si="4"/>
        <v>17.756410256410255</v>
      </c>
      <c r="S10" s="1">
        <f t="shared" si="5"/>
        <v>17.756410256410255</v>
      </c>
      <c r="T10" s="1">
        <v>25.4</v>
      </c>
      <c r="U10" s="1">
        <v>14.6</v>
      </c>
      <c r="V10" s="1"/>
      <c r="W10" s="1">
        <f t="shared" si="2"/>
        <v>0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7" t="s">
        <v>33</v>
      </c>
      <c r="B11" s="1" t="s">
        <v>26</v>
      </c>
      <c r="C11" s="1">
        <v>257</v>
      </c>
      <c r="D11" s="1"/>
      <c r="E11" s="1">
        <v>121</v>
      </c>
      <c r="F11" s="1">
        <v>136</v>
      </c>
      <c r="G11" s="8">
        <v>0.3</v>
      </c>
      <c r="H11" s="1"/>
      <c r="I11" s="1" t="s">
        <v>39</v>
      </c>
      <c r="J11" s="1"/>
      <c r="K11" s="1">
        <v>121</v>
      </c>
      <c r="L11" s="1">
        <f t="shared" si="1"/>
        <v>0</v>
      </c>
      <c r="M11" s="1"/>
      <c r="N11" s="1"/>
      <c r="O11" s="1">
        <v>90</v>
      </c>
      <c r="P11" s="1">
        <f t="shared" si="3"/>
        <v>24.2</v>
      </c>
      <c r="Q11" s="5">
        <f t="shared" ref="Q11:Q12" si="6">15*P11-O11-F11</f>
        <v>137</v>
      </c>
      <c r="R11" s="1">
        <f t="shared" si="4"/>
        <v>15</v>
      </c>
      <c r="S11" s="1">
        <f t="shared" si="5"/>
        <v>9.338842975206612</v>
      </c>
      <c r="T11" s="1">
        <v>24.6</v>
      </c>
      <c r="U11" s="1">
        <v>11.4</v>
      </c>
      <c r="V11" s="1"/>
      <c r="W11" s="1">
        <f t="shared" si="2"/>
        <v>41.1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7" t="s">
        <v>34</v>
      </c>
      <c r="B12" s="1" t="s">
        <v>26</v>
      </c>
      <c r="C12" s="1">
        <v>198</v>
      </c>
      <c r="D12" s="1"/>
      <c r="E12" s="1">
        <v>95</v>
      </c>
      <c r="F12" s="1">
        <v>103</v>
      </c>
      <c r="G12" s="8">
        <v>0.35</v>
      </c>
      <c r="H12" s="1"/>
      <c r="I12" s="1" t="s">
        <v>39</v>
      </c>
      <c r="J12" s="1"/>
      <c r="K12" s="1">
        <v>95</v>
      </c>
      <c r="L12" s="1">
        <f t="shared" si="1"/>
        <v>0</v>
      </c>
      <c r="M12" s="1"/>
      <c r="N12" s="1"/>
      <c r="O12" s="1">
        <v>160</v>
      </c>
      <c r="P12" s="1">
        <f t="shared" si="3"/>
        <v>19</v>
      </c>
      <c r="Q12" s="5">
        <f t="shared" si="6"/>
        <v>22</v>
      </c>
      <c r="R12" s="1">
        <f t="shared" si="4"/>
        <v>15</v>
      </c>
      <c r="S12" s="1">
        <f t="shared" si="5"/>
        <v>13.842105263157896</v>
      </c>
      <c r="T12" s="1">
        <v>25.4</v>
      </c>
      <c r="U12" s="1">
        <v>12.4</v>
      </c>
      <c r="V12" s="1"/>
      <c r="W12" s="1">
        <f t="shared" si="2"/>
        <v>7.6999999999999993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7" t="s">
        <v>35</v>
      </c>
      <c r="B13" s="1" t="s">
        <v>26</v>
      </c>
      <c r="C13" s="1">
        <v>84</v>
      </c>
      <c r="D13" s="1"/>
      <c r="E13" s="1">
        <v>85</v>
      </c>
      <c r="F13" s="1">
        <v>-1</v>
      </c>
      <c r="G13" s="8">
        <v>0.3</v>
      </c>
      <c r="H13" s="1"/>
      <c r="I13" s="1" t="s">
        <v>39</v>
      </c>
      <c r="J13" s="1"/>
      <c r="K13" s="1">
        <v>112</v>
      </c>
      <c r="L13" s="1">
        <f t="shared" si="1"/>
        <v>-27</v>
      </c>
      <c r="M13" s="1"/>
      <c r="N13" s="1"/>
      <c r="O13" s="1">
        <v>290</v>
      </c>
      <c r="P13" s="1">
        <f t="shared" si="3"/>
        <v>17</v>
      </c>
      <c r="Q13" s="5"/>
      <c r="R13" s="1">
        <f t="shared" si="4"/>
        <v>17</v>
      </c>
      <c r="S13" s="1">
        <f t="shared" si="5"/>
        <v>17</v>
      </c>
      <c r="T13" s="1">
        <v>28.4</v>
      </c>
      <c r="U13" s="1">
        <v>8.6</v>
      </c>
      <c r="V13" s="1"/>
      <c r="W13" s="1">
        <f t="shared" si="2"/>
        <v>0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7" t="s">
        <v>36</v>
      </c>
      <c r="B14" s="1" t="s">
        <v>26</v>
      </c>
      <c r="C14" s="1">
        <v>265</v>
      </c>
      <c r="D14" s="1"/>
      <c r="E14" s="1">
        <v>40</v>
      </c>
      <c r="F14" s="1">
        <v>225</v>
      </c>
      <c r="G14" s="8">
        <v>0.35</v>
      </c>
      <c r="H14" s="1"/>
      <c r="I14" s="1" t="s">
        <v>39</v>
      </c>
      <c r="J14" s="1"/>
      <c r="K14" s="1">
        <v>40</v>
      </c>
      <c r="L14" s="1">
        <f t="shared" si="1"/>
        <v>0</v>
      </c>
      <c r="M14" s="1"/>
      <c r="N14" s="1"/>
      <c r="O14" s="1"/>
      <c r="P14" s="1">
        <f t="shared" si="3"/>
        <v>8</v>
      </c>
      <c r="Q14" s="5"/>
      <c r="R14" s="1">
        <f t="shared" si="4"/>
        <v>28.125</v>
      </c>
      <c r="S14" s="1">
        <f t="shared" si="5"/>
        <v>28.125</v>
      </c>
      <c r="T14" s="1">
        <v>16.600000000000001</v>
      </c>
      <c r="U14" s="1">
        <v>14.4</v>
      </c>
      <c r="V14" s="10" t="s">
        <v>29</v>
      </c>
      <c r="W14" s="1">
        <f t="shared" si="2"/>
        <v>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7" t="s">
        <v>37</v>
      </c>
      <c r="B15" s="1" t="s">
        <v>26</v>
      </c>
      <c r="C15" s="1"/>
      <c r="D15" s="1"/>
      <c r="E15" s="1"/>
      <c r="F15" s="1"/>
      <c r="G15" s="8">
        <v>0.3</v>
      </c>
      <c r="H15" s="1"/>
      <c r="I15" s="1" t="s">
        <v>39</v>
      </c>
      <c r="J15" s="1"/>
      <c r="K15" s="1">
        <v>62</v>
      </c>
      <c r="L15" s="1">
        <f t="shared" si="1"/>
        <v>-62</v>
      </c>
      <c r="M15" s="1"/>
      <c r="N15" s="1"/>
      <c r="O15" s="1">
        <v>100</v>
      </c>
      <c r="P15" s="1">
        <f t="shared" si="3"/>
        <v>0</v>
      </c>
      <c r="Q15" s="5"/>
      <c r="R15" s="1" t="e">
        <f t="shared" si="4"/>
        <v>#DIV/0!</v>
      </c>
      <c r="S15" s="1" t="e">
        <f t="shared" si="5"/>
        <v>#DIV/0!</v>
      </c>
      <c r="T15" s="1">
        <v>0</v>
      </c>
      <c r="U15" s="1">
        <v>0</v>
      </c>
      <c r="V15" s="1"/>
      <c r="W15" s="1">
        <f t="shared" si="2"/>
        <v>0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38</v>
      </c>
      <c r="B16" s="1" t="s">
        <v>26</v>
      </c>
      <c r="C16" s="1">
        <v>35</v>
      </c>
      <c r="D16" s="1"/>
      <c r="E16" s="1"/>
      <c r="F16" s="1">
        <v>34</v>
      </c>
      <c r="G16" s="8">
        <v>0.7</v>
      </c>
      <c r="H16" s="1"/>
      <c r="I16" s="1" t="s">
        <v>39</v>
      </c>
      <c r="J16" s="1"/>
      <c r="K16" s="1">
        <v>121</v>
      </c>
      <c r="L16" s="1">
        <f t="shared" si="1"/>
        <v>-121</v>
      </c>
      <c r="M16" s="1"/>
      <c r="N16" s="1"/>
      <c r="O16" s="1">
        <v>50</v>
      </c>
      <c r="P16" s="1">
        <f t="shared" si="3"/>
        <v>0</v>
      </c>
      <c r="Q16" s="5"/>
      <c r="R16" s="1" t="e">
        <f t="shared" si="4"/>
        <v>#DIV/0!</v>
      </c>
      <c r="S16" s="1" t="e">
        <f t="shared" si="5"/>
        <v>#DIV/0!</v>
      </c>
      <c r="T16" s="1">
        <v>4.5999999999999996</v>
      </c>
      <c r="U16" s="1">
        <v>26.4</v>
      </c>
      <c r="V16" s="10" t="s">
        <v>29</v>
      </c>
      <c r="W16" s="1">
        <f t="shared" si="2"/>
        <v>0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/>
      <c r="B17" s="1"/>
      <c r="C17" s="1"/>
      <c r="D17" s="1"/>
      <c r="E17" s="1"/>
      <c r="F17" s="1"/>
      <c r="G17" s="8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/>
      <c r="B18" s="1"/>
      <c r="C18" s="1"/>
      <c r="D18" s="1"/>
      <c r="E18" s="1"/>
      <c r="F18" s="1"/>
      <c r="G18" s="8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/>
      <c r="B19" s="1"/>
      <c r="C19" s="1"/>
      <c r="D19" s="1"/>
      <c r="E19" s="1"/>
      <c r="F19" s="1"/>
      <c r="G19" s="8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/>
      <c r="B20" s="1"/>
      <c r="C20" s="1"/>
      <c r="D20" s="1"/>
      <c r="E20" s="1"/>
      <c r="F20" s="1"/>
      <c r="G20" s="8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/>
      <c r="B21" s="1"/>
      <c r="C21" s="1"/>
      <c r="D21" s="1"/>
      <c r="E21" s="1"/>
      <c r="F21" s="1"/>
      <c r="G21" s="8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/>
      <c r="B22" s="1"/>
      <c r="C22" s="1"/>
      <c r="D22" s="1"/>
      <c r="E22" s="1"/>
      <c r="F22" s="1"/>
      <c r="G22" s="8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/>
      <c r="B23" s="1"/>
      <c r="C23" s="1"/>
      <c r="D23" s="1"/>
      <c r="E23" s="1"/>
      <c r="F23" s="1"/>
      <c r="G23" s="8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/>
      <c r="B24" s="1"/>
      <c r="C24" s="1"/>
      <c r="D24" s="1"/>
      <c r="E24" s="1"/>
      <c r="F24" s="1"/>
      <c r="G24" s="8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/>
      <c r="B25" s="1"/>
      <c r="C25" s="1"/>
      <c r="D25" s="1"/>
      <c r="E25" s="1"/>
      <c r="F25" s="1"/>
      <c r="G25" s="8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/>
      <c r="B26" s="1"/>
      <c r="C26" s="1"/>
      <c r="D26" s="1"/>
      <c r="E26" s="1"/>
      <c r="F26" s="1"/>
      <c r="G26" s="8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/>
      <c r="B27" s="1"/>
      <c r="C27" s="1"/>
      <c r="D27" s="1"/>
      <c r="E27" s="1"/>
      <c r="F27" s="1"/>
      <c r="G27" s="8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/>
      <c r="B28" s="1"/>
      <c r="C28" s="1"/>
      <c r="D28" s="1"/>
      <c r="E28" s="1"/>
      <c r="F28" s="1"/>
      <c r="G28" s="8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/>
      <c r="B29" s="1"/>
      <c r="C29" s="1"/>
      <c r="D29" s="1"/>
      <c r="E29" s="1"/>
      <c r="F29" s="1"/>
      <c r="G29" s="8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/>
      <c r="B30" s="1"/>
      <c r="C30" s="1"/>
      <c r="D30" s="1"/>
      <c r="E30" s="1"/>
      <c r="F30" s="1"/>
      <c r="G30" s="8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/>
      <c r="B31" s="1"/>
      <c r="C31" s="1"/>
      <c r="D31" s="1"/>
      <c r="E31" s="1"/>
      <c r="F31" s="1"/>
      <c r="G31" s="8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/>
      <c r="B32" s="1"/>
      <c r="C32" s="1"/>
      <c r="D32" s="1"/>
      <c r="E32" s="1"/>
      <c r="F32" s="1"/>
      <c r="G32" s="8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/>
      <c r="B33" s="1"/>
      <c r="C33" s="1"/>
      <c r="D33" s="1"/>
      <c r="E33" s="1"/>
      <c r="F33" s="1"/>
      <c r="G33" s="8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/>
      <c r="B34" s="1"/>
      <c r="C34" s="1"/>
      <c r="D34" s="1"/>
      <c r="E34" s="1"/>
      <c r="F34" s="1"/>
      <c r="G34" s="8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/>
      <c r="B35" s="1"/>
      <c r="C35" s="1"/>
      <c r="D35" s="1"/>
      <c r="E35" s="1"/>
      <c r="F35" s="1"/>
      <c r="G35" s="8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/>
      <c r="B36" s="1"/>
      <c r="C36" s="1"/>
      <c r="D36" s="1"/>
      <c r="E36" s="1"/>
      <c r="F36" s="1"/>
      <c r="G36" s="8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/>
      <c r="B37" s="1"/>
      <c r="C37" s="1"/>
      <c r="D37" s="1"/>
      <c r="E37" s="1"/>
      <c r="F37" s="1"/>
      <c r="G37" s="8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/>
      <c r="B38" s="1"/>
      <c r="C38" s="1"/>
      <c r="D38" s="1"/>
      <c r="E38" s="1"/>
      <c r="F38" s="1"/>
      <c r="G38" s="8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/>
      <c r="B39" s="1"/>
      <c r="C39" s="1"/>
      <c r="D39" s="1"/>
      <c r="E39" s="1"/>
      <c r="F39" s="1"/>
      <c r="G39" s="8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/>
      <c r="B40" s="1"/>
      <c r="C40" s="1"/>
      <c r="D40" s="1"/>
      <c r="E40" s="1"/>
      <c r="F40" s="1"/>
      <c r="G40" s="8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/>
      <c r="B41" s="1"/>
      <c r="C41" s="1"/>
      <c r="D41" s="1"/>
      <c r="E41" s="1"/>
      <c r="F41" s="1"/>
      <c r="G41" s="8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/>
      <c r="B42" s="1"/>
      <c r="C42" s="1"/>
      <c r="D42" s="1"/>
      <c r="E42" s="1"/>
      <c r="F42" s="1"/>
      <c r="G42" s="8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/>
      <c r="B43" s="1"/>
      <c r="C43" s="1"/>
      <c r="D43" s="1"/>
      <c r="E43" s="1"/>
      <c r="F43" s="1"/>
      <c r="G43" s="8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/>
      <c r="B44" s="1"/>
      <c r="C44" s="1"/>
      <c r="D44" s="1"/>
      <c r="E44" s="1"/>
      <c r="F44" s="1"/>
      <c r="G44" s="8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/>
      <c r="B45" s="1"/>
      <c r="C45" s="1"/>
      <c r="D45" s="1"/>
      <c r="E45" s="1"/>
      <c r="F45" s="1"/>
      <c r="G45" s="8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/>
      <c r="B46" s="1"/>
      <c r="C46" s="1"/>
      <c r="D46" s="1"/>
      <c r="E46" s="1"/>
      <c r="F46" s="1"/>
      <c r="G46" s="8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/>
      <c r="B47" s="1"/>
      <c r="C47" s="1"/>
      <c r="D47" s="1"/>
      <c r="E47" s="1"/>
      <c r="F47" s="1"/>
      <c r="G47" s="8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/>
      <c r="B48" s="1"/>
      <c r="C48" s="1"/>
      <c r="D48" s="1"/>
      <c r="E48" s="1"/>
      <c r="F48" s="1"/>
      <c r="G48" s="8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/>
      <c r="B49" s="1"/>
      <c r="C49" s="1"/>
      <c r="D49" s="1"/>
      <c r="E49" s="1"/>
      <c r="F49" s="1"/>
      <c r="G49" s="8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/>
      <c r="B50" s="1"/>
      <c r="C50" s="1"/>
      <c r="D50" s="1"/>
      <c r="E50" s="1"/>
      <c r="F50" s="1"/>
      <c r="G50" s="8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/>
      <c r="B51" s="1"/>
      <c r="C51" s="1"/>
      <c r="D51" s="1"/>
      <c r="E51" s="1"/>
      <c r="F51" s="1"/>
      <c r="G51" s="8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/>
      <c r="B52" s="1"/>
      <c r="C52" s="1"/>
      <c r="D52" s="1"/>
      <c r="E52" s="1"/>
      <c r="F52" s="1"/>
      <c r="G52" s="8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/>
      <c r="B53" s="1"/>
      <c r="C53" s="1"/>
      <c r="D53" s="1"/>
      <c r="E53" s="1"/>
      <c r="F53" s="1"/>
      <c r="G53" s="8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8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8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8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8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8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8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8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8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8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8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8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8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8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8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8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8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8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8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8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8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8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8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8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8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8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8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8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8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8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8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8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8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8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8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8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8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8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8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8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8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8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8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2026-07-13T11:25:31Z</dcterms:created>
  <dcterms:modified xsi:type="dcterms:W3CDTF">2026-07-13T11:28:38Z</dcterms:modified>
</cp:coreProperties>
</file>