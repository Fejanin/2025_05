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 и ЗПФ\расчеты Останкино ЗПФ\"/>
    </mc:Choice>
  </mc:AlternateContent>
  <xr:revisionPtr revIDLastSave="0" documentId="13_ncr:1_{9B6055C2-E94E-4868-8159-77272AC899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R14" i="1" l="1"/>
  <c r="R11" i="1"/>
  <c r="S11" i="1" s="1"/>
  <c r="R12" i="1"/>
  <c r="S12" i="1" s="1"/>
  <c r="R10" i="1"/>
  <c r="S7" i="1"/>
  <c r="T7" i="1"/>
  <c r="S8" i="1"/>
  <c r="T8" i="1"/>
  <c r="S9" i="1"/>
  <c r="T9" i="1"/>
  <c r="S10" i="1"/>
  <c r="T10" i="1"/>
  <c r="T11" i="1"/>
  <c r="T12" i="1"/>
  <c r="S13" i="1"/>
  <c r="T13" i="1"/>
  <c r="S14" i="1"/>
  <c r="T14" i="1"/>
  <c r="S15" i="1"/>
  <c r="T15" i="1"/>
  <c r="S16" i="1"/>
  <c r="T16" i="1"/>
  <c r="S17" i="1"/>
  <c r="T17" i="1"/>
  <c r="S18" i="1"/>
  <c r="T18" i="1"/>
  <c r="S19" i="1"/>
  <c r="T19" i="1"/>
  <c r="S20" i="1"/>
  <c r="T20" i="1"/>
  <c r="S21" i="1"/>
  <c r="T21" i="1"/>
  <c r="S22" i="1"/>
  <c r="T22" i="1"/>
  <c r="S23" i="1"/>
  <c r="T23" i="1"/>
  <c r="T6" i="1"/>
  <c r="S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6" i="1"/>
  <c r="Y23" i="1"/>
  <c r="L23" i="1"/>
  <c r="Y22" i="1"/>
  <c r="Y21" i="1"/>
  <c r="L21" i="1"/>
  <c r="Y20" i="1"/>
  <c r="L20" i="1"/>
  <c r="Y19" i="1"/>
  <c r="L19" i="1"/>
  <c r="Y18" i="1"/>
  <c r="L18" i="1"/>
  <c r="Y17" i="1"/>
  <c r="L17" i="1"/>
  <c r="Y16" i="1"/>
  <c r="L16" i="1"/>
  <c r="Y15" i="1"/>
  <c r="L15" i="1"/>
  <c r="Y14" i="1"/>
  <c r="L14" i="1"/>
  <c r="Y13" i="1"/>
  <c r="L13" i="1"/>
  <c r="Y12" i="1"/>
  <c r="L12" i="1"/>
  <c r="Y11" i="1"/>
  <c r="L11" i="1"/>
  <c r="Y10" i="1"/>
  <c r="L10" i="1"/>
  <c r="Y9" i="1"/>
  <c r="L9" i="1"/>
  <c r="Y8" i="1"/>
  <c r="L8" i="1"/>
  <c r="Y7" i="1"/>
  <c r="L7" i="1"/>
  <c r="Y6" i="1"/>
  <c r="L6" i="1"/>
  <c r="W5" i="1"/>
  <c r="V5" i="1"/>
  <c r="U5" i="1"/>
  <c r="R5" i="1"/>
  <c r="Q5" i="1"/>
  <c r="P5" i="1"/>
  <c r="O5" i="1"/>
  <c r="N5" i="1"/>
  <c r="M5" i="1"/>
  <c r="K5" i="1"/>
  <c r="F5" i="1"/>
  <c r="E5" i="1"/>
  <c r="L5" i="1" l="1"/>
  <c r="Y5" i="1"/>
</calcChain>
</file>

<file path=xl/sharedStrings.xml><?xml version="1.0" encoding="utf-8"?>
<sst xmlns="http://schemas.openxmlformats.org/spreadsheetml/2006/main" count="87" uniqueCount="50">
  <si>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</si>
  <si>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</si>
  <si>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</si>
  <si>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</si>
  <si>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</si>
  <si>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</si>
  <si>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</si>
  <si>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</si>
  <si>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</si>
  <si>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</si>
  <si>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</si>
  <si>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</si>
  <si>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</si>
  <si>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</si>
  <si>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</si>
  <si>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</si>
  <si>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</si>
  <si>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</si>
  <si>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</si>
  <si>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</si>
  <si>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</si>
  <si>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</si>
  <si>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13,10,</t>
  </si>
  <si>
    <t>21,10,</t>
  </si>
  <si>
    <t>19,10,</t>
  </si>
  <si>
    <t>12,10,</t>
  </si>
  <si>
    <t>05,10,</t>
  </si>
  <si>
    <t>28,09,</t>
  </si>
  <si>
    <t>5579 БЛИНЧ.КРУГЛЫЕ С САД.ЯБЛОК.пл.1/420 зам. ОСТАНКИНО</t>
  </si>
  <si>
    <t>шт</t>
  </si>
  <si>
    <t>матрица</t>
  </si>
  <si>
    <t>06,10,26 завод не отгрузил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</si>
  <si>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</si>
  <si>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</si>
  <si>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</si>
  <si>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</si>
  <si>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</si>
  <si>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</si>
  <si>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</si>
  <si>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</si>
  <si>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</si>
  <si>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</si>
  <si>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</si>
  <si>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</si>
  <si>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</si>
  <si>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</si>
  <si>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</si>
  <si>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</si>
  <si>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</si>
  <si>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7375 СОЧНЫЕ Папа Может пельм 4кг зам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</si>
</sst>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33" sqref="X3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20" width="5" customWidth="1"/>
    <col min="21" max="23" width="6" customWidth="1"/>
    <col min="24" max="24" width="38.7109375" customWidth="1"/>
    <col min="25" max="50" width="7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20</v>
      </c>
      <c r="Y3" s="2" t="s">
        <v>21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 t="s">
        <v>25</v>
      </c>
      <c r="V4" s="1" t="s">
        <v>26</v>
      </c>
      <c r="W4" s="1" t="s">
        <v>27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181</v>
      </c>
      <c r="F5" s="4">
        <f>SUM(F6:F500)</f>
        <v>465.38599999999997</v>
      </c>
      <c r="G5" s="7"/>
      <c r="H5" s="1"/>
      <c r="I5" s="1"/>
      <c r="J5" s="1"/>
      <c r="K5" s="4">
        <f t="shared" ref="K5:R5" si="0">SUM(K6:K500)</f>
        <v>282</v>
      </c>
      <c r="L5" s="4">
        <f t="shared" si="0"/>
        <v>-101</v>
      </c>
      <c r="M5" s="4">
        <f t="shared" si="0"/>
        <v>0</v>
      </c>
      <c r="N5" s="4">
        <f t="shared" si="0"/>
        <v>0</v>
      </c>
      <c r="O5" s="4">
        <f t="shared" si="0"/>
        <v>630</v>
      </c>
      <c r="P5" s="4">
        <f t="shared" si="0"/>
        <v>200</v>
      </c>
      <c r="Q5" s="4">
        <f t="shared" si="0"/>
        <v>36.199999999999996</v>
      </c>
      <c r="R5" s="4">
        <f t="shared" si="0"/>
        <v>197</v>
      </c>
      <c r="S5" s="1"/>
      <c r="T5" s="1"/>
      <c r="U5" s="4">
        <f>SUM(U6:U500)</f>
        <v>0</v>
      </c>
      <c r="V5" s="4">
        <f>SUM(V6:V500)</f>
        <v>0</v>
      </c>
      <c r="W5" s="4">
        <f>SUM(W6:W500)</f>
        <v>0</v>
      </c>
      <c r="X5" s="1"/>
      <c r="Y5" s="4">
        <f>SUM(Y6:Y500)</f>
        <v>64.099999999999994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9" t="s">
        <v>28</v>
      </c>
      <c r="B6" s="1" t="s">
        <v>29</v>
      </c>
      <c r="C6" s="1"/>
      <c r="D6" s="1"/>
      <c r="E6" s="1"/>
      <c r="F6" s="1"/>
      <c r="G6" s="7">
        <v>0.42</v>
      </c>
      <c r="H6" s="1">
        <v>120</v>
      </c>
      <c r="I6" s="1" t="s">
        <v>30</v>
      </c>
      <c r="J6" s="1"/>
      <c r="K6" s="1"/>
      <c r="L6" s="1">
        <f t="shared" ref="L6:L21" si="1">E6-K6</f>
        <v>0</v>
      </c>
      <c r="M6" s="1"/>
      <c r="N6" s="1"/>
      <c r="O6" s="1">
        <v>20</v>
      </c>
      <c r="P6" s="1">
        <v>20</v>
      </c>
      <c r="Q6" s="1">
        <f>E6/5</f>
        <v>0</v>
      </c>
      <c r="R6" s="5"/>
      <c r="S6" s="1" t="e">
        <f>(F6+O6+P6+R6)/Q6</f>
        <v>#DIV/0!</v>
      </c>
      <c r="T6" s="1" t="e">
        <f>(F6+O6+P6)/Q6</f>
        <v>#DIV/0!</v>
      </c>
      <c r="U6" s="1">
        <v>0</v>
      </c>
      <c r="V6" s="1">
        <v>0</v>
      </c>
      <c r="W6" s="1">
        <v>0</v>
      </c>
      <c r="X6" s="1" t="s">
        <v>31</v>
      </c>
      <c r="Y6" s="1">
        <f t="shared" ref="Y6:Y23" si="2">G6*R6</f>
        <v>0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32</v>
      </c>
      <c r="B7" s="1" t="s">
        <v>33</v>
      </c>
      <c r="C7" s="1"/>
      <c r="D7" s="1">
        <v>100.758</v>
      </c>
      <c r="E7" s="1"/>
      <c r="F7" s="1">
        <v>96.257999999999996</v>
      </c>
      <c r="G7" s="7">
        <v>1</v>
      </c>
      <c r="H7" s="1">
        <v>120</v>
      </c>
      <c r="I7" s="1" t="s">
        <v>30</v>
      </c>
      <c r="J7" s="1"/>
      <c r="K7" s="1"/>
      <c r="L7" s="1">
        <f t="shared" si="1"/>
        <v>0</v>
      </c>
      <c r="M7" s="1"/>
      <c r="N7" s="1"/>
      <c r="O7" s="1"/>
      <c r="P7" s="1"/>
      <c r="Q7" s="1">
        <f t="shared" ref="Q7:Q23" si="3">E7/5</f>
        <v>0</v>
      </c>
      <c r="R7" s="5"/>
      <c r="S7" s="1" t="e">
        <f t="shared" ref="S7:S23" si="4">(F7+O7+P7+R7)/Q7</f>
        <v>#DIV/0!</v>
      </c>
      <c r="T7" s="1" t="e">
        <f t="shared" ref="T7:T23" si="5">(F7+O7+P7)/Q7</f>
        <v>#DIV/0!</v>
      </c>
      <c r="U7" s="1">
        <v>0</v>
      </c>
      <c r="V7" s="1">
        <v>0</v>
      </c>
      <c r="W7" s="1">
        <v>0</v>
      </c>
      <c r="X7" s="1"/>
      <c r="Y7" s="1">
        <f t="shared" si="2"/>
        <v>0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34</v>
      </c>
      <c r="B8" s="1" t="s">
        <v>33</v>
      </c>
      <c r="C8" s="1"/>
      <c r="D8" s="1">
        <v>9.1280000000000001</v>
      </c>
      <c r="E8" s="1"/>
      <c r="F8" s="1">
        <v>9.1280000000000001</v>
      </c>
      <c r="G8" s="7">
        <v>1</v>
      </c>
      <c r="H8" s="1">
        <v>120</v>
      </c>
      <c r="I8" s="1" t="s">
        <v>30</v>
      </c>
      <c r="J8" s="1"/>
      <c r="K8" s="1"/>
      <c r="L8" s="1">
        <f t="shared" si="1"/>
        <v>0</v>
      </c>
      <c r="M8" s="1"/>
      <c r="N8" s="1"/>
      <c r="O8" s="1"/>
      <c r="P8" s="1">
        <v>10</v>
      </c>
      <c r="Q8" s="1">
        <f t="shared" si="3"/>
        <v>0</v>
      </c>
      <c r="R8" s="5"/>
      <c r="S8" s="1" t="e">
        <f t="shared" si="4"/>
        <v>#DIV/0!</v>
      </c>
      <c r="T8" s="1" t="e">
        <f t="shared" si="5"/>
        <v>#DIV/0!</v>
      </c>
      <c r="U8" s="1">
        <v>0</v>
      </c>
      <c r="V8" s="1">
        <v>0</v>
      </c>
      <c r="W8" s="1">
        <v>0</v>
      </c>
      <c r="X8" s="1"/>
      <c r="Y8" s="1">
        <f t="shared" si="2"/>
        <v>0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35</v>
      </c>
      <c r="B9" s="1" t="s">
        <v>29</v>
      </c>
      <c r="C9" s="1"/>
      <c r="D9" s="1">
        <v>10</v>
      </c>
      <c r="E9" s="1">
        <v>3</v>
      </c>
      <c r="F9" s="1">
        <v>6</v>
      </c>
      <c r="G9" s="7">
        <v>0.42</v>
      </c>
      <c r="H9" s="1">
        <v>120</v>
      </c>
      <c r="I9" s="1" t="s">
        <v>30</v>
      </c>
      <c r="J9" s="1"/>
      <c r="K9" s="1">
        <v>3</v>
      </c>
      <c r="L9" s="1">
        <f t="shared" si="1"/>
        <v>0</v>
      </c>
      <c r="M9" s="1"/>
      <c r="N9" s="1"/>
      <c r="O9" s="1">
        <v>20</v>
      </c>
      <c r="P9" s="1">
        <v>20</v>
      </c>
      <c r="Q9" s="1">
        <f t="shared" si="3"/>
        <v>0.6</v>
      </c>
      <c r="R9" s="5"/>
      <c r="S9" s="1">
        <f t="shared" si="4"/>
        <v>76.666666666666671</v>
      </c>
      <c r="T9" s="1">
        <f t="shared" si="5"/>
        <v>76.666666666666671</v>
      </c>
      <c r="U9" s="1">
        <v>0</v>
      </c>
      <c r="V9" s="1">
        <v>0</v>
      </c>
      <c r="W9" s="1">
        <v>0</v>
      </c>
      <c r="X9" s="1"/>
      <c r="Y9" s="1">
        <f t="shared" si="2"/>
        <v>0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36</v>
      </c>
      <c r="B10" s="1" t="s">
        <v>29</v>
      </c>
      <c r="C10" s="1"/>
      <c r="D10" s="1">
        <v>102</v>
      </c>
      <c r="E10" s="1">
        <v>34</v>
      </c>
      <c r="F10" s="1">
        <v>45</v>
      </c>
      <c r="G10" s="7">
        <v>0.3</v>
      </c>
      <c r="H10" s="1">
        <v>120</v>
      </c>
      <c r="I10" s="1" t="s">
        <v>30</v>
      </c>
      <c r="J10" s="1"/>
      <c r="K10" s="1">
        <v>51</v>
      </c>
      <c r="L10" s="1">
        <f t="shared" si="1"/>
        <v>-17</v>
      </c>
      <c r="M10" s="1"/>
      <c r="N10" s="1"/>
      <c r="O10" s="1">
        <v>20</v>
      </c>
      <c r="P10" s="1">
        <v>10</v>
      </c>
      <c r="Q10" s="1">
        <f t="shared" si="3"/>
        <v>6.8</v>
      </c>
      <c r="R10" s="5">
        <f>15*Q10-P10-O10-F10</f>
        <v>27</v>
      </c>
      <c r="S10" s="1">
        <f t="shared" si="4"/>
        <v>15</v>
      </c>
      <c r="T10" s="1">
        <f t="shared" si="5"/>
        <v>11.029411764705882</v>
      </c>
      <c r="U10" s="1">
        <v>0</v>
      </c>
      <c r="V10" s="1">
        <v>0</v>
      </c>
      <c r="W10" s="1">
        <v>0</v>
      </c>
      <c r="X10" s="1"/>
      <c r="Y10" s="1">
        <f t="shared" si="2"/>
        <v>8.1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37</v>
      </c>
      <c r="B11" s="1" t="s">
        <v>29</v>
      </c>
      <c r="C11" s="1"/>
      <c r="D11" s="1">
        <v>99</v>
      </c>
      <c r="E11" s="1">
        <v>50</v>
      </c>
      <c r="F11" s="1">
        <v>40</v>
      </c>
      <c r="G11" s="7">
        <v>0.3</v>
      </c>
      <c r="H11" s="1">
        <v>120</v>
      </c>
      <c r="I11" s="1" t="s">
        <v>30</v>
      </c>
      <c r="J11" s="1"/>
      <c r="K11" s="1">
        <v>62</v>
      </c>
      <c r="L11" s="1">
        <f t="shared" si="1"/>
        <v>-12</v>
      </c>
      <c r="M11" s="1"/>
      <c r="N11" s="1"/>
      <c r="O11" s="1">
        <v>20</v>
      </c>
      <c r="P11" s="1">
        <v>20</v>
      </c>
      <c r="Q11" s="1">
        <f t="shared" si="3"/>
        <v>10</v>
      </c>
      <c r="R11" s="5">
        <f t="shared" ref="R11:R14" si="6">15*Q11-P11-O11-F11</f>
        <v>70</v>
      </c>
      <c r="S11" s="1">
        <f t="shared" si="4"/>
        <v>15</v>
      </c>
      <c r="T11" s="1">
        <f t="shared" si="5"/>
        <v>8</v>
      </c>
      <c r="U11" s="1">
        <v>0</v>
      </c>
      <c r="V11" s="1">
        <v>0</v>
      </c>
      <c r="W11" s="1">
        <v>0</v>
      </c>
      <c r="X11" s="1"/>
      <c r="Y11" s="1">
        <f t="shared" si="2"/>
        <v>21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38</v>
      </c>
      <c r="B12" s="1" t="s">
        <v>29</v>
      </c>
      <c r="C12" s="1"/>
      <c r="D12" s="1">
        <v>102</v>
      </c>
      <c r="E12" s="1">
        <v>37</v>
      </c>
      <c r="F12" s="1">
        <v>48</v>
      </c>
      <c r="G12" s="7">
        <v>0.35</v>
      </c>
      <c r="H12" s="1">
        <v>120</v>
      </c>
      <c r="I12" s="1" t="s">
        <v>30</v>
      </c>
      <c r="J12" s="1"/>
      <c r="K12" s="1">
        <v>61</v>
      </c>
      <c r="L12" s="1">
        <f t="shared" si="1"/>
        <v>-24</v>
      </c>
      <c r="M12" s="1"/>
      <c r="N12" s="1"/>
      <c r="O12" s="1">
        <v>20</v>
      </c>
      <c r="P12" s="1">
        <v>10</v>
      </c>
      <c r="Q12" s="1">
        <f t="shared" si="3"/>
        <v>7.4</v>
      </c>
      <c r="R12" s="5">
        <f t="shared" si="6"/>
        <v>33</v>
      </c>
      <c r="S12" s="1">
        <f t="shared" si="4"/>
        <v>15</v>
      </c>
      <c r="T12" s="1">
        <f t="shared" si="5"/>
        <v>10.54054054054054</v>
      </c>
      <c r="U12" s="1">
        <v>0</v>
      </c>
      <c r="V12" s="1">
        <v>0</v>
      </c>
      <c r="W12" s="1">
        <v>0</v>
      </c>
      <c r="X12" s="1"/>
      <c r="Y12" s="1">
        <f t="shared" si="2"/>
        <v>11.549999999999999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39</v>
      </c>
      <c r="B13" s="1" t="s">
        <v>29</v>
      </c>
      <c r="C13" s="1"/>
      <c r="D13" s="1">
        <v>6</v>
      </c>
      <c r="E13" s="1"/>
      <c r="F13" s="1"/>
      <c r="G13" s="7">
        <v>0.3</v>
      </c>
      <c r="H13" s="1">
        <v>120</v>
      </c>
      <c r="I13" s="1" t="s">
        <v>30</v>
      </c>
      <c r="J13" s="1"/>
      <c r="K13" s="1">
        <v>31</v>
      </c>
      <c r="L13" s="1">
        <f t="shared" si="1"/>
        <v>-31</v>
      </c>
      <c r="M13" s="1"/>
      <c r="N13" s="1"/>
      <c r="O13" s="1">
        <v>20</v>
      </c>
      <c r="P13" s="1">
        <v>60</v>
      </c>
      <c r="Q13" s="1">
        <f t="shared" si="3"/>
        <v>0</v>
      </c>
      <c r="R13" s="5"/>
      <c r="S13" s="1" t="e">
        <f t="shared" si="4"/>
        <v>#DIV/0!</v>
      </c>
      <c r="T13" s="1" t="e">
        <f t="shared" si="5"/>
        <v>#DIV/0!</v>
      </c>
      <c r="U13" s="1">
        <v>0</v>
      </c>
      <c r="V13" s="1">
        <v>0</v>
      </c>
      <c r="W13" s="1">
        <v>0</v>
      </c>
      <c r="X13" s="1" t="s">
        <v>31</v>
      </c>
      <c r="Y13" s="1">
        <f t="shared" si="2"/>
        <v>0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40</v>
      </c>
      <c r="B14" s="1" t="s">
        <v>29</v>
      </c>
      <c r="C14" s="1"/>
      <c r="D14" s="1">
        <v>102</v>
      </c>
      <c r="E14" s="1">
        <v>48</v>
      </c>
      <c r="F14" s="1">
        <v>37</v>
      </c>
      <c r="G14" s="7">
        <v>0.35</v>
      </c>
      <c r="H14" s="1">
        <v>120</v>
      </c>
      <c r="I14" s="1" t="s">
        <v>30</v>
      </c>
      <c r="J14" s="1"/>
      <c r="K14" s="1">
        <v>65</v>
      </c>
      <c r="L14" s="1">
        <f t="shared" si="1"/>
        <v>-17</v>
      </c>
      <c r="M14" s="1"/>
      <c r="N14" s="1"/>
      <c r="O14" s="1">
        <v>20</v>
      </c>
      <c r="P14" s="1">
        <v>20</v>
      </c>
      <c r="Q14" s="1">
        <f t="shared" si="3"/>
        <v>9.6</v>
      </c>
      <c r="R14" s="5">
        <f t="shared" si="6"/>
        <v>67</v>
      </c>
      <c r="S14" s="1">
        <f t="shared" si="4"/>
        <v>15</v>
      </c>
      <c r="T14" s="1">
        <f t="shared" si="5"/>
        <v>8.0208333333333339</v>
      </c>
      <c r="U14" s="1">
        <v>0</v>
      </c>
      <c r="V14" s="1">
        <v>0</v>
      </c>
      <c r="W14" s="1">
        <v>0</v>
      </c>
      <c r="X14" s="1"/>
      <c r="Y14" s="1">
        <f t="shared" si="2"/>
        <v>23.45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41</v>
      </c>
      <c r="B15" s="1" t="s">
        <v>29</v>
      </c>
      <c r="C15" s="1"/>
      <c r="D15" s="1">
        <v>48</v>
      </c>
      <c r="E15" s="1"/>
      <c r="F15" s="1">
        <v>48</v>
      </c>
      <c r="G15" s="7">
        <v>0.3</v>
      </c>
      <c r="H15" s="1">
        <v>120</v>
      </c>
      <c r="I15" s="1" t="s">
        <v>30</v>
      </c>
      <c r="J15" s="1"/>
      <c r="K15" s="1"/>
      <c r="L15" s="1">
        <f t="shared" si="1"/>
        <v>0</v>
      </c>
      <c r="M15" s="1"/>
      <c r="N15" s="1"/>
      <c r="O15" s="1">
        <v>20</v>
      </c>
      <c r="P15" s="1">
        <v>10</v>
      </c>
      <c r="Q15" s="1">
        <f t="shared" si="3"/>
        <v>0</v>
      </c>
      <c r="R15" s="5"/>
      <c r="S15" s="1" t="e">
        <f t="shared" si="4"/>
        <v>#DIV/0!</v>
      </c>
      <c r="T15" s="1" t="e">
        <f t="shared" si="5"/>
        <v>#DIV/0!</v>
      </c>
      <c r="U15" s="1">
        <v>0</v>
      </c>
      <c r="V15" s="1">
        <v>0</v>
      </c>
      <c r="W15" s="1">
        <v>0</v>
      </c>
      <c r="X15" s="1"/>
      <c r="Y15" s="1">
        <f t="shared" si="2"/>
        <v>0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42</v>
      </c>
      <c r="B16" s="1" t="s">
        <v>29</v>
      </c>
      <c r="C16" s="1"/>
      <c r="D16" s="1"/>
      <c r="E16" s="1"/>
      <c r="F16" s="1"/>
      <c r="G16" s="7">
        <v>0.5</v>
      </c>
      <c r="H16" s="1">
        <v>180</v>
      </c>
      <c r="I16" s="1" t="s">
        <v>30</v>
      </c>
      <c r="J16" s="1"/>
      <c r="K16" s="1"/>
      <c r="L16" s="1">
        <f t="shared" si="1"/>
        <v>0</v>
      </c>
      <c r="M16" s="1"/>
      <c r="N16" s="1"/>
      <c r="O16" s="1">
        <v>50</v>
      </c>
      <c r="P16" s="1"/>
      <c r="Q16" s="1">
        <f t="shared" si="3"/>
        <v>0</v>
      </c>
      <c r="R16" s="5"/>
      <c r="S16" s="1" t="e">
        <f t="shared" si="4"/>
        <v>#DIV/0!</v>
      </c>
      <c r="T16" s="1" t="e">
        <f t="shared" si="5"/>
        <v>#DIV/0!</v>
      </c>
      <c r="U16" s="1">
        <v>0</v>
      </c>
      <c r="V16" s="1">
        <v>0</v>
      </c>
      <c r="W16" s="1">
        <v>0</v>
      </c>
      <c r="X16" s="1"/>
      <c r="Y16" s="1">
        <f t="shared" si="2"/>
        <v>0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43</v>
      </c>
      <c r="B17" s="1" t="s">
        <v>29</v>
      </c>
      <c r="C17" s="1"/>
      <c r="D17" s="1"/>
      <c r="E17" s="1"/>
      <c r="F17" s="1"/>
      <c r="G17" s="7">
        <v>0.42</v>
      </c>
      <c r="H17" s="1">
        <v>120</v>
      </c>
      <c r="I17" s="1" t="s">
        <v>30</v>
      </c>
      <c r="J17" s="1"/>
      <c r="K17" s="1"/>
      <c r="L17" s="1">
        <f t="shared" si="1"/>
        <v>0</v>
      </c>
      <c r="M17" s="1"/>
      <c r="N17" s="1"/>
      <c r="O17" s="1">
        <v>70</v>
      </c>
      <c r="P17" s="1"/>
      <c r="Q17" s="1">
        <f t="shared" si="3"/>
        <v>0</v>
      </c>
      <c r="R17" s="5"/>
      <c r="S17" s="1" t="e">
        <f t="shared" si="4"/>
        <v>#DIV/0!</v>
      </c>
      <c r="T17" s="1" t="e">
        <f t="shared" si="5"/>
        <v>#DIV/0!</v>
      </c>
      <c r="U17" s="1">
        <v>0</v>
      </c>
      <c r="V17" s="1">
        <v>0</v>
      </c>
      <c r="W17" s="1">
        <v>0</v>
      </c>
      <c r="X17" s="1"/>
      <c r="Y17" s="1">
        <f t="shared" si="2"/>
        <v>0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44</v>
      </c>
      <c r="B18" s="1" t="s">
        <v>29</v>
      </c>
      <c r="C18" s="1"/>
      <c r="D18" s="1"/>
      <c r="E18" s="1"/>
      <c r="F18" s="1"/>
      <c r="G18" s="7">
        <v>0.7</v>
      </c>
      <c r="H18" s="1">
        <v>180</v>
      </c>
      <c r="I18" s="1" t="s">
        <v>30</v>
      </c>
      <c r="J18" s="1"/>
      <c r="K18" s="1"/>
      <c r="L18" s="1">
        <f t="shared" si="1"/>
        <v>0</v>
      </c>
      <c r="M18" s="1"/>
      <c r="N18" s="1"/>
      <c r="O18" s="1">
        <v>70</v>
      </c>
      <c r="P18" s="1"/>
      <c r="Q18" s="1">
        <f t="shared" si="3"/>
        <v>0</v>
      </c>
      <c r="R18" s="5"/>
      <c r="S18" s="1" t="e">
        <f t="shared" si="4"/>
        <v>#DIV/0!</v>
      </c>
      <c r="T18" s="1" t="e">
        <f t="shared" si="5"/>
        <v>#DIV/0!</v>
      </c>
      <c r="U18" s="1">
        <v>0</v>
      </c>
      <c r="V18" s="1">
        <v>0</v>
      </c>
      <c r="W18" s="1">
        <v>0</v>
      </c>
      <c r="X18" s="1"/>
      <c r="Y18" s="1">
        <f t="shared" si="2"/>
        <v>0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45</v>
      </c>
      <c r="B19" s="1" t="s">
        <v>29</v>
      </c>
      <c r="C19" s="1"/>
      <c r="D19" s="1"/>
      <c r="E19" s="1"/>
      <c r="F19" s="1"/>
      <c r="G19" s="7">
        <v>0.42</v>
      </c>
      <c r="H19" s="1">
        <v>180</v>
      </c>
      <c r="I19" s="1" t="s">
        <v>30</v>
      </c>
      <c r="J19" s="1"/>
      <c r="K19" s="1"/>
      <c r="L19" s="1">
        <f t="shared" si="1"/>
        <v>0</v>
      </c>
      <c r="M19" s="1"/>
      <c r="N19" s="1"/>
      <c r="O19" s="1">
        <v>70</v>
      </c>
      <c r="P19" s="1"/>
      <c r="Q19" s="1">
        <f t="shared" si="3"/>
        <v>0</v>
      </c>
      <c r="R19" s="5"/>
      <c r="S19" s="1" t="e">
        <f t="shared" si="4"/>
        <v>#DIV/0!</v>
      </c>
      <c r="T19" s="1" t="e">
        <f t="shared" si="5"/>
        <v>#DIV/0!</v>
      </c>
      <c r="U19" s="1">
        <v>0</v>
      </c>
      <c r="V19" s="1">
        <v>0</v>
      </c>
      <c r="W19" s="1">
        <v>0</v>
      </c>
      <c r="X19" s="1"/>
      <c r="Y19" s="1">
        <f t="shared" si="2"/>
        <v>0</v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46</v>
      </c>
      <c r="B20" s="1" t="s">
        <v>29</v>
      </c>
      <c r="C20" s="1"/>
      <c r="D20" s="1"/>
      <c r="E20" s="1"/>
      <c r="F20" s="1"/>
      <c r="G20" s="7">
        <v>0.7</v>
      </c>
      <c r="H20" s="1">
        <v>180</v>
      </c>
      <c r="I20" s="1" t="s">
        <v>30</v>
      </c>
      <c r="J20" s="1"/>
      <c r="K20" s="1"/>
      <c r="L20" s="1">
        <f t="shared" si="1"/>
        <v>0</v>
      </c>
      <c r="M20" s="1"/>
      <c r="N20" s="1"/>
      <c r="O20" s="1">
        <v>50</v>
      </c>
      <c r="P20" s="1"/>
      <c r="Q20" s="1">
        <f t="shared" si="3"/>
        <v>0</v>
      </c>
      <c r="R20" s="5"/>
      <c r="S20" s="1" t="e">
        <f t="shared" si="4"/>
        <v>#DIV/0!</v>
      </c>
      <c r="T20" s="1" t="e">
        <f t="shared" si="5"/>
        <v>#DIV/0!</v>
      </c>
      <c r="U20" s="1">
        <v>0</v>
      </c>
      <c r="V20" s="1">
        <v>0</v>
      </c>
      <c r="W20" s="1">
        <v>0</v>
      </c>
      <c r="X20" s="1"/>
      <c r="Y20" s="1">
        <f t="shared" si="2"/>
        <v>0</v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47</v>
      </c>
      <c r="B21" s="1" t="s">
        <v>29</v>
      </c>
      <c r="C21" s="1"/>
      <c r="D21" s="1">
        <v>150</v>
      </c>
      <c r="E21" s="1">
        <v>9</v>
      </c>
      <c r="F21" s="1">
        <v>136</v>
      </c>
      <c r="G21" s="7">
        <v>0.7</v>
      </c>
      <c r="H21" s="1">
        <v>180</v>
      </c>
      <c r="I21" s="1" t="s">
        <v>30</v>
      </c>
      <c r="J21" s="1"/>
      <c r="K21" s="1">
        <v>9</v>
      </c>
      <c r="L21" s="1">
        <f t="shared" si="1"/>
        <v>0</v>
      </c>
      <c r="M21" s="1"/>
      <c r="N21" s="1"/>
      <c r="O21" s="1">
        <v>50</v>
      </c>
      <c r="P21" s="1">
        <v>20</v>
      </c>
      <c r="Q21" s="1">
        <f t="shared" si="3"/>
        <v>1.8</v>
      </c>
      <c r="R21" s="5"/>
      <c r="S21" s="1">
        <f t="shared" si="4"/>
        <v>114.44444444444444</v>
      </c>
      <c r="T21" s="1">
        <f t="shared" si="5"/>
        <v>114.44444444444444</v>
      </c>
      <c r="U21" s="1">
        <v>0</v>
      </c>
      <c r="V21" s="1">
        <v>0</v>
      </c>
      <c r="W21" s="1">
        <v>0</v>
      </c>
      <c r="X21" s="1"/>
      <c r="Y21" s="1">
        <f t="shared" si="2"/>
        <v>0</v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48</v>
      </c>
      <c r="B22" s="1" t="s">
        <v>29</v>
      </c>
      <c r="C22" s="1"/>
      <c r="D22" s="1"/>
      <c r="E22" s="1"/>
      <c r="F22" s="1"/>
      <c r="G22" s="7">
        <v>0.4</v>
      </c>
      <c r="H22" s="1">
        <v>180</v>
      </c>
      <c r="I22" s="1" t="s">
        <v>30</v>
      </c>
      <c r="J22" s="1"/>
      <c r="K22" s="1"/>
      <c r="L22" s="1"/>
      <c r="M22" s="1"/>
      <c r="N22" s="1"/>
      <c r="O22" s="1">
        <v>70</v>
      </c>
      <c r="P22" s="1"/>
      <c r="Q22" s="1">
        <f t="shared" si="3"/>
        <v>0</v>
      </c>
      <c r="R22" s="5"/>
      <c r="S22" s="1" t="e">
        <f t="shared" si="4"/>
        <v>#DIV/0!</v>
      </c>
      <c r="T22" s="1" t="e">
        <f t="shared" si="5"/>
        <v>#DIV/0!</v>
      </c>
      <c r="U22" s="1">
        <v>0</v>
      </c>
      <c r="V22" s="1">
        <v>0</v>
      </c>
      <c r="W22" s="1">
        <v>0</v>
      </c>
      <c r="X22" s="1"/>
      <c r="Y22" s="1">
        <f t="shared" si="2"/>
        <v>0</v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49</v>
      </c>
      <c r="B23" s="1" t="s">
        <v>33</v>
      </c>
      <c r="C23" s="1"/>
      <c r="D23" s="1"/>
      <c r="E23" s="1"/>
      <c r="F23" s="1"/>
      <c r="G23" s="7">
        <v>1</v>
      </c>
      <c r="H23" s="1">
        <v>180</v>
      </c>
      <c r="I23" s="1" t="s">
        <v>30</v>
      </c>
      <c r="J23" s="1"/>
      <c r="K23" s="1"/>
      <c r="L23" s="1">
        <f>E23-K23</f>
        <v>0</v>
      </c>
      <c r="M23" s="1"/>
      <c r="N23" s="1"/>
      <c r="O23" s="1">
        <v>40</v>
      </c>
      <c r="P23" s="1"/>
      <c r="Q23" s="1">
        <f t="shared" si="3"/>
        <v>0</v>
      </c>
      <c r="R23" s="5"/>
      <c r="S23" s="1" t="e">
        <f t="shared" si="4"/>
        <v>#DIV/0!</v>
      </c>
      <c r="T23" s="1" t="e">
        <f t="shared" si="5"/>
        <v>#DIV/0!</v>
      </c>
      <c r="U23" s="1">
        <v>0</v>
      </c>
      <c r="V23" s="1">
        <v>0</v>
      </c>
      <c r="W23" s="1">
        <v>0</v>
      </c>
      <c r="X23" s="1"/>
      <c r="Y23" s="1">
        <f t="shared" si="2"/>
        <v>0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2026-10-19T17:00:37Z</dcterms:created>
  <dcterms:modified xsi:type="dcterms:W3CDTF">2026-10-19T17:06:33Z</dcterms:modified>
</cp:coreProperties>
</file>