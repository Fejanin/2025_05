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D971108A-71D2-464B-AFF4-F9EBE660E8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Sheet!$A$3:$X$16</definedName>
  </definedNames>
  <calcPr calcId="191029"/>
</workbook>
</file>

<file path=xl/calcChain.xml><?xml version="1.0" encoding="utf-8"?>
<calcChain xmlns="http://schemas.openxmlformats.org/spreadsheetml/2006/main">
  <c r="X11" i="1" l="1"/>
  <c r="X16" i="1"/>
  <c r="X15" i="1"/>
  <c r="X14" i="1"/>
  <c r="X13" i="1"/>
  <c r="X12" i="1"/>
  <c r="X10" i="1"/>
  <c r="X9" i="1"/>
  <c r="X8" i="1"/>
  <c r="X7" i="1"/>
  <c r="X6" i="1"/>
  <c r="U15" i="1"/>
  <c r="T14" i="1"/>
  <c r="T15" i="1"/>
  <c r="P7" i="1"/>
  <c r="U7" i="1" s="1"/>
  <c r="P8" i="1"/>
  <c r="U8" i="1" s="1"/>
  <c r="P9" i="1"/>
  <c r="U9" i="1" s="1"/>
  <c r="P10" i="1"/>
  <c r="T10" i="1" s="1"/>
  <c r="P11" i="1"/>
  <c r="U11" i="1" s="1"/>
  <c r="P12" i="1"/>
  <c r="U12" i="1" s="1"/>
  <c r="P13" i="1"/>
  <c r="U13" i="1" s="1"/>
  <c r="P14" i="1"/>
  <c r="U14" i="1" s="1"/>
  <c r="P15" i="1"/>
  <c r="P16" i="1"/>
  <c r="U16" i="1" s="1"/>
  <c r="P6" i="1"/>
  <c r="U6" i="1" s="1"/>
  <c r="L7" i="1"/>
  <c r="L8" i="1"/>
  <c r="L9" i="1"/>
  <c r="L10" i="1"/>
  <c r="L11" i="1"/>
  <c r="L12" i="1"/>
  <c r="L13" i="1"/>
  <c r="L14" i="1"/>
  <c r="L15" i="1"/>
  <c r="L16" i="1"/>
  <c r="L6" i="1"/>
  <c r="O5" i="1"/>
  <c r="T7" i="1" l="1"/>
  <c r="U10" i="1"/>
  <c r="T8" i="1"/>
  <c r="T6" i="1"/>
  <c r="T16" i="1"/>
  <c r="T13" i="1"/>
  <c r="T12" i="1"/>
  <c r="Q11" i="1"/>
  <c r="T11" i="1" s="1"/>
  <c r="T9" i="1"/>
  <c r="V5" i="1"/>
  <c r="R5" i="1"/>
  <c r="N5" i="1"/>
  <c r="M5" i="1"/>
  <c r="K5" i="1"/>
  <c r="F5" i="1" l="1"/>
  <c r="E5" i="1"/>
  <c r="P5" i="1" l="1"/>
  <c r="L5" i="1"/>
  <c r="Q5" i="1" l="1"/>
  <c r="X5" i="1" l="1"/>
</calcChain>
</file>

<file path=xl/sharedStrings.xml><?xml version="1.0" encoding="utf-8"?>
<sst xmlns="http://schemas.openxmlformats.org/spreadsheetml/2006/main" count="54" uniqueCount="40">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</sst>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4" fontId="4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2" fontId="1" fillId="0" borderId="0" xfId="1" applyNumberFormat="1"/>
    <xf numFmtId="2" fontId="2" fillId="2" borderId="0" xfId="1" applyNumberFormat="1" applyFont="1" applyFill="1"/>
    <xf numFmtId="2" fontId="0" fillId="0" borderId="0" xfId="0" applyNumberFormat="1"/>
    <xf numFmtId="164" fontId="5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S10" sqref="S10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12" customWidth="1"/>
    <col min="8" max="8" width="5" style="6" customWidth="1"/>
    <col min="9" max="9" width="8.42578125" style="6" customWidth="1"/>
    <col min="10" max="10" width="1" style="6" customWidth="1"/>
    <col min="11" max="12" width="7" style="6" customWidth="1"/>
    <col min="13" max="14" width="0.42578125" style="6" customWidth="1"/>
    <col min="15" max="15" width="7.140625" style="6" customWidth="1"/>
    <col min="16" max="18" width="7" style="6" customWidth="1"/>
    <col min="19" max="19" width="21" style="6" customWidth="1"/>
    <col min="20" max="21" width="5" style="6" customWidth="1"/>
    <col min="22" max="22" width="6" style="6" customWidth="1"/>
    <col min="23" max="23" width="28.7109375" style="6" customWidth="1"/>
    <col min="24" max="24" width="7" style="6" customWidth="1"/>
    <col min="25" max="40" width="3" style="6" customWidth="1"/>
    <col min="41" max="16384" width="9" style="6"/>
  </cols>
  <sheetData>
    <row r="1" spans="1:40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16</v>
      </c>
      <c r="R3" s="5" t="s">
        <v>17</v>
      </c>
      <c r="S3" s="5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7" t="s">
        <v>38</v>
      </c>
      <c r="P4" s="7" t="s">
        <v>38</v>
      </c>
      <c r="Q4" s="1"/>
      <c r="R4" s="1"/>
      <c r="S4" s="1"/>
      <c r="T4" s="1"/>
      <c r="U4" s="1"/>
      <c r="V4" s="7" t="s">
        <v>37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/>
      <c r="B5" s="1"/>
      <c r="C5" s="1"/>
      <c r="D5" s="1"/>
      <c r="E5" s="3">
        <f>SUM(E6:E401)</f>
        <v>407.12400000000002</v>
      </c>
      <c r="F5" s="3">
        <f>SUM(F6:F401)</f>
        <v>1797.431</v>
      </c>
      <c r="G5" s="10"/>
      <c r="H5" s="1"/>
      <c r="I5" s="1"/>
      <c r="J5" s="1"/>
      <c r="K5" s="3">
        <f>SUM(K6:K401)</f>
        <v>519</v>
      </c>
      <c r="L5" s="3">
        <f t="shared" ref="K5:R5" si="0">SUM(L6:L401)</f>
        <v>-111.876</v>
      </c>
      <c r="M5" s="3">
        <f t="shared" si="0"/>
        <v>0</v>
      </c>
      <c r="N5" s="3">
        <f t="shared" si="0"/>
        <v>0</v>
      </c>
      <c r="O5" s="3">
        <f t="shared" si="0"/>
        <v>543</v>
      </c>
      <c r="P5" s="3">
        <f t="shared" si="0"/>
        <v>81.424800000000005</v>
      </c>
      <c r="Q5" s="3">
        <f t="shared" si="0"/>
        <v>99.400000000000034</v>
      </c>
      <c r="R5" s="3">
        <f t="shared" si="0"/>
        <v>0</v>
      </c>
      <c r="S5" s="1"/>
      <c r="T5" s="1"/>
      <c r="U5" s="1"/>
      <c r="V5" s="3">
        <f>SUM(V6:V401)</f>
        <v>0</v>
      </c>
      <c r="W5" s="1"/>
      <c r="X5" s="3">
        <f>SUM(X6:X401)</f>
        <v>29.820000000000007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 t="s">
        <v>25</v>
      </c>
      <c r="B6" s="1" t="s">
        <v>24</v>
      </c>
      <c r="C6" s="1">
        <v>43</v>
      </c>
      <c r="D6" s="1">
        <v>146</v>
      </c>
      <c r="E6" s="1">
        <v>5</v>
      </c>
      <c r="F6" s="1">
        <v>167</v>
      </c>
      <c r="G6" s="10">
        <v>0.42</v>
      </c>
      <c r="H6" s="1"/>
      <c r="I6" s="1"/>
      <c r="J6" s="1"/>
      <c r="K6" s="1">
        <v>22</v>
      </c>
      <c r="L6" s="1">
        <f>E6-K6</f>
        <v>-17</v>
      </c>
      <c r="M6" s="1"/>
      <c r="N6" s="1"/>
      <c r="O6" s="1"/>
      <c r="P6" s="6">
        <f>E6/5</f>
        <v>1</v>
      </c>
      <c r="Q6" s="8"/>
      <c r="R6" s="9"/>
      <c r="S6" s="1"/>
      <c r="T6" s="1">
        <f>(F6+O6+Q6)/P6</f>
        <v>167</v>
      </c>
      <c r="U6" s="1">
        <f>(F6+O6)/P6</f>
        <v>167</v>
      </c>
      <c r="V6" s="1">
        <v>0</v>
      </c>
      <c r="W6" s="13" t="s">
        <v>39</v>
      </c>
      <c r="X6" s="1">
        <f>Q6*G6</f>
        <v>0</v>
      </c>
      <c r="Y6" s="1"/>
      <c r="Z6" s="1"/>
      <c r="AF6" s="1"/>
      <c r="AG6" s="1"/>
      <c r="AH6" s="1"/>
      <c r="AJ6" s="1"/>
      <c r="AK6" s="1"/>
      <c r="AL6" s="1"/>
      <c r="AM6" s="1"/>
      <c r="AN6" s="1"/>
    </row>
    <row r="7" spans="1:40">
      <c r="A7" s="1" t="s">
        <v>26</v>
      </c>
      <c r="B7" s="1" t="s">
        <v>27</v>
      </c>
      <c r="C7" s="1">
        <v>13.722</v>
      </c>
      <c r="D7" s="1">
        <v>42.616999999999997</v>
      </c>
      <c r="E7" s="1">
        <v>4.5819999999999999</v>
      </c>
      <c r="F7" s="1">
        <v>51.756999999999998</v>
      </c>
      <c r="G7" s="10">
        <v>1</v>
      </c>
      <c r="H7" s="1"/>
      <c r="I7" s="1"/>
      <c r="J7" s="1"/>
      <c r="K7" s="1">
        <v>4.5</v>
      </c>
      <c r="L7" s="1">
        <f t="shared" ref="L7:L16" si="1">E7-K7</f>
        <v>8.1999999999999851E-2</v>
      </c>
      <c r="M7" s="1"/>
      <c r="N7" s="1"/>
      <c r="O7" s="1">
        <v>18</v>
      </c>
      <c r="P7" s="6">
        <f t="shared" ref="P7:P16" si="2">E7/5</f>
        <v>0.91639999999999999</v>
      </c>
      <c r="Q7" s="8"/>
      <c r="R7" s="9"/>
      <c r="S7" s="1"/>
      <c r="T7" s="1">
        <f t="shared" ref="T7:T16" si="3">(F7+O7+Q7)/P7</f>
        <v>76.120689655172413</v>
      </c>
      <c r="U7" s="1">
        <f t="shared" ref="U7:U16" si="4">(F7+O7)/P7</f>
        <v>76.120689655172413</v>
      </c>
      <c r="V7" s="1">
        <v>0</v>
      </c>
      <c r="W7" s="13" t="s">
        <v>39</v>
      </c>
      <c r="X7" s="1">
        <f t="shared" ref="X7:X11" si="5">Q7*G7</f>
        <v>0</v>
      </c>
      <c r="Y7" s="1"/>
      <c r="Z7" s="1"/>
      <c r="AF7" s="1"/>
      <c r="AG7" s="1"/>
      <c r="AH7" s="1"/>
      <c r="AJ7" s="1"/>
      <c r="AK7" s="1"/>
      <c r="AL7" s="1"/>
      <c r="AM7" s="1"/>
      <c r="AN7" s="1"/>
    </row>
    <row r="8" spans="1:40">
      <c r="A8" s="1" t="s">
        <v>28</v>
      </c>
      <c r="B8" s="1" t="s">
        <v>27</v>
      </c>
      <c r="C8" s="1">
        <v>18.271999999999998</v>
      </c>
      <c r="D8" s="1">
        <v>103.944</v>
      </c>
      <c r="E8" s="1">
        <v>4.5419999999999998</v>
      </c>
      <c r="F8" s="1">
        <v>117.67400000000001</v>
      </c>
      <c r="G8" s="10">
        <v>1</v>
      </c>
      <c r="H8" s="1"/>
      <c r="I8" s="1"/>
      <c r="J8" s="1"/>
      <c r="K8" s="1">
        <v>4.5</v>
      </c>
      <c r="L8" s="1">
        <f t="shared" si="1"/>
        <v>4.1999999999999815E-2</v>
      </c>
      <c r="M8" s="1"/>
      <c r="N8" s="1"/>
      <c r="O8" s="1">
        <v>5</v>
      </c>
      <c r="P8" s="6">
        <f t="shared" si="2"/>
        <v>0.90839999999999999</v>
      </c>
      <c r="Q8" s="8"/>
      <c r="R8" s="9"/>
      <c r="S8" s="1"/>
      <c r="T8" s="1">
        <f t="shared" si="3"/>
        <v>135.04403346543373</v>
      </c>
      <c r="U8" s="1">
        <f t="shared" si="4"/>
        <v>135.04403346543373</v>
      </c>
      <c r="V8" s="1">
        <v>0</v>
      </c>
      <c r="W8" s="13" t="s">
        <v>39</v>
      </c>
      <c r="X8" s="1">
        <f t="shared" si="5"/>
        <v>0</v>
      </c>
      <c r="Y8" s="1"/>
      <c r="Z8" s="1"/>
      <c r="AF8" s="1"/>
      <c r="AG8" s="1"/>
      <c r="AH8" s="1"/>
      <c r="AJ8" s="1"/>
      <c r="AK8" s="1"/>
      <c r="AL8" s="1"/>
      <c r="AM8" s="1"/>
      <c r="AN8" s="1"/>
    </row>
    <row r="9" spans="1:40">
      <c r="A9" s="1" t="s">
        <v>29</v>
      </c>
      <c r="B9" s="1" t="s">
        <v>24</v>
      </c>
      <c r="C9" s="1">
        <v>113</v>
      </c>
      <c r="D9" s="1">
        <v>114</v>
      </c>
      <c r="E9" s="1">
        <v>12</v>
      </c>
      <c r="F9" s="1">
        <v>214</v>
      </c>
      <c r="G9" s="10">
        <v>0.42</v>
      </c>
      <c r="H9" s="1"/>
      <c r="I9" s="1"/>
      <c r="J9" s="1"/>
      <c r="K9" s="1">
        <v>13</v>
      </c>
      <c r="L9" s="1">
        <f t="shared" si="1"/>
        <v>-1</v>
      </c>
      <c r="M9" s="1"/>
      <c r="N9" s="1"/>
      <c r="O9" s="1"/>
      <c r="P9" s="6">
        <f t="shared" si="2"/>
        <v>2.4</v>
      </c>
      <c r="Q9" s="8"/>
      <c r="R9" s="9"/>
      <c r="S9" s="1"/>
      <c r="T9" s="1">
        <f t="shared" si="3"/>
        <v>89.166666666666671</v>
      </c>
      <c r="U9" s="1">
        <f t="shared" si="4"/>
        <v>89.166666666666671</v>
      </c>
      <c r="V9" s="1">
        <v>0</v>
      </c>
      <c r="W9" s="13" t="s">
        <v>39</v>
      </c>
      <c r="X9" s="1">
        <f t="shared" si="5"/>
        <v>0</v>
      </c>
      <c r="Y9" s="1"/>
      <c r="Z9" s="1"/>
      <c r="AF9" s="1"/>
      <c r="AG9" s="1"/>
      <c r="AH9" s="1"/>
      <c r="AJ9" s="1"/>
      <c r="AK9" s="1"/>
      <c r="AL9" s="1"/>
      <c r="AM9" s="1"/>
      <c r="AN9" s="1"/>
    </row>
    <row r="10" spans="1:40">
      <c r="A10" s="1" t="s">
        <v>30</v>
      </c>
      <c r="B10" s="1" t="s">
        <v>24</v>
      </c>
      <c r="C10" s="1">
        <v>140</v>
      </c>
      <c r="D10" s="1">
        <v>109</v>
      </c>
      <c r="E10" s="1">
        <v>51</v>
      </c>
      <c r="F10" s="1">
        <v>184</v>
      </c>
      <c r="G10" s="10">
        <v>0.3</v>
      </c>
      <c r="H10" s="1"/>
      <c r="I10" s="1"/>
      <c r="J10" s="1"/>
      <c r="K10" s="1">
        <v>56</v>
      </c>
      <c r="L10" s="1">
        <f t="shared" si="1"/>
        <v>-5</v>
      </c>
      <c r="M10" s="1"/>
      <c r="N10" s="1"/>
      <c r="O10" s="1">
        <v>30</v>
      </c>
      <c r="P10" s="6">
        <f t="shared" si="2"/>
        <v>10.199999999999999</v>
      </c>
      <c r="Q10" s="8"/>
      <c r="R10" s="9"/>
      <c r="S10" s="1"/>
      <c r="T10" s="1">
        <f t="shared" si="3"/>
        <v>20.980392156862745</v>
      </c>
      <c r="U10" s="1">
        <f t="shared" si="4"/>
        <v>20.980392156862745</v>
      </c>
      <c r="V10" s="1">
        <v>0</v>
      </c>
      <c r="W10" s="1"/>
      <c r="X10" s="1">
        <f t="shared" si="5"/>
        <v>0</v>
      </c>
      <c r="Y10" s="1"/>
      <c r="Z10" s="1"/>
      <c r="AF10" s="1"/>
      <c r="AG10" s="1"/>
      <c r="AH10" s="1"/>
      <c r="AJ10" s="1"/>
      <c r="AK10" s="1"/>
      <c r="AL10" s="1"/>
      <c r="AM10" s="1"/>
      <c r="AN10" s="1"/>
    </row>
    <row r="11" spans="1:40">
      <c r="A11" s="1" t="s">
        <v>31</v>
      </c>
      <c r="B11" s="1" t="s">
        <v>24</v>
      </c>
      <c r="C11" s="1">
        <v>154</v>
      </c>
      <c r="D11" s="1">
        <v>127</v>
      </c>
      <c r="E11" s="1">
        <v>113</v>
      </c>
      <c r="F11" s="1">
        <v>167</v>
      </c>
      <c r="G11" s="10">
        <v>0.3</v>
      </c>
      <c r="H11" s="1"/>
      <c r="I11" s="1"/>
      <c r="J11" s="1"/>
      <c r="K11" s="1">
        <v>117</v>
      </c>
      <c r="L11" s="1">
        <f t="shared" si="1"/>
        <v>-4</v>
      </c>
      <c r="M11" s="1"/>
      <c r="N11" s="1"/>
      <c r="O11" s="1">
        <v>50</v>
      </c>
      <c r="P11" s="6">
        <f t="shared" si="2"/>
        <v>22.6</v>
      </c>
      <c r="Q11" s="8">
        <f t="shared" ref="Q7:Q16" si="6">14*P11-O11-F11</f>
        <v>99.400000000000034</v>
      </c>
      <c r="R11" s="9"/>
      <c r="S11" s="1"/>
      <c r="T11" s="1">
        <f t="shared" si="3"/>
        <v>14</v>
      </c>
      <c r="U11" s="1">
        <f t="shared" si="4"/>
        <v>9.6017699115044248</v>
      </c>
      <c r="V11" s="1">
        <v>0</v>
      </c>
      <c r="W11" s="1"/>
      <c r="X11" s="1">
        <f t="shared" si="5"/>
        <v>29.820000000000007</v>
      </c>
      <c r="Y11" s="1"/>
      <c r="Z11" s="1"/>
      <c r="AF11" s="1"/>
      <c r="AG11" s="1"/>
      <c r="AH11" s="1"/>
      <c r="AJ11" s="1"/>
      <c r="AK11" s="1"/>
      <c r="AL11" s="1"/>
      <c r="AM11" s="1"/>
      <c r="AN11" s="1"/>
    </row>
    <row r="12" spans="1:40">
      <c r="A12" s="1" t="s">
        <v>32</v>
      </c>
      <c r="B12" s="1" t="s">
        <v>24</v>
      </c>
      <c r="C12" s="1">
        <v>170</v>
      </c>
      <c r="D12" s="1">
        <v>133</v>
      </c>
      <c r="E12" s="1">
        <v>60</v>
      </c>
      <c r="F12" s="1">
        <v>216</v>
      </c>
      <c r="G12" s="10">
        <v>0.35</v>
      </c>
      <c r="H12" s="1"/>
      <c r="I12" s="1"/>
      <c r="J12" s="1"/>
      <c r="K12" s="1">
        <v>93</v>
      </c>
      <c r="L12" s="1">
        <f t="shared" si="1"/>
        <v>-33</v>
      </c>
      <c r="M12" s="1"/>
      <c r="N12" s="1"/>
      <c r="O12" s="1">
        <v>30</v>
      </c>
      <c r="P12" s="6">
        <f t="shared" si="2"/>
        <v>12</v>
      </c>
      <c r="Q12" s="8"/>
      <c r="R12" s="9"/>
      <c r="S12" s="1"/>
      <c r="T12" s="1">
        <f t="shared" si="3"/>
        <v>20.5</v>
      </c>
      <c r="U12" s="1">
        <f t="shared" si="4"/>
        <v>20.5</v>
      </c>
      <c r="V12" s="1">
        <v>0</v>
      </c>
      <c r="W12" s="1"/>
      <c r="X12" s="1">
        <f t="shared" ref="X12:X16" si="7">Q12*G12</f>
        <v>0</v>
      </c>
      <c r="Y12" s="1"/>
      <c r="Z12" s="1"/>
      <c r="AF12" s="1"/>
      <c r="AG12" s="1"/>
      <c r="AH12" s="1"/>
      <c r="AJ12" s="1"/>
      <c r="AK12" s="1"/>
      <c r="AL12" s="1"/>
      <c r="AM12" s="1"/>
      <c r="AN12" s="1"/>
    </row>
    <row r="13" spans="1:40">
      <c r="A13" s="1" t="s">
        <v>33</v>
      </c>
      <c r="B13" s="1" t="s">
        <v>24</v>
      </c>
      <c r="C13" s="1">
        <v>140</v>
      </c>
      <c r="D13" s="1">
        <v>99</v>
      </c>
      <c r="E13" s="1">
        <v>66</v>
      </c>
      <c r="F13" s="1">
        <v>166</v>
      </c>
      <c r="G13" s="10">
        <v>0.3</v>
      </c>
      <c r="H13" s="1"/>
      <c r="I13" s="1"/>
      <c r="J13" s="1"/>
      <c r="K13" s="1">
        <v>72</v>
      </c>
      <c r="L13" s="1">
        <f t="shared" si="1"/>
        <v>-6</v>
      </c>
      <c r="M13" s="1"/>
      <c r="N13" s="1"/>
      <c r="O13" s="1">
        <v>30</v>
      </c>
      <c r="P13" s="6">
        <f t="shared" si="2"/>
        <v>13.2</v>
      </c>
      <c r="Q13" s="8"/>
      <c r="R13" s="9"/>
      <c r="S13" s="1"/>
      <c r="T13" s="1">
        <f t="shared" si="3"/>
        <v>14.84848484848485</v>
      </c>
      <c r="U13" s="1">
        <f t="shared" si="4"/>
        <v>14.84848484848485</v>
      </c>
      <c r="V13" s="1">
        <v>0</v>
      </c>
      <c r="W13" s="1"/>
      <c r="X13" s="1">
        <f t="shared" si="7"/>
        <v>0</v>
      </c>
      <c r="Y13" s="1"/>
      <c r="Z13" s="1"/>
      <c r="AF13" s="1"/>
      <c r="AG13" s="1"/>
      <c r="AH13" s="1"/>
      <c r="AJ13" s="1"/>
      <c r="AK13" s="1"/>
      <c r="AL13" s="1"/>
      <c r="AM13" s="1"/>
      <c r="AN13" s="1"/>
    </row>
    <row r="14" spans="1:40">
      <c r="A14" s="1" t="s">
        <v>34</v>
      </c>
      <c r="B14" s="1" t="s">
        <v>24</v>
      </c>
      <c r="C14" s="1">
        <v>49</v>
      </c>
      <c r="D14" s="1">
        <v>134</v>
      </c>
      <c r="E14" s="1">
        <v>52</v>
      </c>
      <c r="F14" s="1">
        <v>96</v>
      </c>
      <c r="G14" s="10">
        <v>0.35</v>
      </c>
      <c r="H14" s="1"/>
      <c r="I14" s="1"/>
      <c r="J14" s="1"/>
      <c r="K14" s="1">
        <v>77</v>
      </c>
      <c r="L14" s="1">
        <f t="shared" si="1"/>
        <v>-25</v>
      </c>
      <c r="M14" s="1"/>
      <c r="N14" s="1"/>
      <c r="O14" s="1">
        <v>150</v>
      </c>
      <c r="P14" s="6">
        <f t="shared" si="2"/>
        <v>10.4</v>
      </c>
      <c r="Q14" s="8"/>
      <c r="R14" s="9"/>
      <c r="S14" s="1"/>
      <c r="T14" s="1">
        <f t="shared" si="3"/>
        <v>23.653846153846153</v>
      </c>
      <c r="U14" s="1">
        <f t="shared" si="4"/>
        <v>23.653846153846153</v>
      </c>
      <c r="V14" s="1">
        <v>0</v>
      </c>
      <c r="W14" s="1"/>
      <c r="X14" s="1">
        <f t="shared" si="7"/>
        <v>0</v>
      </c>
      <c r="Y14" s="1"/>
      <c r="Z14" s="1"/>
      <c r="AF14" s="1"/>
      <c r="AG14" s="1"/>
      <c r="AH14" s="1"/>
      <c r="AJ14" s="1"/>
      <c r="AK14" s="1"/>
      <c r="AL14" s="1"/>
      <c r="AM14" s="1"/>
      <c r="AN14" s="1"/>
    </row>
    <row r="15" spans="1:40">
      <c r="A15" s="1" t="s">
        <v>35</v>
      </c>
      <c r="B15" s="1" t="s">
        <v>24</v>
      </c>
      <c r="C15" s="1">
        <v>264</v>
      </c>
      <c r="D15" s="1">
        <v>2</v>
      </c>
      <c r="E15" s="1">
        <v>8</v>
      </c>
      <c r="F15" s="1">
        <v>216</v>
      </c>
      <c r="G15" s="10">
        <v>0.3</v>
      </c>
      <c r="H15" s="1"/>
      <c r="I15" s="1"/>
      <c r="J15" s="1"/>
      <c r="K15" s="1">
        <v>10</v>
      </c>
      <c r="L15" s="1">
        <f t="shared" si="1"/>
        <v>-2</v>
      </c>
      <c r="M15" s="1"/>
      <c r="N15" s="1"/>
      <c r="O15" s="1"/>
      <c r="P15" s="6">
        <f t="shared" si="2"/>
        <v>1.6</v>
      </c>
      <c r="Q15" s="8"/>
      <c r="R15" s="9"/>
      <c r="S15" s="1"/>
      <c r="T15" s="1">
        <f t="shared" si="3"/>
        <v>135</v>
      </c>
      <c r="U15" s="1">
        <f t="shared" si="4"/>
        <v>135</v>
      </c>
      <c r="V15" s="1">
        <v>0</v>
      </c>
      <c r="W15" s="13" t="s">
        <v>39</v>
      </c>
      <c r="X15" s="1">
        <f t="shared" si="7"/>
        <v>0</v>
      </c>
      <c r="Y15" s="1"/>
      <c r="Z15" s="1"/>
      <c r="AF15" s="1"/>
      <c r="AG15" s="1"/>
      <c r="AH15" s="1"/>
      <c r="AJ15" s="1"/>
      <c r="AK15" s="1"/>
      <c r="AL15" s="1"/>
      <c r="AM15" s="1"/>
      <c r="AN15" s="1"/>
    </row>
    <row r="16" spans="1:40">
      <c r="A16" s="1" t="s">
        <v>36</v>
      </c>
      <c r="B16" s="1" t="s">
        <v>24</v>
      </c>
      <c r="C16" s="1">
        <v>36</v>
      </c>
      <c r="D16" s="1">
        <v>269</v>
      </c>
      <c r="E16" s="1">
        <v>31</v>
      </c>
      <c r="F16" s="1">
        <v>202</v>
      </c>
      <c r="G16" s="10">
        <v>0.7</v>
      </c>
      <c r="H16" s="1"/>
      <c r="I16" s="1"/>
      <c r="J16" s="1"/>
      <c r="K16" s="1">
        <v>50</v>
      </c>
      <c r="L16" s="1">
        <f t="shared" si="1"/>
        <v>-19</v>
      </c>
      <c r="M16" s="1"/>
      <c r="N16" s="1"/>
      <c r="O16" s="1">
        <v>230</v>
      </c>
      <c r="P16" s="6">
        <f t="shared" si="2"/>
        <v>6.2</v>
      </c>
      <c r="Q16" s="8"/>
      <c r="R16" s="9"/>
      <c r="S16" s="1"/>
      <c r="T16" s="1">
        <f t="shared" si="3"/>
        <v>69.677419354838705</v>
      </c>
      <c r="U16" s="1">
        <f t="shared" si="4"/>
        <v>69.677419354838705</v>
      </c>
      <c r="V16" s="1">
        <v>0</v>
      </c>
      <c r="W16" s="1"/>
      <c r="X16" s="1">
        <f t="shared" si="7"/>
        <v>0</v>
      </c>
      <c r="Y16" s="1"/>
      <c r="Z16" s="1"/>
      <c r="AF16" s="1"/>
      <c r="AG16" s="1"/>
      <c r="AH16" s="1"/>
      <c r="AJ16" s="1"/>
      <c r="AK16" s="1"/>
      <c r="AL16" s="1"/>
      <c r="AM16" s="1"/>
      <c r="AN16" s="1"/>
    </row>
    <row r="17" spans="1:40">
      <c r="A17" s="1"/>
      <c r="B17" s="1"/>
      <c r="C17" s="1"/>
      <c r="D17" s="1"/>
      <c r="E17" s="1"/>
      <c r="F17" s="1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/>
      <c r="B19" s="1"/>
      <c r="C19" s="1"/>
      <c r="D19" s="1"/>
      <c r="E19" s="1"/>
      <c r="F19" s="1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</sheetData>
  <autoFilter ref="A3:X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2026-01-27T09:49:00Z</dcterms:created>
  <dcterms:modified xsi:type="dcterms:W3CDTF">2026-06-29T13:58:35Z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