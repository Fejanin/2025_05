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"/>
    </mc:Choice>
  </mc:AlternateContent>
  <xr:revisionPtr revIDLastSave="0" documentId="13_ncr:1_{E05B602B-1A78-4B73-87DC-D9197ACA3E2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</workbook>
</file>

<file path=xl/calcChain.xml><?xml version="1.0" encoding="utf-8"?>
<calcChain xmlns="http://schemas.openxmlformats.org/spreadsheetml/2006/main">
  <c r="Q16" i="1" l="1"/>
  <c r="Q13" i="1"/>
  <c r="AE13" i="1" s="1"/>
  <c r="Q14" i="1"/>
  <c r="Q11" i="1"/>
  <c r="Q10" i="1"/>
  <c r="Q7" i="1"/>
  <c r="R6" i="1"/>
  <c r="R7" i="1"/>
  <c r="S7" i="1"/>
  <c r="R8" i="1"/>
  <c r="S8" i="1"/>
  <c r="R9" i="1"/>
  <c r="S9" i="1"/>
  <c r="R10" i="1"/>
  <c r="S10" i="1"/>
  <c r="R11" i="1"/>
  <c r="S11" i="1"/>
  <c r="R12" i="1"/>
  <c r="S12" i="1"/>
  <c r="R13" i="1"/>
  <c r="S13" i="1"/>
  <c r="R14" i="1"/>
  <c r="S14" i="1"/>
  <c r="R15" i="1"/>
  <c r="S15" i="1"/>
  <c r="R16" i="1"/>
  <c r="S16" i="1"/>
  <c r="S6" i="1"/>
  <c r="P7" i="1"/>
  <c r="P8" i="1"/>
  <c r="P9" i="1"/>
  <c r="P10" i="1"/>
  <c r="P11" i="1"/>
  <c r="P12" i="1"/>
  <c r="P13" i="1"/>
  <c r="P14" i="1"/>
  <c r="P15" i="1"/>
  <c r="P16" i="1"/>
  <c r="P6" i="1"/>
  <c r="AE16" i="1"/>
  <c r="L16" i="1"/>
  <c r="AE15" i="1"/>
  <c r="L15" i="1"/>
  <c r="AE14" i="1"/>
  <c r="L14" i="1"/>
  <c r="L13" i="1"/>
  <c r="AE12" i="1"/>
  <c r="L12" i="1"/>
  <c r="L11" i="1"/>
  <c r="AE10" i="1"/>
  <c r="L10" i="1"/>
  <c r="AE9" i="1"/>
  <c r="L9" i="1"/>
  <c r="AE8" i="1"/>
  <c r="L8" i="1"/>
  <c r="AE7" i="1"/>
  <c r="L7" i="1"/>
  <c r="AE6" i="1"/>
  <c r="L6" i="1"/>
  <c r="AC5" i="1"/>
  <c r="AB5" i="1"/>
  <c r="AA5" i="1"/>
  <c r="Z5" i="1"/>
  <c r="Y5" i="1"/>
  <c r="X5" i="1"/>
  <c r="W5" i="1"/>
  <c r="V5" i="1"/>
  <c r="U5" i="1"/>
  <c r="T5" i="1"/>
  <c r="O5" i="1"/>
  <c r="N5" i="1"/>
  <c r="M5" i="1"/>
  <c r="K5" i="1"/>
  <c r="F5" i="1"/>
  <c r="E5" i="1"/>
  <c r="Q5" i="1" l="1"/>
  <c r="AE11" i="1"/>
  <c r="L5" i="1"/>
  <c r="AE5" i="1"/>
  <c r="P5" i="1"/>
</calcChain>
</file>

<file path=xl/sharedStrings.xml><?xml version="1.0" encoding="utf-8"?>
<sst xmlns="http://schemas.openxmlformats.org/spreadsheetml/2006/main" count="80" uniqueCount="50">
  <si>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</si>
  <si>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</si>
  <si>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</si>
  <si>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</si>
  <si>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</si>
  <si>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</si>
  <si>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</si>
  <si>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</si>
  <si>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</si>
  <si>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</si>
  <si>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</si>
  <si>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</si>
  <si>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</si>
  <si>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</si>
  <si>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</si>
  <si>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</si>
  <si>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</si>
  <si>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</si>
  <si>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</si>
  <si>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</si>
  <si>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</si>
  <si>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</si>
  <si>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05,10,</t>
  </si>
  <si>
    <t>12,10,</t>
  </si>
  <si>
    <t>28,09,</t>
  </si>
  <si>
    <t>21,09,</t>
  </si>
  <si>
    <t>14,09,</t>
  </si>
  <si>
    <t>07,09,</t>
  </si>
  <si>
    <t>31,08,</t>
  </si>
  <si>
    <t>24,08,</t>
  </si>
  <si>
    <t>17,08,</t>
  </si>
  <si>
    <t>10,08,</t>
  </si>
  <si>
    <t>03,08,</t>
  </si>
  <si>
    <t>5579 БЛИНЧ.КРУГЛЫЕ С САД.ЯБЛОК.пл.1/420 зам. ОСТАНКИНО</t>
  </si>
  <si>
    <t>шт</t>
  </si>
  <si>
    <t>матрица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</si>
  <si>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</si>
  <si>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</si>
  <si>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</si>
  <si>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162кг в уценку (11,09,26)</t>
  </si>
  <si>
    <t>5897 БЛИНЧ.КРУГЛЫЕ С ГРУШЕЙ пл.1/420 зам.   ОСТАНКИНО</t>
  </si>
  <si>
    <t>6148 БЛИНЧ.КРУГЛЫЕ С ВЕТЧ.И СЫР. ПМ 1/300 зам. ОСТАНКИНО</t>
  </si>
  <si>
    <t xml:space="preserve">Главторг 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</si>
  <si>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</si>
  <si>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</si>
  <si>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</si>
  <si>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</si>
  <si>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</si>
  <si>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</si>
  <si>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нужно увеличить продажи!!!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</si>
</sst>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0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  <xf numFmtId="164" fontId="4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D18" sqref="AD18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17" width="7" customWidth="1"/>
    <col min="18" max="19" width="5" customWidth="1"/>
    <col min="20" max="29" width="6" customWidth="1"/>
    <col min="30" max="30" width="31.42578125" customWidth="1"/>
    <col min="31" max="31" width="7" customWidth="1"/>
    <col min="32" max="48" width="8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2" t="s">
        <v>17</v>
      </c>
      <c r="S3" s="2" t="s">
        <v>18</v>
      </c>
      <c r="T3" s="2" t="s">
        <v>19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20</v>
      </c>
      <c r="AE3" s="2" t="s">
        <v>21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23</v>
      </c>
      <c r="P4" s="1" t="s">
        <v>23</v>
      </c>
      <c r="Q4" s="1"/>
      <c r="R4" s="1"/>
      <c r="S4" s="1"/>
      <c r="T4" s="1" t="s">
        <v>22</v>
      </c>
      <c r="U4" s="1" t="s">
        <v>24</v>
      </c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SUM(E6:E500)</f>
        <v>1420</v>
      </c>
      <c r="F5" s="4">
        <f>SUM(F6:F500)</f>
        <v>951.7</v>
      </c>
      <c r="G5" s="7"/>
      <c r="H5" s="1"/>
      <c r="I5" s="1"/>
      <c r="J5" s="1"/>
      <c r="K5" s="4">
        <f t="shared" ref="K5:Q5" si="0">SUM(K6:K500)</f>
        <v>1546</v>
      </c>
      <c r="L5" s="4">
        <f t="shared" si="0"/>
        <v>-126</v>
      </c>
      <c r="M5" s="4">
        <f t="shared" si="0"/>
        <v>0</v>
      </c>
      <c r="N5" s="4">
        <f t="shared" si="0"/>
        <v>0</v>
      </c>
      <c r="O5" s="4">
        <f t="shared" si="0"/>
        <v>1990</v>
      </c>
      <c r="P5" s="4">
        <f t="shared" si="0"/>
        <v>284</v>
      </c>
      <c r="Q5" s="4">
        <f t="shared" si="0"/>
        <v>1589.0640000000001</v>
      </c>
      <c r="R5" s="1"/>
      <c r="S5" s="1"/>
      <c r="T5" s="4">
        <f t="shared" ref="T5:AC5" si="1">SUM(T6:T500)</f>
        <v>272.30000000000007</v>
      </c>
      <c r="U5" s="4">
        <f t="shared" si="1"/>
        <v>225.3</v>
      </c>
      <c r="V5" s="4">
        <f t="shared" si="1"/>
        <v>190.80839999999998</v>
      </c>
      <c r="W5" s="4">
        <f t="shared" si="1"/>
        <v>179.7</v>
      </c>
      <c r="X5" s="4">
        <f t="shared" si="1"/>
        <v>142</v>
      </c>
      <c r="Y5" s="4">
        <f t="shared" si="1"/>
        <v>124</v>
      </c>
      <c r="Z5" s="4">
        <f t="shared" si="1"/>
        <v>108.7</v>
      </c>
      <c r="AA5" s="4">
        <f t="shared" si="1"/>
        <v>116.10000000000002</v>
      </c>
      <c r="AB5" s="4">
        <f t="shared" si="1"/>
        <v>104.89999999999999</v>
      </c>
      <c r="AC5" s="4">
        <f t="shared" si="1"/>
        <v>121.99999999999999</v>
      </c>
      <c r="AD5" s="1"/>
      <c r="AE5" s="4">
        <f>SUM(AE6:AE500)</f>
        <v>648.91399999999999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33</v>
      </c>
      <c r="B6" s="1" t="s">
        <v>34</v>
      </c>
      <c r="C6" s="1">
        <v>37</v>
      </c>
      <c r="D6" s="1">
        <v>1</v>
      </c>
      <c r="E6" s="1">
        <v>2</v>
      </c>
      <c r="F6" s="1">
        <v>34</v>
      </c>
      <c r="G6" s="7">
        <v>0.42</v>
      </c>
      <c r="H6" s="1">
        <v>120</v>
      </c>
      <c r="I6" s="1" t="s">
        <v>35</v>
      </c>
      <c r="J6" s="1"/>
      <c r="K6" s="1">
        <v>3</v>
      </c>
      <c r="L6" s="1">
        <f t="shared" ref="L6:L16" si="2">E6-K6</f>
        <v>-1</v>
      </c>
      <c r="M6" s="1"/>
      <c r="N6" s="1"/>
      <c r="O6" s="1"/>
      <c r="P6" s="1">
        <f>E6/5</f>
        <v>0.4</v>
      </c>
      <c r="Q6" s="5"/>
      <c r="R6" s="1">
        <f>(F6+O6+Q6)/P6</f>
        <v>85</v>
      </c>
      <c r="S6" s="1">
        <f>(F6+O6)/P6</f>
        <v>85</v>
      </c>
      <c r="T6" s="1">
        <v>2</v>
      </c>
      <c r="U6" s="1">
        <v>2.8</v>
      </c>
      <c r="V6" s="1">
        <v>0.8</v>
      </c>
      <c r="W6" s="1">
        <v>1.4</v>
      </c>
      <c r="X6" s="1">
        <v>0</v>
      </c>
      <c r="Y6" s="1">
        <v>2</v>
      </c>
      <c r="Z6" s="1">
        <v>2.2000000000000002</v>
      </c>
      <c r="AA6" s="1">
        <v>1.4</v>
      </c>
      <c r="AB6" s="1">
        <v>0.6</v>
      </c>
      <c r="AC6" s="1">
        <v>1.6</v>
      </c>
      <c r="AD6" s="9" t="s">
        <v>49</v>
      </c>
      <c r="AE6" s="1">
        <f>G6*Q6</f>
        <v>0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36</v>
      </c>
      <c r="B7" s="1" t="s">
        <v>37</v>
      </c>
      <c r="C7" s="1">
        <v>45</v>
      </c>
      <c r="D7" s="1">
        <v>27.436</v>
      </c>
      <c r="E7" s="1">
        <v>22.5</v>
      </c>
      <c r="F7" s="1">
        <v>45.436</v>
      </c>
      <c r="G7" s="7">
        <v>1</v>
      </c>
      <c r="H7" s="1">
        <v>120</v>
      </c>
      <c r="I7" s="1" t="s">
        <v>35</v>
      </c>
      <c r="J7" s="1"/>
      <c r="K7" s="1">
        <v>22.5</v>
      </c>
      <c r="L7" s="1">
        <f t="shared" si="2"/>
        <v>0</v>
      </c>
      <c r="M7" s="1"/>
      <c r="N7" s="1"/>
      <c r="O7" s="1"/>
      <c r="P7" s="1">
        <f t="shared" ref="P7:P16" si="3">E7/5</f>
        <v>4.5</v>
      </c>
      <c r="Q7" s="5">
        <f>15*P7-O7-F7</f>
        <v>22.064</v>
      </c>
      <c r="R7" s="1">
        <f t="shared" ref="R7:R16" si="4">(F7+O7+Q7)/P7</f>
        <v>15</v>
      </c>
      <c r="S7" s="1">
        <f t="shared" ref="S7:S16" si="5">(F7+O7)/P7</f>
        <v>10.096888888888889</v>
      </c>
      <c r="T7" s="1">
        <v>1.8</v>
      </c>
      <c r="U7" s="1">
        <v>3.6</v>
      </c>
      <c r="V7" s="1">
        <v>1.8084</v>
      </c>
      <c r="W7" s="1">
        <v>3.6</v>
      </c>
      <c r="X7" s="1">
        <v>4.5</v>
      </c>
      <c r="Y7" s="1">
        <v>5.4</v>
      </c>
      <c r="Z7" s="1">
        <v>4.5</v>
      </c>
      <c r="AA7" s="1">
        <v>8.1</v>
      </c>
      <c r="AB7" s="1">
        <v>3.6</v>
      </c>
      <c r="AC7" s="1">
        <v>5.4</v>
      </c>
      <c r="AD7" s="1"/>
      <c r="AE7" s="1">
        <f>G7*Q7</f>
        <v>22.064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38</v>
      </c>
      <c r="B8" s="1" t="s">
        <v>37</v>
      </c>
      <c r="C8" s="1">
        <v>58.988</v>
      </c>
      <c r="D8" s="1">
        <v>18.276</v>
      </c>
      <c r="E8" s="1">
        <v>13.5</v>
      </c>
      <c r="F8" s="1">
        <v>50.264000000000003</v>
      </c>
      <c r="G8" s="7">
        <v>1</v>
      </c>
      <c r="H8" s="1">
        <v>120</v>
      </c>
      <c r="I8" s="1" t="s">
        <v>35</v>
      </c>
      <c r="J8" s="1"/>
      <c r="K8" s="1">
        <v>13.5</v>
      </c>
      <c r="L8" s="1">
        <f t="shared" si="2"/>
        <v>0</v>
      </c>
      <c r="M8" s="1"/>
      <c r="N8" s="1"/>
      <c r="O8" s="1"/>
      <c r="P8" s="1">
        <f t="shared" si="3"/>
        <v>2.7</v>
      </c>
      <c r="Q8" s="5"/>
      <c r="R8" s="1">
        <f t="shared" si="4"/>
        <v>18.616296296296298</v>
      </c>
      <c r="S8" s="1">
        <f t="shared" si="5"/>
        <v>18.616296296296298</v>
      </c>
      <c r="T8" s="1">
        <v>2.7</v>
      </c>
      <c r="U8" s="1">
        <v>0.9</v>
      </c>
      <c r="V8" s="1">
        <v>0</v>
      </c>
      <c r="W8" s="1">
        <v>4.5</v>
      </c>
      <c r="X8" s="1">
        <v>2.7</v>
      </c>
      <c r="Y8" s="1">
        <v>1.8</v>
      </c>
      <c r="Z8" s="1">
        <v>5.4</v>
      </c>
      <c r="AA8" s="1">
        <v>1.8</v>
      </c>
      <c r="AB8" s="1">
        <v>2.7</v>
      </c>
      <c r="AC8" s="1">
        <v>3.6</v>
      </c>
      <c r="AD8" s="1" t="s">
        <v>39</v>
      </c>
      <c r="AE8" s="1">
        <f>G8*Q8</f>
        <v>0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" t="s">
        <v>40</v>
      </c>
      <c r="B9" s="1" t="s">
        <v>34</v>
      </c>
      <c r="C9" s="1"/>
      <c r="D9" s="1">
        <v>100</v>
      </c>
      <c r="E9" s="1">
        <v>2</v>
      </c>
      <c r="F9" s="1">
        <v>97</v>
      </c>
      <c r="G9" s="7">
        <v>0.42</v>
      </c>
      <c r="H9" s="1">
        <v>120</v>
      </c>
      <c r="I9" s="1" t="s">
        <v>35</v>
      </c>
      <c r="J9" s="1"/>
      <c r="K9" s="1">
        <v>2</v>
      </c>
      <c r="L9" s="1">
        <f t="shared" si="2"/>
        <v>0</v>
      </c>
      <c r="M9" s="1"/>
      <c r="N9" s="1"/>
      <c r="O9" s="1">
        <v>20</v>
      </c>
      <c r="P9" s="1">
        <f t="shared" si="3"/>
        <v>0.4</v>
      </c>
      <c r="Q9" s="5"/>
      <c r="R9" s="1">
        <f t="shared" si="4"/>
        <v>292.5</v>
      </c>
      <c r="S9" s="1">
        <f t="shared" si="5"/>
        <v>292.5</v>
      </c>
      <c r="T9" s="1">
        <v>7.8</v>
      </c>
      <c r="U9" s="1">
        <v>8.1999999999999993</v>
      </c>
      <c r="V9" s="1">
        <v>2.4</v>
      </c>
      <c r="W9" s="1">
        <v>3.8</v>
      </c>
      <c r="X9" s="1">
        <v>1</v>
      </c>
      <c r="Y9" s="1">
        <v>3.2</v>
      </c>
      <c r="Z9" s="1">
        <v>3</v>
      </c>
      <c r="AA9" s="1">
        <v>8.6</v>
      </c>
      <c r="AB9" s="1">
        <v>5.4</v>
      </c>
      <c r="AC9" s="1">
        <v>6</v>
      </c>
      <c r="AD9" s="1"/>
      <c r="AE9" s="1">
        <f>G9*Q9</f>
        <v>0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41</v>
      </c>
      <c r="B10" s="1" t="s">
        <v>34</v>
      </c>
      <c r="C10" s="1">
        <v>218</v>
      </c>
      <c r="D10" s="1">
        <v>182</v>
      </c>
      <c r="E10" s="1">
        <v>380</v>
      </c>
      <c r="F10" s="1">
        <v>-28</v>
      </c>
      <c r="G10" s="7">
        <v>0.3</v>
      </c>
      <c r="H10" s="1">
        <v>120</v>
      </c>
      <c r="I10" s="1" t="s">
        <v>35</v>
      </c>
      <c r="J10" s="1"/>
      <c r="K10" s="1">
        <v>380</v>
      </c>
      <c r="L10" s="1">
        <f t="shared" si="2"/>
        <v>0</v>
      </c>
      <c r="M10" s="1"/>
      <c r="N10" s="1"/>
      <c r="O10" s="1">
        <v>800</v>
      </c>
      <c r="P10" s="1">
        <f t="shared" si="3"/>
        <v>76</v>
      </c>
      <c r="Q10" s="5">
        <f t="shared" ref="Q10:Q11" si="6">15*P10-O10-F10</f>
        <v>368</v>
      </c>
      <c r="R10" s="1">
        <f t="shared" si="4"/>
        <v>15</v>
      </c>
      <c r="S10" s="1">
        <f t="shared" si="5"/>
        <v>10.157894736842104</v>
      </c>
      <c r="T10" s="1">
        <v>81.400000000000006</v>
      </c>
      <c r="U10" s="1">
        <v>51</v>
      </c>
      <c r="V10" s="1">
        <v>32.6</v>
      </c>
      <c r="W10" s="1">
        <v>43.4</v>
      </c>
      <c r="X10" s="1">
        <v>28</v>
      </c>
      <c r="Y10" s="1">
        <v>17.2</v>
      </c>
      <c r="Z10" s="1">
        <v>6.8</v>
      </c>
      <c r="AA10" s="1">
        <v>28.6</v>
      </c>
      <c r="AB10" s="1">
        <v>15.6</v>
      </c>
      <c r="AC10" s="1">
        <v>18</v>
      </c>
      <c r="AD10" s="1" t="s">
        <v>42</v>
      </c>
      <c r="AE10" s="1">
        <f>G10*Q10</f>
        <v>110.39999999999999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43</v>
      </c>
      <c r="B11" s="1" t="s">
        <v>34</v>
      </c>
      <c r="C11" s="1">
        <v>257</v>
      </c>
      <c r="D11" s="1">
        <v>60</v>
      </c>
      <c r="E11" s="1">
        <v>269</v>
      </c>
      <c r="F11" s="1"/>
      <c r="G11" s="7">
        <v>0.3</v>
      </c>
      <c r="H11" s="1">
        <v>120</v>
      </c>
      <c r="I11" s="1" t="s">
        <v>35</v>
      </c>
      <c r="J11" s="1"/>
      <c r="K11" s="1">
        <v>269</v>
      </c>
      <c r="L11" s="1">
        <f t="shared" si="2"/>
        <v>0</v>
      </c>
      <c r="M11" s="1"/>
      <c r="N11" s="1"/>
      <c r="O11" s="1">
        <v>450</v>
      </c>
      <c r="P11" s="1">
        <f t="shared" si="3"/>
        <v>53.8</v>
      </c>
      <c r="Q11" s="5">
        <f t="shared" si="6"/>
        <v>357</v>
      </c>
      <c r="R11" s="1">
        <f t="shared" si="4"/>
        <v>15</v>
      </c>
      <c r="S11" s="1">
        <f t="shared" si="5"/>
        <v>8.3643122676579935</v>
      </c>
      <c r="T11" s="1">
        <v>43.6</v>
      </c>
      <c r="U11" s="1">
        <v>27.4</v>
      </c>
      <c r="V11" s="1">
        <v>40.799999999999997</v>
      </c>
      <c r="W11" s="1">
        <v>24.8</v>
      </c>
      <c r="X11" s="1">
        <v>22.4</v>
      </c>
      <c r="Y11" s="1">
        <v>20.8</v>
      </c>
      <c r="Z11" s="1">
        <v>15.8</v>
      </c>
      <c r="AA11" s="1">
        <v>13</v>
      </c>
      <c r="AB11" s="1">
        <v>11.4</v>
      </c>
      <c r="AC11" s="1">
        <v>24.2</v>
      </c>
      <c r="AD11" s="1" t="s">
        <v>42</v>
      </c>
      <c r="AE11" s="1">
        <f>G11*Q11</f>
        <v>107.1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44</v>
      </c>
      <c r="B12" s="1" t="s">
        <v>34</v>
      </c>
      <c r="C12" s="1">
        <v>8</v>
      </c>
      <c r="D12" s="1">
        <v>396</v>
      </c>
      <c r="E12" s="1">
        <v>76</v>
      </c>
      <c r="F12" s="1">
        <v>319</v>
      </c>
      <c r="G12" s="7">
        <v>0.35</v>
      </c>
      <c r="H12" s="1">
        <v>120</v>
      </c>
      <c r="I12" s="1" t="s">
        <v>35</v>
      </c>
      <c r="J12" s="1"/>
      <c r="K12" s="1">
        <v>135</v>
      </c>
      <c r="L12" s="1">
        <f t="shared" si="2"/>
        <v>-59</v>
      </c>
      <c r="M12" s="1"/>
      <c r="N12" s="1"/>
      <c r="O12" s="1"/>
      <c r="P12" s="1">
        <f t="shared" si="3"/>
        <v>15.2</v>
      </c>
      <c r="Q12" s="5"/>
      <c r="R12" s="1">
        <f t="shared" si="4"/>
        <v>20.986842105263158</v>
      </c>
      <c r="S12" s="1">
        <f t="shared" si="5"/>
        <v>20.986842105263158</v>
      </c>
      <c r="T12" s="1">
        <v>11.8</v>
      </c>
      <c r="U12" s="1">
        <v>30.4</v>
      </c>
      <c r="V12" s="1">
        <v>10.8</v>
      </c>
      <c r="W12" s="1">
        <v>13</v>
      </c>
      <c r="X12" s="1">
        <v>18</v>
      </c>
      <c r="Y12" s="1">
        <v>10</v>
      </c>
      <c r="Z12" s="1">
        <v>18</v>
      </c>
      <c r="AA12" s="1">
        <v>8.4</v>
      </c>
      <c r="AB12" s="1">
        <v>18.399999999999999</v>
      </c>
      <c r="AC12" s="1">
        <v>9.6</v>
      </c>
      <c r="AD12" s="1"/>
      <c r="AE12" s="1">
        <f>G12*Q12</f>
        <v>0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45</v>
      </c>
      <c r="B13" s="1" t="s">
        <v>34</v>
      </c>
      <c r="C13" s="1">
        <v>41</v>
      </c>
      <c r="D13" s="1">
        <v>96</v>
      </c>
      <c r="E13" s="1">
        <v>123</v>
      </c>
      <c r="F13" s="1">
        <v>6</v>
      </c>
      <c r="G13" s="7">
        <v>0.3</v>
      </c>
      <c r="H13" s="1">
        <v>120</v>
      </c>
      <c r="I13" s="1" t="s">
        <v>35</v>
      </c>
      <c r="J13" s="1"/>
      <c r="K13" s="1">
        <v>165</v>
      </c>
      <c r="L13" s="1">
        <f t="shared" si="2"/>
        <v>-42</v>
      </c>
      <c r="M13" s="1"/>
      <c r="N13" s="1"/>
      <c r="O13" s="1">
        <v>290</v>
      </c>
      <c r="P13" s="1">
        <f t="shared" si="3"/>
        <v>24.6</v>
      </c>
      <c r="Q13" s="5">
        <f>15*P13-O13-F13</f>
        <v>73</v>
      </c>
      <c r="R13" s="1">
        <f t="shared" si="4"/>
        <v>15</v>
      </c>
      <c r="S13" s="1">
        <f t="shared" si="5"/>
        <v>12.032520325203251</v>
      </c>
      <c r="T13" s="1">
        <v>32.799999999999997</v>
      </c>
      <c r="U13" s="1">
        <v>24.2</v>
      </c>
      <c r="V13" s="1">
        <v>24.2</v>
      </c>
      <c r="W13" s="1">
        <v>22</v>
      </c>
      <c r="X13" s="1">
        <v>15.2</v>
      </c>
      <c r="Y13" s="1">
        <v>15.6</v>
      </c>
      <c r="Z13" s="1">
        <v>23.2</v>
      </c>
      <c r="AA13" s="1">
        <v>5.4</v>
      </c>
      <c r="AB13" s="1">
        <v>16.2</v>
      </c>
      <c r="AC13" s="1">
        <v>12.4</v>
      </c>
      <c r="AD13" s="1"/>
      <c r="AE13" s="1">
        <f>G13*Q13</f>
        <v>21.9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46</v>
      </c>
      <c r="B14" s="1" t="s">
        <v>34</v>
      </c>
      <c r="C14" s="1">
        <v>221</v>
      </c>
      <c r="D14" s="1">
        <v>97</v>
      </c>
      <c r="E14" s="1">
        <v>185</v>
      </c>
      <c r="F14" s="1">
        <v>124</v>
      </c>
      <c r="G14" s="7">
        <v>0.35</v>
      </c>
      <c r="H14" s="1">
        <v>120</v>
      </c>
      <c r="I14" s="1" t="s">
        <v>35</v>
      </c>
      <c r="J14" s="1"/>
      <c r="K14" s="1">
        <v>186</v>
      </c>
      <c r="L14" s="1">
        <f t="shared" si="2"/>
        <v>-1</v>
      </c>
      <c r="M14" s="1"/>
      <c r="N14" s="1"/>
      <c r="O14" s="1"/>
      <c r="P14" s="1">
        <f t="shared" si="3"/>
        <v>37</v>
      </c>
      <c r="Q14" s="5">
        <f>15*P14-O14-F14</f>
        <v>431</v>
      </c>
      <c r="R14" s="1">
        <f t="shared" si="4"/>
        <v>15</v>
      </c>
      <c r="S14" s="1">
        <f t="shared" si="5"/>
        <v>3.3513513513513513</v>
      </c>
      <c r="T14" s="1">
        <v>18.8</v>
      </c>
      <c r="U14" s="1">
        <v>21.4</v>
      </c>
      <c r="V14" s="1">
        <v>29.2</v>
      </c>
      <c r="W14" s="1">
        <v>18.600000000000001</v>
      </c>
      <c r="X14" s="1">
        <v>14.6</v>
      </c>
      <c r="Y14" s="1">
        <v>17.2</v>
      </c>
      <c r="Z14" s="1">
        <v>20</v>
      </c>
      <c r="AA14" s="1">
        <v>9.1999999999999993</v>
      </c>
      <c r="AB14" s="1">
        <v>16.2</v>
      </c>
      <c r="AC14" s="1">
        <v>14.8</v>
      </c>
      <c r="AD14" s="1"/>
      <c r="AE14" s="1">
        <f>G14*Q14</f>
        <v>150.85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47</v>
      </c>
      <c r="B15" s="1" t="s">
        <v>34</v>
      </c>
      <c r="C15" s="1">
        <v>58</v>
      </c>
      <c r="D15" s="1">
        <v>48</v>
      </c>
      <c r="E15" s="1">
        <v>35</v>
      </c>
      <c r="F15" s="1">
        <v>46</v>
      </c>
      <c r="G15" s="7">
        <v>0.3</v>
      </c>
      <c r="H15" s="1">
        <v>120</v>
      </c>
      <c r="I15" s="1" t="s">
        <v>35</v>
      </c>
      <c r="J15" s="1"/>
      <c r="K15" s="1">
        <v>35</v>
      </c>
      <c r="L15" s="1">
        <f t="shared" si="2"/>
        <v>0</v>
      </c>
      <c r="M15" s="1"/>
      <c r="N15" s="1"/>
      <c r="O15" s="1">
        <v>90</v>
      </c>
      <c r="P15" s="1">
        <f t="shared" si="3"/>
        <v>7</v>
      </c>
      <c r="Q15" s="5"/>
      <c r="R15" s="1">
        <f t="shared" si="4"/>
        <v>19.428571428571427</v>
      </c>
      <c r="S15" s="1">
        <f t="shared" si="5"/>
        <v>19.428571428571427</v>
      </c>
      <c r="T15" s="1">
        <v>12.4</v>
      </c>
      <c r="U15" s="1">
        <v>7.2</v>
      </c>
      <c r="V15" s="1">
        <v>10.6</v>
      </c>
      <c r="W15" s="1">
        <v>7.2</v>
      </c>
      <c r="X15" s="1">
        <v>5.4</v>
      </c>
      <c r="Y15" s="1">
        <v>5.6</v>
      </c>
      <c r="Z15" s="1">
        <v>2.6</v>
      </c>
      <c r="AA15" s="1">
        <v>6</v>
      </c>
      <c r="AB15" s="1">
        <v>5.8</v>
      </c>
      <c r="AC15" s="1">
        <v>11.6</v>
      </c>
      <c r="AD15" s="1"/>
      <c r="AE15" s="1">
        <f>G15*Q15</f>
        <v>0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48</v>
      </c>
      <c r="B16" s="1" t="s">
        <v>34</v>
      </c>
      <c r="C16" s="1">
        <v>493</v>
      </c>
      <c r="D16" s="1">
        <v>173</v>
      </c>
      <c r="E16" s="1">
        <v>312</v>
      </c>
      <c r="F16" s="1">
        <v>258</v>
      </c>
      <c r="G16" s="7">
        <v>0.7</v>
      </c>
      <c r="H16" s="1">
        <v>180</v>
      </c>
      <c r="I16" s="1" t="s">
        <v>35</v>
      </c>
      <c r="J16" s="1"/>
      <c r="K16" s="1">
        <v>335</v>
      </c>
      <c r="L16" s="1">
        <f t="shared" si="2"/>
        <v>-23</v>
      </c>
      <c r="M16" s="1"/>
      <c r="N16" s="1"/>
      <c r="O16" s="1">
        <v>340</v>
      </c>
      <c r="P16" s="1">
        <f t="shared" si="3"/>
        <v>62.4</v>
      </c>
      <c r="Q16" s="5">
        <f>15*P16-O16-F16</f>
        <v>338</v>
      </c>
      <c r="R16" s="1">
        <f t="shared" si="4"/>
        <v>15</v>
      </c>
      <c r="S16" s="1">
        <f t="shared" si="5"/>
        <v>9.5833333333333339</v>
      </c>
      <c r="T16" s="1">
        <v>57.2</v>
      </c>
      <c r="U16" s="1">
        <v>48.2</v>
      </c>
      <c r="V16" s="1">
        <v>37.6</v>
      </c>
      <c r="W16" s="1">
        <v>37.4</v>
      </c>
      <c r="X16" s="1">
        <v>30.2</v>
      </c>
      <c r="Y16" s="1">
        <v>25.2</v>
      </c>
      <c r="Z16" s="1">
        <v>7.2</v>
      </c>
      <c r="AA16" s="1">
        <v>25.6</v>
      </c>
      <c r="AB16" s="1">
        <v>9</v>
      </c>
      <c r="AC16" s="1">
        <v>14.8</v>
      </c>
      <c r="AD16" s="1"/>
      <c r="AE16" s="1">
        <f>G16*Q16</f>
        <v>236.6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/>
      <c r="B17" s="1"/>
      <c r="C17" s="1"/>
      <c r="D17" s="1"/>
      <c r="E17" s="1"/>
      <c r="F17" s="1"/>
      <c r="G17" s="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/>
      <c r="B18" s="1"/>
      <c r="C18" s="1"/>
      <c r="D18" s="1"/>
      <c r="E18" s="1"/>
      <c r="F18" s="1"/>
      <c r="G18" s="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/>
      <c r="B19" s="1"/>
      <c r="C19" s="1"/>
      <c r="D19" s="1"/>
      <c r="E19" s="1"/>
      <c r="F19" s="1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/>
      <c r="B20" s="1"/>
      <c r="C20" s="1"/>
      <c r="D20" s="1"/>
      <c r="E20" s="1"/>
      <c r="F20" s="1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/>
      <c r="B21" s="1"/>
      <c r="C21" s="1"/>
      <c r="D21" s="1"/>
      <c r="E21" s="1"/>
      <c r="F21" s="1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/>
      <c r="B22" s="1"/>
      <c r="C22" s="1"/>
      <c r="D22" s="1"/>
      <c r="E22" s="1"/>
      <c r="F22" s="1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/>
      <c r="B23" s="1"/>
      <c r="C23" s="1"/>
      <c r="D23" s="1"/>
      <c r="E23" s="1"/>
      <c r="F23" s="1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  <row r="500" spans="1:48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2026-10-12T16:37:23Z</dcterms:created>
  <dcterms:modified xsi:type="dcterms:W3CDTF">2026-10-12T16:40:24Z</dcterms:modified>
</cp:coreProperties>
</file>