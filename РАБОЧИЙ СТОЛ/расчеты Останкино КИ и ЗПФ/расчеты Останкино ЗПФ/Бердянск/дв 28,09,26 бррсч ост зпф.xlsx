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 и ЗПФ\расчеты Останкино ЗПФ\"/>
    </mc:Choice>
  </mc:AlternateContent>
  <xr:revisionPtr revIDLastSave="0" documentId="13_ncr:1_{3F7BB4DB-5041-4FB5-8CC1-5395E35C87BC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7" i="1" l="1"/>
  <c r="T8" i="1"/>
  <c r="T9" i="1"/>
  <c r="T10" i="1"/>
  <c r="T11" i="1"/>
  <c r="T12" i="1"/>
  <c r="T13" i="1"/>
  <c r="T14" i="1"/>
  <c r="T15" i="1"/>
  <c r="T16" i="1"/>
  <c r="T6" i="1"/>
  <c r="AG7" i="1"/>
  <c r="AG8" i="1"/>
  <c r="AG9" i="1"/>
  <c r="AG10" i="1"/>
  <c r="AG11" i="1"/>
  <c r="AG12" i="1"/>
  <c r="AG13" i="1"/>
  <c r="AG14" i="1"/>
  <c r="AG15" i="1"/>
  <c r="AG16" i="1"/>
  <c r="AG6" i="1"/>
  <c r="S7" i="1"/>
  <c r="S8" i="1"/>
  <c r="S9" i="1"/>
  <c r="S10" i="1"/>
  <c r="S11" i="1"/>
  <c r="S12" i="1"/>
  <c r="S13" i="1"/>
  <c r="S14" i="1"/>
  <c r="S15" i="1"/>
  <c r="S16" i="1"/>
  <c r="S6" i="1"/>
  <c r="R5" i="1"/>
  <c r="U7" i="1" l="1"/>
  <c r="U8" i="1"/>
  <c r="U9" i="1"/>
  <c r="U10" i="1"/>
  <c r="U11" i="1"/>
  <c r="U12" i="1"/>
  <c r="U13" i="1"/>
  <c r="U14" i="1"/>
  <c r="U15" i="1"/>
  <c r="U16" i="1"/>
  <c r="U6" i="1"/>
  <c r="P7" i="1"/>
  <c r="P8" i="1"/>
  <c r="P9" i="1"/>
  <c r="P10" i="1"/>
  <c r="P11" i="1"/>
  <c r="P12" i="1"/>
  <c r="P13" i="1"/>
  <c r="P14" i="1"/>
  <c r="P15" i="1"/>
  <c r="P16" i="1"/>
  <c r="P6" i="1"/>
  <c r="L16" i="1"/>
  <c r="L15" i="1"/>
  <c r="L14" i="1"/>
  <c r="L13" i="1"/>
  <c r="L12" i="1"/>
  <c r="L11" i="1"/>
  <c r="L10" i="1"/>
  <c r="L9" i="1"/>
  <c r="L8" i="1"/>
  <c r="L7" i="1"/>
  <c r="L6" i="1"/>
  <c r="AG5" i="1"/>
  <c r="AE5" i="1"/>
  <c r="AD5" i="1"/>
  <c r="AC5" i="1"/>
  <c r="AB5" i="1"/>
  <c r="AA5" i="1"/>
  <c r="Z5" i="1"/>
  <c r="Y5" i="1"/>
  <c r="X5" i="1"/>
  <c r="W5" i="1"/>
  <c r="V5" i="1"/>
  <c r="Q5" i="1"/>
  <c r="O5" i="1"/>
  <c r="N5" i="1"/>
  <c r="M5" i="1"/>
  <c r="L5" i="1"/>
  <c r="K5" i="1"/>
  <c r="F5" i="1"/>
  <c r="E5" i="1"/>
  <c r="P5" i="1" l="1"/>
</calcChain>
</file>

<file path=xl/sharedStrings.xml><?xml version="1.0" encoding="utf-8"?>
<sst xmlns="http://schemas.openxmlformats.org/spreadsheetml/2006/main" count="86" uniqueCount="56">
  <si>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</si>
  <si>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</si>
  <si>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</si>
  <si>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</si>
  <si>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</si>
  <si>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</si>
  <si>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</si>
  <si>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</si>
  <si>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</si>
  <si>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</si>
  <si>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</si>
  <si>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</si>
  <si>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</si>
  <si>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</si>
  <si>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</si>
  <si>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</si>
  <si>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</si>
  <si>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</si>
  <si>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</si>
  <si>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</si>
  <si>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</si>
  <si>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</si>
  <si>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28,08,</t>
  </si>
  <si>
    <t>21,09,</t>
  </si>
  <si>
    <t>14,09,</t>
  </si>
  <si>
    <t>07,09,</t>
  </si>
  <si>
    <t>31,08,</t>
  </si>
  <si>
    <t>24,08,</t>
  </si>
  <si>
    <t>17,08,</t>
  </si>
  <si>
    <t>10,08,</t>
  </si>
  <si>
    <t>03,08,</t>
  </si>
  <si>
    <t>27,07,</t>
  </si>
  <si>
    <t>20,07,</t>
  </si>
  <si>
    <t>5579 БЛИНЧ.КРУГЛЫЕ С САД.ЯБЛОК.пл.1/420 зам. ОСТАНКИНО</t>
  </si>
  <si>
    <t>шт</t>
  </si>
  <si>
    <t>матрица</t>
  </si>
  <si>
    <t>нужно увеличить продажи!!!</t>
  </si>
  <si>
    <t>5754 БЛИНЧ.КРУГЛЫЕ С МЯСОМ 4,5кг зам. ПМ ОСТАНКИНО</t>
  </si>
  <si>
    <t>кг</t>
  </si>
  <si>
    <t>5755 БЛИНЧ.КРУГЛЫЕ С ТВОРОГОМ 4,5кг зам. ПМ ОСТАНКИНО</t>
  </si>
  <si>
    <t>5897 БЛИНЧ.КРУГЛЫЕ С ГРУШЕЙ пл.1/420 зам.   ОСТАНКИНО</t>
  </si>
  <si>
    <t>6148 БЛИНЧ.КРУГЛЫЕ С ВЕТЧ.И СЫР. ПМ 1/300 зам. ОСТАНКИНО</t>
  </si>
  <si>
    <t>6149 БЛИНЧ.КРУГЛЫЕ С ПЕЧЕНЬЮ ПМ 1/300 зам. ОСТАНКИНО</t>
  </si>
  <si>
    <t>6168 Блинчики с мясом пл. 1/350 зам. ОСТАНКИНО</t>
  </si>
  <si>
    <t>6202 БЛИНЧ.КРУГЛЫЕ С ТВОРОГОМ ПМ 1/300 зам. ОСТАНКИНО</t>
  </si>
  <si>
    <t>6209 Блинчики с куриным мясом пл. 1/350 зам. ОСТАНКИНО</t>
  </si>
  <si>
    <t>6819 БЛИНЧ.КРУГЛЫЕ С САД.ЯБЛОК. пл. 1/300 зам. ОСТАНКИНО</t>
  </si>
  <si>
    <t>7216 СОЧНЫЕ СО СЛ.МАСЛ.ПМ пельм пл.0.7кг зам. ОСТАНКИНО</t>
  </si>
  <si>
    <t>нет</t>
  </si>
  <si>
    <t>150шт в уценку (25,09,26) / нужно увеличить продажи!!!</t>
  </si>
  <si>
    <t>138кг в уценку (25,09,26) / нужно увеличить продажи!!!</t>
  </si>
  <si>
    <t>131кг в уценку (25,09,26) / нужно увеличить продажи!!!</t>
  </si>
  <si>
    <t>ТК</t>
  </si>
  <si>
    <t>Титенок</t>
  </si>
  <si>
    <t>заказ</t>
  </si>
  <si>
    <t>06,10,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</si>
</sst>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1"/>
  </cellStyleXfs>
  <cellXfs count="12">
    <xf numFmtId="0" fontId="0" fillId="0" borderId="0" xfId="0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/>
    <xf numFmtId="2" fontId="1" fillId="0" borderId="1" xfId="1" applyNumberFormat="1"/>
    <xf numFmtId="2" fontId="2" fillId="2" borderId="1" xfId="1" applyNumberFormat="1" applyFont="1" applyFill="1"/>
    <xf numFmtId="164" fontId="4" fillId="0" borderId="1" xfId="1" applyNumberFormat="1" applyFont="1"/>
    <xf numFmtId="164" fontId="5" fillId="4" borderId="1" xfId="1" applyNumberFormat="1" applyFont="1" applyFill="1"/>
    <xf numFmtId="164" fontId="1" fillId="0" borderId="1" xfId="1" applyNumberForma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_&#1076;&#1074;%2028,09,26%20&#1073;&#1088;&#1088;&#1089;&#1095;%20&#1086;&#1089;&#1090;%20&#1079;&#1087;&#1092;%20(&#1058;&#1080;&#1090;&#1077;&#1085;&#1086;&#1082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ср нов</v>
          </cell>
          <cell r="Q3" t="str">
            <v>расчет</v>
          </cell>
        </row>
        <row r="4">
          <cell r="O4" t="str">
            <v>нет</v>
          </cell>
          <cell r="P4" t="str">
            <v>28,08,</v>
          </cell>
        </row>
        <row r="5">
          <cell r="E5">
            <v>212.56</v>
          </cell>
          <cell r="F5">
            <v>1347.0140000000001</v>
          </cell>
          <cell r="K5">
            <v>236.5</v>
          </cell>
          <cell r="L5">
            <v>-23.94</v>
          </cell>
          <cell r="M5">
            <v>0</v>
          </cell>
          <cell r="N5">
            <v>0</v>
          </cell>
          <cell r="O5">
            <v>0</v>
          </cell>
          <cell r="P5">
            <v>42.512</v>
          </cell>
          <cell r="Q5">
            <v>1200</v>
          </cell>
        </row>
        <row r="6">
          <cell r="A6" t="str">
            <v>5579 БЛИНЧ.КРУГЛЫЕ С САД.ЯБЛОК.пл.1/420 зам. ОСТАНКИНО</v>
          </cell>
          <cell r="B6" t="str">
            <v>шт</v>
          </cell>
          <cell r="C6">
            <v>202</v>
          </cell>
          <cell r="F6">
            <v>52</v>
          </cell>
          <cell r="G6">
            <v>0.42</v>
          </cell>
          <cell r="H6">
            <v>120</v>
          </cell>
          <cell r="I6" t="str">
            <v>матрица</v>
          </cell>
          <cell r="L6">
            <v>0</v>
          </cell>
          <cell r="P6">
            <v>0</v>
          </cell>
        </row>
        <row r="7">
          <cell r="A7" t="str">
            <v>5754 БЛИНЧ.КРУГЛЫЕ С МЯСОМ 4,5кг зам. ПМ ОСТАНКИНО</v>
          </cell>
          <cell r="B7" t="str">
            <v>кг</v>
          </cell>
          <cell r="C7">
            <v>73.664000000000001</v>
          </cell>
          <cell r="F7">
            <v>-64.296000000000006</v>
          </cell>
          <cell r="G7">
            <v>1</v>
          </cell>
          <cell r="H7">
            <v>120</v>
          </cell>
          <cell r="I7" t="str">
            <v>матрица</v>
          </cell>
          <cell r="L7">
            <v>0</v>
          </cell>
          <cell r="P7">
            <v>0</v>
          </cell>
          <cell r="Q7">
            <v>200</v>
          </cell>
        </row>
        <row r="8">
          <cell r="A8" t="str">
            <v>5755 БЛИНЧ.КРУГЛЫЕ С ТВОРОГОМ 4,5кг зам. ПМ ОСТАНКИНО</v>
          </cell>
          <cell r="B8" t="str">
            <v>кг</v>
          </cell>
          <cell r="C8">
            <v>315.33</v>
          </cell>
          <cell r="E8">
            <v>4.5599999999999996</v>
          </cell>
          <cell r="F8">
            <v>179.31</v>
          </cell>
          <cell r="G8">
            <v>1</v>
          </cell>
          <cell r="H8">
            <v>120</v>
          </cell>
          <cell r="I8" t="str">
            <v>матрица</v>
          </cell>
          <cell r="K8">
            <v>4.5</v>
          </cell>
          <cell r="L8">
            <v>5.9999999999999609E-2</v>
          </cell>
          <cell r="P8">
            <v>0.91199999999999992</v>
          </cell>
        </row>
        <row r="9">
          <cell r="A9" t="str">
            <v>5897 БЛИНЧ.КРУГЛЫЕ С ГРУШЕЙ пл.1/420 зам.   ОСТАНКИНО</v>
          </cell>
          <cell r="B9" t="str">
            <v>шт</v>
          </cell>
          <cell r="C9">
            <v>51</v>
          </cell>
          <cell r="D9">
            <v>2</v>
          </cell>
          <cell r="F9">
            <v>53</v>
          </cell>
          <cell r="G9">
            <v>0.42</v>
          </cell>
          <cell r="H9">
            <v>120</v>
          </cell>
          <cell r="I9" t="str">
            <v>матрица</v>
          </cell>
          <cell r="L9">
            <v>0</v>
          </cell>
          <cell r="P9">
            <v>0</v>
          </cell>
          <cell r="Q9">
            <v>50</v>
          </cell>
        </row>
        <row r="10">
          <cell r="A10" t="str">
            <v>6148 БЛИНЧ.КРУГЛЫЕ С ВЕТЧ.И СЫР. ПМ 1/300 зам. ОСТАНКИНО</v>
          </cell>
          <cell r="B10" t="str">
            <v>шт</v>
          </cell>
          <cell r="C10">
            <v>16</v>
          </cell>
          <cell r="D10">
            <v>144</v>
          </cell>
          <cell r="E10">
            <v>17</v>
          </cell>
          <cell r="F10">
            <v>143</v>
          </cell>
          <cell r="G10">
            <v>0.3</v>
          </cell>
          <cell r="H10">
            <v>120</v>
          </cell>
          <cell r="I10" t="str">
            <v>матрица</v>
          </cell>
          <cell r="K10">
            <v>17</v>
          </cell>
          <cell r="L10">
            <v>0</v>
          </cell>
          <cell r="P10">
            <v>3.4</v>
          </cell>
          <cell r="Q10">
            <v>200</v>
          </cell>
        </row>
        <row r="11">
          <cell r="A11" t="str">
            <v>6149 БЛИНЧ.КРУГЛЫЕ С ПЕЧЕНЬЮ ПМ 1/300 зам. ОСТАНКИНО</v>
          </cell>
          <cell r="B11" t="str">
            <v>шт</v>
          </cell>
          <cell r="D11">
            <v>132</v>
          </cell>
          <cell r="E11">
            <v>61</v>
          </cell>
          <cell r="F11">
            <v>71</v>
          </cell>
          <cell r="G11">
            <v>0.3</v>
          </cell>
          <cell r="H11">
            <v>120</v>
          </cell>
          <cell r="I11" t="str">
            <v>матрица</v>
          </cell>
          <cell r="K11">
            <v>59</v>
          </cell>
          <cell r="L11">
            <v>2</v>
          </cell>
          <cell r="P11">
            <v>12.2</v>
          </cell>
          <cell r="Q11">
            <v>200</v>
          </cell>
        </row>
        <row r="12">
          <cell r="A12" t="str">
            <v>6168 Блинчики с мясом пл. 1/350 зам. ОСТАНКИНО</v>
          </cell>
          <cell r="B12" t="str">
            <v>шт</v>
          </cell>
          <cell r="C12">
            <v>12</v>
          </cell>
          <cell r="D12">
            <v>240</v>
          </cell>
          <cell r="E12">
            <v>51</v>
          </cell>
          <cell r="F12">
            <v>201</v>
          </cell>
          <cell r="G12">
            <v>0.35</v>
          </cell>
          <cell r="H12">
            <v>120</v>
          </cell>
          <cell r="I12" t="str">
            <v>матрица</v>
          </cell>
          <cell r="K12">
            <v>49</v>
          </cell>
          <cell r="L12">
            <v>2</v>
          </cell>
          <cell r="P12">
            <v>10.199999999999999</v>
          </cell>
          <cell r="Q12">
            <v>150</v>
          </cell>
        </row>
        <row r="13">
          <cell r="A13" t="str">
            <v>6202 БЛИНЧ.КРУГЛЫЕ С ТВОРОГОМ ПМ 1/300 зам. ОСТАНКИНО</v>
          </cell>
          <cell r="B13" t="str">
            <v>шт</v>
          </cell>
          <cell r="D13">
            <v>156</v>
          </cell>
          <cell r="E13">
            <v>21</v>
          </cell>
          <cell r="F13">
            <v>135</v>
          </cell>
          <cell r="G13">
            <v>0.3</v>
          </cell>
          <cell r="H13">
            <v>120</v>
          </cell>
          <cell r="I13" t="str">
            <v>матрица</v>
          </cell>
          <cell r="K13">
            <v>28</v>
          </cell>
          <cell r="L13">
            <v>-7</v>
          </cell>
          <cell r="P13">
            <v>4.2</v>
          </cell>
          <cell r="Q13">
            <v>200</v>
          </cell>
        </row>
        <row r="14">
          <cell r="A14" t="str">
            <v>6209 Блинчики с куриным мясом пл. 1/350 зам. ОСТАНКИНО</v>
          </cell>
          <cell r="B14" t="str">
            <v>шт</v>
          </cell>
          <cell r="C14">
            <v>20</v>
          </cell>
          <cell r="D14">
            <v>324</v>
          </cell>
          <cell r="E14">
            <v>58</v>
          </cell>
          <cell r="F14">
            <v>286</v>
          </cell>
          <cell r="G14">
            <v>0.35</v>
          </cell>
          <cell r="H14">
            <v>120</v>
          </cell>
          <cell r="I14" t="str">
            <v>матрица</v>
          </cell>
          <cell r="K14">
            <v>64</v>
          </cell>
          <cell r="L14">
            <v>-6</v>
          </cell>
          <cell r="P14">
            <v>11.6</v>
          </cell>
        </row>
        <row r="15">
          <cell r="A15" t="str">
            <v>6819 БЛИНЧ.КРУГЛЫЕ С САД.ЯБЛОК. пл. 1/300 зам. ОСТАНКИНО</v>
          </cell>
          <cell r="B15" t="str">
            <v>шт</v>
          </cell>
          <cell r="C15">
            <v>99</v>
          </cell>
          <cell r="F15">
            <v>99</v>
          </cell>
          <cell r="G15">
            <v>0.3</v>
          </cell>
          <cell r="H15">
            <v>120</v>
          </cell>
          <cell r="I15" t="str">
            <v>матрица</v>
          </cell>
          <cell r="L15">
            <v>0</v>
          </cell>
          <cell r="P15">
            <v>0</v>
          </cell>
          <cell r="Q15">
            <v>50</v>
          </cell>
        </row>
        <row r="16">
          <cell r="A16" t="str">
            <v>7216 СОЧНЫЕ СО СЛ.МАСЛ.ПМ пельм пл.0.7кг зам. ОСТАНКИНО</v>
          </cell>
          <cell r="B16" t="str">
            <v>шт</v>
          </cell>
          <cell r="C16">
            <v>52</v>
          </cell>
          <cell r="D16">
            <v>140</v>
          </cell>
          <cell r="F16">
            <v>192</v>
          </cell>
          <cell r="G16">
            <v>0.7</v>
          </cell>
          <cell r="H16">
            <v>180</v>
          </cell>
          <cell r="I16" t="str">
            <v>матрица</v>
          </cell>
          <cell r="K16">
            <v>15</v>
          </cell>
          <cell r="L16">
            <v>-15</v>
          </cell>
          <cell r="P16">
            <v>0</v>
          </cell>
          <cell r="Q16">
            <v>150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Z21" sqref="Z21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28515625" customWidth="1"/>
    <col min="15" max="15" width="0.42578125" customWidth="1"/>
    <col min="16" max="19" width="7" customWidth="1"/>
    <col min="20" max="21" width="5" customWidth="1"/>
    <col min="22" max="31" width="6" customWidth="1"/>
    <col min="32" max="32" width="53" customWidth="1"/>
    <col min="33" max="33" width="7" customWidth="1"/>
    <col min="34" max="49" width="8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54</v>
      </c>
      <c r="S3" s="3" t="s">
        <v>52</v>
      </c>
      <c r="T3" s="2" t="s">
        <v>17</v>
      </c>
      <c r="U3" s="2" t="s">
        <v>18</v>
      </c>
      <c r="V3" s="2" t="s">
        <v>19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20</v>
      </c>
      <c r="AG3" s="2" t="s">
        <v>21</v>
      </c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9" t="s">
        <v>48</v>
      </c>
      <c r="P4" s="1" t="s">
        <v>22</v>
      </c>
      <c r="Q4" s="1"/>
      <c r="R4" s="1" t="s">
        <v>55</v>
      </c>
      <c r="S4" s="1" t="s">
        <v>53</v>
      </c>
      <c r="T4" s="1"/>
      <c r="U4" s="1"/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SUM(E6:E500)</f>
        <v>212.56</v>
      </c>
      <c r="F5" s="4">
        <f>SUM(F6:F500)</f>
        <v>1347.0140000000001</v>
      </c>
      <c r="G5" s="7"/>
      <c r="H5" s="1"/>
      <c r="I5" s="1"/>
      <c r="J5" s="1"/>
      <c r="K5" s="4">
        <f t="shared" ref="K5:R5" si="0">SUM(K6:K500)</f>
        <v>236.5</v>
      </c>
      <c r="L5" s="4">
        <f t="shared" si="0"/>
        <v>-23.94</v>
      </c>
      <c r="M5" s="4">
        <f t="shared" si="0"/>
        <v>0</v>
      </c>
      <c r="N5" s="4">
        <f t="shared" si="0"/>
        <v>0</v>
      </c>
      <c r="O5" s="4">
        <f t="shared" si="0"/>
        <v>0</v>
      </c>
      <c r="P5" s="4">
        <f t="shared" si="0"/>
        <v>42.512</v>
      </c>
      <c r="Q5" s="4">
        <f t="shared" si="0"/>
        <v>0</v>
      </c>
      <c r="R5" s="4">
        <f t="shared" si="0"/>
        <v>590</v>
      </c>
      <c r="S5" s="4"/>
      <c r="T5" s="1"/>
      <c r="U5" s="1"/>
      <c r="V5" s="4">
        <f t="shared" ref="V5:AE5" si="1">SUM(V6:V500)</f>
        <v>34.5184</v>
      </c>
      <c r="W5" s="4">
        <f t="shared" si="1"/>
        <v>86.467199999999991</v>
      </c>
      <c r="X5" s="4">
        <f t="shared" si="1"/>
        <v>98.542400000000001</v>
      </c>
      <c r="Y5" s="4">
        <f t="shared" si="1"/>
        <v>62.4</v>
      </c>
      <c r="Z5" s="4">
        <f t="shared" si="1"/>
        <v>83.157199999999989</v>
      </c>
      <c r="AA5" s="4">
        <f t="shared" si="1"/>
        <v>41.506799999999998</v>
      </c>
      <c r="AB5" s="4">
        <f t="shared" si="1"/>
        <v>52.831200000000003</v>
      </c>
      <c r="AC5" s="4">
        <f t="shared" si="1"/>
        <v>108.29999999999998</v>
      </c>
      <c r="AD5" s="4">
        <f t="shared" si="1"/>
        <v>105.7324</v>
      </c>
      <c r="AE5" s="4">
        <f t="shared" si="1"/>
        <v>103.84479999999999</v>
      </c>
      <c r="AF5" s="1"/>
      <c r="AG5" s="4">
        <f>SUM(AG6:AG500)</f>
        <v>254.4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33</v>
      </c>
      <c r="B6" s="1" t="s">
        <v>34</v>
      </c>
      <c r="C6" s="1">
        <v>202</v>
      </c>
      <c r="D6" s="1"/>
      <c r="E6" s="1"/>
      <c r="F6" s="1">
        <v>52</v>
      </c>
      <c r="G6" s="7">
        <v>0.42</v>
      </c>
      <c r="H6" s="1">
        <v>120</v>
      </c>
      <c r="I6" s="1" t="s">
        <v>35</v>
      </c>
      <c r="J6" s="1"/>
      <c r="K6" s="1"/>
      <c r="L6" s="1">
        <f t="shared" ref="L6:L16" si="2">E6-K6</f>
        <v>0</v>
      </c>
      <c r="M6" s="1"/>
      <c r="N6" s="1"/>
      <c r="O6" s="1"/>
      <c r="P6" s="1">
        <f>E6/5</f>
        <v>0</v>
      </c>
      <c r="Q6" s="5">
        <v>0</v>
      </c>
      <c r="R6" s="5"/>
      <c r="S6" s="11">
        <f>VLOOKUP(A6,[1]Sheet!$A:$Q,17,0)</f>
        <v>0</v>
      </c>
      <c r="T6" s="1" t="e">
        <f>(F6+R6)/P6</f>
        <v>#DIV/0!</v>
      </c>
      <c r="U6" s="1" t="e">
        <f>F6/P6</f>
        <v>#DIV/0!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0" t="s">
        <v>49</v>
      </c>
      <c r="AG6" s="1">
        <f>G6*R6</f>
        <v>0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37</v>
      </c>
      <c r="B7" s="1" t="s">
        <v>38</v>
      </c>
      <c r="C7" s="1">
        <v>73.664000000000001</v>
      </c>
      <c r="D7" s="1"/>
      <c r="E7" s="1"/>
      <c r="F7" s="1">
        <v>-64.296000000000006</v>
      </c>
      <c r="G7" s="7">
        <v>1</v>
      </c>
      <c r="H7" s="1">
        <v>120</v>
      </c>
      <c r="I7" s="1" t="s">
        <v>35</v>
      </c>
      <c r="J7" s="1"/>
      <c r="K7" s="1"/>
      <c r="L7" s="1">
        <f t="shared" si="2"/>
        <v>0</v>
      </c>
      <c r="M7" s="1"/>
      <c r="N7" s="1"/>
      <c r="O7" s="1"/>
      <c r="P7" s="1">
        <f t="shared" ref="P7:P16" si="3">E7/5</f>
        <v>0</v>
      </c>
      <c r="Q7" s="5">
        <v>0</v>
      </c>
      <c r="R7" s="5">
        <v>100</v>
      </c>
      <c r="S7" s="11">
        <f>VLOOKUP(A7,[1]Sheet!$A:$Q,17,0)</f>
        <v>200</v>
      </c>
      <c r="T7" s="1" t="e">
        <f t="shared" ref="T7:T16" si="4">(F7+R7)/P7</f>
        <v>#DIV/0!</v>
      </c>
      <c r="U7" s="1" t="e">
        <f t="shared" ref="U7:U16" si="5">F7/P7</f>
        <v>#DIV/0!</v>
      </c>
      <c r="V7" s="1">
        <v>0.91839999999999988</v>
      </c>
      <c r="W7" s="1">
        <v>1.8384</v>
      </c>
      <c r="X7" s="1">
        <v>1.83</v>
      </c>
      <c r="Y7" s="1">
        <v>0</v>
      </c>
      <c r="Z7" s="1">
        <v>0.91639999999999999</v>
      </c>
      <c r="AA7" s="1">
        <v>0.90679999999999994</v>
      </c>
      <c r="AB7" s="1">
        <v>0.91959999999999997</v>
      </c>
      <c r="AC7" s="1">
        <v>0.9</v>
      </c>
      <c r="AD7" s="1">
        <v>2.7324000000000002</v>
      </c>
      <c r="AE7" s="1">
        <v>7.2384000000000004</v>
      </c>
      <c r="AF7" s="10" t="s">
        <v>50</v>
      </c>
      <c r="AG7" s="1">
        <f t="shared" ref="AG7:AG16" si="6">G7*R7</f>
        <v>100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39</v>
      </c>
      <c r="B8" s="1" t="s">
        <v>38</v>
      </c>
      <c r="C8" s="1">
        <v>315.33</v>
      </c>
      <c r="D8" s="1"/>
      <c r="E8" s="1">
        <v>4.5599999999999996</v>
      </c>
      <c r="F8" s="1">
        <v>179.31</v>
      </c>
      <c r="G8" s="7">
        <v>1</v>
      </c>
      <c r="H8" s="1">
        <v>120</v>
      </c>
      <c r="I8" s="1" t="s">
        <v>35</v>
      </c>
      <c r="J8" s="1"/>
      <c r="K8" s="1">
        <v>4.5</v>
      </c>
      <c r="L8" s="1">
        <f t="shared" si="2"/>
        <v>5.9999999999999609E-2</v>
      </c>
      <c r="M8" s="1"/>
      <c r="N8" s="1"/>
      <c r="O8" s="1"/>
      <c r="P8" s="1">
        <f t="shared" si="3"/>
        <v>0.91199999999999992</v>
      </c>
      <c r="Q8" s="5">
        <v>0</v>
      </c>
      <c r="R8" s="5"/>
      <c r="S8" s="11">
        <f>VLOOKUP(A8,[1]Sheet!$A:$Q,17,0)</f>
        <v>0</v>
      </c>
      <c r="T8" s="1">
        <f t="shared" si="4"/>
        <v>196.61184210526318</v>
      </c>
      <c r="U8" s="1">
        <f t="shared" si="5"/>
        <v>196.61184210526318</v>
      </c>
      <c r="V8" s="1">
        <v>0</v>
      </c>
      <c r="W8" s="1">
        <v>1.8288</v>
      </c>
      <c r="X8" s="1">
        <v>0.9124000000000001</v>
      </c>
      <c r="Y8" s="1">
        <v>0.2</v>
      </c>
      <c r="Z8" s="1">
        <v>1.8408</v>
      </c>
      <c r="AA8" s="1">
        <v>0</v>
      </c>
      <c r="AB8" s="1">
        <v>0.91159999999999997</v>
      </c>
      <c r="AC8" s="1">
        <v>0</v>
      </c>
      <c r="AD8" s="1">
        <v>0</v>
      </c>
      <c r="AE8" s="1">
        <v>1.8064</v>
      </c>
      <c r="AF8" s="10" t="s">
        <v>51</v>
      </c>
      <c r="AG8" s="1">
        <f t="shared" si="6"/>
        <v>0</v>
      </c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" t="s">
        <v>40</v>
      </c>
      <c r="B9" s="1" t="s">
        <v>34</v>
      </c>
      <c r="C9" s="1">
        <v>51</v>
      </c>
      <c r="D9" s="1">
        <v>2</v>
      </c>
      <c r="E9" s="1"/>
      <c r="F9" s="1">
        <v>53</v>
      </c>
      <c r="G9" s="7">
        <v>0.42</v>
      </c>
      <c r="H9" s="1">
        <v>120</v>
      </c>
      <c r="I9" s="1" t="s">
        <v>35</v>
      </c>
      <c r="J9" s="1"/>
      <c r="K9" s="1"/>
      <c r="L9" s="1">
        <f t="shared" si="2"/>
        <v>0</v>
      </c>
      <c r="M9" s="1"/>
      <c r="N9" s="1"/>
      <c r="O9" s="1"/>
      <c r="P9" s="1">
        <f t="shared" si="3"/>
        <v>0</v>
      </c>
      <c r="Q9" s="5">
        <v>0</v>
      </c>
      <c r="R9" s="5">
        <v>20</v>
      </c>
      <c r="S9" s="11">
        <f>VLOOKUP(A9,[1]Sheet!$A:$Q,17,0)</f>
        <v>50</v>
      </c>
      <c r="T9" s="1" t="e">
        <f t="shared" si="4"/>
        <v>#DIV/0!</v>
      </c>
      <c r="U9" s="1" t="e">
        <f t="shared" si="5"/>
        <v>#DIV/0!</v>
      </c>
      <c r="V9" s="1">
        <v>0.2</v>
      </c>
      <c r="W9" s="1">
        <v>0</v>
      </c>
      <c r="X9" s="1">
        <v>0.2</v>
      </c>
      <c r="Y9" s="1">
        <v>1.2</v>
      </c>
      <c r="Z9" s="1">
        <v>0</v>
      </c>
      <c r="AA9" s="1">
        <v>0.4</v>
      </c>
      <c r="AB9" s="1">
        <v>0</v>
      </c>
      <c r="AC9" s="1">
        <v>-0.6</v>
      </c>
      <c r="AD9" s="1">
        <v>1.8</v>
      </c>
      <c r="AE9" s="1">
        <v>2</v>
      </c>
      <c r="AF9" s="10" t="s">
        <v>36</v>
      </c>
      <c r="AG9" s="1">
        <f t="shared" si="6"/>
        <v>8.4</v>
      </c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41</v>
      </c>
      <c r="B10" s="1" t="s">
        <v>34</v>
      </c>
      <c r="C10" s="1">
        <v>16</v>
      </c>
      <c r="D10" s="1">
        <v>144</v>
      </c>
      <c r="E10" s="1">
        <v>17</v>
      </c>
      <c r="F10" s="1">
        <v>143</v>
      </c>
      <c r="G10" s="7">
        <v>0.3</v>
      </c>
      <c r="H10" s="1">
        <v>120</v>
      </c>
      <c r="I10" s="1" t="s">
        <v>35</v>
      </c>
      <c r="J10" s="1"/>
      <c r="K10" s="1">
        <v>17</v>
      </c>
      <c r="L10" s="1">
        <f t="shared" si="2"/>
        <v>0</v>
      </c>
      <c r="M10" s="1"/>
      <c r="N10" s="1"/>
      <c r="O10" s="1"/>
      <c r="P10" s="1">
        <f t="shared" si="3"/>
        <v>3.4</v>
      </c>
      <c r="Q10" s="5">
        <v>0</v>
      </c>
      <c r="R10" s="5">
        <v>100</v>
      </c>
      <c r="S10" s="11">
        <f>VLOOKUP(A10,[1]Sheet!$A:$Q,17,0)</f>
        <v>200</v>
      </c>
      <c r="T10" s="1">
        <f t="shared" si="4"/>
        <v>71.470588235294116</v>
      </c>
      <c r="U10" s="1">
        <f t="shared" si="5"/>
        <v>42.058823529411768</v>
      </c>
      <c r="V10" s="1">
        <v>8.8000000000000007</v>
      </c>
      <c r="W10" s="1">
        <v>7.8</v>
      </c>
      <c r="X10" s="1">
        <v>17.2</v>
      </c>
      <c r="Y10" s="1">
        <v>13</v>
      </c>
      <c r="Z10" s="1">
        <v>14.6</v>
      </c>
      <c r="AA10" s="1">
        <v>7.6</v>
      </c>
      <c r="AB10" s="1">
        <v>8.1999999999999993</v>
      </c>
      <c r="AC10" s="1">
        <v>23</v>
      </c>
      <c r="AD10" s="1">
        <v>11</v>
      </c>
      <c r="AE10" s="1">
        <v>12.8</v>
      </c>
      <c r="AF10" s="1"/>
      <c r="AG10" s="1">
        <f t="shared" si="6"/>
        <v>30</v>
      </c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42</v>
      </c>
      <c r="B11" s="1" t="s">
        <v>34</v>
      </c>
      <c r="C11" s="1"/>
      <c r="D11" s="1">
        <v>132</v>
      </c>
      <c r="E11" s="1">
        <v>61</v>
      </c>
      <c r="F11" s="1">
        <v>71</v>
      </c>
      <c r="G11" s="7">
        <v>0.3</v>
      </c>
      <c r="H11" s="1">
        <v>120</v>
      </c>
      <c r="I11" s="1" t="s">
        <v>35</v>
      </c>
      <c r="J11" s="1"/>
      <c r="K11" s="1">
        <v>59</v>
      </c>
      <c r="L11" s="1">
        <f t="shared" si="2"/>
        <v>2</v>
      </c>
      <c r="M11" s="1"/>
      <c r="N11" s="1"/>
      <c r="O11" s="1"/>
      <c r="P11" s="1">
        <f t="shared" si="3"/>
        <v>12.2</v>
      </c>
      <c r="Q11" s="5">
        <v>0</v>
      </c>
      <c r="R11" s="5">
        <v>170</v>
      </c>
      <c r="S11" s="11">
        <f>VLOOKUP(A11,[1]Sheet!$A:$Q,17,0)</f>
        <v>200</v>
      </c>
      <c r="T11" s="1">
        <f t="shared" si="4"/>
        <v>19.754098360655739</v>
      </c>
      <c r="U11" s="1">
        <f t="shared" si="5"/>
        <v>5.8196721311475414</v>
      </c>
      <c r="V11" s="1">
        <v>0.2</v>
      </c>
      <c r="W11" s="1">
        <v>8.4</v>
      </c>
      <c r="X11" s="1">
        <v>13.6</v>
      </c>
      <c r="Y11" s="1">
        <v>9</v>
      </c>
      <c r="Z11" s="1">
        <v>10.6</v>
      </c>
      <c r="AA11" s="1">
        <v>5.8</v>
      </c>
      <c r="AB11" s="1">
        <v>8.6</v>
      </c>
      <c r="AC11" s="1">
        <v>19</v>
      </c>
      <c r="AD11" s="1">
        <v>13.2</v>
      </c>
      <c r="AE11" s="1">
        <v>12.4</v>
      </c>
      <c r="AF11" s="1"/>
      <c r="AG11" s="1">
        <f t="shared" si="6"/>
        <v>51</v>
      </c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" t="s">
        <v>43</v>
      </c>
      <c r="B12" s="1" t="s">
        <v>34</v>
      </c>
      <c r="C12" s="1">
        <v>12</v>
      </c>
      <c r="D12" s="1">
        <v>240</v>
      </c>
      <c r="E12" s="1">
        <v>51</v>
      </c>
      <c r="F12" s="1">
        <v>201</v>
      </c>
      <c r="G12" s="7">
        <v>0.35</v>
      </c>
      <c r="H12" s="1">
        <v>120</v>
      </c>
      <c r="I12" s="1" t="s">
        <v>35</v>
      </c>
      <c r="J12" s="1"/>
      <c r="K12" s="1">
        <v>49</v>
      </c>
      <c r="L12" s="1">
        <f t="shared" si="2"/>
        <v>2</v>
      </c>
      <c r="M12" s="1"/>
      <c r="N12" s="1"/>
      <c r="O12" s="1"/>
      <c r="P12" s="1">
        <f t="shared" si="3"/>
        <v>10.199999999999999</v>
      </c>
      <c r="Q12" s="5">
        <v>0</v>
      </c>
      <c r="R12" s="5">
        <v>100</v>
      </c>
      <c r="S12" s="11">
        <f>VLOOKUP(A12,[1]Sheet!$A:$Q,17,0)</f>
        <v>150</v>
      </c>
      <c r="T12" s="1">
        <f t="shared" si="4"/>
        <v>29.509803921568629</v>
      </c>
      <c r="U12" s="1">
        <f t="shared" si="5"/>
        <v>19.705882352941178</v>
      </c>
      <c r="V12" s="1">
        <v>9.6</v>
      </c>
      <c r="W12" s="1">
        <v>14.2</v>
      </c>
      <c r="X12" s="1">
        <v>24.6</v>
      </c>
      <c r="Y12" s="1">
        <v>16.2</v>
      </c>
      <c r="Z12" s="1">
        <v>18.399999999999999</v>
      </c>
      <c r="AA12" s="1">
        <v>6.6</v>
      </c>
      <c r="AB12" s="1">
        <v>16.2</v>
      </c>
      <c r="AC12" s="1">
        <v>27.4</v>
      </c>
      <c r="AD12" s="1">
        <v>27.8</v>
      </c>
      <c r="AE12" s="1">
        <v>25.4</v>
      </c>
      <c r="AF12" s="1"/>
      <c r="AG12" s="1">
        <f t="shared" si="6"/>
        <v>35</v>
      </c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44</v>
      </c>
      <c r="B13" s="1" t="s">
        <v>34</v>
      </c>
      <c r="C13" s="1"/>
      <c r="D13" s="1">
        <v>156</v>
      </c>
      <c r="E13" s="1">
        <v>21</v>
      </c>
      <c r="F13" s="1">
        <v>135</v>
      </c>
      <c r="G13" s="7">
        <v>0.3</v>
      </c>
      <c r="H13" s="1">
        <v>120</v>
      </c>
      <c r="I13" s="1" t="s">
        <v>35</v>
      </c>
      <c r="J13" s="1"/>
      <c r="K13" s="1">
        <v>28</v>
      </c>
      <c r="L13" s="1">
        <f t="shared" si="2"/>
        <v>-7</v>
      </c>
      <c r="M13" s="1"/>
      <c r="N13" s="1"/>
      <c r="O13" s="1"/>
      <c r="P13" s="1">
        <f t="shared" si="3"/>
        <v>4.2</v>
      </c>
      <c r="Q13" s="5">
        <v>0</v>
      </c>
      <c r="R13" s="5">
        <v>100</v>
      </c>
      <c r="S13" s="11">
        <f>VLOOKUP(A13,[1]Sheet!$A:$Q,17,0)</f>
        <v>200</v>
      </c>
      <c r="T13" s="1">
        <f t="shared" si="4"/>
        <v>55.952380952380949</v>
      </c>
      <c r="U13" s="1">
        <f t="shared" si="5"/>
        <v>32.142857142857139</v>
      </c>
      <c r="V13" s="1">
        <v>0</v>
      </c>
      <c r="W13" s="1">
        <v>11.8</v>
      </c>
      <c r="X13" s="1">
        <v>7.8</v>
      </c>
      <c r="Y13" s="1">
        <v>4.2</v>
      </c>
      <c r="Z13" s="1">
        <v>8.1999999999999993</v>
      </c>
      <c r="AA13" s="1">
        <v>1.4</v>
      </c>
      <c r="AB13" s="1">
        <v>8.1999999999999993</v>
      </c>
      <c r="AC13" s="1">
        <v>7.6</v>
      </c>
      <c r="AD13" s="1">
        <v>12.8</v>
      </c>
      <c r="AE13" s="1">
        <v>15.6</v>
      </c>
      <c r="AF13" s="1"/>
      <c r="AG13" s="1">
        <f t="shared" si="6"/>
        <v>30</v>
      </c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45</v>
      </c>
      <c r="B14" s="1" t="s">
        <v>34</v>
      </c>
      <c r="C14" s="1">
        <v>20</v>
      </c>
      <c r="D14" s="1">
        <v>324</v>
      </c>
      <c r="E14" s="1">
        <v>58</v>
      </c>
      <c r="F14" s="1">
        <v>286</v>
      </c>
      <c r="G14" s="7">
        <v>0.35</v>
      </c>
      <c r="H14" s="1">
        <v>120</v>
      </c>
      <c r="I14" s="1" t="s">
        <v>35</v>
      </c>
      <c r="J14" s="1"/>
      <c r="K14" s="1">
        <v>64</v>
      </c>
      <c r="L14" s="1">
        <f t="shared" si="2"/>
        <v>-6</v>
      </c>
      <c r="M14" s="1"/>
      <c r="N14" s="1"/>
      <c r="O14" s="1"/>
      <c r="P14" s="1">
        <f t="shared" si="3"/>
        <v>11.6</v>
      </c>
      <c r="Q14" s="5">
        <v>0</v>
      </c>
      <c r="R14" s="5"/>
      <c r="S14" s="11">
        <f>VLOOKUP(A14,[1]Sheet!$A:$Q,17,0)</f>
        <v>0</v>
      </c>
      <c r="T14" s="1">
        <f t="shared" si="4"/>
        <v>24.655172413793103</v>
      </c>
      <c r="U14" s="1">
        <f t="shared" si="5"/>
        <v>24.655172413793103</v>
      </c>
      <c r="V14" s="1">
        <v>14</v>
      </c>
      <c r="W14" s="1">
        <v>25.6</v>
      </c>
      <c r="X14" s="1">
        <v>24.2</v>
      </c>
      <c r="Y14" s="1">
        <v>5</v>
      </c>
      <c r="Z14" s="1">
        <v>22</v>
      </c>
      <c r="AA14" s="1">
        <v>15.8</v>
      </c>
      <c r="AB14" s="1">
        <v>3.2</v>
      </c>
      <c r="AC14" s="1">
        <v>16.8</v>
      </c>
      <c r="AD14" s="1">
        <v>18</v>
      </c>
      <c r="AE14" s="1">
        <v>4.8</v>
      </c>
      <c r="AF14" s="1"/>
      <c r="AG14" s="1">
        <f t="shared" si="6"/>
        <v>0</v>
      </c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" t="s">
        <v>46</v>
      </c>
      <c r="B15" s="1" t="s">
        <v>34</v>
      </c>
      <c r="C15" s="1">
        <v>99</v>
      </c>
      <c r="D15" s="1"/>
      <c r="E15" s="1"/>
      <c r="F15" s="1">
        <v>99</v>
      </c>
      <c r="G15" s="7">
        <v>0.3</v>
      </c>
      <c r="H15" s="1">
        <v>120</v>
      </c>
      <c r="I15" s="1" t="s">
        <v>35</v>
      </c>
      <c r="J15" s="1"/>
      <c r="K15" s="1"/>
      <c r="L15" s="1">
        <f t="shared" si="2"/>
        <v>0</v>
      </c>
      <c r="M15" s="1"/>
      <c r="N15" s="1"/>
      <c r="O15" s="1"/>
      <c r="P15" s="1">
        <f t="shared" si="3"/>
        <v>0</v>
      </c>
      <c r="Q15" s="5">
        <v>0</v>
      </c>
      <c r="R15" s="5"/>
      <c r="S15" s="11">
        <f>VLOOKUP(A15,[1]Sheet!$A:$Q,17,0)</f>
        <v>50</v>
      </c>
      <c r="T15" s="1" t="e">
        <f t="shared" si="4"/>
        <v>#DIV/0!</v>
      </c>
      <c r="U15" s="1" t="e">
        <f t="shared" si="5"/>
        <v>#DIV/0!</v>
      </c>
      <c r="V15" s="1">
        <v>0.4</v>
      </c>
      <c r="W15" s="1">
        <v>0</v>
      </c>
      <c r="X15" s="1">
        <v>0.2</v>
      </c>
      <c r="Y15" s="1">
        <v>0</v>
      </c>
      <c r="Z15" s="1">
        <v>0</v>
      </c>
      <c r="AA15" s="1">
        <v>0</v>
      </c>
      <c r="AB15" s="1">
        <v>0</v>
      </c>
      <c r="AC15" s="1">
        <v>0.4</v>
      </c>
      <c r="AD15" s="1">
        <v>0.4</v>
      </c>
      <c r="AE15" s="1">
        <v>1.4</v>
      </c>
      <c r="AF15" s="10" t="s">
        <v>36</v>
      </c>
      <c r="AG15" s="1">
        <f t="shared" si="6"/>
        <v>0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47</v>
      </c>
      <c r="B16" s="1" t="s">
        <v>34</v>
      </c>
      <c r="C16" s="1">
        <v>52</v>
      </c>
      <c r="D16" s="1">
        <v>140</v>
      </c>
      <c r="E16" s="1"/>
      <c r="F16" s="1">
        <v>192</v>
      </c>
      <c r="G16" s="7">
        <v>0.7</v>
      </c>
      <c r="H16" s="1">
        <v>180</v>
      </c>
      <c r="I16" s="1" t="s">
        <v>35</v>
      </c>
      <c r="J16" s="1"/>
      <c r="K16" s="1">
        <v>15</v>
      </c>
      <c r="L16" s="1">
        <f t="shared" si="2"/>
        <v>-15</v>
      </c>
      <c r="M16" s="1"/>
      <c r="N16" s="1"/>
      <c r="O16" s="1"/>
      <c r="P16" s="1">
        <f t="shared" si="3"/>
        <v>0</v>
      </c>
      <c r="Q16" s="5">
        <v>0</v>
      </c>
      <c r="R16" s="5"/>
      <c r="S16" s="11">
        <f>VLOOKUP(A16,[1]Sheet!$A:$Q,17,0)</f>
        <v>150</v>
      </c>
      <c r="T16" s="1" t="e">
        <f t="shared" si="4"/>
        <v>#DIV/0!</v>
      </c>
      <c r="U16" s="1" t="e">
        <f t="shared" si="5"/>
        <v>#DIV/0!</v>
      </c>
      <c r="V16" s="1">
        <v>0.4</v>
      </c>
      <c r="W16" s="1">
        <v>15</v>
      </c>
      <c r="X16" s="1">
        <v>8</v>
      </c>
      <c r="Y16" s="1">
        <v>13.6</v>
      </c>
      <c r="Z16" s="1">
        <v>6.6</v>
      </c>
      <c r="AA16" s="1">
        <v>3</v>
      </c>
      <c r="AB16" s="1">
        <v>6.6</v>
      </c>
      <c r="AC16" s="1">
        <v>13.8</v>
      </c>
      <c r="AD16" s="1">
        <v>18</v>
      </c>
      <c r="AE16" s="1">
        <v>20.399999999999999</v>
      </c>
      <c r="AF16" s="10" t="s">
        <v>36</v>
      </c>
      <c r="AG16" s="1">
        <f t="shared" si="6"/>
        <v>0</v>
      </c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/>
      <c r="B17" s="1"/>
      <c r="C17" s="1"/>
      <c r="D17" s="1"/>
      <c r="E17" s="1"/>
      <c r="F17" s="1"/>
      <c r="G17" s="7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/>
      <c r="B18" s="1"/>
      <c r="C18" s="1"/>
      <c r="D18" s="1"/>
      <c r="E18" s="1"/>
      <c r="F18" s="1"/>
      <c r="G18" s="7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/>
      <c r="B19" s="1"/>
      <c r="C19" s="1"/>
      <c r="D19" s="1"/>
      <c r="E19" s="1"/>
      <c r="F19" s="1"/>
      <c r="G19" s="7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/>
      <c r="B20" s="1"/>
      <c r="C20" s="1"/>
      <c r="D20" s="1"/>
      <c r="E20" s="1"/>
      <c r="F20" s="1"/>
      <c r="G20" s="7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/>
      <c r="B21" s="1"/>
      <c r="C21" s="1"/>
      <c r="D21" s="1"/>
      <c r="E21" s="1"/>
      <c r="F21" s="1"/>
      <c r="G21" s="7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/>
      <c r="B22" s="1"/>
      <c r="C22" s="1"/>
      <c r="D22" s="1"/>
      <c r="E22" s="1"/>
      <c r="F22" s="1"/>
      <c r="G22" s="7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"/>
      <c r="B23" s="1"/>
      <c r="C23" s="1"/>
      <c r="D23" s="1"/>
      <c r="E23" s="1"/>
      <c r="F23" s="1"/>
      <c r="G23" s="7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/>
      <c r="B24" s="1"/>
      <c r="C24" s="1"/>
      <c r="D24" s="1"/>
      <c r="E24" s="1"/>
      <c r="F24" s="1"/>
      <c r="G24" s="7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"/>
      <c r="B25" s="1"/>
      <c r="C25" s="1"/>
      <c r="D25" s="1"/>
      <c r="E25" s="1"/>
      <c r="F25" s="1"/>
      <c r="G25" s="7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"/>
      <c r="B26" s="1"/>
      <c r="C26" s="1"/>
      <c r="D26" s="1"/>
      <c r="E26" s="1"/>
      <c r="F26" s="1"/>
      <c r="G26" s="7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/>
      <c r="B27" s="1"/>
      <c r="C27" s="1"/>
      <c r="D27" s="1"/>
      <c r="E27" s="1"/>
      <c r="F27" s="1"/>
      <c r="G27" s="7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/>
      <c r="B28" s="1"/>
      <c r="C28" s="1"/>
      <c r="D28" s="1"/>
      <c r="E28" s="1"/>
      <c r="F28" s="1"/>
      <c r="G28" s="7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/>
      <c r="B29" s="1"/>
      <c r="C29" s="1"/>
      <c r="D29" s="1"/>
      <c r="E29" s="1"/>
      <c r="F29" s="1"/>
      <c r="G29" s="7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"/>
      <c r="B30" s="1"/>
      <c r="C30" s="1"/>
      <c r="D30" s="1"/>
      <c r="E30" s="1"/>
      <c r="F30" s="1"/>
      <c r="G30" s="7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/>
      <c r="B31" s="1"/>
      <c r="C31" s="1"/>
      <c r="D31" s="1"/>
      <c r="E31" s="1"/>
      <c r="F31" s="1"/>
      <c r="G31" s="7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"/>
      <c r="B32" s="1"/>
      <c r="C32" s="1"/>
      <c r="D32" s="1"/>
      <c r="E32" s="1"/>
      <c r="F32" s="1"/>
      <c r="G32" s="7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"/>
      <c r="B33" s="1"/>
      <c r="C33" s="1"/>
      <c r="D33" s="1"/>
      <c r="E33" s="1"/>
      <c r="F33" s="1"/>
      <c r="G33" s="7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"/>
      <c r="B34" s="1"/>
      <c r="C34" s="1"/>
      <c r="D34" s="1"/>
      <c r="E34" s="1"/>
      <c r="F34" s="1"/>
      <c r="G34" s="7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"/>
      <c r="B35" s="1"/>
      <c r="C35" s="1"/>
      <c r="D35" s="1"/>
      <c r="E35" s="1"/>
      <c r="F35" s="1"/>
      <c r="G35" s="7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"/>
      <c r="B36" s="1"/>
      <c r="C36" s="1"/>
      <c r="D36" s="1"/>
      <c r="E36" s="1"/>
      <c r="F36" s="1"/>
      <c r="G36" s="7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"/>
      <c r="B37" s="1"/>
      <c r="C37" s="1"/>
      <c r="D37" s="1"/>
      <c r="E37" s="1"/>
      <c r="F37" s="1"/>
      <c r="G37" s="7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/>
      <c r="B38" s="1"/>
      <c r="C38" s="1"/>
      <c r="D38" s="1"/>
      <c r="E38" s="1"/>
      <c r="F38" s="1"/>
      <c r="G38" s="7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/>
      <c r="B39" s="1"/>
      <c r="C39" s="1"/>
      <c r="D39" s="1"/>
      <c r="E39" s="1"/>
      <c r="F39" s="1"/>
      <c r="G39" s="7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/>
      <c r="B40" s="1"/>
      <c r="C40" s="1"/>
      <c r="D40" s="1"/>
      <c r="E40" s="1"/>
      <c r="F40" s="1"/>
      <c r="G40" s="7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/>
      <c r="B41" s="1"/>
      <c r="C41" s="1"/>
      <c r="D41" s="1"/>
      <c r="E41" s="1"/>
      <c r="F41" s="1"/>
      <c r="G41" s="7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/>
      <c r="B42" s="1"/>
      <c r="C42" s="1"/>
      <c r="D42" s="1"/>
      <c r="E42" s="1"/>
      <c r="F42" s="1"/>
      <c r="G42" s="7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/>
      <c r="B43" s="1"/>
      <c r="C43" s="1"/>
      <c r="D43" s="1"/>
      <c r="E43" s="1"/>
      <c r="F43" s="1"/>
      <c r="G43" s="7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/>
      <c r="B44" s="1"/>
      <c r="C44" s="1"/>
      <c r="D44" s="1"/>
      <c r="E44" s="1"/>
      <c r="F44" s="1"/>
      <c r="G44" s="7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/>
      <c r="B45" s="1"/>
      <c r="C45" s="1"/>
      <c r="D45" s="1"/>
      <c r="E45" s="1"/>
      <c r="F45" s="1"/>
      <c r="G45" s="7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/>
      <c r="B46" s="1"/>
      <c r="C46" s="1"/>
      <c r="D46" s="1"/>
      <c r="E46" s="1"/>
      <c r="F46" s="1"/>
      <c r="G46" s="7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/>
      <c r="B47" s="1"/>
      <c r="C47" s="1"/>
      <c r="D47" s="1"/>
      <c r="E47" s="1"/>
      <c r="F47" s="1"/>
      <c r="G47" s="7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/>
      <c r="B48" s="1"/>
      <c r="C48" s="1"/>
      <c r="D48" s="1"/>
      <c r="E48" s="1"/>
      <c r="F48" s="1"/>
      <c r="G48" s="7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/>
      <c r="B49" s="1"/>
      <c r="C49" s="1"/>
      <c r="D49" s="1"/>
      <c r="E49" s="1"/>
      <c r="F49" s="1"/>
      <c r="G49" s="7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/>
      <c r="B50" s="1"/>
      <c r="C50" s="1"/>
      <c r="D50" s="1"/>
      <c r="E50" s="1"/>
      <c r="F50" s="1"/>
      <c r="G50" s="7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/>
      <c r="B51" s="1"/>
      <c r="C51" s="1"/>
      <c r="D51" s="1"/>
      <c r="E51" s="1"/>
      <c r="F51" s="1"/>
      <c r="G51" s="7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/>
      <c r="B52" s="1"/>
      <c r="C52" s="1"/>
      <c r="D52" s="1"/>
      <c r="E52" s="1"/>
      <c r="F52" s="1"/>
      <c r="G52" s="7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/>
      <c r="B53" s="1"/>
      <c r="C53" s="1"/>
      <c r="D53" s="1"/>
      <c r="E53" s="1"/>
      <c r="F53" s="1"/>
      <c r="G53" s="7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/>
      <c r="B54" s="1"/>
      <c r="C54" s="1"/>
      <c r="D54" s="1"/>
      <c r="E54" s="1"/>
      <c r="F54" s="1"/>
      <c r="G54" s="7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/>
      <c r="B55" s="1"/>
      <c r="C55" s="1"/>
      <c r="D55" s="1"/>
      <c r="E55" s="1"/>
      <c r="F55" s="1"/>
      <c r="G55" s="7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/>
      <c r="B56" s="1"/>
      <c r="C56" s="1"/>
      <c r="D56" s="1"/>
      <c r="E56" s="1"/>
      <c r="F56" s="1"/>
      <c r="G56" s="7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/>
      <c r="B57" s="1"/>
      <c r="C57" s="1"/>
      <c r="D57" s="1"/>
      <c r="E57" s="1"/>
      <c r="F57" s="1"/>
      <c r="G57" s="7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/>
      <c r="B58" s="1"/>
      <c r="C58" s="1"/>
      <c r="D58" s="1"/>
      <c r="E58" s="1"/>
      <c r="F58" s="1"/>
      <c r="G58" s="7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/>
      <c r="B59" s="1"/>
      <c r="C59" s="1"/>
      <c r="D59" s="1"/>
      <c r="E59" s="1"/>
      <c r="F59" s="1"/>
      <c r="G59" s="7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/>
      <c r="B60" s="1"/>
      <c r="C60" s="1"/>
      <c r="D60" s="1"/>
      <c r="E60" s="1"/>
      <c r="F60" s="1"/>
      <c r="G60" s="7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/>
      <c r="B61" s="1"/>
      <c r="C61" s="1"/>
      <c r="D61" s="1"/>
      <c r="E61" s="1"/>
      <c r="F61" s="1"/>
      <c r="G61" s="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/>
      <c r="B62" s="1"/>
      <c r="C62" s="1"/>
      <c r="D62" s="1"/>
      <c r="E62" s="1"/>
      <c r="F62" s="1"/>
      <c r="G62" s="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/>
      <c r="B63" s="1"/>
      <c r="C63" s="1"/>
      <c r="D63" s="1"/>
      <c r="E63" s="1"/>
      <c r="F63" s="1"/>
      <c r="G63" s="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/>
      <c r="B64" s="1"/>
      <c r="C64" s="1"/>
      <c r="D64" s="1"/>
      <c r="E64" s="1"/>
      <c r="F64" s="1"/>
      <c r="G64" s="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/>
      <c r="B65" s="1"/>
      <c r="C65" s="1"/>
      <c r="D65" s="1"/>
      <c r="E65" s="1"/>
      <c r="F65" s="1"/>
      <c r="G65" s="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/>
      <c r="B66" s="1"/>
      <c r="C66" s="1"/>
      <c r="D66" s="1"/>
      <c r="E66" s="1"/>
      <c r="F66" s="1"/>
      <c r="G66" s="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/>
      <c r="B67" s="1"/>
      <c r="C67" s="1"/>
      <c r="D67" s="1"/>
      <c r="E67" s="1"/>
      <c r="F67" s="1"/>
      <c r="G67" s="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/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  <row r="500" spans="1:49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</row>
  </sheetData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2026-09-28T12:24:17Z</dcterms:created>
  <dcterms:modified xsi:type="dcterms:W3CDTF">2026-09-30T13:19:21Z</dcterms:modified>
</cp:coreProperties>
</file>