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FA68728-248F-41A9-98D1-18FA5BFEA3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9" i="1"/>
  <c r="T11" i="1"/>
  <c r="T13" i="1"/>
  <c r="T15" i="1"/>
  <c r="S6" i="1"/>
  <c r="Q7" i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6" i="1"/>
  <c r="T6" i="1" s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AB9" i="1"/>
  <c r="L9" i="1"/>
  <c r="AB8" i="1"/>
  <c r="L8" i="1"/>
  <c r="AB7" i="1"/>
  <c r="L7" i="1"/>
  <c r="AB6" i="1"/>
  <c r="AB5" i="1" s="1"/>
  <c r="L6" i="1"/>
  <c r="Z5" i="1"/>
  <c r="Y5" i="1"/>
  <c r="X5" i="1"/>
  <c r="W5" i="1"/>
  <c r="V5" i="1"/>
  <c r="U5" i="1"/>
  <c r="R5" i="1"/>
  <c r="P5" i="1"/>
  <c r="O5" i="1"/>
  <c r="N5" i="1"/>
  <c r="M5" i="1"/>
  <c r="K5" i="1"/>
  <c r="F5" i="1"/>
  <c r="E5" i="1"/>
  <c r="T16" i="1" l="1"/>
  <c r="T14" i="1"/>
  <c r="T12" i="1"/>
  <c r="T10" i="1"/>
  <c r="T8" i="1"/>
  <c r="L5" i="1"/>
  <c r="Q5" i="1"/>
</calcChain>
</file>

<file path=xl/sharedStrings.xml><?xml version="1.0" encoding="utf-8"?>
<sst xmlns="http://schemas.openxmlformats.org/spreadsheetml/2006/main" count="78" uniqueCount="47">
  <si>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</si>
  <si>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</si>
  <si>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</si>
  <si>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</si>
  <si>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</si>
  <si>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</si>
  <si>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</si>
  <si>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</si>
  <si>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</si>
  <si>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</si>
  <si>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</si>
  <si>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</si>
  <si>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</si>
  <si>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</si>
  <si>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</si>
  <si>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</si>
  <si>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</si>
  <si>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</si>
  <si>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</si>
  <si>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</si>
  <si>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</si>
  <si>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</si>
  <si>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11,08,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</si>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</sst>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23" sqref="AA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6" width="6" customWidth="1"/>
    <col min="27" max="27" width="44.140625" customWidth="1"/>
    <col min="28" max="28" width="7" customWidth="1"/>
    <col min="29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45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46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264.15600000000001</v>
      </c>
      <c r="F5" s="4">
        <f>SUM(F6:F500)</f>
        <v>1336.684</v>
      </c>
      <c r="G5" s="7"/>
      <c r="H5" s="1"/>
      <c r="I5" s="1"/>
      <c r="J5" s="1"/>
      <c r="K5" s="4">
        <f t="shared" ref="K5:R5" si="0">SUM(K6:K500)</f>
        <v>350</v>
      </c>
      <c r="L5" s="4">
        <f t="shared" si="0"/>
        <v>-85.843999999999994</v>
      </c>
      <c r="M5" s="4">
        <f t="shared" si="0"/>
        <v>0</v>
      </c>
      <c r="N5" s="4">
        <f t="shared" si="0"/>
        <v>0</v>
      </c>
      <c r="O5" s="4">
        <f t="shared" si="0"/>
        <v>440</v>
      </c>
      <c r="P5" s="4">
        <f t="shared" si="0"/>
        <v>700</v>
      </c>
      <c r="Q5" s="4">
        <f t="shared" si="0"/>
        <v>52.831200000000003</v>
      </c>
      <c r="R5" s="4">
        <f t="shared" si="0"/>
        <v>0</v>
      </c>
      <c r="S5" s="1"/>
      <c r="T5" s="1"/>
      <c r="U5" s="4">
        <f t="shared" ref="U5:Z5" si="1">SUM(U6:U500)</f>
        <v>108.29999999999998</v>
      </c>
      <c r="V5" s="4">
        <f t="shared" si="1"/>
        <v>105.7324</v>
      </c>
      <c r="W5" s="4">
        <f t="shared" si="1"/>
        <v>103.84479999999999</v>
      </c>
      <c r="X5" s="4">
        <f t="shared" si="1"/>
        <v>108.1144</v>
      </c>
      <c r="Y5" s="4">
        <f t="shared" si="1"/>
        <v>15.154400000000001</v>
      </c>
      <c r="Z5" s="4">
        <f t="shared" si="1"/>
        <v>60.119599999999998</v>
      </c>
      <c r="AA5" s="1"/>
      <c r="AB5" s="4">
        <f>SUM(AB6:AB500)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30</v>
      </c>
      <c r="B6" s="1" t="s">
        <v>31</v>
      </c>
      <c r="C6" s="1">
        <v>244</v>
      </c>
      <c r="D6" s="1"/>
      <c r="E6" s="1"/>
      <c r="F6" s="1">
        <v>240</v>
      </c>
      <c r="G6" s="7">
        <v>0.42</v>
      </c>
      <c r="H6" s="1">
        <v>120</v>
      </c>
      <c r="I6" s="1" t="s">
        <v>32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0.2</v>
      </c>
      <c r="Z6" s="1">
        <v>0</v>
      </c>
      <c r="AA6" s="9" t="s">
        <v>33</v>
      </c>
      <c r="AB6" s="1">
        <f t="shared" ref="AB6:AB16" si="3">G6*R6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119.208</v>
      </c>
      <c r="D7" s="1"/>
      <c r="E7" s="1">
        <v>4.5979999999999999</v>
      </c>
      <c r="F7" s="1">
        <v>101.27</v>
      </c>
      <c r="G7" s="7">
        <v>1</v>
      </c>
      <c r="H7" s="1">
        <v>120</v>
      </c>
      <c r="I7" s="1" t="s">
        <v>32</v>
      </c>
      <c r="J7" s="1"/>
      <c r="K7" s="1">
        <v>9</v>
      </c>
      <c r="L7" s="1">
        <f t="shared" si="2"/>
        <v>-4.4020000000000001</v>
      </c>
      <c r="M7" s="1"/>
      <c r="N7" s="1"/>
      <c r="O7" s="1"/>
      <c r="P7" s="1"/>
      <c r="Q7" s="1">
        <f t="shared" ref="Q7:Q16" si="4">E7/5</f>
        <v>0.91959999999999997</v>
      </c>
      <c r="R7" s="5"/>
      <c r="S7" s="1">
        <f t="shared" ref="S7:S16" si="5">(F7+O7+P7+R7)/Q7</f>
        <v>110.12396694214875</v>
      </c>
      <c r="T7" s="1">
        <f t="shared" ref="T7:T16" si="6">(F7+O7+P7)/Q7</f>
        <v>110.12396694214875</v>
      </c>
      <c r="U7" s="1">
        <v>0.9</v>
      </c>
      <c r="V7" s="1">
        <v>2.7324000000000002</v>
      </c>
      <c r="W7" s="1">
        <v>7.2384000000000004</v>
      </c>
      <c r="X7" s="1">
        <v>3.6836000000000002</v>
      </c>
      <c r="Y7" s="1">
        <v>1.8355999999999999</v>
      </c>
      <c r="Z7" s="1">
        <v>0.91959999999999997</v>
      </c>
      <c r="AA7" s="9" t="s">
        <v>33</v>
      </c>
      <c r="AB7" s="1">
        <f t="shared" si="3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35</v>
      </c>
      <c r="C8" s="1">
        <v>340.4</v>
      </c>
      <c r="D8" s="1">
        <v>4.5720000000000001</v>
      </c>
      <c r="E8" s="1">
        <v>4.5579999999999998</v>
      </c>
      <c r="F8" s="1">
        <v>340.41399999999999</v>
      </c>
      <c r="G8" s="7">
        <v>1</v>
      </c>
      <c r="H8" s="1">
        <v>120</v>
      </c>
      <c r="I8" s="1" t="s">
        <v>32</v>
      </c>
      <c r="J8" s="1"/>
      <c r="K8" s="1">
        <v>9</v>
      </c>
      <c r="L8" s="1">
        <f t="shared" si="2"/>
        <v>-4.4420000000000002</v>
      </c>
      <c r="M8" s="1"/>
      <c r="N8" s="1"/>
      <c r="O8" s="1"/>
      <c r="P8" s="1"/>
      <c r="Q8" s="1">
        <f t="shared" si="4"/>
        <v>0.91159999999999997</v>
      </c>
      <c r="R8" s="5"/>
      <c r="S8" s="1">
        <f t="shared" si="5"/>
        <v>373.42474769635805</v>
      </c>
      <c r="T8" s="1">
        <f t="shared" si="6"/>
        <v>373.42474769635805</v>
      </c>
      <c r="U8" s="1">
        <v>0</v>
      </c>
      <c r="V8" s="1">
        <v>0</v>
      </c>
      <c r="W8" s="1">
        <v>1.8064</v>
      </c>
      <c r="X8" s="1">
        <v>1.8308</v>
      </c>
      <c r="Y8" s="1">
        <v>0.91880000000000006</v>
      </c>
      <c r="Z8" s="1">
        <v>0</v>
      </c>
      <c r="AA8" s="9" t="s">
        <v>33</v>
      </c>
      <c r="AB8" s="1">
        <f t="shared" si="3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31</v>
      </c>
      <c r="C9" s="1">
        <v>106</v>
      </c>
      <c r="D9" s="1">
        <v>3</v>
      </c>
      <c r="E9" s="1"/>
      <c r="F9" s="1">
        <v>109</v>
      </c>
      <c r="G9" s="7">
        <v>0.42</v>
      </c>
      <c r="H9" s="1">
        <v>120</v>
      </c>
      <c r="I9" s="1" t="s">
        <v>32</v>
      </c>
      <c r="J9" s="1"/>
      <c r="K9" s="1"/>
      <c r="L9" s="1">
        <f t="shared" si="2"/>
        <v>0</v>
      </c>
      <c r="M9" s="1"/>
      <c r="N9" s="1"/>
      <c r="O9" s="1"/>
      <c r="P9" s="1"/>
      <c r="Q9" s="1">
        <f t="shared" si="4"/>
        <v>0</v>
      </c>
      <c r="R9" s="5"/>
      <c r="S9" s="1" t="e">
        <f t="shared" si="5"/>
        <v>#DIV/0!</v>
      </c>
      <c r="T9" s="1" t="e">
        <f t="shared" si="6"/>
        <v>#DIV/0!</v>
      </c>
      <c r="U9" s="1">
        <v>-0.6</v>
      </c>
      <c r="V9" s="1">
        <v>1.8</v>
      </c>
      <c r="W9" s="1">
        <v>2</v>
      </c>
      <c r="X9" s="1">
        <v>0.8</v>
      </c>
      <c r="Y9" s="1">
        <v>1.4</v>
      </c>
      <c r="Z9" s="1">
        <v>1.4</v>
      </c>
      <c r="AA9" s="9" t="s">
        <v>33</v>
      </c>
      <c r="AB9" s="1">
        <f t="shared" si="3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31</v>
      </c>
      <c r="C10" s="1">
        <v>66</v>
      </c>
      <c r="D10" s="1">
        <v>85</v>
      </c>
      <c r="E10" s="1">
        <v>41</v>
      </c>
      <c r="F10" s="1">
        <v>20</v>
      </c>
      <c r="G10" s="7">
        <v>0.3</v>
      </c>
      <c r="H10" s="1">
        <v>120</v>
      </c>
      <c r="I10" s="1" t="s">
        <v>32</v>
      </c>
      <c r="J10" s="1"/>
      <c r="K10" s="1">
        <v>42</v>
      </c>
      <c r="L10" s="1">
        <f t="shared" si="2"/>
        <v>-1</v>
      </c>
      <c r="M10" s="1"/>
      <c r="N10" s="1"/>
      <c r="O10" s="1"/>
      <c r="P10" s="1">
        <v>290</v>
      </c>
      <c r="Q10" s="1">
        <f t="shared" si="4"/>
        <v>8.1999999999999993</v>
      </c>
      <c r="R10" s="5"/>
      <c r="S10" s="1">
        <f t="shared" si="5"/>
        <v>37.804878048780488</v>
      </c>
      <c r="T10" s="1">
        <f t="shared" si="6"/>
        <v>37.804878048780488</v>
      </c>
      <c r="U10" s="1">
        <v>23</v>
      </c>
      <c r="V10" s="1">
        <v>11</v>
      </c>
      <c r="W10" s="1">
        <v>12.8</v>
      </c>
      <c r="X10" s="1">
        <v>21.6</v>
      </c>
      <c r="Y10" s="1">
        <v>0</v>
      </c>
      <c r="Z10" s="1">
        <v>7.4</v>
      </c>
      <c r="AA10" s="9" t="s">
        <v>33</v>
      </c>
      <c r="AB10" s="1">
        <f t="shared" si="3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31</v>
      </c>
      <c r="C11" s="1">
        <v>23</v>
      </c>
      <c r="D11" s="1">
        <v>21</v>
      </c>
      <c r="E11" s="1">
        <v>43</v>
      </c>
      <c r="F11" s="1">
        <v>-4</v>
      </c>
      <c r="G11" s="7">
        <v>0.3</v>
      </c>
      <c r="H11" s="1">
        <v>120</v>
      </c>
      <c r="I11" s="1" t="s">
        <v>32</v>
      </c>
      <c r="J11" s="1"/>
      <c r="K11" s="1">
        <v>55</v>
      </c>
      <c r="L11" s="1">
        <f t="shared" si="2"/>
        <v>-12</v>
      </c>
      <c r="M11" s="1"/>
      <c r="N11" s="1"/>
      <c r="O11" s="1">
        <v>90</v>
      </c>
      <c r="P11" s="1">
        <v>190</v>
      </c>
      <c r="Q11" s="1">
        <f t="shared" si="4"/>
        <v>8.6</v>
      </c>
      <c r="R11" s="5"/>
      <c r="S11" s="1">
        <f t="shared" si="5"/>
        <v>32.093023255813954</v>
      </c>
      <c r="T11" s="1">
        <f t="shared" si="6"/>
        <v>32.093023255813954</v>
      </c>
      <c r="U11" s="1">
        <v>19</v>
      </c>
      <c r="V11" s="1">
        <v>13.2</v>
      </c>
      <c r="W11" s="1">
        <v>12.4</v>
      </c>
      <c r="X11" s="1">
        <v>15.2</v>
      </c>
      <c r="Y11" s="1">
        <v>0.2</v>
      </c>
      <c r="Z11" s="1">
        <v>10.199999999999999</v>
      </c>
      <c r="AA11" s="1"/>
      <c r="AB11" s="1">
        <f t="shared" si="3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31</v>
      </c>
      <c r="C12" s="1">
        <v>114</v>
      </c>
      <c r="D12" s="1">
        <v>43</v>
      </c>
      <c r="E12" s="1">
        <v>81</v>
      </c>
      <c r="F12" s="1">
        <v>24</v>
      </c>
      <c r="G12" s="7">
        <v>0.35</v>
      </c>
      <c r="H12" s="1">
        <v>120</v>
      </c>
      <c r="I12" s="1" t="s">
        <v>32</v>
      </c>
      <c r="J12" s="1"/>
      <c r="K12" s="1">
        <v>89</v>
      </c>
      <c r="L12" s="1">
        <f t="shared" si="2"/>
        <v>-8</v>
      </c>
      <c r="M12" s="1"/>
      <c r="N12" s="1"/>
      <c r="O12" s="1">
        <v>160</v>
      </c>
      <c r="P12" s="1">
        <v>150</v>
      </c>
      <c r="Q12" s="1">
        <f t="shared" si="4"/>
        <v>16.2</v>
      </c>
      <c r="R12" s="5"/>
      <c r="S12" s="1">
        <f t="shared" si="5"/>
        <v>20.617283950617285</v>
      </c>
      <c r="T12" s="1">
        <f t="shared" si="6"/>
        <v>20.617283950617285</v>
      </c>
      <c r="U12" s="1">
        <v>27.4</v>
      </c>
      <c r="V12" s="1">
        <v>27.8</v>
      </c>
      <c r="W12" s="1">
        <v>25.4</v>
      </c>
      <c r="X12" s="1">
        <v>25.4</v>
      </c>
      <c r="Y12" s="1">
        <v>0.8</v>
      </c>
      <c r="Z12" s="1">
        <v>18.2</v>
      </c>
      <c r="AA12" s="1"/>
      <c r="AB12" s="1">
        <f t="shared" si="3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31</v>
      </c>
      <c r="C13" s="1">
        <v>142</v>
      </c>
      <c r="D13" s="1">
        <v>1</v>
      </c>
      <c r="E13" s="1">
        <v>41</v>
      </c>
      <c r="F13" s="1">
        <v>101</v>
      </c>
      <c r="G13" s="7">
        <v>0.3</v>
      </c>
      <c r="H13" s="1">
        <v>120</v>
      </c>
      <c r="I13" s="1" t="s">
        <v>32</v>
      </c>
      <c r="J13" s="1"/>
      <c r="K13" s="1">
        <v>42</v>
      </c>
      <c r="L13" s="1">
        <f t="shared" si="2"/>
        <v>-1</v>
      </c>
      <c r="M13" s="1"/>
      <c r="N13" s="1"/>
      <c r="O13" s="1">
        <v>10</v>
      </c>
      <c r="P13" s="1"/>
      <c r="Q13" s="1">
        <f t="shared" si="4"/>
        <v>8.1999999999999993</v>
      </c>
      <c r="R13" s="5"/>
      <c r="S13" s="1">
        <f t="shared" si="5"/>
        <v>13.536585365853659</v>
      </c>
      <c r="T13" s="1">
        <f t="shared" si="6"/>
        <v>13.536585365853659</v>
      </c>
      <c r="U13" s="1">
        <v>7.6</v>
      </c>
      <c r="V13" s="1">
        <v>12.8</v>
      </c>
      <c r="W13" s="1">
        <v>15.6</v>
      </c>
      <c r="X13" s="1">
        <v>8.1999999999999993</v>
      </c>
      <c r="Y13" s="1">
        <v>8</v>
      </c>
      <c r="Z13" s="1">
        <v>18</v>
      </c>
      <c r="AA13" s="1"/>
      <c r="AB13" s="1">
        <f t="shared" si="3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31</v>
      </c>
      <c r="C14" s="1">
        <v>6</v>
      </c>
      <c r="D14" s="1">
        <v>69</v>
      </c>
      <c r="E14" s="1">
        <v>16</v>
      </c>
      <c r="F14" s="1">
        <v>-9</v>
      </c>
      <c r="G14" s="7">
        <v>0.35</v>
      </c>
      <c r="H14" s="1">
        <v>120</v>
      </c>
      <c r="I14" s="1" t="s">
        <v>32</v>
      </c>
      <c r="J14" s="1"/>
      <c r="K14" s="1">
        <v>66</v>
      </c>
      <c r="L14" s="1">
        <f t="shared" si="2"/>
        <v>-50</v>
      </c>
      <c r="M14" s="1"/>
      <c r="N14" s="1"/>
      <c r="O14" s="1">
        <v>180</v>
      </c>
      <c r="P14" s="1">
        <v>70</v>
      </c>
      <c r="Q14" s="1">
        <f t="shared" si="4"/>
        <v>3.2</v>
      </c>
      <c r="R14" s="5"/>
      <c r="S14" s="1">
        <f t="shared" si="5"/>
        <v>75.3125</v>
      </c>
      <c r="T14" s="1">
        <f t="shared" si="6"/>
        <v>75.3125</v>
      </c>
      <c r="U14" s="1">
        <v>16.8</v>
      </c>
      <c r="V14" s="1">
        <v>18</v>
      </c>
      <c r="W14" s="1">
        <v>4.8</v>
      </c>
      <c r="X14" s="1">
        <v>17.600000000000001</v>
      </c>
      <c r="Y14" s="1">
        <v>0</v>
      </c>
      <c r="Z14" s="1">
        <v>3</v>
      </c>
      <c r="AA14" s="1"/>
      <c r="AB14" s="1">
        <f t="shared" si="3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31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32</v>
      </c>
      <c r="J15" s="1"/>
      <c r="K15" s="1"/>
      <c r="L15" s="1">
        <f t="shared" si="2"/>
        <v>0</v>
      </c>
      <c r="M15" s="1"/>
      <c r="N15" s="1"/>
      <c r="O15" s="1"/>
      <c r="P15" s="1"/>
      <c r="Q15" s="1">
        <f t="shared" si="4"/>
        <v>0</v>
      </c>
      <c r="R15" s="5"/>
      <c r="S15" s="1" t="e">
        <f t="shared" si="5"/>
        <v>#DIV/0!</v>
      </c>
      <c r="T15" s="1" t="e">
        <f t="shared" si="6"/>
        <v>#DIV/0!</v>
      </c>
      <c r="U15" s="1">
        <v>0.4</v>
      </c>
      <c r="V15" s="1">
        <v>0.4</v>
      </c>
      <c r="W15" s="1">
        <v>1.4</v>
      </c>
      <c r="X15" s="1">
        <v>0</v>
      </c>
      <c r="Y15" s="1">
        <v>1.8</v>
      </c>
      <c r="Z15" s="1">
        <v>1</v>
      </c>
      <c r="AA15" s="9" t="s">
        <v>33</v>
      </c>
      <c r="AB15" s="1">
        <f t="shared" si="3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31</v>
      </c>
      <c r="C16" s="1">
        <v>337</v>
      </c>
      <c r="D16" s="1">
        <v>17</v>
      </c>
      <c r="E16" s="1">
        <v>33</v>
      </c>
      <c r="F16" s="1">
        <v>311</v>
      </c>
      <c r="G16" s="7">
        <v>0.7</v>
      </c>
      <c r="H16" s="1">
        <v>180</v>
      </c>
      <c r="I16" s="1" t="s">
        <v>32</v>
      </c>
      <c r="J16" s="1"/>
      <c r="K16" s="1">
        <v>38</v>
      </c>
      <c r="L16" s="1">
        <f t="shared" si="2"/>
        <v>-5</v>
      </c>
      <c r="M16" s="1"/>
      <c r="N16" s="1"/>
      <c r="O16" s="1"/>
      <c r="P16" s="1"/>
      <c r="Q16" s="1">
        <f t="shared" si="4"/>
        <v>6.6</v>
      </c>
      <c r="R16" s="5"/>
      <c r="S16" s="1">
        <f t="shared" si="5"/>
        <v>47.121212121212125</v>
      </c>
      <c r="T16" s="1">
        <f t="shared" si="6"/>
        <v>47.121212121212125</v>
      </c>
      <c r="U16" s="1">
        <v>13.8</v>
      </c>
      <c r="V16" s="1">
        <v>18</v>
      </c>
      <c r="W16" s="1">
        <v>20.399999999999999</v>
      </c>
      <c r="X16" s="1">
        <v>13.8</v>
      </c>
      <c r="Y16" s="1">
        <v>0</v>
      </c>
      <c r="Z16" s="1">
        <v>0</v>
      </c>
      <c r="AA16" s="9" t="s">
        <v>33</v>
      </c>
      <c r="AB16" s="1">
        <f t="shared" si="3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2026-08-10T15:50:45Z</dcterms:created>
  <dcterms:modified xsi:type="dcterms:W3CDTF">2026-08-12T12:21:35Z</dcterms:modified>
</cp:coreProperties>
</file>