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10FE160C-764A-4F3E-9AED-EF437CCEA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91029" refMode="R1C1"/>
</workbook>
</file>

<file path=xl/calcChain.xml><?xml version="1.0" encoding="utf-8"?>
<calcChain xmlns="http://schemas.openxmlformats.org/spreadsheetml/2006/main">
  <c r="F3" i="1" l="1"/>
  <c r="E24" i="1" l="1"/>
  <c r="G23" i="1"/>
  <c r="G21" i="1" l="1"/>
  <c r="G20" i="1" l="1"/>
  <c r="G13" i="1"/>
  <c r="G14" i="1"/>
  <c r="G15" i="1"/>
  <c r="G16" i="1"/>
  <c r="G17" i="1"/>
  <c r="G18" i="1"/>
  <c r="G19" i="1"/>
  <c r="G12" i="1"/>
  <c r="G24" i="1" s="1"/>
</calcChain>
</file>

<file path=xl/sharedStrings.xml><?xml version="1.0" encoding="utf-8"?>
<sst xmlns="http://schemas.openxmlformats.org/spreadsheetml/2006/main" count="62" uniqueCount="47">
  <si>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</si>
  <si>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</si>
  <si>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</si>
  <si>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</si>
  <si>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</si>
  <si>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</si>
  <si>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</si>
  <si>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</si>
  <si>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</si>
  <si>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</si>
  <si>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</si>
  <si>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</si>
  <si>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</si>
  <si>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</si>
  <si>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</si>
  <si>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</si>
  <si>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</si>
  <si>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</si>
  <si>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</si>
  <si>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</si>
  <si>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</si>
  <si>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</si>
  <si>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</si>
  <si>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</si>
  <si>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</si>
  <si>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</si>
  <si>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</si>
  <si>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</si>
  <si>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</si>
  <si>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</si>
  <si>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</si>
  <si>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</si>
  <si>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</si>
  <si>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</si>
  <si>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</si>
  <si>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</si>
  <si>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</si>
  <si>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</si>
  <si>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</si>
  <si>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</si>
  <si>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</si>
  <si>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</si>
  <si>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</si>
  <si>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</si>
  <si>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Запорожская область, с. Трояны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</si>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</sst>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0" fillId="0" borderId="7" xfId="0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O1538"/>
  <sheetViews>
    <sheetView tabSelected="1" topLeftCell="B1" zoomScale="70" zoomScaleNormal="70" workbookViewId="0">
      <pane ySplit="9" topLeftCell="A10" activePane="bottomLeft" state="frozen"/>
      <selection pane="bottomLeft" activeCell="M27" sqref="M27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130133082</v>
      </c>
      <c r="E1" s="62" t="s">
        <v>34</v>
      </c>
      <c r="F1" s="63"/>
      <c r="G1" s="63"/>
      <c r="H1" s="63"/>
      <c r="I1" s="63"/>
      <c r="J1" s="64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">
      <c r="B3" s="31"/>
      <c r="C3" s="7" t="s">
        <v>1</v>
      </c>
      <c r="D3" s="55">
        <v>46202</v>
      </c>
      <c r="E3" s="7" t="s">
        <v>2</v>
      </c>
      <c r="F3" s="55">
        <f>D3+3</f>
        <v>46205</v>
      </c>
      <c r="G3" s="65" t="s">
        <v>44</v>
      </c>
      <c r="H3" s="63"/>
      <c r="I3" s="63"/>
      <c r="J3" s="64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5" x14ac:dyDescent="0.25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hidden="1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5" ht="16.5" hidden="1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5" ht="16.5" hidden="1" customHeight="1" thickTop="1" x14ac:dyDescent="0.25">
      <c r="A12" s="53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thickTop="1" x14ac:dyDescent="0.25">
      <c r="A13" s="53">
        <v>6149</v>
      </c>
      <c r="B13" s="49" t="s">
        <v>25</v>
      </c>
      <c r="C13" s="47" t="s">
        <v>19</v>
      </c>
      <c r="D13" s="48">
        <v>1002131166149</v>
      </c>
      <c r="E13" s="23">
        <v>100</v>
      </c>
      <c r="F13" s="22">
        <v>0.3</v>
      </c>
      <c r="G13" s="22">
        <f t="shared" ref="G13:G19" si="0">E13*F13</f>
        <v>30</v>
      </c>
      <c r="H13" s="14">
        <v>3.6</v>
      </c>
      <c r="I13" s="14">
        <v>120</v>
      </c>
      <c r="J13" s="28"/>
    </row>
    <row r="14" spans="1:15" ht="16.5" hidden="1" customHeight="1" x14ac:dyDescent="0.25">
      <c r="A14" s="53">
        <v>6819</v>
      </c>
      <c r="B14" s="49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3">
        <v>6202</v>
      </c>
      <c r="B15" s="49" t="s">
        <v>27</v>
      </c>
      <c r="C15" s="47" t="s">
        <v>19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25">
      <c r="A16" s="53">
        <v>6148</v>
      </c>
      <c r="B16" s="49" t="s">
        <v>28</v>
      </c>
      <c r="C16" s="47" t="s">
        <v>19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25">
      <c r="A17" s="53">
        <v>6209</v>
      </c>
      <c r="B17" s="49" t="s">
        <v>29</v>
      </c>
      <c r="C17" s="47" t="s">
        <v>19</v>
      </c>
      <c r="D17" s="48">
        <v>1002131146209</v>
      </c>
      <c r="E17" s="23">
        <v>100</v>
      </c>
      <c r="F17" s="22">
        <v>0.35</v>
      </c>
      <c r="G17" s="22">
        <f t="shared" si="0"/>
        <v>35</v>
      </c>
      <c r="H17" s="14">
        <v>4.2</v>
      </c>
      <c r="I17" s="14">
        <v>120</v>
      </c>
      <c r="J17" s="28"/>
    </row>
    <row r="18" spans="1:10" ht="16.5" customHeight="1" x14ac:dyDescent="0.25">
      <c r="A18" s="53">
        <v>6168</v>
      </c>
      <c r="B18" s="49" t="s">
        <v>30</v>
      </c>
      <c r="C18" s="47" t="s">
        <v>19</v>
      </c>
      <c r="D18" s="48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28"/>
    </row>
    <row r="19" spans="1:10" ht="16.5" hidden="1" customHeight="1" x14ac:dyDescent="0.25">
      <c r="A19" s="53">
        <v>5579</v>
      </c>
      <c r="B19" s="49" t="s">
        <v>31</v>
      </c>
      <c r="C19" s="47" t="s">
        <v>19</v>
      </c>
      <c r="D19" s="48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0">
        <v>5754</v>
      </c>
      <c r="B20" s="51" t="s">
        <v>32</v>
      </c>
      <c r="C20" s="47" t="s">
        <v>20</v>
      </c>
      <c r="D20" s="48">
        <v>1002131155754</v>
      </c>
      <c r="E20" s="23">
        <v>100</v>
      </c>
      <c r="F20" s="22">
        <v>4.5</v>
      </c>
      <c r="G20" s="52">
        <f>E20</f>
        <v>100</v>
      </c>
      <c r="H20" s="14">
        <v>4.5</v>
      </c>
      <c r="I20" s="14">
        <v>120</v>
      </c>
      <c r="J20" s="28"/>
    </row>
    <row r="21" spans="1:10" ht="15.75" customHeight="1" thickBot="1" x14ac:dyDescent="0.3">
      <c r="A21" s="50">
        <v>5755</v>
      </c>
      <c r="B21" s="49" t="s">
        <v>33</v>
      </c>
      <c r="C21" s="47" t="s">
        <v>20</v>
      </c>
      <c r="D21" s="48">
        <v>1002131185755</v>
      </c>
      <c r="E21" s="23">
        <v>100</v>
      </c>
      <c r="F21" s="22">
        <v>4.5</v>
      </c>
      <c r="G21" s="52">
        <f>E21</f>
        <v>100</v>
      </c>
      <c r="H21" s="14">
        <v>4.5</v>
      </c>
      <c r="I21" s="14">
        <v>120</v>
      </c>
      <c r="J21" s="28"/>
    </row>
    <row r="22" spans="1:10" ht="16.5" hidden="1" customHeight="1" thickBot="1" x14ac:dyDescent="0.3">
      <c r="A22" s="56"/>
      <c r="B22" s="66" t="s">
        <v>45</v>
      </c>
      <c r="C22" s="66"/>
      <c r="D22" s="66"/>
      <c r="E22" s="66"/>
      <c r="F22" s="66"/>
      <c r="G22" s="66"/>
      <c r="H22" s="66"/>
      <c r="I22" s="66"/>
      <c r="J22" s="66"/>
    </row>
    <row r="23" spans="1:10" ht="15.75" customHeight="1" thickTop="1" thickBot="1" x14ac:dyDescent="0.3">
      <c r="A23" s="57">
        <v>7216</v>
      </c>
      <c r="B23" s="58" t="s">
        <v>46</v>
      </c>
      <c r="C23" s="47" t="s">
        <v>19</v>
      </c>
      <c r="D23" s="59">
        <v>1002116437216</v>
      </c>
      <c r="E23" s="60">
        <v>400</v>
      </c>
      <c r="F23" s="22">
        <v>0.7</v>
      </c>
      <c r="G23" s="52">
        <f>E23</f>
        <v>400</v>
      </c>
      <c r="H23" s="14"/>
      <c r="I23" s="61"/>
      <c r="J23" s="61"/>
    </row>
    <row r="24" spans="1:10" ht="16.5" thickTop="1" thickBot="1" x14ac:dyDescent="0.3">
      <c r="A24" s="54"/>
      <c r="B24" s="44" t="s">
        <v>21</v>
      </c>
      <c r="C24" s="15"/>
      <c r="D24" s="34"/>
      <c r="E24" s="16">
        <f>SUM(E10:E23)</f>
        <v>1100</v>
      </c>
      <c r="F24" s="16"/>
      <c r="G24" s="16">
        <f>SUM(G11:G23)</f>
        <v>760</v>
      </c>
      <c r="H24" s="16"/>
      <c r="I24" s="16"/>
      <c r="J24" s="16"/>
    </row>
    <row r="25" spans="1:10" ht="15.75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>
    <filterColumn colId="4">
      <customFilters>
        <customFilter operator="notEqual" val=" "/>
      </customFilters>
    </filterColumn>
  </autoFilter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2015-01-13T07:32:10Z</cp:lastPrinted>
  <dcterms:created xsi:type="dcterms:W3CDTF">2006-09-16T00:00:00Z</dcterms:created>
  <dcterms:modified xsi:type="dcterms:W3CDTF">2026-06-29T13:29:24Z</dcterms:modified>
</cp:coreProperties>
</file>