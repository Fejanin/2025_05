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Останкино КИ и ЗПФ\расчеты Останкино ЗПФ\"/>
    </mc:Choice>
  </mc:AlternateContent>
  <xr:revisionPtr revIDLastSave="0" documentId="13_ncr:1_{4D5485DE-FE1F-458A-B42D-6C4119A3ED8F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7" i="1" l="1"/>
  <c r="S7" i="1"/>
  <c r="R8" i="1"/>
  <c r="S8" i="1"/>
  <c r="R9" i="1"/>
  <c r="S9" i="1"/>
  <c r="R10" i="1"/>
  <c r="S10" i="1"/>
  <c r="R11" i="1"/>
  <c r="S11" i="1"/>
  <c r="R12" i="1"/>
  <c r="S12" i="1"/>
  <c r="R13" i="1"/>
  <c r="S13" i="1"/>
  <c r="R14" i="1"/>
  <c r="S14" i="1"/>
  <c r="R15" i="1"/>
  <c r="S15" i="1"/>
  <c r="R16" i="1"/>
  <c r="S16" i="1"/>
  <c r="S6" i="1"/>
  <c r="R6" i="1"/>
  <c r="P7" i="1"/>
  <c r="P8" i="1"/>
  <c r="P9" i="1"/>
  <c r="P10" i="1"/>
  <c r="P11" i="1"/>
  <c r="P12" i="1"/>
  <c r="P13" i="1"/>
  <c r="P14" i="1"/>
  <c r="P15" i="1"/>
  <c r="P16" i="1"/>
  <c r="P6" i="1"/>
  <c r="W16" i="1" l="1"/>
  <c r="L16" i="1"/>
  <c r="W15" i="1"/>
  <c r="L15" i="1"/>
  <c r="W14" i="1"/>
  <c r="L14" i="1"/>
  <c r="W13" i="1"/>
  <c r="L13" i="1"/>
  <c r="W12" i="1"/>
  <c r="L12" i="1"/>
  <c r="W11" i="1"/>
  <c r="L11" i="1"/>
  <c r="W10" i="1"/>
  <c r="L10" i="1"/>
  <c r="W9" i="1"/>
  <c r="L9" i="1"/>
  <c r="W8" i="1"/>
  <c r="L8" i="1"/>
  <c r="W7" i="1"/>
  <c r="L7" i="1"/>
  <c r="W6" i="1"/>
  <c r="L6" i="1"/>
  <c r="L5" i="1" s="1"/>
  <c r="W5" i="1"/>
  <c r="U5" i="1"/>
  <c r="T5" i="1"/>
  <c r="Q5" i="1"/>
  <c r="P5" i="1"/>
  <c r="O5" i="1"/>
  <c r="N5" i="1"/>
  <c r="M5" i="1"/>
  <c r="K5" i="1"/>
  <c r="F5" i="1"/>
  <c r="E5" i="1"/>
</calcChain>
</file>

<file path=xl/sharedStrings.xml><?xml version="1.0" encoding="utf-8"?>
<sst xmlns="http://schemas.openxmlformats.org/spreadsheetml/2006/main" count="67" uniqueCount="42">
  <si>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</si>
  <si>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</si>
  <si>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</si>
  <si>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</si>
  <si>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</si>
  <si>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</si>
  <si>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</si>
  <si>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</si>
  <si>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</si>
  <si>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</si>
  <si>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</si>
  <si>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</si>
  <si>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</si>
  <si>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</si>
  <si>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</si>
  <si>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</si>
  <si>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кон ост</t>
  </si>
  <si>
    <t>факт</t>
  </si>
  <si>
    <t>ср</t>
  </si>
  <si>
    <t>комментарии</t>
  </si>
  <si>
    <t>вес</t>
  </si>
  <si>
    <t>13,07,</t>
  </si>
  <si>
    <t>06,07,</t>
  </si>
  <si>
    <t>29,06,</t>
  </si>
  <si>
    <t>5579 БЛИНЧ.КРУГЛЫЕ С САД.ЯБЛОК.пл.1/420 зам. ОСТАНКИНО</t>
  </si>
  <si>
    <t>шт</t>
  </si>
  <si>
    <t>нужно увеличить продажи!!!</t>
  </si>
  <si>
    <t>5754 БЛИНЧ.КРУГЛЫЕ С МЯСОМ 4,5кг зам. ПМ ОСТАНКИНО</t>
  </si>
  <si>
    <t>кг</t>
  </si>
  <si>
    <t>5755 БЛИНЧ.КРУГЛЫЕ С ТВОРОГОМ 4,5кг зам. ПМ ОСТАНКИНО</t>
  </si>
  <si>
    <t>5897 БЛИНЧ.КРУГЛЫЕ С ГРУШЕЙ пл.1/420 зам.   ОСТАНКИНО</t>
  </si>
  <si>
    <t>6148 БЛИНЧ.КРУГЛЫЕ С ВЕТЧ.И СЫР. ПМ 1/300 зам. ОСТАНКИНО</t>
  </si>
  <si>
    <t>6149 БЛИНЧ.КРУГЛЫЕ С ПЕЧЕНЬЮ ПМ 1/300 зам. ОСТАНКИНО</t>
  </si>
  <si>
    <t>6168 Блинчики с мясом пл. 1/350 зам. ОСТАНКИНО</t>
  </si>
  <si>
    <t>6202 БЛИНЧ.КРУГЛЫЕ С ТВОРОГОМ ПМ 1/300 зам. ОСТАНКИНО</t>
  </si>
  <si>
    <t>6209 Блинчики с куриным мясом пл. 1/350 зам. ОСТАНКИНО</t>
  </si>
  <si>
    <t>6819 БЛИНЧ.КРУГЛЫЕ С САД.ЯБЛОК. пл. 1/300 зам. ОСТАНКИНО</t>
  </si>
  <si>
    <t>7216 СОЧНЫЕ СО СЛ.МАСЛ.ПМ пельм пл.0.7кг зам. ОСТАНКИНО</t>
  </si>
  <si>
    <t>матрица</t>
  </si>
  <si>
    <t>нужно увеличить продажи</t>
  </si>
  <si>
    <t>заказ</t>
  </si>
  <si>
    <t>20,07,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</si>
</sst>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6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0"/>
      <name val="Arial"/>
      <family val="2"/>
      <charset val="204"/>
    </font>
    <font>
      <b/>
      <sz val="10"/>
      <color rgb="FFFF0000"/>
      <name val="Arial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12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4" fillId="0" borderId="1" xfId="1" applyNumberFormat="1" applyFont="1"/>
    <xf numFmtId="164" fontId="4" fillId="4" borderId="1" xfId="1" applyNumberFormat="1" applyFont="1" applyFill="1"/>
    <xf numFmtId="164" fontId="5" fillId="4" borderId="1" xfId="1" applyNumberFormat="1" applyFont="1" applyFill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500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R4" sqref="R4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12" customWidth="1"/>
    <col min="10" max="10" width="1" customWidth="1"/>
    <col min="11" max="12" width="7" customWidth="1"/>
    <col min="13" max="14" width="0.42578125" customWidth="1"/>
    <col min="15" max="17" width="7" customWidth="1"/>
    <col min="18" max="19" width="5" customWidth="1"/>
    <col min="20" max="21" width="6" customWidth="1"/>
    <col min="22" max="22" width="53.42578125" customWidth="1"/>
    <col min="23" max="23" width="7" customWidth="1"/>
    <col min="24" max="49" width="3" customWidth="1"/>
  </cols>
  <sheetData>
    <row r="1" spans="1:49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15</v>
      </c>
      <c r="Q3" s="3" t="s">
        <v>40</v>
      </c>
      <c r="R3" s="2" t="s">
        <v>16</v>
      </c>
      <c r="S3" s="2" t="s">
        <v>17</v>
      </c>
      <c r="T3" s="2" t="s">
        <v>18</v>
      </c>
      <c r="U3" s="2" t="s">
        <v>18</v>
      </c>
      <c r="V3" s="2" t="s">
        <v>19</v>
      </c>
      <c r="W3" s="2" t="s">
        <v>20</v>
      </c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21</v>
      </c>
      <c r="P4" s="1" t="s">
        <v>21</v>
      </c>
      <c r="Q4" s="1" t="s">
        <v>41</v>
      </c>
      <c r="R4" s="1"/>
      <c r="S4" s="1"/>
      <c r="T4" s="1" t="s">
        <v>22</v>
      </c>
      <c r="U4" s="1" t="s">
        <v>23</v>
      </c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</row>
    <row r="5" spans="1:49" x14ac:dyDescent="0.25">
      <c r="A5" s="1"/>
      <c r="B5" s="1"/>
      <c r="C5" s="1"/>
      <c r="D5" s="1"/>
      <c r="E5" s="4">
        <f>SUM(E6:E500)</f>
        <v>441.16399999999999</v>
      </c>
      <c r="F5" s="4">
        <f>SUM(F6:F500)</f>
        <v>1559.8310000000001</v>
      </c>
      <c r="G5" s="7"/>
      <c r="H5" s="1"/>
      <c r="I5" s="1"/>
      <c r="J5" s="1"/>
      <c r="K5" s="4">
        <f t="shared" ref="K5:Q5" si="0">SUM(K6:K500)</f>
        <v>493</v>
      </c>
      <c r="L5" s="4">
        <f t="shared" si="0"/>
        <v>-51.835999999999999</v>
      </c>
      <c r="M5" s="4">
        <f t="shared" si="0"/>
        <v>0</v>
      </c>
      <c r="N5" s="4">
        <f t="shared" si="0"/>
        <v>0</v>
      </c>
      <c r="O5" s="4">
        <f t="shared" si="0"/>
        <v>158</v>
      </c>
      <c r="P5" s="4">
        <f t="shared" si="0"/>
        <v>88.232799999999997</v>
      </c>
      <c r="Q5" s="4">
        <f t="shared" si="0"/>
        <v>390</v>
      </c>
      <c r="R5" s="1"/>
      <c r="S5" s="1"/>
      <c r="T5" s="4">
        <f>SUM(T6:T500)</f>
        <v>69.177999999999997</v>
      </c>
      <c r="U5" s="4">
        <f>SUM(U6:U500)</f>
        <v>81.424800000000005</v>
      </c>
      <c r="V5" s="1"/>
      <c r="W5" s="4">
        <f>SUM(W6:W500)</f>
        <v>120</v>
      </c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</row>
    <row r="6" spans="1:49" x14ac:dyDescent="0.25">
      <c r="A6" s="1" t="s">
        <v>24</v>
      </c>
      <c r="B6" s="1" t="s">
        <v>25</v>
      </c>
      <c r="C6" s="1">
        <v>162</v>
      </c>
      <c r="D6" s="1">
        <v>7</v>
      </c>
      <c r="E6" s="1">
        <v>-1</v>
      </c>
      <c r="F6" s="1">
        <v>136</v>
      </c>
      <c r="G6" s="7">
        <v>0.42</v>
      </c>
      <c r="H6" s="1"/>
      <c r="I6" s="9" t="s">
        <v>38</v>
      </c>
      <c r="J6" s="1"/>
      <c r="K6" s="1">
        <v>10</v>
      </c>
      <c r="L6" s="1">
        <f t="shared" ref="L6:L16" si="1">E6-K6</f>
        <v>-11</v>
      </c>
      <c r="M6" s="1"/>
      <c r="N6" s="1"/>
      <c r="O6" s="1"/>
      <c r="P6" s="1">
        <f>E6/5</f>
        <v>-0.2</v>
      </c>
      <c r="Q6" s="5"/>
      <c r="R6" s="1">
        <f>(F6+O6+Q6)/P6</f>
        <v>-680</v>
      </c>
      <c r="S6" s="1">
        <f>(F6+O6)/P6</f>
        <v>-680</v>
      </c>
      <c r="T6" s="1">
        <v>1</v>
      </c>
      <c r="U6" s="1">
        <v>1</v>
      </c>
      <c r="V6" s="11" t="s">
        <v>26</v>
      </c>
      <c r="W6" s="1">
        <f t="shared" ref="W6:W16" si="2">G6*Q6</f>
        <v>0</v>
      </c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</row>
    <row r="7" spans="1:49" x14ac:dyDescent="0.25">
      <c r="A7" s="1" t="s">
        <v>27</v>
      </c>
      <c r="B7" s="1" t="s">
        <v>28</v>
      </c>
      <c r="C7" s="1">
        <v>47.396999999999998</v>
      </c>
      <c r="D7" s="1"/>
      <c r="E7" s="1">
        <v>9.0879999999999992</v>
      </c>
      <c r="F7" s="1">
        <v>36.668999999999997</v>
      </c>
      <c r="G7" s="7">
        <v>1</v>
      </c>
      <c r="H7" s="1"/>
      <c r="I7" s="9" t="s">
        <v>38</v>
      </c>
      <c r="J7" s="1"/>
      <c r="K7" s="1">
        <v>9</v>
      </c>
      <c r="L7" s="1">
        <f t="shared" si="1"/>
        <v>8.799999999999919E-2</v>
      </c>
      <c r="M7" s="1"/>
      <c r="N7" s="1"/>
      <c r="O7" s="1">
        <v>18</v>
      </c>
      <c r="P7" s="1">
        <f t="shared" ref="P7:P16" si="3">E7/5</f>
        <v>1.8175999999999999</v>
      </c>
      <c r="Q7" s="5"/>
      <c r="R7" s="1">
        <f t="shared" ref="R7:R16" si="4">(F7+O7+Q7)/P7</f>
        <v>30.077574823943664</v>
      </c>
      <c r="S7" s="1">
        <f t="shared" ref="S7:S16" si="5">(F7+O7)/P7</f>
        <v>30.077574823943664</v>
      </c>
      <c r="T7" s="1">
        <v>4.5468000000000002</v>
      </c>
      <c r="U7" s="1">
        <v>0.91639999999999999</v>
      </c>
      <c r="V7" s="10" t="s">
        <v>39</v>
      </c>
      <c r="W7" s="1">
        <f t="shared" si="2"/>
        <v>0</v>
      </c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</row>
    <row r="8" spans="1:49" x14ac:dyDescent="0.25">
      <c r="A8" s="1" t="s">
        <v>29</v>
      </c>
      <c r="B8" s="1" t="s">
        <v>28</v>
      </c>
      <c r="C8" s="1">
        <v>113.04600000000001</v>
      </c>
      <c r="D8" s="1">
        <v>0.81399999999999995</v>
      </c>
      <c r="E8" s="1">
        <v>9.0760000000000005</v>
      </c>
      <c r="F8" s="1">
        <v>100.16200000000001</v>
      </c>
      <c r="G8" s="7">
        <v>1</v>
      </c>
      <c r="H8" s="1"/>
      <c r="I8" s="9" t="s">
        <v>38</v>
      </c>
      <c r="J8" s="1"/>
      <c r="K8" s="1">
        <v>9</v>
      </c>
      <c r="L8" s="1">
        <f t="shared" si="1"/>
        <v>7.6000000000000512E-2</v>
      </c>
      <c r="M8" s="1"/>
      <c r="N8" s="1"/>
      <c r="O8" s="1"/>
      <c r="P8" s="1">
        <f t="shared" si="3"/>
        <v>1.8152000000000001</v>
      </c>
      <c r="Q8" s="5"/>
      <c r="R8" s="1">
        <f t="shared" si="4"/>
        <v>55.179594535037459</v>
      </c>
      <c r="S8" s="1">
        <f t="shared" si="5"/>
        <v>55.179594535037459</v>
      </c>
      <c r="T8" s="1">
        <v>1.8311999999999999</v>
      </c>
      <c r="U8" s="1">
        <v>0.90839999999999999</v>
      </c>
      <c r="V8" s="11" t="s">
        <v>26</v>
      </c>
      <c r="W8" s="1">
        <f t="shared" si="2"/>
        <v>0</v>
      </c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</row>
    <row r="9" spans="1:49" x14ac:dyDescent="0.25">
      <c r="A9" s="1" t="s">
        <v>30</v>
      </c>
      <c r="B9" s="1" t="s">
        <v>25</v>
      </c>
      <c r="C9" s="1">
        <v>191</v>
      </c>
      <c r="D9" s="1">
        <v>2</v>
      </c>
      <c r="E9" s="1">
        <v>7</v>
      </c>
      <c r="F9" s="1">
        <v>184</v>
      </c>
      <c r="G9" s="7">
        <v>0.42</v>
      </c>
      <c r="H9" s="1"/>
      <c r="I9" s="9" t="s">
        <v>38</v>
      </c>
      <c r="J9" s="1"/>
      <c r="K9" s="1">
        <v>9</v>
      </c>
      <c r="L9" s="1">
        <f t="shared" si="1"/>
        <v>-2</v>
      </c>
      <c r="M9" s="1"/>
      <c r="N9" s="1"/>
      <c r="O9" s="1"/>
      <c r="P9" s="1">
        <f t="shared" si="3"/>
        <v>1.4</v>
      </c>
      <c r="Q9" s="5"/>
      <c r="R9" s="1">
        <f t="shared" si="4"/>
        <v>131.42857142857144</v>
      </c>
      <c r="S9" s="1">
        <f t="shared" si="5"/>
        <v>131.42857142857144</v>
      </c>
      <c r="T9" s="1">
        <v>4.5999999999999996</v>
      </c>
      <c r="U9" s="1">
        <v>2.4</v>
      </c>
      <c r="V9" s="11" t="s">
        <v>26</v>
      </c>
      <c r="W9" s="1">
        <f t="shared" si="2"/>
        <v>0</v>
      </c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</row>
    <row r="10" spans="1:49" x14ac:dyDescent="0.25">
      <c r="A10" s="1" t="s">
        <v>31</v>
      </c>
      <c r="B10" s="1" t="s">
        <v>25</v>
      </c>
      <c r="C10" s="1">
        <v>160</v>
      </c>
      <c r="D10" s="1">
        <v>27</v>
      </c>
      <c r="E10" s="1">
        <v>48</v>
      </c>
      <c r="F10" s="1">
        <v>139</v>
      </c>
      <c r="G10" s="7">
        <v>0.3</v>
      </c>
      <c r="H10" s="1"/>
      <c r="I10" s="9" t="s">
        <v>38</v>
      </c>
      <c r="J10" s="1"/>
      <c r="K10" s="1">
        <v>48</v>
      </c>
      <c r="L10" s="1">
        <f t="shared" si="1"/>
        <v>0</v>
      </c>
      <c r="M10" s="1"/>
      <c r="N10" s="1"/>
      <c r="O10" s="1"/>
      <c r="P10" s="1">
        <f t="shared" si="3"/>
        <v>9.6</v>
      </c>
      <c r="Q10" s="5">
        <v>10</v>
      </c>
      <c r="R10" s="1">
        <f t="shared" si="4"/>
        <v>15.520833333333334</v>
      </c>
      <c r="S10" s="1">
        <f t="shared" si="5"/>
        <v>14.479166666666668</v>
      </c>
      <c r="T10" s="1">
        <v>9.6</v>
      </c>
      <c r="U10" s="1">
        <v>10.199999999999999</v>
      </c>
      <c r="V10" s="1"/>
      <c r="W10" s="1">
        <f t="shared" si="2"/>
        <v>3</v>
      </c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</row>
    <row r="11" spans="1:49" x14ac:dyDescent="0.25">
      <c r="A11" s="1" t="s">
        <v>32</v>
      </c>
      <c r="B11" s="1" t="s">
        <v>25</v>
      </c>
      <c r="C11" s="1">
        <v>144</v>
      </c>
      <c r="D11" s="1">
        <v>19</v>
      </c>
      <c r="E11" s="1">
        <v>101</v>
      </c>
      <c r="F11" s="1">
        <v>55</v>
      </c>
      <c r="G11" s="7">
        <v>0.3</v>
      </c>
      <c r="H11" s="1"/>
      <c r="I11" s="9" t="s">
        <v>38</v>
      </c>
      <c r="J11" s="1"/>
      <c r="K11" s="1">
        <v>120</v>
      </c>
      <c r="L11" s="1">
        <f t="shared" si="1"/>
        <v>-19</v>
      </c>
      <c r="M11" s="1"/>
      <c r="N11" s="1"/>
      <c r="O11" s="1">
        <v>60</v>
      </c>
      <c r="P11" s="1">
        <f t="shared" si="3"/>
        <v>20.2</v>
      </c>
      <c r="Q11" s="5">
        <v>190</v>
      </c>
      <c r="R11" s="1">
        <f t="shared" si="4"/>
        <v>15.099009900990099</v>
      </c>
      <c r="S11" s="1">
        <f t="shared" si="5"/>
        <v>5.6930693069306937</v>
      </c>
      <c r="T11" s="1">
        <v>14.2</v>
      </c>
      <c r="U11" s="1">
        <v>22.6</v>
      </c>
      <c r="V11" s="1"/>
      <c r="W11" s="1">
        <f t="shared" si="2"/>
        <v>57</v>
      </c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</row>
    <row r="12" spans="1:49" x14ac:dyDescent="0.25">
      <c r="A12" s="1" t="s">
        <v>33</v>
      </c>
      <c r="B12" s="1" t="s">
        <v>25</v>
      </c>
      <c r="C12" s="1">
        <v>158</v>
      </c>
      <c r="D12" s="1">
        <v>26</v>
      </c>
      <c r="E12" s="1">
        <v>67</v>
      </c>
      <c r="F12" s="1">
        <v>113</v>
      </c>
      <c r="G12" s="7">
        <v>0.35</v>
      </c>
      <c r="H12" s="1"/>
      <c r="I12" s="9" t="s">
        <v>38</v>
      </c>
      <c r="J12" s="1"/>
      <c r="K12" s="1">
        <v>71</v>
      </c>
      <c r="L12" s="1">
        <f t="shared" si="1"/>
        <v>-4</v>
      </c>
      <c r="M12" s="1"/>
      <c r="N12" s="1"/>
      <c r="O12" s="1">
        <v>80</v>
      </c>
      <c r="P12" s="1">
        <f t="shared" si="3"/>
        <v>13.4</v>
      </c>
      <c r="Q12" s="5">
        <v>10</v>
      </c>
      <c r="R12" s="1">
        <f t="shared" si="4"/>
        <v>15.149253731343283</v>
      </c>
      <c r="S12" s="1">
        <f t="shared" si="5"/>
        <v>14.402985074626866</v>
      </c>
      <c r="T12" s="1">
        <v>16.399999999999999</v>
      </c>
      <c r="U12" s="1">
        <v>12</v>
      </c>
      <c r="V12" s="1"/>
      <c r="W12" s="1">
        <f t="shared" si="2"/>
        <v>3.5</v>
      </c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</row>
    <row r="13" spans="1:49" x14ac:dyDescent="0.25">
      <c r="A13" s="1" t="s">
        <v>34</v>
      </c>
      <c r="B13" s="1" t="s">
        <v>25</v>
      </c>
      <c r="C13" s="1">
        <v>149</v>
      </c>
      <c r="D13" s="1">
        <v>6</v>
      </c>
      <c r="E13" s="1">
        <v>69</v>
      </c>
      <c r="F13" s="1">
        <v>79</v>
      </c>
      <c r="G13" s="7">
        <v>0.3</v>
      </c>
      <c r="H13" s="1"/>
      <c r="I13" s="9" t="s">
        <v>38</v>
      </c>
      <c r="J13" s="1"/>
      <c r="K13" s="1">
        <v>73</v>
      </c>
      <c r="L13" s="1">
        <f t="shared" si="1"/>
        <v>-4</v>
      </c>
      <c r="M13" s="1"/>
      <c r="N13" s="1"/>
      <c r="O13" s="1"/>
      <c r="P13" s="1">
        <f t="shared" si="3"/>
        <v>13.8</v>
      </c>
      <c r="Q13" s="5">
        <v>130</v>
      </c>
      <c r="R13" s="1">
        <f t="shared" si="4"/>
        <v>15.144927536231883</v>
      </c>
      <c r="S13" s="1">
        <f t="shared" si="5"/>
        <v>5.72463768115942</v>
      </c>
      <c r="T13" s="1">
        <v>8.1999999999999993</v>
      </c>
      <c r="U13" s="1">
        <v>13.2</v>
      </c>
      <c r="V13" s="1"/>
      <c r="W13" s="1">
        <f t="shared" si="2"/>
        <v>39</v>
      </c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</row>
    <row r="14" spans="1:49" x14ac:dyDescent="0.25">
      <c r="A14" s="1" t="s">
        <v>35</v>
      </c>
      <c r="B14" s="1" t="s">
        <v>25</v>
      </c>
      <c r="C14" s="1">
        <v>239</v>
      </c>
      <c r="D14" s="1"/>
      <c r="E14" s="1">
        <v>71</v>
      </c>
      <c r="F14" s="1">
        <v>168</v>
      </c>
      <c r="G14" s="7">
        <v>0.35</v>
      </c>
      <c r="H14" s="1"/>
      <c r="I14" s="9" t="s">
        <v>38</v>
      </c>
      <c r="J14" s="1"/>
      <c r="K14" s="1">
        <v>77</v>
      </c>
      <c r="L14" s="1">
        <f t="shared" si="1"/>
        <v>-6</v>
      </c>
      <c r="M14" s="1"/>
      <c r="N14" s="1"/>
      <c r="O14" s="1"/>
      <c r="P14" s="1">
        <f t="shared" si="3"/>
        <v>14.2</v>
      </c>
      <c r="Q14" s="5">
        <v>50</v>
      </c>
      <c r="R14" s="1">
        <f t="shared" si="4"/>
        <v>15.352112676056338</v>
      </c>
      <c r="S14" s="1">
        <f t="shared" si="5"/>
        <v>11.830985915492958</v>
      </c>
      <c r="T14" s="1">
        <v>0.2</v>
      </c>
      <c r="U14" s="1">
        <v>10.4</v>
      </c>
      <c r="V14" s="1"/>
      <c r="W14" s="1">
        <f t="shared" si="2"/>
        <v>17.5</v>
      </c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</row>
    <row r="15" spans="1:49" x14ac:dyDescent="0.25">
      <c r="A15" s="1" t="s">
        <v>36</v>
      </c>
      <c r="B15" s="1" t="s">
        <v>25</v>
      </c>
      <c r="C15" s="1">
        <v>208</v>
      </c>
      <c r="D15" s="1">
        <v>13</v>
      </c>
      <c r="E15" s="1">
        <v>13</v>
      </c>
      <c r="F15" s="1">
        <v>206</v>
      </c>
      <c r="G15" s="7">
        <v>0.3</v>
      </c>
      <c r="H15" s="1"/>
      <c r="I15" s="9" t="s">
        <v>38</v>
      </c>
      <c r="J15" s="1"/>
      <c r="K15" s="1">
        <v>15</v>
      </c>
      <c r="L15" s="1">
        <f t="shared" si="1"/>
        <v>-2</v>
      </c>
      <c r="M15" s="1"/>
      <c r="N15" s="1"/>
      <c r="O15" s="1"/>
      <c r="P15" s="1">
        <f t="shared" si="3"/>
        <v>2.6</v>
      </c>
      <c r="Q15" s="5"/>
      <c r="R15" s="1">
        <f t="shared" si="4"/>
        <v>79.230769230769226</v>
      </c>
      <c r="S15" s="1">
        <f t="shared" si="5"/>
        <v>79.230769230769226</v>
      </c>
      <c r="T15" s="1">
        <v>1.6</v>
      </c>
      <c r="U15" s="1">
        <v>1.6</v>
      </c>
      <c r="V15" s="11" t="s">
        <v>26</v>
      </c>
      <c r="W15" s="1">
        <f t="shared" si="2"/>
        <v>0</v>
      </c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</row>
    <row r="16" spans="1:49" x14ac:dyDescent="0.25">
      <c r="A16" s="1" t="s">
        <v>37</v>
      </c>
      <c r="B16" s="1" t="s">
        <v>25</v>
      </c>
      <c r="C16" s="1">
        <v>397</v>
      </c>
      <c r="D16" s="1">
        <v>11</v>
      </c>
      <c r="E16" s="1">
        <v>48</v>
      </c>
      <c r="F16" s="1">
        <v>343</v>
      </c>
      <c r="G16" s="7">
        <v>0.7</v>
      </c>
      <c r="H16" s="1"/>
      <c r="I16" s="9" t="s">
        <v>38</v>
      </c>
      <c r="J16" s="1"/>
      <c r="K16" s="1">
        <v>52</v>
      </c>
      <c r="L16" s="1">
        <f t="shared" si="1"/>
        <v>-4</v>
      </c>
      <c r="M16" s="1"/>
      <c r="N16" s="1"/>
      <c r="O16" s="1"/>
      <c r="P16" s="1">
        <f t="shared" si="3"/>
        <v>9.6</v>
      </c>
      <c r="Q16" s="5"/>
      <c r="R16" s="1">
        <f t="shared" si="4"/>
        <v>35.729166666666671</v>
      </c>
      <c r="S16" s="1">
        <f t="shared" si="5"/>
        <v>35.729166666666671</v>
      </c>
      <c r="T16" s="1">
        <v>7</v>
      </c>
      <c r="U16" s="1">
        <v>6.2</v>
      </c>
      <c r="V16" s="11" t="s">
        <v>26</v>
      </c>
      <c r="W16" s="1">
        <f t="shared" si="2"/>
        <v>0</v>
      </c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</row>
    <row r="17" spans="1:49" x14ac:dyDescent="0.25">
      <c r="A17" s="1"/>
      <c r="B17" s="1"/>
      <c r="C17" s="1"/>
      <c r="D17" s="1"/>
      <c r="E17" s="1"/>
      <c r="F17" s="1"/>
      <c r="G17" s="7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</row>
    <row r="18" spans="1:49" x14ac:dyDescent="0.25">
      <c r="A18" s="1"/>
      <c r="B18" s="1"/>
      <c r="C18" s="1"/>
      <c r="D18" s="1"/>
      <c r="E18" s="1"/>
      <c r="F18" s="1"/>
      <c r="G18" s="7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</row>
    <row r="19" spans="1:49" x14ac:dyDescent="0.25">
      <c r="A19" s="1"/>
      <c r="B19" s="1"/>
      <c r="C19" s="1"/>
      <c r="D19" s="1"/>
      <c r="E19" s="1"/>
      <c r="F19" s="1"/>
      <c r="G19" s="7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</row>
    <row r="20" spans="1:49" x14ac:dyDescent="0.25">
      <c r="A20" s="1"/>
      <c r="B20" s="1"/>
      <c r="C20" s="1"/>
      <c r="D20" s="1"/>
      <c r="E20" s="1"/>
      <c r="F20" s="1"/>
      <c r="G20" s="7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</row>
    <row r="21" spans="1:49" x14ac:dyDescent="0.25">
      <c r="A21" s="1"/>
      <c r="B21" s="1"/>
      <c r="C21" s="1"/>
      <c r="D21" s="1"/>
      <c r="E21" s="1"/>
      <c r="F21" s="1"/>
      <c r="G21" s="7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</row>
    <row r="22" spans="1:49" x14ac:dyDescent="0.25">
      <c r="A22" s="1"/>
      <c r="B22" s="1"/>
      <c r="C22" s="1"/>
      <c r="D22" s="1"/>
      <c r="E22" s="1"/>
      <c r="F22" s="1"/>
      <c r="G22" s="7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</row>
    <row r="23" spans="1:49" x14ac:dyDescent="0.25">
      <c r="A23" s="1"/>
      <c r="B23" s="1"/>
      <c r="C23" s="1"/>
      <c r="D23" s="1"/>
      <c r="E23" s="1"/>
      <c r="F23" s="1"/>
      <c r="G23" s="7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</row>
    <row r="24" spans="1:49" x14ac:dyDescent="0.25">
      <c r="A24" s="1"/>
      <c r="B24" s="1"/>
      <c r="C24" s="1"/>
      <c r="D24" s="1"/>
      <c r="E24" s="1"/>
      <c r="F24" s="1"/>
      <c r="G24" s="7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</row>
    <row r="25" spans="1:49" x14ac:dyDescent="0.25">
      <c r="A25" s="1"/>
      <c r="B25" s="1"/>
      <c r="C25" s="1"/>
      <c r="D25" s="1"/>
      <c r="E25" s="1"/>
      <c r="F25" s="1"/>
      <c r="G25" s="7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</row>
    <row r="26" spans="1:49" x14ac:dyDescent="0.25">
      <c r="A26" s="1"/>
      <c r="B26" s="1"/>
      <c r="C26" s="1"/>
      <c r="D26" s="1"/>
      <c r="E26" s="1"/>
      <c r="F26" s="1"/>
      <c r="G26" s="7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</row>
    <row r="27" spans="1:49" x14ac:dyDescent="0.25">
      <c r="A27" s="1"/>
      <c r="B27" s="1"/>
      <c r="C27" s="1"/>
      <c r="D27" s="1"/>
      <c r="E27" s="1"/>
      <c r="F27" s="1"/>
      <c r="G27" s="7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</row>
    <row r="28" spans="1:49" x14ac:dyDescent="0.25">
      <c r="A28" s="1"/>
      <c r="B28" s="1"/>
      <c r="C28" s="1"/>
      <c r="D28" s="1"/>
      <c r="E28" s="1"/>
      <c r="F28" s="1"/>
      <c r="G28" s="7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</row>
    <row r="29" spans="1:49" x14ac:dyDescent="0.25">
      <c r="A29" s="1"/>
      <c r="B29" s="1"/>
      <c r="C29" s="1"/>
      <c r="D29" s="1"/>
      <c r="E29" s="1"/>
      <c r="F29" s="1"/>
      <c r="G29" s="7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</row>
    <row r="30" spans="1:49" x14ac:dyDescent="0.25">
      <c r="A30" s="1"/>
      <c r="B30" s="1"/>
      <c r="C30" s="1"/>
      <c r="D30" s="1"/>
      <c r="E30" s="1"/>
      <c r="F30" s="1"/>
      <c r="G30" s="7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</row>
    <row r="31" spans="1:49" x14ac:dyDescent="0.25">
      <c r="A31" s="1"/>
      <c r="B31" s="1"/>
      <c r="C31" s="1"/>
      <c r="D31" s="1"/>
      <c r="E31" s="1"/>
      <c r="F31" s="1"/>
      <c r="G31" s="7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</row>
    <row r="32" spans="1:49" x14ac:dyDescent="0.25">
      <c r="A32" s="1"/>
      <c r="B32" s="1"/>
      <c r="C32" s="1"/>
      <c r="D32" s="1"/>
      <c r="E32" s="1"/>
      <c r="F32" s="1"/>
      <c r="G32" s="7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</row>
    <row r="33" spans="1:49" x14ac:dyDescent="0.25">
      <c r="A33" s="1"/>
      <c r="B33" s="1"/>
      <c r="C33" s="1"/>
      <c r="D33" s="1"/>
      <c r="E33" s="1"/>
      <c r="F33" s="1"/>
      <c r="G33" s="7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</row>
    <row r="34" spans="1:49" x14ac:dyDescent="0.25">
      <c r="A34" s="1"/>
      <c r="B34" s="1"/>
      <c r="C34" s="1"/>
      <c r="D34" s="1"/>
      <c r="E34" s="1"/>
      <c r="F34" s="1"/>
      <c r="G34" s="7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</row>
    <row r="35" spans="1:49" x14ac:dyDescent="0.25">
      <c r="A35" s="1"/>
      <c r="B35" s="1"/>
      <c r="C35" s="1"/>
      <c r="D35" s="1"/>
      <c r="E35" s="1"/>
      <c r="F35" s="1"/>
      <c r="G35" s="7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</row>
    <row r="36" spans="1:49" x14ac:dyDescent="0.25">
      <c r="A36" s="1"/>
      <c r="B36" s="1"/>
      <c r="C36" s="1"/>
      <c r="D36" s="1"/>
      <c r="E36" s="1"/>
      <c r="F36" s="1"/>
      <c r="G36" s="7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</row>
    <row r="37" spans="1:49" x14ac:dyDescent="0.25">
      <c r="A37" s="1"/>
      <c r="B37" s="1"/>
      <c r="C37" s="1"/>
      <c r="D37" s="1"/>
      <c r="E37" s="1"/>
      <c r="F37" s="1"/>
      <c r="G37" s="7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</row>
    <row r="38" spans="1:49" x14ac:dyDescent="0.25">
      <c r="A38" s="1"/>
      <c r="B38" s="1"/>
      <c r="C38" s="1"/>
      <c r="D38" s="1"/>
      <c r="E38" s="1"/>
      <c r="F38" s="1"/>
      <c r="G38" s="7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</row>
    <row r="39" spans="1:49" x14ac:dyDescent="0.25">
      <c r="A39" s="1"/>
      <c r="B39" s="1"/>
      <c r="C39" s="1"/>
      <c r="D39" s="1"/>
      <c r="E39" s="1"/>
      <c r="F39" s="1"/>
      <c r="G39" s="7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</row>
    <row r="40" spans="1:49" x14ac:dyDescent="0.25">
      <c r="A40" s="1"/>
      <c r="B40" s="1"/>
      <c r="C40" s="1"/>
      <c r="D40" s="1"/>
      <c r="E40" s="1"/>
      <c r="F40" s="1"/>
      <c r="G40" s="7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</row>
    <row r="41" spans="1:49" x14ac:dyDescent="0.25">
      <c r="A41" s="1"/>
      <c r="B41" s="1"/>
      <c r="C41" s="1"/>
      <c r="D41" s="1"/>
      <c r="E41" s="1"/>
      <c r="F41" s="1"/>
      <c r="G41" s="7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</row>
    <row r="42" spans="1:49" x14ac:dyDescent="0.25">
      <c r="A42" s="1"/>
      <c r="B42" s="1"/>
      <c r="C42" s="1"/>
      <c r="D42" s="1"/>
      <c r="E42" s="1"/>
      <c r="F42" s="1"/>
      <c r="G42" s="7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</row>
    <row r="43" spans="1:49" x14ac:dyDescent="0.25">
      <c r="A43" s="1"/>
      <c r="B43" s="1"/>
      <c r="C43" s="1"/>
      <c r="D43" s="1"/>
      <c r="E43" s="1"/>
      <c r="F43" s="1"/>
      <c r="G43" s="7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</row>
    <row r="44" spans="1:49" x14ac:dyDescent="0.25">
      <c r="A44" s="1"/>
      <c r="B44" s="1"/>
      <c r="C44" s="1"/>
      <c r="D44" s="1"/>
      <c r="E44" s="1"/>
      <c r="F44" s="1"/>
      <c r="G44" s="7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</row>
    <row r="45" spans="1:49" x14ac:dyDescent="0.25">
      <c r="A45" s="1"/>
      <c r="B45" s="1"/>
      <c r="C45" s="1"/>
      <c r="D45" s="1"/>
      <c r="E45" s="1"/>
      <c r="F45" s="1"/>
      <c r="G45" s="7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</row>
    <row r="46" spans="1:49" x14ac:dyDescent="0.25">
      <c r="A46" s="1"/>
      <c r="B46" s="1"/>
      <c r="C46" s="1"/>
      <c r="D46" s="1"/>
      <c r="E46" s="1"/>
      <c r="F46" s="1"/>
      <c r="G46" s="7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</row>
    <row r="47" spans="1:49" x14ac:dyDescent="0.25">
      <c r="A47" s="1"/>
      <c r="B47" s="1"/>
      <c r="C47" s="1"/>
      <c r="D47" s="1"/>
      <c r="E47" s="1"/>
      <c r="F47" s="1"/>
      <c r="G47" s="7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</row>
    <row r="48" spans="1:49" x14ac:dyDescent="0.25">
      <c r="A48" s="1"/>
      <c r="B48" s="1"/>
      <c r="C48" s="1"/>
      <c r="D48" s="1"/>
      <c r="E48" s="1"/>
      <c r="F48" s="1"/>
      <c r="G48" s="7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</row>
    <row r="49" spans="1:49" x14ac:dyDescent="0.25">
      <c r="A49" s="1"/>
      <c r="B49" s="1"/>
      <c r="C49" s="1"/>
      <c r="D49" s="1"/>
      <c r="E49" s="1"/>
      <c r="F49" s="1"/>
      <c r="G49" s="7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</row>
    <row r="50" spans="1:49" x14ac:dyDescent="0.25">
      <c r="A50" s="1"/>
      <c r="B50" s="1"/>
      <c r="C50" s="1"/>
      <c r="D50" s="1"/>
      <c r="E50" s="1"/>
      <c r="F50" s="1"/>
      <c r="G50" s="7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</row>
    <row r="51" spans="1:49" x14ac:dyDescent="0.25">
      <c r="A51" s="1"/>
      <c r="B51" s="1"/>
      <c r="C51" s="1"/>
      <c r="D51" s="1"/>
      <c r="E51" s="1"/>
      <c r="F51" s="1"/>
      <c r="G51" s="7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</row>
    <row r="52" spans="1:49" x14ac:dyDescent="0.25">
      <c r="A52" s="1"/>
      <c r="B52" s="1"/>
      <c r="C52" s="1"/>
      <c r="D52" s="1"/>
      <c r="E52" s="1"/>
      <c r="F52" s="1"/>
      <c r="G52" s="7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</row>
    <row r="53" spans="1:49" x14ac:dyDescent="0.25">
      <c r="A53" s="1"/>
      <c r="B53" s="1"/>
      <c r="C53" s="1"/>
      <c r="D53" s="1"/>
      <c r="E53" s="1"/>
      <c r="F53" s="1"/>
      <c r="G53" s="7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</row>
    <row r="54" spans="1:49" x14ac:dyDescent="0.25">
      <c r="A54" s="1"/>
      <c r="B54" s="1"/>
      <c r="C54" s="1"/>
      <c r="D54" s="1"/>
      <c r="E54" s="1"/>
      <c r="F54" s="1"/>
      <c r="G54" s="7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</row>
    <row r="55" spans="1:49" x14ac:dyDescent="0.25">
      <c r="A55" s="1"/>
      <c r="B55" s="1"/>
      <c r="C55" s="1"/>
      <c r="D55" s="1"/>
      <c r="E55" s="1"/>
      <c r="F55" s="1"/>
      <c r="G55" s="7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</row>
    <row r="56" spans="1:49" x14ac:dyDescent="0.25">
      <c r="A56" s="1"/>
      <c r="B56" s="1"/>
      <c r="C56" s="1"/>
      <c r="D56" s="1"/>
      <c r="E56" s="1"/>
      <c r="F56" s="1"/>
      <c r="G56" s="7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</row>
    <row r="57" spans="1:49" x14ac:dyDescent="0.25">
      <c r="A57" s="1"/>
      <c r="B57" s="1"/>
      <c r="C57" s="1"/>
      <c r="D57" s="1"/>
      <c r="E57" s="1"/>
      <c r="F57" s="1"/>
      <c r="G57" s="7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</row>
    <row r="58" spans="1:49" x14ac:dyDescent="0.25">
      <c r="A58" s="1"/>
      <c r="B58" s="1"/>
      <c r="C58" s="1"/>
      <c r="D58" s="1"/>
      <c r="E58" s="1"/>
      <c r="F58" s="1"/>
      <c r="G58" s="7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</row>
    <row r="59" spans="1:49" x14ac:dyDescent="0.25">
      <c r="A59" s="1"/>
      <c r="B59" s="1"/>
      <c r="C59" s="1"/>
      <c r="D59" s="1"/>
      <c r="E59" s="1"/>
      <c r="F59" s="1"/>
      <c r="G59" s="7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</row>
    <row r="60" spans="1:49" x14ac:dyDescent="0.25">
      <c r="A60" s="1"/>
      <c r="B60" s="1"/>
      <c r="C60" s="1"/>
      <c r="D60" s="1"/>
      <c r="E60" s="1"/>
      <c r="F60" s="1"/>
      <c r="G60" s="7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</row>
    <row r="61" spans="1:49" x14ac:dyDescent="0.25">
      <c r="A61" s="1"/>
      <c r="B61" s="1"/>
      <c r="C61" s="1"/>
      <c r="D61" s="1"/>
      <c r="E61" s="1"/>
      <c r="F61" s="1"/>
      <c r="G61" s="7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</row>
    <row r="62" spans="1:49" x14ac:dyDescent="0.25">
      <c r="A62" s="1"/>
      <c r="B62" s="1"/>
      <c r="C62" s="1"/>
      <c r="D62" s="1"/>
      <c r="E62" s="1"/>
      <c r="F62" s="1"/>
      <c r="G62" s="7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</row>
    <row r="63" spans="1:49" x14ac:dyDescent="0.25">
      <c r="A63" s="1"/>
      <c r="B63" s="1"/>
      <c r="C63" s="1"/>
      <c r="D63" s="1"/>
      <c r="E63" s="1"/>
      <c r="F63" s="1"/>
      <c r="G63" s="7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</row>
    <row r="64" spans="1:49" x14ac:dyDescent="0.25">
      <c r="A64" s="1"/>
      <c r="B64" s="1"/>
      <c r="C64" s="1"/>
      <c r="D64" s="1"/>
      <c r="E64" s="1"/>
      <c r="F64" s="1"/>
      <c r="G64" s="7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</row>
    <row r="65" spans="1:49" x14ac:dyDescent="0.25">
      <c r="A65" s="1"/>
      <c r="B65" s="1"/>
      <c r="C65" s="1"/>
      <c r="D65" s="1"/>
      <c r="E65" s="1"/>
      <c r="F65" s="1"/>
      <c r="G65" s="7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</row>
    <row r="66" spans="1:49" x14ac:dyDescent="0.25">
      <c r="A66" s="1"/>
      <c r="B66" s="1"/>
      <c r="C66" s="1"/>
      <c r="D66" s="1"/>
      <c r="E66" s="1"/>
      <c r="F66" s="1"/>
      <c r="G66" s="7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</row>
    <row r="67" spans="1:49" x14ac:dyDescent="0.25">
      <c r="A67" s="1"/>
      <c r="B67" s="1"/>
      <c r="C67" s="1"/>
      <c r="D67" s="1"/>
      <c r="E67" s="1"/>
      <c r="F67" s="1"/>
      <c r="G67" s="7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</row>
    <row r="68" spans="1:49" x14ac:dyDescent="0.25">
      <c r="A68" s="1"/>
      <c r="B68" s="1"/>
      <c r="C68" s="1"/>
      <c r="D68" s="1"/>
      <c r="E68" s="1"/>
      <c r="F68" s="1"/>
      <c r="G68" s="7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</row>
    <row r="69" spans="1:49" x14ac:dyDescent="0.25">
      <c r="A69" s="1"/>
      <c r="B69" s="1"/>
      <c r="C69" s="1"/>
      <c r="D69" s="1"/>
      <c r="E69" s="1"/>
      <c r="F69" s="1"/>
      <c r="G69" s="7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</row>
    <row r="70" spans="1:49" x14ac:dyDescent="0.25">
      <c r="A70" s="1"/>
      <c r="B70" s="1"/>
      <c r="C70" s="1"/>
      <c r="D70" s="1"/>
      <c r="E70" s="1"/>
      <c r="F70" s="1"/>
      <c r="G70" s="7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</row>
    <row r="71" spans="1:49" x14ac:dyDescent="0.25">
      <c r="A71" s="1"/>
      <c r="B71" s="1"/>
      <c r="C71" s="1"/>
      <c r="D71" s="1"/>
      <c r="E71" s="1"/>
      <c r="F71" s="1"/>
      <c r="G71" s="7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</row>
    <row r="72" spans="1:49" x14ac:dyDescent="0.25">
      <c r="A72" s="1"/>
      <c r="B72" s="1"/>
      <c r="C72" s="1"/>
      <c r="D72" s="1"/>
      <c r="E72" s="1"/>
      <c r="F72" s="1"/>
      <c r="G72" s="7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</row>
    <row r="73" spans="1:49" x14ac:dyDescent="0.25">
      <c r="A73" s="1"/>
      <c r="B73" s="1"/>
      <c r="C73" s="1"/>
      <c r="D73" s="1"/>
      <c r="E73" s="1"/>
      <c r="F73" s="1"/>
      <c r="G73" s="7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</row>
    <row r="74" spans="1:49" x14ac:dyDescent="0.25">
      <c r="A74" s="1"/>
      <c r="B74" s="1"/>
      <c r="C74" s="1"/>
      <c r="D74" s="1"/>
      <c r="E74" s="1"/>
      <c r="F74" s="1"/>
      <c r="G74" s="7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</row>
    <row r="75" spans="1:49" x14ac:dyDescent="0.25">
      <c r="A75" s="1"/>
      <c r="B75" s="1"/>
      <c r="C75" s="1"/>
      <c r="D75" s="1"/>
      <c r="E75" s="1"/>
      <c r="F75" s="1"/>
      <c r="G75" s="7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</row>
    <row r="76" spans="1:49" x14ac:dyDescent="0.25">
      <c r="A76" s="1"/>
      <c r="B76" s="1"/>
      <c r="C76" s="1"/>
      <c r="D76" s="1"/>
      <c r="E76" s="1"/>
      <c r="F76" s="1"/>
      <c r="G76" s="7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</row>
    <row r="77" spans="1:49" x14ac:dyDescent="0.25">
      <c r="A77" s="1"/>
      <c r="B77" s="1"/>
      <c r="C77" s="1"/>
      <c r="D77" s="1"/>
      <c r="E77" s="1"/>
      <c r="F77" s="1"/>
      <c r="G77" s="7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</row>
    <row r="78" spans="1:49" x14ac:dyDescent="0.25">
      <c r="A78" s="1"/>
      <c r="B78" s="1"/>
      <c r="C78" s="1"/>
      <c r="D78" s="1"/>
      <c r="E78" s="1"/>
      <c r="F78" s="1"/>
      <c r="G78" s="7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</row>
    <row r="79" spans="1:49" x14ac:dyDescent="0.25">
      <c r="A79" s="1"/>
      <c r="B79" s="1"/>
      <c r="C79" s="1"/>
      <c r="D79" s="1"/>
      <c r="E79" s="1"/>
      <c r="F79" s="1"/>
      <c r="G79" s="7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</row>
    <row r="80" spans="1:49" x14ac:dyDescent="0.25">
      <c r="A80" s="1"/>
      <c r="B80" s="1"/>
      <c r="C80" s="1"/>
      <c r="D80" s="1"/>
      <c r="E80" s="1"/>
      <c r="F80" s="1"/>
      <c r="G80" s="7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</row>
    <row r="81" spans="1:49" x14ac:dyDescent="0.25">
      <c r="A81" s="1"/>
      <c r="B81" s="1"/>
      <c r="C81" s="1"/>
      <c r="D81" s="1"/>
      <c r="E81" s="1"/>
      <c r="F81" s="1"/>
      <c r="G81" s="7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</row>
    <row r="82" spans="1:49" x14ac:dyDescent="0.25">
      <c r="A82" s="1"/>
      <c r="B82" s="1"/>
      <c r="C82" s="1"/>
      <c r="D82" s="1"/>
      <c r="E82" s="1"/>
      <c r="F82" s="1"/>
      <c r="G82" s="7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</row>
    <row r="83" spans="1:49" x14ac:dyDescent="0.25">
      <c r="A83" s="1"/>
      <c r="B83" s="1"/>
      <c r="C83" s="1"/>
      <c r="D83" s="1"/>
      <c r="E83" s="1"/>
      <c r="F83" s="1"/>
      <c r="G83" s="7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</row>
    <row r="84" spans="1:49" x14ac:dyDescent="0.25">
      <c r="A84" s="1"/>
      <c r="B84" s="1"/>
      <c r="C84" s="1"/>
      <c r="D84" s="1"/>
      <c r="E84" s="1"/>
      <c r="F84" s="1"/>
      <c r="G84" s="7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</row>
    <row r="85" spans="1:49" x14ac:dyDescent="0.25">
      <c r="A85" s="1"/>
      <c r="B85" s="1"/>
      <c r="C85" s="1"/>
      <c r="D85" s="1"/>
      <c r="E85" s="1"/>
      <c r="F85" s="1"/>
      <c r="G85" s="7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</row>
    <row r="86" spans="1:49" x14ac:dyDescent="0.25">
      <c r="A86" s="1"/>
      <c r="B86" s="1"/>
      <c r="C86" s="1"/>
      <c r="D86" s="1"/>
      <c r="E86" s="1"/>
      <c r="F86" s="1"/>
      <c r="G86" s="7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</row>
    <row r="87" spans="1:49" x14ac:dyDescent="0.25">
      <c r="A87" s="1"/>
      <c r="B87" s="1"/>
      <c r="C87" s="1"/>
      <c r="D87" s="1"/>
      <c r="E87" s="1"/>
      <c r="F87" s="1"/>
      <c r="G87" s="7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</row>
    <row r="88" spans="1:49" x14ac:dyDescent="0.25">
      <c r="A88" s="1"/>
      <c r="B88" s="1"/>
      <c r="C88" s="1"/>
      <c r="D88" s="1"/>
      <c r="E88" s="1"/>
      <c r="F88" s="1"/>
      <c r="G88" s="7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</row>
    <row r="89" spans="1:49" x14ac:dyDescent="0.25">
      <c r="A89" s="1"/>
      <c r="B89" s="1"/>
      <c r="C89" s="1"/>
      <c r="D89" s="1"/>
      <c r="E89" s="1"/>
      <c r="F89" s="1"/>
      <c r="G89" s="7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</row>
    <row r="90" spans="1:49" x14ac:dyDescent="0.25">
      <c r="A90" s="1"/>
      <c r="B90" s="1"/>
      <c r="C90" s="1"/>
      <c r="D90" s="1"/>
      <c r="E90" s="1"/>
      <c r="F90" s="1"/>
      <c r="G90" s="7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</row>
    <row r="91" spans="1:49" x14ac:dyDescent="0.25">
      <c r="A91" s="1"/>
      <c r="B91" s="1"/>
      <c r="C91" s="1"/>
      <c r="D91" s="1"/>
      <c r="E91" s="1"/>
      <c r="F91" s="1"/>
      <c r="G91" s="7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</row>
    <row r="92" spans="1:49" x14ac:dyDescent="0.25">
      <c r="A92" s="1"/>
      <c r="B92" s="1"/>
      <c r="C92" s="1"/>
      <c r="D92" s="1"/>
      <c r="E92" s="1"/>
      <c r="F92" s="1"/>
      <c r="G92" s="7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</row>
    <row r="93" spans="1:49" x14ac:dyDescent="0.25">
      <c r="A93" s="1"/>
      <c r="B93" s="1"/>
      <c r="C93" s="1"/>
      <c r="D93" s="1"/>
      <c r="E93" s="1"/>
      <c r="F93" s="1"/>
      <c r="G93" s="7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</row>
    <row r="94" spans="1:49" x14ac:dyDescent="0.25">
      <c r="A94" s="1"/>
      <c r="B94" s="1"/>
      <c r="C94" s="1"/>
      <c r="D94" s="1"/>
      <c r="E94" s="1"/>
      <c r="F94" s="1"/>
      <c r="G94" s="7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</row>
    <row r="95" spans="1:49" x14ac:dyDescent="0.25">
      <c r="A95" s="1"/>
      <c r="B95" s="1"/>
      <c r="C95" s="1"/>
      <c r="D95" s="1"/>
      <c r="E95" s="1"/>
      <c r="F95" s="1"/>
      <c r="G95" s="7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</row>
    <row r="96" spans="1:49" x14ac:dyDescent="0.25">
      <c r="A96" s="1"/>
      <c r="B96" s="1"/>
      <c r="C96" s="1"/>
      <c r="D96" s="1"/>
      <c r="E96" s="1"/>
      <c r="F96" s="1"/>
      <c r="G96" s="7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</row>
    <row r="97" spans="1:49" x14ac:dyDescent="0.25">
      <c r="A97" s="1"/>
      <c r="B97" s="1"/>
      <c r="C97" s="1"/>
      <c r="D97" s="1"/>
      <c r="E97" s="1"/>
      <c r="F97" s="1"/>
      <c r="G97" s="7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</row>
    <row r="98" spans="1:49" x14ac:dyDescent="0.25">
      <c r="A98" s="1"/>
      <c r="B98" s="1"/>
      <c r="C98" s="1"/>
      <c r="D98" s="1"/>
      <c r="E98" s="1"/>
      <c r="F98" s="1"/>
      <c r="G98" s="7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</row>
    <row r="99" spans="1:49" x14ac:dyDescent="0.25">
      <c r="A99" s="1"/>
      <c r="B99" s="1"/>
      <c r="C99" s="1"/>
      <c r="D99" s="1"/>
      <c r="E99" s="1"/>
      <c r="F99" s="1"/>
      <c r="G99" s="7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</row>
    <row r="100" spans="1:49" x14ac:dyDescent="0.25">
      <c r="A100" s="1"/>
      <c r="B100" s="1"/>
      <c r="C100" s="1"/>
      <c r="D100" s="1"/>
      <c r="E100" s="1"/>
      <c r="F100" s="1"/>
      <c r="G100" s="7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</row>
    <row r="101" spans="1:49" x14ac:dyDescent="0.25">
      <c r="A101" s="1"/>
      <c r="B101" s="1"/>
      <c r="C101" s="1"/>
      <c r="D101" s="1"/>
      <c r="E101" s="1"/>
      <c r="F101" s="1"/>
      <c r="G101" s="7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</row>
    <row r="102" spans="1:49" x14ac:dyDescent="0.25">
      <c r="A102" s="1"/>
      <c r="B102" s="1"/>
      <c r="C102" s="1"/>
      <c r="D102" s="1"/>
      <c r="E102" s="1"/>
      <c r="F102" s="1"/>
      <c r="G102" s="7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</row>
    <row r="103" spans="1:49" x14ac:dyDescent="0.25">
      <c r="A103" s="1"/>
      <c r="B103" s="1"/>
      <c r="C103" s="1"/>
      <c r="D103" s="1"/>
      <c r="E103" s="1"/>
      <c r="F103" s="1"/>
      <c r="G103" s="7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</row>
    <row r="104" spans="1:49" x14ac:dyDescent="0.25">
      <c r="A104" s="1"/>
      <c r="B104" s="1"/>
      <c r="C104" s="1"/>
      <c r="D104" s="1"/>
      <c r="E104" s="1"/>
      <c r="F104" s="1"/>
      <c r="G104" s="7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</row>
    <row r="105" spans="1:49" x14ac:dyDescent="0.25">
      <c r="A105" s="1"/>
      <c r="B105" s="1"/>
      <c r="C105" s="1"/>
      <c r="D105" s="1"/>
      <c r="E105" s="1"/>
      <c r="F105" s="1"/>
      <c r="G105" s="7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</row>
    <row r="106" spans="1:49" x14ac:dyDescent="0.25">
      <c r="A106" s="1"/>
      <c r="B106" s="1"/>
      <c r="C106" s="1"/>
      <c r="D106" s="1"/>
      <c r="E106" s="1"/>
      <c r="F106" s="1"/>
      <c r="G106" s="7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</row>
    <row r="107" spans="1:49" x14ac:dyDescent="0.25">
      <c r="A107" s="1"/>
      <c r="B107" s="1"/>
      <c r="C107" s="1"/>
      <c r="D107" s="1"/>
      <c r="E107" s="1"/>
      <c r="F107" s="1"/>
      <c r="G107" s="7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</row>
    <row r="108" spans="1:49" x14ac:dyDescent="0.25">
      <c r="A108" s="1"/>
      <c r="B108" s="1"/>
      <c r="C108" s="1"/>
      <c r="D108" s="1"/>
      <c r="E108" s="1"/>
      <c r="F108" s="1"/>
      <c r="G108" s="7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</row>
    <row r="109" spans="1:49" x14ac:dyDescent="0.25">
      <c r="A109" s="1"/>
      <c r="B109" s="1"/>
      <c r="C109" s="1"/>
      <c r="D109" s="1"/>
      <c r="E109" s="1"/>
      <c r="F109" s="1"/>
      <c r="G109" s="7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</row>
    <row r="110" spans="1:49" x14ac:dyDescent="0.25">
      <c r="A110" s="1"/>
      <c r="B110" s="1"/>
      <c r="C110" s="1"/>
      <c r="D110" s="1"/>
      <c r="E110" s="1"/>
      <c r="F110" s="1"/>
      <c r="G110" s="7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</row>
    <row r="111" spans="1:49" x14ac:dyDescent="0.25">
      <c r="A111" s="1"/>
      <c r="B111" s="1"/>
      <c r="C111" s="1"/>
      <c r="D111" s="1"/>
      <c r="E111" s="1"/>
      <c r="F111" s="1"/>
      <c r="G111" s="7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</row>
    <row r="112" spans="1:49" x14ac:dyDescent="0.25">
      <c r="A112" s="1"/>
      <c r="B112" s="1"/>
      <c r="C112" s="1"/>
      <c r="D112" s="1"/>
      <c r="E112" s="1"/>
      <c r="F112" s="1"/>
      <c r="G112" s="7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</row>
    <row r="113" spans="1:49" x14ac:dyDescent="0.25">
      <c r="A113" s="1"/>
      <c r="B113" s="1"/>
      <c r="C113" s="1"/>
      <c r="D113" s="1"/>
      <c r="E113" s="1"/>
      <c r="F113" s="1"/>
      <c r="G113" s="7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</row>
    <row r="114" spans="1:49" x14ac:dyDescent="0.25">
      <c r="A114" s="1"/>
      <c r="B114" s="1"/>
      <c r="C114" s="1"/>
      <c r="D114" s="1"/>
      <c r="E114" s="1"/>
      <c r="F114" s="1"/>
      <c r="G114" s="7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</row>
    <row r="115" spans="1:49" x14ac:dyDescent="0.25">
      <c r="A115" s="1"/>
      <c r="B115" s="1"/>
      <c r="C115" s="1"/>
      <c r="D115" s="1"/>
      <c r="E115" s="1"/>
      <c r="F115" s="1"/>
      <c r="G115" s="7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</row>
    <row r="116" spans="1:49" x14ac:dyDescent="0.25">
      <c r="A116" s="1"/>
      <c r="B116" s="1"/>
      <c r="C116" s="1"/>
      <c r="D116" s="1"/>
      <c r="E116" s="1"/>
      <c r="F116" s="1"/>
      <c r="G116" s="7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</row>
    <row r="117" spans="1:49" x14ac:dyDescent="0.25">
      <c r="A117" s="1"/>
      <c r="B117" s="1"/>
      <c r="C117" s="1"/>
      <c r="D117" s="1"/>
      <c r="E117" s="1"/>
      <c r="F117" s="1"/>
      <c r="G117" s="7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</row>
    <row r="118" spans="1:49" x14ac:dyDescent="0.25">
      <c r="A118" s="1"/>
      <c r="B118" s="1"/>
      <c r="C118" s="1"/>
      <c r="D118" s="1"/>
      <c r="E118" s="1"/>
      <c r="F118" s="1"/>
      <c r="G118" s="7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</row>
    <row r="119" spans="1:49" x14ac:dyDescent="0.25">
      <c r="A119" s="1"/>
      <c r="B119" s="1"/>
      <c r="C119" s="1"/>
      <c r="D119" s="1"/>
      <c r="E119" s="1"/>
      <c r="F119" s="1"/>
      <c r="G119" s="7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</row>
    <row r="120" spans="1:49" x14ac:dyDescent="0.25">
      <c r="A120" s="1"/>
      <c r="B120" s="1"/>
      <c r="C120" s="1"/>
      <c r="D120" s="1"/>
      <c r="E120" s="1"/>
      <c r="F120" s="1"/>
      <c r="G120" s="7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</row>
    <row r="121" spans="1:49" x14ac:dyDescent="0.25">
      <c r="A121" s="1"/>
      <c r="B121" s="1"/>
      <c r="C121" s="1"/>
      <c r="D121" s="1"/>
      <c r="E121" s="1"/>
      <c r="F121" s="1"/>
      <c r="G121" s="7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</row>
    <row r="122" spans="1:49" x14ac:dyDescent="0.25">
      <c r="A122" s="1"/>
      <c r="B122" s="1"/>
      <c r="C122" s="1"/>
      <c r="D122" s="1"/>
      <c r="E122" s="1"/>
      <c r="F122" s="1"/>
      <c r="G122" s="7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</row>
    <row r="123" spans="1:49" x14ac:dyDescent="0.25">
      <c r="A123" s="1"/>
      <c r="B123" s="1"/>
      <c r="C123" s="1"/>
      <c r="D123" s="1"/>
      <c r="E123" s="1"/>
      <c r="F123" s="1"/>
      <c r="G123" s="7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</row>
    <row r="124" spans="1:49" x14ac:dyDescent="0.25">
      <c r="A124" s="1"/>
      <c r="B124" s="1"/>
      <c r="C124" s="1"/>
      <c r="D124" s="1"/>
      <c r="E124" s="1"/>
      <c r="F124" s="1"/>
      <c r="G124" s="7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</row>
    <row r="125" spans="1:49" x14ac:dyDescent="0.25">
      <c r="A125" s="1"/>
      <c r="B125" s="1"/>
      <c r="C125" s="1"/>
      <c r="D125" s="1"/>
      <c r="E125" s="1"/>
      <c r="F125" s="1"/>
      <c r="G125" s="7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</row>
    <row r="126" spans="1:49" x14ac:dyDescent="0.25">
      <c r="A126" s="1"/>
      <c r="B126" s="1"/>
      <c r="C126" s="1"/>
      <c r="D126" s="1"/>
      <c r="E126" s="1"/>
      <c r="F126" s="1"/>
      <c r="G126" s="7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</row>
    <row r="127" spans="1:49" x14ac:dyDescent="0.25">
      <c r="A127" s="1"/>
      <c r="B127" s="1"/>
      <c r="C127" s="1"/>
      <c r="D127" s="1"/>
      <c r="E127" s="1"/>
      <c r="F127" s="1"/>
      <c r="G127" s="7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</row>
    <row r="128" spans="1:49" x14ac:dyDescent="0.25">
      <c r="A128" s="1"/>
      <c r="B128" s="1"/>
      <c r="C128" s="1"/>
      <c r="D128" s="1"/>
      <c r="E128" s="1"/>
      <c r="F128" s="1"/>
      <c r="G128" s="7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</row>
    <row r="129" spans="1:49" x14ac:dyDescent="0.25">
      <c r="A129" s="1"/>
      <c r="B129" s="1"/>
      <c r="C129" s="1"/>
      <c r="D129" s="1"/>
      <c r="E129" s="1"/>
      <c r="F129" s="1"/>
      <c r="G129" s="7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</row>
    <row r="130" spans="1:49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</row>
    <row r="131" spans="1:49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</row>
    <row r="132" spans="1:49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</row>
    <row r="133" spans="1:49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</row>
    <row r="134" spans="1:49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</row>
    <row r="135" spans="1:49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</row>
    <row r="136" spans="1:49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</row>
    <row r="137" spans="1:49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</row>
    <row r="138" spans="1:49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</row>
    <row r="139" spans="1:49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</row>
    <row r="140" spans="1:49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</row>
    <row r="141" spans="1:49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</row>
    <row r="142" spans="1:49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</row>
    <row r="143" spans="1:49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</row>
    <row r="144" spans="1:49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</row>
    <row r="145" spans="1:49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</row>
    <row r="146" spans="1:49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</row>
    <row r="147" spans="1:49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</row>
    <row r="148" spans="1:49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</row>
    <row r="149" spans="1:49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</row>
    <row r="150" spans="1:49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</row>
    <row r="151" spans="1:49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</row>
    <row r="152" spans="1:49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</row>
    <row r="153" spans="1:49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</row>
    <row r="154" spans="1:49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</row>
    <row r="155" spans="1:49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</row>
    <row r="156" spans="1:49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</row>
    <row r="157" spans="1:49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</row>
    <row r="158" spans="1:49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</row>
    <row r="159" spans="1:49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</row>
    <row r="160" spans="1:49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</row>
    <row r="161" spans="1:49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</row>
    <row r="162" spans="1:49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</row>
    <row r="163" spans="1:49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</row>
    <row r="164" spans="1:49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</row>
    <row r="165" spans="1:49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</row>
    <row r="166" spans="1:49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</row>
    <row r="167" spans="1:49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</row>
    <row r="168" spans="1:49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</row>
    <row r="169" spans="1:49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</row>
    <row r="170" spans="1:49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</row>
    <row r="171" spans="1:49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</row>
    <row r="172" spans="1:49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</row>
    <row r="173" spans="1:49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</row>
    <row r="174" spans="1:49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</row>
    <row r="175" spans="1:49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</row>
    <row r="176" spans="1:49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</row>
    <row r="177" spans="1:49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</row>
    <row r="178" spans="1:49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</row>
    <row r="179" spans="1:49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</row>
    <row r="180" spans="1:49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</row>
    <row r="181" spans="1:49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</row>
    <row r="182" spans="1:49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</row>
    <row r="183" spans="1:49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</row>
    <row r="184" spans="1:49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</row>
    <row r="185" spans="1:49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</row>
    <row r="186" spans="1:49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</row>
    <row r="187" spans="1:49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</row>
    <row r="188" spans="1:49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</row>
    <row r="189" spans="1:49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</row>
    <row r="190" spans="1:49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</row>
    <row r="191" spans="1:49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</row>
    <row r="192" spans="1:49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</row>
    <row r="193" spans="1:49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</row>
    <row r="194" spans="1:49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</row>
    <row r="195" spans="1:49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</row>
    <row r="196" spans="1:49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</row>
    <row r="197" spans="1:49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</row>
    <row r="198" spans="1:49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</row>
    <row r="199" spans="1:49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</row>
    <row r="200" spans="1:49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</row>
    <row r="201" spans="1:49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</row>
    <row r="202" spans="1:49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</row>
    <row r="203" spans="1:49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</row>
    <row r="204" spans="1:49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</row>
    <row r="205" spans="1:49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</row>
    <row r="206" spans="1:49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</row>
    <row r="207" spans="1:49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</row>
    <row r="208" spans="1:49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</row>
    <row r="209" spans="1:49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</row>
    <row r="210" spans="1:49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</row>
    <row r="211" spans="1:49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</row>
    <row r="212" spans="1:49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</row>
    <row r="213" spans="1:49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</row>
    <row r="214" spans="1:49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</row>
    <row r="215" spans="1:49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</row>
    <row r="216" spans="1:49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</row>
    <row r="217" spans="1:49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</row>
    <row r="218" spans="1:49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</row>
    <row r="219" spans="1:49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</row>
    <row r="220" spans="1:49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</row>
    <row r="221" spans="1:49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</row>
    <row r="222" spans="1:49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</row>
    <row r="223" spans="1:49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</row>
    <row r="224" spans="1:49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</row>
    <row r="225" spans="1:49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</row>
    <row r="226" spans="1:49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</row>
    <row r="227" spans="1:49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</row>
    <row r="228" spans="1:49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</row>
    <row r="229" spans="1:49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</row>
    <row r="230" spans="1:49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</row>
    <row r="231" spans="1:49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</row>
    <row r="232" spans="1:49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</row>
    <row r="233" spans="1:49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</row>
    <row r="234" spans="1:49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</row>
    <row r="235" spans="1:49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</row>
    <row r="236" spans="1:49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</row>
    <row r="237" spans="1:49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</row>
    <row r="238" spans="1:49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</row>
    <row r="239" spans="1:49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</row>
    <row r="240" spans="1:49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</row>
    <row r="241" spans="1:49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</row>
    <row r="242" spans="1:49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</row>
    <row r="243" spans="1:49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</row>
    <row r="244" spans="1:49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</row>
    <row r="245" spans="1:49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</row>
    <row r="246" spans="1:49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</row>
    <row r="247" spans="1:49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</row>
    <row r="248" spans="1:49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</row>
    <row r="249" spans="1:49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</row>
    <row r="250" spans="1:49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</row>
    <row r="251" spans="1:49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</row>
    <row r="252" spans="1:49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</row>
    <row r="253" spans="1:49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</row>
    <row r="254" spans="1:49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</row>
    <row r="255" spans="1:49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</row>
    <row r="256" spans="1:49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</row>
    <row r="257" spans="1:49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</row>
    <row r="258" spans="1:49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</row>
    <row r="259" spans="1:49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</row>
    <row r="260" spans="1:49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</row>
    <row r="261" spans="1:49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</row>
    <row r="262" spans="1:49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</row>
    <row r="263" spans="1:49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</row>
    <row r="264" spans="1:49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</row>
    <row r="265" spans="1:49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</row>
    <row r="266" spans="1:49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</row>
    <row r="267" spans="1:49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</row>
    <row r="268" spans="1:49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</row>
    <row r="269" spans="1:49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</row>
    <row r="270" spans="1:49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</row>
    <row r="271" spans="1:49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</row>
    <row r="272" spans="1:49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</row>
    <row r="273" spans="1:49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</row>
    <row r="274" spans="1:49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</row>
    <row r="275" spans="1:49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</row>
    <row r="276" spans="1:49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</row>
    <row r="277" spans="1:49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</row>
    <row r="278" spans="1:49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</row>
    <row r="279" spans="1:49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</row>
    <row r="280" spans="1:49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</row>
    <row r="281" spans="1:49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</row>
    <row r="282" spans="1:49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</row>
    <row r="283" spans="1:49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</row>
    <row r="284" spans="1:49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</row>
    <row r="285" spans="1:49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</row>
    <row r="286" spans="1:49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</row>
    <row r="287" spans="1:49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</row>
    <row r="288" spans="1:49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</row>
    <row r="289" spans="1:49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</row>
    <row r="290" spans="1:49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</row>
    <row r="291" spans="1:49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</row>
    <row r="292" spans="1:49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</row>
    <row r="293" spans="1:49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</row>
    <row r="294" spans="1:49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</row>
    <row r="295" spans="1:49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</row>
    <row r="296" spans="1:49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</row>
    <row r="297" spans="1:49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</row>
    <row r="298" spans="1:49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</row>
    <row r="299" spans="1:49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</row>
    <row r="300" spans="1:49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</row>
    <row r="301" spans="1:49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</row>
    <row r="302" spans="1:49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</row>
    <row r="303" spans="1:49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</row>
    <row r="304" spans="1:49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</row>
    <row r="305" spans="1:49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</row>
    <row r="306" spans="1:49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</row>
    <row r="307" spans="1:49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</row>
    <row r="308" spans="1:49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</row>
    <row r="309" spans="1:49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</row>
    <row r="310" spans="1:49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</row>
    <row r="311" spans="1:49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</row>
    <row r="312" spans="1:49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</row>
    <row r="313" spans="1:49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</row>
    <row r="314" spans="1:49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</row>
    <row r="315" spans="1:49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</row>
    <row r="316" spans="1:49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</row>
    <row r="317" spans="1:49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</row>
    <row r="318" spans="1:49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</row>
    <row r="319" spans="1:49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</row>
    <row r="320" spans="1:49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</row>
    <row r="321" spans="1:49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</row>
    <row r="322" spans="1:49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</row>
    <row r="323" spans="1:49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</row>
    <row r="324" spans="1:49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</row>
    <row r="325" spans="1:49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</row>
    <row r="326" spans="1:49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</row>
    <row r="327" spans="1:49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</row>
    <row r="328" spans="1:49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</row>
    <row r="329" spans="1:49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</row>
    <row r="330" spans="1:49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</row>
    <row r="331" spans="1:49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</row>
    <row r="332" spans="1:49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</row>
    <row r="333" spans="1:49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</row>
    <row r="334" spans="1:49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</row>
    <row r="335" spans="1:49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</row>
    <row r="336" spans="1:49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</row>
    <row r="337" spans="1:49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</row>
    <row r="338" spans="1:49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</row>
    <row r="339" spans="1:49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</row>
    <row r="340" spans="1:49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</row>
    <row r="341" spans="1:49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</row>
    <row r="342" spans="1:49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</row>
    <row r="343" spans="1:49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</row>
    <row r="344" spans="1:49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</row>
    <row r="345" spans="1:49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</row>
    <row r="346" spans="1:49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</row>
    <row r="347" spans="1:49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</row>
    <row r="348" spans="1:49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</row>
    <row r="349" spans="1:49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</row>
    <row r="350" spans="1:49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</row>
    <row r="351" spans="1:49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</row>
    <row r="352" spans="1:49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</row>
    <row r="353" spans="1:49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</row>
    <row r="354" spans="1:49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</row>
    <row r="355" spans="1:49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</row>
    <row r="356" spans="1:49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</row>
    <row r="357" spans="1:49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</row>
    <row r="358" spans="1:49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</row>
    <row r="359" spans="1:49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</row>
    <row r="360" spans="1:49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</row>
    <row r="361" spans="1:49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</row>
    <row r="362" spans="1:49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</row>
    <row r="363" spans="1:49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</row>
    <row r="364" spans="1:49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</row>
    <row r="365" spans="1:49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</row>
    <row r="366" spans="1:49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</row>
    <row r="367" spans="1:49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</row>
    <row r="368" spans="1:49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</row>
    <row r="369" spans="1:49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</row>
    <row r="370" spans="1:49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</row>
    <row r="371" spans="1:49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</row>
    <row r="372" spans="1:49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</row>
    <row r="373" spans="1:49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</row>
    <row r="374" spans="1:49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</row>
    <row r="375" spans="1:49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</row>
    <row r="376" spans="1:49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</row>
    <row r="377" spans="1:49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</row>
    <row r="378" spans="1:49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</row>
    <row r="379" spans="1:49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</row>
    <row r="380" spans="1:49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</row>
    <row r="381" spans="1:49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</row>
    <row r="382" spans="1:49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</row>
    <row r="383" spans="1:49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</row>
    <row r="384" spans="1:49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</row>
    <row r="385" spans="1:49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</row>
    <row r="386" spans="1:49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</row>
    <row r="387" spans="1:49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</row>
    <row r="388" spans="1:49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</row>
    <row r="389" spans="1:49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</row>
    <row r="390" spans="1:49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</row>
    <row r="391" spans="1:49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</row>
    <row r="392" spans="1:49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</row>
    <row r="393" spans="1:49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</row>
    <row r="394" spans="1:49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</row>
    <row r="395" spans="1:49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</row>
    <row r="396" spans="1:49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</row>
    <row r="397" spans="1:49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</row>
    <row r="398" spans="1:49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</row>
    <row r="399" spans="1:49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</row>
    <row r="400" spans="1:49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</row>
    <row r="401" spans="1:49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</row>
    <row r="402" spans="1:49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</row>
    <row r="403" spans="1:49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</row>
    <row r="404" spans="1:49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</row>
    <row r="405" spans="1:49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</row>
    <row r="406" spans="1:49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</row>
    <row r="407" spans="1:49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</row>
    <row r="408" spans="1:49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</row>
    <row r="409" spans="1:49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</row>
    <row r="410" spans="1:49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</row>
    <row r="411" spans="1:49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</row>
    <row r="412" spans="1:49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</row>
    <row r="413" spans="1:49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</row>
    <row r="414" spans="1:49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</row>
    <row r="415" spans="1:49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</row>
    <row r="416" spans="1:49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</row>
    <row r="417" spans="1:49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</row>
    <row r="418" spans="1:49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</row>
    <row r="419" spans="1:49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</row>
    <row r="420" spans="1:49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</row>
    <row r="421" spans="1:49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</row>
    <row r="422" spans="1:49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</row>
    <row r="423" spans="1:49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</row>
    <row r="424" spans="1:49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</row>
    <row r="425" spans="1:49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</row>
    <row r="426" spans="1:49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</row>
    <row r="427" spans="1:49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</row>
    <row r="428" spans="1:49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</row>
    <row r="429" spans="1:49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</row>
    <row r="430" spans="1:49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</row>
    <row r="431" spans="1:49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</row>
    <row r="432" spans="1:49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</row>
    <row r="433" spans="1:49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</row>
    <row r="434" spans="1:49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</row>
    <row r="435" spans="1:49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</row>
    <row r="436" spans="1:49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</row>
    <row r="437" spans="1:49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</row>
    <row r="438" spans="1:49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</row>
    <row r="439" spans="1:49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</row>
    <row r="440" spans="1:49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</row>
    <row r="441" spans="1:49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</row>
    <row r="442" spans="1:49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</row>
    <row r="443" spans="1:49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</row>
    <row r="444" spans="1:49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</row>
    <row r="445" spans="1:49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</row>
    <row r="446" spans="1:49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</row>
    <row r="447" spans="1:49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</row>
    <row r="448" spans="1:49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</row>
    <row r="449" spans="1:49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</row>
    <row r="450" spans="1:49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</row>
    <row r="451" spans="1:49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</row>
    <row r="452" spans="1:49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</row>
    <row r="453" spans="1:49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</row>
    <row r="454" spans="1:49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</row>
    <row r="455" spans="1:49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</row>
    <row r="456" spans="1:49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</row>
    <row r="457" spans="1:49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</row>
    <row r="458" spans="1:49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</row>
    <row r="459" spans="1:49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</row>
    <row r="460" spans="1:49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</row>
    <row r="461" spans="1:49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</row>
    <row r="462" spans="1:49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</row>
    <row r="463" spans="1:49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</row>
    <row r="464" spans="1:49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</row>
    <row r="465" spans="1:49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</row>
    <row r="466" spans="1:49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</row>
    <row r="467" spans="1:49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</row>
    <row r="468" spans="1:49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</row>
    <row r="469" spans="1:49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</row>
    <row r="470" spans="1:49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</row>
    <row r="471" spans="1:49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</row>
    <row r="472" spans="1:49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</row>
    <row r="473" spans="1:49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</row>
    <row r="474" spans="1:49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</row>
    <row r="475" spans="1:49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</row>
    <row r="476" spans="1:49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</row>
    <row r="477" spans="1:49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</row>
    <row r="478" spans="1:49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</row>
    <row r="479" spans="1:49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</row>
    <row r="480" spans="1:49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</row>
    <row r="481" spans="1:49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</row>
    <row r="482" spans="1:49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</row>
    <row r="483" spans="1:49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</row>
    <row r="484" spans="1:49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</row>
    <row r="485" spans="1:49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</row>
    <row r="486" spans="1:49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</row>
    <row r="487" spans="1:49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</row>
    <row r="488" spans="1:49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</row>
    <row r="489" spans="1:49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</row>
    <row r="490" spans="1:49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</row>
    <row r="491" spans="1:49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</row>
    <row r="492" spans="1:49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</row>
    <row r="493" spans="1:49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</row>
    <row r="494" spans="1:49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</row>
    <row r="495" spans="1:49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</row>
    <row r="496" spans="1:49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</row>
    <row r="497" spans="1:49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</row>
    <row r="498" spans="1:49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</row>
    <row r="499" spans="1:49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</row>
    <row r="500" spans="1:49" x14ac:dyDescent="0.25">
      <c r="A500" s="1"/>
      <c r="B500" s="1"/>
      <c r="C500" s="1"/>
      <c r="D500" s="1"/>
      <c r="E500" s="1"/>
      <c r="F500" s="1"/>
      <c r="G500" s="7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</row>
  </sheetData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2026-07-13T11:16:51Z</dcterms:created>
  <dcterms:modified xsi:type="dcterms:W3CDTF">2026-07-15T09:57:52Z</dcterms:modified>
</cp:coreProperties>
</file>