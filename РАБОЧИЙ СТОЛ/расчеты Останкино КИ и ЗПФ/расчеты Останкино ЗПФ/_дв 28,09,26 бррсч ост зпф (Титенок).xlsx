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D893135-416E-4537-AAB3-797F0CDE0B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" i="1" l="1"/>
  <c r="P8" i="1"/>
  <c r="P9" i="1"/>
  <c r="P10" i="1"/>
  <c r="P11" i="1"/>
  <c r="P12" i="1"/>
  <c r="P13" i="1"/>
  <c r="P14" i="1"/>
  <c r="P15" i="1"/>
  <c r="P16" i="1"/>
  <c r="P6" i="1"/>
  <c r="AF16" i="1"/>
  <c r="L16" i="1"/>
  <c r="AF15" i="1"/>
  <c r="L15" i="1"/>
  <c r="AF14" i="1"/>
  <c r="L14" i="1"/>
  <c r="AF13" i="1"/>
  <c r="L13" i="1"/>
  <c r="AF12" i="1"/>
  <c r="L12" i="1"/>
  <c r="AF11" i="1"/>
  <c r="L11" i="1"/>
  <c r="AF10" i="1"/>
  <c r="L10" i="1"/>
  <c r="AF9" i="1"/>
  <c r="L9" i="1"/>
  <c r="AF8" i="1"/>
  <c r="L8" i="1"/>
  <c r="AF7" i="1"/>
  <c r="L7" i="1"/>
  <c r="AF6" i="1"/>
  <c r="L6" i="1"/>
  <c r="AF5" i="1"/>
  <c r="AD5" i="1"/>
  <c r="AC5" i="1"/>
  <c r="AB5" i="1"/>
  <c r="AA5" i="1"/>
  <c r="Z5" i="1"/>
  <c r="Y5" i="1"/>
  <c r="X5" i="1"/>
  <c r="W5" i="1"/>
  <c r="V5" i="1"/>
  <c r="U5" i="1"/>
  <c r="Q5" i="1"/>
  <c r="O5" i="1"/>
  <c r="N5" i="1"/>
  <c r="M5" i="1"/>
  <c r="L5" i="1"/>
  <c r="K5" i="1"/>
  <c r="F5" i="1"/>
  <c r="E5" i="1"/>
  <c r="S7" i="1" l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S6" i="1"/>
  <c r="T6" i="1"/>
  <c r="P5" i="1"/>
</calcChain>
</file>

<file path=xl/sharedStrings.xml><?xml version="1.0" encoding="utf-8"?>
<sst xmlns="http://schemas.openxmlformats.org/spreadsheetml/2006/main" count="82" uniqueCount="52">
  <si>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</si>
  <si>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</si>
  <si>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</si>
  <si>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</si>
  <si>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</si>
  <si>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</si>
  <si>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</si>
  <si>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</si>
  <si>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</si>
  <si>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</si>
  <si>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</si>
  <si>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</si>
  <si>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</si>
  <si>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</si>
  <si>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</si>
  <si>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</si>
  <si>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</si>
  <si>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</si>
  <si>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</si>
  <si>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</si>
  <si>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</si>
  <si>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</si>
  <si>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28,08,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</si>
  <si>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</si>
  <si>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</si>
  <si>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</si>
  <si>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</si>
  <si>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</si>
  <si>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</si>
  <si>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</si>
  <si>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</si>
  <si>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</si>
  <si>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</si>
  <si>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</si>
  <si>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</si>
  <si>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</si>
  <si>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</si>
  <si>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</si>
  <si>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</si>
  <si>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</si>
  <si>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</si>
  <si>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</si>
  <si>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</si>
  <si>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</si>
  <si>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</si>
  <si>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</si>
  <si>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</si>
  <si>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</si>
  <si>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</t>
  </si>
  <si>
    <t>150шт в уценку (25,09,26) / нужно увеличить продажи!!!</t>
  </si>
  <si>
    <t>138кг в уценку (25,09,26) / нужно увеличить продажи!!!</t>
  </si>
  <si>
    <t>131кг в уценку (25,09,26) / 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</si>
</sst>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4" borderId="1" xfId="1" applyNumberFormat="1" applyFont="1" applyFill="1"/>
    <xf numFmtId="164" fontId="1" fillId="0" borderId="1" xfId="1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17" sqref="Q17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6953125" customWidth="1"/>
    <col min="15" max="15" width="0.453125" customWidth="1"/>
    <col min="16" max="18" width="7" customWidth="1"/>
    <col min="19" max="20" width="5" customWidth="1"/>
    <col min="21" max="30" width="6" customWidth="1"/>
    <col min="31" max="31" width="53" customWidth="1"/>
    <col min="32" max="32" width="7" customWidth="1"/>
    <col min="33" max="48" width="8" customWidth="1"/>
  </cols>
  <sheetData>
    <row r="1" spans="1:48" x14ac:dyDescent="0.3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3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9" t="s">
        <v>48</v>
      </c>
      <c r="P4" s="1" t="s">
        <v>22</v>
      </c>
      <c r="Q4" s="1"/>
      <c r="R4" s="1"/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35">
      <c r="A5" s="1"/>
      <c r="B5" s="1"/>
      <c r="C5" s="1"/>
      <c r="D5" s="1"/>
      <c r="E5" s="4">
        <f>SUM(E6:E500)</f>
        <v>212.56</v>
      </c>
      <c r="F5" s="4">
        <f>SUM(F6:F500)</f>
        <v>1347.0140000000001</v>
      </c>
      <c r="G5" s="7"/>
      <c r="H5" s="1"/>
      <c r="I5" s="1"/>
      <c r="J5" s="1"/>
      <c r="K5" s="4">
        <f t="shared" ref="K5:Q5" si="0">SUM(K6:K500)</f>
        <v>236.5</v>
      </c>
      <c r="L5" s="4">
        <f t="shared" si="0"/>
        <v>-23.94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42.512</v>
      </c>
      <c r="Q5" s="4">
        <f t="shared" si="0"/>
        <v>1200</v>
      </c>
      <c r="R5" s="4"/>
      <c r="S5" s="1"/>
      <c r="T5" s="1"/>
      <c r="U5" s="4">
        <f t="shared" ref="U5:AD5" si="1">SUM(U6:U500)</f>
        <v>34.5184</v>
      </c>
      <c r="V5" s="4">
        <f t="shared" si="1"/>
        <v>86.467199999999991</v>
      </c>
      <c r="W5" s="4">
        <f t="shared" si="1"/>
        <v>98.542400000000001</v>
      </c>
      <c r="X5" s="4">
        <f t="shared" si="1"/>
        <v>62.4</v>
      </c>
      <c r="Y5" s="4">
        <f t="shared" si="1"/>
        <v>83.157199999999989</v>
      </c>
      <c r="Z5" s="4">
        <f t="shared" si="1"/>
        <v>41.506799999999998</v>
      </c>
      <c r="AA5" s="4">
        <f t="shared" si="1"/>
        <v>52.831200000000003</v>
      </c>
      <c r="AB5" s="4">
        <f t="shared" si="1"/>
        <v>108.29999999999998</v>
      </c>
      <c r="AC5" s="4">
        <f t="shared" si="1"/>
        <v>105.7324</v>
      </c>
      <c r="AD5" s="4">
        <f t="shared" si="1"/>
        <v>103.84479999999999</v>
      </c>
      <c r="AE5" s="1"/>
      <c r="AF5" s="4">
        <f>SUM(AF6:AF500)</f>
        <v>573.5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35">
      <c r="A6" s="1" t="s">
        <v>33</v>
      </c>
      <c r="B6" s="1" t="s">
        <v>34</v>
      </c>
      <c r="C6" s="1">
        <v>202</v>
      </c>
      <c r="D6" s="1"/>
      <c r="E6" s="1"/>
      <c r="F6" s="1">
        <v>52</v>
      </c>
      <c r="G6" s="7">
        <v>0.42</v>
      </c>
      <c r="H6" s="1">
        <v>120</v>
      </c>
      <c r="I6" s="1" t="s">
        <v>35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/>
      <c r="R6" s="11"/>
      <c r="S6" s="1" t="e">
        <f>(F6+Q6)/P6</f>
        <v>#DIV/0!</v>
      </c>
      <c r="T6" s="1" t="e">
        <f>F6/P6</f>
        <v>#DIV/0!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0" t="s">
        <v>49</v>
      </c>
      <c r="AF6" s="1">
        <f t="shared" ref="AF6:AF16" si="3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35">
      <c r="A7" s="1" t="s">
        <v>37</v>
      </c>
      <c r="B7" s="1" t="s">
        <v>38</v>
      </c>
      <c r="C7" s="1">
        <v>73.664000000000001</v>
      </c>
      <c r="D7" s="1"/>
      <c r="E7" s="1"/>
      <c r="F7" s="1">
        <v>-64.296000000000006</v>
      </c>
      <c r="G7" s="7">
        <v>1</v>
      </c>
      <c r="H7" s="1">
        <v>120</v>
      </c>
      <c r="I7" s="1" t="s">
        <v>35</v>
      </c>
      <c r="J7" s="1"/>
      <c r="K7" s="1"/>
      <c r="L7" s="1">
        <f t="shared" si="2"/>
        <v>0</v>
      </c>
      <c r="M7" s="1"/>
      <c r="N7" s="1"/>
      <c r="O7" s="1"/>
      <c r="P7" s="1">
        <f t="shared" ref="P7:P16" si="4">E7/5</f>
        <v>0</v>
      </c>
      <c r="Q7" s="5">
        <v>200</v>
      </c>
      <c r="R7" s="11"/>
      <c r="S7" s="1" t="e">
        <f t="shared" ref="S7:S16" si="5">(F7+Q7)/P7</f>
        <v>#DIV/0!</v>
      </c>
      <c r="T7" s="1" t="e">
        <f t="shared" ref="T7:T16" si="6">F7/P7</f>
        <v>#DIV/0!</v>
      </c>
      <c r="U7" s="1">
        <v>0.91839999999999988</v>
      </c>
      <c r="V7" s="1">
        <v>1.8384</v>
      </c>
      <c r="W7" s="1">
        <v>1.83</v>
      </c>
      <c r="X7" s="1">
        <v>0</v>
      </c>
      <c r="Y7" s="1">
        <v>0.91639999999999999</v>
      </c>
      <c r="Z7" s="1">
        <v>0.90679999999999994</v>
      </c>
      <c r="AA7" s="1">
        <v>0.91959999999999997</v>
      </c>
      <c r="AB7" s="1">
        <v>0.9</v>
      </c>
      <c r="AC7" s="1">
        <v>2.7324000000000002</v>
      </c>
      <c r="AD7" s="1">
        <v>7.2384000000000004</v>
      </c>
      <c r="AE7" s="10" t="s">
        <v>50</v>
      </c>
      <c r="AF7" s="1">
        <f t="shared" si="3"/>
        <v>200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35">
      <c r="A8" s="1" t="s">
        <v>39</v>
      </c>
      <c r="B8" s="1" t="s">
        <v>38</v>
      </c>
      <c r="C8" s="1">
        <v>315.33</v>
      </c>
      <c r="D8" s="1"/>
      <c r="E8" s="1">
        <v>4.5599999999999996</v>
      </c>
      <c r="F8" s="1">
        <v>179.31</v>
      </c>
      <c r="G8" s="7">
        <v>1</v>
      </c>
      <c r="H8" s="1">
        <v>120</v>
      </c>
      <c r="I8" s="1" t="s">
        <v>35</v>
      </c>
      <c r="J8" s="1"/>
      <c r="K8" s="1">
        <v>4.5</v>
      </c>
      <c r="L8" s="1">
        <f t="shared" si="2"/>
        <v>5.9999999999999609E-2</v>
      </c>
      <c r="M8" s="1"/>
      <c r="N8" s="1"/>
      <c r="O8" s="1"/>
      <c r="P8" s="1">
        <f t="shared" si="4"/>
        <v>0.91199999999999992</v>
      </c>
      <c r="Q8" s="5"/>
      <c r="R8" s="11"/>
      <c r="S8" s="1">
        <f t="shared" si="5"/>
        <v>196.61184210526318</v>
      </c>
      <c r="T8" s="1">
        <f t="shared" si="6"/>
        <v>196.61184210526318</v>
      </c>
      <c r="U8" s="1">
        <v>0</v>
      </c>
      <c r="V8" s="1">
        <v>1.8288</v>
      </c>
      <c r="W8" s="1">
        <v>0.9124000000000001</v>
      </c>
      <c r="X8" s="1">
        <v>0.2</v>
      </c>
      <c r="Y8" s="1">
        <v>1.8408</v>
      </c>
      <c r="Z8" s="1">
        <v>0</v>
      </c>
      <c r="AA8" s="1">
        <v>0.91159999999999997</v>
      </c>
      <c r="AB8" s="1">
        <v>0</v>
      </c>
      <c r="AC8" s="1">
        <v>0</v>
      </c>
      <c r="AD8" s="1">
        <v>1.8064</v>
      </c>
      <c r="AE8" s="10" t="s">
        <v>51</v>
      </c>
      <c r="AF8" s="1">
        <f t="shared" si="3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35">
      <c r="A9" s="1" t="s">
        <v>40</v>
      </c>
      <c r="B9" s="1" t="s">
        <v>34</v>
      </c>
      <c r="C9" s="1">
        <v>51</v>
      </c>
      <c r="D9" s="1">
        <v>2</v>
      </c>
      <c r="E9" s="1"/>
      <c r="F9" s="1">
        <v>53</v>
      </c>
      <c r="G9" s="7">
        <v>0.42</v>
      </c>
      <c r="H9" s="1">
        <v>120</v>
      </c>
      <c r="I9" s="1" t="s">
        <v>35</v>
      </c>
      <c r="J9" s="1"/>
      <c r="K9" s="1"/>
      <c r="L9" s="1">
        <f t="shared" si="2"/>
        <v>0</v>
      </c>
      <c r="M9" s="1"/>
      <c r="N9" s="1"/>
      <c r="O9" s="1"/>
      <c r="P9" s="1">
        <f t="shared" si="4"/>
        <v>0</v>
      </c>
      <c r="Q9" s="5">
        <v>50</v>
      </c>
      <c r="R9" s="11"/>
      <c r="S9" s="1" t="e">
        <f>(F9+Q9)/P9</f>
        <v>#DIV/0!</v>
      </c>
      <c r="T9" s="1" t="e">
        <f t="shared" si="6"/>
        <v>#DIV/0!</v>
      </c>
      <c r="U9" s="1">
        <v>0.2</v>
      </c>
      <c r="V9" s="1">
        <v>0</v>
      </c>
      <c r="W9" s="1">
        <v>0.2</v>
      </c>
      <c r="X9" s="1">
        <v>1.2</v>
      </c>
      <c r="Y9" s="1">
        <v>0</v>
      </c>
      <c r="Z9" s="1">
        <v>0.4</v>
      </c>
      <c r="AA9" s="1">
        <v>0</v>
      </c>
      <c r="AB9" s="1">
        <v>-0.6</v>
      </c>
      <c r="AC9" s="1">
        <v>1.8</v>
      </c>
      <c r="AD9" s="1">
        <v>2</v>
      </c>
      <c r="AE9" s="10" t="s">
        <v>36</v>
      </c>
      <c r="AF9" s="1">
        <f t="shared" si="3"/>
        <v>21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35">
      <c r="A10" s="1" t="s">
        <v>41</v>
      </c>
      <c r="B10" s="1" t="s">
        <v>34</v>
      </c>
      <c r="C10" s="1">
        <v>16</v>
      </c>
      <c r="D10" s="1">
        <v>144</v>
      </c>
      <c r="E10" s="1">
        <v>17</v>
      </c>
      <c r="F10" s="1">
        <v>143</v>
      </c>
      <c r="G10" s="7">
        <v>0.3</v>
      </c>
      <c r="H10" s="1">
        <v>120</v>
      </c>
      <c r="I10" s="1" t="s">
        <v>35</v>
      </c>
      <c r="J10" s="1"/>
      <c r="K10" s="1">
        <v>17</v>
      </c>
      <c r="L10" s="1">
        <f t="shared" si="2"/>
        <v>0</v>
      </c>
      <c r="M10" s="1"/>
      <c r="N10" s="1"/>
      <c r="O10" s="1"/>
      <c r="P10" s="1">
        <f t="shared" si="4"/>
        <v>3.4</v>
      </c>
      <c r="Q10" s="5">
        <v>200</v>
      </c>
      <c r="R10" s="11"/>
      <c r="S10" s="1">
        <f t="shared" si="5"/>
        <v>100.88235294117648</v>
      </c>
      <c r="T10" s="1">
        <f t="shared" si="6"/>
        <v>42.058823529411768</v>
      </c>
      <c r="U10" s="1">
        <v>8.8000000000000007</v>
      </c>
      <c r="V10" s="1">
        <v>7.8</v>
      </c>
      <c r="W10" s="1">
        <v>17.2</v>
      </c>
      <c r="X10" s="1">
        <v>13</v>
      </c>
      <c r="Y10" s="1">
        <v>14.6</v>
      </c>
      <c r="Z10" s="1">
        <v>7.6</v>
      </c>
      <c r="AA10" s="1">
        <v>8.1999999999999993</v>
      </c>
      <c r="AB10" s="1">
        <v>23</v>
      </c>
      <c r="AC10" s="1">
        <v>11</v>
      </c>
      <c r="AD10" s="1">
        <v>12.8</v>
      </c>
      <c r="AE10" s="1"/>
      <c r="AF10" s="1">
        <f t="shared" si="3"/>
        <v>60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35">
      <c r="A11" s="1" t="s">
        <v>42</v>
      </c>
      <c r="B11" s="1" t="s">
        <v>34</v>
      </c>
      <c r="C11" s="1"/>
      <c r="D11" s="1">
        <v>132</v>
      </c>
      <c r="E11" s="1">
        <v>61</v>
      </c>
      <c r="F11" s="1">
        <v>71</v>
      </c>
      <c r="G11" s="7">
        <v>0.3</v>
      </c>
      <c r="H11" s="1">
        <v>120</v>
      </c>
      <c r="I11" s="1" t="s">
        <v>35</v>
      </c>
      <c r="J11" s="1"/>
      <c r="K11" s="1">
        <v>59</v>
      </c>
      <c r="L11" s="1">
        <f t="shared" si="2"/>
        <v>2</v>
      </c>
      <c r="M11" s="1"/>
      <c r="N11" s="1"/>
      <c r="O11" s="1"/>
      <c r="P11" s="1">
        <f t="shared" si="4"/>
        <v>12.2</v>
      </c>
      <c r="Q11" s="5">
        <v>200</v>
      </c>
      <c r="R11" s="11"/>
      <c r="S11" s="1">
        <f t="shared" si="5"/>
        <v>22.213114754098363</v>
      </c>
      <c r="T11" s="1">
        <f t="shared" si="6"/>
        <v>5.8196721311475414</v>
      </c>
      <c r="U11" s="1">
        <v>0.2</v>
      </c>
      <c r="V11" s="1">
        <v>8.4</v>
      </c>
      <c r="W11" s="1">
        <v>13.6</v>
      </c>
      <c r="X11" s="1">
        <v>9</v>
      </c>
      <c r="Y11" s="1">
        <v>10.6</v>
      </c>
      <c r="Z11" s="1">
        <v>5.8</v>
      </c>
      <c r="AA11" s="1">
        <v>8.6</v>
      </c>
      <c r="AB11" s="1">
        <v>19</v>
      </c>
      <c r="AC11" s="1">
        <v>13.2</v>
      </c>
      <c r="AD11" s="1">
        <v>12.4</v>
      </c>
      <c r="AE11" s="1"/>
      <c r="AF11" s="1">
        <f t="shared" si="3"/>
        <v>60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35">
      <c r="A12" s="1" t="s">
        <v>43</v>
      </c>
      <c r="B12" s="1" t="s">
        <v>34</v>
      </c>
      <c r="C12" s="1">
        <v>12</v>
      </c>
      <c r="D12" s="1">
        <v>240</v>
      </c>
      <c r="E12" s="1">
        <v>51</v>
      </c>
      <c r="F12" s="1">
        <v>201</v>
      </c>
      <c r="G12" s="7">
        <v>0.35</v>
      </c>
      <c r="H12" s="1">
        <v>120</v>
      </c>
      <c r="I12" s="1" t="s">
        <v>35</v>
      </c>
      <c r="J12" s="1"/>
      <c r="K12" s="1">
        <v>49</v>
      </c>
      <c r="L12" s="1">
        <f t="shared" si="2"/>
        <v>2</v>
      </c>
      <c r="M12" s="1"/>
      <c r="N12" s="1"/>
      <c r="O12" s="1"/>
      <c r="P12" s="1">
        <f t="shared" si="4"/>
        <v>10.199999999999999</v>
      </c>
      <c r="Q12" s="5">
        <v>150</v>
      </c>
      <c r="R12" s="11"/>
      <c r="S12" s="1">
        <f t="shared" si="5"/>
        <v>34.411764705882355</v>
      </c>
      <c r="T12" s="1">
        <f t="shared" si="6"/>
        <v>19.705882352941178</v>
      </c>
      <c r="U12" s="1">
        <v>9.6</v>
      </c>
      <c r="V12" s="1">
        <v>14.2</v>
      </c>
      <c r="W12" s="1">
        <v>24.6</v>
      </c>
      <c r="X12" s="1">
        <v>16.2</v>
      </c>
      <c r="Y12" s="1">
        <v>18.399999999999999</v>
      </c>
      <c r="Z12" s="1">
        <v>6.6</v>
      </c>
      <c r="AA12" s="1">
        <v>16.2</v>
      </c>
      <c r="AB12" s="1">
        <v>27.4</v>
      </c>
      <c r="AC12" s="1">
        <v>27.8</v>
      </c>
      <c r="AD12" s="1">
        <v>25.4</v>
      </c>
      <c r="AE12" s="1"/>
      <c r="AF12" s="1">
        <f t="shared" si="3"/>
        <v>52.5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35">
      <c r="A13" s="1" t="s">
        <v>44</v>
      </c>
      <c r="B13" s="1" t="s">
        <v>34</v>
      </c>
      <c r="C13" s="1"/>
      <c r="D13" s="1">
        <v>156</v>
      </c>
      <c r="E13" s="1">
        <v>21</v>
      </c>
      <c r="F13" s="1">
        <v>135</v>
      </c>
      <c r="G13" s="7">
        <v>0.3</v>
      </c>
      <c r="H13" s="1">
        <v>120</v>
      </c>
      <c r="I13" s="1" t="s">
        <v>35</v>
      </c>
      <c r="J13" s="1"/>
      <c r="K13" s="1">
        <v>28</v>
      </c>
      <c r="L13" s="1">
        <f t="shared" si="2"/>
        <v>-7</v>
      </c>
      <c r="M13" s="1"/>
      <c r="N13" s="1"/>
      <c r="O13" s="1"/>
      <c r="P13" s="1">
        <f t="shared" si="4"/>
        <v>4.2</v>
      </c>
      <c r="Q13" s="5">
        <v>200</v>
      </c>
      <c r="R13" s="11"/>
      <c r="S13" s="1">
        <f t="shared" si="5"/>
        <v>79.761904761904759</v>
      </c>
      <c r="T13" s="1">
        <f t="shared" si="6"/>
        <v>32.142857142857139</v>
      </c>
      <c r="U13" s="1">
        <v>0</v>
      </c>
      <c r="V13" s="1">
        <v>11.8</v>
      </c>
      <c r="W13" s="1">
        <v>7.8</v>
      </c>
      <c r="X13" s="1">
        <v>4.2</v>
      </c>
      <c r="Y13" s="1">
        <v>8.1999999999999993</v>
      </c>
      <c r="Z13" s="1">
        <v>1.4</v>
      </c>
      <c r="AA13" s="1">
        <v>8.1999999999999993</v>
      </c>
      <c r="AB13" s="1">
        <v>7.6</v>
      </c>
      <c r="AC13" s="1">
        <v>12.8</v>
      </c>
      <c r="AD13" s="1">
        <v>15.6</v>
      </c>
      <c r="AE13" s="1"/>
      <c r="AF13" s="1">
        <f t="shared" si="3"/>
        <v>60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35">
      <c r="A14" s="1" t="s">
        <v>45</v>
      </c>
      <c r="B14" s="1" t="s">
        <v>34</v>
      </c>
      <c r="C14" s="1">
        <v>20</v>
      </c>
      <c r="D14" s="1">
        <v>324</v>
      </c>
      <c r="E14" s="1">
        <v>58</v>
      </c>
      <c r="F14" s="1">
        <v>286</v>
      </c>
      <c r="G14" s="7">
        <v>0.35</v>
      </c>
      <c r="H14" s="1">
        <v>120</v>
      </c>
      <c r="I14" s="1" t="s">
        <v>35</v>
      </c>
      <c r="J14" s="1"/>
      <c r="K14" s="1">
        <v>64</v>
      </c>
      <c r="L14" s="1">
        <f t="shared" si="2"/>
        <v>-6</v>
      </c>
      <c r="M14" s="1"/>
      <c r="N14" s="1"/>
      <c r="O14" s="1"/>
      <c r="P14" s="1">
        <f t="shared" si="4"/>
        <v>11.6</v>
      </c>
      <c r="Q14" s="5"/>
      <c r="R14" s="11"/>
      <c r="S14" s="1">
        <f t="shared" si="5"/>
        <v>24.655172413793103</v>
      </c>
      <c r="T14" s="1">
        <f t="shared" si="6"/>
        <v>24.655172413793103</v>
      </c>
      <c r="U14" s="1">
        <v>14</v>
      </c>
      <c r="V14" s="1">
        <v>25.6</v>
      </c>
      <c r="W14" s="1">
        <v>24.2</v>
      </c>
      <c r="X14" s="1">
        <v>5</v>
      </c>
      <c r="Y14" s="1">
        <v>22</v>
      </c>
      <c r="Z14" s="1">
        <v>15.8</v>
      </c>
      <c r="AA14" s="1">
        <v>3.2</v>
      </c>
      <c r="AB14" s="1">
        <v>16.8</v>
      </c>
      <c r="AC14" s="1">
        <v>18</v>
      </c>
      <c r="AD14" s="1">
        <v>4.8</v>
      </c>
      <c r="AE14" s="1"/>
      <c r="AF14" s="1">
        <f t="shared" si="3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35">
      <c r="A15" s="1" t="s">
        <v>46</v>
      </c>
      <c r="B15" s="1" t="s">
        <v>34</v>
      </c>
      <c r="C15" s="1">
        <v>99</v>
      </c>
      <c r="D15" s="1"/>
      <c r="E15" s="1"/>
      <c r="F15" s="1">
        <v>99</v>
      </c>
      <c r="G15" s="7">
        <v>0.3</v>
      </c>
      <c r="H15" s="1">
        <v>120</v>
      </c>
      <c r="I15" s="1" t="s">
        <v>35</v>
      </c>
      <c r="J15" s="1"/>
      <c r="K15" s="1"/>
      <c r="L15" s="1">
        <f t="shared" si="2"/>
        <v>0</v>
      </c>
      <c r="M15" s="1"/>
      <c r="N15" s="1"/>
      <c r="O15" s="1"/>
      <c r="P15" s="1">
        <f t="shared" si="4"/>
        <v>0</v>
      </c>
      <c r="Q15" s="5">
        <v>50</v>
      </c>
      <c r="R15" s="11"/>
      <c r="S15" s="1" t="e">
        <f t="shared" si="5"/>
        <v>#DIV/0!</v>
      </c>
      <c r="T15" s="1" t="e">
        <f t="shared" si="6"/>
        <v>#DIV/0!</v>
      </c>
      <c r="U15" s="1">
        <v>0.4</v>
      </c>
      <c r="V15" s="1">
        <v>0</v>
      </c>
      <c r="W15" s="1">
        <v>0.2</v>
      </c>
      <c r="X15" s="1">
        <v>0</v>
      </c>
      <c r="Y15" s="1">
        <v>0</v>
      </c>
      <c r="Z15" s="1">
        <v>0</v>
      </c>
      <c r="AA15" s="1">
        <v>0</v>
      </c>
      <c r="AB15" s="1">
        <v>0.4</v>
      </c>
      <c r="AC15" s="1">
        <v>0.4</v>
      </c>
      <c r="AD15" s="1">
        <v>1.4</v>
      </c>
      <c r="AE15" s="10" t="s">
        <v>36</v>
      </c>
      <c r="AF15" s="1">
        <f t="shared" si="3"/>
        <v>15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35">
      <c r="A16" s="1" t="s">
        <v>47</v>
      </c>
      <c r="B16" s="1" t="s">
        <v>34</v>
      </c>
      <c r="C16" s="1">
        <v>52</v>
      </c>
      <c r="D16" s="1">
        <v>140</v>
      </c>
      <c r="E16" s="1"/>
      <c r="F16" s="1">
        <v>192</v>
      </c>
      <c r="G16" s="7">
        <v>0.7</v>
      </c>
      <c r="H16" s="1">
        <v>180</v>
      </c>
      <c r="I16" s="1" t="s">
        <v>35</v>
      </c>
      <c r="J16" s="1"/>
      <c r="K16" s="1">
        <v>15</v>
      </c>
      <c r="L16" s="1">
        <f t="shared" si="2"/>
        <v>-15</v>
      </c>
      <c r="M16" s="1"/>
      <c r="N16" s="1"/>
      <c r="O16" s="1"/>
      <c r="P16" s="1">
        <f t="shared" si="4"/>
        <v>0</v>
      </c>
      <c r="Q16" s="5">
        <v>150</v>
      </c>
      <c r="R16" s="11"/>
      <c r="S16" s="1" t="e">
        <f t="shared" si="5"/>
        <v>#DIV/0!</v>
      </c>
      <c r="T16" s="1" t="e">
        <f t="shared" si="6"/>
        <v>#DIV/0!</v>
      </c>
      <c r="U16" s="1">
        <v>0.4</v>
      </c>
      <c r="V16" s="1">
        <v>15</v>
      </c>
      <c r="W16" s="1">
        <v>8</v>
      </c>
      <c r="X16" s="1">
        <v>13.6</v>
      </c>
      <c r="Y16" s="1">
        <v>6.6</v>
      </c>
      <c r="Z16" s="1">
        <v>3</v>
      </c>
      <c r="AA16" s="1">
        <v>6.6</v>
      </c>
      <c r="AB16" s="1">
        <v>13.8</v>
      </c>
      <c r="AC16" s="1">
        <v>18</v>
      </c>
      <c r="AD16" s="1">
        <v>20.399999999999999</v>
      </c>
      <c r="AE16" s="10" t="s">
        <v>36</v>
      </c>
      <c r="AF16" s="1">
        <f t="shared" si="3"/>
        <v>105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3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3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3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3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3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3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3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3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3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3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3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3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3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3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3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3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3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3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3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3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3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3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3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3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3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3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3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3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3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3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3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3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3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3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3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3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3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3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3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3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3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3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3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3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3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3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3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3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3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3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3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3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3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3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3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3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3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3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3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3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3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3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3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3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3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3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3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3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3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3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3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3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3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3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3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3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3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3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3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3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3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3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3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3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3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3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3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3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3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3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3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3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3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3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3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3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3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3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3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3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3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3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3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3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3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3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3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3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3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3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3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3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3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3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3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3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3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3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3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3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3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3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3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3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3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3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3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3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3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3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3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3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3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3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3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3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3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3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3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3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3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3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3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3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3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3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3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3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3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3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3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3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3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3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3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3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3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3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3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3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3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3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3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3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3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3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3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3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3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3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3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3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3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3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3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3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3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3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3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3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3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3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3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3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3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3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3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3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3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3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3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3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3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3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3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3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3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3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3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3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3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3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3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3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3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3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3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3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3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3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3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3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3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3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3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3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3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3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3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3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3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3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3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3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3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3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3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3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3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3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3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3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3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3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3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3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3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3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3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3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3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3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3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3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3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3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3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3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3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3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3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3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3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3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3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3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3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3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3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3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3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3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3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3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3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3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3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3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3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3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3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3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3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3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3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3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3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3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3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3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3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3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3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3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3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3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3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3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3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3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3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3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3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3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3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3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3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3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3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3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3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3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3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3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3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3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3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3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3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3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3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3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3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3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3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3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3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3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3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3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3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3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3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3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3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3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3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3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3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3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3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3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3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3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3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3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3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3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3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3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3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3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3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3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3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3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3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3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3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3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3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3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3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3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3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3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3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3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3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3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3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3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3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3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3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3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3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3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3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3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3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3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3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3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3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3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3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3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3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3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3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3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3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3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3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3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3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3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3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3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3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3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3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3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3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3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3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3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3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3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3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3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3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3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3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3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3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3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3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3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3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3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3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3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3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3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3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3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3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3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3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3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3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3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3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3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3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3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3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3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3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3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3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3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3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3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3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3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3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3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3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3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3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3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3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3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3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3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3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3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3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3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3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3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3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3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3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3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3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3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3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3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3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3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3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3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3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3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3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3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3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3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3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3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3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3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3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3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3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3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3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3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3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3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2026-09-28T12:24:17Z</dcterms:created>
  <dcterms:modified xsi:type="dcterms:W3CDTF">2026-09-30T05:48:31Z</dcterms:modified>
</cp:coreProperties>
</file>