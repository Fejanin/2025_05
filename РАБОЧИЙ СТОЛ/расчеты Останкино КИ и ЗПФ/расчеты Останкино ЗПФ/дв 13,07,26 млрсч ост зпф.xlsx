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BF401F74-D5EA-45F8-B509-8032201A99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8" i="1" l="1"/>
  <c r="Q10" i="1"/>
  <c r="W10" i="1" s="1"/>
  <c r="Q12" i="1"/>
  <c r="W12" i="1" s="1"/>
  <c r="Q14" i="1"/>
  <c r="W14" i="1" s="1"/>
  <c r="W1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L16" i="1"/>
  <c r="W15" i="1"/>
  <c r="L15" i="1"/>
  <c r="L14" i="1"/>
  <c r="W13" i="1"/>
  <c r="L13" i="1"/>
  <c r="L12" i="1"/>
  <c r="W11" i="1"/>
  <c r="L11" i="1"/>
  <c r="L10" i="1"/>
  <c r="W9" i="1"/>
  <c r="L9" i="1"/>
  <c r="L8" i="1"/>
  <c r="W7" i="1"/>
  <c r="L7" i="1"/>
  <c r="W6" i="1"/>
  <c r="L6" i="1"/>
  <c r="L5" i="1" s="1"/>
  <c r="U5" i="1"/>
  <c r="T5" i="1"/>
  <c r="Q5" i="1"/>
  <c r="O5" i="1"/>
  <c r="N5" i="1"/>
  <c r="M5" i="1"/>
  <c r="K5" i="1"/>
  <c r="F5" i="1"/>
  <c r="E5" i="1"/>
  <c r="W5" i="1" l="1"/>
  <c r="P5" i="1"/>
</calcChain>
</file>

<file path=xl/sharedStrings.xml><?xml version="1.0" encoding="utf-8"?>
<sst xmlns="http://schemas.openxmlformats.org/spreadsheetml/2006/main" count="62" uniqueCount="41">
  <si>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</si>
  <si>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</si>
  <si>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</si>
  <si>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</si>
  <si>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</si>
  <si>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</si>
  <si>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</si>
  <si>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</si>
  <si>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</si>
  <si>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</si>
  <si>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</si>
  <si>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</si>
  <si>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</si>
  <si>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</si>
  <si>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</si>
  <si>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</si>
  <si>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</si>
  <si>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</si>
  <si>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</si>
  <si>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</si>
  <si>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</si>
  <si>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</si>
  <si>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нет</t>
  </si>
  <si>
    <t>13,07,</t>
  </si>
  <si>
    <t>06,07,</t>
  </si>
  <si>
    <t>29,06,</t>
  </si>
  <si>
    <t>5579 БЛИНЧ.КРУГЛЫЕ С САД.ЯБЛОК.пл.1/420 зам. ОСТАНКИНО</t>
  </si>
  <si>
    <t>шт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</si>
  <si>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</si>
  <si>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</si>
  <si>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</si>
  <si>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</si>
  <si>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</si>
  <si>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</si>
  <si>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</si>
  <si>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</si>
  <si>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</si>
  <si>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</si>
  <si>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</si>
  <si>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</si>
  <si>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матрица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</si>
</sst>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23" sqref="T2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140625" customWidth="1"/>
    <col min="10" max="10" width="1" customWidth="1"/>
    <col min="11" max="12" width="7" customWidth="1"/>
    <col min="13" max="15" width="0.42578125" customWidth="1"/>
    <col min="16" max="17" width="7" customWidth="1"/>
    <col min="18" max="19" width="5" customWidth="1"/>
    <col min="20" max="21" width="6" customWidth="1"/>
    <col min="22" max="22" width="42.7109375" customWidth="1"/>
    <col min="23" max="23" width="7" customWidth="1"/>
    <col min="2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20</v>
      </c>
      <c r="W3" s="2" t="s">
        <v>21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396</v>
      </c>
      <c r="F5" s="4">
        <f>SUM(F6:F500)</f>
        <v>1704.96</v>
      </c>
      <c r="G5" s="7"/>
      <c r="H5" s="1"/>
      <c r="I5" s="1"/>
      <c r="J5" s="1"/>
      <c r="K5" s="4">
        <f t="shared" ref="K5:Q5" si="0">SUM(K6:K500)</f>
        <v>479</v>
      </c>
      <c r="L5" s="4">
        <f t="shared" si="0"/>
        <v>-83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79.199999999999989</v>
      </c>
      <c r="Q5" s="4">
        <f t="shared" si="0"/>
        <v>586</v>
      </c>
      <c r="R5" s="1"/>
      <c r="S5" s="1"/>
      <c r="T5" s="4">
        <f>SUM(T6:T500)</f>
        <v>0</v>
      </c>
      <c r="U5" s="4">
        <f>SUM(U6:U500)</f>
        <v>0</v>
      </c>
      <c r="V5" s="1"/>
      <c r="W5" s="4">
        <f>SUM(W6:W500)</f>
        <v>197.4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26</v>
      </c>
      <c r="B6" s="1" t="s">
        <v>27</v>
      </c>
      <c r="C6" s="1">
        <v>120</v>
      </c>
      <c r="D6" s="1">
        <v>200</v>
      </c>
      <c r="E6" s="1">
        <v>10</v>
      </c>
      <c r="F6" s="1">
        <v>310</v>
      </c>
      <c r="G6" s="7">
        <v>0.42</v>
      </c>
      <c r="H6" s="1"/>
      <c r="I6" s="9" t="s">
        <v>40</v>
      </c>
      <c r="J6" s="1"/>
      <c r="K6" s="1">
        <v>68</v>
      </c>
      <c r="L6" s="1">
        <f t="shared" ref="L6:L16" si="1">E6-K6</f>
        <v>-58</v>
      </c>
      <c r="M6" s="1"/>
      <c r="N6" s="1"/>
      <c r="O6" s="1"/>
      <c r="P6" s="1">
        <f>E6/5</f>
        <v>2</v>
      </c>
      <c r="Q6" s="5"/>
      <c r="R6" s="1">
        <f>(F6+Q6)/P6</f>
        <v>155</v>
      </c>
      <c r="S6" s="1">
        <f>F6/P6</f>
        <v>155</v>
      </c>
      <c r="T6" s="1">
        <v>0</v>
      </c>
      <c r="U6" s="1">
        <v>0</v>
      </c>
      <c r="V6" s="11" t="s">
        <v>28</v>
      </c>
      <c r="W6" s="1">
        <f>G6*Q6</f>
        <v>0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29</v>
      </c>
      <c r="B7" s="1" t="s">
        <v>30</v>
      </c>
      <c r="C7" s="1"/>
      <c r="D7" s="1">
        <v>201.27600000000001</v>
      </c>
      <c r="E7" s="1"/>
      <c r="F7" s="1">
        <v>201.27600000000001</v>
      </c>
      <c r="G7" s="7">
        <v>1</v>
      </c>
      <c r="H7" s="1"/>
      <c r="I7" s="9" t="s">
        <v>40</v>
      </c>
      <c r="J7" s="1"/>
      <c r="K7" s="1"/>
      <c r="L7" s="1">
        <f t="shared" si="1"/>
        <v>0</v>
      </c>
      <c r="M7" s="1"/>
      <c r="N7" s="1"/>
      <c r="O7" s="1"/>
      <c r="P7" s="1">
        <f t="shared" ref="P7:P16" si="2">E7/5</f>
        <v>0</v>
      </c>
      <c r="Q7" s="5"/>
      <c r="R7" s="1" t="e">
        <f t="shared" ref="R7:R16" si="3">(F7+Q7)/P7</f>
        <v>#DIV/0!</v>
      </c>
      <c r="S7" s="1" t="e">
        <f t="shared" ref="S7:S16" si="4">F7/P7</f>
        <v>#DIV/0!</v>
      </c>
      <c r="T7" s="1">
        <v>0</v>
      </c>
      <c r="U7" s="1">
        <v>0</v>
      </c>
      <c r="V7" s="1"/>
      <c r="W7" s="1">
        <f>G7*Q7</f>
        <v>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31</v>
      </c>
      <c r="B8" s="1" t="s">
        <v>30</v>
      </c>
      <c r="C8" s="1"/>
      <c r="D8" s="1">
        <v>99.683999999999997</v>
      </c>
      <c r="E8" s="1"/>
      <c r="F8" s="1">
        <v>99.683999999999997</v>
      </c>
      <c r="G8" s="7">
        <v>1</v>
      </c>
      <c r="H8" s="1"/>
      <c r="I8" s="9" t="s">
        <v>40</v>
      </c>
      <c r="J8" s="1"/>
      <c r="K8" s="1"/>
      <c r="L8" s="1">
        <f t="shared" si="1"/>
        <v>0</v>
      </c>
      <c r="M8" s="1"/>
      <c r="N8" s="1"/>
      <c r="O8" s="1"/>
      <c r="P8" s="1">
        <f t="shared" si="2"/>
        <v>0</v>
      </c>
      <c r="Q8" s="5"/>
      <c r="R8" s="1" t="e">
        <f t="shared" si="3"/>
        <v>#DIV/0!</v>
      </c>
      <c r="S8" s="1" t="e">
        <f t="shared" si="4"/>
        <v>#DIV/0!</v>
      </c>
      <c r="T8" s="1">
        <v>0</v>
      </c>
      <c r="U8" s="1">
        <v>0</v>
      </c>
      <c r="V8" s="1"/>
      <c r="W8" s="1">
        <f>G8*Q8</f>
        <v>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32</v>
      </c>
      <c r="B9" s="1" t="s">
        <v>27</v>
      </c>
      <c r="C9" s="1">
        <v>120</v>
      </c>
      <c r="D9" s="1"/>
      <c r="E9" s="1"/>
      <c r="F9" s="1">
        <v>120</v>
      </c>
      <c r="G9" s="7">
        <v>0.42</v>
      </c>
      <c r="H9" s="1"/>
      <c r="I9" s="9" t="s">
        <v>40</v>
      </c>
      <c r="J9" s="1"/>
      <c r="K9" s="1"/>
      <c r="L9" s="1">
        <f t="shared" si="1"/>
        <v>0</v>
      </c>
      <c r="M9" s="1"/>
      <c r="N9" s="1"/>
      <c r="O9" s="1"/>
      <c r="P9" s="1">
        <f t="shared" si="2"/>
        <v>0</v>
      </c>
      <c r="Q9" s="5"/>
      <c r="R9" s="1" t="e">
        <f t="shared" si="3"/>
        <v>#DIV/0!</v>
      </c>
      <c r="S9" s="1" t="e">
        <f t="shared" si="4"/>
        <v>#DIV/0!</v>
      </c>
      <c r="T9" s="1">
        <v>0</v>
      </c>
      <c r="U9" s="1">
        <v>0</v>
      </c>
      <c r="V9" s="11" t="s">
        <v>28</v>
      </c>
      <c r="W9" s="1">
        <f>G9*Q9</f>
        <v>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33</v>
      </c>
      <c r="B10" s="1" t="s">
        <v>27</v>
      </c>
      <c r="C10" s="1"/>
      <c r="D10" s="1">
        <v>288</v>
      </c>
      <c r="E10" s="1">
        <v>98</v>
      </c>
      <c r="F10" s="1">
        <v>190</v>
      </c>
      <c r="G10" s="7">
        <v>0.3</v>
      </c>
      <c r="H10" s="1"/>
      <c r="I10" s="9" t="s">
        <v>40</v>
      </c>
      <c r="J10" s="1"/>
      <c r="K10" s="1">
        <v>104</v>
      </c>
      <c r="L10" s="1">
        <f t="shared" si="1"/>
        <v>-6</v>
      </c>
      <c r="M10" s="1"/>
      <c r="N10" s="1"/>
      <c r="O10" s="1"/>
      <c r="P10" s="1">
        <f t="shared" si="2"/>
        <v>19.600000000000001</v>
      </c>
      <c r="Q10" s="5">
        <f t="shared" ref="Q7:Q16" si="5">15*P10-F10</f>
        <v>104</v>
      </c>
      <c r="R10" s="1">
        <f t="shared" si="3"/>
        <v>14.999999999999998</v>
      </c>
      <c r="S10" s="1">
        <f t="shared" si="4"/>
        <v>9.6938775510204067</v>
      </c>
      <c r="T10" s="1">
        <v>0</v>
      </c>
      <c r="U10" s="1">
        <v>0</v>
      </c>
      <c r="V10" s="1"/>
      <c r="W10" s="1">
        <f>G10*Q10</f>
        <v>31.2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34</v>
      </c>
      <c r="B11" s="1" t="s">
        <v>27</v>
      </c>
      <c r="C11" s="1"/>
      <c r="D11" s="1">
        <v>192</v>
      </c>
      <c r="E11" s="1">
        <v>16</v>
      </c>
      <c r="F11" s="1">
        <v>176</v>
      </c>
      <c r="G11" s="7">
        <v>0.3</v>
      </c>
      <c r="H11" s="1"/>
      <c r="I11" s="9" t="s">
        <v>40</v>
      </c>
      <c r="J11" s="1"/>
      <c r="K11" s="1">
        <v>16</v>
      </c>
      <c r="L11" s="1">
        <f t="shared" si="1"/>
        <v>0</v>
      </c>
      <c r="M11" s="1"/>
      <c r="N11" s="1"/>
      <c r="O11" s="1"/>
      <c r="P11" s="1">
        <f t="shared" si="2"/>
        <v>3.2</v>
      </c>
      <c r="Q11" s="5"/>
      <c r="R11" s="1">
        <f t="shared" si="3"/>
        <v>55</v>
      </c>
      <c r="S11" s="1">
        <f t="shared" si="4"/>
        <v>55</v>
      </c>
      <c r="T11" s="1">
        <v>0</v>
      </c>
      <c r="U11" s="1">
        <v>0</v>
      </c>
      <c r="V11" s="1"/>
      <c r="W11" s="1">
        <f>G11*Q11</f>
        <v>0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35</v>
      </c>
      <c r="B12" s="1" t="s">
        <v>27</v>
      </c>
      <c r="C12" s="1"/>
      <c r="D12" s="1">
        <v>96</v>
      </c>
      <c r="E12" s="1">
        <v>101</v>
      </c>
      <c r="F12" s="1">
        <v>-5</v>
      </c>
      <c r="G12" s="7">
        <v>0.35</v>
      </c>
      <c r="H12" s="1"/>
      <c r="I12" s="9" t="s">
        <v>40</v>
      </c>
      <c r="J12" s="1"/>
      <c r="K12" s="1">
        <v>108</v>
      </c>
      <c r="L12" s="1">
        <f t="shared" si="1"/>
        <v>-7</v>
      </c>
      <c r="M12" s="1"/>
      <c r="N12" s="1"/>
      <c r="O12" s="1"/>
      <c r="P12" s="1">
        <f t="shared" si="2"/>
        <v>20.2</v>
      </c>
      <c r="Q12" s="5">
        <f t="shared" si="5"/>
        <v>308</v>
      </c>
      <c r="R12" s="1">
        <f t="shared" si="3"/>
        <v>15</v>
      </c>
      <c r="S12" s="1">
        <f t="shared" si="4"/>
        <v>-0.24752475247524752</v>
      </c>
      <c r="T12" s="1">
        <v>0</v>
      </c>
      <c r="U12" s="1">
        <v>0</v>
      </c>
      <c r="V12" s="1"/>
      <c r="W12" s="1">
        <f>G12*Q12</f>
        <v>107.8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36</v>
      </c>
      <c r="B13" s="1" t="s">
        <v>27</v>
      </c>
      <c r="C13" s="1"/>
      <c r="D13" s="1">
        <v>96</v>
      </c>
      <c r="E13" s="1">
        <v>15</v>
      </c>
      <c r="F13" s="1">
        <v>81</v>
      </c>
      <c r="G13" s="7">
        <v>0.3</v>
      </c>
      <c r="H13" s="1"/>
      <c r="I13" s="9" t="s">
        <v>40</v>
      </c>
      <c r="J13" s="1"/>
      <c r="K13" s="1">
        <v>15</v>
      </c>
      <c r="L13" s="1">
        <f t="shared" si="1"/>
        <v>0</v>
      </c>
      <c r="M13" s="1"/>
      <c r="N13" s="1"/>
      <c r="O13" s="1"/>
      <c r="P13" s="1">
        <f t="shared" si="2"/>
        <v>3</v>
      </c>
      <c r="Q13" s="5"/>
      <c r="R13" s="1">
        <f t="shared" si="3"/>
        <v>27</v>
      </c>
      <c r="S13" s="1">
        <f t="shared" si="4"/>
        <v>27</v>
      </c>
      <c r="T13" s="1">
        <v>0</v>
      </c>
      <c r="U13" s="1">
        <v>0</v>
      </c>
      <c r="V13" s="1"/>
      <c r="W13" s="1">
        <f>G13*Q13</f>
        <v>0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37</v>
      </c>
      <c r="B14" s="1" t="s">
        <v>27</v>
      </c>
      <c r="C14" s="1"/>
      <c r="D14" s="1">
        <v>288</v>
      </c>
      <c r="E14" s="1">
        <v>103</v>
      </c>
      <c r="F14" s="1">
        <v>185</v>
      </c>
      <c r="G14" s="7">
        <v>0.35</v>
      </c>
      <c r="H14" s="1"/>
      <c r="I14" s="9" t="s">
        <v>40</v>
      </c>
      <c r="J14" s="1"/>
      <c r="K14" s="1">
        <v>115</v>
      </c>
      <c r="L14" s="1">
        <f t="shared" si="1"/>
        <v>-12</v>
      </c>
      <c r="M14" s="1"/>
      <c r="N14" s="1"/>
      <c r="O14" s="1"/>
      <c r="P14" s="1">
        <f t="shared" si="2"/>
        <v>20.6</v>
      </c>
      <c r="Q14" s="5">
        <f t="shared" si="5"/>
        <v>124</v>
      </c>
      <c r="R14" s="1">
        <f t="shared" si="3"/>
        <v>14.999999999999998</v>
      </c>
      <c r="S14" s="1">
        <f t="shared" si="4"/>
        <v>8.9805825242718438</v>
      </c>
      <c r="T14" s="1">
        <v>0</v>
      </c>
      <c r="U14" s="1">
        <v>0</v>
      </c>
      <c r="V14" s="1"/>
      <c r="W14" s="1">
        <f>G14*Q14</f>
        <v>43.4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0" t="s">
        <v>38</v>
      </c>
      <c r="B15" s="1" t="s">
        <v>27</v>
      </c>
      <c r="C15" s="1"/>
      <c r="D15" s="1"/>
      <c r="E15" s="1"/>
      <c r="F15" s="1"/>
      <c r="G15" s="7">
        <v>0.3</v>
      </c>
      <c r="H15" s="1"/>
      <c r="I15" s="9" t="s">
        <v>40</v>
      </c>
      <c r="J15" s="1"/>
      <c r="K15" s="1"/>
      <c r="L15" s="1">
        <f t="shared" si="1"/>
        <v>0</v>
      </c>
      <c r="M15" s="1"/>
      <c r="N15" s="1"/>
      <c r="O15" s="1"/>
      <c r="P15" s="1">
        <f t="shared" si="2"/>
        <v>0</v>
      </c>
      <c r="Q15" s="5">
        <v>50</v>
      </c>
      <c r="R15" s="1" t="e">
        <f t="shared" si="3"/>
        <v>#DIV/0!</v>
      </c>
      <c r="S15" s="1" t="e">
        <f t="shared" si="4"/>
        <v>#DIV/0!</v>
      </c>
      <c r="T15" s="1">
        <v>0</v>
      </c>
      <c r="U15" s="1">
        <v>0</v>
      </c>
      <c r="V15" s="1"/>
      <c r="W15" s="1">
        <f>G15*Q15</f>
        <v>15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39</v>
      </c>
      <c r="B16" s="1" t="s">
        <v>27</v>
      </c>
      <c r="C16" s="1"/>
      <c r="D16" s="1">
        <v>400</v>
      </c>
      <c r="E16" s="1">
        <v>53</v>
      </c>
      <c r="F16" s="1">
        <v>347</v>
      </c>
      <c r="G16" s="7">
        <v>0.7</v>
      </c>
      <c r="H16" s="1"/>
      <c r="I16" s="9" t="s">
        <v>40</v>
      </c>
      <c r="J16" s="1"/>
      <c r="K16" s="1">
        <v>53</v>
      </c>
      <c r="L16" s="1">
        <f t="shared" si="1"/>
        <v>0</v>
      </c>
      <c r="M16" s="1"/>
      <c r="N16" s="1"/>
      <c r="O16" s="1"/>
      <c r="P16" s="1">
        <f t="shared" si="2"/>
        <v>10.6</v>
      </c>
      <c r="Q16" s="5"/>
      <c r="R16" s="1">
        <f t="shared" si="3"/>
        <v>32.735849056603776</v>
      </c>
      <c r="S16" s="1">
        <f t="shared" si="4"/>
        <v>32.735849056603776</v>
      </c>
      <c r="T16" s="1">
        <v>0</v>
      </c>
      <c r="U16" s="1">
        <v>0</v>
      </c>
      <c r="V16" s="1"/>
      <c r="W16" s="1">
        <f>G16*Q16</f>
        <v>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2026-07-13T11:32:42Z</dcterms:created>
  <dcterms:modified xsi:type="dcterms:W3CDTF">2026-07-13T11:37:12Z</dcterms:modified>
</cp:coreProperties>
</file>