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расчеты Останкино ЗПФ\"/>
    </mc:Choice>
  </mc:AlternateContent>
  <xr:revisionPtr revIDLastSave="0" documentId="13_ncr:1_{38140ADE-00B9-4F9F-B779-F89A86D2AED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8" i="1" l="1"/>
  <c r="S10" i="1"/>
  <c r="S12" i="1"/>
  <c r="R16" i="1"/>
  <c r="P7" i="1"/>
  <c r="R7" i="1" s="1"/>
  <c r="P8" i="1"/>
  <c r="R8" i="1" s="1"/>
  <c r="P9" i="1"/>
  <c r="R9" i="1" s="1"/>
  <c r="P10" i="1"/>
  <c r="R10" i="1" s="1"/>
  <c r="P11" i="1"/>
  <c r="R11" i="1" s="1"/>
  <c r="P12" i="1"/>
  <c r="R12" i="1" s="1"/>
  <c r="P13" i="1"/>
  <c r="P14" i="1"/>
  <c r="P15" i="1"/>
  <c r="S15" i="1" s="1"/>
  <c r="P16" i="1"/>
  <c r="S16" i="1" s="1"/>
  <c r="P6" i="1"/>
  <c r="R6" i="1" s="1"/>
  <c r="AC16" i="1"/>
  <c r="L16" i="1"/>
  <c r="AC15" i="1"/>
  <c r="L15" i="1"/>
  <c r="L14" i="1"/>
  <c r="L13" i="1"/>
  <c r="AC12" i="1"/>
  <c r="L12" i="1"/>
  <c r="AC11" i="1"/>
  <c r="L11" i="1"/>
  <c r="AC10" i="1"/>
  <c r="L10" i="1"/>
  <c r="L9" i="1"/>
  <c r="AC8" i="1"/>
  <c r="L8" i="1"/>
  <c r="AC7" i="1"/>
  <c r="L7" i="1"/>
  <c r="AC6" i="1"/>
  <c r="L6" i="1"/>
  <c r="AA5" i="1"/>
  <c r="Z5" i="1"/>
  <c r="Y5" i="1"/>
  <c r="X5" i="1"/>
  <c r="W5" i="1"/>
  <c r="V5" i="1"/>
  <c r="U5" i="1"/>
  <c r="T5" i="1"/>
  <c r="O5" i="1"/>
  <c r="N5" i="1"/>
  <c r="M5" i="1"/>
  <c r="K5" i="1"/>
  <c r="F5" i="1"/>
  <c r="E5" i="1"/>
  <c r="R14" i="1" l="1"/>
  <c r="AC14" i="1"/>
  <c r="R13" i="1"/>
  <c r="AC13" i="1"/>
  <c r="AC5" i="1" s="1"/>
  <c r="Q5" i="1"/>
  <c r="S6" i="1"/>
  <c r="R15" i="1"/>
  <c r="S13" i="1"/>
  <c r="S11" i="1"/>
  <c r="S9" i="1"/>
  <c r="S7" i="1"/>
  <c r="S14" i="1"/>
  <c r="P5" i="1"/>
  <c r="L5" i="1"/>
</calcChain>
</file>

<file path=xl/sharedStrings.xml><?xml version="1.0" encoding="utf-8"?>
<sst xmlns="http://schemas.openxmlformats.org/spreadsheetml/2006/main" count="81" uniqueCount="49">
  <si>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</si>
  <si>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</si>
  <si>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</si>
  <si>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</si>
  <si>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</si>
  <si>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</si>
  <si>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</si>
  <si>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</si>
  <si>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</si>
  <si>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</si>
  <si>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</si>
  <si>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</si>
  <si>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</si>
  <si>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</si>
  <si>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</si>
  <si>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</si>
  <si>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</si>
  <si>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</si>
  <si>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</si>
  <si>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</si>
  <si>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</si>
  <si>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нет</t>
  </si>
  <si>
    <t>24,08,</t>
  </si>
  <si>
    <t>17,08,</t>
  </si>
  <si>
    <t>10,08,</t>
  </si>
  <si>
    <t>03,08,</t>
  </si>
  <si>
    <t>27,07,</t>
  </si>
  <si>
    <t>20,07,</t>
  </si>
  <si>
    <t>13,07,</t>
  </si>
  <si>
    <t>06,07,</t>
  </si>
  <si>
    <t>29,06,</t>
  </si>
  <si>
    <t>5579 БЛИНЧ.КРУГЛЫЕ С САД.ЯБЛОК.пл.1/420 зам. ОСТАНКИНО</t>
  </si>
  <si>
    <t>шт</t>
  </si>
  <si>
    <t>матрица</t>
  </si>
  <si>
    <t>нужно увеличить продажи!!!</t>
  </si>
  <si>
    <t>5754 БЛИНЧ.КРУГЛЫЕ С МЯСОМ 4,5кг зам. ПМ ОСТАНКИНО</t>
  </si>
  <si>
    <t>кг</t>
  </si>
  <si>
    <t>5755 БЛИНЧ.КРУГЛЫЕ С ТВОРОГОМ 4,5кг зам. ПМ ОСТАНКИНО</t>
  </si>
  <si>
    <t>5897 БЛИНЧ.КРУГЛЫЕ С ГРУШЕЙ пл.1/420 зам.   ОСТАНКИНО</t>
  </si>
  <si>
    <t>нет потребности</t>
  </si>
  <si>
    <t>6148 БЛИНЧ.КРУГЛЫЕ С ВЕТЧ.И СЫР. ПМ 1/300 зам. ОСТАНКИНО</t>
  </si>
  <si>
    <t>6149 БЛИНЧ.КРУГЛЫЕ С ПЕЧЕНЬЮ ПМ 1/300 зам. ОСТАНКИНО</t>
  </si>
  <si>
    <t>6168 Блинчики с мясом пл. 1/350 зам. ОСТАНКИНО</t>
  </si>
  <si>
    <t>6202 БЛИНЧ.КРУГЛЫЕ С ТВОРОГОМ ПМ 1/300 зам. ОСТАНКИНО</t>
  </si>
  <si>
    <t>6209 Блинчики с куриным мясом пл. 1/350 зам. ОСТАНКИНО</t>
  </si>
  <si>
    <t>6819 БЛИНЧ.КРУГЛЫЕ С САД.ЯБЛОК. пл. 1/300 зам. ОСТАНКИНО</t>
  </si>
  <si>
    <t>7216 СОЧНЫЕ СО СЛ.МАСЛ.ПМ пельм пл.0.7кг зам. ОСТАНКИНО</t>
  </si>
  <si>
    <t>заказ</t>
  </si>
  <si>
    <t>31,08,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</si>
</sst>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3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R4" sqref="R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5" width="0.5703125" customWidth="1"/>
    <col min="16" max="17" width="7" customWidth="1"/>
    <col min="18" max="19" width="5" customWidth="1"/>
    <col min="20" max="27" width="6" customWidth="1"/>
    <col min="28" max="28" width="40.140625" customWidth="1"/>
    <col min="29" max="29" width="7" customWidth="1"/>
    <col min="30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47</v>
      </c>
      <c r="R3" s="2" t="s">
        <v>16</v>
      </c>
      <c r="S3" s="2" t="s">
        <v>17</v>
      </c>
      <c r="T3" s="2" t="s">
        <v>18</v>
      </c>
      <c r="U3" s="2" t="s">
        <v>18</v>
      </c>
      <c r="V3" s="2" t="s">
        <v>18</v>
      </c>
      <c r="W3" s="2" t="s">
        <v>18</v>
      </c>
      <c r="X3" s="2" t="s">
        <v>18</v>
      </c>
      <c r="Y3" s="2" t="s">
        <v>18</v>
      </c>
      <c r="Z3" s="2" t="s">
        <v>18</v>
      </c>
      <c r="AA3" s="2" t="s">
        <v>18</v>
      </c>
      <c r="AB3" s="2" t="s">
        <v>19</v>
      </c>
      <c r="AC3" s="2" t="s">
        <v>20</v>
      </c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21</v>
      </c>
      <c r="P4" s="1" t="s">
        <v>22</v>
      </c>
      <c r="Q4" s="1" t="s">
        <v>48</v>
      </c>
      <c r="R4" s="1"/>
      <c r="S4" s="1"/>
      <c r="T4" s="1" t="s">
        <v>23</v>
      </c>
      <c r="U4" s="1" t="s">
        <v>24</v>
      </c>
      <c r="V4" s="1" t="s">
        <v>25</v>
      </c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288</v>
      </c>
      <c r="F5" s="4">
        <f>SUM(F6:F500)</f>
        <v>1833.83</v>
      </c>
      <c r="G5" s="7"/>
      <c r="H5" s="1"/>
      <c r="I5" s="1"/>
      <c r="J5" s="1"/>
      <c r="K5" s="4">
        <f t="shared" ref="K5:Q5" si="0">SUM(K6:K500)</f>
        <v>284</v>
      </c>
      <c r="L5" s="4">
        <f t="shared" si="0"/>
        <v>4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57.6</v>
      </c>
      <c r="Q5" s="4">
        <f t="shared" si="0"/>
        <v>100</v>
      </c>
      <c r="R5" s="1"/>
      <c r="S5" s="1"/>
      <c r="T5" s="4">
        <f t="shared" ref="T5:AA5" si="1">SUM(T6:T500)</f>
        <v>15.600000000000001</v>
      </c>
      <c r="U5" s="4">
        <f t="shared" si="1"/>
        <v>19</v>
      </c>
      <c r="V5" s="4">
        <f t="shared" si="1"/>
        <v>136.226</v>
      </c>
      <c r="W5" s="4">
        <f t="shared" si="1"/>
        <v>45.400000000000006</v>
      </c>
      <c r="X5" s="4">
        <f t="shared" si="1"/>
        <v>81.2</v>
      </c>
      <c r="Y5" s="4">
        <f t="shared" si="1"/>
        <v>79.199999999999989</v>
      </c>
      <c r="Z5" s="4">
        <f t="shared" si="1"/>
        <v>0</v>
      </c>
      <c r="AA5" s="4">
        <f t="shared" si="1"/>
        <v>0</v>
      </c>
      <c r="AB5" s="1"/>
      <c r="AC5" s="4">
        <f>SUM(AC6:AC500)</f>
        <v>32.5</v>
      </c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31</v>
      </c>
      <c r="B6" s="1" t="s">
        <v>32</v>
      </c>
      <c r="C6" s="1">
        <v>95</v>
      </c>
      <c r="D6" s="1"/>
      <c r="E6" s="1">
        <v>3</v>
      </c>
      <c r="F6" s="1">
        <v>92</v>
      </c>
      <c r="G6" s="7">
        <v>0.42</v>
      </c>
      <c r="H6" s="1">
        <v>120</v>
      </c>
      <c r="I6" s="1" t="s">
        <v>33</v>
      </c>
      <c r="J6" s="1"/>
      <c r="K6" s="1">
        <v>3</v>
      </c>
      <c r="L6" s="1">
        <f t="shared" ref="L6:L16" si="2">E6-K6</f>
        <v>0</v>
      </c>
      <c r="M6" s="1"/>
      <c r="N6" s="1"/>
      <c r="O6" s="1"/>
      <c r="P6" s="1">
        <f>E6/5</f>
        <v>0.6</v>
      </c>
      <c r="Q6" s="5"/>
      <c r="R6" s="1">
        <f>(F6+Q6)/P6</f>
        <v>153.33333333333334</v>
      </c>
      <c r="S6" s="1">
        <f>F6/P6</f>
        <v>153.33333333333334</v>
      </c>
      <c r="T6" s="1">
        <v>0.6</v>
      </c>
      <c r="U6" s="1">
        <v>0</v>
      </c>
      <c r="V6" s="1">
        <v>8.4</v>
      </c>
      <c r="W6" s="1">
        <v>1</v>
      </c>
      <c r="X6" s="1">
        <v>9</v>
      </c>
      <c r="Y6" s="1">
        <v>2</v>
      </c>
      <c r="Z6" s="1">
        <v>0</v>
      </c>
      <c r="AA6" s="1">
        <v>0</v>
      </c>
      <c r="AB6" s="12" t="s">
        <v>34</v>
      </c>
      <c r="AC6" s="1">
        <f>G6*Q6</f>
        <v>0</v>
      </c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35</v>
      </c>
      <c r="B7" s="1" t="s">
        <v>36</v>
      </c>
      <c r="C7" s="1">
        <v>196.68199999999999</v>
      </c>
      <c r="D7" s="1"/>
      <c r="E7" s="1"/>
      <c r="F7" s="1">
        <v>196.68199999999999</v>
      </c>
      <c r="G7" s="7">
        <v>1</v>
      </c>
      <c r="H7" s="1">
        <v>120</v>
      </c>
      <c r="I7" s="1" t="s">
        <v>33</v>
      </c>
      <c r="J7" s="1"/>
      <c r="K7" s="1"/>
      <c r="L7" s="1">
        <f t="shared" si="2"/>
        <v>0</v>
      </c>
      <c r="M7" s="1"/>
      <c r="N7" s="1"/>
      <c r="O7" s="1"/>
      <c r="P7" s="1">
        <f t="shared" ref="P7:P16" si="3">E7/5</f>
        <v>0</v>
      </c>
      <c r="Q7" s="5"/>
      <c r="R7" s="1" t="e">
        <f t="shared" ref="R7:R16" si="4">(F7+Q7)/P7</f>
        <v>#DIV/0!</v>
      </c>
      <c r="S7" s="1" t="e">
        <f t="shared" ref="S7:S16" si="5">F7/P7</f>
        <v>#DIV/0!</v>
      </c>
      <c r="T7" s="1">
        <v>0</v>
      </c>
      <c r="U7" s="1">
        <v>0</v>
      </c>
      <c r="V7" s="1">
        <v>0.91880000000000006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2" t="s">
        <v>34</v>
      </c>
      <c r="AC7" s="1">
        <f>G7*Q7</f>
        <v>0</v>
      </c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37</v>
      </c>
      <c r="B8" s="1" t="s">
        <v>36</v>
      </c>
      <c r="C8" s="1">
        <v>95.147999999999996</v>
      </c>
      <c r="D8" s="1"/>
      <c r="E8" s="1"/>
      <c r="F8" s="1">
        <v>95.147999999999996</v>
      </c>
      <c r="G8" s="7">
        <v>1</v>
      </c>
      <c r="H8" s="1">
        <v>120</v>
      </c>
      <c r="I8" s="1" t="s">
        <v>33</v>
      </c>
      <c r="J8" s="1"/>
      <c r="K8" s="1"/>
      <c r="L8" s="1">
        <f t="shared" si="2"/>
        <v>0</v>
      </c>
      <c r="M8" s="1"/>
      <c r="N8" s="1"/>
      <c r="O8" s="1"/>
      <c r="P8" s="1">
        <f t="shared" si="3"/>
        <v>0</v>
      </c>
      <c r="Q8" s="5"/>
      <c r="R8" s="1" t="e">
        <f t="shared" si="4"/>
        <v>#DIV/0!</v>
      </c>
      <c r="S8" s="1" t="e">
        <f t="shared" si="5"/>
        <v>#DIV/0!</v>
      </c>
      <c r="T8" s="1">
        <v>0</v>
      </c>
      <c r="U8" s="1">
        <v>0</v>
      </c>
      <c r="V8" s="1">
        <v>0.9071999999999999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2" t="s">
        <v>34</v>
      </c>
      <c r="AC8" s="1">
        <f>G8*Q8</f>
        <v>0</v>
      </c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9" t="s">
        <v>38</v>
      </c>
      <c r="B9" s="9" t="s">
        <v>32</v>
      </c>
      <c r="C9" s="9"/>
      <c r="D9" s="9"/>
      <c r="E9" s="9"/>
      <c r="F9" s="9"/>
      <c r="G9" s="10">
        <v>0</v>
      </c>
      <c r="H9" s="9">
        <v>120</v>
      </c>
      <c r="I9" s="9" t="s">
        <v>33</v>
      </c>
      <c r="J9" s="9"/>
      <c r="K9" s="9"/>
      <c r="L9" s="9">
        <f t="shared" si="2"/>
        <v>0</v>
      </c>
      <c r="M9" s="9"/>
      <c r="N9" s="9"/>
      <c r="O9" s="9"/>
      <c r="P9" s="9">
        <f t="shared" si="3"/>
        <v>0</v>
      </c>
      <c r="Q9" s="11"/>
      <c r="R9" s="9" t="e">
        <f t="shared" si="4"/>
        <v>#DIV/0!</v>
      </c>
      <c r="S9" s="9" t="e">
        <f t="shared" si="5"/>
        <v>#DIV/0!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9" t="s">
        <v>39</v>
      </c>
      <c r="AC9" s="9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40</v>
      </c>
      <c r="B10" s="1" t="s">
        <v>32</v>
      </c>
      <c r="C10" s="1">
        <v>390</v>
      </c>
      <c r="D10" s="1"/>
      <c r="E10" s="1">
        <v>61</v>
      </c>
      <c r="F10" s="1">
        <v>329</v>
      </c>
      <c r="G10" s="7">
        <v>0.3</v>
      </c>
      <c r="H10" s="1">
        <v>120</v>
      </c>
      <c r="I10" s="1" t="s">
        <v>33</v>
      </c>
      <c r="J10" s="1"/>
      <c r="K10" s="1">
        <v>61</v>
      </c>
      <c r="L10" s="1">
        <f t="shared" si="2"/>
        <v>0</v>
      </c>
      <c r="M10" s="1"/>
      <c r="N10" s="1"/>
      <c r="O10" s="1"/>
      <c r="P10" s="1">
        <f t="shared" si="3"/>
        <v>12.2</v>
      </c>
      <c r="Q10" s="5"/>
      <c r="R10" s="1">
        <f t="shared" si="4"/>
        <v>26.967213114754099</v>
      </c>
      <c r="S10" s="1">
        <f t="shared" si="5"/>
        <v>26.967213114754099</v>
      </c>
      <c r="T10" s="1">
        <v>1.2</v>
      </c>
      <c r="U10" s="1">
        <v>2.4</v>
      </c>
      <c r="V10" s="1">
        <v>37.4</v>
      </c>
      <c r="W10" s="1">
        <v>16</v>
      </c>
      <c r="X10" s="1">
        <v>18.2</v>
      </c>
      <c r="Y10" s="1">
        <v>19.600000000000001</v>
      </c>
      <c r="Z10" s="1">
        <v>0</v>
      </c>
      <c r="AA10" s="1">
        <v>0</v>
      </c>
      <c r="AB10" s="12" t="s">
        <v>34</v>
      </c>
      <c r="AC10" s="1">
        <f t="shared" ref="AC10:AC16" si="6">G10*Q10</f>
        <v>0</v>
      </c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41</v>
      </c>
      <c r="B11" s="1" t="s">
        <v>32</v>
      </c>
      <c r="C11" s="1">
        <v>124</v>
      </c>
      <c r="D11" s="1"/>
      <c r="E11" s="1">
        <v>29</v>
      </c>
      <c r="F11" s="1">
        <v>95</v>
      </c>
      <c r="G11" s="7">
        <v>0.3</v>
      </c>
      <c r="H11" s="1">
        <v>120</v>
      </c>
      <c r="I11" s="1" t="s">
        <v>33</v>
      </c>
      <c r="J11" s="1"/>
      <c r="K11" s="1">
        <v>27</v>
      </c>
      <c r="L11" s="1">
        <f t="shared" si="2"/>
        <v>2</v>
      </c>
      <c r="M11" s="1"/>
      <c r="N11" s="1"/>
      <c r="O11" s="1"/>
      <c r="P11" s="1">
        <f t="shared" si="3"/>
        <v>5.8</v>
      </c>
      <c r="Q11" s="5"/>
      <c r="R11" s="1">
        <f t="shared" si="4"/>
        <v>16.379310344827587</v>
      </c>
      <c r="S11" s="1">
        <f t="shared" si="5"/>
        <v>16.379310344827587</v>
      </c>
      <c r="T11" s="1">
        <v>1.4</v>
      </c>
      <c r="U11" s="1">
        <v>4.4000000000000004</v>
      </c>
      <c r="V11" s="1">
        <v>8.8000000000000007</v>
      </c>
      <c r="W11" s="1">
        <v>4.4000000000000004</v>
      </c>
      <c r="X11" s="1">
        <v>15.4</v>
      </c>
      <c r="Y11" s="1">
        <v>3.2</v>
      </c>
      <c r="Z11" s="1">
        <v>0</v>
      </c>
      <c r="AA11" s="1">
        <v>0</v>
      </c>
      <c r="AB11" s="1"/>
      <c r="AC11" s="1">
        <f t="shared" si="6"/>
        <v>0</v>
      </c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42</v>
      </c>
      <c r="B12" s="1" t="s">
        <v>32</v>
      </c>
      <c r="C12" s="1">
        <v>435</v>
      </c>
      <c r="D12" s="1"/>
      <c r="E12" s="1">
        <v>59</v>
      </c>
      <c r="F12" s="1">
        <v>373</v>
      </c>
      <c r="G12" s="7">
        <v>0.35</v>
      </c>
      <c r="H12" s="1">
        <v>120</v>
      </c>
      <c r="I12" s="1" t="s">
        <v>33</v>
      </c>
      <c r="J12" s="1"/>
      <c r="K12" s="1">
        <v>59</v>
      </c>
      <c r="L12" s="1">
        <f t="shared" si="2"/>
        <v>0</v>
      </c>
      <c r="M12" s="1"/>
      <c r="N12" s="1"/>
      <c r="O12" s="1"/>
      <c r="P12" s="1">
        <f t="shared" si="3"/>
        <v>11.8</v>
      </c>
      <c r="Q12" s="5"/>
      <c r="R12" s="1">
        <f t="shared" si="4"/>
        <v>31.610169491525422</v>
      </c>
      <c r="S12" s="1">
        <f t="shared" si="5"/>
        <v>31.610169491525422</v>
      </c>
      <c r="T12" s="1">
        <v>2.4</v>
      </c>
      <c r="U12" s="1">
        <v>2.6</v>
      </c>
      <c r="V12" s="1">
        <v>37.6</v>
      </c>
      <c r="W12" s="1">
        <v>0.6</v>
      </c>
      <c r="X12" s="1">
        <v>-0.6</v>
      </c>
      <c r="Y12" s="1">
        <v>20.2</v>
      </c>
      <c r="Z12" s="1">
        <v>0</v>
      </c>
      <c r="AA12" s="1">
        <v>0</v>
      </c>
      <c r="AB12" s="12" t="s">
        <v>34</v>
      </c>
      <c r="AC12" s="1">
        <f t="shared" si="6"/>
        <v>0</v>
      </c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43</v>
      </c>
      <c r="B13" s="1" t="s">
        <v>32</v>
      </c>
      <c r="C13" s="1">
        <v>87</v>
      </c>
      <c r="D13" s="1"/>
      <c r="E13" s="1">
        <v>29</v>
      </c>
      <c r="F13" s="1">
        <v>58</v>
      </c>
      <c r="G13" s="7">
        <v>0.3</v>
      </c>
      <c r="H13" s="1">
        <v>120</v>
      </c>
      <c r="I13" s="1" t="s">
        <v>33</v>
      </c>
      <c r="J13" s="1"/>
      <c r="K13" s="1">
        <v>29</v>
      </c>
      <c r="L13" s="1">
        <f t="shared" si="2"/>
        <v>0</v>
      </c>
      <c r="M13" s="1"/>
      <c r="N13" s="1"/>
      <c r="O13" s="1"/>
      <c r="P13" s="1">
        <f t="shared" si="3"/>
        <v>5.8</v>
      </c>
      <c r="Q13" s="5">
        <v>50</v>
      </c>
      <c r="R13" s="1">
        <f t="shared" si="4"/>
        <v>18.620689655172413</v>
      </c>
      <c r="S13" s="1">
        <f t="shared" si="5"/>
        <v>10</v>
      </c>
      <c r="T13" s="1">
        <v>3.2</v>
      </c>
      <c r="U13" s="1">
        <v>3.8</v>
      </c>
      <c r="V13" s="1">
        <v>0.2</v>
      </c>
      <c r="W13" s="1">
        <v>5</v>
      </c>
      <c r="X13" s="1">
        <v>10.6</v>
      </c>
      <c r="Y13" s="1">
        <v>3</v>
      </c>
      <c r="Z13" s="1">
        <v>0</v>
      </c>
      <c r="AA13" s="1">
        <v>0</v>
      </c>
      <c r="AB13" s="1"/>
      <c r="AC13" s="1">
        <f t="shared" si="6"/>
        <v>15</v>
      </c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44</v>
      </c>
      <c r="B14" s="1" t="s">
        <v>32</v>
      </c>
      <c r="C14" s="1">
        <v>388</v>
      </c>
      <c r="D14" s="1"/>
      <c r="E14" s="1">
        <v>98</v>
      </c>
      <c r="F14" s="1">
        <v>287</v>
      </c>
      <c r="G14" s="7">
        <v>0.35</v>
      </c>
      <c r="H14" s="1">
        <v>120</v>
      </c>
      <c r="I14" s="1" t="s">
        <v>33</v>
      </c>
      <c r="J14" s="1"/>
      <c r="K14" s="1">
        <v>96</v>
      </c>
      <c r="L14" s="1">
        <f t="shared" si="2"/>
        <v>2</v>
      </c>
      <c r="M14" s="1"/>
      <c r="N14" s="1"/>
      <c r="O14" s="1"/>
      <c r="P14" s="1">
        <f t="shared" si="3"/>
        <v>19.600000000000001</v>
      </c>
      <c r="Q14" s="5">
        <v>50</v>
      </c>
      <c r="R14" s="1">
        <f t="shared" si="4"/>
        <v>17.193877551020407</v>
      </c>
      <c r="S14" s="1">
        <f t="shared" si="5"/>
        <v>14.642857142857142</v>
      </c>
      <c r="T14" s="1">
        <v>3.8</v>
      </c>
      <c r="U14" s="1">
        <v>4.4000000000000004</v>
      </c>
      <c r="V14" s="1">
        <v>39.4</v>
      </c>
      <c r="W14" s="1">
        <v>16.2</v>
      </c>
      <c r="X14" s="1">
        <v>22.8</v>
      </c>
      <c r="Y14" s="1">
        <v>20.6</v>
      </c>
      <c r="Z14" s="1">
        <v>0</v>
      </c>
      <c r="AA14" s="1">
        <v>0</v>
      </c>
      <c r="AB14" s="1"/>
      <c r="AC14" s="1">
        <f t="shared" si="6"/>
        <v>17.5</v>
      </c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45</v>
      </c>
      <c r="B15" s="1" t="s">
        <v>32</v>
      </c>
      <c r="C15" s="1">
        <v>38</v>
      </c>
      <c r="D15" s="1"/>
      <c r="E15" s="1">
        <v>3</v>
      </c>
      <c r="F15" s="1">
        <v>35</v>
      </c>
      <c r="G15" s="7">
        <v>0.3</v>
      </c>
      <c r="H15" s="1">
        <v>120</v>
      </c>
      <c r="I15" s="1" t="s">
        <v>33</v>
      </c>
      <c r="J15" s="1"/>
      <c r="K15" s="1">
        <v>3</v>
      </c>
      <c r="L15" s="1">
        <f t="shared" si="2"/>
        <v>0</v>
      </c>
      <c r="M15" s="1"/>
      <c r="N15" s="1"/>
      <c r="O15" s="1"/>
      <c r="P15" s="1">
        <f t="shared" si="3"/>
        <v>0.6</v>
      </c>
      <c r="Q15" s="5"/>
      <c r="R15" s="1">
        <f t="shared" si="4"/>
        <v>58.333333333333336</v>
      </c>
      <c r="S15" s="1">
        <f t="shared" si="5"/>
        <v>58.333333333333336</v>
      </c>
      <c r="T15" s="1">
        <v>0.6</v>
      </c>
      <c r="U15" s="1">
        <v>0.4</v>
      </c>
      <c r="V15" s="1">
        <v>1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2" t="s">
        <v>34</v>
      </c>
      <c r="AC15" s="1">
        <f t="shared" si="6"/>
        <v>0</v>
      </c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46</v>
      </c>
      <c r="B16" s="1" t="s">
        <v>32</v>
      </c>
      <c r="C16" s="1">
        <v>282</v>
      </c>
      <c r="D16" s="1"/>
      <c r="E16" s="1">
        <v>6</v>
      </c>
      <c r="F16" s="1">
        <v>273</v>
      </c>
      <c r="G16" s="7">
        <v>0.7</v>
      </c>
      <c r="H16" s="1">
        <v>180</v>
      </c>
      <c r="I16" s="1" t="s">
        <v>33</v>
      </c>
      <c r="J16" s="1"/>
      <c r="K16" s="1">
        <v>6</v>
      </c>
      <c r="L16" s="1">
        <f t="shared" si="2"/>
        <v>0</v>
      </c>
      <c r="M16" s="1"/>
      <c r="N16" s="1"/>
      <c r="O16" s="1"/>
      <c r="P16" s="1">
        <f t="shared" si="3"/>
        <v>1.2</v>
      </c>
      <c r="Q16" s="5"/>
      <c r="R16" s="1">
        <f t="shared" si="4"/>
        <v>227.5</v>
      </c>
      <c r="S16" s="1">
        <f t="shared" si="5"/>
        <v>227.5</v>
      </c>
      <c r="T16" s="1">
        <v>2.4</v>
      </c>
      <c r="U16" s="1">
        <v>1</v>
      </c>
      <c r="V16" s="1">
        <v>1.6</v>
      </c>
      <c r="W16" s="1">
        <v>2.2000000000000002</v>
      </c>
      <c r="X16" s="1">
        <v>5.8</v>
      </c>
      <c r="Y16" s="1">
        <v>10.6</v>
      </c>
      <c r="Z16" s="1">
        <v>0</v>
      </c>
      <c r="AA16" s="1">
        <v>0</v>
      </c>
      <c r="AB16" s="12" t="s">
        <v>34</v>
      </c>
      <c r="AC16" s="1">
        <f t="shared" si="6"/>
        <v>0</v>
      </c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/>
      <c r="B17" s="1"/>
      <c r="C17" s="1"/>
      <c r="D17" s="1"/>
      <c r="E17" s="1"/>
      <c r="F17" s="1"/>
      <c r="G17" s="7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/>
      <c r="B18" s="1"/>
      <c r="C18" s="1"/>
      <c r="D18" s="1"/>
      <c r="E18" s="1"/>
      <c r="F18" s="1"/>
      <c r="G18" s="7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/>
      <c r="B19" s="1"/>
      <c r="C19" s="1"/>
      <c r="D19" s="1"/>
      <c r="E19" s="1"/>
      <c r="F19" s="1"/>
      <c r="G19" s="7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/>
      <c r="B20" s="1"/>
      <c r="C20" s="1"/>
      <c r="D20" s="1"/>
      <c r="E20" s="1"/>
      <c r="F20" s="1"/>
      <c r="G20" s="7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/>
      <c r="B21" s="1"/>
      <c r="C21" s="1"/>
      <c r="D21" s="1"/>
      <c r="E21" s="1"/>
      <c r="F21" s="1"/>
      <c r="G21" s="7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/>
      <c r="B22" s="1"/>
      <c r="C22" s="1"/>
      <c r="D22" s="1"/>
      <c r="E22" s="1"/>
      <c r="F22" s="1"/>
      <c r="G22" s="7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/>
      <c r="B23" s="1"/>
      <c r="C23" s="1"/>
      <c r="D23" s="1"/>
      <c r="E23" s="1"/>
      <c r="F23" s="1"/>
      <c r="G23" s="7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/>
      <c r="B24" s="1"/>
      <c r="C24" s="1"/>
      <c r="D24" s="1"/>
      <c r="E24" s="1"/>
      <c r="F24" s="1"/>
      <c r="G24" s="7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/>
      <c r="B25" s="1"/>
      <c r="C25" s="1"/>
      <c r="D25" s="1"/>
      <c r="E25" s="1"/>
      <c r="F25" s="1"/>
      <c r="G25" s="7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/>
      <c r="B26" s="1"/>
      <c r="C26" s="1"/>
      <c r="D26" s="1"/>
      <c r="E26" s="1"/>
      <c r="F26" s="1"/>
      <c r="G26" s="7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/>
      <c r="B27" s="1"/>
      <c r="C27" s="1"/>
      <c r="D27" s="1"/>
      <c r="E27" s="1"/>
      <c r="F27" s="1"/>
      <c r="G27" s="7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/>
      <c r="B28" s="1"/>
      <c r="C28" s="1"/>
      <c r="D28" s="1"/>
      <c r="E28" s="1"/>
      <c r="F28" s="1"/>
      <c r="G28" s="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/>
      <c r="B29" s="1"/>
      <c r="C29" s="1"/>
      <c r="D29" s="1"/>
      <c r="E29" s="1"/>
      <c r="F29" s="1"/>
      <c r="G29" s="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/>
      <c r="B30" s="1"/>
      <c r="C30" s="1"/>
      <c r="D30" s="1"/>
      <c r="E30" s="1"/>
      <c r="F30" s="1"/>
      <c r="G30" s="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/>
      <c r="B31" s="1"/>
      <c r="C31" s="1"/>
      <c r="D31" s="1"/>
      <c r="E31" s="1"/>
      <c r="F31" s="1"/>
      <c r="G31" s="7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/>
      <c r="B32" s="1"/>
      <c r="C32" s="1"/>
      <c r="D32" s="1"/>
      <c r="E32" s="1"/>
      <c r="F32" s="1"/>
      <c r="G32" s="7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/>
      <c r="B33" s="1"/>
      <c r="C33" s="1"/>
      <c r="D33" s="1"/>
      <c r="E33" s="1"/>
      <c r="F33" s="1"/>
      <c r="G33" s="7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/>
      <c r="B34" s="1"/>
      <c r="C34" s="1"/>
      <c r="D34" s="1"/>
      <c r="E34" s="1"/>
      <c r="F34" s="1"/>
      <c r="G34" s="7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/>
      <c r="B35" s="1"/>
      <c r="C35" s="1"/>
      <c r="D35" s="1"/>
      <c r="E35" s="1"/>
      <c r="F35" s="1"/>
      <c r="G35" s="7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/>
      <c r="B36" s="1"/>
      <c r="C36" s="1"/>
      <c r="D36" s="1"/>
      <c r="E36" s="1"/>
      <c r="F36" s="1"/>
      <c r="G36" s="7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/>
      <c r="B37" s="1"/>
      <c r="C37" s="1"/>
      <c r="D37" s="1"/>
      <c r="E37" s="1"/>
      <c r="F37" s="1"/>
      <c r="G37" s="7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/>
      <c r="B38" s="1"/>
      <c r="C38" s="1"/>
      <c r="D38" s="1"/>
      <c r="E38" s="1"/>
      <c r="F38" s="1"/>
      <c r="G38" s="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/>
      <c r="B39" s="1"/>
      <c r="C39" s="1"/>
      <c r="D39" s="1"/>
      <c r="E39" s="1"/>
      <c r="F39" s="1"/>
      <c r="G39" s="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/>
      <c r="B40" s="1"/>
      <c r="C40" s="1"/>
      <c r="D40" s="1"/>
      <c r="E40" s="1"/>
      <c r="F40" s="1"/>
      <c r="G40" s="7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/>
      <c r="B41" s="1"/>
      <c r="C41" s="1"/>
      <c r="D41" s="1"/>
      <c r="E41" s="1"/>
      <c r="F41" s="1"/>
      <c r="G41" s="7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/>
      <c r="B42" s="1"/>
      <c r="C42" s="1"/>
      <c r="D42" s="1"/>
      <c r="E42" s="1"/>
      <c r="F42" s="1"/>
      <c r="G42" s="7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/>
      <c r="B43" s="1"/>
      <c r="C43" s="1"/>
      <c r="D43" s="1"/>
      <c r="E43" s="1"/>
      <c r="F43" s="1"/>
      <c r="G43" s="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/>
      <c r="B44" s="1"/>
      <c r="C44" s="1"/>
      <c r="D44" s="1"/>
      <c r="E44" s="1"/>
      <c r="F44" s="1"/>
      <c r="G44" s="7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/>
      <c r="B45" s="1"/>
      <c r="C45" s="1"/>
      <c r="D45" s="1"/>
      <c r="E45" s="1"/>
      <c r="F45" s="1"/>
      <c r="G45" s="7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2026-08-24T15:45:52Z</dcterms:created>
  <dcterms:modified xsi:type="dcterms:W3CDTF">2026-08-26T11:52:54Z</dcterms:modified>
</cp:coreProperties>
</file>