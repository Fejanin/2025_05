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2F7F6C72-721C-4E62-A439-37C6CC71C3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6" i="1"/>
  <c r="AH7" i="1"/>
  <c r="AH8" i="1"/>
  <c r="AH9" i="1"/>
  <c r="AH10" i="1"/>
  <c r="AH11" i="1"/>
  <c r="AH12" i="1"/>
  <c r="AH13" i="1"/>
  <c r="AH14" i="1"/>
  <c r="AH15" i="1"/>
  <c r="AH16" i="1"/>
  <c r="AH6" i="1"/>
  <c r="T7" i="1"/>
  <c r="T8" i="1"/>
  <c r="T9" i="1"/>
  <c r="T10" i="1"/>
  <c r="T11" i="1"/>
  <c r="T12" i="1"/>
  <c r="T13" i="1"/>
  <c r="T14" i="1"/>
  <c r="T15" i="1"/>
  <c r="T16" i="1"/>
  <c r="T6" i="1"/>
  <c r="R5" i="1"/>
  <c r="Q12" i="1" l="1"/>
  <c r="P11" i="1"/>
  <c r="Q7" i="1"/>
  <c r="Q9" i="1"/>
  <c r="Q10" i="1"/>
  <c r="Q13" i="1"/>
  <c r="Q14" i="1"/>
  <c r="U7" i="1"/>
  <c r="U8" i="1"/>
  <c r="U9" i="1"/>
  <c r="U10" i="1"/>
  <c r="U11" i="1"/>
  <c r="U12" i="1"/>
  <c r="U13" i="1"/>
  <c r="U14" i="1"/>
  <c r="U15" i="1"/>
  <c r="U16" i="1"/>
  <c r="U6" i="1"/>
  <c r="P7" i="1"/>
  <c r="P8" i="1"/>
  <c r="P9" i="1"/>
  <c r="P10" i="1"/>
  <c r="P12" i="1"/>
  <c r="P13" i="1"/>
  <c r="P14" i="1"/>
  <c r="P15" i="1"/>
  <c r="P16" i="1"/>
  <c r="P6" i="1"/>
  <c r="L16" i="1" l="1"/>
  <c r="L15" i="1"/>
  <c r="L14" i="1"/>
  <c r="L13" i="1"/>
  <c r="L12" i="1"/>
  <c r="L11" i="1"/>
  <c r="L10" i="1"/>
  <c r="L9" i="1"/>
  <c r="L8" i="1"/>
  <c r="L7" i="1"/>
  <c r="L6" i="1"/>
  <c r="L5" i="1" s="1"/>
  <c r="AH5" i="1"/>
  <c r="AF5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<sst xmlns="http://schemas.openxmlformats.org/spreadsheetml/2006/main" count="85" uniqueCount="54">
  <si>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</si>
  <si>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</si>
  <si>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</si>
  <si>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</si>
  <si>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</si>
  <si>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</si>
  <si>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</si>
  <si>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</si>
  <si>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</si>
  <si>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</si>
  <si>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</si>
  <si>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</si>
  <si>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</si>
  <si>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</si>
  <si>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</si>
  <si>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</si>
  <si>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</si>
  <si>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</si>
  <si>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</si>
  <si>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</si>
  <si>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</si>
  <si>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</si>
  <si>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</si>
  <si>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</si>
  <si>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</si>
  <si>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</si>
  <si>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</si>
  <si>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</si>
  <si>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</si>
  <si>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</si>
  <si>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</si>
  <si>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</si>
  <si>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</si>
  <si>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</si>
  <si>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</si>
  <si>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</si>
  <si>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</si>
  <si>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</si>
  <si>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</si>
  <si>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</si>
  <si>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</si>
  <si>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</si>
  <si>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</si>
  <si>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</si>
  <si>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</si>
  <si>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</si>
  <si>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</si>
  <si>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</si>
  <si>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</si>
  <si>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</si>
  <si>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ТК</t>
  </si>
  <si>
    <t>Чепрасова</t>
  </si>
  <si>
    <t>заказ</t>
  </si>
  <si>
    <t>05,10,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</si>
</sst>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80926%20&#1083;&#1075;&#1088;&#1089;&#1095;%20&#1086;&#1089;&#1090;%20&#1079;&#1087;&#1092;%2030.09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28,09,</v>
          </cell>
          <cell r="P4" t="str">
            <v>28,09,</v>
          </cell>
        </row>
        <row r="5">
          <cell r="E5">
            <v>1126.5</v>
          </cell>
          <cell r="F5">
            <v>1143</v>
          </cell>
          <cell r="K5">
            <v>1340.5</v>
          </cell>
          <cell r="L5">
            <v>-214</v>
          </cell>
          <cell r="M5">
            <v>0</v>
          </cell>
          <cell r="N5">
            <v>0</v>
          </cell>
          <cell r="O5">
            <v>1640</v>
          </cell>
          <cell r="P5">
            <v>225.3</v>
          </cell>
          <cell r="Q5">
            <v>693.3</v>
          </cell>
        </row>
        <row r="6">
          <cell r="A6" t="str">
            <v>5579 БЛИНЧ.КРУГЛЫЕ С САД.ЯБЛОК.пл.1/420 зам. ОСТАНКИНО</v>
          </cell>
          <cell r="B6" t="str">
            <v>шт</v>
          </cell>
          <cell r="C6">
            <v>19</v>
          </cell>
          <cell r="D6">
            <v>22</v>
          </cell>
          <cell r="E6">
            <v>14</v>
          </cell>
          <cell r="F6">
            <v>27</v>
          </cell>
          <cell r="G6">
            <v>0.42</v>
          </cell>
          <cell r="H6">
            <v>120</v>
          </cell>
          <cell r="I6" t="str">
            <v>матрица</v>
          </cell>
          <cell r="K6">
            <v>14</v>
          </cell>
          <cell r="L6">
            <v>0</v>
          </cell>
          <cell r="O6">
            <v>20</v>
          </cell>
          <cell r="P6">
            <v>2.8</v>
          </cell>
        </row>
        <row r="7">
          <cell r="A7" t="str">
            <v>5754 БЛИНЧ.КРУГЛЫЕ С МЯСОМ 4,5кг зам. ПМ ОСТАНКИНО</v>
          </cell>
          <cell r="B7" t="str">
            <v>кг</v>
          </cell>
          <cell r="C7">
            <v>68.313999999999993</v>
          </cell>
          <cell r="D7">
            <v>18.184000000000001</v>
          </cell>
          <cell r="E7">
            <v>18</v>
          </cell>
          <cell r="F7">
            <v>49.5</v>
          </cell>
          <cell r="G7">
            <v>1</v>
          </cell>
          <cell r="H7">
            <v>120</v>
          </cell>
          <cell r="I7" t="str">
            <v>матрица</v>
          </cell>
          <cell r="K7">
            <v>18</v>
          </cell>
          <cell r="L7">
            <v>0</v>
          </cell>
          <cell r="P7">
            <v>3.6</v>
          </cell>
          <cell r="Q7">
            <v>4.5</v>
          </cell>
          <cell r="R7">
            <v>40</v>
          </cell>
        </row>
        <row r="8">
          <cell r="A8" t="str">
            <v>5755 БЛИНЧ.КРУГЛЫЕ С ТВОРОГОМ 4,5кг зам. ПМ ОСТАНКИНО</v>
          </cell>
          <cell r="B8" t="str">
            <v>кг</v>
          </cell>
          <cell r="C8">
            <v>-4.5</v>
          </cell>
          <cell r="D8">
            <v>59.316000000000003</v>
          </cell>
          <cell r="E8">
            <v>4.5</v>
          </cell>
          <cell r="F8">
            <v>40.5</v>
          </cell>
          <cell r="G8">
            <v>1</v>
          </cell>
          <cell r="H8">
            <v>120</v>
          </cell>
          <cell r="I8" t="str">
            <v>матрица</v>
          </cell>
          <cell r="K8">
            <v>4.5</v>
          </cell>
          <cell r="L8">
            <v>0</v>
          </cell>
          <cell r="O8">
            <v>30</v>
          </cell>
          <cell r="P8">
            <v>0.9</v>
          </cell>
          <cell r="R8">
            <v>30</v>
          </cell>
        </row>
        <row r="9">
          <cell r="A9" t="str">
            <v>5897 БЛИНЧ.КРУГЛЫЕ С ГРУШЕЙ пл.1/420 зам.   ОСТАНКИНО</v>
          </cell>
          <cell r="B9" t="str">
            <v>шт</v>
          </cell>
          <cell r="C9">
            <v>85</v>
          </cell>
          <cell r="D9">
            <v>3</v>
          </cell>
          <cell r="E9">
            <v>41</v>
          </cell>
          <cell r="F9">
            <v>39</v>
          </cell>
          <cell r="G9">
            <v>0.42</v>
          </cell>
          <cell r="H9">
            <v>120</v>
          </cell>
          <cell r="I9" t="str">
            <v>матрица</v>
          </cell>
          <cell r="K9">
            <v>41</v>
          </cell>
          <cell r="L9">
            <v>0</v>
          </cell>
          <cell r="P9">
            <v>8.1999999999999993</v>
          </cell>
          <cell r="Q9">
            <v>83.999999999999986</v>
          </cell>
          <cell r="R9">
            <v>100</v>
          </cell>
        </row>
        <row r="10">
          <cell r="A10" t="str">
            <v>6148 БЛИНЧ.КРУГЛЫЕ С ВЕТЧ.И СЫР. ПМ 1/300 зам. ОСТАНКИНО</v>
          </cell>
          <cell r="B10" t="str">
            <v>шт</v>
          </cell>
          <cell r="C10">
            <v>54</v>
          </cell>
          <cell r="D10">
            <v>750</v>
          </cell>
          <cell r="E10">
            <v>255</v>
          </cell>
          <cell r="F10">
            <v>379</v>
          </cell>
          <cell r="G10">
            <v>0.3</v>
          </cell>
          <cell r="H10">
            <v>120</v>
          </cell>
          <cell r="I10" t="str">
            <v>матрица</v>
          </cell>
          <cell r="K10">
            <v>310</v>
          </cell>
          <cell r="L10">
            <v>-55</v>
          </cell>
          <cell r="O10">
            <v>250</v>
          </cell>
          <cell r="P10">
            <v>51</v>
          </cell>
          <cell r="Q10">
            <v>136</v>
          </cell>
          <cell r="R10">
            <v>190</v>
          </cell>
        </row>
        <row r="11">
          <cell r="A11" t="str">
            <v>6149 БЛИНЧ.КРУГЛЫЕ С ПЕЧЕНЬЮ ПМ 1/300 зам. ОСТАНКИНО</v>
          </cell>
          <cell r="B11" t="str">
            <v>шт</v>
          </cell>
          <cell r="C11">
            <v>12</v>
          </cell>
          <cell r="D11">
            <v>297</v>
          </cell>
          <cell r="E11">
            <v>137</v>
          </cell>
          <cell r="F11">
            <v>67</v>
          </cell>
          <cell r="G11">
            <v>0.3</v>
          </cell>
          <cell r="H11">
            <v>120</v>
          </cell>
          <cell r="I11" t="str">
            <v>матрица</v>
          </cell>
          <cell r="K11">
            <v>220</v>
          </cell>
          <cell r="L11">
            <v>-83</v>
          </cell>
          <cell r="O11">
            <v>410</v>
          </cell>
          <cell r="P11">
            <v>27.4</v>
          </cell>
          <cell r="R11">
            <v>60</v>
          </cell>
        </row>
        <row r="12">
          <cell r="A12" t="str">
            <v>6168 Блинчики с мясом пл. 1/350 зам. ОСТАНКИНО</v>
          </cell>
          <cell r="B12" t="str">
            <v>шт</v>
          </cell>
          <cell r="C12">
            <v>123</v>
          </cell>
          <cell r="D12">
            <v>112</v>
          </cell>
          <cell r="E12">
            <v>152</v>
          </cell>
          <cell r="F12">
            <v>20</v>
          </cell>
          <cell r="G12">
            <v>0.35</v>
          </cell>
          <cell r="H12">
            <v>120</v>
          </cell>
          <cell r="I12" t="str">
            <v>матрица</v>
          </cell>
          <cell r="K12">
            <v>153</v>
          </cell>
          <cell r="L12">
            <v>-1</v>
          </cell>
          <cell r="O12">
            <v>50</v>
          </cell>
          <cell r="P12">
            <v>30.4</v>
          </cell>
          <cell r="Q12">
            <v>294.79999999999995</v>
          </cell>
          <cell r="R12">
            <v>400</v>
          </cell>
        </row>
        <row r="13">
          <cell r="A13" t="str">
            <v>6202 БЛИНЧ.КРУГЛЫЕ С ТВОРОГОМ ПМ 1/300 зам. ОСТАНКИНО</v>
          </cell>
          <cell r="B13" t="str">
            <v>шт</v>
          </cell>
          <cell r="C13">
            <v>2</v>
          </cell>
          <cell r="D13">
            <v>324</v>
          </cell>
          <cell r="E13">
            <v>121</v>
          </cell>
          <cell r="F13">
            <v>79</v>
          </cell>
          <cell r="G13">
            <v>0.3</v>
          </cell>
          <cell r="H13">
            <v>120</v>
          </cell>
          <cell r="I13" t="str">
            <v>матрица</v>
          </cell>
          <cell r="K13">
            <v>133</v>
          </cell>
          <cell r="L13">
            <v>-12</v>
          </cell>
          <cell r="O13">
            <v>120</v>
          </cell>
          <cell r="P13">
            <v>24.2</v>
          </cell>
          <cell r="Q13">
            <v>164</v>
          </cell>
        </row>
        <row r="14">
          <cell r="A14" t="str">
            <v>6209 Блинчики с куриным мясом пл. 1/350 зам. ОСТАНКИНО</v>
          </cell>
          <cell r="B14" t="str">
            <v>шт</v>
          </cell>
          <cell r="C14">
            <v>18</v>
          </cell>
          <cell r="D14">
            <v>221</v>
          </cell>
          <cell r="E14">
            <v>107</v>
          </cell>
          <cell r="F14">
            <v>11</v>
          </cell>
          <cell r="G14">
            <v>0.35</v>
          </cell>
          <cell r="H14">
            <v>120</v>
          </cell>
          <cell r="I14" t="str">
            <v>матрица</v>
          </cell>
          <cell r="K14">
            <v>147</v>
          </cell>
          <cell r="L14">
            <v>-40</v>
          </cell>
          <cell r="O14">
            <v>300</v>
          </cell>
          <cell r="P14">
            <v>21.4</v>
          </cell>
          <cell r="Q14">
            <v>10</v>
          </cell>
          <cell r="R14">
            <v>100</v>
          </cell>
        </row>
        <row r="15">
          <cell r="A15" t="str">
            <v>6819 БЛИНЧ.КРУГЛЫЕ С САД.ЯБЛОК. пл. 1/300 зам. ОСТАНКИНО</v>
          </cell>
          <cell r="B15" t="str">
            <v>шт</v>
          </cell>
          <cell r="C15">
            <v>13</v>
          </cell>
          <cell r="D15">
            <v>59</v>
          </cell>
          <cell r="E15">
            <v>36</v>
          </cell>
          <cell r="F15">
            <v>12</v>
          </cell>
          <cell r="G15">
            <v>0.3</v>
          </cell>
          <cell r="H15">
            <v>120</v>
          </cell>
          <cell r="I15" t="str">
            <v>матрица</v>
          </cell>
          <cell r="K15">
            <v>36</v>
          </cell>
          <cell r="L15">
            <v>0</v>
          </cell>
          <cell r="O15">
            <v>110</v>
          </cell>
          <cell r="P15">
            <v>7.2</v>
          </cell>
          <cell r="R15">
            <v>70</v>
          </cell>
        </row>
        <row r="16">
          <cell r="A16" t="str">
            <v>7216 СОЧНЫЕ СО СЛ.МАСЛ.ПМ пельм пл.0.7кг зам. ОСТАНКИНО</v>
          </cell>
          <cell r="B16" t="str">
            <v>шт</v>
          </cell>
          <cell r="C16">
            <v>182</v>
          </cell>
          <cell r="D16">
            <v>584</v>
          </cell>
          <cell r="E16">
            <v>241</v>
          </cell>
          <cell r="F16">
            <v>419</v>
          </cell>
          <cell r="G16">
            <v>0.7</v>
          </cell>
          <cell r="H16">
            <v>180</v>
          </cell>
          <cell r="I16" t="str">
            <v>матрица</v>
          </cell>
          <cell r="K16">
            <v>264</v>
          </cell>
          <cell r="L16">
            <v>-23</v>
          </cell>
          <cell r="O16">
            <v>350</v>
          </cell>
          <cell r="P16">
            <v>48.2</v>
          </cell>
          <cell r="R16">
            <v>150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20" sqref="AF2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2" width="6" customWidth="1"/>
    <col min="33" max="33" width="42.8554687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52</v>
      </c>
      <c r="S3" s="3" t="s">
        <v>50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53</v>
      </c>
      <c r="S4" s="1" t="s">
        <v>51</v>
      </c>
      <c r="T4" s="1"/>
      <c r="U4" s="1"/>
      <c r="V4" s="1" t="s">
        <v>22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1126.5</v>
      </c>
      <c r="F5" s="4">
        <f>SUM(F6:F500)</f>
        <v>1143</v>
      </c>
      <c r="G5" s="7"/>
      <c r="H5" s="1"/>
      <c r="I5" s="1"/>
      <c r="J5" s="1"/>
      <c r="K5" s="4">
        <f t="shared" ref="K5:R5" si="0">SUM(K6:K500)</f>
        <v>1340.5</v>
      </c>
      <c r="L5" s="4">
        <f t="shared" si="0"/>
        <v>-214</v>
      </c>
      <c r="M5" s="4">
        <f t="shared" si="0"/>
        <v>0</v>
      </c>
      <c r="N5" s="4">
        <f t="shared" si="0"/>
        <v>0</v>
      </c>
      <c r="O5" s="4">
        <f t="shared" si="0"/>
        <v>1640</v>
      </c>
      <c r="P5" s="4">
        <f t="shared" si="0"/>
        <v>225.3</v>
      </c>
      <c r="Q5" s="4">
        <f t="shared" si="0"/>
        <v>693.3</v>
      </c>
      <c r="R5" s="4">
        <f t="shared" si="0"/>
        <v>1270</v>
      </c>
      <c r="S5" s="4"/>
      <c r="T5" s="1"/>
      <c r="U5" s="1"/>
      <c r="V5" s="4">
        <f t="shared" ref="V5:AF5" si="1">SUM(V6:V500)</f>
        <v>190.80839999999998</v>
      </c>
      <c r="W5" s="4">
        <f t="shared" si="1"/>
        <v>179.7</v>
      </c>
      <c r="X5" s="4">
        <f t="shared" si="1"/>
        <v>142</v>
      </c>
      <c r="Y5" s="4">
        <f t="shared" si="1"/>
        <v>124</v>
      </c>
      <c r="Z5" s="4">
        <f t="shared" si="1"/>
        <v>108.7</v>
      </c>
      <c r="AA5" s="4">
        <f t="shared" si="1"/>
        <v>116.10000000000002</v>
      </c>
      <c r="AB5" s="4">
        <f t="shared" si="1"/>
        <v>104.89999999999999</v>
      </c>
      <c r="AC5" s="4">
        <f t="shared" si="1"/>
        <v>121.99999999999999</v>
      </c>
      <c r="AD5" s="4">
        <f t="shared" si="1"/>
        <v>87.600000000000009</v>
      </c>
      <c r="AE5" s="4">
        <f t="shared" si="1"/>
        <v>154.69999999999999</v>
      </c>
      <c r="AF5" s="4">
        <f t="shared" si="1"/>
        <v>87.4</v>
      </c>
      <c r="AG5" s="1"/>
      <c r="AH5" s="4">
        <f>SUM(AH6:AH500)</f>
        <v>513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19</v>
      </c>
      <c r="D6" s="1">
        <v>22</v>
      </c>
      <c r="E6" s="1">
        <v>14</v>
      </c>
      <c r="F6" s="1">
        <v>27</v>
      </c>
      <c r="G6" s="7">
        <v>0.42</v>
      </c>
      <c r="H6" s="1">
        <v>120</v>
      </c>
      <c r="I6" s="1" t="s">
        <v>36</v>
      </c>
      <c r="J6" s="1"/>
      <c r="K6" s="1">
        <v>14</v>
      </c>
      <c r="L6" s="1">
        <f t="shared" ref="L6:L16" si="2">E6-K6</f>
        <v>0</v>
      </c>
      <c r="M6" s="1"/>
      <c r="N6" s="1"/>
      <c r="O6" s="1">
        <v>20</v>
      </c>
      <c r="P6" s="1">
        <f>E6/5</f>
        <v>2.8</v>
      </c>
      <c r="Q6" s="5"/>
      <c r="R6" s="5"/>
      <c r="S6" s="9">
        <f>VLOOKUP(A6,[1]Sheet!$A:$R,18,0)</f>
        <v>0</v>
      </c>
      <c r="T6" s="1">
        <f>(F6+O6+R6)/P6</f>
        <v>16.785714285714288</v>
      </c>
      <c r="U6" s="1">
        <f>(F6+O6)/P6</f>
        <v>16.785714285714288</v>
      </c>
      <c r="V6" s="1">
        <v>0.8</v>
      </c>
      <c r="W6" s="1">
        <v>1.4</v>
      </c>
      <c r="X6" s="1">
        <v>0</v>
      </c>
      <c r="Y6" s="1">
        <v>2</v>
      </c>
      <c r="Z6" s="1">
        <v>2.2000000000000002</v>
      </c>
      <c r="AA6" s="1">
        <v>1.4</v>
      </c>
      <c r="AB6" s="1">
        <v>0.6</v>
      </c>
      <c r="AC6" s="1">
        <v>1.6</v>
      </c>
      <c r="AD6" s="1">
        <v>1.4</v>
      </c>
      <c r="AE6" s="1">
        <v>3.4</v>
      </c>
      <c r="AF6" s="1">
        <v>0</v>
      </c>
      <c r="AG6" s="1"/>
      <c r="AH6" s="1">
        <f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38</v>
      </c>
      <c r="C7" s="1">
        <v>68.313999999999993</v>
      </c>
      <c r="D7" s="1">
        <v>18.184000000000001</v>
      </c>
      <c r="E7" s="1">
        <v>18</v>
      </c>
      <c r="F7" s="1">
        <v>49.5</v>
      </c>
      <c r="G7" s="7">
        <v>1</v>
      </c>
      <c r="H7" s="1">
        <v>120</v>
      </c>
      <c r="I7" s="1" t="s">
        <v>36</v>
      </c>
      <c r="J7" s="1"/>
      <c r="K7" s="1">
        <v>18</v>
      </c>
      <c r="L7" s="1">
        <f t="shared" si="2"/>
        <v>0</v>
      </c>
      <c r="M7" s="1"/>
      <c r="N7" s="1"/>
      <c r="O7" s="1"/>
      <c r="P7" s="1">
        <f t="shared" ref="P7:P16" si="3">E7/5</f>
        <v>3.6</v>
      </c>
      <c r="Q7" s="5">
        <f t="shared" ref="Q7:Q14" si="4">15*P7-O7-F7</f>
        <v>4.5</v>
      </c>
      <c r="R7" s="5">
        <v>30</v>
      </c>
      <c r="S7" s="9">
        <f>VLOOKUP(A7,[1]Sheet!$A:$R,18,0)</f>
        <v>40</v>
      </c>
      <c r="T7" s="1">
        <f t="shared" ref="T7:T16" si="5">(F7+O7+R7)/P7</f>
        <v>22.083333333333332</v>
      </c>
      <c r="U7" s="1">
        <f t="shared" ref="U7:U16" si="6">(F7+O7)/P7</f>
        <v>13.75</v>
      </c>
      <c r="V7" s="1">
        <v>1.8084</v>
      </c>
      <c r="W7" s="1">
        <v>3.6</v>
      </c>
      <c r="X7" s="1">
        <v>4.5</v>
      </c>
      <c r="Y7" s="1">
        <v>5.4</v>
      </c>
      <c r="Z7" s="1">
        <v>4.5</v>
      </c>
      <c r="AA7" s="1">
        <v>8.1</v>
      </c>
      <c r="AB7" s="1">
        <v>3.6</v>
      </c>
      <c r="AC7" s="1">
        <v>5.4</v>
      </c>
      <c r="AD7" s="1">
        <v>6.3</v>
      </c>
      <c r="AE7" s="1">
        <v>3.6</v>
      </c>
      <c r="AF7" s="1">
        <v>3.6</v>
      </c>
      <c r="AG7" s="1"/>
      <c r="AH7" s="1">
        <f t="shared" ref="AH7:AH16" si="7">G7*R7</f>
        <v>30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38</v>
      </c>
      <c r="C8" s="1">
        <v>-4.5</v>
      </c>
      <c r="D8" s="1">
        <v>59.316000000000003</v>
      </c>
      <c r="E8" s="1">
        <v>4.5</v>
      </c>
      <c r="F8" s="1">
        <v>40.5</v>
      </c>
      <c r="G8" s="7">
        <v>1</v>
      </c>
      <c r="H8" s="1">
        <v>120</v>
      </c>
      <c r="I8" s="1" t="s">
        <v>36</v>
      </c>
      <c r="J8" s="1"/>
      <c r="K8" s="1">
        <v>4.5</v>
      </c>
      <c r="L8" s="1">
        <f t="shared" si="2"/>
        <v>0</v>
      </c>
      <c r="M8" s="1"/>
      <c r="N8" s="1"/>
      <c r="O8" s="1">
        <v>30</v>
      </c>
      <c r="P8" s="1">
        <f t="shared" si="3"/>
        <v>0.9</v>
      </c>
      <c r="Q8" s="5"/>
      <c r="R8" s="5">
        <v>20</v>
      </c>
      <c r="S8" s="9">
        <f>VLOOKUP(A8,[1]Sheet!$A:$R,18,0)</f>
        <v>30</v>
      </c>
      <c r="T8" s="1">
        <f t="shared" si="5"/>
        <v>100.55555555555556</v>
      </c>
      <c r="U8" s="1">
        <f t="shared" si="6"/>
        <v>78.333333333333329</v>
      </c>
      <c r="V8" s="1">
        <v>0</v>
      </c>
      <c r="W8" s="1">
        <v>4.5</v>
      </c>
      <c r="X8" s="1">
        <v>2.7</v>
      </c>
      <c r="Y8" s="1">
        <v>1.8</v>
      </c>
      <c r="Z8" s="1">
        <v>5.4</v>
      </c>
      <c r="AA8" s="1">
        <v>1.8</v>
      </c>
      <c r="AB8" s="1">
        <v>2.7</v>
      </c>
      <c r="AC8" s="1">
        <v>3.6</v>
      </c>
      <c r="AD8" s="1">
        <v>6.3</v>
      </c>
      <c r="AE8" s="1">
        <v>0.9</v>
      </c>
      <c r="AF8" s="1">
        <v>0</v>
      </c>
      <c r="AG8" s="1" t="s">
        <v>40</v>
      </c>
      <c r="AH8" s="1">
        <f t="shared" si="7"/>
        <v>20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35</v>
      </c>
      <c r="C9" s="1">
        <v>85</v>
      </c>
      <c r="D9" s="1">
        <v>3</v>
      </c>
      <c r="E9" s="1">
        <v>41</v>
      </c>
      <c r="F9" s="1">
        <v>39</v>
      </c>
      <c r="G9" s="7">
        <v>0.42</v>
      </c>
      <c r="H9" s="1">
        <v>120</v>
      </c>
      <c r="I9" s="1" t="s">
        <v>36</v>
      </c>
      <c r="J9" s="1"/>
      <c r="K9" s="1">
        <v>41</v>
      </c>
      <c r="L9" s="1">
        <f t="shared" si="2"/>
        <v>0</v>
      </c>
      <c r="M9" s="1"/>
      <c r="N9" s="1"/>
      <c r="O9" s="1"/>
      <c r="P9" s="1">
        <f t="shared" si="3"/>
        <v>8.1999999999999993</v>
      </c>
      <c r="Q9" s="5">
        <f t="shared" si="4"/>
        <v>83.999999999999986</v>
      </c>
      <c r="R9" s="5">
        <v>100</v>
      </c>
      <c r="S9" s="9">
        <f>VLOOKUP(A9,[1]Sheet!$A:$R,18,0)</f>
        <v>100</v>
      </c>
      <c r="T9" s="1">
        <f t="shared" si="5"/>
        <v>16.951219512195124</v>
      </c>
      <c r="U9" s="1">
        <f t="shared" si="6"/>
        <v>4.7560975609756104</v>
      </c>
      <c r="V9" s="1">
        <v>2.4</v>
      </c>
      <c r="W9" s="1">
        <v>3.8</v>
      </c>
      <c r="X9" s="1">
        <v>1</v>
      </c>
      <c r="Y9" s="1">
        <v>3.2</v>
      </c>
      <c r="Z9" s="1">
        <v>3</v>
      </c>
      <c r="AA9" s="1">
        <v>8.6</v>
      </c>
      <c r="AB9" s="1">
        <v>5.4</v>
      </c>
      <c r="AC9" s="1">
        <v>6</v>
      </c>
      <c r="AD9" s="1">
        <v>1.8</v>
      </c>
      <c r="AE9" s="1">
        <v>15.2</v>
      </c>
      <c r="AF9" s="1">
        <v>0</v>
      </c>
      <c r="AG9" s="1"/>
      <c r="AH9" s="1">
        <f t="shared" si="7"/>
        <v>42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35</v>
      </c>
      <c r="C10" s="1">
        <v>54</v>
      </c>
      <c r="D10" s="1">
        <v>750</v>
      </c>
      <c r="E10" s="1">
        <v>255</v>
      </c>
      <c r="F10" s="1">
        <v>379</v>
      </c>
      <c r="G10" s="7">
        <v>0.3</v>
      </c>
      <c r="H10" s="1">
        <v>120</v>
      </c>
      <c r="I10" s="1" t="s">
        <v>36</v>
      </c>
      <c r="J10" s="1"/>
      <c r="K10" s="1">
        <v>310</v>
      </c>
      <c r="L10" s="1">
        <f t="shared" si="2"/>
        <v>-55</v>
      </c>
      <c r="M10" s="1"/>
      <c r="N10" s="1"/>
      <c r="O10" s="1">
        <v>250</v>
      </c>
      <c r="P10" s="1">
        <f t="shared" si="3"/>
        <v>51</v>
      </c>
      <c r="Q10" s="5">
        <f t="shared" si="4"/>
        <v>136</v>
      </c>
      <c r="R10" s="5">
        <v>190</v>
      </c>
      <c r="S10" s="9">
        <f>VLOOKUP(A10,[1]Sheet!$A:$R,18,0)</f>
        <v>190</v>
      </c>
      <c r="T10" s="1">
        <f t="shared" si="5"/>
        <v>16.058823529411764</v>
      </c>
      <c r="U10" s="1">
        <f t="shared" si="6"/>
        <v>12.333333333333334</v>
      </c>
      <c r="V10" s="1">
        <v>32.6</v>
      </c>
      <c r="W10" s="1">
        <v>43.4</v>
      </c>
      <c r="X10" s="1">
        <v>28</v>
      </c>
      <c r="Y10" s="1">
        <v>17.2</v>
      </c>
      <c r="Z10" s="1">
        <v>6.8</v>
      </c>
      <c r="AA10" s="1">
        <v>28.6</v>
      </c>
      <c r="AB10" s="1">
        <v>15.6</v>
      </c>
      <c r="AC10" s="1">
        <v>18</v>
      </c>
      <c r="AD10" s="1">
        <v>25</v>
      </c>
      <c r="AE10" s="1">
        <v>27.4</v>
      </c>
      <c r="AF10" s="1">
        <v>15.6</v>
      </c>
      <c r="AG10" s="1" t="s">
        <v>43</v>
      </c>
      <c r="AH10" s="1">
        <f t="shared" si="7"/>
        <v>57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35</v>
      </c>
      <c r="C11" s="1">
        <v>12</v>
      </c>
      <c r="D11" s="1">
        <v>297</v>
      </c>
      <c r="E11" s="1">
        <v>137</v>
      </c>
      <c r="F11" s="1">
        <v>67</v>
      </c>
      <c r="G11" s="7">
        <v>0.3</v>
      </c>
      <c r="H11" s="1">
        <v>120</v>
      </c>
      <c r="I11" s="1" t="s">
        <v>36</v>
      </c>
      <c r="J11" s="1"/>
      <c r="K11" s="1">
        <v>220</v>
      </c>
      <c r="L11" s="1">
        <f t="shared" si="2"/>
        <v>-83</v>
      </c>
      <c r="M11" s="1"/>
      <c r="N11" s="1"/>
      <c r="O11" s="1">
        <v>410</v>
      </c>
      <c r="P11" s="1">
        <f t="shared" si="3"/>
        <v>27.4</v>
      </c>
      <c r="Q11" s="5"/>
      <c r="R11" s="5">
        <v>60</v>
      </c>
      <c r="S11" s="9">
        <f>VLOOKUP(A11,[1]Sheet!$A:$R,18,0)</f>
        <v>60</v>
      </c>
      <c r="T11" s="1">
        <f t="shared" si="5"/>
        <v>19.598540145985403</v>
      </c>
      <c r="U11" s="1">
        <f t="shared" si="6"/>
        <v>17.408759124087592</v>
      </c>
      <c r="V11" s="1">
        <v>40.799999999999997</v>
      </c>
      <c r="W11" s="1">
        <v>24.8</v>
      </c>
      <c r="X11" s="1">
        <v>22.4</v>
      </c>
      <c r="Y11" s="1">
        <v>20.8</v>
      </c>
      <c r="Z11" s="1">
        <v>15.8</v>
      </c>
      <c r="AA11" s="1">
        <v>13</v>
      </c>
      <c r="AB11" s="1">
        <v>11.4</v>
      </c>
      <c r="AC11" s="1">
        <v>24.2</v>
      </c>
      <c r="AD11" s="1">
        <v>12.4</v>
      </c>
      <c r="AE11" s="1">
        <v>30.8</v>
      </c>
      <c r="AF11" s="1">
        <v>24.2</v>
      </c>
      <c r="AG11" s="1" t="s">
        <v>43</v>
      </c>
      <c r="AH11" s="1">
        <f t="shared" si="7"/>
        <v>18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35</v>
      </c>
      <c r="C12" s="1">
        <v>123</v>
      </c>
      <c r="D12" s="1">
        <v>112</v>
      </c>
      <c r="E12" s="1">
        <v>152</v>
      </c>
      <c r="F12" s="1">
        <v>20</v>
      </c>
      <c r="G12" s="7">
        <v>0.35</v>
      </c>
      <c r="H12" s="1">
        <v>120</v>
      </c>
      <c r="I12" s="1" t="s">
        <v>36</v>
      </c>
      <c r="J12" s="1"/>
      <c r="K12" s="1">
        <v>153</v>
      </c>
      <c r="L12" s="1">
        <f t="shared" si="2"/>
        <v>-1</v>
      </c>
      <c r="M12" s="1"/>
      <c r="N12" s="1"/>
      <c r="O12" s="1">
        <v>50</v>
      </c>
      <c r="P12" s="1">
        <f t="shared" si="3"/>
        <v>30.4</v>
      </c>
      <c r="Q12" s="5">
        <f>12*P12-O12-F12</f>
        <v>294.79999999999995</v>
      </c>
      <c r="R12" s="5">
        <v>400</v>
      </c>
      <c r="S12" s="9">
        <f>VLOOKUP(A12,[1]Sheet!$A:$R,18,0)</f>
        <v>400</v>
      </c>
      <c r="T12" s="1">
        <f t="shared" si="5"/>
        <v>15.460526315789474</v>
      </c>
      <c r="U12" s="1">
        <f t="shared" si="6"/>
        <v>2.3026315789473686</v>
      </c>
      <c r="V12" s="1">
        <v>10.8</v>
      </c>
      <c r="W12" s="1">
        <v>13</v>
      </c>
      <c r="X12" s="1">
        <v>18</v>
      </c>
      <c r="Y12" s="1">
        <v>10</v>
      </c>
      <c r="Z12" s="1">
        <v>18</v>
      </c>
      <c r="AA12" s="1">
        <v>8.4</v>
      </c>
      <c r="AB12" s="1">
        <v>18.399999999999999</v>
      </c>
      <c r="AC12" s="1">
        <v>9.6</v>
      </c>
      <c r="AD12" s="1">
        <v>8.6</v>
      </c>
      <c r="AE12" s="1">
        <v>19.2</v>
      </c>
      <c r="AF12" s="1">
        <v>19</v>
      </c>
      <c r="AG12" s="1"/>
      <c r="AH12" s="1">
        <f t="shared" si="7"/>
        <v>140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35</v>
      </c>
      <c r="C13" s="1">
        <v>2</v>
      </c>
      <c r="D13" s="1">
        <v>324</v>
      </c>
      <c r="E13" s="1">
        <v>121</v>
      </c>
      <c r="F13" s="1">
        <v>79</v>
      </c>
      <c r="G13" s="7">
        <v>0.3</v>
      </c>
      <c r="H13" s="1">
        <v>120</v>
      </c>
      <c r="I13" s="1" t="s">
        <v>36</v>
      </c>
      <c r="J13" s="1"/>
      <c r="K13" s="1">
        <v>133</v>
      </c>
      <c r="L13" s="1">
        <f t="shared" si="2"/>
        <v>-12</v>
      </c>
      <c r="M13" s="1"/>
      <c r="N13" s="1"/>
      <c r="O13" s="1">
        <v>120</v>
      </c>
      <c r="P13" s="1">
        <f t="shared" si="3"/>
        <v>24.2</v>
      </c>
      <c r="Q13" s="5">
        <f t="shared" si="4"/>
        <v>164</v>
      </c>
      <c r="R13" s="5">
        <v>170</v>
      </c>
      <c r="S13" s="9">
        <f>VLOOKUP(A13,[1]Sheet!$A:$R,18,0)</f>
        <v>0</v>
      </c>
      <c r="T13" s="1">
        <f t="shared" si="5"/>
        <v>15.24793388429752</v>
      </c>
      <c r="U13" s="1">
        <f t="shared" si="6"/>
        <v>8.223140495867769</v>
      </c>
      <c r="V13" s="1">
        <v>24.2</v>
      </c>
      <c r="W13" s="1">
        <v>22</v>
      </c>
      <c r="X13" s="1">
        <v>15.2</v>
      </c>
      <c r="Y13" s="1">
        <v>15.6</v>
      </c>
      <c r="Z13" s="1">
        <v>23.2</v>
      </c>
      <c r="AA13" s="1">
        <v>5.4</v>
      </c>
      <c r="AB13" s="1">
        <v>16.2</v>
      </c>
      <c r="AC13" s="1">
        <v>12.4</v>
      </c>
      <c r="AD13" s="1">
        <v>8.4</v>
      </c>
      <c r="AE13" s="1">
        <v>17.8</v>
      </c>
      <c r="AF13" s="1">
        <v>17</v>
      </c>
      <c r="AG13" s="1"/>
      <c r="AH13" s="1">
        <f t="shared" si="7"/>
        <v>51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35</v>
      </c>
      <c r="C14" s="1">
        <v>18</v>
      </c>
      <c r="D14" s="1">
        <v>221</v>
      </c>
      <c r="E14" s="1">
        <v>107</v>
      </c>
      <c r="F14" s="1">
        <v>11</v>
      </c>
      <c r="G14" s="7">
        <v>0.35</v>
      </c>
      <c r="H14" s="1">
        <v>120</v>
      </c>
      <c r="I14" s="1" t="s">
        <v>36</v>
      </c>
      <c r="J14" s="1"/>
      <c r="K14" s="1">
        <v>147</v>
      </c>
      <c r="L14" s="1">
        <f t="shared" si="2"/>
        <v>-40</v>
      </c>
      <c r="M14" s="1"/>
      <c r="N14" s="1"/>
      <c r="O14" s="1">
        <v>300</v>
      </c>
      <c r="P14" s="1">
        <f t="shared" si="3"/>
        <v>21.4</v>
      </c>
      <c r="Q14" s="5">
        <f t="shared" si="4"/>
        <v>10</v>
      </c>
      <c r="R14" s="5">
        <v>100</v>
      </c>
      <c r="S14" s="9">
        <f>VLOOKUP(A14,[1]Sheet!$A:$R,18,0)</f>
        <v>100</v>
      </c>
      <c r="T14" s="1">
        <f t="shared" si="5"/>
        <v>19.205607476635514</v>
      </c>
      <c r="U14" s="1">
        <f t="shared" si="6"/>
        <v>14.532710280373832</v>
      </c>
      <c r="V14" s="1">
        <v>29.2</v>
      </c>
      <c r="W14" s="1">
        <v>18.600000000000001</v>
      </c>
      <c r="X14" s="1">
        <v>14.6</v>
      </c>
      <c r="Y14" s="1">
        <v>17.2</v>
      </c>
      <c r="Z14" s="1">
        <v>20</v>
      </c>
      <c r="AA14" s="1">
        <v>9.1999999999999993</v>
      </c>
      <c r="AB14" s="1">
        <v>16.2</v>
      </c>
      <c r="AC14" s="1">
        <v>14.8</v>
      </c>
      <c r="AD14" s="1">
        <v>14</v>
      </c>
      <c r="AE14" s="1">
        <v>13.2</v>
      </c>
      <c r="AF14" s="1">
        <v>8</v>
      </c>
      <c r="AG14" s="1"/>
      <c r="AH14" s="1">
        <f t="shared" si="7"/>
        <v>35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35</v>
      </c>
      <c r="C15" s="1">
        <v>13</v>
      </c>
      <c r="D15" s="1">
        <v>59</v>
      </c>
      <c r="E15" s="1">
        <v>36</v>
      </c>
      <c r="F15" s="1">
        <v>12</v>
      </c>
      <c r="G15" s="7">
        <v>0.3</v>
      </c>
      <c r="H15" s="1">
        <v>120</v>
      </c>
      <c r="I15" s="1" t="s">
        <v>36</v>
      </c>
      <c r="J15" s="1"/>
      <c r="K15" s="1">
        <v>36</v>
      </c>
      <c r="L15" s="1">
        <f t="shared" si="2"/>
        <v>0</v>
      </c>
      <c r="M15" s="1"/>
      <c r="N15" s="1"/>
      <c r="O15" s="1">
        <v>110</v>
      </c>
      <c r="P15" s="1">
        <f t="shared" si="3"/>
        <v>7.2</v>
      </c>
      <c r="Q15" s="5"/>
      <c r="R15" s="5">
        <v>50</v>
      </c>
      <c r="S15" s="9">
        <f>VLOOKUP(A15,[1]Sheet!$A:$R,18,0)</f>
        <v>70</v>
      </c>
      <c r="T15" s="1">
        <f t="shared" si="5"/>
        <v>23.888888888888889</v>
      </c>
      <c r="U15" s="1">
        <f t="shared" si="6"/>
        <v>16.944444444444443</v>
      </c>
      <c r="V15" s="1">
        <v>10.6</v>
      </c>
      <c r="W15" s="1">
        <v>7.2</v>
      </c>
      <c r="X15" s="1">
        <v>5.4</v>
      </c>
      <c r="Y15" s="1">
        <v>5.6</v>
      </c>
      <c r="Z15" s="1">
        <v>2.6</v>
      </c>
      <c r="AA15" s="1">
        <v>6</v>
      </c>
      <c r="AB15" s="1">
        <v>5.8</v>
      </c>
      <c r="AC15" s="1">
        <v>11.6</v>
      </c>
      <c r="AD15" s="1">
        <v>3.4</v>
      </c>
      <c r="AE15" s="1">
        <v>13.2</v>
      </c>
      <c r="AF15" s="1">
        <v>0</v>
      </c>
      <c r="AG15" s="1"/>
      <c r="AH15" s="1">
        <f t="shared" si="7"/>
        <v>15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35</v>
      </c>
      <c r="C16" s="1">
        <v>182</v>
      </c>
      <c r="D16" s="1">
        <v>584</v>
      </c>
      <c r="E16" s="1">
        <v>241</v>
      </c>
      <c r="F16" s="1">
        <v>419</v>
      </c>
      <c r="G16" s="7">
        <v>0.7</v>
      </c>
      <c r="H16" s="1">
        <v>180</v>
      </c>
      <c r="I16" s="1" t="s">
        <v>36</v>
      </c>
      <c r="J16" s="1"/>
      <c r="K16" s="1">
        <v>264</v>
      </c>
      <c r="L16" s="1">
        <f t="shared" si="2"/>
        <v>-23</v>
      </c>
      <c r="M16" s="1"/>
      <c r="N16" s="1"/>
      <c r="O16" s="1">
        <v>350</v>
      </c>
      <c r="P16" s="1">
        <f t="shared" si="3"/>
        <v>48.2</v>
      </c>
      <c r="Q16" s="5"/>
      <c r="R16" s="5">
        <v>150</v>
      </c>
      <c r="S16" s="9">
        <f>VLOOKUP(A16,[1]Sheet!$A:$R,18,0)</f>
        <v>150</v>
      </c>
      <c r="T16" s="1">
        <f t="shared" si="5"/>
        <v>19.066390041493776</v>
      </c>
      <c r="U16" s="1">
        <f t="shared" si="6"/>
        <v>15.954356846473027</v>
      </c>
      <c r="V16" s="1">
        <v>37.6</v>
      </c>
      <c r="W16" s="1">
        <v>37.4</v>
      </c>
      <c r="X16" s="1">
        <v>30.2</v>
      </c>
      <c r="Y16" s="1">
        <v>25.2</v>
      </c>
      <c r="Z16" s="1">
        <v>7.2</v>
      </c>
      <c r="AA16" s="1">
        <v>25.6</v>
      </c>
      <c r="AB16" s="1">
        <v>9</v>
      </c>
      <c r="AC16" s="1">
        <v>14.8</v>
      </c>
      <c r="AD16" s="1">
        <v>0</v>
      </c>
      <c r="AE16" s="1">
        <v>10</v>
      </c>
      <c r="AF16" s="1">
        <v>0</v>
      </c>
      <c r="AG16" s="1"/>
      <c r="AH16" s="1">
        <f t="shared" si="7"/>
        <v>105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2026-09-28T13:07:41Z</dcterms:created>
  <dcterms:modified xsi:type="dcterms:W3CDTF">2026-09-30T13:32:22Z</dcterms:modified>
</cp:coreProperties>
</file>