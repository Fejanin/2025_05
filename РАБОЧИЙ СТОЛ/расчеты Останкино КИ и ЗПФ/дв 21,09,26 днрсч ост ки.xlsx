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B053EA20-42EB-4F54-9647-4C5936CA64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7" i="1" l="1"/>
  <c r="O121" i="1"/>
  <c r="S121" i="1" s="1"/>
  <c r="N121" i="1"/>
  <c r="H121" i="1"/>
  <c r="O120" i="1"/>
  <c r="S120" i="1" s="1"/>
  <c r="N120" i="1"/>
  <c r="H120" i="1"/>
  <c r="O119" i="1"/>
  <c r="S119" i="1" s="1"/>
  <c r="N119" i="1"/>
  <c r="H119" i="1"/>
  <c r="O118" i="1"/>
  <c r="S118" i="1" s="1"/>
  <c r="AH118" i="1" s="1"/>
  <c r="N118" i="1"/>
  <c r="H118" i="1"/>
  <c r="V118" i="1" s="1"/>
  <c r="O117" i="1"/>
  <c r="S117" i="1" s="1"/>
  <c r="N117" i="1"/>
  <c r="G117" i="1"/>
  <c r="H117" i="1" s="1"/>
  <c r="O116" i="1"/>
  <c r="S116" i="1" s="1"/>
  <c r="N116" i="1"/>
  <c r="G116" i="1"/>
  <c r="H116" i="1" s="1"/>
  <c r="O115" i="1"/>
  <c r="S115" i="1" s="1"/>
  <c r="N115" i="1"/>
  <c r="H115" i="1"/>
  <c r="V115" i="1" s="1"/>
  <c r="O114" i="1"/>
  <c r="S114" i="1" s="1"/>
  <c r="N114" i="1"/>
  <c r="H114" i="1"/>
  <c r="O113" i="1"/>
  <c r="S113" i="1" s="1"/>
  <c r="N113" i="1"/>
  <c r="H113" i="1"/>
  <c r="O112" i="1"/>
  <c r="S112" i="1" s="1"/>
  <c r="N112" i="1"/>
  <c r="G112" i="1"/>
  <c r="H112" i="1" s="1"/>
  <c r="V112" i="1" s="1"/>
  <c r="O111" i="1"/>
  <c r="S111" i="1" s="1"/>
  <c r="N111" i="1"/>
  <c r="H111" i="1"/>
  <c r="V111" i="1" s="1"/>
  <c r="O110" i="1"/>
  <c r="S110" i="1" s="1"/>
  <c r="N110" i="1"/>
  <c r="H110" i="1"/>
  <c r="O109" i="1"/>
  <c r="S109" i="1" s="1"/>
  <c r="N109" i="1"/>
  <c r="G109" i="1"/>
  <c r="H109" i="1" s="1"/>
  <c r="O108" i="1"/>
  <c r="S108" i="1" s="1"/>
  <c r="N108" i="1"/>
  <c r="H108" i="1"/>
  <c r="O107" i="1"/>
  <c r="S107" i="1" s="1"/>
  <c r="N107" i="1"/>
  <c r="G107" i="1"/>
  <c r="H107" i="1" s="1"/>
  <c r="V107" i="1" s="1"/>
  <c r="O106" i="1"/>
  <c r="S106" i="1" s="1"/>
  <c r="AH106" i="1" s="1"/>
  <c r="N106" i="1"/>
  <c r="H106" i="1"/>
  <c r="V106" i="1" s="1"/>
  <c r="O105" i="1"/>
  <c r="S105" i="1" s="1"/>
  <c r="N105" i="1"/>
  <c r="H105" i="1"/>
  <c r="O104" i="1"/>
  <c r="S104" i="1" s="1"/>
  <c r="N104" i="1"/>
  <c r="H104" i="1"/>
  <c r="O103" i="1"/>
  <c r="S103" i="1" s="1"/>
  <c r="N103" i="1"/>
  <c r="H103" i="1"/>
  <c r="O102" i="1"/>
  <c r="S102" i="1" s="1"/>
  <c r="N102" i="1"/>
  <c r="H102" i="1"/>
  <c r="V102" i="1" s="1"/>
  <c r="O101" i="1"/>
  <c r="S101" i="1" s="1"/>
  <c r="N101" i="1"/>
  <c r="G101" i="1"/>
  <c r="H101" i="1" s="1"/>
  <c r="O100" i="1"/>
  <c r="S100" i="1" s="1"/>
  <c r="N100" i="1"/>
  <c r="H100" i="1"/>
  <c r="O99" i="1"/>
  <c r="S99" i="1" s="1"/>
  <c r="AH99" i="1" s="1"/>
  <c r="N99" i="1"/>
  <c r="H99" i="1"/>
  <c r="O98" i="1"/>
  <c r="S98" i="1" s="1"/>
  <c r="AH98" i="1" s="1"/>
  <c r="N98" i="1"/>
  <c r="G98" i="1"/>
  <c r="H98" i="1" s="1"/>
  <c r="O97" i="1"/>
  <c r="S97" i="1" s="1"/>
  <c r="AH97" i="1" s="1"/>
  <c r="N97" i="1"/>
  <c r="H97" i="1"/>
  <c r="O96" i="1"/>
  <c r="S96" i="1" s="1"/>
  <c r="N96" i="1"/>
  <c r="H96" i="1"/>
  <c r="V96" i="1" s="1"/>
  <c r="O95" i="1"/>
  <c r="S95" i="1" s="1"/>
  <c r="N95" i="1"/>
  <c r="H95" i="1"/>
  <c r="V95" i="1" s="1"/>
  <c r="O94" i="1"/>
  <c r="S94" i="1" s="1"/>
  <c r="N94" i="1"/>
  <c r="H94" i="1"/>
  <c r="V94" i="1" s="1"/>
  <c r="O93" i="1"/>
  <c r="S93" i="1" s="1"/>
  <c r="N93" i="1"/>
  <c r="H93" i="1"/>
  <c r="O92" i="1"/>
  <c r="S92" i="1" s="1"/>
  <c r="N92" i="1"/>
  <c r="H92" i="1"/>
  <c r="O91" i="1"/>
  <c r="S91" i="1" s="1"/>
  <c r="N91" i="1"/>
  <c r="H91" i="1"/>
  <c r="O90" i="1"/>
  <c r="S90" i="1" s="1"/>
  <c r="N90" i="1"/>
  <c r="G90" i="1"/>
  <c r="H90" i="1" s="1"/>
  <c r="O89" i="1"/>
  <c r="S89" i="1" s="1"/>
  <c r="N89" i="1"/>
  <c r="H89" i="1"/>
  <c r="O88" i="1"/>
  <c r="S88" i="1" s="1"/>
  <c r="N88" i="1"/>
  <c r="G88" i="1"/>
  <c r="H88" i="1" s="1"/>
  <c r="O87" i="1"/>
  <c r="S87" i="1" s="1"/>
  <c r="N87" i="1"/>
  <c r="H87" i="1"/>
  <c r="O86" i="1"/>
  <c r="S86" i="1" s="1"/>
  <c r="N86" i="1"/>
  <c r="H86" i="1"/>
  <c r="O85" i="1"/>
  <c r="S85" i="1" s="1"/>
  <c r="N85" i="1"/>
  <c r="H85" i="1"/>
  <c r="O84" i="1"/>
  <c r="S84" i="1" s="1"/>
  <c r="N84" i="1"/>
  <c r="H84" i="1"/>
  <c r="O83" i="1"/>
  <c r="S83" i="1" s="1"/>
  <c r="N83" i="1"/>
  <c r="G83" i="1"/>
  <c r="H83" i="1" s="1"/>
  <c r="O82" i="1"/>
  <c r="S82" i="1" s="1"/>
  <c r="N82" i="1"/>
  <c r="H82" i="1"/>
  <c r="O81" i="1"/>
  <c r="S81" i="1" s="1"/>
  <c r="N81" i="1"/>
  <c r="G81" i="1"/>
  <c r="H81" i="1" s="1"/>
  <c r="O80" i="1"/>
  <c r="S80" i="1" s="1"/>
  <c r="N80" i="1"/>
  <c r="H80" i="1"/>
  <c r="O79" i="1"/>
  <c r="S79" i="1" s="1"/>
  <c r="N79" i="1"/>
  <c r="G79" i="1"/>
  <c r="H79" i="1" s="1"/>
  <c r="V79" i="1" s="1"/>
  <c r="O78" i="1"/>
  <c r="S78" i="1" s="1"/>
  <c r="N78" i="1"/>
  <c r="G78" i="1"/>
  <c r="H78" i="1" s="1"/>
  <c r="O77" i="1"/>
  <c r="S77" i="1" s="1"/>
  <c r="N77" i="1"/>
  <c r="H77" i="1"/>
  <c r="O76" i="1"/>
  <c r="S76" i="1" s="1"/>
  <c r="N76" i="1"/>
  <c r="H76" i="1"/>
  <c r="O75" i="1"/>
  <c r="S75" i="1" s="1"/>
  <c r="N75" i="1"/>
  <c r="H75" i="1"/>
  <c r="O74" i="1"/>
  <c r="S74" i="1" s="1"/>
  <c r="N74" i="1"/>
  <c r="G74" i="1"/>
  <c r="H74" i="1" s="1"/>
  <c r="O73" i="1"/>
  <c r="S73" i="1" s="1"/>
  <c r="N73" i="1"/>
  <c r="H73" i="1"/>
  <c r="O72" i="1"/>
  <c r="S72" i="1" s="1"/>
  <c r="AH72" i="1" s="1"/>
  <c r="N72" i="1"/>
  <c r="F72" i="1"/>
  <c r="H72" i="1" s="1"/>
  <c r="AH71" i="1"/>
  <c r="O71" i="1"/>
  <c r="S71" i="1" s="1"/>
  <c r="N71" i="1"/>
  <c r="F71" i="1"/>
  <c r="H71" i="1" s="1"/>
  <c r="O70" i="1"/>
  <c r="S70" i="1" s="1"/>
  <c r="N70" i="1"/>
  <c r="H70" i="1"/>
  <c r="O69" i="1"/>
  <c r="S69" i="1" s="1"/>
  <c r="N69" i="1"/>
  <c r="H69" i="1"/>
  <c r="O68" i="1"/>
  <c r="S68" i="1" s="1"/>
  <c r="N68" i="1"/>
  <c r="G68" i="1"/>
  <c r="H68" i="1" s="1"/>
  <c r="V68" i="1" s="1"/>
  <c r="O67" i="1"/>
  <c r="S67" i="1" s="1"/>
  <c r="N67" i="1"/>
  <c r="G67" i="1"/>
  <c r="H67" i="1" s="1"/>
  <c r="V67" i="1" s="1"/>
  <c r="O66" i="1"/>
  <c r="S66" i="1" s="1"/>
  <c r="N66" i="1"/>
  <c r="H66" i="1"/>
  <c r="V66" i="1" s="1"/>
  <c r="O65" i="1"/>
  <c r="S65" i="1" s="1"/>
  <c r="AH65" i="1" s="1"/>
  <c r="N65" i="1"/>
  <c r="H65" i="1"/>
  <c r="V65" i="1" s="1"/>
  <c r="O64" i="1"/>
  <c r="S64" i="1" s="1"/>
  <c r="N64" i="1"/>
  <c r="H64" i="1"/>
  <c r="V64" i="1" s="1"/>
  <c r="O63" i="1"/>
  <c r="S63" i="1" s="1"/>
  <c r="N63" i="1"/>
  <c r="H63" i="1"/>
  <c r="O62" i="1"/>
  <c r="S62" i="1" s="1"/>
  <c r="N62" i="1"/>
  <c r="H62" i="1"/>
  <c r="O61" i="1"/>
  <c r="S61" i="1" s="1"/>
  <c r="N61" i="1"/>
  <c r="H61" i="1"/>
  <c r="V61" i="1" s="1"/>
  <c r="O60" i="1"/>
  <c r="S60" i="1" s="1"/>
  <c r="N60" i="1"/>
  <c r="H60" i="1"/>
  <c r="O59" i="1"/>
  <c r="S59" i="1" s="1"/>
  <c r="AH59" i="1" s="1"/>
  <c r="N59" i="1"/>
  <c r="H59" i="1"/>
  <c r="O58" i="1"/>
  <c r="S58" i="1" s="1"/>
  <c r="N58" i="1"/>
  <c r="H58" i="1"/>
  <c r="O57" i="1"/>
  <c r="S57" i="1" s="1"/>
  <c r="N57" i="1"/>
  <c r="H57" i="1"/>
  <c r="V57" i="1" s="1"/>
  <c r="O56" i="1"/>
  <c r="S56" i="1" s="1"/>
  <c r="AH56" i="1" s="1"/>
  <c r="N56" i="1"/>
  <c r="H56" i="1"/>
  <c r="O55" i="1"/>
  <c r="S55" i="1" s="1"/>
  <c r="AH55" i="1" s="1"/>
  <c r="N55" i="1"/>
  <c r="G55" i="1"/>
  <c r="H55" i="1" s="1"/>
  <c r="O54" i="1"/>
  <c r="S54" i="1" s="1"/>
  <c r="N54" i="1"/>
  <c r="H54" i="1"/>
  <c r="O53" i="1"/>
  <c r="S53" i="1" s="1"/>
  <c r="N53" i="1"/>
  <c r="G53" i="1"/>
  <c r="H53" i="1" s="1"/>
  <c r="O52" i="1"/>
  <c r="S52" i="1" s="1"/>
  <c r="AH52" i="1" s="1"/>
  <c r="N52" i="1"/>
  <c r="G52" i="1"/>
  <c r="H52" i="1" s="1"/>
  <c r="O51" i="1"/>
  <c r="S51" i="1" s="1"/>
  <c r="N51" i="1"/>
  <c r="G51" i="1"/>
  <c r="H51" i="1" s="1"/>
  <c r="O50" i="1"/>
  <c r="S50" i="1" s="1"/>
  <c r="N50" i="1"/>
  <c r="G50" i="1"/>
  <c r="H50" i="1" s="1"/>
  <c r="V50" i="1" s="1"/>
  <c r="O49" i="1"/>
  <c r="S49" i="1" s="1"/>
  <c r="N49" i="1"/>
  <c r="H49" i="1"/>
  <c r="V49" i="1" s="1"/>
  <c r="O48" i="1"/>
  <c r="S48" i="1" s="1"/>
  <c r="N48" i="1"/>
  <c r="G48" i="1"/>
  <c r="H48" i="1" s="1"/>
  <c r="O47" i="1"/>
  <c r="S47" i="1" s="1"/>
  <c r="N47" i="1"/>
  <c r="G47" i="1"/>
  <c r="H47" i="1" s="1"/>
  <c r="O46" i="1"/>
  <c r="S46" i="1" s="1"/>
  <c r="N46" i="1"/>
  <c r="G46" i="1"/>
  <c r="H46" i="1" s="1"/>
  <c r="O45" i="1"/>
  <c r="S45" i="1" s="1"/>
  <c r="N45" i="1"/>
  <c r="G45" i="1"/>
  <c r="H45" i="1" s="1"/>
  <c r="O44" i="1"/>
  <c r="S44" i="1" s="1"/>
  <c r="N44" i="1"/>
  <c r="H44" i="1"/>
  <c r="O43" i="1"/>
  <c r="S43" i="1" s="1"/>
  <c r="N43" i="1"/>
  <c r="G43" i="1"/>
  <c r="H43" i="1" s="1"/>
  <c r="V43" i="1" s="1"/>
  <c r="O42" i="1"/>
  <c r="S42" i="1" s="1"/>
  <c r="N42" i="1"/>
  <c r="H42" i="1"/>
  <c r="O41" i="1"/>
  <c r="S41" i="1" s="1"/>
  <c r="N41" i="1"/>
  <c r="G41" i="1"/>
  <c r="H41" i="1" s="1"/>
  <c r="O40" i="1"/>
  <c r="S40" i="1" s="1"/>
  <c r="N40" i="1"/>
  <c r="H40" i="1"/>
  <c r="V40" i="1" s="1"/>
  <c r="O39" i="1"/>
  <c r="S39" i="1" s="1"/>
  <c r="N39" i="1"/>
  <c r="H39" i="1"/>
  <c r="O38" i="1"/>
  <c r="S38" i="1" s="1"/>
  <c r="N38" i="1"/>
  <c r="H38" i="1"/>
  <c r="V38" i="1" s="1"/>
  <c r="O37" i="1"/>
  <c r="S37" i="1" s="1"/>
  <c r="N37" i="1"/>
  <c r="H37" i="1"/>
  <c r="O36" i="1"/>
  <c r="S36" i="1" s="1"/>
  <c r="N36" i="1"/>
  <c r="H36" i="1"/>
  <c r="U36" i="1" s="1"/>
  <c r="O35" i="1"/>
  <c r="S35" i="1" s="1"/>
  <c r="N35" i="1"/>
  <c r="H35" i="1"/>
  <c r="U35" i="1" s="1"/>
  <c r="O34" i="1"/>
  <c r="S34" i="1" s="1"/>
  <c r="N34" i="1"/>
  <c r="G34" i="1"/>
  <c r="H34" i="1" s="1"/>
  <c r="O33" i="1"/>
  <c r="S33" i="1" s="1"/>
  <c r="N33" i="1"/>
  <c r="H33" i="1"/>
  <c r="V33" i="1" s="1"/>
  <c r="O32" i="1"/>
  <c r="S32" i="1" s="1"/>
  <c r="N32" i="1"/>
  <c r="G32" i="1"/>
  <c r="H32" i="1" s="1"/>
  <c r="O31" i="1"/>
  <c r="S31" i="1" s="1"/>
  <c r="AH31" i="1" s="1"/>
  <c r="N31" i="1"/>
  <c r="G31" i="1"/>
  <c r="H31" i="1" s="1"/>
  <c r="O30" i="1"/>
  <c r="S30" i="1" s="1"/>
  <c r="N30" i="1"/>
  <c r="H30" i="1"/>
  <c r="O29" i="1"/>
  <c r="S29" i="1" s="1"/>
  <c r="N29" i="1"/>
  <c r="H29" i="1"/>
  <c r="U29" i="1" s="1"/>
  <c r="O28" i="1"/>
  <c r="S28" i="1" s="1"/>
  <c r="N28" i="1"/>
  <c r="H28" i="1"/>
  <c r="O27" i="1"/>
  <c r="S27" i="1" s="1"/>
  <c r="N27" i="1"/>
  <c r="G27" i="1"/>
  <c r="H27" i="1" s="1"/>
  <c r="O26" i="1"/>
  <c r="S26" i="1" s="1"/>
  <c r="N26" i="1"/>
  <c r="G26" i="1"/>
  <c r="H26" i="1" s="1"/>
  <c r="O25" i="1"/>
  <c r="S25" i="1" s="1"/>
  <c r="N25" i="1"/>
  <c r="H25" i="1"/>
  <c r="O24" i="1"/>
  <c r="S24" i="1" s="1"/>
  <c r="N24" i="1"/>
  <c r="H24" i="1"/>
  <c r="O23" i="1"/>
  <c r="S23" i="1" s="1"/>
  <c r="N23" i="1"/>
  <c r="H23" i="1"/>
  <c r="V23" i="1" s="1"/>
  <c r="O22" i="1"/>
  <c r="S22" i="1" s="1"/>
  <c r="N22" i="1"/>
  <c r="H22" i="1"/>
  <c r="O21" i="1"/>
  <c r="S21" i="1" s="1"/>
  <c r="N21" i="1"/>
  <c r="H21" i="1"/>
  <c r="V21" i="1" s="1"/>
  <c r="O20" i="1"/>
  <c r="S20" i="1" s="1"/>
  <c r="N20" i="1"/>
  <c r="H20" i="1"/>
  <c r="O19" i="1"/>
  <c r="S19" i="1" s="1"/>
  <c r="N19" i="1"/>
  <c r="G19" i="1"/>
  <c r="H19" i="1" s="1"/>
  <c r="V19" i="1" s="1"/>
  <c r="O18" i="1"/>
  <c r="S18" i="1" s="1"/>
  <c r="N18" i="1"/>
  <c r="H18" i="1"/>
  <c r="O17" i="1"/>
  <c r="S17" i="1" s="1"/>
  <c r="N17" i="1"/>
  <c r="H17" i="1"/>
  <c r="O16" i="1"/>
  <c r="S16" i="1" s="1"/>
  <c r="N16" i="1"/>
  <c r="G16" i="1"/>
  <c r="H16" i="1" s="1"/>
  <c r="O15" i="1"/>
  <c r="S15" i="1" s="1"/>
  <c r="AH15" i="1" s="1"/>
  <c r="N15" i="1"/>
  <c r="G15" i="1"/>
  <c r="H15" i="1" s="1"/>
  <c r="O14" i="1"/>
  <c r="S14" i="1" s="1"/>
  <c r="N14" i="1"/>
  <c r="H14" i="1"/>
  <c r="O13" i="1"/>
  <c r="S13" i="1" s="1"/>
  <c r="N13" i="1"/>
  <c r="G13" i="1"/>
  <c r="H13" i="1" s="1"/>
  <c r="V13" i="1" s="1"/>
  <c r="O12" i="1"/>
  <c r="S12" i="1" s="1"/>
  <c r="N12" i="1"/>
  <c r="G12" i="1"/>
  <c r="H12" i="1" s="1"/>
  <c r="V12" i="1" s="1"/>
  <c r="O11" i="1"/>
  <c r="S11" i="1" s="1"/>
  <c r="N11" i="1"/>
  <c r="H11" i="1"/>
  <c r="V11" i="1" s="1"/>
  <c r="O10" i="1"/>
  <c r="S10" i="1" s="1"/>
  <c r="AH10" i="1" s="1"/>
  <c r="N10" i="1"/>
  <c r="G10" i="1"/>
  <c r="H10" i="1" s="1"/>
  <c r="O9" i="1"/>
  <c r="S9" i="1" s="1"/>
  <c r="N9" i="1"/>
  <c r="G9" i="1"/>
  <c r="H9" i="1" s="1"/>
  <c r="O8" i="1"/>
  <c r="S8" i="1" s="1"/>
  <c r="N8" i="1"/>
  <c r="H8" i="1"/>
  <c r="O7" i="1"/>
  <c r="S7" i="1" s="1"/>
  <c r="N7" i="1"/>
  <c r="H7" i="1"/>
  <c r="V7" i="1" s="1"/>
  <c r="O6" i="1"/>
  <c r="S6" i="1" s="1"/>
  <c r="N6" i="1"/>
  <c r="H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M5" i="1"/>
  <c r="E5" i="1"/>
  <c r="T8" i="1" l="1"/>
  <c r="AH8" i="1" s="1"/>
  <c r="V17" i="1"/>
  <c r="T21" i="1"/>
  <c r="U21" i="1" s="1"/>
  <c r="T63" i="1"/>
  <c r="AH63" i="1" s="1"/>
  <c r="T44" i="1"/>
  <c r="T87" i="1"/>
  <c r="AH87" i="1" s="1"/>
  <c r="V25" i="1"/>
  <c r="T58" i="1"/>
  <c r="U58" i="1" s="1"/>
  <c r="T111" i="1"/>
  <c r="AH111" i="1" s="1"/>
  <c r="T121" i="1"/>
  <c r="AH121" i="1" s="1"/>
  <c r="T16" i="1"/>
  <c r="AH16" i="1" s="1"/>
  <c r="T105" i="1"/>
  <c r="AH105" i="1" s="1"/>
  <c r="T104" i="1"/>
  <c r="AH104" i="1" s="1"/>
  <c r="T102" i="1"/>
  <c r="AH102" i="1" s="1"/>
  <c r="T114" i="1"/>
  <c r="AH114" i="1" s="1"/>
  <c r="T109" i="1"/>
  <c r="T28" i="1"/>
  <c r="AH28" i="1" s="1"/>
  <c r="T30" i="1"/>
  <c r="AH30" i="1" s="1"/>
  <c r="V28" i="1"/>
  <c r="T46" i="1"/>
  <c r="AH46" i="1" s="1"/>
  <c r="T103" i="1"/>
  <c r="AH103" i="1" s="1"/>
  <c r="T60" i="1"/>
  <c r="AH60" i="1" s="1"/>
  <c r="V75" i="1"/>
  <c r="T83" i="1"/>
  <c r="AH83" i="1" s="1"/>
  <c r="T112" i="1"/>
  <c r="AH112" i="1" s="1"/>
  <c r="T11" i="1"/>
  <c r="AH11" i="1" s="1"/>
  <c r="V18" i="1"/>
  <c r="AH20" i="1"/>
  <c r="T24" i="1"/>
  <c r="AH24" i="1" s="1"/>
  <c r="T41" i="1"/>
  <c r="AH41" i="1" s="1"/>
  <c r="T57" i="1"/>
  <c r="AH57" i="1" s="1"/>
  <c r="T62" i="1"/>
  <c r="AH62" i="1" s="1"/>
  <c r="T64" i="1"/>
  <c r="AH64" i="1" s="1"/>
  <c r="T80" i="1"/>
  <c r="AH80" i="1" s="1"/>
  <c r="T107" i="1"/>
  <c r="AH107" i="1" s="1"/>
  <c r="V110" i="1"/>
  <c r="T120" i="1"/>
  <c r="AH120" i="1" s="1"/>
  <c r="T81" i="1"/>
  <c r="AH81" i="1" s="1"/>
  <c r="T101" i="1"/>
  <c r="AH101" i="1" s="1"/>
  <c r="T117" i="1"/>
  <c r="AH117" i="1" s="1"/>
  <c r="T13" i="1"/>
  <c r="AH13" i="1" s="1"/>
  <c r="T27" i="1"/>
  <c r="AH27" i="1" s="1"/>
  <c r="T32" i="1"/>
  <c r="AH32" i="1" s="1"/>
  <c r="T38" i="1"/>
  <c r="AH38" i="1" s="1"/>
  <c r="T45" i="1"/>
  <c r="AH45" i="1" s="1"/>
  <c r="T7" i="1"/>
  <c r="AH7" i="1" s="1"/>
  <c r="T9" i="1"/>
  <c r="AH9" i="1" s="1"/>
  <c r="T47" i="1"/>
  <c r="AH47" i="1" s="1"/>
  <c r="V62" i="1"/>
  <c r="T66" i="1"/>
  <c r="AH66" i="1" s="1"/>
  <c r="T74" i="1"/>
  <c r="AH74" i="1" s="1"/>
  <c r="T89" i="1"/>
  <c r="AH89" i="1" s="1"/>
  <c r="T115" i="1"/>
  <c r="AH115" i="1" s="1"/>
  <c r="AH17" i="1"/>
  <c r="AH44" i="1"/>
  <c r="T48" i="1"/>
  <c r="AH48" i="1" s="1"/>
  <c r="T73" i="1"/>
  <c r="AH73" i="1" s="1"/>
  <c r="AH109" i="1"/>
  <c r="V22" i="1"/>
  <c r="AH22" i="1"/>
  <c r="V34" i="1"/>
  <c r="T34" i="1"/>
  <c r="AH34" i="1" s="1"/>
  <c r="V8" i="1"/>
  <c r="V58" i="1"/>
  <c r="AH58" i="1"/>
  <c r="AH26" i="1"/>
  <c r="T33" i="1"/>
  <c r="AH33" i="1" s="1"/>
  <c r="T37" i="1"/>
  <c r="AH37" i="1" s="1"/>
  <c r="V39" i="1"/>
  <c r="T39" i="1"/>
  <c r="AH39" i="1" s="1"/>
  <c r="T43" i="1"/>
  <c r="AH43" i="1" s="1"/>
  <c r="T79" i="1"/>
  <c r="AH79" i="1" s="1"/>
  <c r="V85" i="1"/>
  <c r="T88" i="1"/>
  <c r="AH88" i="1" s="1"/>
  <c r="V91" i="1"/>
  <c r="V93" i="1"/>
  <c r="V105" i="1"/>
  <c r="V121" i="1"/>
  <c r="T93" i="1"/>
  <c r="AH93" i="1" s="1"/>
  <c r="G5" i="1"/>
  <c r="O5" i="1"/>
  <c r="T12" i="1"/>
  <c r="AH12" i="1" s="1"/>
  <c r="T14" i="1"/>
  <c r="AH14" i="1" s="1"/>
  <c r="T19" i="1"/>
  <c r="AH19" i="1" s="1"/>
  <c r="AH23" i="1"/>
  <c r="T49" i="1"/>
  <c r="T54" i="1"/>
  <c r="AH54" i="1" s="1"/>
  <c r="T67" i="1"/>
  <c r="AH67" i="1" s="1"/>
  <c r="T69" i="1"/>
  <c r="AH69" i="1" s="1"/>
  <c r="AH84" i="1"/>
  <c r="V86" i="1"/>
  <c r="T86" i="1"/>
  <c r="AH86" i="1" s="1"/>
  <c r="T90" i="1"/>
  <c r="AH90" i="1" s="1"/>
  <c r="AH96" i="1"/>
  <c r="V114" i="1"/>
  <c r="AH119" i="1"/>
  <c r="T68" i="1"/>
  <c r="AH68" i="1" s="1"/>
  <c r="T85" i="1"/>
  <c r="AH85" i="1" s="1"/>
  <c r="AH110" i="1"/>
  <c r="U65" i="1"/>
  <c r="V77" i="1"/>
  <c r="V100" i="1"/>
  <c r="AH100" i="1"/>
  <c r="V14" i="1"/>
  <c r="V20" i="1"/>
  <c r="V30" i="1"/>
  <c r="V35" i="1"/>
  <c r="V37" i="1"/>
  <c r="V53" i="1"/>
  <c r="U53" i="1"/>
  <c r="V55" i="1"/>
  <c r="U55" i="1"/>
  <c r="V59" i="1"/>
  <c r="U59" i="1"/>
  <c r="V63" i="1"/>
  <c r="V116" i="1"/>
  <c r="U116" i="1"/>
  <c r="V6" i="1"/>
  <c r="V24" i="1"/>
  <c r="V29" i="1"/>
  <c r="V36" i="1"/>
  <c r="V44" i="1"/>
  <c r="U50" i="1"/>
  <c r="V52" i="1"/>
  <c r="U52" i="1"/>
  <c r="V54" i="1"/>
  <c r="V69" i="1"/>
  <c r="U71" i="1"/>
  <c r="V87" i="1"/>
  <c r="U92" i="1"/>
  <c r="V92" i="1"/>
  <c r="N5" i="1"/>
  <c r="S5" i="1"/>
  <c r="U18" i="1"/>
  <c r="U22" i="1"/>
  <c r="U56" i="1"/>
  <c r="V56" i="1"/>
  <c r="V60" i="1"/>
  <c r="U72" i="1"/>
  <c r="U76" i="1"/>
  <c r="V76" i="1"/>
  <c r="V80" i="1"/>
  <c r="U94" i="1"/>
  <c r="U95" i="1"/>
  <c r="U96" i="1"/>
  <c r="U97" i="1"/>
  <c r="V97" i="1"/>
  <c r="U98" i="1"/>
  <c r="V103" i="1"/>
  <c r="U106" i="1"/>
  <c r="U108" i="1"/>
  <c r="V108" i="1"/>
  <c r="U113" i="1"/>
  <c r="V113" i="1"/>
  <c r="U118" i="1"/>
  <c r="U119" i="1"/>
  <c r="V119" i="1"/>
  <c r="U10" i="1"/>
  <c r="V10" i="1"/>
  <c r="U15" i="1"/>
  <c r="V15" i="1"/>
  <c r="V27" i="1"/>
  <c r="U31" i="1"/>
  <c r="V31" i="1"/>
  <c r="V41" i="1"/>
  <c r="V9" i="1"/>
  <c r="V16" i="1"/>
  <c r="U26" i="1"/>
  <c r="V26" i="1"/>
  <c r="V32" i="1"/>
  <c r="U25" i="1"/>
  <c r="U40" i="1"/>
  <c r="U42" i="1"/>
  <c r="V42" i="1"/>
  <c r="V71" i="1"/>
  <c r="V72" i="1"/>
  <c r="V73" i="1"/>
  <c r="V83" i="1"/>
  <c r="V84" i="1"/>
  <c r="V88" i="1"/>
  <c r="V89" i="1"/>
  <c r="V98" i="1"/>
  <c r="V99" i="1"/>
  <c r="U99" i="1"/>
  <c r="F5" i="1"/>
  <c r="H5" i="1"/>
  <c r="V45" i="1"/>
  <c r="V46" i="1"/>
  <c r="V47" i="1"/>
  <c r="V48" i="1"/>
  <c r="U51" i="1"/>
  <c r="V51" i="1"/>
  <c r="U61" i="1"/>
  <c r="V70" i="1"/>
  <c r="U70" i="1"/>
  <c r="V74" i="1"/>
  <c r="V81" i="1"/>
  <c r="V82" i="1"/>
  <c r="U82" i="1"/>
  <c r="V90" i="1"/>
  <c r="V104" i="1"/>
  <c r="V109" i="1"/>
  <c r="V120" i="1"/>
  <c r="U75" i="1"/>
  <c r="U77" i="1"/>
  <c r="U78" i="1"/>
  <c r="V78" i="1"/>
  <c r="U91" i="1"/>
  <c r="U100" i="1"/>
  <c r="V101" i="1"/>
  <c r="U110" i="1"/>
  <c r="V117" i="1"/>
  <c r="AH21" i="1" l="1"/>
  <c r="U33" i="1"/>
  <c r="U9" i="1"/>
  <c r="U62" i="1"/>
  <c r="U46" i="1"/>
  <c r="U8" i="1"/>
  <c r="U117" i="1"/>
  <c r="U112" i="1"/>
  <c r="U101" i="1"/>
  <c r="U84" i="1"/>
  <c r="U83" i="1"/>
  <c r="U60" i="1"/>
  <c r="U11" i="1"/>
  <c r="U90" i="1"/>
  <c r="U102" i="1"/>
  <c r="U120" i="1"/>
  <c r="U109" i="1"/>
  <c r="U74" i="1"/>
  <c r="U69" i="1"/>
  <c r="U32" i="1"/>
  <c r="U107" i="1"/>
  <c r="U80" i="1"/>
  <c r="U54" i="1"/>
  <c r="U24" i="1"/>
  <c r="U115" i="1"/>
  <c r="U63" i="1"/>
  <c r="U57" i="1"/>
  <c r="U38" i="1"/>
  <c r="U17" i="1"/>
  <c r="U114" i="1"/>
  <c r="U105" i="1"/>
  <c r="U66" i="1"/>
  <c r="U47" i="1"/>
  <c r="U44" i="1"/>
  <c r="U89" i="1"/>
  <c r="U73" i="1"/>
  <c r="U12" i="1"/>
  <c r="U7" i="1"/>
  <c r="U16" i="1"/>
  <c r="U41" i="1"/>
  <c r="U27" i="1"/>
  <c r="U81" i="1"/>
  <c r="U87" i="1"/>
  <c r="U20" i="1"/>
  <c r="U64" i="1"/>
  <c r="U121" i="1"/>
  <c r="U104" i="1"/>
  <c r="U68" i="1"/>
  <c r="U48" i="1"/>
  <c r="U45" i="1"/>
  <c r="U28" i="1"/>
  <c r="U13" i="1"/>
  <c r="U111" i="1"/>
  <c r="U103" i="1"/>
  <c r="U79" i="1"/>
  <c r="U39" i="1"/>
  <c r="U88" i="1"/>
  <c r="U86" i="1"/>
  <c r="U14" i="1"/>
  <c r="U37" i="1"/>
  <c r="U30" i="1"/>
  <c r="AH49" i="1"/>
  <c r="U49" i="1"/>
  <c r="AH6" i="1"/>
  <c r="AH5" i="1" s="1"/>
  <c r="T5" i="1"/>
  <c r="U93" i="1"/>
  <c r="U85" i="1"/>
  <c r="U67" i="1"/>
  <c r="U43" i="1"/>
  <c r="U34" i="1"/>
  <c r="U23" i="1"/>
  <c r="U19" i="1"/>
  <c r="U6" i="1"/>
</calcChain>
</file>

<file path=xl/sharedStrings.xml><?xml version="1.0" encoding="utf-8"?>
<sst xmlns="http://schemas.openxmlformats.org/spreadsheetml/2006/main" count="450" uniqueCount="183">
  <si>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</si>
  <si>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</si>
  <si>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</si>
  <si>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</si>
  <si>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</si>
  <si>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</si>
  <si>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ОПТ</t>
  </si>
  <si>
    <t>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</si>
  <si>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</si>
  <si>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</si>
  <si>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</si>
  <si>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</si>
  <si>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</si>
  <si>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</si>
  <si>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</si>
  <si>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</si>
  <si>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</si>
  <si>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</si>
  <si>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</si>
  <si>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</si>
  <si>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</si>
  <si>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</si>
  <si>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</si>
  <si>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</si>
  <si>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</si>
  <si>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</si>
  <si>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</si>
  <si>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</si>
  <si>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</si>
  <si>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</si>
  <si>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</si>
  <si>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</si>
  <si>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</si>
  <si>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</si>
  <si>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</si>
  <si>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</si>
  <si>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</si>
  <si>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</si>
  <si>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</si>
  <si>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</si>
  <si>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</si>
  <si>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</si>
  <si>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</si>
  <si>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</si>
  <si>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</si>
  <si>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</si>
  <si>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</si>
  <si>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</si>
  <si>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</si>
  <si>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</si>
  <si>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</si>
  <si>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</si>
  <si>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</si>
  <si>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/ матрица</t>
  </si>
  <si>
    <t>800шт ЮгТех (02,09,26)</t>
  </si>
  <si>
    <t>5517 БЕКОН с/к с/н в/у 1/180   ОСТАНКИНО</t>
  </si>
  <si>
    <t>не в матрице</t>
  </si>
  <si>
    <t>7103 БЕКОН Останкино с/к с/н в/у 1/180_50с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</si>
  <si>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</si>
  <si>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</si>
  <si>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</si>
  <si>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</si>
  <si>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</si>
  <si>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</si>
  <si>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</si>
  <si>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</si>
  <si>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</si>
  <si>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</si>
  <si>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</si>
  <si>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</si>
  <si>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</si>
  <si>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</si>
  <si>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</si>
  <si>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</si>
  <si>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нужно увеличить продажи!!!</t>
  </si>
  <si>
    <t>6333 МЯСНАЯ Папа может вар п/о 0.4кг 8шт.  ОСТАНКИНО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</si>
  <si>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</si>
  <si>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</si>
  <si>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</si>
  <si>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</si>
  <si>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</si>
  <si>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</si>
  <si>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</si>
  <si>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</si>
  <si>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</si>
  <si>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</si>
  <si>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</si>
  <si>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</si>
  <si>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</si>
  <si>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</si>
  <si>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</si>
  <si>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</si>
  <si>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</si>
  <si>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</si>
  <si>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</si>
  <si>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</si>
  <si>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</si>
  <si>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</si>
  <si>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дубль</t>
  </si>
  <si>
    <t>7080 СЛИВОЧНЫЕ ПМ сос п/о мгс 0,41кг 10шт 50с  Останкино</t>
  </si>
  <si>
    <t>6764 СЛИИВОЧНЫЕ сос ц/о мгс 1*4  Останкино</t>
  </si>
  <si>
    <t>7083 СЛИВОЧНЫЕ ПМ сос п/о мгс 1.5*4_А_50с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</si>
  <si>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</si>
  <si>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</si>
  <si>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</si>
  <si>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</si>
  <si>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</si>
  <si>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</si>
  <si>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</si>
  <si>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</si>
  <si>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</si>
  <si>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</si>
  <si>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</si>
  <si>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</si>
  <si>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</si>
  <si>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</si>
  <si>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</si>
  <si>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</si>
  <si>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</si>
  <si>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</si>
  <si>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</si>
  <si>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</si>
  <si>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7090 СВИНИНА ПО-ДОМ.к/в мл/к в/у 0,3кг_50с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</si>
  <si>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</si>
  <si>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</si>
  <si>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</si>
  <si>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</si>
  <si>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</si>
  <si>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</si>
  <si>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</si>
  <si>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</si>
  <si>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</si>
  <si>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</si>
  <si>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</si>
  <si>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</si>
  <si>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</si>
  <si>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</si>
  <si>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</si>
  <si>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</si>
  <si>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</si>
  <si>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</si>
  <si>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</si>
  <si>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</si>
  <si>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</si>
  <si>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</si>
  <si>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</si>
  <si>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</si>
  <si>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</si>
  <si>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</si>
  <si>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</si>
  <si>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</si>
  <si>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</si>
  <si>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</si>
  <si>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</si>
  <si>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</si>
  <si>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</si>
  <si>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</si>
  <si>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</si>
  <si>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</si>
  <si>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РАЗОВО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</si>
  <si>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</si>
  <si>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</si>
  <si>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</si>
  <si>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</si>
  <si>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</si>
  <si>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</si>
  <si>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</si>
  <si>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</si>
  <si>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</si>
  <si>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</si>
  <si>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</si>
  <si>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</si>
  <si>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</si>
  <si>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</si>
  <si>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</si>
  <si>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</si>
  <si>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</si>
  <si>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</si>
  <si>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</si>
  <si>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заказываем с 09,09,26</t>
  </si>
  <si>
    <t>нужно увеличить продажи / новинка</t>
  </si>
  <si>
    <t>нужно увеличить продажи!!! / 40шт в уценку (17,09,26) / 75шт в уценку (14,09,26) / новинка</t>
  </si>
  <si>
    <t>нужно увеличить продажи!!! / 36шт в уценку (17,09,26) / 66шт в уценку (14,09,26)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</si>
</sst>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0" fontId="0" fillId="0" borderId="1" xfId="0"/>
    <xf numFmtId="164" fontId="5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6" fillId="4" borderId="1" xfId="1" applyNumberFormat="1" applyFont="1" applyFill="1"/>
    <xf numFmtId="164" fontId="7" fillId="8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/&#1087;&#1088;&#1080;&#1093;&#1086;&#1076;%20&#1051;&#10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4813 ФИЛЕЙНАЯ Папа может вар п/о_Л   ОСТАНКИНО</v>
          </cell>
          <cell r="B2">
            <v>32.177</v>
          </cell>
        </row>
        <row r="3">
          <cell r="A3" t="str">
            <v>4574 Мясная со шпиком Папа может вар п/о ОСТАНКИНО</v>
          </cell>
          <cell r="B3">
            <v>32.409999999999997</v>
          </cell>
        </row>
        <row r="4">
          <cell r="A4" t="str">
            <v>4063 МЯСНАЯ Папа может вар п/о_Л   ОСТАНКИНО</v>
          </cell>
          <cell r="B4">
            <v>176.72</v>
          </cell>
        </row>
        <row r="5">
          <cell r="A5" t="str">
            <v>6220 ГОВЯЖЬЯ папа может вар п/о  Останкино</v>
          </cell>
          <cell r="B5">
            <v>48.555</v>
          </cell>
        </row>
        <row r="6">
          <cell r="A6" t="str">
            <v>7539 ДОКТОРСКАЯ ГОСТ вар п/о 0,35кг ОСТАНКИНО</v>
          </cell>
          <cell r="B6">
            <v>32</v>
          </cell>
        </row>
        <row r="7">
          <cell r="A7" t="str">
            <v>6325 ДОКТОРСКАЯ ПРЕМИУМ вар п/о 0.4кг 8шт.  ОСТАНКИНО</v>
          </cell>
          <cell r="B7">
            <v>48</v>
          </cell>
        </row>
        <row r="8">
          <cell r="A8" t="str">
            <v>7632 ЭКСТРА Папа может вар п/о 0.4кг 8шт_195к  ОСТАНКИНО</v>
          </cell>
          <cell r="B8">
            <v>24</v>
          </cell>
        </row>
        <row r="9">
          <cell r="A9" t="str">
            <v>7523 ГОВЯЖЬЯ Папа Может вар п/о 0,4кг 6шт. ОСТАНКИНО</v>
          </cell>
          <cell r="B9">
            <v>30</v>
          </cell>
        </row>
        <row r="10">
          <cell r="A10" t="str">
            <v>6392 ФИЛЕЙНАЯ Папа может вар п/о 0,4кг  ОСТАНКИНО</v>
          </cell>
          <cell r="B10">
            <v>16</v>
          </cell>
        </row>
        <row r="11">
          <cell r="A11" t="str">
            <v>6797 С ИНДЕЙКОЙ Папа может вар п/о 0,4кг 8шт. ОСТАНКИНО</v>
          </cell>
          <cell r="B11">
            <v>24</v>
          </cell>
        </row>
        <row r="12">
          <cell r="A12" t="str">
            <v>6767 РУБЛЕНЫЕ сос ц/о мгс 1*4  Останкино</v>
          </cell>
          <cell r="B12">
            <v>25.922000000000001</v>
          </cell>
        </row>
        <row r="13">
          <cell r="A13" t="str">
            <v>6764 СЛИИВОЧНЫЕ сос ц/о мгс 1*4  Останкино</v>
          </cell>
          <cell r="B13">
            <v>29.382000000000001</v>
          </cell>
        </row>
        <row r="14">
          <cell r="A14" t="str">
            <v>7070 СОЧНЫЕ ПМ сос п/о 1,5*4_А_50с  Останкино</v>
          </cell>
          <cell r="B14">
            <v>98.423000000000002</v>
          </cell>
        </row>
        <row r="15">
          <cell r="A15" t="str">
            <v>6303 Мясные Папа может сос п/о мгс 1,5*3  Останкино</v>
          </cell>
          <cell r="B15">
            <v>68.596000000000004</v>
          </cell>
        </row>
        <row r="16">
          <cell r="A16" t="str">
            <v>6661 СОЧНЫЙ ГРИЛЬ ПМ сос п/о мгс 1,5*4_Маяк Останкино</v>
          </cell>
          <cell r="B16">
            <v>49.222000000000001</v>
          </cell>
        </row>
        <row r="17">
          <cell r="A17" t="str">
            <v>6762 СЛИВОЧНЫЕ сос ц/о мгс 0,41кг 8шт  Останкино</v>
          </cell>
          <cell r="B17">
            <v>40</v>
          </cell>
        </row>
        <row r="18">
          <cell r="A18" t="str">
            <v>6765 РУБЛЕНЫЕ сос ц/о мгс 0,36кг 6шт  Останкино</v>
          </cell>
          <cell r="B18">
            <v>78</v>
          </cell>
        </row>
        <row r="19">
          <cell r="A19" t="str">
            <v>7461 ДЛЯ ДЕТЕЙ Папа Может сос п/о мгс 0,33кг ОСТАНКИНО</v>
          </cell>
          <cell r="B19">
            <v>36</v>
          </cell>
        </row>
        <row r="20">
          <cell r="A20" t="str">
            <v>7066 СОЧНЫЕ ПМ сос п/о мгс 0,41кг 10шт 50с  Останкино</v>
          </cell>
          <cell r="B20">
            <v>50</v>
          </cell>
        </row>
        <row r="21">
          <cell r="A21" t="str">
            <v>6713 СОЧНЫЙ ГРИЛЬ ПМ сос п/о мгс 0,41кг 8 шт.  ОСТАНКИНО</v>
          </cell>
          <cell r="B21">
            <v>32</v>
          </cell>
        </row>
        <row r="22">
          <cell r="A22" t="str">
            <v>7255 МЯСНЫЕ С ГОВЯД.ПМ сос п/о мгс 0.4кг 6шт.  ОСТАНКИНО</v>
          </cell>
          <cell r="B22">
            <v>24</v>
          </cell>
        </row>
        <row r="23">
          <cell r="A23" t="str">
            <v>6550 МЯСНЫЕ Папа может сар б/о мгс 1*3 О 45с  Останкино</v>
          </cell>
          <cell r="B23">
            <v>18.876999999999999</v>
          </cell>
        </row>
        <row r="24">
          <cell r="A24" t="str">
            <v>6608 С ГОВЯДИНОЙ ОРИГИН. сар б/о мгс 1*3_45с  ОСТАНКИНО</v>
          </cell>
          <cell r="B24">
            <v>33.938000000000002</v>
          </cell>
        </row>
        <row r="25">
          <cell r="A25" t="str">
            <v>5544 Сервелат Финский в/к в/у_45с НОВАЯ ОСТАНКИНО</v>
          </cell>
          <cell r="B25">
            <v>25.279</v>
          </cell>
        </row>
        <row r="26">
          <cell r="A26" t="str">
            <v>7149 БАЛЫКОВАЯ Коровино п/к в/у 0,84кг_50с  Останкино</v>
          </cell>
          <cell r="B26">
            <v>24</v>
          </cell>
        </row>
        <row r="27">
          <cell r="A27" t="str">
            <v>7157 СЕРВЕЛАТ ЗЕРНИСТЫЙ ПМ в/к в/у_50с  Останкино</v>
          </cell>
          <cell r="B27">
            <v>26.994</v>
          </cell>
        </row>
        <row r="28">
          <cell r="A28" t="str">
            <v>7166 СЕРВЕЛАТ ОХОТНИЧИЙ ПМ в/к в/у_50с  Останкино</v>
          </cell>
          <cell r="B28">
            <v>50.212000000000003</v>
          </cell>
        </row>
        <row r="29">
          <cell r="A29" t="str">
            <v>7603 БАЛЫКОВАЯ в/к в/у 0.33кг 8шт. ОСТАНКИНО</v>
          </cell>
          <cell r="B29">
            <v>32</v>
          </cell>
        </row>
        <row r="30">
          <cell r="A30" t="str">
            <v>6697 СЕРВЕЛАТ ФИНСКИЙ ПМ в/к в/у 0,35кг 8шт  ОСТАНКИНО</v>
          </cell>
          <cell r="B30">
            <v>40</v>
          </cell>
        </row>
        <row r="31">
          <cell r="A31" t="str">
            <v>7236 СЕРВЕЛАТ КАРЕЛЬСКИЙ в/к в/у 0,28кг_209к  Останкино</v>
          </cell>
          <cell r="B31">
            <v>24</v>
          </cell>
        </row>
        <row r="32">
          <cell r="A32" t="str">
            <v>7154 СЕРВЕЛАТ ЗЕРНИСТЫЙ ПМ в/к в/у 0,35кг_50с  Останкино</v>
          </cell>
          <cell r="B32">
            <v>80</v>
          </cell>
        </row>
        <row r="33">
          <cell r="A33" t="str">
            <v>3986 Ароматная с/к в/у 1/250 ОСТАНКИНО</v>
          </cell>
          <cell r="B33">
            <v>8</v>
          </cell>
        </row>
        <row r="34">
          <cell r="A34" t="str">
            <v>5483 ЭКСТРА Папа может с/к в/у 1/250 8шт.   ОСТАНКИНО</v>
          </cell>
          <cell r="B34">
            <v>16</v>
          </cell>
        </row>
        <row r="35">
          <cell r="A35" t="str">
            <v>7382  САЛЯМИ МЕЛКОЗЕРНЕНАЯ с/к в/у1/120 8шт.  ОСТАНКИНО</v>
          </cell>
          <cell r="B35">
            <v>16</v>
          </cell>
        </row>
        <row r="36">
          <cell r="A36" t="str">
            <v>6221 НЕОПОЛИТАНСКИЙ ДУЭТ с/к с/н мгс 1/90  Останкино</v>
          </cell>
          <cell r="B36">
            <v>20</v>
          </cell>
        </row>
        <row r="37">
          <cell r="A37" t="str">
            <v>7626 БРАУНШВЕЙГСКАЯ с/к с/н мгс 1/100_Л10  ОСТАНКИНО</v>
          </cell>
          <cell r="B37">
            <v>20</v>
          </cell>
        </row>
        <row r="38">
          <cell r="A38" t="str">
            <v>5452 ВЕТЧ.МЯСНАЯ Папа может п/о    ОСТАНКИНО</v>
          </cell>
          <cell r="B38">
            <v>8.2149999999999999</v>
          </cell>
        </row>
        <row r="39">
          <cell r="A39" t="str">
            <v>6620 РЕБРЫШКИ к/в в/у_30с  Останкино</v>
          </cell>
          <cell r="B39">
            <v>31.425999999999998</v>
          </cell>
        </row>
        <row r="40">
          <cell r="A40" t="str">
            <v>7103 БЕКОН Останкино с/к с/н в/у 1/180_50с  Останкино</v>
          </cell>
          <cell r="B40">
            <v>30</v>
          </cell>
        </row>
        <row r="41">
          <cell r="A41" t="str">
            <v>Поддон деревянный ЕВРО</v>
          </cell>
          <cell r="B41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5" sqref="AG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8" width="7" style="10" customWidth="1"/>
    <col min="9" max="9" width="5" style="5" customWidth="1"/>
    <col min="10" max="10" width="5" customWidth="1"/>
    <col min="11" max="11" width="12" customWidth="1"/>
    <col min="12" max="12" width="1" customWidth="1"/>
    <col min="13" max="20" width="7" customWidth="1"/>
    <col min="21" max="22" width="5" customWidth="1"/>
    <col min="23" max="32" width="6" customWidth="1"/>
    <col min="33" max="33" width="42" customWidth="1"/>
    <col min="34" max="34" width="7" customWidth="1"/>
    <col min="35" max="49" width="3" customWidth="1"/>
  </cols>
  <sheetData>
    <row r="1" spans="1:49" x14ac:dyDescent="0.25">
      <c r="A1" s="9"/>
      <c r="B1" s="9"/>
      <c r="C1" s="9"/>
      <c r="D1" s="9"/>
      <c r="E1" s="9"/>
      <c r="F1" s="9"/>
      <c r="G1" s="9"/>
      <c r="H1" s="9"/>
      <c r="I1" s="6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25">
      <c r="A2" s="9"/>
      <c r="B2" s="9"/>
      <c r="C2" s="9"/>
      <c r="D2" s="9"/>
      <c r="E2" s="9"/>
      <c r="F2" s="9"/>
      <c r="G2" s="9"/>
      <c r="H2" s="9"/>
      <c r="I2" s="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1" t="s">
        <v>6</v>
      </c>
      <c r="H3" s="11" t="s">
        <v>7</v>
      </c>
      <c r="I3" s="7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16</v>
      </c>
      <c r="S3" s="1" t="s">
        <v>17</v>
      </c>
      <c r="T3" s="2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22</v>
      </c>
      <c r="AH3" s="1" t="s">
        <v>23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x14ac:dyDescent="0.25">
      <c r="A4" s="9"/>
      <c r="B4" s="9"/>
      <c r="C4" s="9"/>
      <c r="D4" s="9"/>
      <c r="E4" s="9"/>
      <c r="F4" s="9"/>
      <c r="G4" s="9"/>
      <c r="H4" s="9"/>
      <c r="I4" s="6"/>
      <c r="J4" s="9"/>
      <c r="K4" s="9"/>
      <c r="L4" s="9"/>
      <c r="M4" s="9"/>
      <c r="N4" s="9"/>
      <c r="O4" s="9"/>
      <c r="P4" s="9"/>
      <c r="Q4" s="9" t="s">
        <v>24</v>
      </c>
      <c r="R4" s="9" t="s">
        <v>25</v>
      </c>
      <c r="S4" s="9" t="s">
        <v>25</v>
      </c>
      <c r="T4" s="9"/>
      <c r="U4" s="9"/>
      <c r="V4" s="9"/>
      <c r="W4" s="9" t="s">
        <v>26</v>
      </c>
      <c r="X4" s="9" t="s">
        <v>27</v>
      </c>
      <c r="Y4" s="9" t="s">
        <v>28</v>
      </c>
      <c r="Z4" s="9" t="s">
        <v>29</v>
      </c>
      <c r="AA4" s="9" t="s">
        <v>30</v>
      </c>
      <c r="AB4" s="9" t="s">
        <v>31</v>
      </c>
      <c r="AC4" s="9" t="s">
        <v>32</v>
      </c>
      <c r="AD4" s="9" t="s">
        <v>33</v>
      </c>
      <c r="AE4" s="9" t="s">
        <v>34</v>
      </c>
      <c r="AF4" s="9" t="s">
        <v>35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x14ac:dyDescent="0.25">
      <c r="A5" s="9"/>
      <c r="B5" s="9"/>
      <c r="C5" s="9"/>
      <c r="D5" s="9"/>
      <c r="E5" s="3">
        <f>SUM(E6:E494)</f>
        <v>20332.800999999992</v>
      </c>
      <c r="F5" s="3">
        <f>SUM(F6:F494)</f>
        <v>21698.597999999994</v>
      </c>
      <c r="G5" s="3">
        <f>SUM(G6:G494)</f>
        <v>2492.348</v>
      </c>
      <c r="H5" s="3">
        <f>SUM(H6:H494)</f>
        <v>19206.249999999996</v>
      </c>
      <c r="I5" s="6"/>
      <c r="J5" s="9"/>
      <c r="K5" s="9"/>
      <c r="L5" s="9"/>
      <c r="M5" s="3">
        <f t="shared" ref="M5:T5" si="0">SUM(M6:M494)</f>
        <v>23468.394999999993</v>
      </c>
      <c r="N5" s="3">
        <f t="shared" si="0"/>
        <v>-3135.594000000001</v>
      </c>
      <c r="O5" s="3">
        <f t="shared" si="0"/>
        <v>18524.244999999995</v>
      </c>
      <c r="P5" s="3">
        <f t="shared" si="0"/>
        <v>1808.556</v>
      </c>
      <c r="Q5" s="3">
        <f t="shared" si="0"/>
        <v>11715</v>
      </c>
      <c r="R5" s="3">
        <f t="shared" si="0"/>
        <v>9116</v>
      </c>
      <c r="S5" s="3">
        <f t="shared" si="0"/>
        <v>3704.8489999999988</v>
      </c>
      <c r="T5" s="3">
        <f t="shared" si="0"/>
        <v>15782.379800000002</v>
      </c>
      <c r="U5" s="9"/>
      <c r="V5" s="9"/>
      <c r="W5" s="3">
        <f t="shared" ref="W5:AF5" si="1">SUM(W6:W494)</f>
        <v>4055.070200000001</v>
      </c>
      <c r="X5" s="3">
        <f t="shared" si="1"/>
        <v>3816.2086000000004</v>
      </c>
      <c r="Y5" s="3">
        <f t="shared" si="1"/>
        <v>4103.2987999999987</v>
      </c>
      <c r="Z5" s="3">
        <f t="shared" si="1"/>
        <v>3703.2408000000009</v>
      </c>
      <c r="AA5" s="3">
        <f t="shared" si="1"/>
        <v>3918.6130000000012</v>
      </c>
      <c r="AB5" s="3">
        <f t="shared" si="1"/>
        <v>2976.3865999999989</v>
      </c>
      <c r="AC5" s="3">
        <f t="shared" si="1"/>
        <v>3744.9068000000016</v>
      </c>
      <c r="AD5" s="3">
        <f t="shared" si="1"/>
        <v>3438.5079999999998</v>
      </c>
      <c r="AE5" s="3">
        <f t="shared" si="1"/>
        <v>2877.3969999999995</v>
      </c>
      <c r="AF5" s="3">
        <f t="shared" si="1"/>
        <v>3347.6977999999995</v>
      </c>
      <c r="AG5" s="9"/>
      <c r="AH5" s="3">
        <f>SUM(AH6:AH494)</f>
        <v>7203.7606000000005</v>
      </c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x14ac:dyDescent="0.25">
      <c r="A6" s="9" t="s">
        <v>36</v>
      </c>
      <c r="B6" s="9" t="s">
        <v>37</v>
      </c>
      <c r="C6" s="9">
        <v>14.930999999999999</v>
      </c>
      <c r="D6" s="9">
        <v>15.122999999999999</v>
      </c>
      <c r="E6" s="9">
        <v>4.383</v>
      </c>
      <c r="F6" s="9">
        <v>21.850999999999999</v>
      </c>
      <c r="G6" s="9"/>
      <c r="H6" s="9">
        <f t="shared" ref="H6:H37" si="2">F6-G6</f>
        <v>21.850999999999999</v>
      </c>
      <c r="I6" s="6">
        <v>1</v>
      </c>
      <c r="J6" s="9">
        <v>120</v>
      </c>
      <c r="K6" s="9" t="s">
        <v>38</v>
      </c>
      <c r="L6" s="9"/>
      <c r="M6" s="9">
        <v>6.3</v>
      </c>
      <c r="N6" s="9">
        <f t="shared" ref="N6:N37" si="3">E6-M6</f>
        <v>-1.9169999999999998</v>
      </c>
      <c r="O6" s="9">
        <f t="shared" ref="O6:O37" si="4">E6-P6</f>
        <v>4.383</v>
      </c>
      <c r="P6" s="9"/>
      <c r="Q6" s="9">
        <v>0</v>
      </c>
      <c r="R6" s="9"/>
      <c r="S6" s="9">
        <f t="shared" ref="S6:S37" si="5">O6/5</f>
        <v>0.87660000000000005</v>
      </c>
      <c r="T6" s="4"/>
      <c r="U6" s="9">
        <f t="shared" ref="U6:U37" si="6">(H6+Q6+R6+T6)/S6</f>
        <v>24.926990645676476</v>
      </c>
      <c r="V6" s="9">
        <f t="shared" ref="V6:V37" si="7">(H6+Q6+R6)/S6</f>
        <v>24.926990645676476</v>
      </c>
      <c r="W6" s="9">
        <v>0.55179999999999996</v>
      </c>
      <c r="X6" s="9">
        <v>1.7470000000000001</v>
      </c>
      <c r="Y6" s="9">
        <v>1.9588000000000001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 t="s">
        <v>39</v>
      </c>
      <c r="AH6" s="9">
        <f t="shared" ref="AH6:AH17" si="8">I6*T6</f>
        <v>0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x14ac:dyDescent="0.25">
      <c r="A7" s="9" t="s">
        <v>40</v>
      </c>
      <c r="B7" s="9" t="s">
        <v>41</v>
      </c>
      <c r="C7" s="9">
        <v>342</v>
      </c>
      <c r="D7" s="9">
        <v>810</v>
      </c>
      <c r="E7" s="9">
        <v>332</v>
      </c>
      <c r="F7" s="9">
        <v>155</v>
      </c>
      <c r="G7" s="9"/>
      <c r="H7" s="9">
        <f t="shared" si="2"/>
        <v>155</v>
      </c>
      <c r="I7" s="6">
        <v>0.4</v>
      </c>
      <c r="J7" s="9">
        <v>60</v>
      </c>
      <c r="K7" s="9" t="s">
        <v>38</v>
      </c>
      <c r="L7" s="9"/>
      <c r="M7" s="9">
        <v>352</v>
      </c>
      <c r="N7" s="9">
        <f t="shared" si="3"/>
        <v>-20</v>
      </c>
      <c r="O7" s="9">
        <f t="shared" si="4"/>
        <v>316</v>
      </c>
      <c r="P7" s="9">
        <v>16</v>
      </c>
      <c r="Q7" s="9">
        <v>203</v>
      </c>
      <c r="R7" s="9">
        <v>204</v>
      </c>
      <c r="S7" s="9">
        <f t="shared" si="5"/>
        <v>63.2</v>
      </c>
      <c r="T7" s="4">
        <f t="shared" ref="T7:T17" si="9">15*S7-R7-Q7-H7</f>
        <v>386</v>
      </c>
      <c r="U7" s="9">
        <f t="shared" si="6"/>
        <v>15</v>
      </c>
      <c r="V7" s="9">
        <f t="shared" si="7"/>
        <v>8.8924050632911396</v>
      </c>
      <c r="W7" s="9">
        <v>59.6</v>
      </c>
      <c r="X7" s="9">
        <v>53.2</v>
      </c>
      <c r="Y7" s="9">
        <v>61.8</v>
      </c>
      <c r="Z7" s="9">
        <v>50.6</v>
      </c>
      <c r="AA7" s="9">
        <v>53.6</v>
      </c>
      <c r="AB7" s="9">
        <v>52.4</v>
      </c>
      <c r="AC7" s="9">
        <v>61.6</v>
      </c>
      <c r="AD7" s="9">
        <v>64.599999999999994</v>
      </c>
      <c r="AE7" s="9">
        <v>54.6</v>
      </c>
      <c r="AF7" s="9">
        <v>62.6</v>
      </c>
      <c r="AG7" s="9"/>
      <c r="AH7" s="9">
        <f t="shared" si="8"/>
        <v>154.4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x14ac:dyDescent="0.25">
      <c r="A8" s="9" t="s">
        <v>42</v>
      </c>
      <c r="B8" s="9" t="s">
        <v>37</v>
      </c>
      <c r="C8" s="9">
        <v>16.138999999999999</v>
      </c>
      <c r="D8" s="9">
        <v>17.065999999999999</v>
      </c>
      <c r="E8" s="9">
        <v>9.9990000000000006</v>
      </c>
      <c r="F8" s="9">
        <v>8.1430000000000007</v>
      </c>
      <c r="G8" s="9"/>
      <c r="H8" s="9">
        <f t="shared" si="2"/>
        <v>8.1430000000000007</v>
      </c>
      <c r="I8" s="6">
        <v>1</v>
      </c>
      <c r="J8" s="9">
        <v>120</v>
      </c>
      <c r="K8" s="9" t="s">
        <v>38</v>
      </c>
      <c r="L8" s="9"/>
      <c r="M8" s="9">
        <v>10</v>
      </c>
      <c r="N8" s="9">
        <f t="shared" si="3"/>
        <v>-9.9999999999944578E-4</v>
      </c>
      <c r="O8" s="9">
        <f t="shared" si="4"/>
        <v>9.9990000000000006</v>
      </c>
      <c r="P8" s="9"/>
      <c r="Q8" s="9">
        <v>4</v>
      </c>
      <c r="R8" s="9"/>
      <c r="S8" s="9">
        <f t="shared" si="5"/>
        <v>1.9998</v>
      </c>
      <c r="T8" s="4">
        <f>14*S8-R8-Q8-H8</f>
        <v>15.854199999999999</v>
      </c>
      <c r="U8" s="9">
        <f t="shared" si="6"/>
        <v>14</v>
      </c>
      <c r="V8" s="9">
        <f t="shared" si="7"/>
        <v>6.0721072107210725</v>
      </c>
      <c r="W8" s="9">
        <v>1.2982</v>
      </c>
      <c r="X8" s="9">
        <v>1.3169999999999999</v>
      </c>
      <c r="Y8" s="9">
        <v>2.0024000000000002</v>
      </c>
      <c r="Z8" s="9">
        <v>1.6033999999999999</v>
      </c>
      <c r="AA8" s="9">
        <v>3.3054000000000001</v>
      </c>
      <c r="AB8" s="9">
        <v>2.7782</v>
      </c>
      <c r="AC8" s="9">
        <v>1.0962000000000001</v>
      </c>
      <c r="AD8" s="9">
        <v>3.3123999999999998</v>
      </c>
      <c r="AE8" s="9">
        <v>2.1114000000000002</v>
      </c>
      <c r="AF8" s="9">
        <v>1.4079999999999999</v>
      </c>
      <c r="AG8" s="9" t="s">
        <v>43</v>
      </c>
      <c r="AH8" s="9">
        <f t="shared" si="8"/>
        <v>15.854199999999999</v>
      </c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x14ac:dyDescent="0.25">
      <c r="A9" s="9" t="s">
        <v>44</v>
      </c>
      <c r="B9" s="9" t="s">
        <v>41</v>
      </c>
      <c r="C9" s="9">
        <v>208</v>
      </c>
      <c r="D9" s="9">
        <v>615</v>
      </c>
      <c r="E9" s="9">
        <v>230</v>
      </c>
      <c r="F9" s="9">
        <v>270</v>
      </c>
      <c r="G9" s="9">
        <f>VLOOKUP(A9,[1]TDSheet!$A:$B,2,0)</f>
        <v>8</v>
      </c>
      <c r="H9" s="9">
        <f t="shared" si="2"/>
        <v>262</v>
      </c>
      <c r="I9" s="6">
        <v>0.25</v>
      </c>
      <c r="J9" s="9">
        <v>120</v>
      </c>
      <c r="K9" s="9" t="s">
        <v>38</v>
      </c>
      <c r="L9" s="9"/>
      <c r="M9" s="9">
        <v>238</v>
      </c>
      <c r="N9" s="9">
        <f t="shared" si="3"/>
        <v>-8</v>
      </c>
      <c r="O9" s="9">
        <f t="shared" si="4"/>
        <v>222</v>
      </c>
      <c r="P9" s="9">
        <v>8</v>
      </c>
      <c r="Q9" s="9">
        <v>89</v>
      </c>
      <c r="R9" s="9"/>
      <c r="S9" s="9">
        <f t="shared" si="5"/>
        <v>44.4</v>
      </c>
      <c r="T9" s="4">
        <f t="shared" si="9"/>
        <v>315</v>
      </c>
      <c r="U9" s="9">
        <f t="shared" si="6"/>
        <v>15</v>
      </c>
      <c r="V9" s="9">
        <f t="shared" si="7"/>
        <v>7.9054054054054053</v>
      </c>
      <c r="W9" s="9">
        <v>35.6</v>
      </c>
      <c r="X9" s="9">
        <v>45.4</v>
      </c>
      <c r="Y9" s="9">
        <v>42.8</v>
      </c>
      <c r="Z9" s="9">
        <v>42</v>
      </c>
      <c r="AA9" s="9">
        <v>36.200000000000003</v>
      </c>
      <c r="AB9" s="9">
        <v>28.4</v>
      </c>
      <c r="AC9" s="9">
        <v>46.4</v>
      </c>
      <c r="AD9" s="9">
        <v>58.6</v>
      </c>
      <c r="AE9" s="9">
        <v>37</v>
      </c>
      <c r="AF9" s="9">
        <v>32</v>
      </c>
      <c r="AG9" s="9" t="s">
        <v>43</v>
      </c>
      <c r="AH9" s="9">
        <f t="shared" si="8"/>
        <v>78.75</v>
      </c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x14ac:dyDescent="0.25">
      <c r="A10" s="9" t="s">
        <v>45</v>
      </c>
      <c r="B10" s="9" t="s">
        <v>37</v>
      </c>
      <c r="C10" s="9">
        <v>684.94500000000005</v>
      </c>
      <c r="D10" s="9">
        <v>3125.846</v>
      </c>
      <c r="E10" s="9">
        <v>857.02200000000005</v>
      </c>
      <c r="F10" s="9">
        <v>1730.481</v>
      </c>
      <c r="G10" s="9">
        <f>VLOOKUP(A10,[1]TDSheet!$A:$B,2,0)</f>
        <v>176.72</v>
      </c>
      <c r="H10" s="9">
        <f t="shared" si="2"/>
        <v>1553.761</v>
      </c>
      <c r="I10" s="6">
        <v>1</v>
      </c>
      <c r="J10" s="9">
        <v>60</v>
      </c>
      <c r="K10" s="9" t="s">
        <v>38</v>
      </c>
      <c r="L10" s="9"/>
      <c r="M10" s="9">
        <v>904.94200000000001</v>
      </c>
      <c r="N10" s="9">
        <f t="shared" si="3"/>
        <v>-47.919999999999959</v>
      </c>
      <c r="O10" s="9">
        <f t="shared" si="4"/>
        <v>707.98</v>
      </c>
      <c r="P10" s="9">
        <v>149.042</v>
      </c>
      <c r="Q10" s="9">
        <v>382</v>
      </c>
      <c r="R10" s="9">
        <v>382</v>
      </c>
      <c r="S10" s="9">
        <f t="shared" si="5"/>
        <v>141.596</v>
      </c>
      <c r="T10" s="4"/>
      <c r="U10" s="9">
        <f t="shared" si="6"/>
        <v>16.368831040424869</v>
      </c>
      <c r="V10" s="9">
        <f t="shared" si="7"/>
        <v>16.368831040424869</v>
      </c>
      <c r="W10" s="9">
        <v>208.3434</v>
      </c>
      <c r="X10" s="9">
        <v>225.7998</v>
      </c>
      <c r="Y10" s="9">
        <v>174.0976</v>
      </c>
      <c r="Z10" s="9">
        <v>215.34819999999999</v>
      </c>
      <c r="AA10" s="9">
        <v>230.37479999999999</v>
      </c>
      <c r="AB10" s="9">
        <v>177.86240000000001</v>
      </c>
      <c r="AC10" s="9">
        <v>189.81739999999999</v>
      </c>
      <c r="AD10" s="9">
        <v>205.5994</v>
      </c>
      <c r="AE10" s="9">
        <v>216.34460000000001</v>
      </c>
      <c r="AF10" s="9">
        <v>179.56120000000001</v>
      </c>
      <c r="AG10" s="9"/>
      <c r="AH10" s="9">
        <f t="shared" si="8"/>
        <v>0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x14ac:dyDescent="0.25">
      <c r="A11" s="9" t="s">
        <v>46</v>
      </c>
      <c r="B11" s="9" t="s">
        <v>37</v>
      </c>
      <c r="C11" s="9">
        <v>85.501000000000005</v>
      </c>
      <c r="D11" s="9">
        <v>23.331</v>
      </c>
      <c r="E11" s="9">
        <v>23.251999999999999</v>
      </c>
      <c r="F11" s="9">
        <v>56.374000000000002</v>
      </c>
      <c r="G11" s="9"/>
      <c r="H11" s="9">
        <f t="shared" si="2"/>
        <v>56.374000000000002</v>
      </c>
      <c r="I11" s="6">
        <v>1</v>
      </c>
      <c r="J11" s="9">
        <v>120</v>
      </c>
      <c r="K11" s="9" t="s">
        <v>38</v>
      </c>
      <c r="L11" s="9"/>
      <c r="M11" s="9">
        <v>23.6</v>
      </c>
      <c r="N11" s="9">
        <f t="shared" si="3"/>
        <v>-0.34800000000000253</v>
      </c>
      <c r="O11" s="9">
        <f t="shared" si="4"/>
        <v>23.251999999999999</v>
      </c>
      <c r="P11" s="9"/>
      <c r="Q11" s="9">
        <v>0</v>
      </c>
      <c r="R11" s="9"/>
      <c r="S11" s="9">
        <f t="shared" si="5"/>
        <v>4.6503999999999994</v>
      </c>
      <c r="T11" s="4">
        <f t="shared" si="9"/>
        <v>13.381999999999984</v>
      </c>
      <c r="U11" s="9">
        <f t="shared" si="6"/>
        <v>14.999999999999998</v>
      </c>
      <c r="V11" s="9">
        <f t="shared" si="7"/>
        <v>12.122398073284021</v>
      </c>
      <c r="W11" s="9">
        <v>2.274</v>
      </c>
      <c r="X11" s="9">
        <v>3.2793999999999999</v>
      </c>
      <c r="Y11" s="9">
        <v>2.0808</v>
      </c>
      <c r="Z11" s="9">
        <v>1.0946</v>
      </c>
      <c r="AA11" s="9">
        <v>4.2603999999999997</v>
      </c>
      <c r="AB11" s="9">
        <v>2.5825999999999998</v>
      </c>
      <c r="AC11" s="9">
        <v>1.2851999999999999</v>
      </c>
      <c r="AD11" s="9">
        <v>7.2028000000000008</v>
      </c>
      <c r="AE11" s="9">
        <v>7.5352000000000006</v>
      </c>
      <c r="AF11" s="9">
        <v>4.4573999999999998</v>
      </c>
      <c r="AG11" s="8" t="s">
        <v>43</v>
      </c>
      <c r="AH11" s="9">
        <f t="shared" si="8"/>
        <v>13.381999999999984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x14ac:dyDescent="0.25">
      <c r="A12" s="9" t="s">
        <v>47</v>
      </c>
      <c r="B12" s="9" t="s">
        <v>37</v>
      </c>
      <c r="C12" s="9">
        <v>18.504999999999999</v>
      </c>
      <c r="D12" s="9">
        <v>385.01100000000002</v>
      </c>
      <c r="E12" s="9">
        <v>129.61600000000001</v>
      </c>
      <c r="F12" s="9">
        <v>104.622</v>
      </c>
      <c r="G12" s="9">
        <f>VLOOKUP(A12,[1]TDSheet!$A:$B,2,0)</f>
        <v>32.409999999999997</v>
      </c>
      <c r="H12" s="9">
        <f t="shared" si="2"/>
        <v>72.212000000000003</v>
      </c>
      <c r="I12" s="6">
        <v>1</v>
      </c>
      <c r="J12" s="9">
        <v>60</v>
      </c>
      <c r="K12" s="9" t="s">
        <v>38</v>
      </c>
      <c r="L12" s="9"/>
      <c r="M12" s="9">
        <v>147.9</v>
      </c>
      <c r="N12" s="9">
        <f t="shared" si="3"/>
        <v>-18.283999999999992</v>
      </c>
      <c r="O12" s="9">
        <f t="shared" si="4"/>
        <v>129.61600000000001</v>
      </c>
      <c r="P12" s="9"/>
      <c r="Q12" s="9">
        <v>116</v>
      </c>
      <c r="R12" s="9">
        <v>116</v>
      </c>
      <c r="S12" s="9">
        <f t="shared" si="5"/>
        <v>25.923200000000001</v>
      </c>
      <c r="T12" s="4">
        <f t="shared" si="9"/>
        <v>84.63600000000001</v>
      </c>
      <c r="U12" s="9">
        <f t="shared" si="6"/>
        <v>15</v>
      </c>
      <c r="V12" s="9">
        <f t="shared" si="7"/>
        <v>11.735125293173681</v>
      </c>
      <c r="W12" s="9">
        <v>29.3096</v>
      </c>
      <c r="X12" s="9">
        <v>25.694800000000001</v>
      </c>
      <c r="Y12" s="9">
        <v>20.074200000000001</v>
      </c>
      <c r="Z12" s="9">
        <v>38.593400000000003</v>
      </c>
      <c r="AA12" s="9">
        <v>13.6388</v>
      </c>
      <c r="AB12" s="9">
        <v>20.777999999999999</v>
      </c>
      <c r="AC12" s="9">
        <v>25.1952</v>
      </c>
      <c r="AD12" s="9">
        <v>19.961600000000001</v>
      </c>
      <c r="AE12" s="9">
        <v>12.8834</v>
      </c>
      <c r="AF12" s="9">
        <v>22.982600000000001</v>
      </c>
      <c r="AG12" s="9"/>
      <c r="AH12" s="9">
        <f t="shared" si="8"/>
        <v>84.63600000000001</v>
      </c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x14ac:dyDescent="0.25">
      <c r="A13" s="9" t="s">
        <v>48</v>
      </c>
      <c r="B13" s="9" t="s">
        <v>37</v>
      </c>
      <c r="C13" s="9">
        <v>469.58800000000002</v>
      </c>
      <c r="D13" s="9">
        <v>1055.6600000000001</v>
      </c>
      <c r="E13" s="9">
        <v>410.858</v>
      </c>
      <c r="F13" s="9">
        <v>562.149</v>
      </c>
      <c r="G13" s="9">
        <f>VLOOKUP(A13,[1]TDSheet!$A:$B,2,0)</f>
        <v>32.177</v>
      </c>
      <c r="H13" s="9">
        <f t="shared" si="2"/>
        <v>529.97199999999998</v>
      </c>
      <c r="I13" s="6">
        <v>1</v>
      </c>
      <c r="J13" s="9">
        <v>60</v>
      </c>
      <c r="K13" s="9" t="s">
        <v>38</v>
      </c>
      <c r="L13" s="9"/>
      <c r="M13" s="9">
        <v>464.3</v>
      </c>
      <c r="N13" s="9">
        <f t="shared" si="3"/>
        <v>-53.442000000000007</v>
      </c>
      <c r="O13" s="9">
        <f t="shared" si="4"/>
        <v>410.858</v>
      </c>
      <c r="P13" s="9"/>
      <c r="Q13" s="9">
        <v>127</v>
      </c>
      <c r="R13" s="9">
        <v>127</v>
      </c>
      <c r="S13" s="9">
        <f t="shared" si="5"/>
        <v>82.171599999999998</v>
      </c>
      <c r="T13" s="4">
        <f t="shared" si="9"/>
        <v>448.60200000000009</v>
      </c>
      <c r="U13" s="9">
        <f t="shared" si="6"/>
        <v>15.000000000000002</v>
      </c>
      <c r="V13" s="9">
        <f t="shared" si="7"/>
        <v>9.5406685521518391</v>
      </c>
      <c r="W13" s="9">
        <v>87.552800000000005</v>
      </c>
      <c r="X13" s="9">
        <v>96.514600000000002</v>
      </c>
      <c r="Y13" s="9">
        <v>81.86760000000001</v>
      </c>
      <c r="Z13" s="9">
        <v>92.710000000000008</v>
      </c>
      <c r="AA13" s="9">
        <v>102.6878</v>
      </c>
      <c r="AB13" s="9">
        <v>70.695400000000006</v>
      </c>
      <c r="AC13" s="9">
        <v>93.634</v>
      </c>
      <c r="AD13" s="9">
        <v>104.53</v>
      </c>
      <c r="AE13" s="9">
        <v>78.040800000000004</v>
      </c>
      <c r="AF13" s="9">
        <v>85.428200000000004</v>
      </c>
      <c r="AG13" s="9"/>
      <c r="AH13" s="9">
        <f t="shared" si="8"/>
        <v>448.60200000000009</v>
      </c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x14ac:dyDescent="0.25">
      <c r="A14" s="9" t="s">
        <v>49</v>
      </c>
      <c r="B14" s="9" t="s">
        <v>41</v>
      </c>
      <c r="C14" s="9">
        <v>86</v>
      </c>
      <c r="D14" s="9">
        <v>25</v>
      </c>
      <c r="E14" s="9">
        <v>24</v>
      </c>
      <c r="F14" s="9">
        <v>47</v>
      </c>
      <c r="G14" s="9"/>
      <c r="H14" s="9">
        <f t="shared" si="2"/>
        <v>47</v>
      </c>
      <c r="I14" s="6">
        <v>0.25</v>
      </c>
      <c r="J14" s="9">
        <v>120</v>
      </c>
      <c r="K14" s="9" t="s">
        <v>38</v>
      </c>
      <c r="L14" s="9"/>
      <c r="M14" s="9">
        <v>69</v>
      </c>
      <c r="N14" s="9">
        <f t="shared" si="3"/>
        <v>-45</v>
      </c>
      <c r="O14" s="9">
        <f t="shared" si="4"/>
        <v>24</v>
      </c>
      <c r="P14" s="9"/>
      <c r="Q14" s="9">
        <v>8</v>
      </c>
      <c r="R14" s="9"/>
      <c r="S14" s="9">
        <f t="shared" si="5"/>
        <v>4.8</v>
      </c>
      <c r="T14" s="4">
        <f t="shared" si="9"/>
        <v>17</v>
      </c>
      <c r="U14" s="9">
        <f t="shared" si="6"/>
        <v>15</v>
      </c>
      <c r="V14" s="9">
        <f t="shared" si="7"/>
        <v>11.458333333333334</v>
      </c>
      <c r="W14" s="9">
        <v>6</v>
      </c>
      <c r="X14" s="9">
        <v>5.8</v>
      </c>
      <c r="Y14" s="9">
        <v>6.4</v>
      </c>
      <c r="Z14" s="9">
        <v>8.1999999999999993</v>
      </c>
      <c r="AA14" s="9">
        <v>12.2</v>
      </c>
      <c r="AB14" s="9">
        <v>7</v>
      </c>
      <c r="AC14" s="9">
        <v>15</v>
      </c>
      <c r="AD14" s="9">
        <v>19.8</v>
      </c>
      <c r="AE14" s="9">
        <v>12.4</v>
      </c>
      <c r="AF14" s="9">
        <v>8.4</v>
      </c>
      <c r="AG14" s="9" t="s">
        <v>43</v>
      </c>
      <c r="AH14" s="9">
        <f t="shared" si="8"/>
        <v>4.25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x14ac:dyDescent="0.25">
      <c r="A15" s="9" t="s">
        <v>50</v>
      </c>
      <c r="B15" s="9" t="s">
        <v>37</v>
      </c>
      <c r="C15" s="9">
        <v>83.650999999999996</v>
      </c>
      <c r="D15" s="9">
        <v>114.16</v>
      </c>
      <c r="E15" s="9">
        <v>49.398000000000003</v>
      </c>
      <c r="F15" s="9">
        <v>81.254999999999995</v>
      </c>
      <c r="G15" s="9">
        <f>VLOOKUP(A15,[1]TDSheet!$A:$B,2,0)</f>
        <v>8.2149999999999999</v>
      </c>
      <c r="H15" s="9">
        <f t="shared" si="2"/>
        <v>73.039999999999992</v>
      </c>
      <c r="I15" s="6">
        <v>1</v>
      </c>
      <c r="J15" s="9">
        <v>60</v>
      </c>
      <c r="K15" s="9" t="s">
        <v>38</v>
      </c>
      <c r="L15" s="9"/>
      <c r="M15" s="9">
        <v>48.4</v>
      </c>
      <c r="N15" s="9">
        <f t="shared" si="3"/>
        <v>0.99800000000000466</v>
      </c>
      <c r="O15" s="9">
        <f t="shared" si="4"/>
        <v>49.398000000000003</v>
      </c>
      <c r="P15" s="9"/>
      <c r="Q15" s="9">
        <v>160</v>
      </c>
      <c r="R15" s="9"/>
      <c r="S15" s="9">
        <f t="shared" si="5"/>
        <v>9.8795999999999999</v>
      </c>
      <c r="T15" s="4"/>
      <c r="U15" s="9">
        <f t="shared" si="6"/>
        <v>23.587999514150368</v>
      </c>
      <c r="V15" s="9">
        <f t="shared" si="7"/>
        <v>23.587999514150368</v>
      </c>
      <c r="W15" s="9">
        <v>18.919599999999999</v>
      </c>
      <c r="X15" s="9">
        <v>14.2012</v>
      </c>
      <c r="Y15" s="9">
        <v>16.54</v>
      </c>
      <c r="Z15" s="9">
        <v>18.708400000000001</v>
      </c>
      <c r="AA15" s="9">
        <v>17.046800000000001</v>
      </c>
      <c r="AB15" s="9">
        <v>10.5136</v>
      </c>
      <c r="AC15" s="9">
        <v>19.4328</v>
      </c>
      <c r="AD15" s="9">
        <v>11.792199999999999</v>
      </c>
      <c r="AE15" s="9">
        <v>12.676</v>
      </c>
      <c r="AF15" s="9">
        <v>10.680199999999999</v>
      </c>
      <c r="AG15" s="20" t="s">
        <v>74</v>
      </c>
      <c r="AH15" s="9">
        <f t="shared" si="8"/>
        <v>0</v>
      </c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x14ac:dyDescent="0.25">
      <c r="A16" s="9" t="s">
        <v>51</v>
      </c>
      <c r="B16" s="9" t="s">
        <v>41</v>
      </c>
      <c r="C16" s="9">
        <v>109</v>
      </c>
      <c r="D16" s="9">
        <v>272</v>
      </c>
      <c r="E16" s="9">
        <v>136</v>
      </c>
      <c r="F16" s="9">
        <v>29</v>
      </c>
      <c r="G16" s="9">
        <f>VLOOKUP(A16,[1]TDSheet!$A:$B,2,0)</f>
        <v>16</v>
      </c>
      <c r="H16" s="9">
        <f t="shared" si="2"/>
        <v>13</v>
      </c>
      <c r="I16" s="6">
        <v>0.25</v>
      </c>
      <c r="J16" s="9">
        <v>120</v>
      </c>
      <c r="K16" s="9" t="s">
        <v>38</v>
      </c>
      <c r="L16" s="9"/>
      <c r="M16" s="9">
        <v>179</v>
      </c>
      <c r="N16" s="9">
        <f t="shared" si="3"/>
        <v>-43</v>
      </c>
      <c r="O16" s="9">
        <f t="shared" si="4"/>
        <v>136</v>
      </c>
      <c r="P16" s="9"/>
      <c r="Q16" s="9">
        <v>89</v>
      </c>
      <c r="R16" s="9"/>
      <c r="S16" s="9">
        <f t="shared" si="5"/>
        <v>27.2</v>
      </c>
      <c r="T16" s="4">
        <f>12*S16-R16-Q16-H16</f>
        <v>224.39999999999998</v>
      </c>
      <c r="U16" s="9">
        <f t="shared" si="6"/>
        <v>12</v>
      </c>
      <c r="V16" s="9">
        <f t="shared" si="7"/>
        <v>3.75</v>
      </c>
      <c r="W16" s="9">
        <v>16.600000000000001</v>
      </c>
      <c r="X16" s="9">
        <v>17.8</v>
      </c>
      <c r="Y16" s="9">
        <v>19.2</v>
      </c>
      <c r="Z16" s="9">
        <v>13.2</v>
      </c>
      <c r="AA16" s="9">
        <v>14.4</v>
      </c>
      <c r="AB16" s="9">
        <v>7.6</v>
      </c>
      <c r="AC16" s="9">
        <v>31</v>
      </c>
      <c r="AD16" s="9">
        <v>9.4</v>
      </c>
      <c r="AE16" s="9">
        <v>11.4</v>
      </c>
      <c r="AF16" s="9">
        <v>10</v>
      </c>
      <c r="AG16" s="9" t="s">
        <v>43</v>
      </c>
      <c r="AH16" s="9">
        <f t="shared" si="8"/>
        <v>56.099999999999994</v>
      </c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x14ac:dyDescent="0.25">
      <c r="A17" s="9" t="s">
        <v>52</v>
      </c>
      <c r="B17" s="9" t="s">
        <v>41</v>
      </c>
      <c r="C17" s="9">
        <v>576</v>
      </c>
      <c r="D17" s="9">
        <v>852</v>
      </c>
      <c r="E17" s="9">
        <v>613</v>
      </c>
      <c r="F17" s="9">
        <v>242</v>
      </c>
      <c r="G17" s="9"/>
      <c r="H17" s="9">
        <f t="shared" si="2"/>
        <v>242</v>
      </c>
      <c r="I17" s="6">
        <v>0.4</v>
      </c>
      <c r="J17" s="9">
        <v>60</v>
      </c>
      <c r="K17" s="12" t="s">
        <v>53</v>
      </c>
      <c r="L17" s="9"/>
      <c r="M17" s="9">
        <v>645</v>
      </c>
      <c r="N17" s="9">
        <f t="shared" si="3"/>
        <v>-32</v>
      </c>
      <c r="O17" s="9">
        <f t="shared" si="4"/>
        <v>571</v>
      </c>
      <c r="P17" s="9">
        <v>42</v>
      </c>
      <c r="Q17" s="9">
        <v>500</v>
      </c>
      <c r="R17" s="9">
        <v>500</v>
      </c>
      <c r="S17" s="9">
        <f t="shared" si="5"/>
        <v>114.2</v>
      </c>
      <c r="T17" s="4">
        <v>200</v>
      </c>
      <c r="U17" s="9">
        <f t="shared" si="6"/>
        <v>12.626970227670753</v>
      </c>
      <c r="V17" s="9">
        <f t="shared" si="7"/>
        <v>10.875656742556917</v>
      </c>
      <c r="W17" s="9">
        <v>167.4</v>
      </c>
      <c r="X17" s="9">
        <v>53.6</v>
      </c>
      <c r="Y17" s="9">
        <v>60.2</v>
      </c>
      <c r="Z17" s="9">
        <v>72.400000000000006</v>
      </c>
      <c r="AA17" s="9">
        <v>75.599999999999994</v>
      </c>
      <c r="AB17" s="9">
        <v>61</v>
      </c>
      <c r="AC17" s="9">
        <v>63.2</v>
      </c>
      <c r="AD17" s="9">
        <v>82.8</v>
      </c>
      <c r="AE17" s="9">
        <v>92</v>
      </c>
      <c r="AF17" s="9">
        <v>271.2</v>
      </c>
      <c r="AG17" s="9" t="s">
        <v>54</v>
      </c>
      <c r="AH17" s="9">
        <f t="shared" si="8"/>
        <v>80</v>
      </c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x14ac:dyDescent="0.25">
      <c r="A18" s="16" t="s">
        <v>55</v>
      </c>
      <c r="B18" s="16" t="s">
        <v>41</v>
      </c>
      <c r="C18" s="16">
        <v>-1</v>
      </c>
      <c r="D18" s="16">
        <v>1</v>
      </c>
      <c r="E18" s="16"/>
      <c r="F18" s="16"/>
      <c r="G18" s="16"/>
      <c r="H18" s="16">
        <f t="shared" si="2"/>
        <v>0</v>
      </c>
      <c r="I18" s="17">
        <v>0</v>
      </c>
      <c r="J18" s="16"/>
      <c r="K18" s="16" t="s">
        <v>56</v>
      </c>
      <c r="L18" s="16" t="s">
        <v>57</v>
      </c>
      <c r="M18" s="16"/>
      <c r="N18" s="16">
        <f t="shared" si="3"/>
        <v>0</v>
      </c>
      <c r="O18" s="16">
        <f t="shared" si="4"/>
        <v>0</v>
      </c>
      <c r="P18" s="16"/>
      <c r="Q18" s="16">
        <v>0</v>
      </c>
      <c r="R18" s="16"/>
      <c r="S18" s="16">
        <f t="shared" si="5"/>
        <v>0</v>
      </c>
      <c r="T18" s="18"/>
      <c r="U18" s="16" t="e">
        <f t="shared" si="6"/>
        <v>#DIV/0!</v>
      </c>
      <c r="V18" s="16" t="e">
        <f t="shared" si="7"/>
        <v>#DIV/0!</v>
      </c>
      <c r="W18" s="16">
        <v>0.2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/>
      <c r="AH18" s="16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x14ac:dyDescent="0.25">
      <c r="A19" s="9" t="s">
        <v>58</v>
      </c>
      <c r="B19" s="9" t="s">
        <v>37</v>
      </c>
      <c r="C19" s="9">
        <v>194.55</v>
      </c>
      <c r="D19" s="9">
        <v>1013.794</v>
      </c>
      <c r="E19" s="9">
        <v>420.99799999999999</v>
      </c>
      <c r="F19" s="9">
        <v>294.839</v>
      </c>
      <c r="G19" s="9">
        <f>VLOOKUP(A19,[1]TDSheet!$A:$B,2,0)</f>
        <v>25.279</v>
      </c>
      <c r="H19" s="9">
        <f t="shared" si="2"/>
        <v>269.56</v>
      </c>
      <c r="I19" s="6">
        <v>1</v>
      </c>
      <c r="J19" s="9">
        <v>45</v>
      </c>
      <c r="K19" s="9" t="s">
        <v>38</v>
      </c>
      <c r="L19" s="9"/>
      <c r="M19" s="9">
        <v>418.72899999999998</v>
      </c>
      <c r="N19" s="9">
        <f t="shared" si="3"/>
        <v>2.2690000000000055</v>
      </c>
      <c r="O19" s="9">
        <f t="shared" si="4"/>
        <v>390.76900000000001</v>
      </c>
      <c r="P19" s="9">
        <v>30.228999999999999</v>
      </c>
      <c r="Q19" s="9">
        <v>174</v>
      </c>
      <c r="R19" s="9">
        <v>175</v>
      </c>
      <c r="S19" s="9">
        <f t="shared" si="5"/>
        <v>78.153800000000004</v>
      </c>
      <c r="T19" s="4">
        <f t="shared" ref="T19:T24" si="10">15*S19-R19-Q19-H19</f>
        <v>553.74700000000007</v>
      </c>
      <c r="U19" s="9">
        <f t="shared" si="6"/>
        <v>15</v>
      </c>
      <c r="V19" s="9">
        <f t="shared" si="7"/>
        <v>7.9146503432974455</v>
      </c>
      <c r="W19" s="9">
        <v>67.917599999999993</v>
      </c>
      <c r="X19" s="9">
        <v>65.837400000000002</v>
      </c>
      <c r="Y19" s="9">
        <v>51.108999999999988</v>
      </c>
      <c r="Z19" s="9">
        <v>43.211599999999997</v>
      </c>
      <c r="AA19" s="9">
        <v>32.240600000000001</v>
      </c>
      <c r="AB19" s="9">
        <v>32.985400000000013</v>
      </c>
      <c r="AC19" s="9">
        <v>53.372999999999998</v>
      </c>
      <c r="AD19" s="9">
        <v>45.478000000000002</v>
      </c>
      <c r="AE19" s="9">
        <v>63.830599999999997</v>
      </c>
      <c r="AF19" s="9">
        <v>58.777599999999993</v>
      </c>
      <c r="AG19" s="9"/>
      <c r="AH19" s="9">
        <f t="shared" ref="AH19:AH24" si="11">I19*T19</f>
        <v>553.74700000000007</v>
      </c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x14ac:dyDescent="0.25">
      <c r="A20" s="9" t="s">
        <v>59</v>
      </c>
      <c r="B20" s="9" t="s">
        <v>37</v>
      </c>
      <c r="C20" s="9">
        <v>21.071000000000002</v>
      </c>
      <c r="D20" s="9">
        <v>46.965000000000003</v>
      </c>
      <c r="E20" s="9">
        <v>15.055</v>
      </c>
      <c r="F20" s="9">
        <v>12.974</v>
      </c>
      <c r="G20" s="9"/>
      <c r="H20" s="9">
        <f t="shared" si="2"/>
        <v>12.974</v>
      </c>
      <c r="I20" s="6">
        <v>1</v>
      </c>
      <c r="J20" s="9">
        <v>120</v>
      </c>
      <c r="K20" s="9" t="s">
        <v>38</v>
      </c>
      <c r="L20" s="9"/>
      <c r="M20" s="9">
        <v>15.6</v>
      </c>
      <c r="N20" s="9">
        <f t="shared" si="3"/>
        <v>-0.54499999999999993</v>
      </c>
      <c r="O20" s="9">
        <f t="shared" si="4"/>
        <v>15.055</v>
      </c>
      <c r="P20" s="9"/>
      <c r="Q20" s="9">
        <v>30</v>
      </c>
      <c r="R20" s="9"/>
      <c r="S20" s="9">
        <f t="shared" si="5"/>
        <v>3.0110000000000001</v>
      </c>
      <c r="T20" s="4">
        <v>4</v>
      </c>
      <c r="U20" s="9">
        <f t="shared" si="6"/>
        <v>15.60079707738293</v>
      </c>
      <c r="V20" s="9">
        <f t="shared" si="7"/>
        <v>14.27233477250083</v>
      </c>
      <c r="W20" s="9">
        <v>4.3907999999999996</v>
      </c>
      <c r="X20" s="9">
        <v>4.1097999999999999</v>
      </c>
      <c r="Y20" s="9">
        <v>3.9178000000000002</v>
      </c>
      <c r="Z20" s="9">
        <v>1.0058</v>
      </c>
      <c r="AA20" s="9">
        <v>5.9120000000000008</v>
      </c>
      <c r="AB20" s="9">
        <v>4.2256</v>
      </c>
      <c r="AC20" s="9">
        <v>1.1032</v>
      </c>
      <c r="AD20" s="9">
        <v>0</v>
      </c>
      <c r="AE20" s="9">
        <v>4.2124000000000006</v>
      </c>
      <c r="AF20" s="9">
        <v>0.98399999999999999</v>
      </c>
      <c r="AG20" s="9" t="s">
        <v>43</v>
      </c>
      <c r="AH20" s="9">
        <f t="shared" si="11"/>
        <v>4</v>
      </c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x14ac:dyDescent="0.25">
      <c r="A21" s="9" t="s">
        <v>60</v>
      </c>
      <c r="B21" s="9" t="s">
        <v>41</v>
      </c>
      <c r="C21" s="9">
        <v>493</v>
      </c>
      <c r="D21" s="9">
        <v>1266</v>
      </c>
      <c r="E21" s="9">
        <v>358</v>
      </c>
      <c r="F21" s="9">
        <v>278</v>
      </c>
      <c r="G21" s="9"/>
      <c r="H21" s="9">
        <f t="shared" si="2"/>
        <v>278</v>
      </c>
      <c r="I21" s="6">
        <v>0.4</v>
      </c>
      <c r="J21" s="9">
        <v>45</v>
      </c>
      <c r="K21" s="9" t="s">
        <v>38</v>
      </c>
      <c r="L21" s="9"/>
      <c r="M21" s="9">
        <v>370</v>
      </c>
      <c r="N21" s="9">
        <f t="shared" si="3"/>
        <v>-12</v>
      </c>
      <c r="O21" s="9">
        <f t="shared" si="4"/>
        <v>358</v>
      </c>
      <c r="P21" s="9"/>
      <c r="Q21" s="9">
        <v>58</v>
      </c>
      <c r="R21" s="9"/>
      <c r="S21" s="9">
        <f t="shared" si="5"/>
        <v>71.599999999999994</v>
      </c>
      <c r="T21" s="4">
        <f>13*S21-R21-Q21-H21</f>
        <v>594.79999999999995</v>
      </c>
      <c r="U21" s="9">
        <f t="shared" si="6"/>
        <v>13</v>
      </c>
      <c r="V21" s="9">
        <f t="shared" si="7"/>
        <v>4.6927374301675977</v>
      </c>
      <c r="W21" s="9">
        <v>55</v>
      </c>
      <c r="X21" s="9">
        <v>75.599999999999994</v>
      </c>
      <c r="Y21" s="9">
        <v>83</v>
      </c>
      <c r="Z21" s="9">
        <v>62.4</v>
      </c>
      <c r="AA21" s="9">
        <v>72.2</v>
      </c>
      <c r="AB21" s="9">
        <v>78.2</v>
      </c>
      <c r="AC21" s="9">
        <v>26.4</v>
      </c>
      <c r="AD21" s="9">
        <v>82.6</v>
      </c>
      <c r="AE21" s="9">
        <v>45</v>
      </c>
      <c r="AF21" s="9">
        <v>56.6</v>
      </c>
      <c r="AG21" s="9"/>
      <c r="AH21" s="9">
        <f t="shared" si="11"/>
        <v>237.92</v>
      </c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x14ac:dyDescent="0.25">
      <c r="A22" s="9" t="s">
        <v>61</v>
      </c>
      <c r="B22" s="9" t="s">
        <v>37</v>
      </c>
      <c r="C22" s="9">
        <v>388.37599999999998</v>
      </c>
      <c r="D22" s="9">
        <v>494.85700000000003</v>
      </c>
      <c r="E22" s="9">
        <v>189.97499999999999</v>
      </c>
      <c r="F22" s="9">
        <v>433.69600000000003</v>
      </c>
      <c r="G22" s="9"/>
      <c r="H22" s="9">
        <f t="shared" si="2"/>
        <v>433.69600000000003</v>
      </c>
      <c r="I22" s="6">
        <v>1</v>
      </c>
      <c r="J22" s="9">
        <v>60</v>
      </c>
      <c r="K22" s="9" t="s">
        <v>38</v>
      </c>
      <c r="L22" s="9"/>
      <c r="M22" s="9">
        <v>209.9</v>
      </c>
      <c r="N22" s="9">
        <f t="shared" si="3"/>
        <v>-19.925000000000011</v>
      </c>
      <c r="O22" s="9">
        <f t="shared" si="4"/>
        <v>189.97499999999999</v>
      </c>
      <c r="P22" s="9"/>
      <c r="Q22" s="9">
        <v>171</v>
      </c>
      <c r="R22" s="9"/>
      <c r="S22" s="9">
        <f t="shared" si="5"/>
        <v>37.994999999999997</v>
      </c>
      <c r="T22" s="4"/>
      <c r="U22" s="9">
        <f t="shared" si="6"/>
        <v>15.915146729832875</v>
      </c>
      <c r="V22" s="9">
        <f t="shared" si="7"/>
        <v>15.915146729832875</v>
      </c>
      <c r="W22" s="9">
        <v>53.6404</v>
      </c>
      <c r="X22" s="9">
        <v>53.80319999999999</v>
      </c>
      <c r="Y22" s="9">
        <v>48.093400000000003</v>
      </c>
      <c r="Z22" s="9">
        <v>64.241</v>
      </c>
      <c r="AA22" s="9">
        <v>46.517200000000003</v>
      </c>
      <c r="AB22" s="9">
        <v>34.347799999999999</v>
      </c>
      <c r="AC22" s="9">
        <v>52.350999999999999</v>
      </c>
      <c r="AD22" s="9">
        <v>58.570799999999998</v>
      </c>
      <c r="AE22" s="9">
        <v>43.5886</v>
      </c>
      <c r="AF22" s="9">
        <v>30.848199999999999</v>
      </c>
      <c r="AG22" s="9"/>
      <c r="AH22" s="9">
        <f t="shared" si="11"/>
        <v>0</v>
      </c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spans="1:49" x14ac:dyDescent="0.25">
      <c r="A23" s="9" t="s">
        <v>62</v>
      </c>
      <c r="B23" s="9" t="s">
        <v>41</v>
      </c>
      <c r="C23" s="9">
        <v>378</v>
      </c>
      <c r="D23" s="9">
        <v>1391</v>
      </c>
      <c r="E23" s="9">
        <v>209</v>
      </c>
      <c r="F23" s="9">
        <v>192</v>
      </c>
      <c r="G23" s="9"/>
      <c r="H23" s="9">
        <f t="shared" si="2"/>
        <v>192</v>
      </c>
      <c r="I23" s="6">
        <v>0.22</v>
      </c>
      <c r="J23" s="9">
        <v>120</v>
      </c>
      <c r="K23" s="12" t="s">
        <v>53</v>
      </c>
      <c r="L23" s="9"/>
      <c r="M23" s="9">
        <v>218</v>
      </c>
      <c r="N23" s="9">
        <f t="shared" si="3"/>
        <v>-9</v>
      </c>
      <c r="O23" s="9">
        <f t="shared" si="4"/>
        <v>193</v>
      </c>
      <c r="P23" s="9">
        <v>16</v>
      </c>
      <c r="Q23" s="9">
        <v>225</v>
      </c>
      <c r="R23" s="9">
        <v>225</v>
      </c>
      <c r="S23" s="9">
        <f t="shared" si="5"/>
        <v>38.6</v>
      </c>
      <c r="T23" s="4"/>
      <c r="U23" s="9">
        <f t="shared" si="6"/>
        <v>16.632124352331605</v>
      </c>
      <c r="V23" s="9">
        <f t="shared" si="7"/>
        <v>16.632124352331605</v>
      </c>
      <c r="W23" s="9">
        <v>109.6</v>
      </c>
      <c r="X23" s="9">
        <v>56.8</v>
      </c>
      <c r="Y23" s="9">
        <v>145.4</v>
      </c>
      <c r="Z23" s="9">
        <v>43.4</v>
      </c>
      <c r="AA23" s="9">
        <v>27.8</v>
      </c>
      <c r="AB23" s="9">
        <v>20.399999999999999</v>
      </c>
      <c r="AC23" s="9">
        <v>30.4</v>
      </c>
      <c r="AD23" s="9">
        <v>40.799999999999997</v>
      </c>
      <c r="AE23" s="9">
        <v>29.4</v>
      </c>
      <c r="AF23" s="9">
        <v>36</v>
      </c>
      <c r="AG23" s="9" t="s">
        <v>63</v>
      </c>
      <c r="AH23" s="9">
        <f t="shared" si="11"/>
        <v>0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spans="1:49" x14ac:dyDescent="0.25">
      <c r="A24" s="9" t="s">
        <v>64</v>
      </c>
      <c r="B24" s="9" t="s">
        <v>37</v>
      </c>
      <c r="C24" s="9">
        <v>2.6040000000000001</v>
      </c>
      <c r="D24" s="9">
        <v>28.236000000000001</v>
      </c>
      <c r="E24" s="9">
        <v>15.86</v>
      </c>
      <c r="F24" s="9"/>
      <c r="G24" s="9"/>
      <c r="H24" s="9">
        <f t="shared" si="2"/>
        <v>0</v>
      </c>
      <c r="I24" s="6">
        <v>1</v>
      </c>
      <c r="J24" s="9">
        <v>40</v>
      </c>
      <c r="K24" s="9" t="s">
        <v>38</v>
      </c>
      <c r="L24" s="9"/>
      <c r="M24" s="9">
        <v>16.474</v>
      </c>
      <c r="N24" s="9">
        <f t="shared" si="3"/>
        <v>-0.61400000000000077</v>
      </c>
      <c r="O24" s="9">
        <f t="shared" si="4"/>
        <v>15.86</v>
      </c>
      <c r="P24" s="9"/>
      <c r="Q24" s="9">
        <v>30</v>
      </c>
      <c r="R24" s="9"/>
      <c r="S24" s="9">
        <f t="shared" si="5"/>
        <v>3.1719999999999997</v>
      </c>
      <c r="T24" s="4">
        <f t="shared" si="10"/>
        <v>17.579999999999998</v>
      </c>
      <c r="U24" s="9">
        <f t="shared" si="6"/>
        <v>15</v>
      </c>
      <c r="V24" s="9">
        <f t="shared" si="7"/>
        <v>9.4577553593947048</v>
      </c>
      <c r="W24" s="9">
        <v>3.3003999999999998</v>
      </c>
      <c r="X24" s="9">
        <v>2.4624000000000001</v>
      </c>
      <c r="Y24" s="9">
        <v>1.75</v>
      </c>
      <c r="Z24" s="9">
        <v>3.7240000000000002</v>
      </c>
      <c r="AA24" s="9">
        <v>2.7128000000000001</v>
      </c>
      <c r="AB24" s="9">
        <v>2.968</v>
      </c>
      <c r="AC24" s="9">
        <v>3.1092</v>
      </c>
      <c r="AD24" s="9">
        <v>3.777600000000001</v>
      </c>
      <c r="AE24" s="9">
        <v>3.5044</v>
      </c>
      <c r="AF24" s="9">
        <v>4.4631999999999996</v>
      </c>
      <c r="AG24" s="9"/>
      <c r="AH24" s="9">
        <f t="shared" si="11"/>
        <v>17.579999999999998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spans="1:49" x14ac:dyDescent="0.25">
      <c r="A25" s="16" t="s">
        <v>65</v>
      </c>
      <c r="B25" s="16" t="s">
        <v>41</v>
      </c>
      <c r="C25" s="16"/>
      <c r="D25" s="16">
        <v>30</v>
      </c>
      <c r="E25" s="16">
        <v>30</v>
      </c>
      <c r="F25" s="16"/>
      <c r="G25" s="16"/>
      <c r="H25" s="16">
        <f t="shared" si="2"/>
        <v>0</v>
      </c>
      <c r="I25" s="17">
        <v>0</v>
      </c>
      <c r="J25" s="16"/>
      <c r="K25" s="19" t="s">
        <v>56</v>
      </c>
      <c r="L25" s="16"/>
      <c r="M25" s="16">
        <v>43</v>
      </c>
      <c r="N25" s="16">
        <f t="shared" si="3"/>
        <v>-13</v>
      </c>
      <c r="O25" s="16">
        <f t="shared" si="4"/>
        <v>0</v>
      </c>
      <c r="P25" s="16">
        <v>30</v>
      </c>
      <c r="Q25" s="16"/>
      <c r="R25" s="16"/>
      <c r="S25" s="16">
        <f t="shared" si="5"/>
        <v>0</v>
      </c>
      <c r="T25" s="18"/>
      <c r="U25" s="16" t="e">
        <f t="shared" si="6"/>
        <v>#DIV/0!</v>
      </c>
      <c r="V25" s="16" t="e">
        <f t="shared" si="7"/>
        <v>#DIV/0!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/>
      <c r="AH25" s="16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spans="1:49" x14ac:dyDescent="0.25">
      <c r="A26" s="9" t="s">
        <v>66</v>
      </c>
      <c r="B26" s="9" t="s">
        <v>37</v>
      </c>
      <c r="C26" s="9">
        <v>387.99700000000001</v>
      </c>
      <c r="D26" s="9">
        <v>963.93600000000004</v>
      </c>
      <c r="E26" s="9">
        <v>272.78100000000001</v>
      </c>
      <c r="F26" s="9">
        <v>684.94299999999998</v>
      </c>
      <c r="G26" s="9">
        <f>VLOOKUP(A26,[1]TDSheet!$A:$B,2,0)</f>
        <v>48.555</v>
      </c>
      <c r="H26" s="9">
        <f t="shared" si="2"/>
        <v>636.38800000000003</v>
      </c>
      <c r="I26" s="6">
        <v>1</v>
      </c>
      <c r="J26" s="9">
        <v>60</v>
      </c>
      <c r="K26" s="9" t="s">
        <v>38</v>
      </c>
      <c r="L26" s="9"/>
      <c r="M26" s="9">
        <v>299.43299999999999</v>
      </c>
      <c r="N26" s="9">
        <f t="shared" si="3"/>
        <v>-26.651999999999987</v>
      </c>
      <c r="O26" s="9">
        <f t="shared" si="4"/>
        <v>244.148</v>
      </c>
      <c r="P26" s="9">
        <v>28.632999999999999</v>
      </c>
      <c r="Q26" s="9">
        <v>215</v>
      </c>
      <c r="R26" s="9">
        <v>216</v>
      </c>
      <c r="S26" s="9">
        <f t="shared" si="5"/>
        <v>48.829599999999999</v>
      </c>
      <c r="T26" s="4"/>
      <c r="U26" s="9">
        <f t="shared" si="6"/>
        <v>21.859445909857953</v>
      </c>
      <c r="V26" s="9">
        <f t="shared" si="7"/>
        <v>21.859445909857953</v>
      </c>
      <c r="W26" s="9">
        <v>87.558400000000006</v>
      </c>
      <c r="X26" s="9">
        <v>76.868399999999994</v>
      </c>
      <c r="Y26" s="9">
        <v>64.695399999999992</v>
      </c>
      <c r="Z26" s="9">
        <v>70.25139999999999</v>
      </c>
      <c r="AA26" s="9">
        <v>82.190599999999989</v>
      </c>
      <c r="AB26" s="9">
        <v>43.906599999999997</v>
      </c>
      <c r="AC26" s="9">
        <v>67.56280000000001</v>
      </c>
      <c r="AD26" s="9">
        <v>53.627400000000002</v>
      </c>
      <c r="AE26" s="9">
        <v>57.724600000000002</v>
      </c>
      <c r="AF26" s="9">
        <v>46.6706</v>
      </c>
      <c r="AG26" s="20" t="s">
        <v>74</v>
      </c>
      <c r="AH26" s="9">
        <f>I26*T26</f>
        <v>0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 spans="1:49" x14ac:dyDescent="0.25">
      <c r="A27" s="9" t="s">
        <v>67</v>
      </c>
      <c r="B27" s="9" t="s">
        <v>41</v>
      </c>
      <c r="C27" s="9">
        <v>225</v>
      </c>
      <c r="D27" s="9">
        <v>1510</v>
      </c>
      <c r="E27" s="9">
        <v>440</v>
      </c>
      <c r="F27" s="9">
        <v>360</v>
      </c>
      <c r="G27" s="9">
        <f>VLOOKUP(A27,[1]TDSheet!$A:$B,2,0)</f>
        <v>20</v>
      </c>
      <c r="H27" s="9">
        <f t="shared" si="2"/>
        <v>340</v>
      </c>
      <c r="I27" s="6">
        <v>0.09</v>
      </c>
      <c r="J27" s="9">
        <v>60</v>
      </c>
      <c r="K27" s="9" t="s">
        <v>38</v>
      </c>
      <c r="L27" s="9"/>
      <c r="M27" s="9">
        <v>478</v>
      </c>
      <c r="N27" s="9">
        <f t="shared" si="3"/>
        <v>-38</v>
      </c>
      <c r="O27" s="9">
        <f t="shared" si="4"/>
        <v>420</v>
      </c>
      <c r="P27" s="9">
        <v>20</v>
      </c>
      <c r="Q27" s="9">
        <v>334</v>
      </c>
      <c r="R27" s="9">
        <v>335</v>
      </c>
      <c r="S27" s="9">
        <f t="shared" si="5"/>
        <v>84</v>
      </c>
      <c r="T27" s="4">
        <f t="shared" ref="T26:T28" si="12">15*S27-R27-Q27-H27</f>
        <v>251</v>
      </c>
      <c r="U27" s="9">
        <f t="shared" si="6"/>
        <v>15</v>
      </c>
      <c r="V27" s="9">
        <f t="shared" si="7"/>
        <v>12.011904761904763</v>
      </c>
      <c r="W27" s="9">
        <v>93.6</v>
      </c>
      <c r="X27" s="9">
        <v>87</v>
      </c>
      <c r="Y27" s="9">
        <v>77.400000000000006</v>
      </c>
      <c r="Z27" s="9">
        <v>82</v>
      </c>
      <c r="AA27" s="9">
        <v>75</v>
      </c>
      <c r="AB27" s="9">
        <v>93.2</v>
      </c>
      <c r="AC27" s="9">
        <v>85.8</v>
      </c>
      <c r="AD27" s="9">
        <v>84.6</v>
      </c>
      <c r="AE27" s="9">
        <v>59</v>
      </c>
      <c r="AF27" s="9">
        <v>53.4</v>
      </c>
      <c r="AG27" s="9"/>
      <c r="AH27" s="9">
        <f>I27*T27</f>
        <v>22.59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spans="1:49" x14ac:dyDescent="0.25">
      <c r="A28" s="9" t="s">
        <v>68</v>
      </c>
      <c r="B28" s="9" t="s">
        <v>41</v>
      </c>
      <c r="C28" s="9">
        <v>26</v>
      </c>
      <c r="D28" s="9">
        <v>188</v>
      </c>
      <c r="E28" s="9">
        <v>154</v>
      </c>
      <c r="F28" s="9">
        <v>3</v>
      </c>
      <c r="G28" s="9"/>
      <c r="H28" s="9">
        <f t="shared" si="2"/>
        <v>3</v>
      </c>
      <c r="I28" s="6">
        <v>0.09</v>
      </c>
      <c r="J28" s="9">
        <v>45</v>
      </c>
      <c r="K28" s="9" t="s">
        <v>38</v>
      </c>
      <c r="L28" s="9"/>
      <c r="M28" s="9">
        <v>204</v>
      </c>
      <c r="N28" s="9">
        <f t="shared" si="3"/>
        <v>-50</v>
      </c>
      <c r="O28" s="9">
        <f t="shared" si="4"/>
        <v>154</v>
      </c>
      <c r="P28" s="9"/>
      <c r="Q28" s="9">
        <v>50</v>
      </c>
      <c r="R28" s="9"/>
      <c r="S28" s="9">
        <f t="shared" si="5"/>
        <v>30.8</v>
      </c>
      <c r="T28" s="4">
        <f>10*S28-R28-Q28-H28</f>
        <v>255</v>
      </c>
      <c r="U28" s="9">
        <f t="shared" si="6"/>
        <v>10</v>
      </c>
      <c r="V28" s="9">
        <f t="shared" si="7"/>
        <v>1.7207792207792207</v>
      </c>
      <c r="W28" s="9">
        <v>12.2</v>
      </c>
      <c r="X28" s="9">
        <v>16.8</v>
      </c>
      <c r="Y28" s="9">
        <v>10.4</v>
      </c>
      <c r="Z28" s="9">
        <v>-0.6</v>
      </c>
      <c r="AA28" s="9">
        <v>13</v>
      </c>
      <c r="AB28" s="9">
        <v>4.5999999999999996</v>
      </c>
      <c r="AC28" s="9">
        <v>15</v>
      </c>
      <c r="AD28" s="9">
        <v>4.5999999999999996</v>
      </c>
      <c r="AE28" s="9">
        <v>18.399999999999999</v>
      </c>
      <c r="AF28" s="9">
        <v>16</v>
      </c>
      <c r="AG28" s="9"/>
      <c r="AH28" s="9">
        <f>I28*T28</f>
        <v>22.95</v>
      </c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spans="1:49" x14ac:dyDescent="0.25">
      <c r="A29" s="16" t="s">
        <v>69</v>
      </c>
      <c r="B29" s="16" t="s">
        <v>37</v>
      </c>
      <c r="C29" s="16"/>
      <c r="D29" s="16">
        <v>40.753999999999998</v>
      </c>
      <c r="E29" s="16">
        <v>40.753999999999998</v>
      </c>
      <c r="F29" s="16"/>
      <c r="G29" s="16"/>
      <c r="H29" s="16">
        <f t="shared" si="2"/>
        <v>0</v>
      </c>
      <c r="I29" s="17">
        <v>0</v>
      </c>
      <c r="J29" s="16"/>
      <c r="K29" s="19" t="s">
        <v>56</v>
      </c>
      <c r="L29" s="16"/>
      <c r="M29" s="16">
        <v>40.753999999999998</v>
      </c>
      <c r="N29" s="16">
        <f t="shared" si="3"/>
        <v>0</v>
      </c>
      <c r="O29" s="16">
        <f t="shared" si="4"/>
        <v>0</v>
      </c>
      <c r="P29" s="16">
        <v>40.753999999999998</v>
      </c>
      <c r="Q29" s="16"/>
      <c r="R29" s="16"/>
      <c r="S29" s="16">
        <f t="shared" si="5"/>
        <v>0</v>
      </c>
      <c r="T29" s="18"/>
      <c r="U29" s="16" t="e">
        <f t="shared" si="6"/>
        <v>#DIV/0!</v>
      </c>
      <c r="V29" s="16" t="e">
        <f t="shared" si="7"/>
        <v>#DIV/0!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/>
      <c r="AH29" s="16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spans="1:49" x14ac:dyDescent="0.25">
      <c r="A30" s="9" t="s">
        <v>70</v>
      </c>
      <c r="B30" s="9" t="s">
        <v>41</v>
      </c>
      <c r="C30" s="9">
        <v>61</v>
      </c>
      <c r="D30" s="9">
        <v>108</v>
      </c>
      <c r="E30" s="9">
        <v>75</v>
      </c>
      <c r="F30" s="9"/>
      <c r="G30" s="9"/>
      <c r="H30" s="9">
        <f t="shared" si="2"/>
        <v>0</v>
      </c>
      <c r="I30" s="6">
        <v>0.15</v>
      </c>
      <c r="J30" s="9">
        <v>45</v>
      </c>
      <c r="K30" s="9" t="s">
        <v>38</v>
      </c>
      <c r="L30" s="9"/>
      <c r="M30" s="9">
        <v>118</v>
      </c>
      <c r="N30" s="9">
        <f t="shared" si="3"/>
        <v>-43</v>
      </c>
      <c r="O30" s="9">
        <f t="shared" si="4"/>
        <v>75</v>
      </c>
      <c r="P30" s="9"/>
      <c r="Q30" s="9">
        <v>25</v>
      </c>
      <c r="R30" s="9"/>
      <c r="S30" s="9">
        <f t="shared" si="5"/>
        <v>15</v>
      </c>
      <c r="T30" s="4">
        <f>10*S30-R30-Q30-H30</f>
        <v>125</v>
      </c>
      <c r="U30" s="9">
        <f t="shared" si="6"/>
        <v>10</v>
      </c>
      <c r="V30" s="9">
        <f t="shared" si="7"/>
        <v>1.6666666666666667</v>
      </c>
      <c r="W30" s="9">
        <v>8.4</v>
      </c>
      <c r="X30" s="9">
        <v>9</v>
      </c>
      <c r="Y30" s="9">
        <v>14</v>
      </c>
      <c r="Z30" s="9">
        <v>7.2</v>
      </c>
      <c r="AA30" s="9">
        <v>9.1999999999999993</v>
      </c>
      <c r="AB30" s="9">
        <v>4.4000000000000004</v>
      </c>
      <c r="AC30" s="9">
        <v>0</v>
      </c>
      <c r="AD30" s="9">
        <v>1.6</v>
      </c>
      <c r="AE30" s="9">
        <v>1.8</v>
      </c>
      <c r="AF30" s="9">
        <v>3.8</v>
      </c>
      <c r="AG30" s="9" t="s">
        <v>71</v>
      </c>
      <c r="AH30" s="9">
        <f>I30*T30</f>
        <v>18.75</v>
      </c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spans="1:49" x14ac:dyDescent="0.25">
      <c r="A31" s="9" t="s">
        <v>72</v>
      </c>
      <c r="B31" s="9" t="s">
        <v>37</v>
      </c>
      <c r="C31" s="9">
        <v>1033.9690000000001</v>
      </c>
      <c r="D31" s="9">
        <v>586.85400000000004</v>
      </c>
      <c r="E31" s="9">
        <v>215.02199999999999</v>
      </c>
      <c r="F31" s="9">
        <v>943.72500000000002</v>
      </c>
      <c r="G31" s="9">
        <f>VLOOKUP(A31,[1]TDSheet!$A:$B,2,0)</f>
        <v>68.596000000000004</v>
      </c>
      <c r="H31" s="9">
        <f t="shared" si="2"/>
        <v>875.12900000000002</v>
      </c>
      <c r="I31" s="6">
        <v>1</v>
      </c>
      <c r="J31" s="9">
        <v>45</v>
      </c>
      <c r="K31" s="9" t="s">
        <v>38</v>
      </c>
      <c r="L31" s="9"/>
      <c r="M31" s="9">
        <v>226.244</v>
      </c>
      <c r="N31" s="9">
        <f t="shared" si="3"/>
        <v>-11.222000000000008</v>
      </c>
      <c r="O31" s="9">
        <f t="shared" si="4"/>
        <v>145.07799999999997</v>
      </c>
      <c r="P31" s="9">
        <v>69.944000000000003</v>
      </c>
      <c r="Q31" s="9">
        <v>0</v>
      </c>
      <c r="R31" s="9"/>
      <c r="S31" s="9">
        <f t="shared" si="5"/>
        <v>29.015599999999996</v>
      </c>
      <c r="T31" s="4"/>
      <c r="U31" s="9">
        <f t="shared" si="6"/>
        <v>30.160637725912963</v>
      </c>
      <c r="V31" s="9">
        <f t="shared" si="7"/>
        <v>30.160637725912963</v>
      </c>
      <c r="W31" s="9">
        <v>67.201800000000006</v>
      </c>
      <c r="X31" s="9">
        <v>52.8626</v>
      </c>
      <c r="Y31" s="9">
        <v>90.820000000000007</v>
      </c>
      <c r="Z31" s="9">
        <v>51.096400000000003</v>
      </c>
      <c r="AA31" s="9">
        <v>66.051999999999992</v>
      </c>
      <c r="AB31" s="9">
        <v>52.612400000000001</v>
      </c>
      <c r="AC31" s="9">
        <v>56.536999999999999</v>
      </c>
      <c r="AD31" s="9">
        <v>48.489400000000003</v>
      </c>
      <c r="AE31" s="9">
        <v>48.859400000000001</v>
      </c>
      <c r="AF31" s="9">
        <v>40.973200000000013</v>
      </c>
      <c r="AG31" s="20" t="s">
        <v>74</v>
      </c>
      <c r="AH31" s="9">
        <f>I31*T31</f>
        <v>0</v>
      </c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1:49" x14ac:dyDescent="0.25">
      <c r="A32" s="9" t="s">
        <v>73</v>
      </c>
      <c r="B32" s="9" t="s">
        <v>41</v>
      </c>
      <c r="C32" s="9">
        <v>168</v>
      </c>
      <c r="D32" s="9">
        <v>207</v>
      </c>
      <c r="E32" s="9">
        <v>67</v>
      </c>
      <c r="F32" s="9">
        <v>200</v>
      </c>
      <c r="G32" s="9">
        <f>VLOOKUP(A32,[1]TDSheet!$A:$B,2,0)</f>
        <v>48</v>
      </c>
      <c r="H32" s="9">
        <f t="shared" si="2"/>
        <v>152</v>
      </c>
      <c r="I32" s="6">
        <v>0.4</v>
      </c>
      <c r="J32" s="9">
        <v>60</v>
      </c>
      <c r="K32" s="9" t="s">
        <v>38</v>
      </c>
      <c r="L32" s="9"/>
      <c r="M32" s="9">
        <v>88</v>
      </c>
      <c r="N32" s="9">
        <f t="shared" si="3"/>
        <v>-21</v>
      </c>
      <c r="O32" s="9">
        <f t="shared" si="4"/>
        <v>67</v>
      </c>
      <c r="P32" s="9"/>
      <c r="Q32" s="9">
        <v>0</v>
      </c>
      <c r="R32" s="9"/>
      <c r="S32" s="9">
        <f t="shared" si="5"/>
        <v>13.4</v>
      </c>
      <c r="T32" s="4">
        <f t="shared" ref="T30:T34" si="13">15*S32-R32-Q32-H32</f>
        <v>49</v>
      </c>
      <c r="U32" s="9">
        <f t="shared" si="6"/>
        <v>15</v>
      </c>
      <c r="V32" s="9">
        <f t="shared" si="7"/>
        <v>11.343283582089551</v>
      </c>
      <c r="W32" s="9">
        <v>7.4</v>
      </c>
      <c r="X32" s="9">
        <v>18</v>
      </c>
      <c r="Y32" s="9">
        <v>20.399999999999999</v>
      </c>
      <c r="Z32" s="9">
        <v>18.600000000000001</v>
      </c>
      <c r="AA32" s="9">
        <v>9</v>
      </c>
      <c r="AB32" s="9">
        <v>22.4</v>
      </c>
      <c r="AC32" s="9">
        <v>12.8</v>
      </c>
      <c r="AD32" s="9">
        <v>10.199999999999999</v>
      </c>
      <c r="AE32" s="9">
        <v>15.8</v>
      </c>
      <c r="AF32" s="9">
        <v>14.4</v>
      </c>
      <c r="AG32" s="9"/>
      <c r="AH32" s="9">
        <f>I32*T32</f>
        <v>19.600000000000001</v>
      </c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spans="1:49" x14ac:dyDescent="0.25">
      <c r="A33" s="9" t="s">
        <v>75</v>
      </c>
      <c r="B33" s="9" t="s">
        <v>41</v>
      </c>
      <c r="C33" s="9">
        <v>683</v>
      </c>
      <c r="D33" s="9">
        <v>2240</v>
      </c>
      <c r="E33" s="9">
        <v>761</v>
      </c>
      <c r="F33" s="9">
        <v>830</v>
      </c>
      <c r="G33" s="9"/>
      <c r="H33" s="9">
        <f t="shared" si="2"/>
        <v>830</v>
      </c>
      <c r="I33" s="6">
        <v>0.4</v>
      </c>
      <c r="J33" s="9">
        <v>60</v>
      </c>
      <c r="K33" s="9" t="s">
        <v>38</v>
      </c>
      <c r="L33" s="9"/>
      <c r="M33" s="9">
        <v>829</v>
      </c>
      <c r="N33" s="9">
        <f t="shared" si="3"/>
        <v>-68</v>
      </c>
      <c r="O33" s="9">
        <f t="shared" si="4"/>
        <v>729</v>
      </c>
      <c r="P33" s="9">
        <v>32</v>
      </c>
      <c r="Q33" s="9">
        <v>500</v>
      </c>
      <c r="R33" s="9">
        <v>500</v>
      </c>
      <c r="S33" s="9">
        <f t="shared" si="5"/>
        <v>145.80000000000001</v>
      </c>
      <c r="T33" s="4">
        <f t="shared" si="13"/>
        <v>357</v>
      </c>
      <c r="U33" s="9">
        <f t="shared" si="6"/>
        <v>14.999999999999998</v>
      </c>
      <c r="V33" s="9">
        <f t="shared" si="7"/>
        <v>12.551440329218106</v>
      </c>
      <c r="W33" s="9">
        <v>125.4</v>
      </c>
      <c r="X33" s="9">
        <v>145.19999999999999</v>
      </c>
      <c r="Y33" s="9">
        <v>131.80000000000001</v>
      </c>
      <c r="Z33" s="9">
        <v>132.76</v>
      </c>
      <c r="AA33" s="9">
        <v>248</v>
      </c>
      <c r="AB33" s="9">
        <v>160</v>
      </c>
      <c r="AC33" s="9">
        <v>318.2</v>
      </c>
      <c r="AD33" s="9">
        <v>139.80000000000001</v>
      </c>
      <c r="AE33" s="9">
        <v>69.2</v>
      </c>
      <c r="AF33" s="9">
        <v>126.4</v>
      </c>
      <c r="AG33" s="9"/>
      <c r="AH33" s="9">
        <f>I33*T33</f>
        <v>142.80000000000001</v>
      </c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spans="1:49" x14ac:dyDescent="0.25">
      <c r="A34" s="9" t="s">
        <v>76</v>
      </c>
      <c r="B34" s="9" t="s">
        <v>41</v>
      </c>
      <c r="C34" s="9">
        <v>531.66800000000001</v>
      </c>
      <c r="D34" s="9">
        <v>2984.3319999999999</v>
      </c>
      <c r="E34" s="9">
        <v>762</v>
      </c>
      <c r="F34" s="9">
        <v>577</v>
      </c>
      <c r="G34" s="9">
        <f>VLOOKUP(A34,[1]TDSheet!$A:$B,2,0)</f>
        <v>16</v>
      </c>
      <c r="H34" s="9">
        <f t="shared" si="2"/>
        <v>561</v>
      </c>
      <c r="I34" s="6">
        <v>0.4</v>
      </c>
      <c r="J34" s="9">
        <v>60</v>
      </c>
      <c r="K34" s="12" t="s">
        <v>53</v>
      </c>
      <c r="L34" s="9"/>
      <c r="M34" s="9">
        <v>807</v>
      </c>
      <c r="N34" s="9">
        <f t="shared" si="3"/>
        <v>-45</v>
      </c>
      <c r="O34" s="9">
        <f t="shared" si="4"/>
        <v>738</v>
      </c>
      <c r="P34" s="9">
        <v>24</v>
      </c>
      <c r="Q34" s="9">
        <v>523</v>
      </c>
      <c r="R34" s="9">
        <v>523</v>
      </c>
      <c r="S34" s="9">
        <f t="shared" si="5"/>
        <v>147.6</v>
      </c>
      <c r="T34" s="4">
        <f t="shared" si="13"/>
        <v>607</v>
      </c>
      <c r="U34" s="9">
        <f t="shared" si="6"/>
        <v>15</v>
      </c>
      <c r="V34" s="9">
        <f t="shared" si="7"/>
        <v>10.887533875338754</v>
      </c>
      <c r="W34" s="9">
        <v>149.19999999999999</v>
      </c>
      <c r="X34" s="9">
        <v>137.06639999999999</v>
      </c>
      <c r="Y34" s="9">
        <v>230</v>
      </c>
      <c r="Z34" s="9">
        <v>186.12</v>
      </c>
      <c r="AA34" s="9">
        <v>301.39999999999998</v>
      </c>
      <c r="AB34" s="9">
        <v>140</v>
      </c>
      <c r="AC34" s="9">
        <v>155</v>
      </c>
      <c r="AD34" s="9">
        <v>162.80000000000001</v>
      </c>
      <c r="AE34" s="9">
        <v>91.8</v>
      </c>
      <c r="AF34" s="9">
        <v>147.6</v>
      </c>
      <c r="AG34" s="9" t="s">
        <v>77</v>
      </c>
      <c r="AH34" s="9">
        <f>I34*T34</f>
        <v>242.8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 spans="1:49" x14ac:dyDescent="0.25">
      <c r="A35" s="16" t="s">
        <v>78</v>
      </c>
      <c r="B35" s="16" t="s">
        <v>41</v>
      </c>
      <c r="C35" s="16">
        <v>70</v>
      </c>
      <c r="D35" s="16">
        <v>4</v>
      </c>
      <c r="E35" s="16">
        <v>1</v>
      </c>
      <c r="F35" s="16">
        <v>67</v>
      </c>
      <c r="G35" s="16"/>
      <c r="H35" s="16">
        <f t="shared" si="2"/>
        <v>67</v>
      </c>
      <c r="I35" s="17">
        <v>0</v>
      </c>
      <c r="J35" s="16">
        <v>45</v>
      </c>
      <c r="K35" s="16" t="s">
        <v>79</v>
      </c>
      <c r="L35" s="16"/>
      <c r="M35" s="16">
        <v>6</v>
      </c>
      <c r="N35" s="16">
        <f t="shared" si="3"/>
        <v>-5</v>
      </c>
      <c r="O35" s="16">
        <f t="shared" si="4"/>
        <v>1</v>
      </c>
      <c r="P35" s="16"/>
      <c r="Q35" s="16">
        <v>0</v>
      </c>
      <c r="R35" s="16"/>
      <c r="S35" s="16">
        <f t="shared" si="5"/>
        <v>0.2</v>
      </c>
      <c r="T35" s="18"/>
      <c r="U35" s="16">
        <f t="shared" si="6"/>
        <v>335</v>
      </c>
      <c r="V35" s="16">
        <f t="shared" si="7"/>
        <v>335</v>
      </c>
      <c r="W35" s="16">
        <v>1.2</v>
      </c>
      <c r="X35" s="16">
        <v>1</v>
      </c>
      <c r="Y35" s="16">
        <v>1.2</v>
      </c>
      <c r="Z35" s="16">
        <v>3.2</v>
      </c>
      <c r="AA35" s="16">
        <v>7.2</v>
      </c>
      <c r="AB35" s="16">
        <v>0.8</v>
      </c>
      <c r="AC35" s="16">
        <v>1.4</v>
      </c>
      <c r="AD35" s="16">
        <v>0</v>
      </c>
      <c r="AE35" s="16">
        <v>0</v>
      </c>
      <c r="AF35" s="16">
        <v>0</v>
      </c>
      <c r="AG35" s="20" t="s">
        <v>80</v>
      </c>
      <c r="AH35" s="16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spans="1:49" x14ac:dyDescent="0.25">
      <c r="A36" s="16" t="s">
        <v>81</v>
      </c>
      <c r="B36" s="16" t="s">
        <v>41</v>
      </c>
      <c r="C36" s="16"/>
      <c r="D36" s="16">
        <v>24</v>
      </c>
      <c r="E36" s="16">
        <v>24</v>
      </c>
      <c r="F36" s="16"/>
      <c r="G36" s="16"/>
      <c r="H36" s="16">
        <f t="shared" si="2"/>
        <v>0</v>
      </c>
      <c r="I36" s="17">
        <v>0</v>
      </c>
      <c r="J36" s="16"/>
      <c r="K36" s="19" t="s">
        <v>56</v>
      </c>
      <c r="L36" s="16"/>
      <c r="M36" s="16">
        <v>65</v>
      </c>
      <c r="N36" s="16">
        <f t="shared" si="3"/>
        <v>-41</v>
      </c>
      <c r="O36" s="16">
        <f t="shared" si="4"/>
        <v>0</v>
      </c>
      <c r="P36" s="16">
        <v>24</v>
      </c>
      <c r="Q36" s="16"/>
      <c r="R36" s="16"/>
      <c r="S36" s="16">
        <f t="shared" si="5"/>
        <v>0</v>
      </c>
      <c r="T36" s="18"/>
      <c r="U36" s="16" t="e">
        <f t="shared" si="6"/>
        <v>#DIV/0!</v>
      </c>
      <c r="V36" s="16" t="e">
        <f t="shared" si="7"/>
        <v>#DIV/0!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/>
      <c r="AH36" s="16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 spans="1:49" x14ac:dyDescent="0.25">
      <c r="A37" s="9" t="s">
        <v>82</v>
      </c>
      <c r="B37" s="9" t="s">
        <v>41</v>
      </c>
      <c r="C37" s="9">
        <v>270</v>
      </c>
      <c r="D37" s="9">
        <v>119</v>
      </c>
      <c r="E37" s="9">
        <v>132</v>
      </c>
      <c r="F37" s="9">
        <v>108</v>
      </c>
      <c r="G37" s="9"/>
      <c r="H37" s="9">
        <f t="shared" si="2"/>
        <v>108</v>
      </c>
      <c r="I37" s="6">
        <v>0.3</v>
      </c>
      <c r="J37" s="9">
        <v>45</v>
      </c>
      <c r="K37" s="9" t="s">
        <v>38</v>
      </c>
      <c r="L37" s="9"/>
      <c r="M37" s="9">
        <v>194</v>
      </c>
      <c r="N37" s="9">
        <f t="shared" si="3"/>
        <v>-62</v>
      </c>
      <c r="O37" s="9">
        <f t="shared" si="4"/>
        <v>132</v>
      </c>
      <c r="P37" s="9"/>
      <c r="Q37" s="9">
        <v>117</v>
      </c>
      <c r="R37" s="9"/>
      <c r="S37" s="9">
        <f t="shared" si="5"/>
        <v>26.4</v>
      </c>
      <c r="T37" s="4">
        <f t="shared" ref="T37:T39" si="14">15*S37-R37-Q37-H37</f>
        <v>171</v>
      </c>
      <c r="U37" s="9">
        <f t="shared" si="6"/>
        <v>15</v>
      </c>
      <c r="V37" s="9">
        <f t="shared" si="7"/>
        <v>8.5227272727272734</v>
      </c>
      <c r="W37" s="9">
        <v>25.8</v>
      </c>
      <c r="X37" s="9">
        <v>25.6</v>
      </c>
      <c r="Y37" s="9">
        <v>31.4</v>
      </c>
      <c r="Z37" s="9">
        <v>5</v>
      </c>
      <c r="AA37" s="9">
        <v>40.4</v>
      </c>
      <c r="AB37" s="9">
        <v>16.8</v>
      </c>
      <c r="AC37" s="9">
        <v>20.6</v>
      </c>
      <c r="AD37" s="9">
        <v>16.2</v>
      </c>
      <c r="AE37" s="9">
        <v>23</v>
      </c>
      <c r="AF37" s="9">
        <v>29.6</v>
      </c>
      <c r="AG37" s="9"/>
      <c r="AH37" s="9">
        <f>I37*T37</f>
        <v>51.3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spans="1:49" x14ac:dyDescent="0.25">
      <c r="A38" s="9" t="s">
        <v>83</v>
      </c>
      <c r="B38" s="9" t="s">
        <v>37</v>
      </c>
      <c r="C38" s="9">
        <v>260.95400000000001</v>
      </c>
      <c r="D38" s="9">
        <v>254.07599999999999</v>
      </c>
      <c r="E38" s="9">
        <v>130.602</v>
      </c>
      <c r="F38" s="9">
        <v>245.15899999999999</v>
      </c>
      <c r="G38" s="9"/>
      <c r="H38" s="9">
        <f t="shared" ref="H38:H69" si="15">F38-G38</f>
        <v>245.15899999999999</v>
      </c>
      <c r="I38" s="6">
        <v>1</v>
      </c>
      <c r="J38" s="9">
        <v>60</v>
      </c>
      <c r="K38" s="9" t="s">
        <v>38</v>
      </c>
      <c r="L38" s="9"/>
      <c r="M38" s="9">
        <v>130.09</v>
      </c>
      <c r="N38" s="9">
        <f t="shared" ref="N38:N69" si="16">E38-M38</f>
        <v>0.51200000000000045</v>
      </c>
      <c r="O38" s="9">
        <f t="shared" ref="O38:O69" si="17">E38-P38</f>
        <v>102.712</v>
      </c>
      <c r="P38" s="9">
        <v>27.89</v>
      </c>
      <c r="Q38" s="9">
        <v>46</v>
      </c>
      <c r="R38" s="9"/>
      <c r="S38" s="9">
        <f t="shared" ref="S38:S69" si="18">O38/5</f>
        <v>20.542400000000001</v>
      </c>
      <c r="T38" s="4">
        <f t="shared" si="14"/>
        <v>16.977000000000032</v>
      </c>
      <c r="U38" s="9">
        <f t="shared" ref="U38:U69" si="19">(H38+Q38+R38+T38)/S38</f>
        <v>15</v>
      </c>
      <c r="V38" s="9">
        <f t="shared" ref="V38:V69" si="20">(H38+Q38+R38)/S38</f>
        <v>14.173562972194095</v>
      </c>
      <c r="W38" s="9">
        <v>27.1554</v>
      </c>
      <c r="X38" s="9">
        <v>23.3902</v>
      </c>
      <c r="Y38" s="9">
        <v>23.227</v>
      </c>
      <c r="Z38" s="9">
        <v>29.584199999999999</v>
      </c>
      <c r="AA38" s="9">
        <v>27.789000000000001</v>
      </c>
      <c r="AB38" s="9">
        <v>19.216000000000001</v>
      </c>
      <c r="AC38" s="9">
        <v>22.330400000000001</v>
      </c>
      <c r="AD38" s="9">
        <v>28.0184</v>
      </c>
      <c r="AE38" s="9">
        <v>23.045400000000001</v>
      </c>
      <c r="AF38" s="9">
        <v>18.9406</v>
      </c>
      <c r="AG38" s="9"/>
      <c r="AH38" s="9">
        <f>I38*T38</f>
        <v>16.977000000000032</v>
      </c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  <row r="39" spans="1:49" x14ac:dyDescent="0.25">
      <c r="A39" s="9" t="s">
        <v>84</v>
      </c>
      <c r="B39" s="9" t="s">
        <v>37</v>
      </c>
      <c r="C39" s="9">
        <v>32.908000000000001</v>
      </c>
      <c r="D39" s="9">
        <v>165.34299999999999</v>
      </c>
      <c r="E39" s="9">
        <v>54.244</v>
      </c>
      <c r="F39" s="9">
        <v>100.066</v>
      </c>
      <c r="G39" s="9"/>
      <c r="H39" s="9">
        <f t="shared" si="15"/>
        <v>100.066</v>
      </c>
      <c r="I39" s="6">
        <v>1</v>
      </c>
      <c r="J39" s="9">
        <v>45</v>
      </c>
      <c r="K39" s="9" t="s">
        <v>38</v>
      </c>
      <c r="L39" s="9"/>
      <c r="M39" s="9">
        <v>62.6</v>
      </c>
      <c r="N39" s="9">
        <f t="shared" si="16"/>
        <v>-8.3560000000000016</v>
      </c>
      <c r="O39" s="9">
        <f t="shared" si="17"/>
        <v>54.244</v>
      </c>
      <c r="P39" s="9"/>
      <c r="Q39" s="9">
        <v>0</v>
      </c>
      <c r="R39" s="9"/>
      <c r="S39" s="9">
        <f t="shared" si="18"/>
        <v>10.848800000000001</v>
      </c>
      <c r="T39" s="4">
        <f t="shared" si="14"/>
        <v>62.665999999999997</v>
      </c>
      <c r="U39" s="9">
        <f t="shared" si="19"/>
        <v>14.999999999999998</v>
      </c>
      <c r="V39" s="9">
        <f t="shared" si="20"/>
        <v>9.2236929429983032</v>
      </c>
      <c r="W39" s="9">
        <v>9.6592000000000002</v>
      </c>
      <c r="X39" s="9">
        <v>13.51</v>
      </c>
      <c r="Y39" s="9">
        <v>8.6110000000000007</v>
      </c>
      <c r="Z39" s="9">
        <v>12.738200000000001</v>
      </c>
      <c r="AA39" s="9">
        <v>10.3902</v>
      </c>
      <c r="AB39" s="9">
        <v>10.955399999999999</v>
      </c>
      <c r="AC39" s="9">
        <v>12.7638</v>
      </c>
      <c r="AD39" s="9">
        <v>13.176600000000001</v>
      </c>
      <c r="AE39" s="9">
        <v>11.030799999999999</v>
      </c>
      <c r="AF39" s="9">
        <v>15.082599999999999</v>
      </c>
      <c r="AG39" s="9"/>
      <c r="AH39" s="9">
        <f>I39*T39</f>
        <v>62.665999999999997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spans="1:49" x14ac:dyDescent="0.25">
      <c r="A40" s="16" t="s">
        <v>85</v>
      </c>
      <c r="B40" s="16" t="s">
        <v>37</v>
      </c>
      <c r="C40" s="16"/>
      <c r="D40" s="16">
        <v>18.66</v>
      </c>
      <c r="E40" s="16">
        <v>18.66</v>
      </c>
      <c r="F40" s="16"/>
      <c r="G40" s="16"/>
      <c r="H40" s="16">
        <f t="shared" si="15"/>
        <v>0</v>
      </c>
      <c r="I40" s="17">
        <v>0</v>
      </c>
      <c r="J40" s="16"/>
      <c r="K40" s="16" t="s">
        <v>56</v>
      </c>
      <c r="L40" s="16"/>
      <c r="M40" s="16">
        <v>18.66</v>
      </c>
      <c r="N40" s="16">
        <f t="shared" si="16"/>
        <v>0</v>
      </c>
      <c r="O40" s="16">
        <f t="shared" si="17"/>
        <v>0</v>
      </c>
      <c r="P40" s="16">
        <v>18.66</v>
      </c>
      <c r="Q40" s="16">
        <v>0</v>
      </c>
      <c r="R40" s="16"/>
      <c r="S40" s="16">
        <f t="shared" si="18"/>
        <v>0</v>
      </c>
      <c r="T40" s="18"/>
      <c r="U40" s="16" t="e">
        <f t="shared" si="19"/>
        <v>#DIV/0!</v>
      </c>
      <c r="V40" s="16" t="e">
        <f t="shared" si="20"/>
        <v>#DIV/0!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/>
      <c r="AH40" s="16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</row>
    <row r="41" spans="1:49" x14ac:dyDescent="0.25">
      <c r="A41" s="9" t="s">
        <v>86</v>
      </c>
      <c r="B41" s="9" t="s">
        <v>37</v>
      </c>
      <c r="C41" s="9">
        <v>183.30199999999999</v>
      </c>
      <c r="D41" s="9">
        <v>123.401</v>
      </c>
      <c r="E41" s="9">
        <v>79.191999999999993</v>
      </c>
      <c r="F41" s="9">
        <v>134.31800000000001</v>
      </c>
      <c r="G41" s="9">
        <f>VLOOKUP(A41,[1]TDSheet!$A:$B,2,0)</f>
        <v>18.876999999999999</v>
      </c>
      <c r="H41" s="9">
        <f t="shared" si="15"/>
        <v>115.44100000000002</v>
      </c>
      <c r="I41" s="6">
        <v>1</v>
      </c>
      <c r="J41" s="9">
        <v>45</v>
      </c>
      <c r="K41" s="9" t="s">
        <v>38</v>
      </c>
      <c r="L41" s="9"/>
      <c r="M41" s="9">
        <v>90.7</v>
      </c>
      <c r="N41" s="9">
        <f t="shared" si="16"/>
        <v>-11.50800000000001</v>
      </c>
      <c r="O41" s="9">
        <f t="shared" si="17"/>
        <v>79.191999999999993</v>
      </c>
      <c r="P41" s="9"/>
      <c r="Q41" s="9">
        <v>0</v>
      </c>
      <c r="R41" s="9"/>
      <c r="S41" s="9">
        <f t="shared" si="18"/>
        <v>15.838399999999998</v>
      </c>
      <c r="T41" s="4">
        <f>15*S41-R41-Q41-H41</f>
        <v>122.13499999999995</v>
      </c>
      <c r="U41" s="9">
        <f t="shared" si="19"/>
        <v>15</v>
      </c>
      <c r="V41" s="9">
        <f t="shared" si="20"/>
        <v>7.2886781493080131</v>
      </c>
      <c r="W41" s="9">
        <v>14.441599999999999</v>
      </c>
      <c r="X41" s="9">
        <v>17.440999999999999</v>
      </c>
      <c r="Y41" s="9">
        <v>22.718399999999999</v>
      </c>
      <c r="Z41" s="9">
        <v>27.189</v>
      </c>
      <c r="AA41" s="9">
        <v>11.9834</v>
      </c>
      <c r="AB41" s="9">
        <v>13.699400000000001</v>
      </c>
      <c r="AC41" s="9">
        <v>35.602999999999987</v>
      </c>
      <c r="AD41" s="9">
        <v>14.5686</v>
      </c>
      <c r="AE41" s="9">
        <v>20.5672</v>
      </c>
      <c r="AF41" s="9">
        <v>17.590800000000002</v>
      </c>
      <c r="AG41" s="9"/>
      <c r="AH41" s="9">
        <f>I41*T41</f>
        <v>122.13499999999995</v>
      </c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spans="1:49" x14ac:dyDescent="0.25">
      <c r="A42" s="16" t="s">
        <v>87</v>
      </c>
      <c r="B42" s="16" t="s">
        <v>41</v>
      </c>
      <c r="C42" s="16"/>
      <c r="D42" s="16">
        <v>992</v>
      </c>
      <c r="E42" s="16"/>
      <c r="F42" s="16">
        <v>992</v>
      </c>
      <c r="G42" s="16">
        <v>992</v>
      </c>
      <c r="H42" s="16">
        <f t="shared" si="15"/>
        <v>0</v>
      </c>
      <c r="I42" s="17">
        <v>0</v>
      </c>
      <c r="J42" s="16"/>
      <c r="K42" s="16" t="s">
        <v>56</v>
      </c>
      <c r="L42" s="16"/>
      <c r="M42" s="16">
        <v>41</v>
      </c>
      <c r="N42" s="16">
        <f t="shared" si="16"/>
        <v>-41</v>
      </c>
      <c r="O42" s="16">
        <f t="shared" si="17"/>
        <v>0</v>
      </c>
      <c r="P42" s="16"/>
      <c r="Q42" s="16"/>
      <c r="R42" s="16"/>
      <c r="S42" s="16">
        <f t="shared" si="18"/>
        <v>0</v>
      </c>
      <c r="T42" s="18"/>
      <c r="U42" s="16" t="e">
        <f t="shared" si="19"/>
        <v>#DIV/0!</v>
      </c>
      <c r="V42" s="16" t="e">
        <f t="shared" si="20"/>
        <v>#DIV/0!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9"/>
      <c r="AH42" s="16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spans="1:49" x14ac:dyDescent="0.25">
      <c r="A43" s="9" t="s">
        <v>88</v>
      </c>
      <c r="B43" s="9" t="s">
        <v>37</v>
      </c>
      <c r="C43" s="9">
        <v>127.898</v>
      </c>
      <c r="D43" s="9">
        <v>396.79700000000003</v>
      </c>
      <c r="E43" s="9">
        <v>114.13200000000001</v>
      </c>
      <c r="F43" s="9">
        <v>266.88099999999997</v>
      </c>
      <c r="G43" s="9">
        <f>VLOOKUP(A43,[1]TDSheet!$A:$B,2,0)</f>
        <v>33.938000000000002</v>
      </c>
      <c r="H43" s="9">
        <f t="shared" si="15"/>
        <v>232.94299999999998</v>
      </c>
      <c r="I43" s="6">
        <v>1</v>
      </c>
      <c r="J43" s="9">
        <v>45</v>
      </c>
      <c r="K43" s="9" t="s">
        <v>38</v>
      </c>
      <c r="L43" s="9"/>
      <c r="M43" s="9">
        <v>132.6</v>
      </c>
      <c r="N43" s="9">
        <f t="shared" si="16"/>
        <v>-18.467999999999989</v>
      </c>
      <c r="O43" s="9">
        <f t="shared" si="17"/>
        <v>114.13200000000001</v>
      </c>
      <c r="P43" s="9"/>
      <c r="Q43" s="9">
        <v>103</v>
      </c>
      <c r="R43" s="9"/>
      <c r="S43" s="9">
        <f t="shared" si="18"/>
        <v>22.8264</v>
      </c>
      <c r="T43" s="4">
        <f t="shared" ref="T43:T49" si="21">15*S43-R43-Q43-H43</f>
        <v>6.4530000000000314</v>
      </c>
      <c r="U43" s="9">
        <f t="shared" si="19"/>
        <v>15.000000000000002</v>
      </c>
      <c r="V43" s="9">
        <f t="shared" si="20"/>
        <v>14.717301019871726</v>
      </c>
      <c r="W43" s="9">
        <v>30.696000000000009</v>
      </c>
      <c r="X43" s="9">
        <v>33.184600000000003</v>
      </c>
      <c r="Y43" s="9">
        <v>27.101600000000001</v>
      </c>
      <c r="Z43" s="9">
        <v>30.218599999999999</v>
      </c>
      <c r="AA43" s="9">
        <v>37.081000000000003</v>
      </c>
      <c r="AB43" s="9">
        <v>15.3294</v>
      </c>
      <c r="AC43" s="9">
        <v>39.705199999999998</v>
      </c>
      <c r="AD43" s="9">
        <v>34.675600000000003</v>
      </c>
      <c r="AE43" s="9">
        <v>24.506</v>
      </c>
      <c r="AF43" s="9">
        <v>27.321200000000001</v>
      </c>
      <c r="AG43" s="9"/>
      <c r="AH43" s="9">
        <f t="shared" ref="AH43:AH49" si="22">I43*T43</f>
        <v>6.4530000000000314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</row>
    <row r="44" spans="1:49" x14ac:dyDescent="0.25">
      <c r="A44" s="9" t="s">
        <v>89</v>
      </c>
      <c r="B44" s="9" t="s">
        <v>41</v>
      </c>
      <c r="C44" s="9">
        <v>122</v>
      </c>
      <c r="D44" s="9">
        <v>768</v>
      </c>
      <c r="E44" s="9">
        <v>367</v>
      </c>
      <c r="F44" s="9">
        <v>105</v>
      </c>
      <c r="G44" s="9"/>
      <c r="H44" s="9">
        <f t="shared" si="15"/>
        <v>105</v>
      </c>
      <c r="I44" s="6">
        <v>0.3</v>
      </c>
      <c r="J44" s="9">
        <v>45</v>
      </c>
      <c r="K44" s="9" t="s">
        <v>38</v>
      </c>
      <c r="L44" s="9"/>
      <c r="M44" s="9">
        <v>413</v>
      </c>
      <c r="N44" s="9">
        <f t="shared" si="16"/>
        <v>-46</v>
      </c>
      <c r="O44" s="9">
        <f t="shared" si="17"/>
        <v>327</v>
      </c>
      <c r="P44" s="9">
        <v>40</v>
      </c>
      <c r="Q44" s="9">
        <v>150</v>
      </c>
      <c r="R44" s="9">
        <v>150</v>
      </c>
      <c r="S44" s="9">
        <f t="shared" si="18"/>
        <v>65.400000000000006</v>
      </c>
      <c r="T44" s="4">
        <f>14*S44-R44-Q44-H44</f>
        <v>510.60000000000014</v>
      </c>
      <c r="U44" s="9">
        <f t="shared" si="19"/>
        <v>14</v>
      </c>
      <c r="V44" s="9">
        <f t="shared" si="20"/>
        <v>6.1926605504587151</v>
      </c>
      <c r="W44" s="9">
        <v>46.4</v>
      </c>
      <c r="X44" s="9">
        <v>47</v>
      </c>
      <c r="Y44" s="9">
        <v>40.4</v>
      </c>
      <c r="Z44" s="9">
        <v>35.799999999999997</v>
      </c>
      <c r="AA44" s="9">
        <v>-5.2</v>
      </c>
      <c r="AB44" s="9">
        <v>18</v>
      </c>
      <c r="AC44" s="9">
        <v>45.2</v>
      </c>
      <c r="AD44" s="9">
        <v>46</v>
      </c>
      <c r="AE44" s="9">
        <v>45.4</v>
      </c>
      <c r="AF44" s="9">
        <v>55.4</v>
      </c>
      <c r="AG44" s="9" t="s">
        <v>90</v>
      </c>
      <c r="AH44" s="9">
        <f t="shared" si="22"/>
        <v>153.18000000000004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</row>
    <row r="45" spans="1:49" x14ac:dyDescent="0.25">
      <c r="A45" s="9" t="s">
        <v>91</v>
      </c>
      <c r="B45" s="9" t="s">
        <v>37</v>
      </c>
      <c r="C45" s="9">
        <v>57.194000000000003</v>
      </c>
      <c r="D45" s="9">
        <v>126.562</v>
      </c>
      <c r="E45" s="9">
        <v>74.537000000000006</v>
      </c>
      <c r="F45" s="9">
        <v>92.744</v>
      </c>
      <c r="G45" s="9">
        <f>VLOOKUP(A45,[1]TDSheet!$A:$B,2,0)</f>
        <v>31.425999999999998</v>
      </c>
      <c r="H45" s="9">
        <f t="shared" si="15"/>
        <v>61.317999999999998</v>
      </c>
      <c r="I45" s="6">
        <v>1</v>
      </c>
      <c r="J45" s="9"/>
      <c r="K45" s="9" t="s">
        <v>38</v>
      </c>
      <c r="L45" s="9"/>
      <c r="M45" s="9">
        <v>74.057000000000002</v>
      </c>
      <c r="N45" s="9">
        <f t="shared" si="16"/>
        <v>0.48000000000000398</v>
      </c>
      <c r="O45" s="9">
        <f t="shared" si="17"/>
        <v>43.463000000000008</v>
      </c>
      <c r="P45" s="9">
        <v>31.074000000000002</v>
      </c>
      <c r="Q45" s="9">
        <v>43</v>
      </c>
      <c r="R45" s="9"/>
      <c r="S45" s="9">
        <f t="shared" si="18"/>
        <v>8.6926000000000023</v>
      </c>
      <c r="T45" s="4">
        <f t="shared" si="21"/>
        <v>26.071000000000041</v>
      </c>
      <c r="U45" s="9">
        <f t="shared" si="19"/>
        <v>15</v>
      </c>
      <c r="V45" s="9">
        <f t="shared" si="20"/>
        <v>12.000782274578373</v>
      </c>
      <c r="W45" s="9">
        <v>10.030799999999999</v>
      </c>
      <c r="X45" s="9">
        <v>0.22880000000000039</v>
      </c>
      <c r="Y45" s="9">
        <v>10.464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 t="s">
        <v>92</v>
      </c>
      <c r="AH45" s="9">
        <f t="shared" si="22"/>
        <v>26.071000000000041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spans="1:49" x14ac:dyDescent="0.25">
      <c r="A46" s="9" t="s">
        <v>93</v>
      </c>
      <c r="B46" s="9" t="s">
        <v>37</v>
      </c>
      <c r="C46" s="9">
        <v>1.516</v>
      </c>
      <c r="D46" s="9">
        <v>64.954999999999998</v>
      </c>
      <c r="E46" s="9">
        <v>10.992000000000001</v>
      </c>
      <c r="F46" s="9">
        <v>52.332000000000001</v>
      </c>
      <c r="G46" s="9">
        <f>VLOOKUP(A46,[1]TDSheet!$A:$B,2,0)</f>
        <v>49.222000000000001</v>
      </c>
      <c r="H46" s="9">
        <f t="shared" si="15"/>
        <v>3.1099999999999994</v>
      </c>
      <c r="I46" s="6">
        <v>1</v>
      </c>
      <c r="J46" s="9">
        <v>45</v>
      </c>
      <c r="K46" s="9" t="s">
        <v>38</v>
      </c>
      <c r="L46" s="9"/>
      <c r="M46" s="9">
        <v>12.1</v>
      </c>
      <c r="N46" s="9">
        <f t="shared" si="16"/>
        <v>-1.1079999999999988</v>
      </c>
      <c r="O46" s="9">
        <f t="shared" si="17"/>
        <v>10.992000000000001</v>
      </c>
      <c r="P46" s="9"/>
      <c r="Q46" s="9">
        <v>0</v>
      </c>
      <c r="R46" s="9"/>
      <c r="S46" s="9">
        <f t="shared" si="18"/>
        <v>2.1984000000000004</v>
      </c>
      <c r="T46" s="4">
        <f>9*S46-R46-Q46-H46</f>
        <v>16.675600000000003</v>
      </c>
      <c r="U46" s="9">
        <f t="shared" si="19"/>
        <v>9</v>
      </c>
      <c r="V46" s="9">
        <f t="shared" si="20"/>
        <v>1.4146652110625906</v>
      </c>
      <c r="W46" s="9">
        <v>0.60759999999999936</v>
      </c>
      <c r="X46" s="9">
        <v>1.4392</v>
      </c>
      <c r="Y46" s="9">
        <v>0</v>
      </c>
      <c r="Z46" s="9">
        <v>0</v>
      </c>
      <c r="AA46" s="9">
        <v>-0.1052</v>
      </c>
      <c r="AB46" s="9">
        <v>0.93140000000000001</v>
      </c>
      <c r="AC46" s="9">
        <v>0.25059999999999999</v>
      </c>
      <c r="AD46" s="9">
        <v>1.5486</v>
      </c>
      <c r="AE46" s="9">
        <v>0</v>
      </c>
      <c r="AF46" s="9">
        <v>2.1534</v>
      </c>
      <c r="AG46" s="9"/>
      <c r="AH46" s="9">
        <f t="shared" si="22"/>
        <v>16.675600000000003</v>
      </c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</row>
    <row r="47" spans="1:49" x14ac:dyDescent="0.25">
      <c r="A47" s="9" t="s">
        <v>94</v>
      </c>
      <c r="B47" s="9" t="s">
        <v>41</v>
      </c>
      <c r="C47" s="9">
        <v>929</v>
      </c>
      <c r="D47" s="9">
        <v>3217</v>
      </c>
      <c r="E47" s="9">
        <v>1076</v>
      </c>
      <c r="F47" s="9">
        <v>772</v>
      </c>
      <c r="G47" s="9">
        <f>VLOOKUP(A47,[1]TDSheet!$A:$B,2,0)</f>
        <v>40</v>
      </c>
      <c r="H47" s="9">
        <f t="shared" si="15"/>
        <v>732</v>
      </c>
      <c r="I47" s="6">
        <v>0.35</v>
      </c>
      <c r="J47" s="9">
        <v>45</v>
      </c>
      <c r="K47" s="9" t="s">
        <v>38</v>
      </c>
      <c r="L47" s="9"/>
      <c r="M47" s="9">
        <v>1143</v>
      </c>
      <c r="N47" s="9">
        <f t="shared" si="16"/>
        <v>-67</v>
      </c>
      <c r="O47" s="9">
        <f t="shared" si="17"/>
        <v>988</v>
      </c>
      <c r="P47" s="9">
        <v>88</v>
      </c>
      <c r="Q47" s="9">
        <v>726</v>
      </c>
      <c r="R47" s="9">
        <v>727</v>
      </c>
      <c r="S47" s="9">
        <f t="shared" si="18"/>
        <v>197.6</v>
      </c>
      <c r="T47" s="4">
        <f t="shared" si="21"/>
        <v>779</v>
      </c>
      <c r="U47" s="9">
        <f t="shared" si="19"/>
        <v>15</v>
      </c>
      <c r="V47" s="9">
        <f t="shared" si="20"/>
        <v>11.057692307692308</v>
      </c>
      <c r="W47" s="9">
        <v>207</v>
      </c>
      <c r="X47" s="9">
        <v>186.6</v>
      </c>
      <c r="Y47" s="9">
        <v>205.4</v>
      </c>
      <c r="Z47" s="9">
        <v>193.4</v>
      </c>
      <c r="AA47" s="9">
        <v>235.3424</v>
      </c>
      <c r="AB47" s="9">
        <v>191.6</v>
      </c>
      <c r="AC47" s="9">
        <v>300.8</v>
      </c>
      <c r="AD47" s="9">
        <v>181</v>
      </c>
      <c r="AE47" s="9">
        <v>160.6</v>
      </c>
      <c r="AF47" s="9">
        <v>152.19999999999999</v>
      </c>
      <c r="AG47" s="9"/>
      <c r="AH47" s="9">
        <f t="shared" si="22"/>
        <v>272.64999999999998</v>
      </c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pans="1:49" x14ac:dyDescent="0.25">
      <c r="A48" s="9" t="s">
        <v>95</v>
      </c>
      <c r="B48" s="9" t="s">
        <v>41</v>
      </c>
      <c r="C48" s="9">
        <v>358</v>
      </c>
      <c r="D48" s="9">
        <v>882</v>
      </c>
      <c r="E48" s="9">
        <v>213</v>
      </c>
      <c r="F48" s="9">
        <v>213</v>
      </c>
      <c r="G48" s="9">
        <f>VLOOKUP(A48,[1]TDSheet!$A:$B,2,0)</f>
        <v>32</v>
      </c>
      <c r="H48" s="9">
        <f t="shared" si="15"/>
        <v>181</v>
      </c>
      <c r="I48" s="6">
        <v>0.41</v>
      </c>
      <c r="J48" s="9">
        <v>45</v>
      </c>
      <c r="K48" s="9" t="s">
        <v>38</v>
      </c>
      <c r="L48" s="9"/>
      <c r="M48" s="9">
        <v>234</v>
      </c>
      <c r="N48" s="9">
        <f t="shared" si="16"/>
        <v>-21</v>
      </c>
      <c r="O48" s="9">
        <f t="shared" si="17"/>
        <v>213</v>
      </c>
      <c r="P48" s="9"/>
      <c r="Q48" s="9">
        <v>161</v>
      </c>
      <c r="R48" s="9">
        <v>162</v>
      </c>
      <c r="S48" s="9">
        <f t="shared" si="18"/>
        <v>42.6</v>
      </c>
      <c r="T48" s="4">
        <f t="shared" si="21"/>
        <v>135</v>
      </c>
      <c r="U48" s="9">
        <f t="shared" si="19"/>
        <v>15</v>
      </c>
      <c r="V48" s="9">
        <f t="shared" si="20"/>
        <v>11.830985915492958</v>
      </c>
      <c r="W48" s="9">
        <v>45.4</v>
      </c>
      <c r="X48" s="9">
        <v>37.200000000000003</v>
      </c>
      <c r="Y48" s="9">
        <v>74</v>
      </c>
      <c r="Z48" s="9">
        <v>44.58</v>
      </c>
      <c r="AA48" s="9">
        <v>45.2</v>
      </c>
      <c r="AB48" s="9">
        <v>67.599999999999994</v>
      </c>
      <c r="AC48" s="9">
        <v>26.2</v>
      </c>
      <c r="AD48" s="9">
        <v>72</v>
      </c>
      <c r="AE48" s="9">
        <v>37.200000000000003</v>
      </c>
      <c r="AF48" s="9">
        <v>47.2</v>
      </c>
      <c r="AG48" s="9"/>
      <c r="AH48" s="9">
        <f t="shared" si="22"/>
        <v>55.349999999999994</v>
      </c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</row>
    <row r="49" spans="1:49" x14ac:dyDescent="0.25">
      <c r="A49" s="9" t="s">
        <v>96</v>
      </c>
      <c r="B49" s="9" t="s">
        <v>41</v>
      </c>
      <c r="C49" s="9">
        <v>8</v>
      </c>
      <c r="D49" s="9">
        <v>216</v>
      </c>
      <c r="E49" s="9">
        <v>92</v>
      </c>
      <c r="F49" s="9">
        <v>85</v>
      </c>
      <c r="G49" s="9"/>
      <c r="H49" s="9">
        <f t="shared" si="15"/>
        <v>85</v>
      </c>
      <c r="I49" s="6">
        <v>0.41</v>
      </c>
      <c r="J49" s="9">
        <v>45</v>
      </c>
      <c r="K49" s="9" t="s">
        <v>38</v>
      </c>
      <c r="L49" s="9"/>
      <c r="M49" s="9">
        <v>120</v>
      </c>
      <c r="N49" s="9">
        <f t="shared" si="16"/>
        <v>-28</v>
      </c>
      <c r="O49" s="9">
        <f t="shared" si="17"/>
        <v>92</v>
      </c>
      <c r="P49" s="9"/>
      <c r="Q49" s="9">
        <v>77</v>
      </c>
      <c r="R49" s="9"/>
      <c r="S49" s="9">
        <f t="shared" si="18"/>
        <v>18.399999999999999</v>
      </c>
      <c r="T49" s="4">
        <f t="shared" si="21"/>
        <v>114</v>
      </c>
      <c r="U49" s="9">
        <f t="shared" si="19"/>
        <v>15.000000000000002</v>
      </c>
      <c r="V49" s="9">
        <f t="shared" si="20"/>
        <v>8.804347826086957</v>
      </c>
      <c r="W49" s="9">
        <v>18.2</v>
      </c>
      <c r="X49" s="9">
        <v>19</v>
      </c>
      <c r="Y49" s="9">
        <v>8.6</v>
      </c>
      <c r="Z49" s="9">
        <v>30</v>
      </c>
      <c r="AA49" s="9">
        <v>8.1999999999999993</v>
      </c>
      <c r="AB49" s="9">
        <v>7.6</v>
      </c>
      <c r="AC49" s="9">
        <v>19</v>
      </c>
      <c r="AD49" s="9">
        <v>10.199999999999999</v>
      </c>
      <c r="AE49" s="9">
        <v>7.6</v>
      </c>
      <c r="AF49" s="9">
        <v>13.8</v>
      </c>
      <c r="AG49" s="9"/>
      <c r="AH49" s="9">
        <f t="shared" si="22"/>
        <v>46.739999999999995</v>
      </c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spans="1:49" x14ac:dyDescent="0.25">
      <c r="A50" s="16" t="s">
        <v>97</v>
      </c>
      <c r="B50" s="16" t="s">
        <v>41</v>
      </c>
      <c r="C50" s="16"/>
      <c r="D50" s="16">
        <v>40</v>
      </c>
      <c r="E50" s="16"/>
      <c r="F50" s="21">
        <v>40</v>
      </c>
      <c r="G50" s="16">
        <f>VLOOKUP(A50,[1]TDSheet!$A:$B,2,0)</f>
        <v>40</v>
      </c>
      <c r="H50" s="16">
        <f t="shared" si="15"/>
        <v>0</v>
      </c>
      <c r="I50" s="17">
        <v>0</v>
      </c>
      <c r="J50" s="16"/>
      <c r="K50" s="19" t="s">
        <v>98</v>
      </c>
      <c r="L50" s="19" t="s">
        <v>99</v>
      </c>
      <c r="M50" s="16"/>
      <c r="N50" s="16">
        <f t="shared" si="16"/>
        <v>0</v>
      </c>
      <c r="O50" s="16">
        <f t="shared" si="17"/>
        <v>0</v>
      </c>
      <c r="P50" s="16"/>
      <c r="Q50" s="16"/>
      <c r="R50" s="16"/>
      <c r="S50" s="16">
        <f t="shared" si="18"/>
        <v>0</v>
      </c>
      <c r="T50" s="18"/>
      <c r="U50" s="16" t="e">
        <f t="shared" si="19"/>
        <v>#DIV/0!</v>
      </c>
      <c r="V50" s="16" t="e">
        <f t="shared" si="20"/>
        <v>#DIV/0!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/>
      <c r="AH50" s="16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spans="1:49" x14ac:dyDescent="0.25">
      <c r="A51" s="16" t="s">
        <v>100</v>
      </c>
      <c r="B51" s="16" t="s">
        <v>37</v>
      </c>
      <c r="C51" s="16"/>
      <c r="D51" s="16">
        <v>29.382000000000001</v>
      </c>
      <c r="E51" s="16"/>
      <c r="F51" s="21">
        <v>29.382000000000001</v>
      </c>
      <c r="G51" s="16">
        <f>VLOOKUP(A51,[1]TDSheet!$A:$B,2,0)</f>
        <v>29.382000000000001</v>
      </c>
      <c r="H51" s="16">
        <f t="shared" si="15"/>
        <v>0</v>
      </c>
      <c r="I51" s="17">
        <v>0</v>
      </c>
      <c r="J51" s="16"/>
      <c r="K51" s="19" t="s">
        <v>98</v>
      </c>
      <c r="L51" s="19" t="s">
        <v>101</v>
      </c>
      <c r="M51" s="16"/>
      <c r="N51" s="16">
        <f t="shared" si="16"/>
        <v>0</v>
      </c>
      <c r="O51" s="16">
        <f t="shared" si="17"/>
        <v>0</v>
      </c>
      <c r="P51" s="16"/>
      <c r="Q51" s="16"/>
      <c r="R51" s="16"/>
      <c r="S51" s="16">
        <f t="shared" si="18"/>
        <v>0</v>
      </c>
      <c r="T51" s="18"/>
      <c r="U51" s="16" t="e">
        <f t="shared" si="19"/>
        <v>#DIV/0!</v>
      </c>
      <c r="V51" s="16" t="e">
        <f t="shared" si="20"/>
        <v>#DIV/0!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/>
      <c r="AH51" s="16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spans="1:49" x14ac:dyDescent="0.25">
      <c r="A52" s="9" t="s">
        <v>102</v>
      </c>
      <c r="B52" s="9" t="s">
        <v>41</v>
      </c>
      <c r="C52" s="9">
        <v>342</v>
      </c>
      <c r="D52" s="9">
        <v>496</v>
      </c>
      <c r="E52" s="9">
        <v>129</v>
      </c>
      <c r="F52" s="9">
        <v>465</v>
      </c>
      <c r="G52" s="9">
        <f>VLOOKUP(A52,[1]TDSheet!$A:$B,2,0)</f>
        <v>78</v>
      </c>
      <c r="H52" s="9">
        <f t="shared" si="15"/>
        <v>387</v>
      </c>
      <c r="I52" s="6">
        <v>0.36</v>
      </c>
      <c r="J52" s="9">
        <v>45</v>
      </c>
      <c r="K52" s="9" t="s">
        <v>38</v>
      </c>
      <c r="L52" s="9"/>
      <c r="M52" s="9">
        <v>142</v>
      </c>
      <c r="N52" s="9">
        <f t="shared" si="16"/>
        <v>-13</v>
      </c>
      <c r="O52" s="9">
        <f t="shared" si="17"/>
        <v>111</v>
      </c>
      <c r="P52" s="9">
        <v>18</v>
      </c>
      <c r="Q52" s="9">
        <v>29</v>
      </c>
      <c r="R52" s="9"/>
      <c r="S52" s="9">
        <f t="shared" si="18"/>
        <v>22.2</v>
      </c>
      <c r="T52" s="4"/>
      <c r="U52" s="9">
        <f t="shared" si="19"/>
        <v>18.738738738738739</v>
      </c>
      <c r="V52" s="9">
        <f t="shared" si="20"/>
        <v>18.738738738738739</v>
      </c>
      <c r="W52" s="9">
        <v>36.4</v>
      </c>
      <c r="X52" s="9">
        <v>47.8</v>
      </c>
      <c r="Y52" s="9">
        <v>64.8</v>
      </c>
      <c r="Z52" s="9">
        <v>26.2</v>
      </c>
      <c r="AA52" s="9">
        <v>56.2</v>
      </c>
      <c r="AB52" s="9">
        <v>19.600000000000001</v>
      </c>
      <c r="AC52" s="9">
        <v>40.4</v>
      </c>
      <c r="AD52" s="9">
        <v>28</v>
      </c>
      <c r="AE52" s="9">
        <v>36.799999999999997</v>
      </c>
      <c r="AF52" s="9">
        <v>35.6</v>
      </c>
      <c r="AG52" s="9"/>
      <c r="AH52" s="9">
        <f>I52*T52</f>
        <v>0</v>
      </c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</row>
    <row r="53" spans="1:49" x14ac:dyDescent="0.25">
      <c r="A53" s="16" t="s">
        <v>103</v>
      </c>
      <c r="B53" s="16" t="s">
        <v>37</v>
      </c>
      <c r="C53" s="16"/>
      <c r="D53" s="16">
        <v>25.922000000000001</v>
      </c>
      <c r="E53" s="16"/>
      <c r="F53" s="16">
        <v>25.922000000000001</v>
      </c>
      <c r="G53" s="16">
        <f>VLOOKUP(A53,[1]TDSheet!$A:$B,2,0)</f>
        <v>25.922000000000001</v>
      </c>
      <c r="H53" s="16">
        <f t="shared" si="15"/>
        <v>0</v>
      </c>
      <c r="I53" s="17">
        <v>0</v>
      </c>
      <c r="J53" s="16"/>
      <c r="K53" s="19" t="s">
        <v>56</v>
      </c>
      <c r="L53" s="16"/>
      <c r="M53" s="16"/>
      <c r="N53" s="16">
        <f t="shared" si="16"/>
        <v>0</v>
      </c>
      <c r="O53" s="16">
        <f t="shared" si="17"/>
        <v>0</v>
      </c>
      <c r="P53" s="16"/>
      <c r="Q53" s="16"/>
      <c r="R53" s="16"/>
      <c r="S53" s="16">
        <f t="shared" si="18"/>
        <v>0</v>
      </c>
      <c r="T53" s="18"/>
      <c r="U53" s="16" t="e">
        <f t="shared" si="19"/>
        <v>#DIV/0!</v>
      </c>
      <c r="V53" s="16" t="e">
        <f t="shared" si="20"/>
        <v>#DIV/0!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/>
      <c r="AH53" s="16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spans="1:49" x14ac:dyDescent="0.25">
      <c r="A54" s="9" t="s">
        <v>104</v>
      </c>
      <c r="B54" s="9" t="s">
        <v>41</v>
      </c>
      <c r="C54" s="9">
        <v>86</v>
      </c>
      <c r="D54" s="9">
        <v>1177</v>
      </c>
      <c r="E54" s="9">
        <v>277</v>
      </c>
      <c r="F54" s="9">
        <v>280</v>
      </c>
      <c r="G54" s="9"/>
      <c r="H54" s="9">
        <f t="shared" si="15"/>
        <v>280</v>
      </c>
      <c r="I54" s="6">
        <v>0.33</v>
      </c>
      <c r="J54" s="9">
        <v>45</v>
      </c>
      <c r="K54" s="9" t="s">
        <v>38</v>
      </c>
      <c r="L54" s="9"/>
      <c r="M54" s="9">
        <v>281</v>
      </c>
      <c r="N54" s="9">
        <f t="shared" si="16"/>
        <v>-4</v>
      </c>
      <c r="O54" s="9">
        <f t="shared" si="17"/>
        <v>277</v>
      </c>
      <c r="P54" s="9"/>
      <c r="Q54" s="9">
        <v>104</v>
      </c>
      <c r="R54" s="9">
        <v>105</v>
      </c>
      <c r="S54" s="9">
        <f t="shared" si="18"/>
        <v>55.4</v>
      </c>
      <c r="T54" s="4">
        <f t="shared" ref="T54:T60" si="23">15*S54-R54-Q54-H54</f>
        <v>342</v>
      </c>
      <c r="U54" s="9">
        <f t="shared" si="19"/>
        <v>15</v>
      </c>
      <c r="V54" s="9">
        <f t="shared" si="20"/>
        <v>8.8267148014440444</v>
      </c>
      <c r="W54" s="9">
        <v>43.2</v>
      </c>
      <c r="X54" s="9">
        <v>47.6</v>
      </c>
      <c r="Y54" s="9">
        <v>37.799999999999997</v>
      </c>
      <c r="Z54" s="9">
        <v>60.8</v>
      </c>
      <c r="AA54" s="9">
        <v>13.8</v>
      </c>
      <c r="AB54" s="9">
        <v>81.2</v>
      </c>
      <c r="AC54" s="9">
        <v>11.4</v>
      </c>
      <c r="AD54" s="9">
        <v>46.8</v>
      </c>
      <c r="AE54" s="9">
        <v>26.4</v>
      </c>
      <c r="AF54" s="9">
        <v>39.4</v>
      </c>
      <c r="AG54" s="9"/>
      <c r="AH54" s="9">
        <f t="shared" ref="AH54:AH60" si="24">I54*T54</f>
        <v>112.86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</row>
    <row r="55" spans="1:49" x14ac:dyDescent="0.25">
      <c r="A55" s="9" t="s">
        <v>105</v>
      </c>
      <c r="B55" s="9" t="s">
        <v>41</v>
      </c>
      <c r="C55" s="9">
        <v>204</v>
      </c>
      <c r="D55" s="9">
        <v>108</v>
      </c>
      <c r="E55" s="9">
        <v>54</v>
      </c>
      <c r="F55" s="9">
        <v>252</v>
      </c>
      <c r="G55" s="9">
        <f>VLOOKUP(A55,[1]TDSheet!$A:$B,2,0)</f>
        <v>24</v>
      </c>
      <c r="H55" s="9">
        <f t="shared" si="15"/>
        <v>228</v>
      </c>
      <c r="I55" s="6">
        <v>0.4</v>
      </c>
      <c r="J55" s="9">
        <v>60</v>
      </c>
      <c r="K55" s="9" t="s">
        <v>38</v>
      </c>
      <c r="L55" s="9"/>
      <c r="M55" s="9">
        <v>164</v>
      </c>
      <c r="N55" s="9">
        <f t="shared" si="16"/>
        <v>-110</v>
      </c>
      <c r="O55" s="9">
        <f t="shared" si="17"/>
        <v>30</v>
      </c>
      <c r="P55" s="9">
        <v>24</v>
      </c>
      <c r="Q55" s="9">
        <v>0</v>
      </c>
      <c r="R55" s="9"/>
      <c r="S55" s="9">
        <f t="shared" si="18"/>
        <v>6</v>
      </c>
      <c r="T55" s="4"/>
      <c r="U55" s="9">
        <f t="shared" si="19"/>
        <v>38</v>
      </c>
      <c r="V55" s="9">
        <f t="shared" si="20"/>
        <v>38</v>
      </c>
      <c r="W55" s="9">
        <v>10.6</v>
      </c>
      <c r="X55" s="9">
        <v>10.4</v>
      </c>
      <c r="Y55" s="9">
        <v>21.2</v>
      </c>
      <c r="Z55" s="9">
        <v>18</v>
      </c>
      <c r="AA55" s="9">
        <v>27.2</v>
      </c>
      <c r="AB55" s="9">
        <v>39.6</v>
      </c>
      <c r="AC55" s="9">
        <v>24.4</v>
      </c>
      <c r="AD55" s="9">
        <v>28.2</v>
      </c>
      <c r="AE55" s="9">
        <v>23.8</v>
      </c>
      <c r="AF55" s="9">
        <v>33.200000000000003</v>
      </c>
      <c r="AG55" s="20" t="s">
        <v>74</v>
      </c>
      <c r="AH55" s="9">
        <f t="shared" si="24"/>
        <v>0</v>
      </c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spans="1:49" x14ac:dyDescent="0.25">
      <c r="A56" s="9" t="s">
        <v>106</v>
      </c>
      <c r="B56" s="9" t="s">
        <v>41</v>
      </c>
      <c r="C56" s="9"/>
      <c r="D56" s="9">
        <v>45</v>
      </c>
      <c r="E56" s="9">
        <v>8</v>
      </c>
      <c r="F56" s="9">
        <v>31</v>
      </c>
      <c r="G56" s="9"/>
      <c r="H56" s="9">
        <f t="shared" si="15"/>
        <v>31</v>
      </c>
      <c r="I56" s="6">
        <v>0.33</v>
      </c>
      <c r="J56" s="9">
        <v>45</v>
      </c>
      <c r="K56" s="9" t="s">
        <v>38</v>
      </c>
      <c r="L56" s="9"/>
      <c r="M56" s="9">
        <v>15</v>
      </c>
      <c r="N56" s="9">
        <f t="shared" si="16"/>
        <v>-7</v>
      </c>
      <c r="O56" s="9">
        <f t="shared" si="17"/>
        <v>8</v>
      </c>
      <c r="P56" s="9"/>
      <c r="Q56" s="9">
        <v>0</v>
      </c>
      <c r="R56" s="9"/>
      <c r="S56" s="9">
        <f t="shared" si="18"/>
        <v>1.6</v>
      </c>
      <c r="T56" s="4"/>
      <c r="U56" s="9">
        <f t="shared" si="19"/>
        <v>19.375</v>
      </c>
      <c r="V56" s="9">
        <f t="shared" si="20"/>
        <v>19.375</v>
      </c>
      <c r="W56" s="9">
        <v>1</v>
      </c>
      <c r="X56" s="9">
        <v>6</v>
      </c>
      <c r="Y56" s="9">
        <v>1.8</v>
      </c>
      <c r="Z56" s="9">
        <v>1.2</v>
      </c>
      <c r="AA56" s="9">
        <v>2.8</v>
      </c>
      <c r="AB56" s="9">
        <v>4.8</v>
      </c>
      <c r="AC56" s="9">
        <v>4</v>
      </c>
      <c r="AD56" s="9">
        <v>4.2</v>
      </c>
      <c r="AE56" s="9">
        <v>3.6</v>
      </c>
      <c r="AF56" s="9">
        <v>3.6</v>
      </c>
      <c r="AG56" s="9"/>
      <c r="AH56" s="9">
        <f t="shared" si="24"/>
        <v>0</v>
      </c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</row>
    <row r="57" spans="1:49" x14ac:dyDescent="0.25">
      <c r="A57" s="9" t="s">
        <v>107</v>
      </c>
      <c r="B57" s="9" t="s">
        <v>37</v>
      </c>
      <c r="C57" s="9">
        <v>511.25599999999997</v>
      </c>
      <c r="D57" s="9">
        <v>1481.57</v>
      </c>
      <c r="E57" s="9">
        <v>528.10799999999995</v>
      </c>
      <c r="F57" s="9">
        <v>728.02499999999998</v>
      </c>
      <c r="G57" s="9"/>
      <c r="H57" s="9">
        <f t="shared" si="15"/>
        <v>728.02499999999998</v>
      </c>
      <c r="I57" s="6">
        <v>1</v>
      </c>
      <c r="J57" s="9">
        <v>45</v>
      </c>
      <c r="K57" s="9" t="s">
        <v>38</v>
      </c>
      <c r="L57" s="9"/>
      <c r="M57" s="9">
        <v>532.76499999999999</v>
      </c>
      <c r="N57" s="9">
        <f t="shared" si="16"/>
        <v>-4.6570000000000391</v>
      </c>
      <c r="O57" s="9">
        <f t="shared" si="17"/>
        <v>411.34299999999996</v>
      </c>
      <c r="P57" s="9">
        <v>116.765</v>
      </c>
      <c r="Q57" s="9">
        <v>166</v>
      </c>
      <c r="R57" s="9"/>
      <c r="S57" s="9">
        <f t="shared" si="18"/>
        <v>82.268599999999992</v>
      </c>
      <c r="T57" s="4">
        <f t="shared" si="23"/>
        <v>340.00400000000002</v>
      </c>
      <c r="U57" s="9">
        <f t="shared" si="19"/>
        <v>15.000000000000002</v>
      </c>
      <c r="V57" s="9">
        <f t="shared" si="20"/>
        <v>10.867147368497823</v>
      </c>
      <c r="W57" s="9">
        <v>87.326800000000006</v>
      </c>
      <c r="X57" s="9">
        <v>101.8028</v>
      </c>
      <c r="Y57" s="9">
        <v>86.9572</v>
      </c>
      <c r="Z57" s="9">
        <v>72.214799999999997</v>
      </c>
      <c r="AA57" s="9">
        <v>115.35380000000001</v>
      </c>
      <c r="AB57" s="9">
        <v>57.2836</v>
      </c>
      <c r="AC57" s="9">
        <v>83.705999999999989</v>
      </c>
      <c r="AD57" s="9">
        <v>83.758600000000001</v>
      </c>
      <c r="AE57" s="9">
        <v>66.909199999999998</v>
      </c>
      <c r="AF57" s="9">
        <v>79.169799999999995</v>
      </c>
      <c r="AG57" s="9"/>
      <c r="AH57" s="9">
        <f t="shared" si="24"/>
        <v>340.00400000000002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spans="1:49" x14ac:dyDescent="0.25">
      <c r="A58" s="9" t="s">
        <v>108</v>
      </c>
      <c r="B58" s="9" t="s">
        <v>41</v>
      </c>
      <c r="C58" s="9">
        <v>15</v>
      </c>
      <c r="D58" s="9">
        <v>76</v>
      </c>
      <c r="E58" s="9">
        <v>43</v>
      </c>
      <c r="F58" s="9">
        <v>2</v>
      </c>
      <c r="G58" s="9"/>
      <c r="H58" s="9">
        <f t="shared" si="15"/>
        <v>2</v>
      </c>
      <c r="I58" s="6">
        <v>0.4</v>
      </c>
      <c r="J58" s="9">
        <v>45</v>
      </c>
      <c r="K58" s="9" t="s">
        <v>38</v>
      </c>
      <c r="L58" s="9"/>
      <c r="M58" s="9">
        <v>60</v>
      </c>
      <c r="N58" s="9">
        <f t="shared" si="16"/>
        <v>-17</v>
      </c>
      <c r="O58" s="9">
        <f t="shared" si="17"/>
        <v>43</v>
      </c>
      <c r="P58" s="9"/>
      <c r="Q58" s="9">
        <v>29</v>
      </c>
      <c r="R58" s="9"/>
      <c r="S58" s="9">
        <f t="shared" si="18"/>
        <v>8.6</v>
      </c>
      <c r="T58" s="4">
        <f>12*S58-R58-Q58-H58</f>
        <v>72.199999999999989</v>
      </c>
      <c r="U58" s="9">
        <f t="shared" si="19"/>
        <v>12</v>
      </c>
      <c r="V58" s="9">
        <f t="shared" si="20"/>
        <v>3.6046511627906979</v>
      </c>
      <c r="W58" s="9">
        <v>5.4</v>
      </c>
      <c r="X58" s="9">
        <v>5.8</v>
      </c>
      <c r="Y58" s="9">
        <v>5.6</v>
      </c>
      <c r="Z58" s="9">
        <v>0.4</v>
      </c>
      <c r="AA58" s="9">
        <v>8.6</v>
      </c>
      <c r="AB58" s="9">
        <v>2.2000000000000002</v>
      </c>
      <c r="AC58" s="9">
        <v>3.2</v>
      </c>
      <c r="AD58" s="9">
        <v>4.8</v>
      </c>
      <c r="AE58" s="9">
        <v>2.8</v>
      </c>
      <c r="AF58" s="9">
        <v>3.4</v>
      </c>
      <c r="AG58" s="9"/>
      <c r="AH58" s="9">
        <f t="shared" si="24"/>
        <v>28.879999999999995</v>
      </c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</row>
    <row r="59" spans="1:49" x14ac:dyDescent="0.25">
      <c r="A59" s="9" t="s">
        <v>109</v>
      </c>
      <c r="B59" s="9" t="s">
        <v>37</v>
      </c>
      <c r="C59" s="9"/>
      <c r="D59" s="9">
        <v>50.345999999999997</v>
      </c>
      <c r="E59" s="9">
        <v>9.6690000000000005</v>
      </c>
      <c r="F59" s="9">
        <v>13.534000000000001</v>
      </c>
      <c r="G59" s="9"/>
      <c r="H59" s="9">
        <f t="shared" si="15"/>
        <v>13.534000000000001</v>
      </c>
      <c r="I59" s="6">
        <v>1</v>
      </c>
      <c r="J59" s="9">
        <v>60</v>
      </c>
      <c r="K59" s="9" t="s">
        <v>38</v>
      </c>
      <c r="L59" s="9"/>
      <c r="M59" s="9">
        <v>32.700000000000003</v>
      </c>
      <c r="N59" s="9">
        <f t="shared" si="16"/>
        <v>-23.031000000000002</v>
      </c>
      <c r="O59" s="9">
        <f t="shared" si="17"/>
        <v>9.6690000000000005</v>
      </c>
      <c r="P59" s="9"/>
      <c r="Q59" s="9">
        <v>15</v>
      </c>
      <c r="R59" s="9"/>
      <c r="S59" s="9">
        <f t="shared" si="18"/>
        <v>1.9338000000000002</v>
      </c>
      <c r="T59" s="4">
        <v>4</v>
      </c>
      <c r="U59" s="9">
        <f t="shared" si="19"/>
        <v>16.823870100320612</v>
      </c>
      <c r="V59" s="9">
        <f t="shared" si="20"/>
        <v>14.755403868031852</v>
      </c>
      <c r="W59" s="9">
        <v>3.7467999999999999</v>
      </c>
      <c r="X59" s="9">
        <v>5.0811999999999999</v>
      </c>
      <c r="Y59" s="9">
        <v>1.054</v>
      </c>
      <c r="Z59" s="9">
        <v>2.3641999999999999</v>
      </c>
      <c r="AA59" s="9">
        <v>4.2598000000000003</v>
      </c>
      <c r="AB59" s="9">
        <v>2.7410000000000001</v>
      </c>
      <c r="AC59" s="9">
        <v>2.54</v>
      </c>
      <c r="AD59" s="9">
        <v>3.1259999999999999</v>
      </c>
      <c r="AE59" s="9">
        <v>3.1627999999999998</v>
      </c>
      <c r="AF59" s="9">
        <v>2.3344</v>
      </c>
      <c r="AG59" s="9"/>
      <c r="AH59" s="9">
        <f t="shared" si="24"/>
        <v>4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spans="1:49" x14ac:dyDescent="0.25">
      <c r="A60" s="9" t="s">
        <v>110</v>
      </c>
      <c r="B60" s="9" t="s">
        <v>37</v>
      </c>
      <c r="C60" s="9">
        <v>3.0390000000000001</v>
      </c>
      <c r="D60" s="9">
        <v>33.265999999999998</v>
      </c>
      <c r="E60" s="9">
        <v>21.21</v>
      </c>
      <c r="F60" s="9"/>
      <c r="G60" s="9"/>
      <c r="H60" s="9">
        <f t="shared" si="15"/>
        <v>0</v>
      </c>
      <c r="I60" s="6">
        <v>1</v>
      </c>
      <c r="J60" s="9">
        <v>60</v>
      </c>
      <c r="K60" s="9" t="s">
        <v>38</v>
      </c>
      <c r="L60" s="9"/>
      <c r="M60" s="9">
        <v>27</v>
      </c>
      <c r="N60" s="9">
        <f t="shared" si="16"/>
        <v>-5.7899999999999991</v>
      </c>
      <c r="O60" s="9">
        <f t="shared" si="17"/>
        <v>21.21</v>
      </c>
      <c r="P60" s="9"/>
      <c r="Q60" s="9">
        <v>49</v>
      </c>
      <c r="R60" s="9"/>
      <c r="S60" s="9">
        <f t="shared" si="18"/>
        <v>4.242</v>
      </c>
      <c r="T60" s="4">
        <f t="shared" si="23"/>
        <v>14.630000000000003</v>
      </c>
      <c r="U60" s="9">
        <f t="shared" si="19"/>
        <v>15</v>
      </c>
      <c r="V60" s="9">
        <f t="shared" si="20"/>
        <v>11.551155115511552</v>
      </c>
      <c r="W60" s="9">
        <v>5.4958</v>
      </c>
      <c r="X60" s="9">
        <v>3.5438000000000001</v>
      </c>
      <c r="Y60" s="9">
        <v>1.7490000000000001</v>
      </c>
      <c r="Z60" s="9">
        <v>5.1369999999999996</v>
      </c>
      <c r="AA60" s="9">
        <v>3.0150000000000001</v>
      </c>
      <c r="AB60" s="9">
        <v>3.6160000000000001</v>
      </c>
      <c r="AC60" s="9">
        <v>2.7080000000000002</v>
      </c>
      <c r="AD60" s="9">
        <v>3.3220000000000001</v>
      </c>
      <c r="AE60" s="9">
        <v>2.1120000000000001</v>
      </c>
      <c r="AF60" s="9">
        <v>4.5110000000000001</v>
      </c>
      <c r="AG60" s="9"/>
      <c r="AH60" s="9">
        <f t="shared" si="24"/>
        <v>14.630000000000003</v>
      </c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</row>
    <row r="61" spans="1:49" x14ac:dyDescent="0.25">
      <c r="A61" s="16" t="s">
        <v>111</v>
      </c>
      <c r="B61" s="16" t="s">
        <v>41</v>
      </c>
      <c r="C61" s="16">
        <v>3</v>
      </c>
      <c r="D61" s="16">
        <v>9</v>
      </c>
      <c r="E61" s="16"/>
      <c r="F61" s="16">
        <v>3</v>
      </c>
      <c r="G61" s="16"/>
      <c r="H61" s="16">
        <f t="shared" si="15"/>
        <v>3</v>
      </c>
      <c r="I61" s="17">
        <v>0</v>
      </c>
      <c r="J61" s="16">
        <v>45</v>
      </c>
      <c r="K61" s="16" t="s">
        <v>79</v>
      </c>
      <c r="L61" s="16"/>
      <c r="M61" s="16">
        <v>1</v>
      </c>
      <c r="N61" s="16">
        <f t="shared" si="16"/>
        <v>-1</v>
      </c>
      <c r="O61" s="16">
        <f t="shared" si="17"/>
        <v>0</v>
      </c>
      <c r="P61" s="16"/>
      <c r="Q61" s="16">
        <v>0</v>
      </c>
      <c r="R61" s="16"/>
      <c r="S61" s="16">
        <f t="shared" si="18"/>
        <v>0</v>
      </c>
      <c r="T61" s="18"/>
      <c r="U61" s="16" t="e">
        <f t="shared" si="19"/>
        <v>#DIV/0!</v>
      </c>
      <c r="V61" s="16" t="e">
        <f t="shared" si="20"/>
        <v>#DIV/0!</v>
      </c>
      <c r="W61" s="16">
        <v>0</v>
      </c>
      <c r="X61" s="16">
        <v>1.4</v>
      </c>
      <c r="Y61" s="16">
        <v>3.2</v>
      </c>
      <c r="Z61" s="16">
        <v>0.4</v>
      </c>
      <c r="AA61" s="16">
        <v>2</v>
      </c>
      <c r="AB61" s="16">
        <v>3.2</v>
      </c>
      <c r="AC61" s="16">
        <v>2.8</v>
      </c>
      <c r="AD61" s="16">
        <v>3.8</v>
      </c>
      <c r="AE61" s="16">
        <v>4.8</v>
      </c>
      <c r="AF61" s="16">
        <v>4</v>
      </c>
      <c r="AG61" s="16"/>
      <c r="AH61" s="16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</row>
    <row r="62" spans="1:49" x14ac:dyDescent="0.25">
      <c r="A62" s="9" t="s">
        <v>112</v>
      </c>
      <c r="B62" s="9" t="s">
        <v>37</v>
      </c>
      <c r="C62" s="9">
        <v>54.999000000000002</v>
      </c>
      <c r="D62" s="9">
        <v>38.603000000000002</v>
      </c>
      <c r="E62" s="9">
        <v>27.094000000000001</v>
      </c>
      <c r="F62" s="9">
        <v>58.234000000000002</v>
      </c>
      <c r="G62" s="9"/>
      <c r="H62" s="9">
        <f t="shared" si="15"/>
        <v>58.234000000000002</v>
      </c>
      <c r="I62" s="6">
        <v>1</v>
      </c>
      <c r="J62" s="9">
        <v>45</v>
      </c>
      <c r="K62" s="9" t="s">
        <v>38</v>
      </c>
      <c r="L62" s="9"/>
      <c r="M62" s="9">
        <v>28.891999999999999</v>
      </c>
      <c r="N62" s="9">
        <f t="shared" si="16"/>
        <v>-1.7979999999999983</v>
      </c>
      <c r="O62" s="9">
        <f t="shared" si="17"/>
        <v>27.094000000000001</v>
      </c>
      <c r="P62" s="9"/>
      <c r="Q62" s="9">
        <v>0</v>
      </c>
      <c r="R62" s="9"/>
      <c r="S62" s="9">
        <f t="shared" si="18"/>
        <v>5.4188000000000001</v>
      </c>
      <c r="T62" s="4">
        <f t="shared" ref="T62:T69" si="25">15*S62-R62-Q62-H62</f>
        <v>23.047999999999995</v>
      </c>
      <c r="U62" s="9">
        <f t="shared" si="19"/>
        <v>15</v>
      </c>
      <c r="V62" s="9">
        <f t="shared" si="20"/>
        <v>10.746659777072415</v>
      </c>
      <c r="W62" s="9">
        <v>0.51360000000000006</v>
      </c>
      <c r="X62" s="9">
        <v>1.3395999999999999</v>
      </c>
      <c r="Y62" s="9">
        <v>2.7850000000000001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 t="s">
        <v>39</v>
      </c>
      <c r="AH62" s="9">
        <f t="shared" ref="AH62:AH69" si="26">I62*T62</f>
        <v>23.047999999999995</v>
      </c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</row>
    <row r="63" spans="1:49" x14ac:dyDescent="0.25">
      <c r="A63" s="9" t="s">
        <v>113</v>
      </c>
      <c r="B63" s="9" t="s">
        <v>41</v>
      </c>
      <c r="C63" s="9">
        <v>100</v>
      </c>
      <c r="D63" s="9">
        <v>103</v>
      </c>
      <c r="E63" s="9">
        <v>65</v>
      </c>
      <c r="F63" s="9">
        <v>70</v>
      </c>
      <c r="G63" s="9"/>
      <c r="H63" s="9">
        <f t="shared" si="15"/>
        <v>70</v>
      </c>
      <c r="I63" s="6">
        <v>0.25</v>
      </c>
      <c r="J63" s="9">
        <v>120</v>
      </c>
      <c r="K63" s="9" t="s">
        <v>38</v>
      </c>
      <c r="L63" s="9"/>
      <c r="M63" s="9">
        <v>65</v>
      </c>
      <c r="N63" s="9">
        <f t="shared" si="16"/>
        <v>0</v>
      </c>
      <c r="O63" s="9">
        <f t="shared" si="17"/>
        <v>57</v>
      </c>
      <c r="P63" s="9">
        <v>8</v>
      </c>
      <c r="Q63" s="9">
        <v>0</v>
      </c>
      <c r="R63" s="9"/>
      <c r="S63" s="9">
        <f t="shared" si="18"/>
        <v>11.4</v>
      </c>
      <c r="T63" s="4">
        <f>14*S63-R63-Q63-H63</f>
        <v>89.6</v>
      </c>
      <c r="U63" s="9">
        <f t="shared" si="19"/>
        <v>13.999999999999998</v>
      </c>
      <c r="V63" s="9">
        <f t="shared" si="20"/>
        <v>6.140350877192982</v>
      </c>
      <c r="W63" s="9">
        <v>5.8</v>
      </c>
      <c r="X63" s="9">
        <v>12.2</v>
      </c>
      <c r="Y63" s="9">
        <v>13.6</v>
      </c>
      <c r="Z63" s="9">
        <v>12.6</v>
      </c>
      <c r="AA63" s="9">
        <v>10.8</v>
      </c>
      <c r="AB63" s="9">
        <v>17.2</v>
      </c>
      <c r="AC63" s="9">
        <v>8.6</v>
      </c>
      <c r="AD63" s="9">
        <v>12.4</v>
      </c>
      <c r="AE63" s="9">
        <v>10</v>
      </c>
      <c r="AF63" s="9">
        <v>7.6</v>
      </c>
      <c r="AG63" s="8" t="s">
        <v>43</v>
      </c>
      <c r="AH63" s="9">
        <f t="shared" si="26"/>
        <v>22.4</v>
      </c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</row>
    <row r="64" spans="1:49" x14ac:dyDescent="0.25">
      <c r="A64" s="9" t="s">
        <v>114</v>
      </c>
      <c r="B64" s="9" t="s">
        <v>37</v>
      </c>
      <c r="C64" s="9">
        <v>14.537000000000001</v>
      </c>
      <c r="D64" s="9">
        <v>39.485999999999997</v>
      </c>
      <c r="E64" s="9">
        <v>13.882999999999999</v>
      </c>
      <c r="F64" s="9">
        <v>19.710999999999999</v>
      </c>
      <c r="G64" s="9"/>
      <c r="H64" s="9">
        <f t="shared" si="15"/>
        <v>19.710999999999999</v>
      </c>
      <c r="I64" s="6">
        <v>1</v>
      </c>
      <c r="J64" s="9">
        <v>45</v>
      </c>
      <c r="K64" s="9" t="s">
        <v>38</v>
      </c>
      <c r="L64" s="9"/>
      <c r="M64" s="9">
        <v>17.5</v>
      </c>
      <c r="N64" s="9">
        <f t="shared" si="16"/>
        <v>-3.6170000000000009</v>
      </c>
      <c r="O64" s="9">
        <f t="shared" si="17"/>
        <v>13.882999999999999</v>
      </c>
      <c r="P64" s="9"/>
      <c r="Q64" s="9">
        <v>12</v>
      </c>
      <c r="R64" s="9"/>
      <c r="S64" s="9">
        <f t="shared" si="18"/>
        <v>2.7765999999999997</v>
      </c>
      <c r="T64" s="4">
        <f t="shared" si="25"/>
        <v>9.9379999999999953</v>
      </c>
      <c r="U64" s="9">
        <f t="shared" si="19"/>
        <v>15</v>
      </c>
      <c r="V64" s="9">
        <f t="shared" si="20"/>
        <v>11.420802420226176</v>
      </c>
      <c r="W64" s="9">
        <v>3.1368</v>
      </c>
      <c r="X64" s="9">
        <v>3.7669999999999999</v>
      </c>
      <c r="Y64" s="9">
        <v>3.3374000000000001</v>
      </c>
      <c r="Z64" s="9">
        <v>2.7829999999999999</v>
      </c>
      <c r="AA64" s="9">
        <v>3.653</v>
      </c>
      <c r="AB64" s="9">
        <v>6.1457999999999986</v>
      </c>
      <c r="AC64" s="9">
        <v>1.8888</v>
      </c>
      <c r="AD64" s="9">
        <v>4.4606000000000003</v>
      </c>
      <c r="AE64" s="9">
        <v>1.9952000000000001</v>
      </c>
      <c r="AF64" s="9">
        <v>2.8637999999999999</v>
      </c>
      <c r="AG64" s="9"/>
      <c r="AH64" s="9">
        <f t="shared" si="26"/>
        <v>9.9379999999999953</v>
      </c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</row>
    <row r="65" spans="1:49" x14ac:dyDescent="0.25">
      <c r="A65" s="9" t="s">
        <v>115</v>
      </c>
      <c r="B65" s="9" t="s">
        <v>41</v>
      </c>
      <c r="C65" s="9">
        <v>56</v>
      </c>
      <c r="D65" s="9">
        <v>77</v>
      </c>
      <c r="E65" s="9">
        <v>45</v>
      </c>
      <c r="F65" s="9">
        <v>59</v>
      </c>
      <c r="G65" s="9"/>
      <c r="H65" s="9">
        <f t="shared" si="15"/>
        <v>59</v>
      </c>
      <c r="I65" s="6">
        <v>0.27</v>
      </c>
      <c r="J65" s="9"/>
      <c r="K65" s="9" t="s">
        <v>38</v>
      </c>
      <c r="L65" s="9"/>
      <c r="M65" s="9">
        <v>53</v>
      </c>
      <c r="N65" s="9">
        <f t="shared" si="16"/>
        <v>-8</v>
      </c>
      <c r="O65" s="9">
        <f t="shared" si="17"/>
        <v>13</v>
      </c>
      <c r="P65" s="9">
        <v>32</v>
      </c>
      <c r="Q65" s="9">
        <v>0</v>
      </c>
      <c r="R65" s="9"/>
      <c r="S65" s="9">
        <f t="shared" si="18"/>
        <v>2.6</v>
      </c>
      <c r="T65" s="4"/>
      <c r="U65" s="9">
        <f t="shared" si="19"/>
        <v>22.69230769230769</v>
      </c>
      <c r="V65" s="9">
        <f t="shared" si="20"/>
        <v>22.69230769230769</v>
      </c>
      <c r="W65" s="9">
        <v>3.2</v>
      </c>
      <c r="X65" s="9">
        <v>7.8</v>
      </c>
      <c r="Y65" s="9">
        <v>8.6</v>
      </c>
      <c r="Z65" s="9">
        <v>10.6</v>
      </c>
      <c r="AA65" s="9">
        <v>11.2</v>
      </c>
      <c r="AB65" s="9">
        <v>9.4</v>
      </c>
      <c r="AC65" s="9">
        <v>10</v>
      </c>
      <c r="AD65" s="9">
        <v>0</v>
      </c>
      <c r="AE65" s="9">
        <v>0</v>
      </c>
      <c r="AF65" s="9">
        <v>0</v>
      </c>
      <c r="AG65" s="20" t="s">
        <v>74</v>
      </c>
      <c r="AH65" s="9">
        <f t="shared" si="26"/>
        <v>0</v>
      </c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</row>
    <row r="66" spans="1:49" x14ac:dyDescent="0.25">
      <c r="A66" s="9" t="s">
        <v>116</v>
      </c>
      <c r="B66" s="9" t="s">
        <v>41</v>
      </c>
      <c r="C66" s="9">
        <v>143</v>
      </c>
      <c r="D66" s="9">
        <v>199</v>
      </c>
      <c r="E66" s="9">
        <v>116</v>
      </c>
      <c r="F66" s="9">
        <v>67</v>
      </c>
      <c r="G66" s="9"/>
      <c r="H66" s="9">
        <f t="shared" si="15"/>
        <v>67</v>
      </c>
      <c r="I66" s="6">
        <v>0.3</v>
      </c>
      <c r="J66" s="9">
        <v>60</v>
      </c>
      <c r="K66" s="9" t="s">
        <v>38</v>
      </c>
      <c r="L66" s="9"/>
      <c r="M66" s="9">
        <v>131</v>
      </c>
      <c r="N66" s="9">
        <f t="shared" si="16"/>
        <v>-15</v>
      </c>
      <c r="O66" s="9">
        <f t="shared" si="17"/>
        <v>92</v>
      </c>
      <c r="P66" s="9">
        <v>24</v>
      </c>
      <c r="Q66" s="9">
        <v>95</v>
      </c>
      <c r="R66" s="9"/>
      <c r="S66" s="9">
        <f t="shared" si="18"/>
        <v>18.399999999999999</v>
      </c>
      <c r="T66" s="4">
        <f t="shared" si="25"/>
        <v>114</v>
      </c>
      <c r="U66" s="9">
        <f t="shared" si="19"/>
        <v>15.000000000000002</v>
      </c>
      <c r="V66" s="9">
        <f t="shared" si="20"/>
        <v>8.804347826086957</v>
      </c>
      <c r="W66" s="9">
        <v>17.2</v>
      </c>
      <c r="X66" s="9">
        <v>15</v>
      </c>
      <c r="Y66" s="9">
        <v>22.2</v>
      </c>
      <c r="Z66" s="9">
        <v>12.8</v>
      </c>
      <c r="AA66" s="9">
        <v>24.8</v>
      </c>
      <c r="AB66" s="9">
        <v>22</v>
      </c>
      <c r="AC66" s="9">
        <v>6</v>
      </c>
      <c r="AD66" s="9">
        <v>25</v>
      </c>
      <c r="AE66" s="9">
        <v>15.8</v>
      </c>
      <c r="AF66" s="9">
        <v>24.4</v>
      </c>
      <c r="AG66" s="9"/>
      <c r="AH66" s="9">
        <f t="shared" si="26"/>
        <v>34.199999999999996</v>
      </c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</row>
    <row r="67" spans="1:49" x14ac:dyDescent="0.25">
      <c r="A67" s="9" t="s">
        <v>117</v>
      </c>
      <c r="B67" s="9" t="s">
        <v>41</v>
      </c>
      <c r="C67" s="9">
        <v>1912</v>
      </c>
      <c r="D67" s="9">
        <v>4649</v>
      </c>
      <c r="E67" s="9">
        <v>1328</v>
      </c>
      <c r="F67" s="9">
        <v>1506</v>
      </c>
      <c r="G67" s="9">
        <f>VLOOKUP(A67,[1]TDSheet!$A:$B,2,0)</f>
        <v>50</v>
      </c>
      <c r="H67" s="9">
        <f t="shared" si="15"/>
        <v>1456</v>
      </c>
      <c r="I67" s="6">
        <v>0.41</v>
      </c>
      <c r="J67" s="9">
        <v>50</v>
      </c>
      <c r="K67" s="9" t="s">
        <v>38</v>
      </c>
      <c r="L67" s="9"/>
      <c r="M67" s="9">
        <v>1534</v>
      </c>
      <c r="N67" s="9">
        <f t="shared" si="16"/>
        <v>-206</v>
      </c>
      <c r="O67" s="9">
        <f t="shared" si="17"/>
        <v>1228</v>
      </c>
      <c r="P67" s="9">
        <v>100</v>
      </c>
      <c r="Q67" s="9">
        <v>717</v>
      </c>
      <c r="R67" s="9">
        <v>718</v>
      </c>
      <c r="S67" s="9">
        <f t="shared" si="18"/>
        <v>245.6</v>
      </c>
      <c r="T67" s="4">
        <f t="shared" si="25"/>
        <v>793</v>
      </c>
      <c r="U67" s="9">
        <f t="shared" si="19"/>
        <v>15</v>
      </c>
      <c r="V67" s="9">
        <f t="shared" si="20"/>
        <v>11.771172638436482</v>
      </c>
      <c r="W67" s="9">
        <v>273.60000000000002</v>
      </c>
      <c r="X67" s="9">
        <v>283.39999999999998</v>
      </c>
      <c r="Y67" s="9">
        <v>309</v>
      </c>
      <c r="Z67" s="9">
        <v>270.60000000000002</v>
      </c>
      <c r="AA67" s="9">
        <v>254.6</v>
      </c>
      <c r="AB67" s="9">
        <v>162</v>
      </c>
      <c r="AC67" s="9">
        <v>255.8</v>
      </c>
      <c r="AD67" s="9">
        <v>295.60000000000002</v>
      </c>
      <c r="AE67" s="9">
        <v>177.8</v>
      </c>
      <c r="AF67" s="9">
        <v>224.2</v>
      </c>
      <c r="AG67" s="9"/>
      <c r="AH67" s="9">
        <f t="shared" si="26"/>
        <v>325.13</v>
      </c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</row>
    <row r="68" spans="1:49" x14ac:dyDescent="0.25">
      <c r="A68" s="9" t="s">
        <v>118</v>
      </c>
      <c r="B68" s="9" t="s">
        <v>37</v>
      </c>
      <c r="C68" s="9">
        <v>1013.25</v>
      </c>
      <c r="D68" s="9">
        <v>778.25599999999997</v>
      </c>
      <c r="E68" s="9">
        <v>492.98</v>
      </c>
      <c r="F68" s="9">
        <v>800.85299999999995</v>
      </c>
      <c r="G68" s="9">
        <f>VLOOKUP(A68,[1]TDSheet!$A:$B,2,0)</f>
        <v>98.423000000000002</v>
      </c>
      <c r="H68" s="9">
        <f t="shared" si="15"/>
        <v>702.43</v>
      </c>
      <c r="I68" s="6">
        <v>1</v>
      </c>
      <c r="J68" s="9">
        <v>50</v>
      </c>
      <c r="K68" s="9" t="s">
        <v>38</v>
      </c>
      <c r="L68" s="9"/>
      <c r="M68" s="9">
        <v>582.27300000000002</v>
      </c>
      <c r="N68" s="9">
        <f t="shared" si="16"/>
        <v>-89.293000000000006</v>
      </c>
      <c r="O68" s="9">
        <f t="shared" si="17"/>
        <v>308.60700000000003</v>
      </c>
      <c r="P68" s="9">
        <v>184.37299999999999</v>
      </c>
      <c r="Q68" s="9">
        <v>120</v>
      </c>
      <c r="R68" s="9"/>
      <c r="S68" s="9">
        <f t="shared" si="18"/>
        <v>61.721400000000003</v>
      </c>
      <c r="T68" s="4">
        <f t="shared" si="25"/>
        <v>103.39100000000008</v>
      </c>
      <c r="U68" s="9">
        <f t="shared" si="19"/>
        <v>15</v>
      </c>
      <c r="V68" s="9">
        <f t="shared" si="20"/>
        <v>13.324875974945479</v>
      </c>
      <c r="W68" s="9">
        <v>64.989200000000011</v>
      </c>
      <c r="X68" s="9">
        <v>82.476799999999997</v>
      </c>
      <c r="Y68" s="9">
        <v>116.29600000000001</v>
      </c>
      <c r="Z68" s="9">
        <v>67.666399999999996</v>
      </c>
      <c r="AA68" s="9">
        <v>54.068199999999997</v>
      </c>
      <c r="AB68" s="9">
        <v>90.557999999999993</v>
      </c>
      <c r="AC68" s="9">
        <v>58.315199999999997</v>
      </c>
      <c r="AD68" s="9">
        <v>77.043800000000005</v>
      </c>
      <c r="AE68" s="9">
        <v>68.825599999999994</v>
      </c>
      <c r="AF68" s="9">
        <v>62.052600000000012</v>
      </c>
      <c r="AG68" s="9"/>
      <c r="AH68" s="9">
        <f t="shared" si="26"/>
        <v>103.39100000000008</v>
      </c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</row>
    <row r="69" spans="1:49" x14ac:dyDescent="0.25">
      <c r="A69" s="9" t="s">
        <v>119</v>
      </c>
      <c r="B69" s="9" t="s">
        <v>41</v>
      </c>
      <c r="C69" s="9">
        <v>71</v>
      </c>
      <c r="D69" s="9">
        <v>177</v>
      </c>
      <c r="E69" s="9">
        <v>63</v>
      </c>
      <c r="F69" s="9">
        <v>75</v>
      </c>
      <c r="G69" s="9"/>
      <c r="H69" s="9">
        <f t="shared" si="15"/>
        <v>75</v>
      </c>
      <c r="I69" s="6">
        <v>0.35</v>
      </c>
      <c r="J69" s="9">
        <v>50</v>
      </c>
      <c r="K69" s="9" t="s">
        <v>38</v>
      </c>
      <c r="L69" s="9"/>
      <c r="M69" s="9">
        <v>85</v>
      </c>
      <c r="N69" s="9">
        <f t="shared" si="16"/>
        <v>-22</v>
      </c>
      <c r="O69" s="9">
        <f t="shared" si="17"/>
        <v>63</v>
      </c>
      <c r="P69" s="9"/>
      <c r="Q69" s="9">
        <v>16</v>
      </c>
      <c r="R69" s="9"/>
      <c r="S69" s="9">
        <f t="shared" si="18"/>
        <v>12.6</v>
      </c>
      <c r="T69" s="4">
        <f t="shared" si="25"/>
        <v>98</v>
      </c>
      <c r="U69" s="9">
        <f t="shared" si="19"/>
        <v>15</v>
      </c>
      <c r="V69" s="9">
        <f t="shared" si="20"/>
        <v>7.2222222222222223</v>
      </c>
      <c r="W69" s="9">
        <v>8.1999999999999993</v>
      </c>
      <c r="X69" s="9">
        <v>11</v>
      </c>
      <c r="Y69" s="9">
        <v>14.8</v>
      </c>
      <c r="Z69" s="9">
        <v>9.4</v>
      </c>
      <c r="AA69" s="9">
        <v>10.4</v>
      </c>
      <c r="AB69" s="9">
        <v>9.8000000000000007</v>
      </c>
      <c r="AC69" s="9">
        <v>6.8</v>
      </c>
      <c r="AD69" s="9">
        <v>8.4</v>
      </c>
      <c r="AE69" s="9">
        <v>9.4</v>
      </c>
      <c r="AF69" s="9">
        <v>8</v>
      </c>
      <c r="AG69" s="9"/>
      <c r="AH69" s="9">
        <f t="shared" si="26"/>
        <v>34.299999999999997</v>
      </c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</row>
    <row r="70" spans="1:49" x14ac:dyDescent="0.25">
      <c r="A70" s="16" t="s">
        <v>120</v>
      </c>
      <c r="B70" s="16" t="s">
        <v>37</v>
      </c>
      <c r="C70" s="16"/>
      <c r="D70" s="16"/>
      <c r="E70" s="16"/>
      <c r="F70" s="16"/>
      <c r="G70" s="16"/>
      <c r="H70" s="16">
        <f t="shared" ref="H70:H101" si="27">F70-G70</f>
        <v>0</v>
      </c>
      <c r="I70" s="17">
        <v>0</v>
      </c>
      <c r="J70" s="16"/>
      <c r="K70" s="16" t="s">
        <v>38</v>
      </c>
      <c r="L70" s="16"/>
      <c r="M70" s="16">
        <v>16</v>
      </c>
      <c r="N70" s="16">
        <f t="shared" ref="N70:N101" si="28">E70-M70</f>
        <v>-16</v>
      </c>
      <c r="O70" s="16">
        <f t="shared" ref="O70:O101" si="29">E70-P70</f>
        <v>0</v>
      </c>
      <c r="P70" s="16"/>
      <c r="Q70" s="16">
        <v>0</v>
      </c>
      <c r="R70" s="16"/>
      <c r="S70" s="16">
        <f t="shared" ref="S70:S101" si="30">O70/5</f>
        <v>0</v>
      </c>
      <c r="T70" s="18"/>
      <c r="U70" s="16" t="e">
        <f t="shared" ref="U70:U101" si="31">(H70+Q70+R70+T70)/S70</f>
        <v>#DIV/0!</v>
      </c>
      <c r="V70" s="16" t="e">
        <f t="shared" ref="V70:V101" si="32">(H70+Q70+R70)/S70</f>
        <v>#DIV/0!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 t="s">
        <v>121</v>
      </c>
      <c r="AH70" s="16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</row>
    <row r="71" spans="1:49" x14ac:dyDescent="0.25">
      <c r="A71" s="8" t="s">
        <v>99</v>
      </c>
      <c r="B71" s="9" t="s">
        <v>41</v>
      </c>
      <c r="C71" s="9">
        <v>36</v>
      </c>
      <c r="D71" s="9">
        <v>1308</v>
      </c>
      <c r="E71" s="9">
        <v>297</v>
      </c>
      <c r="F71" s="21">
        <f>1+F50</f>
        <v>41</v>
      </c>
      <c r="G71" s="9"/>
      <c r="H71" s="9">
        <f t="shared" si="27"/>
        <v>41</v>
      </c>
      <c r="I71" s="6">
        <v>0.41</v>
      </c>
      <c r="J71" s="9">
        <v>50</v>
      </c>
      <c r="K71" s="9" t="s">
        <v>38</v>
      </c>
      <c r="L71" s="9"/>
      <c r="M71" s="9">
        <v>869</v>
      </c>
      <c r="N71" s="9">
        <f t="shared" si="28"/>
        <v>-572</v>
      </c>
      <c r="O71" s="9">
        <f t="shared" si="29"/>
        <v>297</v>
      </c>
      <c r="P71" s="9"/>
      <c r="Q71" s="9">
        <v>750</v>
      </c>
      <c r="R71" s="9">
        <v>750</v>
      </c>
      <c r="S71" s="9">
        <f t="shared" si="30"/>
        <v>59.4</v>
      </c>
      <c r="T71" s="4"/>
      <c r="U71" s="9">
        <f t="shared" si="31"/>
        <v>25.942760942760945</v>
      </c>
      <c r="V71" s="9">
        <f t="shared" si="32"/>
        <v>25.942760942760945</v>
      </c>
      <c r="W71" s="9">
        <v>155.4</v>
      </c>
      <c r="X71" s="9">
        <v>70.8</v>
      </c>
      <c r="Y71" s="9">
        <v>77.2</v>
      </c>
      <c r="Z71" s="9">
        <v>122.4</v>
      </c>
      <c r="AA71" s="9">
        <v>168.2</v>
      </c>
      <c r="AB71" s="9">
        <v>97.6</v>
      </c>
      <c r="AC71" s="9">
        <v>131.19999999999999</v>
      </c>
      <c r="AD71" s="9">
        <v>115.8</v>
      </c>
      <c r="AE71" s="9">
        <v>51.4</v>
      </c>
      <c r="AF71" s="9">
        <v>131.80000000000001</v>
      </c>
      <c r="AG71" s="9"/>
      <c r="AH71" s="9">
        <f>I71*T71</f>
        <v>0</v>
      </c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</row>
    <row r="72" spans="1:49" x14ac:dyDescent="0.25">
      <c r="A72" s="8" t="s">
        <v>101</v>
      </c>
      <c r="B72" s="9" t="s">
        <v>37</v>
      </c>
      <c r="C72" s="9">
        <v>107.324</v>
      </c>
      <c r="D72" s="9">
        <v>283.58199999999999</v>
      </c>
      <c r="E72" s="9">
        <v>89.63</v>
      </c>
      <c r="F72" s="21">
        <f>235.911+F51</f>
        <v>265.29300000000001</v>
      </c>
      <c r="G72" s="9"/>
      <c r="H72" s="9">
        <f t="shared" si="27"/>
        <v>265.29300000000001</v>
      </c>
      <c r="I72" s="6">
        <v>1</v>
      </c>
      <c r="J72" s="9">
        <v>50</v>
      </c>
      <c r="K72" s="9" t="s">
        <v>38</v>
      </c>
      <c r="L72" s="9"/>
      <c r="M72" s="9">
        <v>100.2</v>
      </c>
      <c r="N72" s="9">
        <f t="shared" si="28"/>
        <v>-10.570000000000007</v>
      </c>
      <c r="O72" s="9">
        <f t="shared" si="29"/>
        <v>89.63</v>
      </c>
      <c r="P72" s="9"/>
      <c r="Q72" s="9">
        <v>70</v>
      </c>
      <c r="R72" s="9"/>
      <c r="S72" s="9">
        <f t="shared" si="30"/>
        <v>17.925999999999998</v>
      </c>
      <c r="T72" s="4"/>
      <c r="U72" s="9">
        <f t="shared" si="31"/>
        <v>18.704284279817028</v>
      </c>
      <c r="V72" s="9">
        <f t="shared" si="32"/>
        <v>18.704284279817028</v>
      </c>
      <c r="W72" s="9">
        <v>22.881399999999999</v>
      </c>
      <c r="X72" s="9">
        <v>28.884399999999999</v>
      </c>
      <c r="Y72" s="9">
        <v>24.8414</v>
      </c>
      <c r="Z72" s="9">
        <v>25.869399999999999</v>
      </c>
      <c r="AA72" s="9">
        <v>22.477799999999991</v>
      </c>
      <c r="AB72" s="9">
        <v>10.4636</v>
      </c>
      <c r="AC72" s="9">
        <v>20.153400000000001</v>
      </c>
      <c r="AD72" s="9">
        <v>17.823599999999999</v>
      </c>
      <c r="AE72" s="9">
        <v>10.4872</v>
      </c>
      <c r="AF72" s="9">
        <v>19.265799999999999</v>
      </c>
      <c r="AG72" s="9"/>
      <c r="AH72" s="9">
        <f>I72*T72</f>
        <v>0</v>
      </c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</row>
    <row r="73" spans="1:49" x14ac:dyDescent="0.25">
      <c r="A73" s="9" t="s">
        <v>122</v>
      </c>
      <c r="B73" s="9" t="s">
        <v>41</v>
      </c>
      <c r="C73" s="9">
        <v>84</v>
      </c>
      <c r="D73" s="9">
        <v>209</v>
      </c>
      <c r="E73" s="9">
        <v>105</v>
      </c>
      <c r="F73" s="9">
        <v>117</v>
      </c>
      <c r="G73" s="9"/>
      <c r="H73" s="9">
        <f t="shared" si="27"/>
        <v>117</v>
      </c>
      <c r="I73" s="6">
        <v>0.3</v>
      </c>
      <c r="J73" s="9">
        <v>50</v>
      </c>
      <c r="K73" s="9" t="s">
        <v>38</v>
      </c>
      <c r="L73" s="9"/>
      <c r="M73" s="9">
        <v>111</v>
      </c>
      <c r="N73" s="9">
        <f t="shared" si="28"/>
        <v>-6</v>
      </c>
      <c r="O73" s="9">
        <f t="shared" si="29"/>
        <v>105</v>
      </c>
      <c r="P73" s="9"/>
      <c r="Q73" s="9">
        <v>130</v>
      </c>
      <c r="R73" s="9"/>
      <c r="S73" s="9">
        <f t="shared" si="30"/>
        <v>21</v>
      </c>
      <c r="T73" s="4">
        <f t="shared" ref="T71:T74" si="33">15*S73-R73-Q73-H73</f>
        <v>68</v>
      </c>
      <c r="U73" s="9">
        <f t="shared" si="31"/>
        <v>15</v>
      </c>
      <c r="V73" s="9">
        <f t="shared" si="32"/>
        <v>11.761904761904763</v>
      </c>
      <c r="W73" s="9">
        <v>24.4</v>
      </c>
      <c r="X73" s="9">
        <v>25.8</v>
      </c>
      <c r="Y73" s="9">
        <v>20.2</v>
      </c>
      <c r="Z73" s="9">
        <v>25.8</v>
      </c>
      <c r="AA73" s="9">
        <v>17.399999999999999</v>
      </c>
      <c r="AB73" s="9">
        <v>15.2</v>
      </c>
      <c r="AC73" s="9">
        <v>25.8</v>
      </c>
      <c r="AD73" s="9">
        <v>3.6</v>
      </c>
      <c r="AE73" s="9">
        <v>8.6</v>
      </c>
      <c r="AF73" s="9">
        <v>4.4000000000000004</v>
      </c>
      <c r="AG73" s="9"/>
      <c r="AH73" s="9">
        <f>I73*T73</f>
        <v>20.399999999999999</v>
      </c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</row>
    <row r="74" spans="1:49" x14ac:dyDescent="0.25">
      <c r="A74" s="9" t="s">
        <v>57</v>
      </c>
      <c r="B74" s="9" t="s">
        <v>41</v>
      </c>
      <c r="C74" s="9">
        <v>175</v>
      </c>
      <c r="D74" s="9">
        <v>333</v>
      </c>
      <c r="E74" s="9">
        <v>181</v>
      </c>
      <c r="F74" s="9">
        <v>86</v>
      </c>
      <c r="G74" s="9">
        <f>VLOOKUP(A74,[1]TDSheet!$A:$B,2,0)</f>
        <v>30</v>
      </c>
      <c r="H74" s="9">
        <f t="shared" si="27"/>
        <v>56</v>
      </c>
      <c r="I74" s="6">
        <v>0.18</v>
      </c>
      <c r="J74" s="9">
        <v>50</v>
      </c>
      <c r="K74" s="9" t="s">
        <v>38</v>
      </c>
      <c r="L74" s="9"/>
      <c r="M74" s="9">
        <v>204</v>
      </c>
      <c r="N74" s="9">
        <f t="shared" si="28"/>
        <v>-23</v>
      </c>
      <c r="O74" s="9">
        <f t="shared" si="29"/>
        <v>181</v>
      </c>
      <c r="P74" s="9"/>
      <c r="Q74" s="9">
        <v>144</v>
      </c>
      <c r="R74" s="9">
        <v>144</v>
      </c>
      <c r="S74" s="9">
        <f t="shared" si="30"/>
        <v>36.200000000000003</v>
      </c>
      <c r="T74" s="4">
        <f t="shared" si="33"/>
        <v>199</v>
      </c>
      <c r="U74" s="9">
        <f t="shared" si="31"/>
        <v>14.999999999999998</v>
      </c>
      <c r="V74" s="9">
        <f t="shared" si="32"/>
        <v>9.5027624309392262</v>
      </c>
      <c r="W74" s="9">
        <v>36.4</v>
      </c>
      <c r="X74" s="9">
        <v>32.4</v>
      </c>
      <c r="Y74" s="9">
        <v>35.6</v>
      </c>
      <c r="Z74" s="9">
        <v>35.799999999999997</v>
      </c>
      <c r="AA74" s="9">
        <v>55.6</v>
      </c>
      <c r="AB74" s="9">
        <v>30.2</v>
      </c>
      <c r="AC74" s="9">
        <v>48.2</v>
      </c>
      <c r="AD74" s="9">
        <v>38.4</v>
      </c>
      <c r="AE74" s="9">
        <v>66</v>
      </c>
      <c r="AF74" s="9">
        <v>52.6</v>
      </c>
      <c r="AG74" s="9"/>
      <c r="AH74" s="9">
        <f>I74*T74</f>
        <v>35.82</v>
      </c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</row>
    <row r="75" spans="1:49" x14ac:dyDescent="0.25">
      <c r="A75" s="16" t="s">
        <v>123</v>
      </c>
      <c r="B75" s="16" t="s">
        <v>41</v>
      </c>
      <c r="C75" s="16"/>
      <c r="D75" s="16">
        <v>30</v>
      </c>
      <c r="E75" s="16">
        <v>30</v>
      </c>
      <c r="F75" s="16"/>
      <c r="G75" s="16"/>
      <c r="H75" s="16">
        <f t="shared" si="27"/>
        <v>0</v>
      </c>
      <c r="I75" s="17">
        <v>0</v>
      </c>
      <c r="J75" s="16"/>
      <c r="K75" s="19" t="s">
        <v>56</v>
      </c>
      <c r="L75" s="16"/>
      <c r="M75" s="16">
        <v>30</v>
      </c>
      <c r="N75" s="16">
        <f t="shared" si="28"/>
        <v>0</v>
      </c>
      <c r="O75" s="16">
        <f t="shared" si="29"/>
        <v>0</v>
      </c>
      <c r="P75" s="16">
        <v>30</v>
      </c>
      <c r="Q75" s="16"/>
      <c r="R75" s="16"/>
      <c r="S75" s="16">
        <f t="shared" si="30"/>
        <v>0</v>
      </c>
      <c r="T75" s="18"/>
      <c r="U75" s="16" t="e">
        <f t="shared" si="31"/>
        <v>#DIV/0!</v>
      </c>
      <c r="V75" s="16" t="e">
        <f t="shared" si="32"/>
        <v>#DIV/0!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/>
      <c r="AH75" s="16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</row>
    <row r="76" spans="1:49" x14ac:dyDescent="0.25">
      <c r="A76" s="16" t="s">
        <v>124</v>
      </c>
      <c r="B76" s="16" t="s">
        <v>37</v>
      </c>
      <c r="C76" s="16"/>
      <c r="D76" s="16">
        <v>60.753</v>
      </c>
      <c r="E76" s="16">
        <v>60.753</v>
      </c>
      <c r="F76" s="16"/>
      <c r="G76" s="16"/>
      <c r="H76" s="16">
        <f t="shared" si="27"/>
        <v>0</v>
      </c>
      <c r="I76" s="17">
        <v>0</v>
      </c>
      <c r="J76" s="16"/>
      <c r="K76" s="19" t="s">
        <v>56</v>
      </c>
      <c r="L76" s="16"/>
      <c r="M76" s="16">
        <v>60.753</v>
      </c>
      <c r="N76" s="16">
        <f t="shared" si="28"/>
        <v>0</v>
      </c>
      <c r="O76" s="16">
        <f t="shared" si="29"/>
        <v>0</v>
      </c>
      <c r="P76" s="16">
        <v>60.753</v>
      </c>
      <c r="Q76" s="16"/>
      <c r="R76" s="16"/>
      <c r="S76" s="16">
        <f t="shared" si="30"/>
        <v>0</v>
      </c>
      <c r="T76" s="18"/>
      <c r="U76" s="16" t="e">
        <f t="shared" si="31"/>
        <v>#DIV/0!</v>
      </c>
      <c r="V76" s="16" t="e">
        <f t="shared" si="32"/>
        <v>#DIV/0!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/>
      <c r="AH76" s="16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</row>
    <row r="77" spans="1:49" x14ac:dyDescent="0.25">
      <c r="A77" s="9" t="s">
        <v>125</v>
      </c>
      <c r="B77" s="9" t="s">
        <v>41</v>
      </c>
      <c r="C77" s="9">
        <v>35</v>
      </c>
      <c r="D77" s="9">
        <v>1</v>
      </c>
      <c r="E77" s="9">
        <v>4</v>
      </c>
      <c r="F77" s="9">
        <v>27</v>
      </c>
      <c r="G77" s="9"/>
      <c r="H77" s="9">
        <f t="shared" si="27"/>
        <v>27</v>
      </c>
      <c r="I77" s="6">
        <v>0.22</v>
      </c>
      <c r="J77" s="9">
        <v>120</v>
      </c>
      <c r="K77" s="9" t="s">
        <v>38</v>
      </c>
      <c r="L77" s="9"/>
      <c r="M77" s="9">
        <v>4</v>
      </c>
      <c r="N77" s="9">
        <f t="shared" si="28"/>
        <v>0</v>
      </c>
      <c r="O77" s="9">
        <f t="shared" si="29"/>
        <v>4</v>
      </c>
      <c r="P77" s="9"/>
      <c r="Q77" s="9">
        <v>0</v>
      </c>
      <c r="R77" s="9"/>
      <c r="S77" s="9">
        <f t="shared" si="30"/>
        <v>0.8</v>
      </c>
      <c r="T77" s="4"/>
      <c r="U77" s="9">
        <f t="shared" si="31"/>
        <v>33.75</v>
      </c>
      <c r="V77" s="9">
        <f t="shared" si="32"/>
        <v>33.75</v>
      </c>
      <c r="W77" s="9">
        <v>1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22" t="s">
        <v>180</v>
      </c>
      <c r="AH77" s="9">
        <f>I77*T77</f>
        <v>0</v>
      </c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</row>
    <row r="78" spans="1:49" x14ac:dyDescent="0.25">
      <c r="A78" s="16" t="s">
        <v>126</v>
      </c>
      <c r="B78" s="16" t="s">
        <v>37</v>
      </c>
      <c r="C78" s="16"/>
      <c r="D78" s="16">
        <v>24</v>
      </c>
      <c r="E78" s="16"/>
      <c r="F78" s="16">
        <v>24</v>
      </c>
      <c r="G78" s="16">
        <f>VLOOKUP(A78,[1]TDSheet!$A:$B,2,0)</f>
        <v>24</v>
      </c>
      <c r="H78" s="16">
        <f t="shared" si="27"/>
        <v>0</v>
      </c>
      <c r="I78" s="17">
        <v>0</v>
      </c>
      <c r="J78" s="16"/>
      <c r="K78" s="16" t="s">
        <v>38</v>
      </c>
      <c r="L78" s="16"/>
      <c r="M78" s="16"/>
      <c r="N78" s="16">
        <f t="shared" si="28"/>
        <v>0</v>
      </c>
      <c r="O78" s="16">
        <f t="shared" si="29"/>
        <v>0</v>
      </c>
      <c r="P78" s="16"/>
      <c r="Q78" s="16">
        <v>0</v>
      </c>
      <c r="R78" s="16"/>
      <c r="S78" s="16">
        <f t="shared" si="30"/>
        <v>0</v>
      </c>
      <c r="T78" s="18"/>
      <c r="U78" s="16" t="e">
        <f t="shared" si="31"/>
        <v>#DIV/0!</v>
      </c>
      <c r="V78" s="16" t="e">
        <f t="shared" si="32"/>
        <v>#DIV/0!</v>
      </c>
      <c r="W78" s="16">
        <v>0</v>
      </c>
      <c r="X78" s="16">
        <v>0</v>
      </c>
      <c r="Y78" s="16">
        <v>6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 t="s">
        <v>121</v>
      </c>
      <c r="AH78" s="16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</row>
    <row r="79" spans="1:49" x14ac:dyDescent="0.25">
      <c r="A79" s="9" t="s">
        <v>127</v>
      </c>
      <c r="B79" s="9" t="s">
        <v>41</v>
      </c>
      <c r="C79" s="9">
        <v>1205</v>
      </c>
      <c r="D79" s="9">
        <v>2340</v>
      </c>
      <c r="E79" s="9">
        <v>889.65599999999995</v>
      </c>
      <c r="F79" s="9">
        <v>891</v>
      </c>
      <c r="G79" s="9">
        <f>VLOOKUP(A79,[1]TDSheet!$A:$B,2,0)</f>
        <v>80</v>
      </c>
      <c r="H79" s="9">
        <f t="shared" si="27"/>
        <v>811</v>
      </c>
      <c r="I79" s="6">
        <v>0.35</v>
      </c>
      <c r="J79" s="9">
        <v>50</v>
      </c>
      <c r="K79" s="9" t="s">
        <v>38</v>
      </c>
      <c r="L79" s="9"/>
      <c r="M79" s="9">
        <v>944</v>
      </c>
      <c r="N79" s="9">
        <f t="shared" si="28"/>
        <v>-54.344000000000051</v>
      </c>
      <c r="O79" s="9">
        <f t="shared" si="29"/>
        <v>833.65599999999995</v>
      </c>
      <c r="P79" s="9">
        <v>56</v>
      </c>
      <c r="Q79" s="9">
        <v>420</v>
      </c>
      <c r="R79" s="9">
        <v>420</v>
      </c>
      <c r="S79" s="9">
        <f t="shared" si="30"/>
        <v>166.7312</v>
      </c>
      <c r="T79" s="4">
        <f t="shared" ref="T79:T81" si="34">15*S79-R79-Q79-H79</f>
        <v>849.96799999999985</v>
      </c>
      <c r="U79" s="9">
        <f t="shared" si="31"/>
        <v>14.999999999999998</v>
      </c>
      <c r="V79" s="9">
        <f t="shared" si="32"/>
        <v>9.9021658813707329</v>
      </c>
      <c r="W79" s="9">
        <v>162.80000000000001</v>
      </c>
      <c r="X79" s="9">
        <v>169.4</v>
      </c>
      <c r="Y79" s="9">
        <v>188.8</v>
      </c>
      <c r="Z79" s="9">
        <v>165.4</v>
      </c>
      <c r="AA79" s="9">
        <v>142.6</v>
      </c>
      <c r="AB79" s="9">
        <v>114.6</v>
      </c>
      <c r="AC79" s="9">
        <v>173.6</v>
      </c>
      <c r="AD79" s="9">
        <v>169</v>
      </c>
      <c r="AE79" s="9">
        <v>124</v>
      </c>
      <c r="AF79" s="9">
        <v>132.19999999999999</v>
      </c>
      <c r="AG79" s="9"/>
      <c r="AH79" s="9">
        <f>I79*T79</f>
        <v>297.48879999999991</v>
      </c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</row>
    <row r="80" spans="1:49" x14ac:dyDescent="0.25">
      <c r="A80" s="9" t="s">
        <v>128</v>
      </c>
      <c r="B80" s="9" t="s">
        <v>41</v>
      </c>
      <c r="C80" s="9">
        <v>57</v>
      </c>
      <c r="D80" s="9">
        <v>165</v>
      </c>
      <c r="E80" s="9">
        <v>50</v>
      </c>
      <c r="F80" s="9">
        <v>104</v>
      </c>
      <c r="G80" s="9"/>
      <c r="H80" s="9">
        <f t="shared" si="27"/>
        <v>104</v>
      </c>
      <c r="I80" s="6">
        <v>0.35</v>
      </c>
      <c r="J80" s="9"/>
      <c r="K80" s="9" t="s">
        <v>38</v>
      </c>
      <c r="L80" s="9"/>
      <c r="M80" s="9">
        <v>75</v>
      </c>
      <c r="N80" s="9">
        <f t="shared" si="28"/>
        <v>-25</v>
      </c>
      <c r="O80" s="9">
        <f t="shared" si="29"/>
        <v>50</v>
      </c>
      <c r="P80" s="9"/>
      <c r="Q80" s="9">
        <v>0</v>
      </c>
      <c r="R80" s="9"/>
      <c r="S80" s="9">
        <f t="shared" si="30"/>
        <v>10</v>
      </c>
      <c r="T80" s="4">
        <f t="shared" si="34"/>
        <v>46</v>
      </c>
      <c r="U80" s="9">
        <f t="shared" si="31"/>
        <v>15</v>
      </c>
      <c r="V80" s="9">
        <f t="shared" si="32"/>
        <v>10.4</v>
      </c>
      <c r="W80" s="9">
        <v>6.2</v>
      </c>
      <c r="X80" s="9">
        <v>0.6</v>
      </c>
      <c r="Y80" s="9">
        <v>12.2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 t="s">
        <v>92</v>
      </c>
      <c r="AH80" s="9">
        <f>I80*T80</f>
        <v>16.099999999999998</v>
      </c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</row>
    <row r="81" spans="1:49" x14ac:dyDescent="0.25">
      <c r="A81" s="9" t="s">
        <v>129</v>
      </c>
      <c r="B81" s="9" t="s">
        <v>37</v>
      </c>
      <c r="C81" s="9">
        <v>378.267</v>
      </c>
      <c r="D81" s="9">
        <v>300.27499999999998</v>
      </c>
      <c r="E81" s="9">
        <v>240.86699999999999</v>
      </c>
      <c r="F81" s="9">
        <v>205.47800000000001</v>
      </c>
      <c r="G81" s="9">
        <f>VLOOKUP(A81,[1]TDSheet!$A:$B,2,0)</f>
        <v>26.994</v>
      </c>
      <c r="H81" s="9">
        <f t="shared" si="27"/>
        <v>178.48400000000001</v>
      </c>
      <c r="I81" s="6">
        <v>1</v>
      </c>
      <c r="J81" s="9">
        <v>50</v>
      </c>
      <c r="K81" s="9" t="s">
        <v>38</v>
      </c>
      <c r="L81" s="9"/>
      <c r="M81" s="9">
        <v>238.29599999999999</v>
      </c>
      <c r="N81" s="9">
        <f t="shared" si="28"/>
        <v>2.570999999999998</v>
      </c>
      <c r="O81" s="9">
        <f t="shared" si="29"/>
        <v>208.37099999999998</v>
      </c>
      <c r="P81" s="9">
        <v>32.496000000000002</v>
      </c>
      <c r="Q81" s="9">
        <v>169</v>
      </c>
      <c r="R81" s="9"/>
      <c r="S81" s="9">
        <f t="shared" si="30"/>
        <v>41.674199999999999</v>
      </c>
      <c r="T81" s="4">
        <f t="shared" si="34"/>
        <v>277.62899999999991</v>
      </c>
      <c r="U81" s="9">
        <f t="shared" si="31"/>
        <v>14.999999999999998</v>
      </c>
      <c r="V81" s="9">
        <f t="shared" si="32"/>
        <v>8.3381084699886276</v>
      </c>
      <c r="W81" s="9">
        <v>36.507599999999996</v>
      </c>
      <c r="X81" s="9">
        <v>38.621400000000001</v>
      </c>
      <c r="Y81" s="9">
        <v>46.474800000000002</v>
      </c>
      <c r="Z81" s="9">
        <v>53.191999999999993</v>
      </c>
      <c r="AA81" s="9">
        <v>30.695799999999998</v>
      </c>
      <c r="AB81" s="9">
        <v>40.856200000000001</v>
      </c>
      <c r="AC81" s="9">
        <v>36.972200000000001</v>
      </c>
      <c r="AD81" s="9">
        <v>32.253599999999999</v>
      </c>
      <c r="AE81" s="9">
        <v>29.294</v>
      </c>
      <c r="AF81" s="9">
        <v>20.121400000000001</v>
      </c>
      <c r="AG81" s="9"/>
      <c r="AH81" s="9">
        <f>I81*T81</f>
        <v>277.62899999999991</v>
      </c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</row>
    <row r="82" spans="1:49" x14ac:dyDescent="0.25">
      <c r="A82" s="16" t="s">
        <v>130</v>
      </c>
      <c r="B82" s="16" t="s">
        <v>41</v>
      </c>
      <c r="C82" s="16">
        <v>14</v>
      </c>
      <c r="D82" s="16"/>
      <c r="E82" s="16"/>
      <c r="F82" s="16">
        <v>14</v>
      </c>
      <c r="G82" s="16"/>
      <c r="H82" s="16">
        <f t="shared" si="27"/>
        <v>14</v>
      </c>
      <c r="I82" s="17">
        <v>0</v>
      </c>
      <c r="J82" s="16">
        <v>50</v>
      </c>
      <c r="K82" s="16" t="s">
        <v>56</v>
      </c>
      <c r="L82" s="16"/>
      <c r="M82" s="16"/>
      <c r="N82" s="16">
        <f t="shared" si="28"/>
        <v>0</v>
      </c>
      <c r="O82" s="16">
        <f t="shared" si="29"/>
        <v>0</v>
      </c>
      <c r="P82" s="16"/>
      <c r="Q82" s="16">
        <v>0</v>
      </c>
      <c r="R82" s="16"/>
      <c r="S82" s="16">
        <f t="shared" si="30"/>
        <v>0</v>
      </c>
      <c r="T82" s="18"/>
      <c r="U82" s="16" t="e">
        <f t="shared" si="31"/>
        <v>#DIV/0!</v>
      </c>
      <c r="V82" s="16" t="e">
        <f t="shared" si="32"/>
        <v>#DIV/0!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20" t="s">
        <v>74</v>
      </c>
      <c r="AH82" s="16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</row>
    <row r="83" spans="1:49" x14ac:dyDescent="0.25">
      <c r="A83" s="9" t="s">
        <v>131</v>
      </c>
      <c r="B83" s="9" t="s">
        <v>37</v>
      </c>
      <c r="C83" s="9">
        <v>344.28800000000001</v>
      </c>
      <c r="D83" s="9">
        <v>963.10599999999999</v>
      </c>
      <c r="E83" s="9">
        <v>409.69499999999999</v>
      </c>
      <c r="F83" s="9">
        <v>373.98099999999999</v>
      </c>
      <c r="G83" s="9">
        <f>VLOOKUP(A83,[1]TDSheet!$A:$B,2,0)</f>
        <v>50.212000000000003</v>
      </c>
      <c r="H83" s="9">
        <f t="shared" si="27"/>
        <v>323.76900000000001</v>
      </c>
      <c r="I83" s="6">
        <v>1</v>
      </c>
      <c r="J83" s="9">
        <v>50</v>
      </c>
      <c r="K83" s="9" t="s">
        <v>38</v>
      </c>
      <c r="L83" s="9"/>
      <c r="M83" s="9">
        <v>396.07400000000001</v>
      </c>
      <c r="N83" s="9">
        <f t="shared" si="28"/>
        <v>13.620999999999981</v>
      </c>
      <c r="O83" s="9">
        <f t="shared" si="29"/>
        <v>382.62099999999998</v>
      </c>
      <c r="P83" s="9">
        <v>27.074000000000002</v>
      </c>
      <c r="Q83" s="9">
        <v>144</v>
      </c>
      <c r="R83" s="9">
        <v>144</v>
      </c>
      <c r="S83" s="9">
        <f t="shared" si="30"/>
        <v>76.524199999999993</v>
      </c>
      <c r="T83" s="4">
        <f t="shared" ref="T83:T90" si="35">15*S83-R83-Q83-H83</f>
        <v>536.09399999999982</v>
      </c>
      <c r="U83" s="9">
        <f t="shared" si="31"/>
        <v>14.999999999999998</v>
      </c>
      <c r="V83" s="9">
        <f t="shared" si="32"/>
        <v>7.9944514284370181</v>
      </c>
      <c r="W83" s="9">
        <v>69.088400000000007</v>
      </c>
      <c r="X83" s="9">
        <v>74.110199999999992</v>
      </c>
      <c r="Y83" s="9">
        <v>63.377800000000001</v>
      </c>
      <c r="Z83" s="9">
        <v>72.193399999999997</v>
      </c>
      <c r="AA83" s="9">
        <v>44.104400000000012</v>
      </c>
      <c r="AB83" s="9">
        <v>53.6798</v>
      </c>
      <c r="AC83" s="9">
        <v>74.640200000000007</v>
      </c>
      <c r="AD83" s="9">
        <v>63.796799999999998</v>
      </c>
      <c r="AE83" s="9">
        <v>56.350199999999987</v>
      </c>
      <c r="AF83" s="9">
        <v>53.830199999999998</v>
      </c>
      <c r="AG83" s="9"/>
      <c r="AH83" s="9">
        <f t="shared" ref="AH83:AH90" si="36">I83*T83</f>
        <v>536.09399999999982</v>
      </c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</row>
    <row r="84" spans="1:49" x14ac:dyDescent="0.25">
      <c r="A84" s="9" t="s">
        <v>132</v>
      </c>
      <c r="B84" s="9" t="s">
        <v>41</v>
      </c>
      <c r="C84" s="9">
        <v>886</v>
      </c>
      <c r="D84" s="9">
        <v>3209</v>
      </c>
      <c r="E84" s="9">
        <v>1292</v>
      </c>
      <c r="F84" s="9">
        <v>16</v>
      </c>
      <c r="G84" s="9"/>
      <c r="H84" s="9">
        <f t="shared" si="27"/>
        <v>16</v>
      </c>
      <c r="I84" s="6">
        <v>0.35</v>
      </c>
      <c r="J84" s="9">
        <v>50</v>
      </c>
      <c r="K84" s="12" t="s">
        <v>53</v>
      </c>
      <c r="L84" s="9"/>
      <c r="M84" s="9">
        <v>1351</v>
      </c>
      <c r="N84" s="9">
        <f t="shared" si="28"/>
        <v>-59</v>
      </c>
      <c r="O84" s="9">
        <f t="shared" si="29"/>
        <v>1236</v>
      </c>
      <c r="P84" s="9">
        <v>56</v>
      </c>
      <c r="Q84" s="9">
        <v>850</v>
      </c>
      <c r="R84" s="9">
        <v>850</v>
      </c>
      <c r="S84" s="9">
        <f t="shared" si="30"/>
        <v>247.2</v>
      </c>
      <c r="T84" s="4">
        <v>1150</v>
      </c>
      <c r="U84" s="9">
        <f t="shared" si="31"/>
        <v>11.593851132686085</v>
      </c>
      <c r="V84" s="9">
        <f t="shared" si="32"/>
        <v>6.941747572815534</v>
      </c>
      <c r="W84" s="9">
        <v>326</v>
      </c>
      <c r="X84" s="9">
        <v>169</v>
      </c>
      <c r="Y84" s="9">
        <v>170.8</v>
      </c>
      <c r="Z84" s="9">
        <v>183.6</v>
      </c>
      <c r="AA84" s="9">
        <v>140.19999999999999</v>
      </c>
      <c r="AB84" s="9">
        <v>114.6</v>
      </c>
      <c r="AC84" s="9">
        <v>206.2</v>
      </c>
      <c r="AD84" s="9">
        <v>182</v>
      </c>
      <c r="AE84" s="9">
        <v>132.6</v>
      </c>
      <c r="AF84" s="9">
        <v>161.6</v>
      </c>
      <c r="AG84" s="9" t="s">
        <v>54</v>
      </c>
      <c r="AH84" s="9">
        <f t="shared" si="36"/>
        <v>402.5</v>
      </c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</row>
    <row r="85" spans="1:49" x14ac:dyDescent="0.25">
      <c r="A85" s="9" t="s">
        <v>133</v>
      </c>
      <c r="B85" s="9" t="s">
        <v>41</v>
      </c>
      <c r="C85" s="9">
        <v>75</v>
      </c>
      <c r="D85" s="9">
        <v>335</v>
      </c>
      <c r="E85" s="9">
        <v>105</v>
      </c>
      <c r="F85" s="9">
        <v>198</v>
      </c>
      <c r="G85" s="9"/>
      <c r="H85" s="9">
        <f t="shared" si="27"/>
        <v>198</v>
      </c>
      <c r="I85" s="6">
        <v>0.3</v>
      </c>
      <c r="J85" s="9">
        <v>50</v>
      </c>
      <c r="K85" s="9" t="s">
        <v>38</v>
      </c>
      <c r="L85" s="9"/>
      <c r="M85" s="9">
        <v>128</v>
      </c>
      <c r="N85" s="9">
        <f t="shared" si="28"/>
        <v>-23</v>
      </c>
      <c r="O85" s="9">
        <f t="shared" si="29"/>
        <v>105</v>
      </c>
      <c r="P85" s="9"/>
      <c r="Q85" s="9">
        <v>0</v>
      </c>
      <c r="R85" s="9"/>
      <c r="S85" s="9">
        <f t="shared" si="30"/>
        <v>21</v>
      </c>
      <c r="T85" s="4">
        <f t="shared" si="35"/>
        <v>117</v>
      </c>
      <c r="U85" s="9">
        <f t="shared" si="31"/>
        <v>15</v>
      </c>
      <c r="V85" s="9">
        <f t="shared" si="32"/>
        <v>9.4285714285714288</v>
      </c>
      <c r="W85" s="9">
        <v>20</v>
      </c>
      <c r="X85" s="9">
        <v>30.4</v>
      </c>
      <c r="Y85" s="9">
        <v>13.6</v>
      </c>
      <c r="Z85" s="9">
        <v>25</v>
      </c>
      <c r="AA85" s="9">
        <v>20.2</v>
      </c>
      <c r="AB85" s="9">
        <v>18.600000000000001</v>
      </c>
      <c r="AC85" s="9">
        <v>22.2</v>
      </c>
      <c r="AD85" s="9">
        <v>19</v>
      </c>
      <c r="AE85" s="9">
        <v>16.2</v>
      </c>
      <c r="AF85" s="9">
        <v>17</v>
      </c>
      <c r="AG85" s="9"/>
      <c r="AH85" s="9">
        <f t="shared" si="36"/>
        <v>35.1</v>
      </c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</row>
    <row r="86" spans="1:49" x14ac:dyDescent="0.25">
      <c r="A86" s="9" t="s">
        <v>134</v>
      </c>
      <c r="B86" s="9" t="s">
        <v>41</v>
      </c>
      <c r="C86" s="9">
        <v>62</v>
      </c>
      <c r="D86" s="9">
        <v>79</v>
      </c>
      <c r="E86" s="9">
        <v>44</v>
      </c>
      <c r="F86" s="9">
        <v>42</v>
      </c>
      <c r="G86" s="9"/>
      <c r="H86" s="9">
        <f t="shared" si="27"/>
        <v>42</v>
      </c>
      <c r="I86" s="6">
        <v>0.3</v>
      </c>
      <c r="J86" s="9">
        <v>60</v>
      </c>
      <c r="K86" s="9" t="s">
        <v>38</v>
      </c>
      <c r="L86" s="9"/>
      <c r="M86" s="9">
        <v>65</v>
      </c>
      <c r="N86" s="9">
        <f t="shared" si="28"/>
        <v>-21</v>
      </c>
      <c r="O86" s="9">
        <f t="shared" si="29"/>
        <v>44</v>
      </c>
      <c r="P86" s="9"/>
      <c r="Q86" s="9">
        <v>17</v>
      </c>
      <c r="R86" s="9"/>
      <c r="S86" s="9">
        <f t="shared" si="30"/>
        <v>8.8000000000000007</v>
      </c>
      <c r="T86" s="4">
        <f t="shared" si="35"/>
        <v>73</v>
      </c>
      <c r="U86" s="9">
        <f t="shared" si="31"/>
        <v>14.999999999999998</v>
      </c>
      <c r="V86" s="9">
        <f t="shared" si="32"/>
        <v>6.7045454545454541</v>
      </c>
      <c r="W86" s="9">
        <v>7.2</v>
      </c>
      <c r="X86" s="9">
        <v>9.6</v>
      </c>
      <c r="Y86" s="9">
        <v>10.4</v>
      </c>
      <c r="Z86" s="9">
        <v>9.8000000000000007</v>
      </c>
      <c r="AA86" s="9">
        <v>9.8000000000000007</v>
      </c>
      <c r="AB86" s="9">
        <v>18.600000000000001</v>
      </c>
      <c r="AC86" s="9">
        <v>8</v>
      </c>
      <c r="AD86" s="9">
        <v>9.1999999999999993</v>
      </c>
      <c r="AE86" s="9">
        <v>7.8</v>
      </c>
      <c r="AF86" s="9">
        <v>11</v>
      </c>
      <c r="AG86" s="9"/>
      <c r="AH86" s="9">
        <f t="shared" si="36"/>
        <v>21.9</v>
      </c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</row>
    <row r="87" spans="1:49" x14ac:dyDescent="0.25">
      <c r="A87" s="9" t="s">
        <v>135</v>
      </c>
      <c r="B87" s="9" t="s">
        <v>41</v>
      </c>
      <c r="C87" s="9">
        <v>92</v>
      </c>
      <c r="D87" s="9">
        <v>334</v>
      </c>
      <c r="E87" s="9">
        <v>149</v>
      </c>
      <c r="F87" s="9">
        <v>19</v>
      </c>
      <c r="G87" s="9"/>
      <c r="H87" s="9">
        <f t="shared" si="27"/>
        <v>19</v>
      </c>
      <c r="I87" s="6">
        <v>0.28000000000000003</v>
      </c>
      <c r="J87" s="9">
        <v>50</v>
      </c>
      <c r="K87" s="9" t="s">
        <v>38</v>
      </c>
      <c r="L87" s="9"/>
      <c r="M87" s="9">
        <v>194</v>
      </c>
      <c r="N87" s="9">
        <f t="shared" si="28"/>
        <v>-45</v>
      </c>
      <c r="O87" s="9">
        <f t="shared" si="29"/>
        <v>117</v>
      </c>
      <c r="P87" s="9">
        <v>32</v>
      </c>
      <c r="Q87" s="9">
        <v>121</v>
      </c>
      <c r="R87" s="9"/>
      <c r="S87" s="9">
        <f t="shared" si="30"/>
        <v>23.4</v>
      </c>
      <c r="T87" s="4">
        <f>14*S87-R87-Q87-H87</f>
        <v>187.59999999999997</v>
      </c>
      <c r="U87" s="9">
        <f t="shared" si="31"/>
        <v>14</v>
      </c>
      <c r="V87" s="9">
        <f t="shared" si="32"/>
        <v>5.982905982905983</v>
      </c>
      <c r="W87" s="9">
        <v>20.399999999999999</v>
      </c>
      <c r="X87" s="9">
        <v>21.6</v>
      </c>
      <c r="Y87" s="9">
        <v>21.8</v>
      </c>
      <c r="Z87" s="9">
        <v>19.8</v>
      </c>
      <c r="AA87" s="9">
        <v>18.600000000000001</v>
      </c>
      <c r="AB87" s="9">
        <v>24.4</v>
      </c>
      <c r="AC87" s="9">
        <v>18.399999999999999</v>
      </c>
      <c r="AD87" s="9">
        <v>31</v>
      </c>
      <c r="AE87" s="9">
        <v>29.2</v>
      </c>
      <c r="AF87" s="9">
        <v>23</v>
      </c>
      <c r="AG87" s="9"/>
      <c r="AH87" s="9">
        <f t="shared" si="36"/>
        <v>52.527999999999999</v>
      </c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</row>
    <row r="88" spans="1:49" x14ac:dyDescent="0.25">
      <c r="A88" s="9" t="s">
        <v>136</v>
      </c>
      <c r="B88" s="9" t="s">
        <v>41</v>
      </c>
      <c r="C88" s="9">
        <v>464</v>
      </c>
      <c r="D88" s="9">
        <v>704</v>
      </c>
      <c r="E88" s="9">
        <v>271</v>
      </c>
      <c r="F88" s="9">
        <v>316</v>
      </c>
      <c r="G88" s="9">
        <f>VLOOKUP(A88,[1]TDSheet!$A:$B,2,0)</f>
        <v>24</v>
      </c>
      <c r="H88" s="9">
        <f t="shared" si="27"/>
        <v>292</v>
      </c>
      <c r="I88" s="6">
        <v>0.28000000000000003</v>
      </c>
      <c r="J88" s="9">
        <v>45</v>
      </c>
      <c r="K88" s="12" t="s">
        <v>53</v>
      </c>
      <c r="L88" s="9"/>
      <c r="M88" s="9">
        <v>295</v>
      </c>
      <c r="N88" s="9">
        <f t="shared" si="28"/>
        <v>-24</v>
      </c>
      <c r="O88" s="9">
        <f t="shared" si="29"/>
        <v>215</v>
      </c>
      <c r="P88" s="9">
        <v>56</v>
      </c>
      <c r="Q88" s="9">
        <v>113</v>
      </c>
      <c r="R88" s="9">
        <v>113</v>
      </c>
      <c r="S88" s="9">
        <f t="shared" si="30"/>
        <v>43</v>
      </c>
      <c r="T88" s="4">
        <f t="shared" si="35"/>
        <v>127</v>
      </c>
      <c r="U88" s="9">
        <f t="shared" si="31"/>
        <v>15</v>
      </c>
      <c r="V88" s="9">
        <f t="shared" si="32"/>
        <v>12.046511627906977</v>
      </c>
      <c r="W88" s="9">
        <v>49.6</v>
      </c>
      <c r="X88" s="9">
        <v>55.2</v>
      </c>
      <c r="Y88" s="9">
        <v>159.80000000000001</v>
      </c>
      <c r="Z88" s="9">
        <v>76</v>
      </c>
      <c r="AA88" s="9">
        <v>223.4</v>
      </c>
      <c r="AB88" s="9">
        <v>39.4</v>
      </c>
      <c r="AC88" s="9">
        <v>53.8</v>
      </c>
      <c r="AD88" s="9">
        <v>51.2</v>
      </c>
      <c r="AE88" s="9">
        <v>57.2</v>
      </c>
      <c r="AF88" s="9">
        <v>46.6</v>
      </c>
      <c r="AG88" s="9" t="s">
        <v>137</v>
      </c>
      <c r="AH88" s="9">
        <f t="shared" si="36"/>
        <v>35.56</v>
      </c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</row>
    <row r="89" spans="1:49" x14ac:dyDescent="0.25">
      <c r="A89" s="9" t="s">
        <v>138</v>
      </c>
      <c r="B89" s="9" t="s">
        <v>41</v>
      </c>
      <c r="C89" s="9">
        <v>388</v>
      </c>
      <c r="D89" s="9">
        <v>560</v>
      </c>
      <c r="E89" s="9">
        <v>218</v>
      </c>
      <c r="F89" s="9">
        <v>266</v>
      </c>
      <c r="G89" s="9"/>
      <c r="H89" s="9">
        <f t="shared" si="27"/>
        <v>266</v>
      </c>
      <c r="I89" s="6">
        <v>0.28000000000000003</v>
      </c>
      <c r="J89" s="9">
        <v>45</v>
      </c>
      <c r="K89" s="9" t="s">
        <v>38</v>
      </c>
      <c r="L89" s="9"/>
      <c r="M89" s="9">
        <v>263</v>
      </c>
      <c r="N89" s="9">
        <f t="shared" si="28"/>
        <v>-45</v>
      </c>
      <c r="O89" s="9">
        <f t="shared" si="29"/>
        <v>218</v>
      </c>
      <c r="P89" s="9"/>
      <c r="Q89" s="9">
        <v>118</v>
      </c>
      <c r="R89" s="9">
        <v>118</v>
      </c>
      <c r="S89" s="9">
        <f t="shared" si="30"/>
        <v>43.6</v>
      </c>
      <c r="T89" s="4">
        <f t="shared" si="35"/>
        <v>152</v>
      </c>
      <c r="U89" s="9">
        <f t="shared" si="31"/>
        <v>15</v>
      </c>
      <c r="V89" s="9">
        <f t="shared" si="32"/>
        <v>11.513761467889909</v>
      </c>
      <c r="W89" s="9">
        <v>50</v>
      </c>
      <c r="X89" s="9">
        <v>55.6</v>
      </c>
      <c r="Y89" s="9">
        <v>62.6</v>
      </c>
      <c r="Z89" s="9">
        <v>42.2</v>
      </c>
      <c r="AA89" s="9">
        <v>37</v>
      </c>
      <c r="AB89" s="9">
        <v>36</v>
      </c>
      <c r="AC89" s="9">
        <v>47.4</v>
      </c>
      <c r="AD89" s="9">
        <v>36.6</v>
      </c>
      <c r="AE89" s="9">
        <v>41.2</v>
      </c>
      <c r="AF89" s="9">
        <v>34</v>
      </c>
      <c r="AG89" s="9"/>
      <c r="AH89" s="9">
        <f t="shared" si="36"/>
        <v>42.56</v>
      </c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</row>
    <row r="90" spans="1:49" x14ac:dyDescent="0.25">
      <c r="A90" s="9" t="s">
        <v>139</v>
      </c>
      <c r="B90" s="9" t="s">
        <v>41</v>
      </c>
      <c r="C90" s="9">
        <v>313</v>
      </c>
      <c r="D90" s="9">
        <v>1268</v>
      </c>
      <c r="E90" s="9">
        <v>466</v>
      </c>
      <c r="F90" s="9">
        <v>402</v>
      </c>
      <c r="G90" s="9">
        <f>VLOOKUP(A90,[1]TDSheet!$A:$B,2,0)</f>
        <v>24</v>
      </c>
      <c r="H90" s="9">
        <f t="shared" si="27"/>
        <v>378</v>
      </c>
      <c r="I90" s="6">
        <v>0.4</v>
      </c>
      <c r="J90" s="9">
        <v>50</v>
      </c>
      <c r="K90" s="9" t="s">
        <v>38</v>
      </c>
      <c r="L90" s="9"/>
      <c r="M90" s="9">
        <v>517</v>
      </c>
      <c r="N90" s="9">
        <f t="shared" si="28"/>
        <v>-51</v>
      </c>
      <c r="O90" s="9">
        <f t="shared" si="29"/>
        <v>430</v>
      </c>
      <c r="P90" s="9">
        <v>36</v>
      </c>
      <c r="Q90" s="9">
        <v>329</v>
      </c>
      <c r="R90" s="9">
        <v>329</v>
      </c>
      <c r="S90" s="9">
        <f t="shared" si="30"/>
        <v>86</v>
      </c>
      <c r="T90" s="4">
        <f t="shared" si="35"/>
        <v>254</v>
      </c>
      <c r="U90" s="9">
        <f t="shared" si="31"/>
        <v>15</v>
      </c>
      <c r="V90" s="9">
        <f t="shared" si="32"/>
        <v>12.046511627906977</v>
      </c>
      <c r="W90" s="9">
        <v>100</v>
      </c>
      <c r="X90" s="9">
        <v>89.8</v>
      </c>
      <c r="Y90" s="9">
        <v>79</v>
      </c>
      <c r="Z90" s="9">
        <v>72</v>
      </c>
      <c r="AA90" s="9">
        <v>63</v>
      </c>
      <c r="AB90" s="9">
        <v>36.4</v>
      </c>
      <c r="AC90" s="9">
        <v>70.400000000000006</v>
      </c>
      <c r="AD90" s="9">
        <v>24.8</v>
      </c>
      <c r="AE90" s="9">
        <v>68</v>
      </c>
      <c r="AF90" s="9">
        <v>57.4</v>
      </c>
      <c r="AG90" s="9"/>
      <c r="AH90" s="9">
        <f t="shared" si="36"/>
        <v>101.60000000000001</v>
      </c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</row>
    <row r="91" spans="1:49" x14ac:dyDescent="0.25">
      <c r="A91" s="16" t="s">
        <v>140</v>
      </c>
      <c r="B91" s="16" t="s">
        <v>37</v>
      </c>
      <c r="C91" s="16"/>
      <c r="D91" s="16">
        <v>30.869</v>
      </c>
      <c r="E91" s="16">
        <v>30.869</v>
      </c>
      <c r="F91" s="16"/>
      <c r="G91" s="16"/>
      <c r="H91" s="16">
        <f t="shared" si="27"/>
        <v>0</v>
      </c>
      <c r="I91" s="17">
        <v>0</v>
      </c>
      <c r="J91" s="16"/>
      <c r="K91" s="16" t="s">
        <v>56</v>
      </c>
      <c r="L91" s="16"/>
      <c r="M91" s="16">
        <v>30.869</v>
      </c>
      <c r="N91" s="16">
        <f t="shared" si="28"/>
        <v>0</v>
      </c>
      <c r="O91" s="16">
        <f t="shared" si="29"/>
        <v>0</v>
      </c>
      <c r="P91" s="16">
        <v>30.869</v>
      </c>
      <c r="Q91" s="16">
        <v>0</v>
      </c>
      <c r="R91" s="16"/>
      <c r="S91" s="16">
        <f t="shared" si="30"/>
        <v>0</v>
      </c>
      <c r="T91" s="18"/>
      <c r="U91" s="16" t="e">
        <f t="shared" si="31"/>
        <v>#DIV/0!</v>
      </c>
      <c r="V91" s="16" t="e">
        <f t="shared" si="32"/>
        <v>#DIV/0!</v>
      </c>
      <c r="W91" s="16">
        <v>0</v>
      </c>
      <c r="X91" s="16">
        <v>0</v>
      </c>
      <c r="Y91" s="16">
        <v>9.9572000000000003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/>
      <c r="AH91" s="16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</row>
    <row r="92" spans="1:49" x14ac:dyDescent="0.25">
      <c r="A92" s="16" t="s">
        <v>141</v>
      </c>
      <c r="B92" s="16" t="s">
        <v>41</v>
      </c>
      <c r="C92" s="16">
        <v>-4</v>
      </c>
      <c r="D92" s="16">
        <v>4</v>
      </c>
      <c r="E92" s="16"/>
      <c r="F92" s="16"/>
      <c r="G92" s="16"/>
      <c r="H92" s="16">
        <f t="shared" si="27"/>
        <v>0</v>
      </c>
      <c r="I92" s="17">
        <v>0</v>
      </c>
      <c r="J92" s="16">
        <v>30</v>
      </c>
      <c r="K92" s="16" t="s">
        <v>56</v>
      </c>
      <c r="L92" s="16"/>
      <c r="M92" s="16"/>
      <c r="N92" s="16">
        <f t="shared" si="28"/>
        <v>0</v>
      </c>
      <c r="O92" s="16">
        <f t="shared" si="29"/>
        <v>0</v>
      </c>
      <c r="P92" s="16"/>
      <c r="Q92" s="16">
        <v>0</v>
      </c>
      <c r="R92" s="16"/>
      <c r="S92" s="16">
        <f t="shared" si="30"/>
        <v>0</v>
      </c>
      <c r="T92" s="18"/>
      <c r="U92" s="16" t="e">
        <f t="shared" si="31"/>
        <v>#DIV/0!</v>
      </c>
      <c r="V92" s="16" t="e">
        <f t="shared" si="32"/>
        <v>#DIV/0!</v>
      </c>
      <c r="W92" s="16">
        <v>0</v>
      </c>
      <c r="X92" s="16">
        <v>-0.2</v>
      </c>
      <c r="Y92" s="16">
        <v>0.6</v>
      </c>
      <c r="Z92" s="16">
        <v>0.4</v>
      </c>
      <c r="AA92" s="16">
        <v>0.4</v>
      </c>
      <c r="AB92" s="16">
        <v>0.8</v>
      </c>
      <c r="AC92" s="16">
        <v>0</v>
      </c>
      <c r="AD92" s="16">
        <v>0</v>
      </c>
      <c r="AE92" s="16">
        <v>2.4</v>
      </c>
      <c r="AF92" s="16">
        <v>4</v>
      </c>
      <c r="AG92" s="16" t="s">
        <v>79</v>
      </c>
      <c r="AH92" s="16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</row>
    <row r="93" spans="1:49" x14ac:dyDescent="0.25">
      <c r="A93" s="9" t="s">
        <v>142</v>
      </c>
      <c r="B93" s="9" t="s">
        <v>37</v>
      </c>
      <c r="C93" s="9">
        <v>49.817</v>
      </c>
      <c r="D93" s="9">
        <v>383.005</v>
      </c>
      <c r="E93" s="9">
        <v>198.14699999999999</v>
      </c>
      <c r="F93" s="9">
        <v>66.855000000000004</v>
      </c>
      <c r="G93" s="9"/>
      <c r="H93" s="9">
        <f t="shared" si="27"/>
        <v>66.855000000000004</v>
      </c>
      <c r="I93" s="6">
        <v>1</v>
      </c>
      <c r="J93" s="9">
        <v>30</v>
      </c>
      <c r="K93" s="9" t="s">
        <v>38</v>
      </c>
      <c r="L93" s="9"/>
      <c r="M93" s="9">
        <v>222.67</v>
      </c>
      <c r="N93" s="9">
        <f t="shared" si="28"/>
        <v>-24.522999999999996</v>
      </c>
      <c r="O93" s="9">
        <f t="shared" si="29"/>
        <v>198.14699999999999</v>
      </c>
      <c r="P93" s="9"/>
      <c r="Q93" s="9">
        <v>191</v>
      </c>
      <c r="R93" s="9"/>
      <c r="S93" s="9">
        <f t="shared" si="30"/>
        <v>39.629399999999997</v>
      </c>
      <c r="T93" s="4">
        <f>15*S93-R93-Q93-H93</f>
        <v>336.5859999999999</v>
      </c>
      <c r="U93" s="9">
        <f t="shared" si="31"/>
        <v>14.999999999999998</v>
      </c>
      <c r="V93" s="9">
        <f t="shared" si="32"/>
        <v>6.5066591974645096</v>
      </c>
      <c r="W93" s="9">
        <v>30.7286</v>
      </c>
      <c r="X93" s="9">
        <v>32.9846</v>
      </c>
      <c r="Y93" s="9">
        <v>33.498600000000003</v>
      </c>
      <c r="Z93" s="9">
        <v>29.745799999999999</v>
      </c>
      <c r="AA93" s="9">
        <v>10.490600000000001</v>
      </c>
      <c r="AB93" s="9">
        <v>31.147200000000002</v>
      </c>
      <c r="AC93" s="9">
        <v>0</v>
      </c>
      <c r="AD93" s="9">
        <v>9.9475999999999996</v>
      </c>
      <c r="AE93" s="9">
        <v>0</v>
      </c>
      <c r="AF93" s="9">
        <v>0</v>
      </c>
      <c r="AG93" s="9" t="s">
        <v>39</v>
      </c>
      <c r="AH93" s="9">
        <f>I93*T93</f>
        <v>336.5859999999999</v>
      </c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</row>
    <row r="94" spans="1:49" x14ac:dyDescent="0.25">
      <c r="A94" s="16" t="s">
        <v>143</v>
      </c>
      <c r="B94" s="16" t="s">
        <v>41</v>
      </c>
      <c r="C94" s="16">
        <v>-10</v>
      </c>
      <c r="D94" s="16">
        <v>24</v>
      </c>
      <c r="E94" s="16">
        <v>11</v>
      </c>
      <c r="F94" s="16"/>
      <c r="G94" s="16"/>
      <c r="H94" s="16">
        <f t="shared" si="27"/>
        <v>0</v>
      </c>
      <c r="I94" s="17">
        <v>0</v>
      </c>
      <c r="J94" s="16">
        <v>50</v>
      </c>
      <c r="K94" s="16" t="s">
        <v>79</v>
      </c>
      <c r="L94" s="16"/>
      <c r="M94" s="16">
        <v>14</v>
      </c>
      <c r="N94" s="16">
        <f t="shared" si="28"/>
        <v>-3</v>
      </c>
      <c r="O94" s="16">
        <f t="shared" si="29"/>
        <v>11</v>
      </c>
      <c r="P94" s="16"/>
      <c r="Q94" s="16">
        <v>0</v>
      </c>
      <c r="R94" s="16"/>
      <c r="S94" s="16">
        <f t="shared" si="30"/>
        <v>2.2000000000000002</v>
      </c>
      <c r="T94" s="18"/>
      <c r="U94" s="16">
        <f t="shared" si="31"/>
        <v>0</v>
      </c>
      <c r="V94" s="16">
        <f t="shared" si="32"/>
        <v>0</v>
      </c>
      <c r="W94" s="16">
        <v>1.8</v>
      </c>
      <c r="X94" s="16">
        <v>3.8</v>
      </c>
      <c r="Y94" s="16">
        <v>0.2</v>
      </c>
      <c r="Z94" s="16">
        <v>3.4</v>
      </c>
      <c r="AA94" s="16">
        <v>2.6</v>
      </c>
      <c r="AB94" s="16">
        <v>4</v>
      </c>
      <c r="AC94" s="16">
        <v>2.4</v>
      </c>
      <c r="AD94" s="16">
        <v>2.4</v>
      </c>
      <c r="AE94" s="16">
        <v>1.2</v>
      </c>
      <c r="AF94" s="16">
        <v>3.6</v>
      </c>
      <c r="AG94" s="16"/>
      <c r="AH94" s="16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</row>
    <row r="95" spans="1:49" x14ac:dyDescent="0.25">
      <c r="A95" s="16" t="s">
        <v>144</v>
      </c>
      <c r="B95" s="16" t="s">
        <v>41</v>
      </c>
      <c r="C95" s="16">
        <v>-1</v>
      </c>
      <c r="D95" s="16">
        <v>2</v>
      </c>
      <c r="E95" s="16"/>
      <c r="F95" s="16"/>
      <c r="G95" s="16"/>
      <c r="H95" s="16">
        <f t="shared" si="27"/>
        <v>0</v>
      </c>
      <c r="I95" s="17">
        <v>0</v>
      </c>
      <c r="J95" s="16">
        <v>50</v>
      </c>
      <c r="K95" s="16" t="s">
        <v>56</v>
      </c>
      <c r="L95" s="16"/>
      <c r="M95" s="16"/>
      <c r="N95" s="16">
        <f t="shared" si="28"/>
        <v>0</v>
      </c>
      <c r="O95" s="16">
        <f t="shared" si="29"/>
        <v>0</v>
      </c>
      <c r="P95" s="16"/>
      <c r="Q95" s="16">
        <v>0</v>
      </c>
      <c r="R95" s="16"/>
      <c r="S95" s="16">
        <f t="shared" si="30"/>
        <v>0</v>
      </c>
      <c r="T95" s="18"/>
      <c r="U95" s="16" t="e">
        <f t="shared" si="31"/>
        <v>#DIV/0!</v>
      </c>
      <c r="V95" s="16" t="e">
        <f t="shared" si="32"/>
        <v>#DIV/0!</v>
      </c>
      <c r="W95" s="16">
        <v>0</v>
      </c>
      <c r="X95" s="16">
        <v>0</v>
      </c>
      <c r="Y95" s="16">
        <v>11.2</v>
      </c>
      <c r="Z95" s="16">
        <v>0</v>
      </c>
      <c r="AA95" s="16">
        <v>0</v>
      </c>
      <c r="AB95" s="16">
        <v>0</v>
      </c>
      <c r="AC95" s="16">
        <v>1</v>
      </c>
      <c r="AD95" s="16">
        <v>6</v>
      </c>
      <c r="AE95" s="16">
        <v>3.4</v>
      </c>
      <c r="AF95" s="16">
        <v>0.2</v>
      </c>
      <c r="AG95" s="16"/>
      <c r="AH95" s="16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</row>
    <row r="96" spans="1:49" x14ac:dyDescent="0.25">
      <c r="A96" s="9" t="s">
        <v>145</v>
      </c>
      <c r="B96" s="9" t="s">
        <v>41</v>
      </c>
      <c r="C96" s="9">
        <v>31</v>
      </c>
      <c r="D96" s="9">
        <v>48</v>
      </c>
      <c r="E96" s="9">
        <v>3</v>
      </c>
      <c r="F96" s="9">
        <v>76</v>
      </c>
      <c r="G96" s="9"/>
      <c r="H96" s="9">
        <f t="shared" si="27"/>
        <v>76</v>
      </c>
      <c r="I96" s="6">
        <v>0.33800000000000002</v>
      </c>
      <c r="J96" s="9" t="s">
        <v>146</v>
      </c>
      <c r="K96" s="9" t="s">
        <v>38</v>
      </c>
      <c r="L96" s="9"/>
      <c r="M96" s="9">
        <v>3</v>
      </c>
      <c r="N96" s="9">
        <f t="shared" si="28"/>
        <v>0</v>
      </c>
      <c r="O96" s="9">
        <f t="shared" si="29"/>
        <v>3</v>
      </c>
      <c r="P96" s="9"/>
      <c r="Q96" s="9">
        <v>40</v>
      </c>
      <c r="R96" s="9"/>
      <c r="S96" s="9">
        <f t="shared" si="30"/>
        <v>0.6</v>
      </c>
      <c r="T96" s="4"/>
      <c r="U96" s="9">
        <f t="shared" si="31"/>
        <v>193.33333333333334</v>
      </c>
      <c r="V96" s="9">
        <f t="shared" si="32"/>
        <v>193.33333333333334</v>
      </c>
      <c r="W96" s="9">
        <v>3.4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22" t="s">
        <v>180</v>
      </c>
      <c r="AH96" s="9">
        <f t="shared" ref="AH96:AH107" si="37">I96*T96</f>
        <v>0</v>
      </c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</row>
    <row r="97" spans="1:49" x14ac:dyDescent="0.25">
      <c r="A97" s="9" t="s">
        <v>147</v>
      </c>
      <c r="B97" s="9" t="s">
        <v>41</v>
      </c>
      <c r="C97" s="9">
        <v>25</v>
      </c>
      <c r="D97" s="9">
        <v>36</v>
      </c>
      <c r="E97" s="9">
        <v>11</v>
      </c>
      <c r="F97" s="9">
        <v>50</v>
      </c>
      <c r="G97" s="9"/>
      <c r="H97" s="9">
        <f t="shared" si="27"/>
        <v>50</v>
      </c>
      <c r="I97" s="6">
        <v>0.32500000000000001</v>
      </c>
      <c r="J97" s="9" t="s">
        <v>146</v>
      </c>
      <c r="K97" s="9" t="s">
        <v>38</v>
      </c>
      <c r="L97" s="9"/>
      <c r="M97" s="9">
        <v>11</v>
      </c>
      <c r="N97" s="9">
        <f t="shared" si="28"/>
        <v>0</v>
      </c>
      <c r="O97" s="9">
        <f t="shared" si="29"/>
        <v>11</v>
      </c>
      <c r="P97" s="9"/>
      <c r="Q97" s="9">
        <v>40</v>
      </c>
      <c r="R97" s="9"/>
      <c r="S97" s="9">
        <f t="shared" si="30"/>
        <v>2.2000000000000002</v>
      </c>
      <c r="T97" s="4"/>
      <c r="U97" s="9">
        <f t="shared" si="31"/>
        <v>40.909090909090907</v>
      </c>
      <c r="V97" s="9">
        <f t="shared" si="32"/>
        <v>40.909090909090907</v>
      </c>
      <c r="W97" s="9">
        <v>2.2000000000000002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22" t="s">
        <v>180</v>
      </c>
      <c r="AH97" s="9">
        <f t="shared" si="37"/>
        <v>0</v>
      </c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</row>
    <row r="98" spans="1:49" x14ac:dyDescent="0.25">
      <c r="A98" s="9" t="s">
        <v>148</v>
      </c>
      <c r="B98" s="9" t="s">
        <v>41</v>
      </c>
      <c r="C98" s="9">
        <v>16</v>
      </c>
      <c r="D98" s="9">
        <v>731</v>
      </c>
      <c r="E98" s="9">
        <v>190</v>
      </c>
      <c r="F98" s="9">
        <v>218</v>
      </c>
      <c r="G98" s="9">
        <f>VLOOKUP(A98,[1]TDSheet!$A:$B,2,0)</f>
        <v>16</v>
      </c>
      <c r="H98" s="9">
        <f t="shared" si="27"/>
        <v>202</v>
      </c>
      <c r="I98" s="6">
        <v>0.12</v>
      </c>
      <c r="J98" s="9">
        <v>60</v>
      </c>
      <c r="K98" s="9" t="s">
        <v>38</v>
      </c>
      <c r="L98" s="9"/>
      <c r="M98" s="9">
        <v>228</v>
      </c>
      <c r="N98" s="9">
        <f t="shared" si="28"/>
        <v>-38</v>
      </c>
      <c r="O98" s="9">
        <f t="shared" si="29"/>
        <v>174</v>
      </c>
      <c r="P98" s="9">
        <v>16</v>
      </c>
      <c r="Q98" s="9">
        <v>163</v>
      </c>
      <c r="R98" s="9">
        <v>163</v>
      </c>
      <c r="S98" s="9">
        <f t="shared" si="30"/>
        <v>34.799999999999997</v>
      </c>
      <c r="T98" s="4"/>
      <c r="U98" s="9">
        <f t="shared" si="31"/>
        <v>15.17241379310345</v>
      </c>
      <c r="V98" s="9">
        <f t="shared" si="32"/>
        <v>15.17241379310345</v>
      </c>
      <c r="W98" s="9">
        <v>46.8</v>
      </c>
      <c r="X98" s="9">
        <v>44.4</v>
      </c>
      <c r="Y98" s="9">
        <v>33</v>
      </c>
      <c r="Z98" s="9">
        <v>36.799999999999997</v>
      </c>
      <c r="AA98" s="9">
        <v>33.799999999999997</v>
      </c>
      <c r="AB98" s="9">
        <v>32.200000000000003</v>
      </c>
      <c r="AC98" s="9">
        <v>48.4</v>
      </c>
      <c r="AD98" s="9">
        <v>25</v>
      </c>
      <c r="AE98" s="9">
        <v>67</v>
      </c>
      <c r="AF98" s="9">
        <v>112.6</v>
      </c>
      <c r="AG98" s="9"/>
      <c r="AH98" s="9">
        <f t="shared" si="37"/>
        <v>0</v>
      </c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</row>
    <row r="99" spans="1:49" x14ac:dyDescent="0.25">
      <c r="A99" s="9" t="s">
        <v>149</v>
      </c>
      <c r="B99" s="9" t="s">
        <v>41</v>
      </c>
      <c r="C99" s="9">
        <v>29</v>
      </c>
      <c r="D99" s="9">
        <v>27</v>
      </c>
      <c r="E99" s="9">
        <v>3</v>
      </c>
      <c r="F99" s="9">
        <v>53</v>
      </c>
      <c r="G99" s="9"/>
      <c r="H99" s="9">
        <f t="shared" si="27"/>
        <v>53</v>
      </c>
      <c r="I99" s="6">
        <v>0.15</v>
      </c>
      <c r="J99" s="9">
        <v>90</v>
      </c>
      <c r="K99" s="9" t="s">
        <v>38</v>
      </c>
      <c r="L99" s="9"/>
      <c r="M99" s="9">
        <v>3</v>
      </c>
      <c r="N99" s="9">
        <f t="shared" si="28"/>
        <v>0</v>
      </c>
      <c r="O99" s="9">
        <f t="shared" si="29"/>
        <v>3</v>
      </c>
      <c r="P99" s="9"/>
      <c r="Q99" s="9">
        <v>0</v>
      </c>
      <c r="R99" s="9"/>
      <c r="S99" s="9">
        <f t="shared" si="30"/>
        <v>0.6</v>
      </c>
      <c r="T99" s="4"/>
      <c r="U99" s="9">
        <f t="shared" si="31"/>
        <v>88.333333333333343</v>
      </c>
      <c r="V99" s="9">
        <f t="shared" si="32"/>
        <v>88.333333333333343</v>
      </c>
      <c r="W99" s="9">
        <v>1.4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20" t="s">
        <v>80</v>
      </c>
      <c r="AH99" s="9">
        <f t="shared" si="37"/>
        <v>0</v>
      </c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</row>
    <row r="100" spans="1:49" x14ac:dyDescent="0.25">
      <c r="A100" s="9" t="s">
        <v>150</v>
      </c>
      <c r="B100" s="9" t="s">
        <v>41</v>
      </c>
      <c r="C100" s="9">
        <v>31</v>
      </c>
      <c r="D100" s="9">
        <v>24</v>
      </c>
      <c r="E100" s="9">
        <v>6</v>
      </c>
      <c r="F100" s="9">
        <v>47</v>
      </c>
      <c r="G100" s="9"/>
      <c r="H100" s="9">
        <f t="shared" si="27"/>
        <v>47</v>
      </c>
      <c r="I100" s="6">
        <v>0.15</v>
      </c>
      <c r="J100" s="9">
        <v>90</v>
      </c>
      <c r="K100" s="9" t="s">
        <v>38</v>
      </c>
      <c r="L100" s="9"/>
      <c r="M100" s="9">
        <v>6</v>
      </c>
      <c r="N100" s="9">
        <f t="shared" si="28"/>
        <v>0</v>
      </c>
      <c r="O100" s="9">
        <f t="shared" si="29"/>
        <v>6</v>
      </c>
      <c r="P100" s="9"/>
      <c r="Q100" s="9">
        <v>0</v>
      </c>
      <c r="R100" s="9"/>
      <c r="S100" s="9">
        <f t="shared" si="30"/>
        <v>1.2</v>
      </c>
      <c r="T100" s="4"/>
      <c r="U100" s="9">
        <f t="shared" si="31"/>
        <v>39.166666666666671</v>
      </c>
      <c r="V100" s="9">
        <f t="shared" si="32"/>
        <v>39.166666666666671</v>
      </c>
      <c r="W100" s="9">
        <v>1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20" t="s">
        <v>80</v>
      </c>
      <c r="AH100" s="9">
        <f t="shared" si="37"/>
        <v>0</v>
      </c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</row>
    <row r="101" spans="1:49" x14ac:dyDescent="0.25">
      <c r="A101" s="9" t="s">
        <v>151</v>
      </c>
      <c r="B101" s="9" t="s">
        <v>41</v>
      </c>
      <c r="C101" s="9">
        <v>40</v>
      </c>
      <c r="D101" s="9">
        <v>777</v>
      </c>
      <c r="E101" s="9">
        <v>335</v>
      </c>
      <c r="F101" s="9">
        <v>209</v>
      </c>
      <c r="G101" s="9">
        <f>VLOOKUP(A101,[1]TDSheet!$A:$B,2,0)</f>
        <v>36</v>
      </c>
      <c r="H101" s="9">
        <f t="shared" si="27"/>
        <v>173</v>
      </c>
      <c r="I101" s="6">
        <v>0.33</v>
      </c>
      <c r="J101" s="9">
        <v>30</v>
      </c>
      <c r="K101" s="9" t="s">
        <v>38</v>
      </c>
      <c r="L101" s="9"/>
      <c r="M101" s="9">
        <v>395</v>
      </c>
      <c r="N101" s="9">
        <f t="shared" si="28"/>
        <v>-60</v>
      </c>
      <c r="O101" s="9">
        <f t="shared" si="29"/>
        <v>311</v>
      </c>
      <c r="P101" s="9">
        <v>24</v>
      </c>
      <c r="Q101" s="9">
        <v>132</v>
      </c>
      <c r="R101" s="9">
        <v>132</v>
      </c>
      <c r="S101" s="9">
        <f t="shared" si="30"/>
        <v>62.2</v>
      </c>
      <c r="T101" s="4">
        <f t="shared" ref="T96:T107" si="38">15*S101-R101-Q101-H101</f>
        <v>496</v>
      </c>
      <c r="U101" s="9">
        <f t="shared" si="31"/>
        <v>15</v>
      </c>
      <c r="V101" s="9">
        <f t="shared" si="32"/>
        <v>7.02572347266881</v>
      </c>
      <c r="W101" s="9">
        <v>52.6</v>
      </c>
      <c r="X101" s="9">
        <v>61.6</v>
      </c>
      <c r="Y101" s="9">
        <v>47.8</v>
      </c>
      <c r="Z101" s="9">
        <v>47.8</v>
      </c>
      <c r="AA101" s="9">
        <v>38</v>
      </c>
      <c r="AB101" s="9">
        <v>34.799999999999997</v>
      </c>
      <c r="AC101" s="9">
        <v>24.4</v>
      </c>
      <c r="AD101" s="9">
        <v>46.2</v>
      </c>
      <c r="AE101" s="9">
        <v>28</v>
      </c>
      <c r="AF101" s="9">
        <v>24</v>
      </c>
      <c r="AG101" s="9"/>
      <c r="AH101" s="9">
        <f t="shared" si="37"/>
        <v>163.68</v>
      </c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</row>
    <row r="102" spans="1:49" x14ac:dyDescent="0.25">
      <c r="A102" s="9" t="s">
        <v>152</v>
      </c>
      <c r="B102" s="9" t="s">
        <v>41</v>
      </c>
      <c r="C102" s="9">
        <v>6</v>
      </c>
      <c r="D102" s="9">
        <v>359</v>
      </c>
      <c r="E102" s="9">
        <v>192</v>
      </c>
      <c r="F102" s="9"/>
      <c r="G102" s="9"/>
      <c r="H102" s="9">
        <f t="shared" ref="H102:H133" si="39">F102-G102</f>
        <v>0</v>
      </c>
      <c r="I102" s="6">
        <v>0.15</v>
      </c>
      <c r="J102" s="9">
        <v>60</v>
      </c>
      <c r="K102" s="9" t="s">
        <v>38</v>
      </c>
      <c r="L102" s="9"/>
      <c r="M102" s="9">
        <v>360</v>
      </c>
      <c r="N102" s="9">
        <f t="shared" ref="N102:N133" si="40">E102-M102</f>
        <v>-168</v>
      </c>
      <c r="O102" s="9">
        <f t="shared" ref="O102:O133" si="41">E102-P102</f>
        <v>192</v>
      </c>
      <c r="P102" s="9"/>
      <c r="Q102" s="9">
        <v>107</v>
      </c>
      <c r="R102" s="9"/>
      <c r="S102" s="9">
        <f t="shared" ref="S102:S121" si="42">O102/5</f>
        <v>38.4</v>
      </c>
      <c r="T102" s="4">
        <f>11*S102-R102-Q102-H102</f>
        <v>315.39999999999998</v>
      </c>
      <c r="U102" s="9">
        <f t="shared" ref="U102:U133" si="43">(H102+Q102+R102+T102)/S102</f>
        <v>11</v>
      </c>
      <c r="V102" s="9">
        <f t="shared" ref="V102:V121" si="44">(H102+Q102+R102)/S102</f>
        <v>2.7864583333333335</v>
      </c>
      <c r="W102" s="9">
        <v>34.4</v>
      </c>
      <c r="X102" s="9">
        <v>48.4</v>
      </c>
      <c r="Y102" s="9">
        <v>24.8</v>
      </c>
      <c r="Z102" s="9">
        <v>23</v>
      </c>
      <c r="AA102" s="9">
        <v>9.8000000000000007</v>
      </c>
      <c r="AB102" s="9">
        <v>7.8</v>
      </c>
      <c r="AC102" s="9">
        <v>0</v>
      </c>
      <c r="AD102" s="9">
        <v>0</v>
      </c>
      <c r="AE102" s="9">
        <v>0</v>
      </c>
      <c r="AF102" s="9">
        <v>0</v>
      </c>
      <c r="AG102" s="9" t="s">
        <v>39</v>
      </c>
      <c r="AH102" s="9">
        <f t="shared" si="37"/>
        <v>47.309999999999995</v>
      </c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</row>
    <row r="103" spans="1:49" x14ac:dyDescent="0.25">
      <c r="A103" s="9" t="s">
        <v>153</v>
      </c>
      <c r="B103" s="9" t="s">
        <v>41</v>
      </c>
      <c r="C103" s="9">
        <v>12</v>
      </c>
      <c r="D103" s="9">
        <v>163</v>
      </c>
      <c r="E103" s="9">
        <v>102</v>
      </c>
      <c r="F103" s="9"/>
      <c r="G103" s="9"/>
      <c r="H103" s="9">
        <f t="shared" si="39"/>
        <v>0</v>
      </c>
      <c r="I103" s="6">
        <v>0.26</v>
      </c>
      <c r="J103" s="9">
        <v>45</v>
      </c>
      <c r="K103" s="9" t="s">
        <v>38</v>
      </c>
      <c r="L103" s="9"/>
      <c r="M103" s="9">
        <v>127</v>
      </c>
      <c r="N103" s="9">
        <f t="shared" si="40"/>
        <v>-25</v>
      </c>
      <c r="O103" s="9">
        <f t="shared" si="41"/>
        <v>102</v>
      </c>
      <c r="P103" s="9"/>
      <c r="Q103" s="9">
        <v>17</v>
      </c>
      <c r="R103" s="9"/>
      <c r="S103" s="9">
        <f t="shared" si="42"/>
        <v>20.399999999999999</v>
      </c>
      <c r="T103" s="4">
        <f>9*S103-R103-Q103-H103</f>
        <v>166.6</v>
      </c>
      <c r="U103" s="9">
        <f t="shared" si="43"/>
        <v>9</v>
      </c>
      <c r="V103" s="9">
        <f t="shared" si="44"/>
        <v>0.83333333333333337</v>
      </c>
      <c r="W103" s="9">
        <v>8.6</v>
      </c>
      <c r="X103" s="9">
        <v>0</v>
      </c>
      <c r="Y103" s="9">
        <v>10.199999999999999</v>
      </c>
      <c r="Z103" s="9">
        <v>8.6</v>
      </c>
      <c r="AA103" s="9">
        <v>4.2</v>
      </c>
      <c r="AB103" s="9">
        <v>0.6</v>
      </c>
      <c r="AC103" s="9">
        <v>0</v>
      </c>
      <c r="AD103" s="9">
        <v>0</v>
      </c>
      <c r="AE103" s="9">
        <v>0</v>
      </c>
      <c r="AF103" s="9">
        <v>0</v>
      </c>
      <c r="AG103" s="9" t="s">
        <v>39</v>
      </c>
      <c r="AH103" s="9">
        <f t="shared" si="37"/>
        <v>43.316000000000003</v>
      </c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</row>
    <row r="104" spans="1:49" x14ac:dyDescent="0.25">
      <c r="A104" s="9" t="s">
        <v>154</v>
      </c>
      <c r="B104" s="9" t="s">
        <v>37</v>
      </c>
      <c r="C104" s="9">
        <v>33.448</v>
      </c>
      <c r="D104" s="9">
        <v>101.63</v>
      </c>
      <c r="E104" s="9">
        <v>58.091999999999999</v>
      </c>
      <c r="F104" s="9">
        <v>49.817</v>
      </c>
      <c r="G104" s="9"/>
      <c r="H104" s="9">
        <f t="shared" si="39"/>
        <v>49.817</v>
      </c>
      <c r="I104" s="6">
        <v>1</v>
      </c>
      <c r="J104" s="9">
        <v>30</v>
      </c>
      <c r="K104" s="9" t="s">
        <v>38</v>
      </c>
      <c r="L104" s="9"/>
      <c r="M104" s="9">
        <v>62.1</v>
      </c>
      <c r="N104" s="9">
        <f t="shared" si="40"/>
        <v>-4.0080000000000027</v>
      </c>
      <c r="O104" s="9">
        <f t="shared" si="41"/>
        <v>58.091999999999999</v>
      </c>
      <c r="P104" s="9"/>
      <c r="Q104" s="9">
        <v>0</v>
      </c>
      <c r="R104" s="9"/>
      <c r="S104" s="9">
        <f t="shared" si="42"/>
        <v>11.618399999999999</v>
      </c>
      <c r="T104" s="4">
        <f>12*S104-R104-Q104-H104</f>
        <v>89.603799999999978</v>
      </c>
      <c r="U104" s="9">
        <f t="shared" si="43"/>
        <v>12</v>
      </c>
      <c r="V104" s="9">
        <f t="shared" si="44"/>
        <v>4.2877676788542312</v>
      </c>
      <c r="W104" s="9">
        <v>2.3228</v>
      </c>
      <c r="X104" s="9">
        <v>1.3393999999999999</v>
      </c>
      <c r="Y104" s="9">
        <v>1.6718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 t="s">
        <v>39</v>
      </c>
      <c r="AH104" s="9">
        <f t="shared" si="37"/>
        <v>89.603799999999978</v>
      </c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</row>
    <row r="105" spans="1:49" x14ac:dyDescent="0.25">
      <c r="A105" s="9" t="s">
        <v>155</v>
      </c>
      <c r="B105" s="9" t="s">
        <v>41</v>
      </c>
      <c r="C105" s="9">
        <v>2</v>
      </c>
      <c r="D105" s="9">
        <v>147</v>
      </c>
      <c r="E105" s="9">
        <v>78</v>
      </c>
      <c r="F105" s="9">
        <v>23</v>
      </c>
      <c r="G105" s="9"/>
      <c r="H105" s="9">
        <f t="shared" si="39"/>
        <v>23</v>
      </c>
      <c r="I105" s="6">
        <v>0.31</v>
      </c>
      <c r="J105" s="9">
        <v>45</v>
      </c>
      <c r="K105" s="9" t="s">
        <v>38</v>
      </c>
      <c r="L105" s="9"/>
      <c r="M105" s="9">
        <v>109</v>
      </c>
      <c r="N105" s="9">
        <f t="shared" si="40"/>
        <v>-31</v>
      </c>
      <c r="O105" s="9">
        <f t="shared" si="41"/>
        <v>78</v>
      </c>
      <c r="P105" s="9"/>
      <c r="Q105" s="9">
        <v>30</v>
      </c>
      <c r="R105" s="9"/>
      <c r="S105" s="9">
        <f t="shared" si="42"/>
        <v>15.6</v>
      </c>
      <c r="T105" s="4">
        <f>11*S105-R105-Q105-H105</f>
        <v>118.6</v>
      </c>
      <c r="U105" s="9">
        <f t="shared" si="43"/>
        <v>11</v>
      </c>
      <c r="V105" s="9">
        <f t="shared" si="44"/>
        <v>3.3974358974358974</v>
      </c>
      <c r="W105" s="9">
        <v>6.6</v>
      </c>
      <c r="X105" s="9">
        <v>19.2</v>
      </c>
      <c r="Y105" s="9">
        <v>5</v>
      </c>
      <c r="Z105" s="9">
        <v>7.6</v>
      </c>
      <c r="AA105" s="9">
        <v>4.4000000000000004</v>
      </c>
      <c r="AB105" s="9">
        <v>0.2</v>
      </c>
      <c r="AC105" s="9">
        <v>0</v>
      </c>
      <c r="AD105" s="9">
        <v>0</v>
      </c>
      <c r="AE105" s="9">
        <v>0</v>
      </c>
      <c r="AF105" s="9">
        <v>0</v>
      </c>
      <c r="AG105" s="9" t="s">
        <v>39</v>
      </c>
      <c r="AH105" s="9">
        <f t="shared" si="37"/>
        <v>36.765999999999998</v>
      </c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</row>
    <row r="106" spans="1:49" x14ac:dyDescent="0.25">
      <c r="A106" s="9" t="s">
        <v>156</v>
      </c>
      <c r="B106" s="9" t="s">
        <v>37</v>
      </c>
      <c r="C106" s="9">
        <v>38.78</v>
      </c>
      <c r="D106" s="9">
        <v>1.6439999999999999</v>
      </c>
      <c r="E106" s="9">
        <v>6.67</v>
      </c>
      <c r="F106" s="9">
        <v>31.038</v>
      </c>
      <c r="G106" s="9"/>
      <c r="H106" s="9">
        <f t="shared" si="39"/>
        <v>31.038</v>
      </c>
      <c r="I106" s="6">
        <v>1</v>
      </c>
      <c r="J106" s="9">
        <v>30</v>
      </c>
      <c r="K106" s="9" t="s">
        <v>38</v>
      </c>
      <c r="L106" s="9"/>
      <c r="M106" s="9">
        <v>7.2</v>
      </c>
      <c r="N106" s="9">
        <f t="shared" si="40"/>
        <v>-0.53000000000000025</v>
      </c>
      <c r="O106" s="9">
        <f t="shared" si="41"/>
        <v>6.67</v>
      </c>
      <c r="P106" s="9"/>
      <c r="Q106" s="9">
        <v>0</v>
      </c>
      <c r="R106" s="9"/>
      <c r="S106" s="9">
        <f t="shared" si="42"/>
        <v>1.3340000000000001</v>
      </c>
      <c r="T106" s="4"/>
      <c r="U106" s="9">
        <f t="shared" si="43"/>
        <v>23.26686656671664</v>
      </c>
      <c r="V106" s="9">
        <f t="shared" si="44"/>
        <v>23.26686656671664</v>
      </c>
      <c r="W106" s="9">
        <v>1.0446</v>
      </c>
      <c r="X106" s="9">
        <v>0</v>
      </c>
      <c r="Y106" s="9">
        <v>1.6912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20" t="s">
        <v>80</v>
      </c>
      <c r="AH106" s="9">
        <f t="shared" si="37"/>
        <v>0</v>
      </c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</row>
    <row r="107" spans="1:49" x14ac:dyDescent="0.25">
      <c r="A107" s="9" t="s">
        <v>157</v>
      </c>
      <c r="B107" s="9" t="s">
        <v>41</v>
      </c>
      <c r="C107" s="9">
        <v>154</v>
      </c>
      <c r="D107" s="9">
        <v>330</v>
      </c>
      <c r="E107" s="9">
        <v>182</v>
      </c>
      <c r="F107" s="9">
        <v>132</v>
      </c>
      <c r="G107" s="9">
        <f>VLOOKUP(A107,[1]TDSheet!$A:$B,2,0)</f>
        <v>30</v>
      </c>
      <c r="H107" s="9">
        <f t="shared" si="39"/>
        <v>102</v>
      </c>
      <c r="I107" s="6">
        <v>0.4</v>
      </c>
      <c r="J107" s="9">
        <v>60</v>
      </c>
      <c r="K107" s="9" t="s">
        <v>38</v>
      </c>
      <c r="L107" s="9"/>
      <c r="M107" s="9">
        <v>229</v>
      </c>
      <c r="N107" s="9">
        <f t="shared" si="40"/>
        <v>-47</v>
      </c>
      <c r="O107" s="9">
        <f t="shared" si="41"/>
        <v>182</v>
      </c>
      <c r="P107" s="9"/>
      <c r="Q107" s="9">
        <v>142</v>
      </c>
      <c r="R107" s="9">
        <v>142</v>
      </c>
      <c r="S107" s="9">
        <f t="shared" si="42"/>
        <v>36.4</v>
      </c>
      <c r="T107" s="4">
        <f t="shared" si="38"/>
        <v>160</v>
      </c>
      <c r="U107" s="9">
        <f t="shared" si="43"/>
        <v>15</v>
      </c>
      <c r="V107" s="9">
        <f t="shared" si="44"/>
        <v>10.604395604395604</v>
      </c>
      <c r="W107" s="9">
        <v>37.6</v>
      </c>
      <c r="X107" s="9">
        <v>33.4</v>
      </c>
      <c r="Y107" s="9">
        <v>26.8</v>
      </c>
      <c r="Z107" s="9">
        <v>42.8</v>
      </c>
      <c r="AA107" s="9">
        <v>21.6</v>
      </c>
      <c r="AB107" s="9">
        <v>25.6</v>
      </c>
      <c r="AC107" s="9">
        <v>34.799999999999997</v>
      </c>
      <c r="AD107" s="9">
        <v>20.2</v>
      </c>
      <c r="AE107" s="9">
        <v>25.8</v>
      </c>
      <c r="AF107" s="9">
        <v>39.4</v>
      </c>
      <c r="AG107" s="9"/>
      <c r="AH107" s="9">
        <f t="shared" si="37"/>
        <v>64</v>
      </c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</row>
    <row r="108" spans="1:49" x14ac:dyDescent="0.25">
      <c r="A108" s="13" t="s">
        <v>158</v>
      </c>
      <c r="B108" s="13" t="s">
        <v>37</v>
      </c>
      <c r="C108" s="13">
        <v>-1.3380000000000001</v>
      </c>
      <c r="D108" s="13">
        <v>1.3380000000000001</v>
      </c>
      <c r="E108" s="13"/>
      <c r="F108" s="13"/>
      <c r="G108" s="13"/>
      <c r="H108" s="13">
        <f t="shared" si="39"/>
        <v>0</v>
      </c>
      <c r="I108" s="14">
        <v>0</v>
      </c>
      <c r="J108" s="13"/>
      <c r="K108" s="13" t="s">
        <v>159</v>
      </c>
      <c r="L108" s="13"/>
      <c r="M108" s="13">
        <v>9.1</v>
      </c>
      <c r="N108" s="13">
        <f t="shared" si="40"/>
        <v>-9.1</v>
      </c>
      <c r="O108" s="13">
        <f t="shared" si="41"/>
        <v>0</v>
      </c>
      <c r="P108" s="13"/>
      <c r="Q108" s="13">
        <v>0</v>
      </c>
      <c r="R108" s="13"/>
      <c r="S108" s="13">
        <f t="shared" si="42"/>
        <v>0</v>
      </c>
      <c r="T108" s="15"/>
      <c r="U108" s="13" t="e">
        <f t="shared" si="43"/>
        <v>#DIV/0!</v>
      </c>
      <c r="V108" s="13" t="e">
        <f t="shared" si="44"/>
        <v>#DIV/0!</v>
      </c>
      <c r="W108" s="13">
        <v>0</v>
      </c>
      <c r="X108" s="13">
        <v>1.083</v>
      </c>
      <c r="Y108" s="13">
        <v>3.238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1001010017536</v>
      </c>
      <c r="AH108" s="13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</row>
    <row r="109" spans="1:49" x14ac:dyDescent="0.25">
      <c r="A109" s="9" t="s">
        <v>160</v>
      </c>
      <c r="B109" s="9" t="s">
        <v>41</v>
      </c>
      <c r="C109" s="9">
        <v>-34</v>
      </c>
      <c r="D109" s="9">
        <v>651</v>
      </c>
      <c r="E109" s="9">
        <v>202</v>
      </c>
      <c r="F109" s="9">
        <v>122</v>
      </c>
      <c r="G109" s="9">
        <f>VLOOKUP(A109,[1]TDSheet!$A:$B,2,0)</f>
        <v>32</v>
      </c>
      <c r="H109" s="9">
        <f t="shared" si="39"/>
        <v>90</v>
      </c>
      <c r="I109" s="6">
        <v>0.35</v>
      </c>
      <c r="J109" s="9">
        <v>60</v>
      </c>
      <c r="K109" s="9" t="s">
        <v>38</v>
      </c>
      <c r="L109" s="9"/>
      <c r="M109" s="9">
        <v>219</v>
      </c>
      <c r="N109" s="9">
        <f t="shared" si="40"/>
        <v>-17</v>
      </c>
      <c r="O109" s="9">
        <f t="shared" si="41"/>
        <v>170</v>
      </c>
      <c r="P109" s="9">
        <v>32</v>
      </c>
      <c r="Q109" s="9">
        <v>0</v>
      </c>
      <c r="R109" s="9"/>
      <c r="S109" s="9">
        <f t="shared" si="42"/>
        <v>34</v>
      </c>
      <c r="T109" s="4">
        <f>11*S109-R109-Q109-H109</f>
        <v>284</v>
      </c>
      <c r="U109" s="9">
        <f t="shared" si="43"/>
        <v>11</v>
      </c>
      <c r="V109" s="9">
        <f t="shared" si="44"/>
        <v>2.6470588235294117</v>
      </c>
      <c r="W109" s="9">
        <v>11.6</v>
      </c>
      <c r="X109" s="9">
        <v>36</v>
      </c>
      <c r="Y109" s="9">
        <v>14</v>
      </c>
      <c r="Z109" s="9">
        <v>26</v>
      </c>
      <c r="AA109" s="9">
        <v>4.8</v>
      </c>
      <c r="AB109" s="9">
        <v>16.2</v>
      </c>
      <c r="AC109" s="9">
        <v>6.2</v>
      </c>
      <c r="AD109" s="9">
        <v>7</v>
      </c>
      <c r="AE109" s="9">
        <v>4.4000000000000004</v>
      </c>
      <c r="AF109" s="9">
        <v>1.4</v>
      </c>
      <c r="AG109" s="9" t="s">
        <v>161</v>
      </c>
      <c r="AH109" s="9">
        <f>I109*T109</f>
        <v>99.399999999999991</v>
      </c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</row>
    <row r="110" spans="1:49" x14ac:dyDescent="0.25">
      <c r="A110" s="9" t="s">
        <v>162</v>
      </c>
      <c r="B110" s="9" t="s">
        <v>37</v>
      </c>
      <c r="C110" s="9">
        <v>111.25700000000001</v>
      </c>
      <c r="D110" s="9">
        <v>74.584000000000003</v>
      </c>
      <c r="E110" s="9">
        <v>23.622</v>
      </c>
      <c r="F110" s="9">
        <v>147.37299999999999</v>
      </c>
      <c r="G110" s="9"/>
      <c r="H110" s="9">
        <f t="shared" si="39"/>
        <v>147.37299999999999</v>
      </c>
      <c r="I110" s="6">
        <v>1</v>
      </c>
      <c r="J110" s="9">
        <v>45</v>
      </c>
      <c r="K110" s="9" t="s">
        <v>38</v>
      </c>
      <c r="L110" s="9"/>
      <c r="M110" s="9">
        <v>25.92</v>
      </c>
      <c r="N110" s="9">
        <f t="shared" si="40"/>
        <v>-2.2980000000000018</v>
      </c>
      <c r="O110" s="9">
        <f t="shared" si="41"/>
        <v>23.622</v>
      </c>
      <c r="P110" s="9"/>
      <c r="Q110" s="9">
        <v>0</v>
      </c>
      <c r="R110" s="9"/>
      <c r="S110" s="9">
        <f t="shared" si="42"/>
        <v>4.7244000000000002</v>
      </c>
      <c r="T110" s="4"/>
      <c r="U110" s="9">
        <f t="shared" si="43"/>
        <v>31.194014054694772</v>
      </c>
      <c r="V110" s="9">
        <f t="shared" si="44"/>
        <v>31.194014054694772</v>
      </c>
      <c r="W110" s="9">
        <v>5.7584</v>
      </c>
      <c r="X110" s="9">
        <v>14.257199999999999</v>
      </c>
      <c r="Y110" s="9">
        <v>6.1836000000000002</v>
      </c>
      <c r="Z110" s="9">
        <v>25.6722</v>
      </c>
      <c r="AA110" s="9">
        <v>0</v>
      </c>
      <c r="AB110" s="9">
        <v>1.7081999999999999</v>
      </c>
      <c r="AC110" s="9">
        <v>0</v>
      </c>
      <c r="AD110" s="9">
        <v>0</v>
      </c>
      <c r="AE110" s="9">
        <v>0</v>
      </c>
      <c r="AF110" s="9">
        <v>0</v>
      </c>
      <c r="AG110" s="20" t="s">
        <v>80</v>
      </c>
      <c r="AH110" s="9">
        <f>I110*T110</f>
        <v>0</v>
      </c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</row>
    <row r="111" spans="1:49" x14ac:dyDescent="0.25">
      <c r="A111" s="9" t="s">
        <v>163</v>
      </c>
      <c r="B111" s="9" t="s">
        <v>37</v>
      </c>
      <c r="C111" s="9">
        <v>5.9610000000000003</v>
      </c>
      <c r="D111" s="9">
        <v>21.138999999999999</v>
      </c>
      <c r="E111" s="9">
        <v>17.757999999999999</v>
      </c>
      <c r="F111" s="9">
        <v>5.0659999999999998</v>
      </c>
      <c r="G111" s="9"/>
      <c r="H111" s="9">
        <f t="shared" si="39"/>
        <v>5.0659999999999998</v>
      </c>
      <c r="I111" s="6">
        <v>1</v>
      </c>
      <c r="J111" s="9">
        <v>45</v>
      </c>
      <c r="K111" s="9" t="s">
        <v>38</v>
      </c>
      <c r="L111" s="9"/>
      <c r="M111" s="9">
        <v>17</v>
      </c>
      <c r="N111" s="9">
        <f t="shared" si="40"/>
        <v>0.75799999999999912</v>
      </c>
      <c r="O111" s="9">
        <f t="shared" si="41"/>
        <v>17.757999999999999</v>
      </c>
      <c r="P111" s="9"/>
      <c r="Q111" s="9">
        <v>5</v>
      </c>
      <c r="R111" s="9"/>
      <c r="S111" s="9">
        <f t="shared" si="42"/>
        <v>3.5515999999999996</v>
      </c>
      <c r="T111" s="4">
        <f>11*S111-R111-Q111-H111</f>
        <v>29.0016</v>
      </c>
      <c r="U111" s="9">
        <f t="shared" si="43"/>
        <v>11</v>
      </c>
      <c r="V111" s="9">
        <f t="shared" si="44"/>
        <v>2.8342155648158576</v>
      </c>
      <c r="W111" s="9">
        <v>1.68</v>
      </c>
      <c r="X111" s="9">
        <v>2.3593999999999999</v>
      </c>
      <c r="Y111" s="9">
        <v>1.8568</v>
      </c>
      <c r="Z111" s="9">
        <v>3.0244</v>
      </c>
      <c r="AA111" s="9">
        <v>3.8746</v>
      </c>
      <c r="AB111" s="9">
        <v>1.1996</v>
      </c>
      <c r="AC111" s="9">
        <v>3.2330000000000001</v>
      </c>
      <c r="AD111" s="9">
        <v>0.84600000000000009</v>
      </c>
      <c r="AE111" s="9">
        <v>0</v>
      </c>
      <c r="AF111" s="9">
        <v>2.0257999999999998</v>
      </c>
      <c r="AG111" s="9"/>
      <c r="AH111" s="9">
        <f>I111*T111</f>
        <v>29.0016</v>
      </c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</row>
    <row r="112" spans="1:49" x14ac:dyDescent="0.25">
      <c r="A112" s="9" t="s">
        <v>164</v>
      </c>
      <c r="B112" s="9" t="s">
        <v>41</v>
      </c>
      <c r="C112" s="9">
        <v>11</v>
      </c>
      <c r="D112" s="9">
        <v>475</v>
      </c>
      <c r="E112" s="9">
        <v>181</v>
      </c>
      <c r="F112" s="9">
        <v>43</v>
      </c>
      <c r="G112" s="9">
        <f>VLOOKUP(A112,[1]TDSheet!$A:$B,2,0)</f>
        <v>32</v>
      </c>
      <c r="H112" s="9">
        <f t="shared" si="39"/>
        <v>11</v>
      </c>
      <c r="I112" s="6">
        <v>0.33</v>
      </c>
      <c r="J112" s="9">
        <v>45</v>
      </c>
      <c r="K112" s="9" t="s">
        <v>38</v>
      </c>
      <c r="L112" s="9"/>
      <c r="M112" s="9">
        <v>199</v>
      </c>
      <c r="N112" s="9">
        <f t="shared" si="40"/>
        <v>-18</v>
      </c>
      <c r="O112" s="9">
        <f t="shared" si="41"/>
        <v>125</v>
      </c>
      <c r="P112" s="9">
        <v>56</v>
      </c>
      <c r="Q112" s="9">
        <v>165</v>
      </c>
      <c r="R112" s="9">
        <v>165</v>
      </c>
      <c r="S112" s="9">
        <f t="shared" si="42"/>
        <v>25</v>
      </c>
      <c r="T112" s="4">
        <f t="shared" ref="T109:T112" si="45">15*S112-R112-Q112-H112</f>
        <v>34</v>
      </c>
      <c r="U112" s="9">
        <f t="shared" si="43"/>
        <v>15</v>
      </c>
      <c r="V112" s="9">
        <f t="shared" si="44"/>
        <v>13.64</v>
      </c>
      <c r="W112" s="9">
        <v>36.200000000000003</v>
      </c>
      <c r="X112" s="9">
        <v>22.4</v>
      </c>
      <c r="Y112" s="9">
        <v>21.6</v>
      </c>
      <c r="Z112" s="9">
        <v>22.6</v>
      </c>
      <c r="AA112" s="9">
        <v>15.6</v>
      </c>
      <c r="AB112" s="9">
        <v>12.8</v>
      </c>
      <c r="AC112" s="9">
        <v>28.4</v>
      </c>
      <c r="AD112" s="9">
        <v>26.2</v>
      </c>
      <c r="AE112" s="9">
        <v>15</v>
      </c>
      <c r="AF112" s="9">
        <v>24.6</v>
      </c>
      <c r="AG112" s="9" t="s">
        <v>165</v>
      </c>
      <c r="AH112" s="9">
        <f>I112*T112</f>
        <v>11.22</v>
      </c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spans="1:49" x14ac:dyDescent="0.25">
      <c r="A113" s="16" t="s">
        <v>166</v>
      </c>
      <c r="B113" s="16" t="s">
        <v>41</v>
      </c>
      <c r="C113" s="16">
        <v>-2</v>
      </c>
      <c r="D113" s="16">
        <v>3</v>
      </c>
      <c r="E113" s="16">
        <v>1</v>
      </c>
      <c r="F113" s="16"/>
      <c r="G113" s="16"/>
      <c r="H113" s="16">
        <f t="shared" si="39"/>
        <v>0</v>
      </c>
      <c r="I113" s="17">
        <v>0</v>
      </c>
      <c r="J113" s="16">
        <v>60</v>
      </c>
      <c r="K113" s="16" t="s">
        <v>79</v>
      </c>
      <c r="L113" s="16"/>
      <c r="M113" s="16">
        <v>48</v>
      </c>
      <c r="N113" s="16">
        <f t="shared" si="40"/>
        <v>-47</v>
      </c>
      <c r="O113" s="16">
        <f t="shared" si="41"/>
        <v>1</v>
      </c>
      <c r="P113" s="16"/>
      <c r="Q113" s="16">
        <v>0</v>
      </c>
      <c r="R113" s="16"/>
      <c r="S113" s="16">
        <f t="shared" si="42"/>
        <v>0.2</v>
      </c>
      <c r="T113" s="18"/>
      <c r="U113" s="16">
        <f t="shared" si="43"/>
        <v>0</v>
      </c>
      <c r="V113" s="16">
        <f t="shared" si="44"/>
        <v>0</v>
      </c>
      <c r="W113" s="16">
        <v>1.8</v>
      </c>
      <c r="X113" s="16">
        <v>9.8000000000000007</v>
      </c>
      <c r="Y113" s="16">
        <v>11.2</v>
      </c>
      <c r="Z113" s="16">
        <v>8.1999999999999993</v>
      </c>
      <c r="AA113" s="16">
        <v>2.4</v>
      </c>
      <c r="AB113" s="16">
        <v>3.6</v>
      </c>
      <c r="AC113" s="16">
        <v>7</v>
      </c>
      <c r="AD113" s="16">
        <v>5.2</v>
      </c>
      <c r="AE113" s="16">
        <v>9.6</v>
      </c>
      <c r="AF113" s="16">
        <v>5.6</v>
      </c>
      <c r="AG113" s="16" t="s">
        <v>167</v>
      </c>
      <c r="AH113" s="16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</row>
    <row r="114" spans="1:49" x14ac:dyDescent="0.25">
      <c r="A114" s="9" t="s">
        <v>168</v>
      </c>
      <c r="B114" s="9" t="s">
        <v>41</v>
      </c>
      <c r="C114" s="9">
        <v>193</v>
      </c>
      <c r="D114" s="9">
        <v>509</v>
      </c>
      <c r="E114" s="9">
        <v>240</v>
      </c>
      <c r="F114" s="9">
        <v>146</v>
      </c>
      <c r="G114" s="9"/>
      <c r="H114" s="9">
        <f t="shared" si="39"/>
        <v>146</v>
      </c>
      <c r="I114" s="6">
        <v>0.1</v>
      </c>
      <c r="J114" s="9">
        <v>60</v>
      </c>
      <c r="K114" s="9" t="s">
        <v>38</v>
      </c>
      <c r="L114" s="9"/>
      <c r="M114" s="9">
        <v>271</v>
      </c>
      <c r="N114" s="9">
        <f t="shared" si="40"/>
        <v>-31</v>
      </c>
      <c r="O114" s="9">
        <f t="shared" si="41"/>
        <v>240</v>
      </c>
      <c r="P114" s="9"/>
      <c r="Q114" s="9">
        <v>0</v>
      </c>
      <c r="R114" s="9"/>
      <c r="S114" s="9">
        <f t="shared" si="42"/>
        <v>48</v>
      </c>
      <c r="T114" s="4">
        <f>11*S114-R114-Q114-H114</f>
        <v>382</v>
      </c>
      <c r="U114" s="9">
        <f t="shared" si="43"/>
        <v>11</v>
      </c>
      <c r="V114" s="9">
        <f t="shared" si="44"/>
        <v>3.0416666666666665</v>
      </c>
      <c r="W114" s="9">
        <v>26.4</v>
      </c>
      <c r="X114" s="9">
        <v>37.799999999999997</v>
      </c>
      <c r="Y114" s="9">
        <v>40.4</v>
      </c>
      <c r="Z114" s="9">
        <v>25.2</v>
      </c>
      <c r="AA114" s="9">
        <v>31</v>
      </c>
      <c r="AB114" s="9">
        <v>42.2</v>
      </c>
      <c r="AC114" s="9">
        <v>1.8</v>
      </c>
      <c r="AD114" s="9">
        <v>6</v>
      </c>
      <c r="AE114" s="9">
        <v>38.799999999999997</v>
      </c>
      <c r="AF114" s="9">
        <v>0</v>
      </c>
      <c r="AG114" s="9" t="s">
        <v>169</v>
      </c>
      <c r="AH114" s="9">
        <f>I114*T114</f>
        <v>38.200000000000003</v>
      </c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</row>
    <row r="115" spans="1:49" x14ac:dyDescent="0.25">
      <c r="A115" s="9" t="s">
        <v>170</v>
      </c>
      <c r="B115" s="9" t="s">
        <v>41</v>
      </c>
      <c r="C115" s="9">
        <v>357</v>
      </c>
      <c r="D115" s="9">
        <v>1067</v>
      </c>
      <c r="E115" s="9">
        <v>334</v>
      </c>
      <c r="F115" s="9">
        <v>321</v>
      </c>
      <c r="G115" s="9"/>
      <c r="H115" s="9">
        <f t="shared" si="39"/>
        <v>321</v>
      </c>
      <c r="I115" s="6">
        <v>0.1</v>
      </c>
      <c r="J115" s="9">
        <v>60</v>
      </c>
      <c r="K115" s="9" t="s">
        <v>38</v>
      </c>
      <c r="L115" s="9"/>
      <c r="M115" s="9">
        <v>359</v>
      </c>
      <c r="N115" s="9">
        <f t="shared" si="40"/>
        <v>-25</v>
      </c>
      <c r="O115" s="9">
        <f t="shared" si="41"/>
        <v>314</v>
      </c>
      <c r="P115" s="9">
        <v>20</v>
      </c>
      <c r="Q115" s="9">
        <v>178</v>
      </c>
      <c r="R115" s="9">
        <v>178</v>
      </c>
      <c r="S115" s="9">
        <f t="shared" si="42"/>
        <v>62.8</v>
      </c>
      <c r="T115" s="4">
        <f t="shared" ref="T114:T115" si="46">15*S115-R115-Q115-H115</f>
        <v>265</v>
      </c>
      <c r="U115" s="9">
        <f t="shared" si="43"/>
        <v>15</v>
      </c>
      <c r="V115" s="9">
        <f t="shared" si="44"/>
        <v>10.780254777070065</v>
      </c>
      <c r="W115" s="9">
        <v>64.2</v>
      </c>
      <c r="X115" s="9">
        <v>65.2</v>
      </c>
      <c r="Y115" s="9">
        <v>67.400000000000006</v>
      </c>
      <c r="Z115" s="9">
        <v>41.6</v>
      </c>
      <c r="AA115" s="9">
        <v>65.400000000000006</v>
      </c>
      <c r="AB115" s="9">
        <v>15</v>
      </c>
      <c r="AC115" s="9">
        <v>98</v>
      </c>
      <c r="AD115" s="9">
        <v>37.200000000000003</v>
      </c>
      <c r="AE115" s="9">
        <v>28.6</v>
      </c>
      <c r="AF115" s="9">
        <v>54.8</v>
      </c>
      <c r="AG115" s="9" t="s">
        <v>171</v>
      </c>
      <c r="AH115" s="9">
        <f>I115*T115</f>
        <v>26.5</v>
      </c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</row>
    <row r="116" spans="1:49" x14ac:dyDescent="0.25">
      <c r="A116" s="13" t="s">
        <v>172</v>
      </c>
      <c r="B116" s="13" t="s">
        <v>41</v>
      </c>
      <c r="C116" s="13">
        <v>1</v>
      </c>
      <c r="D116" s="13">
        <v>20</v>
      </c>
      <c r="E116" s="13">
        <v>-2</v>
      </c>
      <c r="F116" s="13">
        <v>20</v>
      </c>
      <c r="G116" s="13">
        <f>VLOOKUP(A116,[1]TDSheet!$A:$B,2,0)</f>
        <v>20</v>
      </c>
      <c r="H116" s="13">
        <f t="shared" si="39"/>
        <v>0</v>
      </c>
      <c r="I116" s="14">
        <v>0</v>
      </c>
      <c r="J116" s="13"/>
      <c r="K116" s="13" t="s">
        <v>159</v>
      </c>
      <c r="L116" s="13"/>
      <c r="M116" s="13">
        <v>56</v>
      </c>
      <c r="N116" s="13">
        <f t="shared" si="40"/>
        <v>-58</v>
      </c>
      <c r="O116" s="13">
        <f t="shared" si="41"/>
        <v>-2</v>
      </c>
      <c r="P116" s="13"/>
      <c r="Q116" s="13">
        <v>0</v>
      </c>
      <c r="R116" s="13"/>
      <c r="S116" s="13">
        <f t="shared" si="42"/>
        <v>-0.4</v>
      </c>
      <c r="T116" s="15"/>
      <c r="U116" s="13">
        <f t="shared" si="43"/>
        <v>0</v>
      </c>
      <c r="V116" s="13">
        <f t="shared" si="44"/>
        <v>0</v>
      </c>
      <c r="W116" s="13">
        <v>0</v>
      </c>
      <c r="X116" s="13">
        <v>5.6</v>
      </c>
      <c r="Y116" s="13">
        <v>4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1001066607626</v>
      </c>
      <c r="AH116" s="13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</row>
    <row r="117" spans="1:49" x14ac:dyDescent="0.25">
      <c r="A117" s="9" t="s">
        <v>173</v>
      </c>
      <c r="B117" s="9" t="s">
        <v>41</v>
      </c>
      <c r="C117" s="9">
        <v>313</v>
      </c>
      <c r="D117" s="9">
        <v>1797</v>
      </c>
      <c r="E117" s="9">
        <v>518</v>
      </c>
      <c r="F117" s="9">
        <v>490</v>
      </c>
      <c r="G117" s="9">
        <f>VLOOKUP(A117,[1]TDSheet!$A:$B,2,0)</f>
        <v>24</v>
      </c>
      <c r="H117" s="9">
        <f t="shared" si="39"/>
        <v>466</v>
      </c>
      <c r="I117" s="6">
        <v>0.4</v>
      </c>
      <c r="J117" s="9">
        <v>60</v>
      </c>
      <c r="K117" s="9" t="s">
        <v>38</v>
      </c>
      <c r="L117" s="9"/>
      <c r="M117" s="9">
        <v>542</v>
      </c>
      <c r="N117" s="9">
        <f t="shared" si="40"/>
        <v>-24</v>
      </c>
      <c r="O117" s="9">
        <f t="shared" si="41"/>
        <v>518</v>
      </c>
      <c r="P117" s="9"/>
      <c r="Q117" s="9">
        <v>302</v>
      </c>
      <c r="R117" s="9">
        <v>303</v>
      </c>
      <c r="S117" s="9">
        <f t="shared" si="42"/>
        <v>103.6</v>
      </c>
      <c r="T117" s="4">
        <f t="shared" ref="T117:T121" si="47">15*S117-R117-Q117-H117</f>
        <v>483</v>
      </c>
      <c r="U117" s="9">
        <f t="shared" si="43"/>
        <v>15</v>
      </c>
      <c r="V117" s="9">
        <f t="shared" si="44"/>
        <v>10.337837837837839</v>
      </c>
      <c r="W117" s="9">
        <v>101.2</v>
      </c>
      <c r="X117" s="9">
        <v>101.6</v>
      </c>
      <c r="Y117" s="9">
        <v>89</v>
      </c>
      <c r="Z117" s="9">
        <v>93.8</v>
      </c>
      <c r="AA117" s="9">
        <v>83.8</v>
      </c>
      <c r="AB117" s="9">
        <v>66.2</v>
      </c>
      <c r="AC117" s="9">
        <v>80.599999999999994</v>
      </c>
      <c r="AD117" s="9">
        <v>81</v>
      </c>
      <c r="AE117" s="9">
        <v>58.6</v>
      </c>
      <c r="AF117" s="9">
        <v>71.400000000000006</v>
      </c>
      <c r="AG117" s="9" t="s">
        <v>174</v>
      </c>
      <c r="AH117" s="9">
        <f>I117*T117</f>
        <v>193.20000000000002</v>
      </c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</row>
    <row r="118" spans="1:49" x14ac:dyDescent="0.25">
      <c r="A118" s="9" t="s">
        <v>175</v>
      </c>
      <c r="B118" s="9" t="s">
        <v>41</v>
      </c>
      <c r="C118" s="9">
        <v>170</v>
      </c>
      <c r="D118" s="9">
        <v>51</v>
      </c>
      <c r="E118" s="9">
        <v>-8</v>
      </c>
      <c r="F118" s="9">
        <v>54</v>
      </c>
      <c r="G118" s="9"/>
      <c r="H118" s="9">
        <f t="shared" si="39"/>
        <v>54</v>
      </c>
      <c r="I118" s="6">
        <v>0.1</v>
      </c>
      <c r="J118" s="9"/>
      <c r="K118" s="9" t="s">
        <v>38</v>
      </c>
      <c r="L118" s="9"/>
      <c r="M118" s="9"/>
      <c r="N118" s="9">
        <f t="shared" si="40"/>
        <v>-8</v>
      </c>
      <c r="O118" s="9">
        <f t="shared" si="41"/>
        <v>-8</v>
      </c>
      <c r="P118" s="9"/>
      <c r="Q118" s="9">
        <v>0</v>
      </c>
      <c r="R118" s="9"/>
      <c r="S118" s="9">
        <f t="shared" si="42"/>
        <v>-1.6</v>
      </c>
      <c r="T118" s="4"/>
      <c r="U118" s="9">
        <f t="shared" si="43"/>
        <v>-33.75</v>
      </c>
      <c r="V118" s="9">
        <f t="shared" si="44"/>
        <v>-33.75</v>
      </c>
      <c r="W118" s="9">
        <v>-0.4</v>
      </c>
      <c r="X118" s="9">
        <v>0.8</v>
      </c>
      <c r="Y118" s="9">
        <v>7.8</v>
      </c>
      <c r="Z118" s="9">
        <v>11.8</v>
      </c>
      <c r="AA118" s="9">
        <v>8.8000000000000007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20" t="s">
        <v>181</v>
      </c>
      <c r="AH118" s="9">
        <f>I118*T118</f>
        <v>0</v>
      </c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</row>
    <row r="119" spans="1:49" x14ac:dyDescent="0.25">
      <c r="A119" s="9" t="s">
        <v>176</v>
      </c>
      <c r="B119" s="9" t="s">
        <v>41</v>
      </c>
      <c r="C119" s="9">
        <v>151</v>
      </c>
      <c r="D119" s="9">
        <v>57</v>
      </c>
      <c r="E119" s="9">
        <v>-8</v>
      </c>
      <c r="F119" s="9">
        <v>48</v>
      </c>
      <c r="G119" s="9"/>
      <c r="H119" s="9">
        <f t="shared" si="39"/>
        <v>48</v>
      </c>
      <c r="I119" s="6">
        <v>0.1</v>
      </c>
      <c r="J119" s="9"/>
      <c r="K119" s="9" t="s">
        <v>38</v>
      </c>
      <c r="L119" s="9"/>
      <c r="M119" s="9">
        <v>9</v>
      </c>
      <c r="N119" s="9">
        <f t="shared" si="40"/>
        <v>-17</v>
      </c>
      <c r="O119" s="9">
        <f t="shared" si="41"/>
        <v>-8</v>
      </c>
      <c r="P119" s="9"/>
      <c r="Q119" s="9">
        <v>0</v>
      </c>
      <c r="R119" s="9"/>
      <c r="S119" s="9">
        <f t="shared" si="42"/>
        <v>-1.6</v>
      </c>
      <c r="T119" s="4"/>
      <c r="U119" s="9">
        <f t="shared" si="43"/>
        <v>-30</v>
      </c>
      <c r="V119" s="9">
        <f t="shared" si="44"/>
        <v>-30</v>
      </c>
      <c r="W119" s="9">
        <v>0.4</v>
      </c>
      <c r="X119" s="9">
        <v>4.8</v>
      </c>
      <c r="Y119" s="9">
        <v>7.8</v>
      </c>
      <c r="Z119" s="9">
        <v>11.4</v>
      </c>
      <c r="AA119" s="9">
        <v>8.8000000000000007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20" t="s">
        <v>182</v>
      </c>
      <c r="AH119" s="9">
        <f>I119*T119</f>
        <v>0</v>
      </c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</row>
    <row r="120" spans="1:49" x14ac:dyDescent="0.25">
      <c r="A120" s="9" t="s">
        <v>177</v>
      </c>
      <c r="B120" s="9" t="s">
        <v>41</v>
      </c>
      <c r="C120" s="9">
        <v>65</v>
      </c>
      <c r="D120" s="9">
        <v>72</v>
      </c>
      <c r="E120" s="9">
        <v>55</v>
      </c>
      <c r="F120" s="9">
        <v>48</v>
      </c>
      <c r="G120" s="9"/>
      <c r="H120" s="9">
        <f t="shared" si="39"/>
        <v>48</v>
      </c>
      <c r="I120" s="6">
        <v>0.3</v>
      </c>
      <c r="J120" s="9">
        <v>45</v>
      </c>
      <c r="K120" s="9" t="s">
        <v>38</v>
      </c>
      <c r="L120" s="9"/>
      <c r="M120" s="9">
        <v>69</v>
      </c>
      <c r="N120" s="9">
        <f t="shared" si="40"/>
        <v>-14</v>
      </c>
      <c r="O120" s="9">
        <f t="shared" si="41"/>
        <v>55</v>
      </c>
      <c r="P120" s="9"/>
      <c r="Q120" s="9">
        <v>40</v>
      </c>
      <c r="R120" s="9"/>
      <c r="S120" s="9">
        <f t="shared" si="42"/>
        <v>11</v>
      </c>
      <c r="T120" s="4">
        <f t="shared" si="47"/>
        <v>77</v>
      </c>
      <c r="U120" s="9">
        <f t="shared" si="43"/>
        <v>15</v>
      </c>
      <c r="V120" s="9">
        <f t="shared" si="44"/>
        <v>8</v>
      </c>
      <c r="W120" s="9">
        <v>3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 t="s">
        <v>39</v>
      </c>
      <c r="AH120" s="9">
        <f>I120*T120</f>
        <v>23.099999999999998</v>
      </c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</row>
    <row r="121" spans="1:49" x14ac:dyDescent="0.25">
      <c r="A121" s="9" t="s">
        <v>178</v>
      </c>
      <c r="B121" s="9" t="s">
        <v>37</v>
      </c>
      <c r="C121" s="9"/>
      <c r="D121" s="9">
        <v>30.948</v>
      </c>
      <c r="E121" s="9">
        <v>14.766</v>
      </c>
      <c r="F121" s="9">
        <v>13.484</v>
      </c>
      <c r="G121" s="9"/>
      <c r="H121" s="9">
        <f t="shared" si="39"/>
        <v>13.484</v>
      </c>
      <c r="I121" s="6">
        <v>1</v>
      </c>
      <c r="J121" s="9"/>
      <c r="K121" s="9" t="s">
        <v>38</v>
      </c>
      <c r="L121" s="9"/>
      <c r="M121" s="9">
        <v>15.7</v>
      </c>
      <c r="N121" s="9">
        <f t="shared" si="40"/>
        <v>-0.93399999999999928</v>
      </c>
      <c r="O121" s="9">
        <f t="shared" si="41"/>
        <v>14.766</v>
      </c>
      <c r="P121" s="9"/>
      <c r="Q121" s="9">
        <v>0</v>
      </c>
      <c r="R121" s="9"/>
      <c r="S121" s="9">
        <f t="shared" si="42"/>
        <v>2.9531999999999998</v>
      </c>
      <c r="T121" s="4">
        <f>13*S121-R121-Q121-H121</f>
        <v>24.907599999999995</v>
      </c>
      <c r="U121" s="9">
        <f t="shared" si="43"/>
        <v>13</v>
      </c>
      <c r="V121" s="9">
        <f t="shared" si="44"/>
        <v>4.5658946227820669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 t="s">
        <v>179</v>
      </c>
      <c r="AH121" s="9">
        <f>I121*T121</f>
        <v>24.907599999999995</v>
      </c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</row>
    <row r="122" spans="1:49" x14ac:dyDescent="0.25">
      <c r="A122" s="9"/>
      <c r="B122" s="9"/>
      <c r="C122" s="9"/>
      <c r="D122" s="9"/>
      <c r="E122" s="9"/>
      <c r="F122" s="9"/>
      <c r="G122" s="9"/>
      <c r="H122" s="9"/>
      <c r="I122" s="6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</row>
    <row r="123" spans="1:49" x14ac:dyDescent="0.25">
      <c r="A123" s="9"/>
      <c r="B123" s="9"/>
      <c r="C123" s="9"/>
      <c r="D123" s="9"/>
      <c r="E123" s="9"/>
      <c r="F123" s="9"/>
      <c r="G123" s="9"/>
      <c r="H123" s="9"/>
      <c r="I123" s="6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</row>
    <row r="124" spans="1:49" x14ac:dyDescent="0.25">
      <c r="A124" s="9"/>
      <c r="B124" s="9"/>
      <c r="C124" s="9"/>
      <c r="D124" s="9"/>
      <c r="E124" s="9"/>
      <c r="F124" s="9"/>
      <c r="G124" s="9"/>
      <c r="H124" s="9"/>
      <c r="I124" s="6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</row>
    <row r="125" spans="1:49" x14ac:dyDescent="0.25">
      <c r="A125" s="9"/>
      <c r="B125" s="9"/>
      <c r="C125" s="9"/>
      <c r="D125" s="9"/>
      <c r="E125" s="9"/>
      <c r="F125" s="9"/>
      <c r="G125" s="9"/>
      <c r="H125" s="9"/>
      <c r="I125" s="6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</row>
    <row r="126" spans="1:49" x14ac:dyDescent="0.25">
      <c r="A126" s="9"/>
      <c r="B126" s="9"/>
      <c r="C126" s="9"/>
      <c r="D126" s="9"/>
      <c r="E126" s="9"/>
      <c r="F126" s="9"/>
      <c r="G126" s="9"/>
      <c r="H126" s="9"/>
      <c r="I126" s="6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</row>
    <row r="127" spans="1:49" x14ac:dyDescent="0.25">
      <c r="A127" s="9"/>
      <c r="B127" s="9"/>
      <c r="C127" s="9"/>
      <c r="D127" s="9"/>
      <c r="E127" s="9"/>
      <c r="F127" s="9"/>
      <c r="G127" s="9"/>
      <c r="H127" s="9"/>
      <c r="I127" s="6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</row>
    <row r="128" spans="1:49" x14ac:dyDescent="0.25">
      <c r="A128" s="9"/>
      <c r="B128" s="9"/>
      <c r="C128" s="9"/>
      <c r="D128" s="9"/>
      <c r="E128" s="9"/>
      <c r="F128" s="9"/>
      <c r="G128" s="9"/>
      <c r="H128" s="9"/>
      <c r="I128" s="6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</row>
    <row r="129" spans="1:49" x14ac:dyDescent="0.25">
      <c r="A129" s="9"/>
      <c r="B129" s="9"/>
      <c r="C129" s="9"/>
      <c r="D129" s="9"/>
      <c r="E129" s="9"/>
      <c r="F129" s="9"/>
      <c r="G129" s="9"/>
      <c r="H129" s="9"/>
      <c r="I129" s="6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</row>
    <row r="130" spans="1:49" x14ac:dyDescent="0.25">
      <c r="A130" s="9"/>
      <c r="B130" s="9"/>
      <c r="C130" s="9"/>
      <c r="D130" s="9"/>
      <c r="E130" s="9"/>
      <c r="F130" s="9"/>
      <c r="G130" s="9"/>
      <c r="H130" s="9"/>
      <c r="I130" s="6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spans="1:49" x14ac:dyDescent="0.25">
      <c r="A131" s="9"/>
      <c r="B131" s="9"/>
      <c r="C131" s="9"/>
      <c r="D131" s="9"/>
      <c r="E131" s="9"/>
      <c r="F131" s="9"/>
      <c r="G131" s="9"/>
      <c r="H131" s="9"/>
      <c r="I131" s="6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</row>
    <row r="132" spans="1:49" x14ac:dyDescent="0.25">
      <c r="A132" s="9"/>
      <c r="B132" s="9"/>
      <c r="C132" s="9"/>
      <c r="D132" s="9"/>
      <c r="E132" s="9"/>
      <c r="F132" s="9"/>
      <c r="G132" s="9"/>
      <c r="H132" s="9"/>
      <c r="I132" s="6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</row>
    <row r="133" spans="1:49" x14ac:dyDescent="0.25">
      <c r="A133" s="9"/>
      <c r="B133" s="9"/>
      <c r="C133" s="9"/>
      <c r="D133" s="9"/>
      <c r="E133" s="9"/>
      <c r="F133" s="9"/>
      <c r="G133" s="9"/>
      <c r="H133" s="9"/>
      <c r="I133" s="6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</row>
    <row r="134" spans="1:49" x14ac:dyDescent="0.25">
      <c r="A134" s="9"/>
      <c r="B134" s="9"/>
      <c r="C134" s="9"/>
      <c r="D134" s="9"/>
      <c r="E134" s="9"/>
      <c r="F134" s="9"/>
      <c r="G134" s="9"/>
      <c r="H134" s="9"/>
      <c r="I134" s="6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spans="1:49" x14ac:dyDescent="0.25">
      <c r="A135" s="9"/>
      <c r="B135" s="9"/>
      <c r="C135" s="9"/>
      <c r="D135" s="9"/>
      <c r="E135" s="9"/>
      <c r="F135" s="9"/>
      <c r="G135" s="9"/>
      <c r="H135" s="9"/>
      <c r="I135" s="6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</row>
    <row r="136" spans="1:49" x14ac:dyDescent="0.25">
      <c r="A136" s="9"/>
      <c r="B136" s="9"/>
      <c r="C136" s="9"/>
      <c r="D136" s="9"/>
      <c r="E136" s="9"/>
      <c r="F136" s="9"/>
      <c r="G136" s="9"/>
      <c r="H136" s="9"/>
      <c r="I136" s="6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</row>
    <row r="137" spans="1:49" x14ac:dyDescent="0.25">
      <c r="A137" s="9"/>
      <c r="B137" s="9"/>
      <c r="C137" s="9"/>
      <c r="D137" s="9"/>
      <c r="E137" s="9"/>
      <c r="F137" s="9"/>
      <c r="G137" s="9"/>
      <c r="H137" s="9"/>
      <c r="I137" s="6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</row>
    <row r="138" spans="1:49" x14ac:dyDescent="0.25">
      <c r="A138" s="9"/>
      <c r="B138" s="9"/>
      <c r="C138" s="9"/>
      <c r="D138" s="9"/>
      <c r="E138" s="9"/>
      <c r="F138" s="9"/>
      <c r="G138" s="9"/>
      <c r="H138" s="9"/>
      <c r="I138" s="6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</row>
    <row r="139" spans="1:49" x14ac:dyDescent="0.25">
      <c r="A139" s="9"/>
      <c r="B139" s="9"/>
      <c r="C139" s="9"/>
      <c r="D139" s="9"/>
      <c r="E139" s="9"/>
      <c r="F139" s="9"/>
      <c r="G139" s="9"/>
      <c r="H139" s="9"/>
      <c r="I139" s="6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</row>
    <row r="140" spans="1:49" x14ac:dyDescent="0.25">
      <c r="A140" s="9"/>
      <c r="B140" s="9"/>
      <c r="C140" s="9"/>
      <c r="D140" s="9"/>
      <c r="E140" s="9"/>
      <c r="F140" s="9"/>
      <c r="G140" s="9"/>
      <c r="H140" s="9"/>
      <c r="I140" s="6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</row>
    <row r="141" spans="1:49" x14ac:dyDescent="0.25">
      <c r="A141" s="9"/>
      <c r="B141" s="9"/>
      <c r="C141" s="9"/>
      <c r="D141" s="9"/>
      <c r="E141" s="9"/>
      <c r="F141" s="9"/>
      <c r="G141" s="9"/>
      <c r="H141" s="9"/>
      <c r="I141" s="6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</row>
    <row r="142" spans="1:49" x14ac:dyDescent="0.25">
      <c r="A142" s="9"/>
      <c r="B142" s="9"/>
      <c r="C142" s="9"/>
      <c r="D142" s="9"/>
      <c r="E142" s="9"/>
      <c r="F142" s="9"/>
      <c r="G142" s="9"/>
      <c r="H142" s="9"/>
      <c r="I142" s="6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</row>
    <row r="143" spans="1:49" x14ac:dyDescent="0.25">
      <c r="A143" s="9"/>
      <c r="B143" s="9"/>
      <c r="C143" s="9"/>
      <c r="D143" s="9"/>
      <c r="E143" s="9"/>
      <c r="F143" s="9"/>
      <c r="G143" s="9"/>
      <c r="H143" s="9"/>
      <c r="I143" s="6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</row>
    <row r="144" spans="1:49" x14ac:dyDescent="0.25">
      <c r="A144" s="9"/>
      <c r="B144" s="9"/>
      <c r="C144" s="9"/>
      <c r="D144" s="9"/>
      <c r="E144" s="9"/>
      <c r="F144" s="9"/>
      <c r="G144" s="9"/>
      <c r="H144" s="9"/>
      <c r="I144" s="6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</row>
    <row r="145" spans="1:49" x14ac:dyDescent="0.25">
      <c r="A145" s="9"/>
      <c r="B145" s="9"/>
      <c r="C145" s="9"/>
      <c r="D145" s="9"/>
      <c r="E145" s="9"/>
      <c r="F145" s="9"/>
      <c r="G145" s="9"/>
      <c r="H145" s="9"/>
      <c r="I145" s="6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</row>
    <row r="146" spans="1:49" x14ac:dyDescent="0.25">
      <c r="A146" s="9"/>
      <c r="B146" s="9"/>
      <c r="C146" s="9"/>
      <c r="D146" s="9"/>
      <c r="E146" s="9"/>
      <c r="F146" s="9"/>
      <c r="G146" s="9"/>
      <c r="H146" s="9"/>
      <c r="I146" s="6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</row>
    <row r="147" spans="1:49" x14ac:dyDescent="0.25">
      <c r="A147" s="9"/>
      <c r="B147" s="9"/>
      <c r="C147" s="9"/>
      <c r="D147" s="9"/>
      <c r="E147" s="9"/>
      <c r="F147" s="9"/>
      <c r="G147" s="9"/>
      <c r="H147" s="9"/>
      <c r="I147" s="6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</row>
    <row r="148" spans="1:49" x14ac:dyDescent="0.25">
      <c r="A148" s="9"/>
      <c r="B148" s="9"/>
      <c r="C148" s="9"/>
      <c r="D148" s="9"/>
      <c r="E148" s="9"/>
      <c r="F148" s="9"/>
      <c r="G148" s="9"/>
      <c r="H148" s="9"/>
      <c r="I148" s="6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spans="1:49" x14ac:dyDescent="0.25">
      <c r="A149" s="9"/>
      <c r="B149" s="9"/>
      <c r="C149" s="9"/>
      <c r="D149" s="9"/>
      <c r="E149" s="9"/>
      <c r="F149" s="9"/>
      <c r="G149" s="9"/>
      <c r="H149" s="9"/>
      <c r="I149" s="6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</row>
    <row r="150" spans="1:49" x14ac:dyDescent="0.25">
      <c r="A150" s="9"/>
      <c r="B150" s="9"/>
      <c r="C150" s="9"/>
      <c r="D150" s="9"/>
      <c r="E150" s="9"/>
      <c r="F150" s="9"/>
      <c r="G150" s="9"/>
      <c r="H150" s="9"/>
      <c r="I150" s="6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spans="1:49" x14ac:dyDescent="0.25">
      <c r="A151" s="9"/>
      <c r="B151" s="9"/>
      <c r="C151" s="9"/>
      <c r="D151" s="9"/>
      <c r="E151" s="9"/>
      <c r="F151" s="9"/>
      <c r="G151" s="9"/>
      <c r="H151" s="9"/>
      <c r="I151" s="6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</row>
    <row r="152" spans="1:49" x14ac:dyDescent="0.25">
      <c r="A152" s="9"/>
      <c r="B152" s="9"/>
      <c r="C152" s="9"/>
      <c r="D152" s="9"/>
      <c r="E152" s="9"/>
      <c r="F152" s="9"/>
      <c r="G152" s="9"/>
      <c r="H152" s="9"/>
      <c r="I152" s="6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spans="1:49" x14ac:dyDescent="0.25">
      <c r="A153" s="9"/>
      <c r="B153" s="9"/>
      <c r="C153" s="9"/>
      <c r="D153" s="9"/>
      <c r="E153" s="9"/>
      <c r="F153" s="9"/>
      <c r="G153" s="9"/>
      <c r="H153" s="9"/>
      <c r="I153" s="6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spans="1:49" x14ac:dyDescent="0.25">
      <c r="A154" s="9"/>
      <c r="B154" s="9"/>
      <c r="C154" s="9"/>
      <c r="D154" s="9"/>
      <c r="E154" s="9"/>
      <c r="F154" s="9"/>
      <c r="G154" s="9"/>
      <c r="H154" s="9"/>
      <c r="I154" s="6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spans="1:49" x14ac:dyDescent="0.25">
      <c r="A155" s="9"/>
      <c r="B155" s="9"/>
      <c r="C155" s="9"/>
      <c r="D155" s="9"/>
      <c r="E155" s="9"/>
      <c r="F155" s="9"/>
      <c r="G155" s="9"/>
      <c r="H155" s="9"/>
      <c r="I155" s="6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</row>
    <row r="156" spans="1:49" x14ac:dyDescent="0.25">
      <c r="A156" s="9"/>
      <c r="B156" s="9"/>
      <c r="C156" s="9"/>
      <c r="D156" s="9"/>
      <c r="E156" s="9"/>
      <c r="F156" s="9"/>
      <c r="G156" s="9"/>
      <c r="H156" s="9"/>
      <c r="I156" s="6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</row>
    <row r="157" spans="1:49" x14ac:dyDescent="0.25">
      <c r="A157" s="9"/>
      <c r="B157" s="9"/>
      <c r="C157" s="9"/>
      <c r="D157" s="9"/>
      <c r="E157" s="9"/>
      <c r="F157" s="9"/>
      <c r="G157" s="9"/>
      <c r="H157" s="9"/>
      <c r="I157" s="6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</row>
    <row r="158" spans="1:49" x14ac:dyDescent="0.25">
      <c r="A158" s="9"/>
      <c r="B158" s="9"/>
      <c r="C158" s="9"/>
      <c r="D158" s="9"/>
      <c r="E158" s="9"/>
      <c r="F158" s="9"/>
      <c r="G158" s="9"/>
      <c r="H158" s="9"/>
      <c r="I158" s="6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</row>
    <row r="159" spans="1:49" x14ac:dyDescent="0.25">
      <c r="A159" s="9"/>
      <c r="B159" s="9"/>
      <c r="C159" s="9"/>
      <c r="D159" s="9"/>
      <c r="E159" s="9"/>
      <c r="F159" s="9"/>
      <c r="G159" s="9"/>
      <c r="H159" s="9"/>
      <c r="I159" s="6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</row>
    <row r="160" spans="1:49" x14ac:dyDescent="0.25">
      <c r="A160" s="9"/>
      <c r="B160" s="9"/>
      <c r="C160" s="9"/>
      <c r="D160" s="9"/>
      <c r="E160" s="9"/>
      <c r="F160" s="9"/>
      <c r="G160" s="9"/>
      <c r="H160" s="9"/>
      <c r="I160" s="6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</row>
    <row r="161" spans="1:49" x14ac:dyDescent="0.25">
      <c r="A161" s="9"/>
      <c r="B161" s="9"/>
      <c r="C161" s="9"/>
      <c r="D161" s="9"/>
      <c r="E161" s="9"/>
      <c r="F161" s="9"/>
      <c r="G161" s="9"/>
      <c r="H161" s="9"/>
      <c r="I161" s="6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</row>
    <row r="162" spans="1:49" x14ac:dyDescent="0.25">
      <c r="A162" s="9"/>
      <c r="B162" s="9"/>
      <c r="C162" s="9"/>
      <c r="D162" s="9"/>
      <c r="E162" s="9"/>
      <c r="F162" s="9"/>
      <c r="G162" s="9"/>
      <c r="H162" s="9"/>
      <c r="I162" s="6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</row>
    <row r="163" spans="1:49" x14ac:dyDescent="0.25">
      <c r="A163" s="9"/>
      <c r="B163" s="9"/>
      <c r="C163" s="9"/>
      <c r="D163" s="9"/>
      <c r="E163" s="9"/>
      <c r="F163" s="9"/>
      <c r="G163" s="9"/>
      <c r="H163" s="9"/>
      <c r="I163" s="6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</row>
    <row r="164" spans="1:49" x14ac:dyDescent="0.25">
      <c r="A164" s="9"/>
      <c r="B164" s="9"/>
      <c r="C164" s="9"/>
      <c r="D164" s="9"/>
      <c r="E164" s="9"/>
      <c r="F164" s="9"/>
      <c r="G164" s="9"/>
      <c r="H164" s="9"/>
      <c r="I164" s="6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</row>
    <row r="165" spans="1:49" x14ac:dyDescent="0.25">
      <c r="A165" s="9"/>
      <c r="B165" s="9"/>
      <c r="C165" s="9"/>
      <c r="D165" s="9"/>
      <c r="E165" s="9"/>
      <c r="F165" s="9"/>
      <c r="G165" s="9"/>
      <c r="H165" s="9"/>
      <c r="I165" s="6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</row>
    <row r="166" spans="1:49" x14ac:dyDescent="0.25">
      <c r="A166" s="9"/>
      <c r="B166" s="9"/>
      <c r="C166" s="9"/>
      <c r="D166" s="9"/>
      <c r="E166" s="9"/>
      <c r="F166" s="9"/>
      <c r="G166" s="9"/>
      <c r="H166" s="9"/>
      <c r="I166" s="6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</row>
    <row r="167" spans="1:49" x14ac:dyDescent="0.25">
      <c r="A167" s="9"/>
      <c r="B167" s="9"/>
      <c r="C167" s="9"/>
      <c r="D167" s="9"/>
      <c r="E167" s="9"/>
      <c r="F167" s="9"/>
      <c r="G167" s="9"/>
      <c r="H167" s="9"/>
      <c r="I167" s="6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</row>
    <row r="168" spans="1:49" x14ac:dyDescent="0.25">
      <c r="A168" s="9"/>
      <c r="B168" s="9"/>
      <c r="C168" s="9"/>
      <c r="D168" s="9"/>
      <c r="E168" s="9"/>
      <c r="F168" s="9"/>
      <c r="G168" s="9"/>
      <c r="H168" s="9"/>
      <c r="I168" s="6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</row>
    <row r="169" spans="1:49" x14ac:dyDescent="0.25">
      <c r="A169" s="9"/>
      <c r="B169" s="9"/>
      <c r="C169" s="9"/>
      <c r="D169" s="9"/>
      <c r="E169" s="9"/>
      <c r="F169" s="9"/>
      <c r="G169" s="9"/>
      <c r="H169" s="9"/>
      <c r="I169" s="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</row>
    <row r="170" spans="1:49" x14ac:dyDescent="0.25">
      <c r="A170" s="9"/>
      <c r="B170" s="9"/>
      <c r="C170" s="9"/>
      <c r="D170" s="9"/>
      <c r="E170" s="9"/>
      <c r="F170" s="9"/>
      <c r="G170" s="9"/>
      <c r="H170" s="9"/>
      <c r="I170" s="6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</row>
    <row r="171" spans="1:49" x14ac:dyDescent="0.25">
      <c r="A171" s="9"/>
      <c r="B171" s="9"/>
      <c r="C171" s="9"/>
      <c r="D171" s="9"/>
      <c r="E171" s="9"/>
      <c r="F171" s="9"/>
      <c r="G171" s="9"/>
      <c r="H171" s="9"/>
      <c r="I171" s="6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</row>
    <row r="172" spans="1:49" x14ac:dyDescent="0.25">
      <c r="A172" s="9"/>
      <c r="B172" s="9"/>
      <c r="C172" s="9"/>
      <c r="D172" s="9"/>
      <c r="E172" s="9"/>
      <c r="F172" s="9"/>
      <c r="G172" s="9"/>
      <c r="H172" s="9"/>
      <c r="I172" s="6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</row>
    <row r="173" spans="1:49" x14ac:dyDescent="0.25">
      <c r="A173" s="9"/>
      <c r="B173" s="9"/>
      <c r="C173" s="9"/>
      <c r="D173" s="9"/>
      <c r="E173" s="9"/>
      <c r="F173" s="9"/>
      <c r="G173" s="9"/>
      <c r="H173" s="9"/>
      <c r="I173" s="6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</row>
    <row r="174" spans="1:49" x14ac:dyDescent="0.25">
      <c r="A174" s="9"/>
      <c r="B174" s="9"/>
      <c r="C174" s="9"/>
      <c r="D174" s="9"/>
      <c r="E174" s="9"/>
      <c r="F174" s="9"/>
      <c r="G174" s="9"/>
      <c r="H174" s="9"/>
      <c r="I174" s="6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</row>
    <row r="175" spans="1:49" x14ac:dyDescent="0.25">
      <c r="A175" s="9"/>
      <c r="B175" s="9"/>
      <c r="C175" s="9"/>
      <c r="D175" s="9"/>
      <c r="E175" s="9"/>
      <c r="F175" s="9"/>
      <c r="G175" s="9"/>
      <c r="H175" s="9"/>
      <c r="I175" s="6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</row>
    <row r="176" spans="1:49" x14ac:dyDescent="0.25">
      <c r="A176" s="9"/>
      <c r="B176" s="9"/>
      <c r="C176" s="9"/>
      <c r="D176" s="9"/>
      <c r="E176" s="9"/>
      <c r="F176" s="9"/>
      <c r="G176" s="9"/>
      <c r="H176" s="9"/>
      <c r="I176" s="6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</row>
    <row r="177" spans="1:49" x14ac:dyDescent="0.25">
      <c r="A177" s="9"/>
      <c r="B177" s="9"/>
      <c r="C177" s="9"/>
      <c r="D177" s="9"/>
      <c r="E177" s="9"/>
      <c r="F177" s="9"/>
      <c r="G177" s="9"/>
      <c r="H177" s="9"/>
      <c r="I177" s="6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</row>
    <row r="178" spans="1:49" x14ac:dyDescent="0.25">
      <c r="A178" s="9"/>
      <c r="B178" s="9"/>
      <c r="C178" s="9"/>
      <c r="D178" s="9"/>
      <c r="E178" s="9"/>
      <c r="F178" s="9"/>
      <c r="G178" s="9"/>
      <c r="H178" s="9"/>
      <c r="I178" s="6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</row>
    <row r="179" spans="1:49" x14ac:dyDescent="0.25">
      <c r="A179" s="9"/>
      <c r="B179" s="9"/>
      <c r="C179" s="9"/>
      <c r="D179" s="9"/>
      <c r="E179" s="9"/>
      <c r="F179" s="9"/>
      <c r="G179" s="9"/>
      <c r="H179" s="9"/>
      <c r="I179" s="6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</row>
    <row r="180" spans="1:49" x14ac:dyDescent="0.25">
      <c r="A180" s="9"/>
      <c r="B180" s="9"/>
      <c r="C180" s="9"/>
      <c r="D180" s="9"/>
      <c r="E180" s="9"/>
      <c r="F180" s="9"/>
      <c r="G180" s="9"/>
      <c r="H180" s="9"/>
      <c r="I180" s="6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</row>
    <row r="181" spans="1:49" x14ac:dyDescent="0.25">
      <c r="A181" s="9"/>
      <c r="B181" s="9"/>
      <c r="C181" s="9"/>
      <c r="D181" s="9"/>
      <c r="E181" s="9"/>
      <c r="F181" s="9"/>
      <c r="G181" s="9"/>
      <c r="H181" s="9"/>
      <c r="I181" s="6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</row>
    <row r="182" spans="1:49" x14ac:dyDescent="0.25">
      <c r="A182" s="9"/>
      <c r="B182" s="9"/>
      <c r="C182" s="9"/>
      <c r="D182" s="9"/>
      <c r="E182" s="9"/>
      <c r="F182" s="9"/>
      <c r="G182" s="9"/>
      <c r="H182" s="9"/>
      <c r="I182" s="6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</row>
    <row r="183" spans="1:49" x14ac:dyDescent="0.25">
      <c r="A183" s="9"/>
      <c r="B183" s="9"/>
      <c r="C183" s="9"/>
      <c r="D183" s="9"/>
      <c r="E183" s="9"/>
      <c r="F183" s="9"/>
      <c r="G183" s="9"/>
      <c r="H183" s="9"/>
      <c r="I183" s="6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</row>
    <row r="184" spans="1:49" x14ac:dyDescent="0.25">
      <c r="A184" s="9"/>
      <c r="B184" s="9"/>
      <c r="C184" s="9"/>
      <c r="D184" s="9"/>
      <c r="E184" s="9"/>
      <c r="F184" s="9"/>
      <c r="G184" s="9"/>
      <c r="H184" s="9"/>
      <c r="I184" s="6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</row>
    <row r="185" spans="1:49" x14ac:dyDescent="0.25">
      <c r="A185" s="9"/>
      <c r="B185" s="9"/>
      <c r="C185" s="9"/>
      <c r="D185" s="9"/>
      <c r="E185" s="9"/>
      <c r="F185" s="9"/>
      <c r="G185" s="9"/>
      <c r="H185" s="9"/>
      <c r="I185" s="6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</row>
    <row r="186" spans="1:49" x14ac:dyDescent="0.25">
      <c r="A186" s="9"/>
      <c r="B186" s="9"/>
      <c r="C186" s="9"/>
      <c r="D186" s="9"/>
      <c r="E186" s="9"/>
      <c r="F186" s="9"/>
      <c r="G186" s="9"/>
      <c r="H186" s="9"/>
      <c r="I186" s="6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</row>
    <row r="187" spans="1:49" x14ac:dyDescent="0.25">
      <c r="A187" s="9"/>
      <c r="B187" s="9"/>
      <c r="C187" s="9"/>
      <c r="D187" s="9"/>
      <c r="E187" s="9"/>
      <c r="F187" s="9"/>
      <c r="G187" s="9"/>
      <c r="H187" s="9"/>
      <c r="I187" s="6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</row>
    <row r="188" spans="1:49" x14ac:dyDescent="0.25">
      <c r="A188" s="9"/>
      <c r="B188" s="9"/>
      <c r="C188" s="9"/>
      <c r="D188" s="9"/>
      <c r="E188" s="9"/>
      <c r="F188" s="9"/>
      <c r="G188" s="9"/>
      <c r="H188" s="9"/>
      <c r="I188" s="6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</row>
    <row r="189" spans="1:49" x14ac:dyDescent="0.25">
      <c r="A189" s="9"/>
      <c r="B189" s="9"/>
      <c r="C189" s="9"/>
      <c r="D189" s="9"/>
      <c r="E189" s="9"/>
      <c r="F189" s="9"/>
      <c r="G189" s="9"/>
      <c r="H189" s="9"/>
      <c r="I189" s="6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</row>
    <row r="190" spans="1:49" x14ac:dyDescent="0.25">
      <c r="A190" s="9"/>
      <c r="B190" s="9"/>
      <c r="C190" s="9"/>
      <c r="D190" s="9"/>
      <c r="E190" s="9"/>
      <c r="F190" s="9"/>
      <c r="G190" s="9"/>
      <c r="H190" s="9"/>
      <c r="I190" s="6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</row>
    <row r="191" spans="1:49" x14ac:dyDescent="0.25">
      <c r="A191" s="9"/>
      <c r="B191" s="9"/>
      <c r="C191" s="9"/>
      <c r="D191" s="9"/>
      <c r="E191" s="9"/>
      <c r="F191" s="9"/>
      <c r="G191" s="9"/>
      <c r="H191" s="9"/>
      <c r="I191" s="6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</row>
    <row r="192" spans="1:49" x14ac:dyDescent="0.25">
      <c r="A192" s="9"/>
      <c r="B192" s="9"/>
      <c r="C192" s="9"/>
      <c r="D192" s="9"/>
      <c r="E192" s="9"/>
      <c r="F192" s="9"/>
      <c r="G192" s="9"/>
      <c r="H192" s="9"/>
      <c r="I192" s="6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</row>
    <row r="193" spans="1:49" x14ac:dyDescent="0.25">
      <c r="A193" s="9"/>
      <c r="B193" s="9"/>
      <c r="C193" s="9"/>
      <c r="D193" s="9"/>
      <c r="E193" s="9"/>
      <c r="F193" s="9"/>
      <c r="G193" s="9"/>
      <c r="H193" s="9"/>
      <c r="I193" s="6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</row>
    <row r="194" spans="1:49" x14ac:dyDescent="0.25">
      <c r="A194" s="9"/>
      <c r="B194" s="9"/>
      <c r="C194" s="9"/>
      <c r="D194" s="9"/>
      <c r="E194" s="9"/>
      <c r="F194" s="9"/>
      <c r="G194" s="9"/>
      <c r="H194" s="9"/>
      <c r="I194" s="6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</row>
    <row r="195" spans="1:49" x14ac:dyDescent="0.25">
      <c r="A195" s="9"/>
      <c r="B195" s="9"/>
      <c r="C195" s="9"/>
      <c r="D195" s="9"/>
      <c r="E195" s="9"/>
      <c r="F195" s="9"/>
      <c r="G195" s="9"/>
      <c r="H195" s="9"/>
      <c r="I195" s="6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</row>
    <row r="196" spans="1:49" x14ac:dyDescent="0.25">
      <c r="A196" s="9"/>
      <c r="B196" s="9"/>
      <c r="C196" s="9"/>
      <c r="D196" s="9"/>
      <c r="E196" s="9"/>
      <c r="F196" s="9"/>
      <c r="G196" s="9"/>
      <c r="H196" s="9"/>
      <c r="I196" s="6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</row>
    <row r="197" spans="1:49" x14ac:dyDescent="0.25">
      <c r="A197" s="9"/>
      <c r="B197" s="9"/>
      <c r="C197" s="9"/>
      <c r="D197" s="9"/>
      <c r="E197" s="9"/>
      <c r="F197" s="9"/>
      <c r="G197" s="9"/>
      <c r="H197" s="9"/>
      <c r="I197" s="6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spans="1:49" x14ac:dyDescent="0.25">
      <c r="A198" s="9"/>
      <c r="B198" s="9"/>
      <c r="C198" s="9"/>
      <c r="D198" s="9"/>
      <c r="E198" s="9"/>
      <c r="F198" s="9"/>
      <c r="G198" s="9"/>
      <c r="H198" s="9"/>
      <c r="I198" s="6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spans="1:49" x14ac:dyDescent="0.25">
      <c r="A199" s="9"/>
      <c r="B199" s="9"/>
      <c r="C199" s="9"/>
      <c r="D199" s="9"/>
      <c r="E199" s="9"/>
      <c r="F199" s="9"/>
      <c r="G199" s="9"/>
      <c r="H199" s="9"/>
      <c r="I199" s="6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spans="1:49" x14ac:dyDescent="0.25">
      <c r="A200" s="9"/>
      <c r="B200" s="9"/>
      <c r="C200" s="9"/>
      <c r="D200" s="9"/>
      <c r="E200" s="9"/>
      <c r="F200" s="9"/>
      <c r="G200" s="9"/>
      <c r="H200" s="9"/>
      <c r="I200" s="6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spans="1:49" x14ac:dyDescent="0.25">
      <c r="A201" s="9"/>
      <c r="B201" s="9"/>
      <c r="C201" s="9"/>
      <c r="D201" s="9"/>
      <c r="E201" s="9"/>
      <c r="F201" s="9"/>
      <c r="G201" s="9"/>
      <c r="H201" s="9"/>
      <c r="I201" s="6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spans="1:49" x14ac:dyDescent="0.25">
      <c r="A202" s="9"/>
      <c r="B202" s="9"/>
      <c r="C202" s="9"/>
      <c r="D202" s="9"/>
      <c r="E202" s="9"/>
      <c r="F202" s="9"/>
      <c r="G202" s="9"/>
      <c r="H202" s="9"/>
      <c r="I202" s="6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spans="1:49" x14ac:dyDescent="0.25">
      <c r="A203" s="9"/>
      <c r="B203" s="9"/>
      <c r="C203" s="9"/>
      <c r="D203" s="9"/>
      <c r="E203" s="9"/>
      <c r="F203" s="9"/>
      <c r="G203" s="9"/>
      <c r="H203" s="9"/>
      <c r="I203" s="6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spans="1:49" x14ac:dyDescent="0.25">
      <c r="A204" s="9"/>
      <c r="B204" s="9"/>
      <c r="C204" s="9"/>
      <c r="D204" s="9"/>
      <c r="E204" s="9"/>
      <c r="F204" s="9"/>
      <c r="G204" s="9"/>
      <c r="H204" s="9"/>
      <c r="I204" s="6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spans="1:49" x14ac:dyDescent="0.25">
      <c r="A205" s="9"/>
      <c r="B205" s="9"/>
      <c r="C205" s="9"/>
      <c r="D205" s="9"/>
      <c r="E205" s="9"/>
      <c r="F205" s="9"/>
      <c r="G205" s="9"/>
      <c r="H205" s="9"/>
      <c r="I205" s="6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spans="1:49" x14ac:dyDescent="0.25">
      <c r="A206" s="9"/>
      <c r="B206" s="9"/>
      <c r="C206" s="9"/>
      <c r="D206" s="9"/>
      <c r="E206" s="9"/>
      <c r="F206" s="9"/>
      <c r="G206" s="9"/>
      <c r="H206" s="9"/>
      <c r="I206" s="6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spans="1:49" x14ac:dyDescent="0.25">
      <c r="A207" s="9"/>
      <c r="B207" s="9"/>
      <c r="C207" s="9"/>
      <c r="D207" s="9"/>
      <c r="E207" s="9"/>
      <c r="F207" s="9"/>
      <c r="G207" s="9"/>
      <c r="H207" s="9"/>
      <c r="I207" s="6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spans="1:49" x14ac:dyDescent="0.25">
      <c r="A208" s="9"/>
      <c r="B208" s="9"/>
      <c r="C208" s="9"/>
      <c r="D208" s="9"/>
      <c r="E208" s="9"/>
      <c r="F208" s="9"/>
      <c r="G208" s="9"/>
      <c r="H208" s="9"/>
      <c r="I208" s="6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spans="1:49" x14ac:dyDescent="0.25">
      <c r="A209" s="9"/>
      <c r="B209" s="9"/>
      <c r="C209" s="9"/>
      <c r="D209" s="9"/>
      <c r="E209" s="9"/>
      <c r="F209" s="9"/>
      <c r="G209" s="9"/>
      <c r="H209" s="9"/>
      <c r="I209" s="6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spans="1:49" x14ac:dyDescent="0.25">
      <c r="A210" s="9"/>
      <c r="B210" s="9"/>
      <c r="C210" s="9"/>
      <c r="D210" s="9"/>
      <c r="E210" s="9"/>
      <c r="F210" s="9"/>
      <c r="G210" s="9"/>
      <c r="H210" s="9"/>
      <c r="I210" s="6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spans="1:49" x14ac:dyDescent="0.25">
      <c r="A211" s="9"/>
      <c r="B211" s="9"/>
      <c r="C211" s="9"/>
      <c r="D211" s="9"/>
      <c r="E211" s="9"/>
      <c r="F211" s="9"/>
      <c r="G211" s="9"/>
      <c r="H211" s="9"/>
      <c r="I211" s="6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spans="1:49" x14ac:dyDescent="0.25">
      <c r="A212" s="9"/>
      <c r="B212" s="9"/>
      <c r="C212" s="9"/>
      <c r="D212" s="9"/>
      <c r="E212" s="9"/>
      <c r="F212" s="9"/>
      <c r="G212" s="9"/>
      <c r="H212" s="9"/>
      <c r="I212" s="6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spans="1:49" x14ac:dyDescent="0.25">
      <c r="A213" s="9"/>
      <c r="B213" s="9"/>
      <c r="C213" s="9"/>
      <c r="D213" s="9"/>
      <c r="E213" s="9"/>
      <c r="F213" s="9"/>
      <c r="G213" s="9"/>
      <c r="H213" s="9"/>
      <c r="I213" s="6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spans="1:49" x14ac:dyDescent="0.25">
      <c r="A214" s="9"/>
      <c r="B214" s="9"/>
      <c r="C214" s="9"/>
      <c r="D214" s="9"/>
      <c r="E214" s="9"/>
      <c r="F214" s="9"/>
      <c r="G214" s="9"/>
      <c r="H214" s="9"/>
      <c r="I214" s="6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spans="1:49" x14ac:dyDescent="0.25">
      <c r="A215" s="9"/>
      <c r="B215" s="9"/>
      <c r="C215" s="9"/>
      <c r="D215" s="9"/>
      <c r="E215" s="9"/>
      <c r="F215" s="9"/>
      <c r="G215" s="9"/>
      <c r="H215" s="9"/>
      <c r="I215" s="6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spans="1:49" x14ac:dyDescent="0.25">
      <c r="A216" s="9"/>
      <c r="B216" s="9"/>
      <c r="C216" s="9"/>
      <c r="D216" s="9"/>
      <c r="E216" s="9"/>
      <c r="F216" s="9"/>
      <c r="G216" s="9"/>
      <c r="H216" s="9"/>
      <c r="I216" s="6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spans="1:49" x14ac:dyDescent="0.25">
      <c r="A217" s="9"/>
      <c r="B217" s="9"/>
      <c r="C217" s="9"/>
      <c r="D217" s="9"/>
      <c r="E217" s="9"/>
      <c r="F217" s="9"/>
      <c r="G217" s="9"/>
      <c r="H217" s="9"/>
      <c r="I217" s="6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spans="1:49" x14ac:dyDescent="0.25">
      <c r="A218" s="9"/>
      <c r="B218" s="9"/>
      <c r="C218" s="9"/>
      <c r="D218" s="9"/>
      <c r="E218" s="9"/>
      <c r="F218" s="9"/>
      <c r="G218" s="9"/>
      <c r="H218" s="9"/>
      <c r="I218" s="6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spans="1:49" x14ac:dyDescent="0.25">
      <c r="A219" s="9"/>
      <c r="B219" s="9"/>
      <c r="C219" s="9"/>
      <c r="D219" s="9"/>
      <c r="E219" s="9"/>
      <c r="F219" s="9"/>
      <c r="G219" s="9"/>
      <c r="H219" s="9"/>
      <c r="I219" s="6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spans="1:49" x14ac:dyDescent="0.25">
      <c r="A220" s="9"/>
      <c r="B220" s="9"/>
      <c r="C220" s="9"/>
      <c r="D220" s="9"/>
      <c r="E220" s="9"/>
      <c r="F220" s="9"/>
      <c r="G220" s="9"/>
      <c r="H220" s="9"/>
      <c r="I220" s="6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spans="1:49" x14ac:dyDescent="0.25">
      <c r="A221" s="9"/>
      <c r="B221" s="9"/>
      <c r="C221" s="9"/>
      <c r="D221" s="9"/>
      <c r="E221" s="9"/>
      <c r="F221" s="9"/>
      <c r="G221" s="9"/>
      <c r="H221" s="9"/>
      <c r="I221" s="6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spans="1:49" x14ac:dyDescent="0.25">
      <c r="A222" s="9"/>
      <c r="B222" s="9"/>
      <c r="C222" s="9"/>
      <c r="D222" s="9"/>
      <c r="E222" s="9"/>
      <c r="F222" s="9"/>
      <c r="G222" s="9"/>
      <c r="H222" s="9"/>
      <c r="I222" s="6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spans="1:49" x14ac:dyDescent="0.25">
      <c r="A223" s="9"/>
      <c r="B223" s="9"/>
      <c r="C223" s="9"/>
      <c r="D223" s="9"/>
      <c r="E223" s="9"/>
      <c r="F223" s="9"/>
      <c r="G223" s="9"/>
      <c r="H223" s="9"/>
      <c r="I223" s="6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spans="1:49" x14ac:dyDescent="0.25">
      <c r="A224" s="9"/>
      <c r="B224" s="9"/>
      <c r="C224" s="9"/>
      <c r="D224" s="9"/>
      <c r="E224" s="9"/>
      <c r="F224" s="9"/>
      <c r="G224" s="9"/>
      <c r="H224" s="9"/>
      <c r="I224" s="6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spans="1:49" x14ac:dyDescent="0.25">
      <c r="A225" s="9"/>
      <c r="B225" s="9"/>
      <c r="C225" s="9"/>
      <c r="D225" s="9"/>
      <c r="E225" s="9"/>
      <c r="F225" s="9"/>
      <c r="G225" s="9"/>
      <c r="H225" s="9"/>
      <c r="I225" s="6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spans="1:49" x14ac:dyDescent="0.25">
      <c r="A226" s="9"/>
      <c r="B226" s="9"/>
      <c r="C226" s="9"/>
      <c r="D226" s="9"/>
      <c r="E226" s="9"/>
      <c r="F226" s="9"/>
      <c r="G226" s="9"/>
      <c r="H226" s="9"/>
      <c r="I226" s="6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spans="1:49" x14ac:dyDescent="0.25">
      <c r="A227" s="9"/>
      <c r="B227" s="9"/>
      <c r="C227" s="9"/>
      <c r="D227" s="9"/>
      <c r="E227" s="9"/>
      <c r="F227" s="9"/>
      <c r="G227" s="9"/>
      <c r="H227" s="9"/>
      <c r="I227" s="6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spans="1:49" x14ac:dyDescent="0.25">
      <c r="A228" s="9"/>
      <c r="B228" s="9"/>
      <c r="C228" s="9"/>
      <c r="D228" s="9"/>
      <c r="E228" s="9"/>
      <c r="F228" s="9"/>
      <c r="G228" s="9"/>
      <c r="H228" s="9"/>
      <c r="I228" s="6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spans="1:49" x14ac:dyDescent="0.25">
      <c r="A229" s="9"/>
      <c r="B229" s="9"/>
      <c r="C229" s="9"/>
      <c r="D229" s="9"/>
      <c r="E229" s="9"/>
      <c r="F229" s="9"/>
      <c r="G229" s="9"/>
      <c r="H229" s="9"/>
      <c r="I229" s="6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  <row r="230" spans="1:49" x14ac:dyDescent="0.25">
      <c r="A230" s="9"/>
      <c r="B230" s="9"/>
      <c r="C230" s="9"/>
      <c r="D230" s="9"/>
      <c r="E230" s="9"/>
      <c r="F230" s="9"/>
      <c r="G230" s="9"/>
      <c r="H230" s="9"/>
      <c r="I230" s="6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</row>
    <row r="231" spans="1:49" x14ac:dyDescent="0.25">
      <c r="A231" s="9"/>
      <c r="B231" s="9"/>
      <c r="C231" s="9"/>
      <c r="D231" s="9"/>
      <c r="E231" s="9"/>
      <c r="F231" s="9"/>
      <c r="G231" s="9"/>
      <c r="H231" s="9"/>
      <c r="I231" s="6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</row>
    <row r="232" spans="1:49" x14ac:dyDescent="0.25">
      <c r="A232" s="9"/>
      <c r="B232" s="9"/>
      <c r="C232" s="9"/>
      <c r="D232" s="9"/>
      <c r="E232" s="9"/>
      <c r="F232" s="9"/>
      <c r="G232" s="9"/>
      <c r="H232" s="9"/>
      <c r="I232" s="6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</row>
    <row r="233" spans="1:49" x14ac:dyDescent="0.25">
      <c r="A233" s="9"/>
      <c r="B233" s="9"/>
      <c r="C233" s="9"/>
      <c r="D233" s="9"/>
      <c r="E233" s="9"/>
      <c r="F233" s="9"/>
      <c r="G233" s="9"/>
      <c r="H233" s="9"/>
      <c r="I233" s="6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</row>
    <row r="234" spans="1:49" x14ac:dyDescent="0.25">
      <c r="A234" s="9"/>
      <c r="B234" s="9"/>
      <c r="C234" s="9"/>
      <c r="D234" s="9"/>
      <c r="E234" s="9"/>
      <c r="F234" s="9"/>
      <c r="G234" s="9"/>
      <c r="H234" s="9"/>
      <c r="I234" s="6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</row>
    <row r="235" spans="1:49" x14ac:dyDescent="0.25">
      <c r="A235" s="9"/>
      <c r="B235" s="9"/>
      <c r="C235" s="9"/>
      <c r="D235" s="9"/>
      <c r="E235" s="9"/>
      <c r="F235" s="9"/>
      <c r="G235" s="9"/>
      <c r="H235" s="9"/>
      <c r="I235" s="6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</row>
    <row r="236" spans="1:49" x14ac:dyDescent="0.25">
      <c r="A236" s="9"/>
      <c r="B236" s="9"/>
      <c r="C236" s="9"/>
      <c r="D236" s="9"/>
      <c r="E236" s="9"/>
      <c r="F236" s="9"/>
      <c r="G236" s="9"/>
      <c r="H236" s="9"/>
      <c r="I236" s="6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</row>
    <row r="237" spans="1:49" x14ac:dyDescent="0.25">
      <c r="A237" s="9"/>
      <c r="B237" s="9"/>
      <c r="C237" s="9"/>
      <c r="D237" s="9"/>
      <c r="E237" s="9"/>
      <c r="F237" s="9"/>
      <c r="G237" s="9"/>
      <c r="H237" s="9"/>
      <c r="I237" s="6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</row>
    <row r="238" spans="1:49" x14ac:dyDescent="0.25">
      <c r="A238" s="9"/>
      <c r="B238" s="9"/>
      <c r="C238" s="9"/>
      <c r="D238" s="9"/>
      <c r="E238" s="9"/>
      <c r="F238" s="9"/>
      <c r="G238" s="9"/>
      <c r="H238" s="9"/>
      <c r="I238" s="6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</row>
    <row r="239" spans="1:49" x14ac:dyDescent="0.25">
      <c r="A239" s="9"/>
      <c r="B239" s="9"/>
      <c r="C239" s="9"/>
      <c r="D239" s="9"/>
      <c r="E239" s="9"/>
      <c r="F239" s="9"/>
      <c r="G239" s="9"/>
      <c r="H239" s="9"/>
      <c r="I239" s="6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</row>
    <row r="240" spans="1:49" x14ac:dyDescent="0.25">
      <c r="A240" s="9"/>
      <c r="B240" s="9"/>
      <c r="C240" s="9"/>
      <c r="D240" s="9"/>
      <c r="E240" s="9"/>
      <c r="F240" s="9"/>
      <c r="G240" s="9"/>
      <c r="H240" s="9"/>
      <c r="I240" s="6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</row>
    <row r="241" spans="1:49" x14ac:dyDescent="0.25">
      <c r="A241" s="9"/>
      <c r="B241" s="9"/>
      <c r="C241" s="9"/>
      <c r="D241" s="9"/>
      <c r="E241" s="9"/>
      <c r="F241" s="9"/>
      <c r="G241" s="9"/>
      <c r="H241" s="9"/>
      <c r="I241" s="6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</row>
    <row r="242" spans="1:49" x14ac:dyDescent="0.25">
      <c r="A242" s="9"/>
      <c r="B242" s="9"/>
      <c r="C242" s="9"/>
      <c r="D242" s="9"/>
      <c r="E242" s="9"/>
      <c r="F242" s="9"/>
      <c r="G242" s="9"/>
      <c r="H242" s="9"/>
      <c r="I242" s="6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</row>
    <row r="243" spans="1:49" x14ac:dyDescent="0.25">
      <c r="A243" s="9"/>
      <c r="B243" s="9"/>
      <c r="C243" s="9"/>
      <c r="D243" s="9"/>
      <c r="E243" s="9"/>
      <c r="F243" s="9"/>
      <c r="G243" s="9"/>
      <c r="H243" s="9"/>
      <c r="I243" s="6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</row>
    <row r="244" spans="1:49" x14ac:dyDescent="0.25">
      <c r="A244" s="9"/>
      <c r="B244" s="9"/>
      <c r="C244" s="9"/>
      <c r="D244" s="9"/>
      <c r="E244" s="9"/>
      <c r="F244" s="9"/>
      <c r="G244" s="9"/>
      <c r="H244" s="9"/>
      <c r="I244" s="6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</row>
    <row r="245" spans="1:49" x14ac:dyDescent="0.25">
      <c r="A245" s="9"/>
      <c r="B245" s="9"/>
      <c r="C245" s="9"/>
      <c r="D245" s="9"/>
      <c r="E245" s="9"/>
      <c r="F245" s="9"/>
      <c r="G245" s="9"/>
      <c r="H245" s="9"/>
      <c r="I245" s="6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</row>
    <row r="246" spans="1:49" x14ac:dyDescent="0.25">
      <c r="A246" s="9"/>
      <c r="B246" s="9"/>
      <c r="C246" s="9"/>
      <c r="D246" s="9"/>
      <c r="E246" s="9"/>
      <c r="F246" s="9"/>
      <c r="G246" s="9"/>
      <c r="H246" s="9"/>
      <c r="I246" s="6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</row>
    <row r="247" spans="1:49" x14ac:dyDescent="0.25">
      <c r="A247" s="9"/>
      <c r="B247" s="9"/>
      <c r="C247" s="9"/>
      <c r="D247" s="9"/>
      <c r="E247" s="9"/>
      <c r="F247" s="9"/>
      <c r="G247" s="9"/>
      <c r="H247" s="9"/>
      <c r="I247" s="6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</row>
    <row r="248" spans="1:49" x14ac:dyDescent="0.25">
      <c r="A248" s="9"/>
      <c r="B248" s="9"/>
      <c r="C248" s="9"/>
      <c r="D248" s="9"/>
      <c r="E248" s="9"/>
      <c r="F248" s="9"/>
      <c r="G248" s="9"/>
      <c r="H248" s="9"/>
      <c r="I248" s="6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</row>
    <row r="249" spans="1:49" x14ac:dyDescent="0.25">
      <c r="A249" s="9"/>
      <c r="B249" s="9"/>
      <c r="C249" s="9"/>
      <c r="D249" s="9"/>
      <c r="E249" s="9"/>
      <c r="F249" s="9"/>
      <c r="G249" s="9"/>
      <c r="H249" s="9"/>
      <c r="I249" s="6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</row>
    <row r="250" spans="1:49" x14ac:dyDescent="0.25">
      <c r="A250" s="9"/>
      <c r="B250" s="9"/>
      <c r="C250" s="9"/>
      <c r="D250" s="9"/>
      <c r="E250" s="9"/>
      <c r="F250" s="9"/>
      <c r="G250" s="9"/>
      <c r="H250" s="9"/>
      <c r="I250" s="6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</row>
    <row r="251" spans="1:49" x14ac:dyDescent="0.25">
      <c r="A251" s="9"/>
      <c r="B251" s="9"/>
      <c r="C251" s="9"/>
      <c r="D251" s="9"/>
      <c r="E251" s="9"/>
      <c r="F251" s="9"/>
      <c r="G251" s="9"/>
      <c r="H251" s="9"/>
      <c r="I251" s="6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</row>
    <row r="252" spans="1:49" x14ac:dyDescent="0.25">
      <c r="A252" s="9"/>
      <c r="B252" s="9"/>
      <c r="C252" s="9"/>
      <c r="D252" s="9"/>
      <c r="E252" s="9"/>
      <c r="F252" s="9"/>
      <c r="G252" s="9"/>
      <c r="H252" s="9"/>
      <c r="I252" s="6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</row>
    <row r="253" spans="1:49" x14ac:dyDescent="0.25">
      <c r="A253" s="9"/>
      <c r="B253" s="9"/>
      <c r="C253" s="9"/>
      <c r="D253" s="9"/>
      <c r="E253" s="9"/>
      <c r="F253" s="9"/>
      <c r="G253" s="9"/>
      <c r="H253" s="9"/>
      <c r="I253" s="6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</row>
    <row r="254" spans="1:49" x14ac:dyDescent="0.25">
      <c r="A254" s="9"/>
      <c r="B254" s="9"/>
      <c r="C254" s="9"/>
      <c r="D254" s="9"/>
      <c r="E254" s="9"/>
      <c r="F254" s="9"/>
      <c r="G254" s="9"/>
      <c r="H254" s="9"/>
      <c r="I254" s="6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</row>
    <row r="255" spans="1:49" x14ac:dyDescent="0.25">
      <c r="A255" s="9"/>
      <c r="B255" s="9"/>
      <c r="C255" s="9"/>
      <c r="D255" s="9"/>
      <c r="E255" s="9"/>
      <c r="F255" s="9"/>
      <c r="G255" s="9"/>
      <c r="H255" s="9"/>
      <c r="I255" s="6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</row>
    <row r="256" spans="1:49" x14ac:dyDescent="0.25">
      <c r="A256" s="9"/>
      <c r="B256" s="9"/>
      <c r="C256" s="9"/>
      <c r="D256" s="9"/>
      <c r="E256" s="9"/>
      <c r="F256" s="9"/>
      <c r="G256" s="9"/>
      <c r="H256" s="9"/>
      <c r="I256" s="6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</row>
    <row r="257" spans="1:49" x14ac:dyDescent="0.25">
      <c r="A257" s="9"/>
      <c r="B257" s="9"/>
      <c r="C257" s="9"/>
      <c r="D257" s="9"/>
      <c r="E257" s="9"/>
      <c r="F257" s="9"/>
      <c r="G257" s="9"/>
      <c r="H257" s="9"/>
      <c r="I257" s="6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</row>
    <row r="258" spans="1:49" x14ac:dyDescent="0.25">
      <c r="A258" s="9"/>
      <c r="B258" s="9"/>
      <c r="C258" s="9"/>
      <c r="D258" s="9"/>
      <c r="E258" s="9"/>
      <c r="F258" s="9"/>
      <c r="G258" s="9"/>
      <c r="H258" s="9"/>
      <c r="I258" s="6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</row>
    <row r="259" spans="1:49" x14ac:dyDescent="0.25">
      <c r="A259" s="9"/>
      <c r="B259" s="9"/>
      <c r="C259" s="9"/>
      <c r="D259" s="9"/>
      <c r="E259" s="9"/>
      <c r="F259" s="9"/>
      <c r="G259" s="9"/>
      <c r="H259" s="9"/>
      <c r="I259" s="6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</row>
    <row r="260" spans="1:49" x14ac:dyDescent="0.25">
      <c r="A260" s="9"/>
      <c r="B260" s="9"/>
      <c r="C260" s="9"/>
      <c r="D260" s="9"/>
      <c r="E260" s="9"/>
      <c r="F260" s="9"/>
      <c r="G260" s="9"/>
      <c r="H260" s="9"/>
      <c r="I260" s="6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</row>
    <row r="261" spans="1:49" x14ac:dyDescent="0.25">
      <c r="A261" s="9"/>
      <c r="B261" s="9"/>
      <c r="C261" s="9"/>
      <c r="D261" s="9"/>
      <c r="E261" s="9"/>
      <c r="F261" s="9"/>
      <c r="G261" s="9"/>
      <c r="H261" s="9"/>
      <c r="I261" s="6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</row>
    <row r="262" spans="1:49" x14ac:dyDescent="0.25">
      <c r="A262" s="9"/>
      <c r="B262" s="9"/>
      <c r="C262" s="9"/>
      <c r="D262" s="9"/>
      <c r="E262" s="9"/>
      <c r="F262" s="9"/>
      <c r="G262" s="9"/>
      <c r="H262" s="9"/>
      <c r="I262" s="6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</row>
    <row r="263" spans="1:49" x14ac:dyDescent="0.25">
      <c r="A263" s="9"/>
      <c r="B263" s="9"/>
      <c r="C263" s="9"/>
      <c r="D263" s="9"/>
      <c r="E263" s="9"/>
      <c r="F263" s="9"/>
      <c r="G263" s="9"/>
      <c r="H263" s="9"/>
      <c r="I263" s="6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</row>
    <row r="264" spans="1:49" x14ac:dyDescent="0.25">
      <c r="A264" s="9"/>
      <c r="B264" s="9"/>
      <c r="C264" s="9"/>
      <c r="D264" s="9"/>
      <c r="E264" s="9"/>
      <c r="F264" s="9"/>
      <c r="G264" s="9"/>
      <c r="H264" s="9"/>
      <c r="I264" s="6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</row>
    <row r="265" spans="1:49" x14ac:dyDescent="0.25">
      <c r="A265" s="9"/>
      <c r="B265" s="9"/>
      <c r="C265" s="9"/>
      <c r="D265" s="9"/>
      <c r="E265" s="9"/>
      <c r="F265" s="9"/>
      <c r="G265" s="9"/>
      <c r="H265" s="9"/>
      <c r="I265" s="6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</row>
    <row r="266" spans="1:49" x14ac:dyDescent="0.25">
      <c r="A266" s="9"/>
      <c r="B266" s="9"/>
      <c r="C266" s="9"/>
      <c r="D266" s="9"/>
      <c r="E266" s="9"/>
      <c r="F266" s="9"/>
      <c r="G266" s="9"/>
      <c r="H266" s="9"/>
      <c r="I266" s="6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</row>
    <row r="267" spans="1:49" x14ac:dyDescent="0.25">
      <c r="A267" s="9"/>
      <c r="B267" s="9"/>
      <c r="C267" s="9"/>
      <c r="D267" s="9"/>
      <c r="E267" s="9"/>
      <c r="F267" s="9"/>
      <c r="G267" s="9"/>
      <c r="H267" s="9"/>
      <c r="I267" s="6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</row>
    <row r="268" spans="1:49" x14ac:dyDescent="0.25">
      <c r="A268" s="9"/>
      <c r="B268" s="9"/>
      <c r="C268" s="9"/>
      <c r="D268" s="9"/>
      <c r="E268" s="9"/>
      <c r="F268" s="9"/>
      <c r="G268" s="9"/>
      <c r="H268" s="9"/>
      <c r="I268" s="6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</row>
    <row r="269" spans="1:49" x14ac:dyDescent="0.25">
      <c r="A269" s="9"/>
      <c r="B269" s="9"/>
      <c r="C269" s="9"/>
      <c r="D269" s="9"/>
      <c r="E269" s="9"/>
      <c r="F269" s="9"/>
      <c r="G269" s="9"/>
      <c r="H269" s="9"/>
      <c r="I269" s="6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</row>
    <row r="270" spans="1:49" x14ac:dyDescent="0.25">
      <c r="A270" s="9"/>
      <c r="B270" s="9"/>
      <c r="C270" s="9"/>
      <c r="D270" s="9"/>
      <c r="E270" s="9"/>
      <c r="F270" s="9"/>
      <c r="G270" s="9"/>
      <c r="H270" s="9"/>
      <c r="I270" s="6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</row>
    <row r="271" spans="1:49" x14ac:dyDescent="0.25">
      <c r="A271" s="9"/>
      <c r="B271" s="9"/>
      <c r="C271" s="9"/>
      <c r="D271" s="9"/>
      <c r="E271" s="9"/>
      <c r="F271" s="9"/>
      <c r="G271" s="9"/>
      <c r="H271" s="9"/>
      <c r="I271" s="6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</row>
    <row r="272" spans="1:49" x14ac:dyDescent="0.25">
      <c r="A272" s="9"/>
      <c r="B272" s="9"/>
      <c r="C272" s="9"/>
      <c r="D272" s="9"/>
      <c r="E272" s="9"/>
      <c r="F272" s="9"/>
      <c r="G272" s="9"/>
      <c r="H272" s="9"/>
      <c r="I272" s="6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</row>
    <row r="273" spans="1:49" x14ac:dyDescent="0.25">
      <c r="A273" s="9"/>
      <c r="B273" s="9"/>
      <c r="C273" s="9"/>
      <c r="D273" s="9"/>
      <c r="E273" s="9"/>
      <c r="F273" s="9"/>
      <c r="G273" s="9"/>
      <c r="H273" s="9"/>
      <c r="I273" s="6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</row>
    <row r="274" spans="1:49" x14ac:dyDescent="0.25">
      <c r="A274" s="9"/>
      <c r="B274" s="9"/>
      <c r="C274" s="9"/>
      <c r="D274" s="9"/>
      <c r="E274" s="9"/>
      <c r="F274" s="9"/>
      <c r="G274" s="9"/>
      <c r="H274" s="9"/>
      <c r="I274" s="6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</row>
    <row r="275" spans="1:49" x14ac:dyDescent="0.25">
      <c r="A275" s="9"/>
      <c r="B275" s="9"/>
      <c r="C275" s="9"/>
      <c r="D275" s="9"/>
      <c r="E275" s="9"/>
      <c r="F275" s="9"/>
      <c r="G275" s="9"/>
      <c r="H275" s="9"/>
      <c r="I275" s="6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</row>
    <row r="276" spans="1:49" x14ac:dyDescent="0.25">
      <c r="A276" s="9"/>
      <c r="B276" s="9"/>
      <c r="C276" s="9"/>
      <c r="D276" s="9"/>
      <c r="E276" s="9"/>
      <c r="F276" s="9"/>
      <c r="G276" s="9"/>
      <c r="H276" s="9"/>
      <c r="I276" s="6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</row>
    <row r="277" spans="1:49" x14ac:dyDescent="0.25">
      <c r="A277" s="9"/>
      <c r="B277" s="9"/>
      <c r="C277" s="9"/>
      <c r="D277" s="9"/>
      <c r="E277" s="9"/>
      <c r="F277" s="9"/>
      <c r="G277" s="9"/>
      <c r="H277" s="9"/>
      <c r="I277" s="6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</row>
    <row r="278" spans="1:49" x14ac:dyDescent="0.25">
      <c r="A278" s="9"/>
      <c r="B278" s="9"/>
      <c r="C278" s="9"/>
      <c r="D278" s="9"/>
      <c r="E278" s="9"/>
      <c r="F278" s="9"/>
      <c r="G278" s="9"/>
      <c r="H278" s="9"/>
      <c r="I278" s="6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</row>
    <row r="279" spans="1:49" x14ac:dyDescent="0.25">
      <c r="A279" s="9"/>
      <c r="B279" s="9"/>
      <c r="C279" s="9"/>
      <c r="D279" s="9"/>
      <c r="E279" s="9"/>
      <c r="F279" s="9"/>
      <c r="G279" s="9"/>
      <c r="H279" s="9"/>
      <c r="I279" s="6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</row>
    <row r="280" spans="1:49" x14ac:dyDescent="0.25">
      <c r="A280" s="9"/>
      <c r="B280" s="9"/>
      <c r="C280" s="9"/>
      <c r="D280" s="9"/>
      <c r="E280" s="9"/>
      <c r="F280" s="9"/>
      <c r="G280" s="9"/>
      <c r="H280" s="9"/>
      <c r="I280" s="6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</row>
    <row r="281" spans="1:49" x14ac:dyDescent="0.25">
      <c r="A281" s="9"/>
      <c r="B281" s="9"/>
      <c r="C281" s="9"/>
      <c r="D281" s="9"/>
      <c r="E281" s="9"/>
      <c r="F281" s="9"/>
      <c r="G281" s="9"/>
      <c r="H281" s="9"/>
      <c r="I281" s="6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</row>
    <row r="282" spans="1:49" x14ac:dyDescent="0.25">
      <c r="A282" s="9"/>
      <c r="B282" s="9"/>
      <c r="C282" s="9"/>
      <c r="D282" s="9"/>
      <c r="E282" s="9"/>
      <c r="F282" s="9"/>
      <c r="G282" s="9"/>
      <c r="H282" s="9"/>
      <c r="I282" s="6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</row>
    <row r="283" spans="1:49" x14ac:dyDescent="0.25">
      <c r="A283" s="9"/>
      <c r="B283" s="9"/>
      <c r="C283" s="9"/>
      <c r="D283" s="9"/>
      <c r="E283" s="9"/>
      <c r="F283" s="9"/>
      <c r="G283" s="9"/>
      <c r="H283" s="9"/>
      <c r="I283" s="6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</row>
    <row r="284" spans="1:49" x14ac:dyDescent="0.25">
      <c r="A284" s="9"/>
      <c r="B284" s="9"/>
      <c r="C284" s="9"/>
      <c r="D284" s="9"/>
      <c r="E284" s="9"/>
      <c r="F284" s="9"/>
      <c r="G284" s="9"/>
      <c r="H284" s="9"/>
      <c r="I284" s="6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</row>
    <row r="285" spans="1:49" x14ac:dyDescent="0.25">
      <c r="A285" s="9"/>
      <c r="B285" s="9"/>
      <c r="C285" s="9"/>
      <c r="D285" s="9"/>
      <c r="E285" s="9"/>
      <c r="F285" s="9"/>
      <c r="G285" s="9"/>
      <c r="H285" s="9"/>
      <c r="I285" s="6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</row>
    <row r="286" spans="1:49" x14ac:dyDescent="0.25">
      <c r="A286" s="9"/>
      <c r="B286" s="9"/>
      <c r="C286" s="9"/>
      <c r="D286" s="9"/>
      <c r="E286" s="9"/>
      <c r="F286" s="9"/>
      <c r="G286" s="9"/>
      <c r="H286" s="9"/>
      <c r="I286" s="6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</row>
    <row r="287" spans="1:49" x14ac:dyDescent="0.25">
      <c r="A287" s="9"/>
      <c r="B287" s="9"/>
      <c r="C287" s="9"/>
      <c r="D287" s="9"/>
      <c r="E287" s="9"/>
      <c r="F287" s="9"/>
      <c r="G287" s="9"/>
      <c r="H287" s="9"/>
      <c r="I287" s="6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</row>
    <row r="288" spans="1:49" x14ac:dyDescent="0.25">
      <c r="A288" s="9"/>
      <c r="B288" s="9"/>
      <c r="C288" s="9"/>
      <c r="D288" s="9"/>
      <c r="E288" s="9"/>
      <c r="F288" s="9"/>
      <c r="G288" s="9"/>
      <c r="H288" s="9"/>
      <c r="I288" s="6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</row>
    <row r="289" spans="1:49" x14ac:dyDescent="0.25">
      <c r="A289" s="9"/>
      <c r="B289" s="9"/>
      <c r="C289" s="9"/>
      <c r="D289" s="9"/>
      <c r="E289" s="9"/>
      <c r="F289" s="9"/>
      <c r="G289" s="9"/>
      <c r="H289" s="9"/>
      <c r="I289" s="6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</row>
    <row r="290" spans="1:49" x14ac:dyDescent="0.25">
      <c r="A290" s="9"/>
      <c r="B290" s="9"/>
      <c r="C290" s="9"/>
      <c r="D290" s="9"/>
      <c r="E290" s="9"/>
      <c r="F290" s="9"/>
      <c r="G290" s="9"/>
      <c r="H290" s="9"/>
      <c r="I290" s="6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</row>
    <row r="291" spans="1:49" x14ac:dyDescent="0.25">
      <c r="A291" s="9"/>
      <c r="B291" s="9"/>
      <c r="C291" s="9"/>
      <c r="D291" s="9"/>
      <c r="E291" s="9"/>
      <c r="F291" s="9"/>
      <c r="G291" s="9"/>
      <c r="H291" s="9"/>
      <c r="I291" s="6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</row>
    <row r="292" spans="1:49" x14ac:dyDescent="0.25">
      <c r="A292" s="9"/>
      <c r="B292" s="9"/>
      <c r="C292" s="9"/>
      <c r="D292" s="9"/>
      <c r="E292" s="9"/>
      <c r="F292" s="9"/>
      <c r="G292" s="9"/>
      <c r="H292" s="9"/>
      <c r="I292" s="6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</row>
    <row r="293" spans="1:49" x14ac:dyDescent="0.25">
      <c r="A293" s="9"/>
      <c r="B293" s="9"/>
      <c r="C293" s="9"/>
      <c r="D293" s="9"/>
      <c r="E293" s="9"/>
      <c r="F293" s="9"/>
      <c r="G293" s="9"/>
      <c r="H293" s="9"/>
      <c r="I293" s="6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</row>
    <row r="294" spans="1:49" x14ac:dyDescent="0.25">
      <c r="A294" s="9"/>
      <c r="B294" s="9"/>
      <c r="C294" s="9"/>
      <c r="D294" s="9"/>
      <c r="E294" s="9"/>
      <c r="F294" s="9"/>
      <c r="G294" s="9"/>
      <c r="H294" s="9"/>
      <c r="I294" s="6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</row>
    <row r="295" spans="1:49" x14ac:dyDescent="0.25">
      <c r="A295" s="9"/>
      <c r="B295" s="9"/>
      <c r="C295" s="9"/>
      <c r="D295" s="9"/>
      <c r="E295" s="9"/>
      <c r="F295" s="9"/>
      <c r="G295" s="9"/>
      <c r="H295" s="9"/>
      <c r="I295" s="6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</row>
    <row r="296" spans="1:49" x14ac:dyDescent="0.25">
      <c r="A296" s="9"/>
      <c r="B296" s="9"/>
      <c r="C296" s="9"/>
      <c r="D296" s="9"/>
      <c r="E296" s="9"/>
      <c r="F296" s="9"/>
      <c r="G296" s="9"/>
      <c r="H296" s="9"/>
      <c r="I296" s="6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</row>
    <row r="297" spans="1:49" x14ac:dyDescent="0.25">
      <c r="A297" s="9"/>
      <c r="B297" s="9"/>
      <c r="C297" s="9"/>
      <c r="D297" s="9"/>
      <c r="E297" s="9"/>
      <c r="F297" s="9"/>
      <c r="G297" s="9"/>
      <c r="H297" s="9"/>
      <c r="I297" s="6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</row>
    <row r="298" spans="1:49" x14ac:dyDescent="0.25">
      <c r="A298" s="9"/>
      <c r="B298" s="9"/>
      <c r="C298" s="9"/>
      <c r="D298" s="9"/>
      <c r="E298" s="9"/>
      <c r="F298" s="9"/>
      <c r="G298" s="9"/>
      <c r="H298" s="9"/>
      <c r="I298" s="6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</row>
    <row r="299" spans="1:49" x14ac:dyDescent="0.25">
      <c r="A299" s="9"/>
      <c r="B299" s="9"/>
      <c r="C299" s="9"/>
      <c r="D299" s="9"/>
      <c r="E299" s="9"/>
      <c r="F299" s="9"/>
      <c r="G299" s="9"/>
      <c r="H299" s="9"/>
      <c r="I299" s="6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</row>
    <row r="300" spans="1:49" x14ac:dyDescent="0.25">
      <c r="A300" s="9"/>
      <c r="B300" s="9"/>
      <c r="C300" s="9"/>
      <c r="D300" s="9"/>
      <c r="E300" s="9"/>
      <c r="F300" s="9"/>
      <c r="G300" s="9"/>
      <c r="H300" s="9"/>
      <c r="I300" s="6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</row>
    <row r="301" spans="1:49" x14ac:dyDescent="0.25">
      <c r="A301" s="9"/>
      <c r="B301" s="9"/>
      <c r="C301" s="9"/>
      <c r="D301" s="9"/>
      <c r="E301" s="9"/>
      <c r="F301" s="9"/>
      <c r="G301" s="9"/>
      <c r="H301" s="9"/>
      <c r="I301" s="6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</row>
    <row r="302" spans="1:49" x14ac:dyDescent="0.25">
      <c r="A302" s="9"/>
      <c r="B302" s="9"/>
      <c r="C302" s="9"/>
      <c r="D302" s="9"/>
      <c r="E302" s="9"/>
      <c r="F302" s="9"/>
      <c r="G302" s="9"/>
      <c r="H302" s="9"/>
      <c r="I302" s="6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</row>
    <row r="303" spans="1:49" x14ac:dyDescent="0.25">
      <c r="A303" s="9"/>
      <c r="B303" s="9"/>
      <c r="C303" s="9"/>
      <c r="D303" s="9"/>
      <c r="E303" s="9"/>
      <c r="F303" s="9"/>
      <c r="G303" s="9"/>
      <c r="H303" s="9"/>
      <c r="I303" s="6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</row>
    <row r="304" spans="1:49" x14ac:dyDescent="0.25">
      <c r="A304" s="9"/>
      <c r="B304" s="9"/>
      <c r="C304" s="9"/>
      <c r="D304" s="9"/>
      <c r="E304" s="9"/>
      <c r="F304" s="9"/>
      <c r="G304" s="9"/>
      <c r="H304" s="9"/>
      <c r="I304" s="6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</row>
    <row r="305" spans="1:49" x14ac:dyDescent="0.25">
      <c r="A305" s="9"/>
      <c r="B305" s="9"/>
      <c r="C305" s="9"/>
      <c r="D305" s="9"/>
      <c r="E305" s="9"/>
      <c r="F305" s="9"/>
      <c r="G305" s="9"/>
      <c r="H305" s="9"/>
      <c r="I305" s="6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</row>
    <row r="306" spans="1:49" x14ac:dyDescent="0.25">
      <c r="A306" s="9"/>
      <c r="B306" s="9"/>
      <c r="C306" s="9"/>
      <c r="D306" s="9"/>
      <c r="E306" s="9"/>
      <c r="F306" s="9"/>
      <c r="G306" s="9"/>
      <c r="H306" s="9"/>
      <c r="I306" s="6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</row>
    <row r="307" spans="1:49" x14ac:dyDescent="0.25">
      <c r="A307" s="9"/>
      <c r="B307" s="9"/>
      <c r="C307" s="9"/>
      <c r="D307" s="9"/>
      <c r="E307" s="9"/>
      <c r="F307" s="9"/>
      <c r="G307" s="9"/>
      <c r="H307" s="9"/>
      <c r="I307" s="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</row>
    <row r="308" spans="1:49" x14ac:dyDescent="0.25">
      <c r="A308" s="9"/>
      <c r="B308" s="9"/>
      <c r="C308" s="9"/>
      <c r="D308" s="9"/>
      <c r="E308" s="9"/>
      <c r="F308" s="9"/>
      <c r="G308" s="9"/>
      <c r="H308" s="9"/>
      <c r="I308" s="6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</row>
    <row r="309" spans="1:49" x14ac:dyDescent="0.25">
      <c r="A309" s="9"/>
      <c r="B309" s="9"/>
      <c r="C309" s="9"/>
      <c r="D309" s="9"/>
      <c r="E309" s="9"/>
      <c r="F309" s="9"/>
      <c r="G309" s="9"/>
      <c r="H309" s="9"/>
      <c r="I309" s="6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</row>
    <row r="310" spans="1:49" x14ac:dyDescent="0.25">
      <c r="A310" s="9"/>
      <c r="B310" s="9"/>
      <c r="C310" s="9"/>
      <c r="D310" s="9"/>
      <c r="E310" s="9"/>
      <c r="F310" s="9"/>
      <c r="G310" s="9"/>
      <c r="H310" s="9"/>
      <c r="I310" s="6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</row>
    <row r="311" spans="1:49" x14ac:dyDescent="0.25">
      <c r="A311" s="9"/>
      <c r="B311" s="9"/>
      <c r="C311" s="9"/>
      <c r="D311" s="9"/>
      <c r="E311" s="9"/>
      <c r="F311" s="9"/>
      <c r="G311" s="9"/>
      <c r="H311" s="9"/>
      <c r="I311" s="6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</row>
    <row r="312" spans="1:49" x14ac:dyDescent="0.25">
      <c r="A312" s="9"/>
      <c r="B312" s="9"/>
      <c r="C312" s="9"/>
      <c r="D312" s="9"/>
      <c r="E312" s="9"/>
      <c r="F312" s="9"/>
      <c r="G312" s="9"/>
      <c r="H312" s="9"/>
      <c r="I312" s="6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</row>
    <row r="313" spans="1:49" x14ac:dyDescent="0.25">
      <c r="A313" s="9"/>
      <c r="B313" s="9"/>
      <c r="C313" s="9"/>
      <c r="D313" s="9"/>
      <c r="E313" s="9"/>
      <c r="F313" s="9"/>
      <c r="G313" s="9"/>
      <c r="H313" s="9"/>
      <c r="I313" s="6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</row>
    <row r="314" spans="1:49" x14ac:dyDescent="0.25">
      <c r="A314" s="9"/>
      <c r="B314" s="9"/>
      <c r="C314" s="9"/>
      <c r="D314" s="9"/>
      <c r="E314" s="9"/>
      <c r="F314" s="9"/>
      <c r="G314" s="9"/>
      <c r="H314" s="9"/>
      <c r="I314" s="6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</row>
    <row r="315" spans="1:49" x14ac:dyDescent="0.25">
      <c r="A315" s="9"/>
      <c r="B315" s="9"/>
      <c r="C315" s="9"/>
      <c r="D315" s="9"/>
      <c r="E315" s="9"/>
      <c r="F315" s="9"/>
      <c r="G315" s="9"/>
      <c r="H315" s="9"/>
      <c r="I315" s="6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</row>
    <row r="316" spans="1:49" x14ac:dyDescent="0.25">
      <c r="A316" s="9"/>
      <c r="B316" s="9"/>
      <c r="C316" s="9"/>
      <c r="D316" s="9"/>
      <c r="E316" s="9"/>
      <c r="F316" s="9"/>
      <c r="G316" s="9"/>
      <c r="H316" s="9"/>
      <c r="I316" s="6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</row>
    <row r="317" spans="1:49" x14ac:dyDescent="0.25">
      <c r="A317" s="9"/>
      <c r="B317" s="9"/>
      <c r="C317" s="9"/>
      <c r="D317" s="9"/>
      <c r="E317" s="9"/>
      <c r="F317" s="9"/>
      <c r="G317" s="9"/>
      <c r="H317" s="9"/>
      <c r="I317" s="6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</row>
    <row r="318" spans="1:49" x14ac:dyDescent="0.25">
      <c r="A318" s="9"/>
      <c r="B318" s="9"/>
      <c r="C318" s="9"/>
      <c r="D318" s="9"/>
      <c r="E318" s="9"/>
      <c r="F318" s="9"/>
      <c r="G318" s="9"/>
      <c r="H318" s="9"/>
      <c r="I318" s="6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</row>
    <row r="319" spans="1:49" x14ac:dyDescent="0.25">
      <c r="A319" s="9"/>
      <c r="B319" s="9"/>
      <c r="C319" s="9"/>
      <c r="D319" s="9"/>
      <c r="E319" s="9"/>
      <c r="F319" s="9"/>
      <c r="G319" s="9"/>
      <c r="H319" s="9"/>
      <c r="I319" s="6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</row>
    <row r="320" spans="1:49" x14ac:dyDescent="0.25">
      <c r="A320" s="9"/>
      <c r="B320" s="9"/>
      <c r="C320" s="9"/>
      <c r="D320" s="9"/>
      <c r="E320" s="9"/>
      <c r="F320" s="9"/>
      <c r="G320" s="9"/>
      <c r="H320" s="9"/>
      <c r="I320" s="6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</row>
    <row r="321" spans="1:49" x14ac:dyDescent="0.25">
      <c r="A321" s="9"/>
      <c r="B321" s="9"/>
      <c r="C321" s="9"/>
      <c r="D321" s="9"/>
      <c r="E321" s="9"/>
      <c r="F321" s="9"/>
      <c r="G321" s="9"/>
      <c r="H321" s="9"/>
      <c r="I321" s="6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</row>
    <row r="322" spans="1:49" x14ac:dyDescent="0.25">
      <c r="A322" s="9"/>
      <c r="B322" s="9"/>
      <c r="C322" s="9"/>
      <c r="D322" s="9"/>
      <c r="E322" s="9"/>
      <c r="F322" s="9"/>
      <c r="G322" s="9"/>
      <c r="H322" s="9"/>
      <c r="I322" s="6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</row>
    <row r="323" spans="1:49" x14ac:dyDescent="0.25">
      <c r="A323" s="9"/>
      <c r="B323" s="9"/>
      <c r="C323" s="9"/>
      <c r="D323" s="9"/>
      <c r="E323" s="9"/>
      <c r="F323" s="9"/>
      <c r="G323" s="9"/>
      <c r="H323" s="9"/>
      <c r="I323" s="6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</row>
    <row r="324" spans="1:49" x14ac:dyDescent="0.25">
      <c r="A324" s="9"/>
      <c r="B324" s="9"/>
      <c r="C324" s="9"/>
      <c r="D324" s="9"/>
      <c r="E324" s="9"/>
      <c r="F324" s="9"/>
      <c r="G324" s="9"/>
      <c r="H324" s="9"/>
      <c r="I324" s="6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</row>
    <row r="325" spans="1:49" x14ac:dyDescent="0.25">
      <c r="A325" s="9"/>
      <c r="B325" s="9"/>
      <c r="C325" s="9"/>
      <c r="D325" s="9"/>
      <c r="E325" s="9"/>
      <c r="F325" s="9"/>
      <c r="G325" s="9"/>
      <c r="H325" s="9"/>
      <c r="I325" s="6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</row>
    <row r="326" spans="1:49" x14ac:dyDescent="0.25">
      <c r="A326" s="9"/>
      <c r="B326" s="9"/>
      <c r="C326" s="9"/>
      <c r="D326" s="9"/>
      <c r="E326" s="9"/>
      <c r="F326" s="9"/>
      <c r="G326" s="9"/>
      <c r="H326" s="9"/>
      <c r="I326" s="6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</row>
    <row r="327" spans="1:49" x14ac:dyDescent="0.25">
      <c r="A327" s="9"/>
      <c r="B327" s="9"/>
      <c r="C327" s="9"/>
      <c r="D327" s="9"/>
      <c r="E327" s="9"/>
      <c r="F327" s="9"/>
      <c r="G327" s="9"/>
      <c r="H327" s="9"/>
      <c r="I327" s="6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</row>
    <row r="328" spans="1:49" x14ac:dyDescent="0.25">
      <c r="A328" s="9"/>
      <c r="B328" s="9"/>
      <c r="C328" s="9"/>
      <c r="D328" s="9"/>
      <c r="E328" s="9"/>
      <c r="F328" s="9"/>
      <c r="G328" s="9"/>
      <c r="H328" s="9"/>
      <c r="I328" s="6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</row>
    <row r="329" spans="1:49" x14ac:dyDescent="0.25">
      <c r="A329" s="9"/>
      <c r="B329" s="9"/>
      <c r="C329" s="9"/>
      <c r="D329" s="9"/>
      <c r="E329" s="9"/>
      <c r="F329" s="9"/>
      <c r="G329" s="9"/>
      <c r="H329" s="9"/>
      <c r="I329" s="6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</row>
    <row r="330" spans="1:49" x14ac:dyDescent="0.25">
      <c r="A330" s="9"/>
      <c r="B330" s="9"/>
      <c r="C330" s="9"/>
      <c r="D330" s="9"/>
      <c r="E330" s="9"/>
      <c r="F330" s="9"/>
      <c r="G330" s="9"/>
      <c r="H330" s="9"/>
      <c r="I330" s="6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</row>
    <row r="331" spans="1:49" x14ac:dyDescent="0.25">
      <c r="A331" s="9"/>
      <c r="B331" s="9"/>
      <c r="C331" s="9"/>
      <c r="D331" s="9"/>
      <c r="E331" s="9"/>
      <c r="F331" s="9"/>
      <c r="G331" s="9"/>
      <c r="H331" s="9"/>
      <c r="I331" s="6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</row>
    <row r="332" spans="1:49" x14ac:dyDescent="0.25">
      <c r="A332" s="9"/>
      <c r="B332" s="9"/>
      <c r="C332" s="9"/>
      <c r="D332" s="9"/>
      <c r="E332" s="9"/>
      <c r="F332" s="9"/>
      <c r="G332" s="9"/>
      <c r="H332" s="9"/>
      <c r="I332" s="6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</row>
    <row r="333" spans="1:49" x14ac:dyDescent="0.25">
      <c r="A333" s="9"/>
      <c r="B333" s="9"/>
      <c r="C333" s="9"/>
      <c r="D333" s="9"/>
      <c r="E333" s="9"/>
      <c r="F333" s="9"/>
      <c r="G333" s="9"/>
      <c r="H333" s="9"/>
      <c r="I333" s="6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</row>
    <row r="334" spans="1:49" x14ac:dyDescent="0.25">
      <c r="A334" s="9"/>
      <c r="B334" s="9"/>
      <c r="C334" s="9"/>
      <c r="D334" s="9"/>
      <c r="E334" s="9"/>
      <c r="F334" s="9"/>
      <c r="G334" s="9"/>
      <c r="H334" s="9"/>
      <c r="I334" s="6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</row>
    <row r="335" spans="1:49" x14ac:dyDescent="0.25">
      <c r="A335" s="9"/>
      <c r="B335" s="9"/>
      <c r="C335" s="9"/>
      <c r="D335" s="9"/>
      <c r="E335" s="9"/>
      <c r="F335" s="9"/>
      <c r="G335" s="9"/>
      <c r="H335" s="9"/>
      <c r="I335" s="6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</row>
    <row r="336" spans="1:49" x14ac:dyDescent="0.25">
      <c r="A336" s="9"/>
      <c r="B336" s="9"/>
      <c r="C336" s="9"/>
      <c r="D336" s="9"/>
      <c r="E336" s="9"/>
      <c r="F336" s="9"/>
      <c r="G336" s="9"/>
      <c r="H336" s="9"/>
      <c r="I336" s="6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</row>
    <row r="337" spans="1:49" x14ac:dyDescent="0.25">
      <c r="A337" s="9"/>
      <c r="B337" s="9"/>
      <c r="C337" s="9"/>
      <c r="D337" s="9"/>
      <c r="E337" s="9"/>
      <c r="F337" s="9"/>
      <c r="G337" s="9"/>
      <c r="H337" s="9"/>
      <c r="I337" s="6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</row>
    <row r="338" spans="1:49" x14ac:dyDescent="0.25">
      <c r="A338" s="9"/>
      <c r="B338" s="9"/>
      <c r="C338" s="9"/>
      <c r="D338" s="9"/>
      <c r="E338" s="9"/>
      <c r="F338" s="9"/>
      <c r="G338" s="9"/>
      <c r="H338" s="9"/>
      <c r="I338" s="6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</row>
    <row r="339" spans="1:49" x14ac:dyDescent="0.25">
      <c r="A339" s="9"/>
      <c r="B339" s="9"/>
      <c r="C339" s="9"/>
      <c r="D339" s="9"/>
      <c r="E339" s="9"/>
      <c r="F339" s="9"/>
      <c r="G339" s="9"/>
      <c r="H339" s="9"/>
      <c r="I339" s="6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</row>
    <row r="340" spans="1:49" x14ac:dyDescent="0.25">
      <c r="A340" s="9"/>
      <c r="B340" s="9"/>
      <c r="C340" s="9"/>
      <c r="D340" s="9"/>
      <c r="E340" s="9"/>
      <c r="F340" s="9"/>
      <c r="G340" s="9"/>
      <c r="H340" s="9"/>
      <c r="I340" s="6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</row>
    <row r="341" spans="1:49" x14ac:dyDescent="0.25">
      <c r="A341" s="9"/>
      <c r="B341" s="9"/>
      <c r="C341" s="9"/>
      <c r="D341" s="9"/>
      <c r="E341" s="9"/>
      <c r="F341" s="9"/>
      <c r="G341" s="9"/>
      <c r="H341" s="9"/>
      <c r="I341" s="6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</row>
    <row r="342" spans="1:49" x14ac:dyDescent="0.25">
      <c r="A342" s="9"/>
      <c r="B342" s="9"/>
      <c r="C342" s="9"/>
      <c r="D342" s="9"/>
      <c r="E342" s="9"/>
      <c r="F342" s="9"/>
      <c r="G342" s="9"/>
      <c r="H342" s="9"/>
      <c r="I342" s="6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</row>
    <row r="343" spans="1:49" x14ac:dyDescent="0.25">
      <c r="A343" s="9"/>
      <c r="B343" s="9"/>
      <c r="C343" s="9"/>
      <c r="D343" s="9"/>
      <c r="E343" s="9"/>
      <c r="F343" s="9"/>
      <c r="G343" s="9"/>
      <c r="H343" s="9"/>
      <c r="I343" s="6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</row>
    <row r="344" spans="1:49" x14ac:dyDescent="0.25">
      <c r="A344" s="9"/>
      <c r="B344" s="9"/>
      <c r="C344" s="9"/>
      <c r="D344" s="9"/>
      <c r="E344" s="9"/>
      <c r="F344" s="9"/>
      <c r="G344" s="9"/>
      <c r="H344" s="9"/>
      <c r="I344" s="6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</row>
    <row r="345" spans="1:49" x14ac:dyDescent="0.25">
      <c r="A345" s="9"/>
      <c r="B345" s="9"/>
      <c r="C345" s="9"/>
      <c r="D345" s="9"/>
      <c r="E345" s="9"/>
      <c r="F345" s="9"/>
      <c r="G345" s="9"/>
      <c r="H345" s="9"/>
      <c r="I345" s="6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</row>
    <row r="346" spans="1:49" x14ac:dyDescent="0.25">
      <c r="A346" s="9"/>
      <c r="B346" s="9"/>
      <c r="C346" s="9"/>
      <c r="D346" s="9"/>
      <c r="E346" s="9"/>
      <c r="F346" s="9"/>
      <c r="G346" s="9"/>
      <c r="H346" s="9"/>
      <c r="I346" s="6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</row>
    <row r="347" spans="1:49" x14ac:dyDescent="0.25">
      <c r="A347" s="9"/>
      <c r="B347" s="9"/>
      <c r="C347" s="9"/>
      <c r="D347" s="9"/>
      <c r="E347" s="9"/>
      <c r="F347" s="9"/>
      <c r="G347" s="9"/>
      <c r="H347" s="9"/>
      <c r="I347" s="6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</row>
    <row r="348" spans="1:49" x14ac:dyDescent="0.25">
      <c r="A348" s="9"/>
      <c r="B348" s="9"/>
      <c r="C348" s="9"/>
      <c r="D348" s="9"/>
      <c r="E348" s="9"/>
      <c r="F348" s="9"/>
      <c r="G348" s="9"/>
      <c r="H348" s="9"/>
      <c r="I348" s="6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</row>
    <row r="349" spans="1:49" x14ac:dyDescent="0.25">
      <c r="A349" s="9"/>
      <c r="B349" s="9"/>
      <c r="C349" s="9"/>
      <c r="D349" s="9"/>
      <c r="E349" s="9"/>
      <c r="F349" s="9"/>
      <c r="G349" s="9"/>
      <c r="H349" s="9"/>
      <c r="I349" s="6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</row>
    <row r="350" spans="1:49" x14ac:dyDescent="0.25">
      <c r="A350" s="9"/>
      <c r="B350" s="9"/>
      <c r="C350" s="9"/>
      <c r="D350" s="9"/>
      <c r="E350" s="9"/>
      <c r="F350" s="9"/>
      <c r="G350" s="9"/>
      <c r="H350" s="9"/>
      <c r="I350" s="6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</row>
    <row r="351" spans="1:49" x14ac:dyDescent="0.25">
      <c r="A351" s="9"/>
      <c r="B351" s="9"/>
      <c r="C351" s="9"/>
      <c r="D351" s="9"/>
      <c r="E351" s="9"/>
      <c r="F351" s="9"/>
      <c r="G351" s="9"/>
      <c r="H351" s="9"/>
      <c r="I351" s="6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</row>
    <row r="352" spans="1:49" x14ac:dyDescent="0.25">
      <c r="A352" s="9"/>
      <c r="B352" s="9"/>
      <c r="C352" s="9"/>
      <c r="D352" s="9"/>
      <c r="E352" s="9"/>
      <c r="F352" s="9"/>
      <c r="G352" s="9"/>
      <c r="H352" s="9"/>
      <c r="I352" s="6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</row>
    <row r="353" spans="1:49" x14ac:dyDescent="0.25">
      <c r="A353" s="9"/>
      <c r="B353" s="9"/>
      <c r="C353" s="9"/>
      <c r="D353" s="9"/>
      <c r="E353" s="9"/>
      <c r="F353" s="9"/>
      <c r="G353" s="9"/>
      <c r="H353" s="9"/>
      <c r="I353" s="6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</row>
    <row r="354" spans="1:49" x14ac:dyDescent="0.25">
      <c r="A354" s="9"/>
      <c r="B354" s="9"/>
      <c r="C354" s="9"/>
      <c r="D354" s="9"/>
      <c r="E354" s="9"/>
      <c r="F354" s="9"/>
      <c r="G354" s="9"/>
      <c r="H354" s="9"/>
      <c r="I354" s="6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</row>
    <row r="355" spans="1:49" x14ac:dyDescent="0.25">
      <c r="A355" s="9"/>
      <c r="B355" s="9"/>
      <c r="C355" s="9"/>
      <c r="D355" s="9"/>
      <c r="E355" s="9"/>
      <c r="F355" s="9"/>
      <c r="G355" s="9"/>
      <c r="H355" s="9"/>
      <c r="I355" s="6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</row>
    <row r="356" spans="1:49" x14ac:dyDescent="0.25">
      <c r="A356" s="9"/>
      <c r="B356" s="9"/>
      <c r="C356" s="9"/>
      <c r="D356" s="9"/>
      <c r="E356" s="9"/>
      <c r="F356" s="9"/>
      <c r="G356" s="9"/>
      <c r="H356" s="9"/>
      <c r="I356" s="6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</row>
    <row r="357" spans="1:49" x14ac:dyDescent="0.25">
      <c r="A357" s="9"/>
      <c r="B357" s="9"/>
      <c r="C357" s="9"/>
      <c r="D357" s="9"/>
      <c r="E357" s="9"/>
      <c r="F357" s="9"/>
      <c r="G357" s="9"/>
      <c r="H357" s="9"/>
      <c r="I357" s="6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</row>
    <row r="358" spans="1:49" x14ac:dyDescent="0.25">
      <c r="A358" s="9"/>
      <c r="B358" s="9"/>
      <c r="C358" s="9"/>
      <c r="D358" s="9"/>
      <c r="E358" s="9"/>
      <c r="F358" s="9"/>
      <c r="G358" s="9"/>
      <c r="H358" s="9"/>
      <c r="I358" s="6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</row>
    <row r="359" spans="1:49" x14ac:dyDescent="0.25">
      <c r="A359" s="9"/>
      <c r="B359" s="9"/>
      <c r="C359" s="9"/>
      <c r="D359" s="9"/>
      <c r="E359" s="9"/>
      <c r="F359" s="9"/>
      <c r="G359" s="9"/>
      <c r="H359" s="9"/>
      <c r="I359" s="6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</row>
    <row r="360" spans="1:49" x14ac:dyDescent="0.25">
      <c r="A360" s="9"/>
      <c r="B360" s="9"/>
      <c r="C360" s="9"/>
      <c r="D360" s="9"/>
      <c r="E360" s="9"/>
      <c r="F360" s="9"/>
      <c r="G360" s="9"/>
      <c r="H360" s="9"/>
      <c r="I360" s="6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</row>
    <row r="361" spans="1:49" x14ac:dyDescent="0.25">
      <c r="A361" s="9"/>
      <c r="B361" s="9"/>
      <c r="C361" s="9"/>
      <c r="D361" s="9"/>
      <c r="E361" s="9"/>
      <c r="F361" s="9"/>
      <c r="G361" s="9"/>
      <c r="H361" s="9"/>
      <c r="I361" s="6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</row>
    <row r="362" spans="1:49" x14ac:dyDescent="0.25">
      <c r="A362" s="9"/>
      <c r="B362" s="9"/>
      <c r="C362" s="9"/>
      <c r="D362" s="9"/>
      <c r="E362" s="9"/>
      <c r="F362" s="9"/>
      <c r="G362" s="9"/>
      <c r="H362" s="9"/>
      <c r="I362" s="6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</row>
    <row r="363" spans="1:49" x14ac:dyDescent="0.25">
      <c r="A363" s="9"/>
      <c r="B363" s="9"/>
      <c r="C363" s="9"/>
      <c r="D363" s="9"/>
      <c r="E363" s="9"/>
      <c r="F363" s="9"/>
      <c r="G363" s="9"/>
      <c r="H363" s="9"/>
      <c r="I363" s="6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</row>
    <row r="364" spans="1:49" x14ac:dyDescent="0.25">
      <c r="A364" s="9"/>
      <c r="B364" s="9"/>
      <c r="C364" s="9"/>
      <c r="D364" s="9"/>
      <c r="E364" s="9"/>
      <c r="F364" s="9"/>
      <c r="G364" s="9"/>
      <c r="H364" s="9"/>
      <c r="I364" s="6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</row>
    <row r="365" spans="1:49" x14ac:dyDescent="0.25">
      <c r="A365" s="9"/>
      <c r="B365" s="9"/>
      <c r="C365" s="9"/>
      <c r="D365" s="9"/>
      <c r="E365" s="9"/>
      <c r="F365" s="9"/>
      <c r="G365" s="9"/>
      <c r="H365" s="9"/>
      <c r="I365" s="6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</row>
    <row r="366" spans="1:49" x14ac:dyDescent="0.25">
      <c r="A366" s="9"/>
      <c r="B366" s="9"/>
      <c r="C366" s="9"/>
      <c r="D366" s="9"/>
      <c r="E366" s="9"/>
      <c r="F366" s="9"/>
      <c r="G366" s="9"/>
      <c r="H366" s="9"/>
      <c r="I366" s="6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</row>
    <row r="367" spans="1:49" x14ac:dyDescent="0.25">
      <c r="A367" s="9"/>
      <c r="B367" s="9"/>
      <c r="C367" s="9"/>
      <c r="D367" s="9"/>
      <c r="E367" s="9"/>
      <c r="F367" s="9"/>
      <c r="G367" s="9"/>
      <c r="H367" s="9"/>
      <c r="I367" s="6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</row>
    <row r="368" spans="1:49" x14ac:dyDescent="0.25">
      <c r="A368" s="9"/>
      <c r="B368" s="9"/>
      <c r="C368" s="9"/>
      <c r="D368" s="9"/>
      <c r="E368" s="9"/>
      <c r="F368" s="9"/>
      <c r="G368" s="9"/>
      <c r="H368" s="9"/>
      <c r="I368" s="6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</row>
    <row r="369" spans="1:49" x14ac:dyDescent="0.25">
      <c r="A369" s="9"/>
      <c r="B369" s="9"/>
      <c r="C369" s="9"/>
      <c r="D369" s="9"/>
      <c r="E369" s="9"/>
      <c r="F369" s="9"/>
      <c r="G369" s="9"/>
      <c r="H369" s="9"/>
      <c r="I369" s="6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</row>
    <row r="370" spans="1:49" x14ac:dyDescent="0.25">
      <c r="A370" s="9"/>
      <c r="B370" s="9"/>
      <c r="C370" s="9"/>
      <c r="D370" s="9"/>
      <c r="E370" s="9"/>
      <c r="F370" s="9"/>
      <c r="G370" s="9"/>
      <c r="H370" s="9"/>
      <c r="I370" s="6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</row>
    <row r="371" spans="1:49" x14ac:dyDescent="0.25">
      <c r="A371" s="9"/>
      <c r="B371" s="9"/>
      <c r="C371" s="9"/>
      <c r="D371" s="9"/>
      <c r="E371" s="9"/>
      <c r="F371" s="9"/>
      <c r="G371" s="9"/>
      <c r="H371" s="9"/>
      <c r="I371" s="6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</row>
    <row r="372" spans="1:49" x14ac:dyDescent="0.25">
      <c r="A372" s="9"/>
      <c r="B372" s="9"/>
      <c r="C372" s="9"/>
      <c r="D372" s="9"/>
      <c r="E372" s="9"/>
      <c r="F372" s="9"/>
      <c r="G372" s="9"/>
      <c r="H372" s="9"/>
      <c r="I372" s="6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</row>
    <row r="373" spans="1:49" x14ac:dyDescent="0.25">
      <c r="A373" s="9"/>
      <c r="B373" s="9"/>
      <c r="C373" s="9"/>
      <c r="D373" s="9"/>
      <c r="E373" s="9"/>
      <c r="F373" s="9"/>
      <c r="G373" s="9"/>
      <c r="H373" s="9"/>
      <c r="I373" s="6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</row>
    <row r="374" spans="1:49" x14ac:dyDescent="0.25">
      <c r="A374" s="9"/>
      <c r="B374" s="9"/>
      <c r="C374" s="9"/>
      <c r="D374" s="9"/>
      <c r="E374" s="9"/>
      <c r="F374" s="9"/>
      <c r="G374" s="9"/>
      <c r="H374" s="9"/>
      <c r="I374" s="6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</row>
    <row r="375" spans="1:49" x14ac:dyDescent="0.25">
      <c r="A375" s="9"/>
      <c r="B375" s="9"/>
      <c r="C375" s="9"/>
      <c r="D375" s="9"/>
      <c r="E375" s="9"/>
      <c r="F375" s="9"/>
      <c r="G375" s="9"/>
      <c r="H375" s="9"/>
      <c r="I375" s="6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</row>
    <row r="376" spans="1:49" x14ac:dyDescent="0.25">
      <c r="A376" s="9"/>
      <c r="B376" s="9"/>
      <c r="C376" s="9"/>
      <c r="D376" s="9"/>
      <c r="E376" s="9"/>
      <c r="F376" s="9"/>
      <c r="G376" s="9"/>
      <c r="H376" s="9"/>
      <c r="I376" s="6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</row>
    <row r="377" spans="1:49" x14ac:dyDescent="0.25">
      <c r="A377" s="9"/>
      <c r="B377" s="9"/>
      <c r="C377" s="9"/>
      <c r="D377" s="9"/>
      <c r="E377" s="9"/>
      <c r="F377" s="9"/>
      <c r="G377" s="9"/>
      <c r="H377" s="9"/>
      <c r="I377" s="6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</row>
    <row r="378" spans="1:49" x14ac:dyDescent="0.25">
      <c r="A378" s="9"/>
      <c r="B378" s="9"/>
      <c r="C378" s="9"/>
      <c r="D378" s="9"/>
      <c r="E378" s="9"/>
      <c r="F378" s="9"/>
      <c r="G378" s="9"/>
      <c r="H378" s="9"/>
      <c r="I378" s="6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</row>
    <row r="379" spans="1:49" x14ac:dyDescent="0.25">
      <c r="A379" s="9"/>
      <c r="B379" s="9"/>
      <c r="C379" s="9"/>
      <c r="D379" s="9"/>
      <c r="E379" s="9"/>
      <c r="F379" s="9"/>
      <c r="G379" s="9"/>
      <c r="H379" s="9"/>
      <c r="I379" s="6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</row>
    <row r="380" spans="1:49" x14ac:dyDescent="0.25">
      <c r="A380" s="9"/>
      <c r="B380" s="9"/>
      <c r="C380" s="9"/>
      <c r="D380" s="9"/>
      <c r="E380" s="9"/>
      <c r="F380" s="9"/>
      <c r="G380" s="9"/>
      <c r="H380" s="9"/>
      <c r="I380" s="6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</row>
    <row r="381" spans="1:49" x14ac:dyDescent="0.25">
      <c r="A381" s="9"/>
      <c r="B381" s="9"/>
      <c r="C381" s="9"/>
      <c r="D381" s="9"/>
      <c r="E381" s="9"/>
      <c r="F381" s="9"/>
      <c r="G381" s="9"/>
      <c r="H381" s="9"/>
      <c r="I381" s="6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</row>
    <row r="382" spans="1:49" x14ac:dyDescent="0.25">
      <c r="A382" s="9"/>
      <c r="B382" s="9"/>
      <c r="C382" s="9"/>
      <c r="D382" s="9"/>
      <c r="E382" s="9"/>
      <c r="F382" s="9"/>
      <c r="G382" s="9"/>
      <c r="H382" s="9"/>
      <c r="I382" s="6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</row>
    <row r="383" spans="1:49" x14ac:dyDescent="0.25">
      <c r="A383" s="9"/>
      <c r="B383" s="9"/>
      <c r="C383" s="9"/>
      <c r="D383" s="9"/>
      <c r="E383" s="9"/>
      <c r="F383" s="9"/>
      <c r="G383" s="9"/>
      <c r="H383" s="9"/>
      <c r="I383" s="6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</row>
    <row r="384" spans="1:49" x14ac:dyDescent="0.25">
      <c r="A384" s="9"/>
      <c r="B384" s="9"/>
      <c r="C384" s="9"/>
      <c r="D384" s="9"/>
      <c r="E384" s="9"/>
      <c r="F384" s="9"/>
      <c r="G384" s="9"/>
      <c r="H384" s="9"/>
      <c r="I384" s="6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</row>
    <row r="385" spans="1:49" x14ac:dyDescent="0.25">
      <c r="A385" s="9"/>
      <c r="B385" s="9"/>
      <c r="C385" s="9"/>
      <c r="D385" s="9"/>
      <c r="E385" s="9"/>
      <c r="F385" s="9"/>
      <c r="G385" s="9"/>
      <c r="H385" s="9"/>
      <c r="I385" s="6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</row>
    <row r="386" spans="1:49" x14ac:dyDescent="0.25">
      <c r="A386" s="9"/>
      <c r="B386" s="9"/>
      <c r="C386" s="9"/>
      <c r="D386" s="9"/>
      <c r="E386" s="9"/>
      <c r="F386" s="9"/>
      <c r="G386" s="9"/>
      <c r="H386" s="9"/>
      <c r="I386" s="6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</row>
    <row r="387" spans="1:49" x14ac:dyDescent="0.25">
      <c r="A387" s="9"/>
      <c r="B387" s="9"/>
      <c r="C387" s="9"/>
      <c r="D387" s="9"/>
      <c r="E387" s="9"/>
      <c r="F387" s="9"/>
      <c r="G387" s="9"/>
      <c r="H387" s="9"/>
      <c r="I387" s="6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</row>
    <row r="388" spans="1:49" x14ac:dyDescent="0.25">
      <c r="A388" s="9"/>
      <c r="B388" s="9"/>
      <c r="C388" s="9"/>
      <c r="D388" s="9"/>
      <c r="E388" s="9"/>
      <c r="F388" s="9"/>
      <c r="G388" s="9"/>
      <c r="H388" s="9"/>
      <c r="I388" s="6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</row>
    <row r="389" spans="1:49" x14ac:dyDescent="0.25">
      <c r="A389" s="9"/>
      <c r="B389" s="9"/>
      <c r="C389" s="9"/>
      <c r="D389" s="9"/>
      <c r="E389" s="9"/>
      <c r="F389" s="9"/>
      <c r="G389" s="9"/>
      <c r="H389" s="9"/>
      <c r="I389" s="6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</row>
    <row r="390" spans="1:49" x14ac:dyDescent="0.25">
      <c r="A390" s="9"/>
      <c r="B390" s="9"/>
      <c r="C390" s="9"/>
      <c r="D390" s="9"/>
      <c r="E390" s="9"/>
      <c r="F390" s="9"/>
      <c r="G390" s="9"/>
      <c r="H390" s="9"/>
      <c r="I390" s="6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</row>
    <row r="391" spans="1:49" x14ac:dyDescent="0.25">
      <c r="A391" s="9"/>
      <c r="B391" s="9"/>
      <c r="C391" s="9"/>
      <c r="D391" s="9"/>
      <c r="E391" s="9"/>
      <c r="F391" s="9"/>
      <c r="G391" s="9"/>
      <c r="H391" s="9"/>
      <c r="I391" s="6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</row>
    <row r="392" spans="1:49" x14ac:dyDescent="0.25">
      <c r="A392" s="9"/>
      <c r="B392" s="9"/>
      <c r="C392" s="9"/>
      <c r="D392" s="9"/>
      <c r="E392" s="9"/>
      <c r="F392" s="9"/>
      <c r="G392" s="9"/>
      <c r="H392" s="9"/>
      <c r="I392" s="6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</row>
    <row r="393" spans="1:49" x14ac:dyDescent="0.25">
      <c r="A393" s="9"/>
      <c r="B393" s="9"/>
      <c r="C393" s="9"/>
      <c r="D393" s="9"/>
      <c r="E393" s="9"/>
      <c r="F393" s="9"/>
      <c r="G393" s="9"/>
      <c r="H393" s="9"/>
      <c r="I393" s="6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</row>
    <row r="394" spans="1:49" x14ac:dyDescent="0.25">
      <c r="A394" s="9"/>
      <c r="B394" s="9"/>
      <c r="C394" s="9"/>
      <c r="D394" s="9"/>
      <c r="E394" s="9"/>
      <c r="F394" s="9"/>
      <c r="G394" s="9"/>
      <c r="H394" s="9"/>
      <c r="I394" s="6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</row>
    <row r="395" spans="1:49" x14ac:dyDescent="0.25">
      <c r="A395" s="9"/>
      <c r="B395" s="9"/>
      <c r="C395" s="9"/>
      <c r="D395" s="9"/>
      <c r="E395" s="9"/>
      <c r="F395" s="9"/>
      <c r="G395" s="9"/>
      <c r="H395" s="9"/>
      <c r="I395" s="6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</row>
    <row r="396" spans="1:49" x14ac:dyDescent="0.25">
      <c r="A396" s="9"/>
      <c r="B396" s="9"/>
      <c r="C396" s="9"/>
      <c r="D396" s="9"/>
      <c r="E396" s="9"/>
      <c r="F396" s="9"/>
      <c r="G396" s="9"/>
      <c r="H396" s="9"/>
      <c r="I396" s="6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</row>
    <row r="397" spans="1:49" x14ac:dyDescent="0.25">
      <c r="A397" s="9"/>
      <c r="B397" s="9"/>
      <c r="C397" s="9"/>
      <c r="D397" s="9"/>
      <c r="E397" s="9"/>
      <c r="F397" s="9"/>
      <c r="G397" s="9"/>
      <c r="H397" s="9"/>
      <c r="I397" s="6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</row>
    <row r="398" spans="1:49" x14ac:dyDescent="0.25">
      <c r="A398" s="9"/>
      <c r="B398" s="9"/>
      <c r="C398" s="9"/>
      <c r="D398" s="9"/>
      <c r="E398" s="9"/>
      <c r="F398" s="9"/>
      <c r="G398" s="9"/>
      <c r="H398" s="9"/>
      <c r="I398" s="6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</row>
    <row r="399" spans="1:49" x14ac:dyDescent="0.25">
      <c r="A399" s="9"/>
      <c r="B399" s="9"/>
      <c r="C399" s="9"/>
      <c r="D399" s="9"/>
      <c r="E399" s="9"/>
      <c r="F399" s="9"/>
      <c r="G399" s="9"/>
      <c r="H399" s="9"/>
      <c r="I399" s="6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</row>
    <row r="400" spans="1:49" x14ac:dyDescent="0.25">
      <c r="A400" s="9"/>
      <c r="B400" s="9"/>
      <c r="C400" s="9"/>
      <c r="D400" s="9"/>
      <c r="E400" s="9"/>
      <c r="F400" s="9"/>
      <c r="G400" s="9"/>
      <c r="H400" s="9"/>
      <c r="I400" s="6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</row>
    <row r="401" spans="1:49" x14ac:dyDescent="0.25">
      <c r="A401" s="9"/>
      <c r="B401" s="9"/>
      <c r="C401" s="9"/>
      <c r="D401" s="9"/>
      <c r="E401" s="9"/>
      <c r="F401" s="9"/>
      <c r="G401" s="9"/>
      <c r="H401" s="9"/>
      <c r="I401" s="6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</row>
    <row r="402" spans="1:49" x14ac:dyDescent="0.25">
      <c r="A402" s="9"/>
      <c r="B402" s="9"/>
      <c r="C402" s="9"/>
      <c r="D402" s="9"/>
      <c r="E402" s="9"/>
      <c r="F402" s="9"/>
      <c r="G402" s="9"/>
      <c r="H402" s="9"/>
      <c r="I402" s="6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</row>
    <row r="403" spans="1:49" x14ac:dyDescent="0.25">
      <c r="A403" s="9"/>
      <c r="B403" s="9"/>
      <c r="C403" s="9"/>
      <c r="D403" s="9"/>
      <c r="E403" s="9"/>
      <c r="F403" s="9"/>
      <c r="G403" s="9"/>
      <c r="H403" s="9"/>
      <c r="I403" s="6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</row>
    <row r="404" spans="1:49" x14ac:dyDescent="0.25">
      <c r="A404" s="9"/>
      <c r="B404" s="9"/>
      <c r="C404" s="9"/>
      <c r="D404" s="9"/>
      <c r="E404" s="9"/>
      <c r="F404" s="9"/>
      <c r="G404" s="9"/>
      <c r="H404" s="9"/>
      <c r="I404" s="6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</row>
    <row r="405" spans="1:49" x14ac:dyDescent="0.25">
      <c r="A405" s="9"/>
      <c r="B405" s="9"/>
      <c r="C405" s="9"/>
      <c r="D405" s="9"/>
      <c r="E405" s="9"/>
      <c r="F405" s="9"/>
      <c r="G405" s="9"/>
      <c r="H405" s="9"/>
      <c r="I405" s="6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</row>
    <row r="406" spans="1:49" x14ac:dyDescent="0.25">
      <c r="A406" s="9"/>
      <c r="B406" s="9"/>
      <c r="C406" s="9"/>
      <c r="D406" s="9"/>
      <c r="E406" s="9"/>
      <c r="F406" s="9"/>
      <c r="G406" s="9"/>
      <c r="H406" s="9"/>
      <c r="I406" s="6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</row>
    <row r="407" spans="1:49" x14ac:dyDescent="0.25">
      <c r="A407" s="9"/>
      <c r="B407" s="9"/>
      <c r="C407" s="9"/>
      <c r="D407" s="9"/>
      <c r="E407" s="9"/>
      <c r="F407" s="9"/>
      <c r="G407" s="9"/>
      <c r="H407" s="9"/>
      <c r="I407" s="6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</row>
    <row r="408" spans="1:49" x14ac:dyDescent="0.25">
      <c r="A408" s="9"/>
      <c r="B408" s="9"/>
      <c r="C408" s="9"/>
      <c r="D408" s="9"/>
      <c r="E408" s="9"/>
      <c r="F408" s="9"/>
      <c r="G408" s="9"/>
      <c r="H408" s="9"/>
      <c r="I408" s="6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</row>
    <row r="409" spans="1:49" x14ac:dyDescent="0.25">
      <c r="A409" s="9"/>
      <c r="B409" s="9"/>
      <c r="C409" s="9"/>
      <c r="D409" s="9"/>
      <c r="E409" s="9"/>
      <c r="F409" s="9"/>
      <c r="G409" s="9"/>
      <c r="H409" s="9"/>
      <c r="I409" s="6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</row>
    <row r="410" spans="1:49" x14ac:dyDescent="0.25">
      <c r="A410" s="9"/>
      <c r="B410" s="9"/>
      <c r="C410" s="9"/>
      <c r="D410" s="9"/>
      <c r="E410" s="9"/>
      <c r="F410" s="9"/>
      <c r="G410" s="9"/>
      <c r="H410" s="9"/>
      <c r="I410" s="6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</row>
    <row r="411" spans="1:49" x14ac:dyDescent="0.25">
      <c r="A411" s="9"/>
      <c r="B411" s="9"/>
      <c r="C411" s="9"/>
      <c r="D411" s="9"/>
      <c r="E411" s="9"/>
      <c r="F411" s="9"/>
      <c r="G411" s="9"/>
      <c r="H411" s="9"/>
      <c r="I411" s="6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</row>
    <row r="412" spans="1:49" x14ac:dyDescent="0.25">
      <c r="A412" s="9"/>
      <c r="B412" s="9"/>
      <c r="C412" s="9"/>
      <c r="D412" s="9"/>
      <c r="E412" s="9"/>
      <c r="F412" s="9"/>
      <c r="G412" s="9"/>
      <c r="H412" s="9"/>
      <c r="I412" s="6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</row>
    <row r="413" spans="1:49" x14ac:dyDescent="0.25">
      <c r="A413" s="9"/>
      <c r="B413" s="9"/>
      <c r="C413" s="9"/>
      <c r="D413" s="9"/>
      <c r="E413" s="9"/>
      <c r="F413" s="9"/>
      <c r="G413" s="9"/>
      <c r="H413" s="9"/>
      <c r="I413" s="6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</row>
    <row r="414" spans="1:49" x14ac:dyDescent="0.25">
      <c r="A414" s="9"/>
      <c r="B414" s="9"/>
      <c r="C414" s="9"/>
      <c r="D414" s="9"/>
      <c r="E414" s="9"/>
      <c r="F414" s="9"/>
      <c r="G414" s="9"/>
      <c r="H414" s="9"/>
      <c r="I414" s="6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</row>
    <row r="415" spans="1:49" x14ac:dyDescent="0.25">
      <c r="A415" s="9"/>
      <c r="B415" s="9"/>
      <c r="C415" s="9"/>
      <c r="D415" s="9"/>
      <c r="E415" s="9"/>
      <c r="F415" s="9"/>
      <c r="G415" s="9"/>
      <c r="H415" s="9"/>
      <c r="I415" s="6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</row>
    <row r="416" spans="1:49" x14ac:dyDescent="0.25">
      <c r="A416" s="9"/>
      <c r="B416" s="9"/>
      <c r="C416" s="9"/>
      <c r="D416" s="9"/>
      <c r="E416" s="9"/>
      <c r="F416" s="9"/>
      <c r="G416" s="9"/>
      <c r="H416" s="9"/>
      <c r="I416" s="6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</row>
    <row r="417" spans="1:49" x14ac:dyDescent="0.25">
      <c r="A417" s="9"/>
      <c r="B417" s="9"/>
      <c r="C417" s="9"/>
      <c r="D417" s="9"/>
      <c r="E417" s="9"/>
      <c r="F417" s="9"/>
      <c r="G417" s="9"/>
      <c r="H417" s="9"/>
      <c r="I417" s="6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</row>
    <row r="418" spans="1:49" x14ac:dyDescent="0.25">
      <c r="A418" s="9"/>
      <c r="B418" s="9"/>
      <c r="C418" s="9"/>
      <c r="D418" s="9"/>
      <c r="E418" s="9"/>
      <c r="F418" s="9"/>
      <c r="G418" s="9"/>
      <c r="H418" s="9"/>
      <c r="I418" s="6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</row>
    <row r="419" spans="1:49" x14ac:dyDescent="0.25">
      <c r="A419" s="9"/>
      <c r="B419" s="9"/>
      <c r="C419" s="9"/>
      <c r="D419" s="9"/>
      <c r="E419" s="9"/>
      <c r="F419" s="9"/>
      <c r="G419" s="9"/>
      <c r="H419" s="9"/>
      <c r="I419" s="6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</row>
    <row r="420" spans="1:49" x14ac:dyDescent="0.25">
      <c r="A420" s="9"/>
      <c r="B420" s="9"/>
      <c r="C420" s="9"/>
      <c r="D420" s="9"/>
      <c r="E420" s="9"/>
      <c r="F420" s="9"/>
      <c r="G420" s="9"/>
      <c r="H420" s="9"/>
      <c r="I420" s="6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</row>
    <row r="421" spans="1:49" x14ac:dyDescent="0.25">
      <c r="A421" s="9"/>
      <c r="B421" s="9"/>
      <c r="C421" s="9"/>
      <c r="D421" s="9"/>
      <c r="E421" s="9"/>
      <c r="F421" s="9"/>
      <c r="G421" s="9"/>
      <c r="H421" s="9"/>
      <c r="I421" s="6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</row>
    <row r="422" spans="1:49" x14ac:dyDescent="0.25">
      <c r="A422" s="9"/>
      <c r="B422" s="9"/>
      <c r="C422" s="9"/>
      <c r="D422" s="9"/>
      <c r="E422" s="9"/>
      <c r="F422" s="9"/>
      <c r="G422" s="9"/>
      <c r="H422" s="9"/>
      <c r="I422" s="6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</row>
    <row r="423" spans="1:49" x14ac:dyDescent="0.25">
      <c r="A423" s="9"/>
      <c r="B423" s="9"/>
      <c r="C423" s="9"/>
      <c r="D423" s="9"/>
      <c r="E423" s="9"/>
      <c r="F423" s="9"/>
      <c r="G423" s="9"/>
      <c r="H423" s="9"/>
      <c r="I423" s="6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</row>
    <row r="424" spans="1:49" x14ac:dyDescent="0.25">
      <c r="A424" s="9"/>
      <c r="B424" s="9"/>
      <c r="C424" s="9"/>
      <c r="D424" s="9"/>
      <c r="E424" s="9"/>
      <c r="F424" s="9"/>
      <c r="G424" s="9"/>
      <c r="H424" s="9"/>
      <c r="I424" s="6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</row>
    <row r="425" spans="1:49" x14ac:dyDescent="0.25">
      <c r="A425" s="9"/>
      <c r="B425" s="9"/>
      <c r="C425" s="9"/>
      <c r="D425" s="9"/>
      <c r="E425" s="9"/>
      <c r="F425" s="9"/>
      <c r="G425" s="9"/>
      <c r="H425" s="9"/>
      <c r="I425" s="6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</row>
    <row r="426" spans="1:49" x14ac:dyDescent="0.25">
      <c r="A426" s="9"/>
      <c r="B426" s="9"/>
      <c r="C426" s="9"/>
      <c r="D426" s="9"/>
      <c r="E426" s="9"/>
      <c r="F426" s="9"/>
      <c r="G426" s="9"/>
      <c r="H426" s="9"/>
      <c r="I426" s="6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</row>
    <row r="427" spans="1:49" x14ac:dyDescent="0.25">
      <c r="A427" s="9"/>
      <c r="B427" s="9"/>
      <c r="C427" s="9"/>
      <c r="D427" s="9"/>
      <c r="E427" s="9"/>
      <c r="F427" s="9"/>
      <c r="G427" s="9"/>
      <c r="H427" s="9"/>
      <c r="I427" s="6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</row>
    <row r="428" spans="1:49" x14ac:dyDescent="0.25">
      <c r="A428" s="9"/>
      <c r="B428" s="9"/>
      <c r="C428" s="9"/>
      <c r="D428" s="9"/>
      <c r="E428" s="9"/>
      <c r="F428" s="9"/>
      <c r="G428" s="9"/>
      <c r="H428" s="9"/>
      <c r="I428" s="6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</row>
    <row r="429" spans="1:49" x14ac:dyDescent="0.25">
      <c r="A429" s="9"/>
      <c r="B429" s="9"/>
      <c r="C429" s="9"/>
      <c r="D429" s="9"/>
      <c r="E429" s="9"/>
      <c r="F429" s="9"/>
      <c r="G429" s="9"/>
      <c r="H429" s="9"/>
      <c r="I429" s="6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</row>
    <row r="430" spans="1:49" x14ac:dyDescent="0.25">
      <c r="A430" s="9"/>
      <c r="B430" s="9"/>
      <c r="C430" s="9"/>
      <c r="D430" s="9"/>
      <c r="E430" s="9"/>
      <c r="F430" s="9"/>
      <c r="G430" s="9"/>
      <c r="H430" s="9"/>
      <c r="I430" s="6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</row>
    <row r="431" spans="1:49" x14ac:dyDescent="0.25">
      <c r="A431" s="9"/>
      <c r="B431" s="9"/>
      <c r="C431" s="9"/>
      <c r="D431" s="9"/>
      <c r="E431" s="9"/>
      <c r="F431" s="9"/>
      <c r="G431" s="9"/>
      <c r="H431" s="9"/>
      <c r="I431" s="6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</row>
    <row r="432" spans="1:49" x14ac:dyDescent="0.25">
      <c r="A432" s="9"/>
      <c r="B432" s="9"/>
      <c r="C432" s="9"/>
      <c r="D432" s="9"/>
      <c r="E432" s="9"/>
      <c r="F432" s="9"/>
      <c r="G432" s="9"/>
      <c r="H432" s="9"/>
      <c r="I432" s="6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</row>
    <row r="433" spans="1:49" x14ac:dyDescent="0.25">
      <c r="A433" s="9"/>
      <c r="B433" s="9"/>
      <c r="C433" s="9"/>
      <c r="D433" s="9"/>
      <c r="E433" s="9"/>
      <c r="F433" s="9"/>
      <c r="G433" s="9"/>
      <c r="H433" s="9"/>
      <c r="I433" s="6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</row>
    <row r="434" spans="1:49" x14ac:dyDescent="0.25">
      <c r="A434" s="9"/>
      <c r="B434" s="9"/>
      <c r="C434" s="9"/>
      <c r="D434" s="9"/>
      <c r="E434" s="9"/>
      <c r="F434" s="9"/>
      <c r="G434" s="9"/>
      <c r="H434" s="9"/>
      <c r="I434" s="6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</row>
    <row r="435" spans="1:49" x14ac:dyDescent="0.25">
      <c r="A435" s="9"/>
      <c r="B435" s="9"/>
      <c r="C435" s="9"/>
      <c r="D435" s="9"/>
      <c r="E435" s="9"/>
      <c r="F435" s="9"/>
      <c r="G435" s="9"/>
      <c r="H435" s="9"/>
      <c r="I435" s="6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</row>
    <row r="436" spans="1:49" x14ac:dyDescent="0.25">
      <c r="A436" s="9"/>
      <c r="B436" s="9"/>
      <c r="C436" s="9"/>
      <c r="D436" s="9"/>
      <c r="E436" s="9"/>
      <c r="F436" s="9"/>
      <c r="G436" s="9"/>
      <c r="H436" s="9"/>
      <c r="I436" s="6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</row>
    <row r="437" spans="1:49" x14ac:dyDescent="0.25">
      <c r="A437" s="9"/>
      <c r="B437" s="9"/>
      <c r="C437" s="9"/>
      <c r="D437" s="9"/>
      <c r="E437" s="9"/>
      <c r="F437" s="9"/>
      <c r="G437" s="9"/>
      <c r="H437" s="9"/>
      <c r="I437" s="6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</row>
    <row r="438" spans="1:49" x14ac:dyDescent="0.25">
      <c r="A438" s="9"/>
      <c r="B438" s="9"/>
      <c r="C438" s="9"/>
      <c r="D438" s="9"/>
      <c r="E438" s="9"/>
      <c r="F438" s="9"/>
      <c r="G438" s="9"/>
      <c r="H438" s="9"/>
      <c r="I438" s="6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</row>
    <row r="439" spans="1:49" x14ac:dyDescent="0.25">
      <c r="A439" s="9"/>
      <c r="B439" s="9"/>
      <c r="C439" s="9"/>
      <c r="D439" s="9"/>
      <c r="E439" s="9"/>
      <c r="F439" s="9"/>
      <c r="G439" s="9"/>
      <c r="H439" s="9"/>
      <c r="I439" s="6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</row>
    <row r="440" spans="1:49" x14ac:dyDescent="0.25">
      <c r="A440" s="9"/>
      <c r="B440" s="9"/>
      <c r="C440" s="9"/>
      <c r="D440" s="9"/>
      <c r="E440" s="9"/>
      <c r="F440" s="9"/>
      <c r="G440" s="9"/>
      <c r="H440" s="9"/>
      <c r="I440" s="6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</row>
    <row r="441" spans="1:49" x14ac:dyDescent="0.25">
      <c r="A441" s="9"/>
      <c r="B441" s="9"/>
      <c r="C441" s="9"/>
      <c r="D441" s="9"/>
      <c r="E441" s="9"/>
      <c r="F441" s="9"/>
      <c r="G441" s="9"/>
      <c r="H441" s="9"/>
      <c r="I441" s="6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</row>
    <row r="442" spans="1:49" x14ac:dyDescent="0.25">
      <c r="A442" s="9"/>
      <c r="B442" s="9"/>
      <c r="C442" s="9"/>
      <c r="D442" s="9"/>
      <c r="E442" s="9"/>
      <c r="F442" s="9"/>
      <c r="G442" s="9"/>
      <c r="H442" s="9"/>
      <c r="I442" s="6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</row>
    <row r="443" spans="1:49" x14ac:dyDescent="0.25">
      <c r="A443" s="9"/>
      <c r="B443" s="9"/>
      <c r="C443" s="9"/>
      <c r="D443" s="9"/>
      <c r="E443" s="9"/>
      <c r="F443" s="9"/>
      <c r="G443" s="9"/>
      <c r="H443" s="9"/>
      <c r="I443" s="6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</row>
    <row r="444" spans="1:49" x14ac:dyDescent="0.25">
      <c r="A444" s="9"/>
      <c r="B444" s="9"/>
      <c r="C444" s="9"/>
      <c r="D444" s="9"/>
      <c r="E444" s="9"/>
      <c r="F444" s="9"/>
      <c r="G444" s="9"/>
      <c r="H444" s="9"/>
      <c r="I444" s="6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</row>
    <row r="445" spans="1:49" x14ac:dyDescent="0.25">
      <c r="A445" s="9"/>
      <c r="B445" s="9"/>
      <c r="C445" s="9"/>
      <c r="D445" s="9"/>
      <c r="E445" s="9"/>
      <c r="F445" s="9"/>
      <c r="G445" s="9"/>
      <c r="H445" s="9"/>
      <c r="I445" s="6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</row>
    <row r="446" spans="1:49" x14ac:dyDescent="0.25">
      <c r="A446" s="9"/>
      <c r="B446" s="9"/>
      <c r="C446" s="9"/>
      <c r="D446" s="9"/>
      <c r="E446" s="9"/>
      <c r="F446" s="9"/>
      <c r="G446" s="9"/>
      <c r="H446" s="9"/>
      <c r="I446" s="6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</row>
    <row r="447" spans="1:49" x14ac:dyDescent="0.25">
      <c r="A447" s="9"/>
      <c r="B447" s="9"/>
      <c r="C447" s="9"/>
      <c r="D447" s="9"/>
      <c r="E447" s="9"/>
      <c r="F447" s="9"/>
      <c r="G447" s="9"/>
      <c r="H447" s="9"/>
      <c r="I447" s="6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</row>
    <row r="448" spans="1:49" x14ac:dyDescent="0.25">
      <c r="A448" s="9"/>
      <c r="B448" s="9"/>
      <c r="C448" s="9"/>
      <c r="D448" s="9"/>
      <c r="E448" s="9"/>
      <c r="F448" s="9"/>
      <c r="G448" s="9"/>
      <c r="H448" s="9"/>
      <c r="I448" s="6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</row>
    <row r="449" spans="1:49" x14ac:dyDescent="0.25">
      <c r="A449" s="9"/>
      <c r="B449" s="9"/>
      <c r="C449" s="9"/>
      <c r="D449" s="9"/>
      <c r="E449" s="9"/>
      <c r="F449" s="9"/>
      <c r="G449" s="9"/>
      <c r="H449" s="9"/>
      <c r="I449" s="6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</row>
    <row r="450" spans="1:49" x14ac:dyDescent="0.25">
      <c r="A450" s="9"/>
      <c r="B450" s="9"/>
      <c r="C450" s="9"/>
      <c r="D450" s="9"/>
      <c r="E450" s="9"/>
      <c r="F450" s="9"/>
      <c r="G450" s="9"/>
      <c r="H450" s="9"/>
      <c r="I450" s="6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</row>
    <row r="451" spans="1:49" x14ac:dyDescent="0.25">
      <c r="A451" s="9"/>
      <c r="B451" s="9"/>
      <c r="C451" s="9"/>
      <c r="D451" s="9"/>
      <c r="E451" s="9"/>
      <c r="F451" s="9"/>
      <c r="G451" s="9"/>
      <c r="H451" s="9"/>
      <c r="I451" s="6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</row>
    <row r="452" spans="1:49" x14ac:dyDescent="0.25">
      <c r="A452" s="9"/>
      <c r="B452" s="9"/>
      <c r="C452" s="9"/>
      <c r="D452" s="9"/>
      <c r="E452" s="9"/>
      <c r="F452" s="9"/>
      <c r="G452" s="9"/>
      <c r="H452" s="9"/>
      <c r="I452" s="6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</row>
    <row r="453" spans="1:49" x14ac:dyDescent="0.25">
      <c r="A453" s="9"/>
      <c r="B453" s="9"/>
      <c r="C453" s="9"/>
      <c r="D453" s="9"/>
      <c r="E453" s="9"/>
      <c r="F453" s="9"/>
      <c r="G453" s="9"/>
      <c r="H453" s="9"/>
      <c r="I453" s="6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</row>
    <row r="454" spans="1:49" x14ac:dyDescent="0.25">
      <c r="A454" s="9"/>
      <c r="B454" s="9"/>
      <c r="C454" s="9"/>
      <c r="D454" s="9"/>
      <c r="E454" s="9"/>
      <c r="F454" s="9"/>
      <c r="G454" s="9"/>
      <c r="H454" s="9"/>
      <c r="I454" s="6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</row>
    <row r="455" spans="1:49" x14ac:dyDescent="0.25">
      <c r="A455" s="9"/>
      <c r="B455" s="9"/>
      <c r="C455" s="9"/>
      <c r="D455" s="9"/>
      <c r="E455" s="9"/>
      <c r="F455" s="9"/>
      <c r="G455" s="9"/>
      <c r="H455" s="9"/>
      <c r="I455" s="6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</row>
    <row r="456" spans="1:49" x14ac:dyDescent="0.25">
      <c r="A456" s="9"/>
      <c r="B456" s="9"/>
      <c r="C456" s="9"/>
      <c r="D456" s="9"/>
      <c r="E456" s="9"/>
      <c r="F456" s="9"/>
      <c r="G456" s="9"/>
      <c r="H456" s="9"/>
      <c r="I456" s="6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</row>
    <row r="457" spans="1:49" x14ac:dyDescent="0.25">
      <c r="A457" s="9"/>
      <c r="B457" s="9"/>
      <c r="C457" s="9"/>
      <c r="D457" s="9"/>
      <c r="E457" s="9"/>
      <c r="F457" s="9"/>
      <c r="G457" s="9"/>
      <c r="H457" s="9"/>
      <c r="I457" s="6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</row>
    <row r="458" spans="1:49" x14ac:dyDescent="0.25">
      <c r="A458" s="9"/>
      <c r="B458" s="9"/>
      <c r="C458" s="9"/>
      <c r="D458" s="9"/>
      <c r="E458" s="9"/>
      <c r="F458" s="9"/>
      <c r="G458" s="9"/>
      <c r="H458" s="9"/>
      <c r="I458" s="6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</row>
    <row r="459" spans="1:49" x14ac:dyDescent="0.25">
      <c r="A459" s="9"/>
      <c r="B459" s="9"/>
      <c r="C459" s="9"/>
      <c r="D459" s="9"/>
      <c r="E459" s="9"/>
      <c r="F459" s="9"/>
      <c r="G459" s="9"/>
      <c r="H459" s="9"/>
      <c r="I459" s="6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</row>
    <row r="460" spans="1:49" x14ac:dyDescent="0.25">
      <c r="A460" s="9"/>
      <c r="B460" s="9"/>
      <c r="C460" s="9"/>
      <c r="D460" s="9"/>
      <c r="E460" s="9"/>
      <c r="F460" s="9"/>
      <c r="G460" s="9"/>
      <c r="H460" s="9"/>
      <c r="I460" s="6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</row>
    <row r="461" spans="1:49" x14ac:dyDescent="0.25">
      <c r="A461" s="9"/>
      <c r="B461" s="9"/>
      <c r="C461" s="9"/>
      <c r="D461" s="9"/>
      <c r="E461" s="9"/>
      <c r="F461" s="9"/>
      <c r="G461" s="9"/>
      <c r="H461" s="9"/>
      <c r="I461" s="6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</row>
    <row r="462" spans="1:49" x14ac:dyDescent="0.25">
      <c r="A462" s="9"/>
      <c r="B462" s="9"/>
      <c r="C462" s="9"/>
      <c r="D462" s="9"/>
      <c r="E462" s="9"/>
      <c r="F462" s="9"/>
      <c r="G462" s="9"/>
      <c r="H462" s="9"/>
      <c r="I462" s="6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</row>
    <row r="463" spans="1:49" x14ac:dyDescent="0.25">
      <c r="A463" s="9"/>
      <c r="B463" s="9"/>
      <c r="C463" s="9"/>
      <c r="D463" s="9"/>
      <c r="E463" s="9"/>
      <c r="F463" s="9"/>
      <c r="G463" s="9"/>
      <c r="H463" s="9"/>
      <c r="I463" s="6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</row>
    <row r="464" spans="1:49" x14ac:dyDescent="0.25">
      <c r="A464" s="9"/>
      <c r="B464" s="9"/>
      <c r="C464" s="9"/>
      <c r="D464" s="9"/>
      <c r="E464" s="9"/>
      <c r="F464" s="9"/>
      <c r="G464" s="9"/>
      <c r="H464" s="9"/>
      <c r="I464" s="6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</row>
    <row r="465" spans="1:49" x14ac:dyDescent="0.25">
      <c r="A465" s="9"/>
      <c r="B465" s="9"/>
      <c r="C465" s="9"/>
      <c r="D465" s="9"/>
      <c r="E465" s="9"/>
      <c r="F465" s="9"/>
      <c r="G465" s="9"/>
      <c r="H465" s="9"/>
      <c r="I465" s="6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</row>
    <row r="466" spans="1:49" x14ac:dyDescent="0.25">
      <c r="A466" s="9"/>
      <c r="B466" s="9"/>
      <c r="C466" s="9"/>
      <c r="D466" s="9"/>
      <c r="E466" s="9"/>
      <c r="F466" s="9"/>
      <c r="G466" s="9"/>
      <c r="H466" s="9"/>
      <c r="I466" s="6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</row>
    <row r="467" spans="1:49" x14ac:dyDescent="0.25">
      <c r="A467" s="9"/>
      <c r="B467" s="9"/>
      <c r="C467" s="9"/>
      <c r="D467" s="9"/>
      <c r="E467" s="9"/>
      <c r="F467" s="9"/>
      <c r="G467" s="9"/>
      <c r="H467" s="9"/>
      <c r="I467" s="6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</row>
    <row r="468" spans="1:49" x14ac:dyDescent="0.25">
      <c r="A468" s="9"/>
      <c r="B468" s="9"/>
      <c r="C468" s="9"/>
      <c r="D468" s="9"/>
      <c r="E468" s="9"/>
      <c r="F468" s="9"/>
      <c r="G468" s="9"/>
      <c r="H468" s="9"/>
      <c r="I468" s="6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</row>
    <row r="469" spans="1:49" x14ac:dyDescent="0.25">
      <c r="A469" s="9"/>
      <c r="B469" s="9"/>
      <c r="C469" s="9"/>
      <c r="D469" s="9"/>
      <c r="E469" s="9"/>
      <c r="F469" s="9"/>
      <c r="G469" s="9"/>
      <c r="H469" s="9"/>
      <c r="I469" s="6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</row>
    <row r="470" spans="1:49" x14ac:dyDescent="0.25">
      <c r="A470" s="9"/>
      <c r="B470" s="9"/>
      <c r="C470" s="9"/>
      <c r="D470" s="9"/>
      <c r="E470" s="9"/>
      <c r="F470" s="9"/>
      <c r="G470" s="9"/>
      <c r="H470" s="9"/>
      <c r="I470" s="6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</row>
    <row r="471" spans="1:49" x14ac:dyDescent="0.25">
      <c r="A471" s="9"/>
      <c r="B471" s="9"/>
      <c r="C471" s="9"/>
      <c r="D471" s="9"/>
      <c r="E471" s="9"/>
      <c r="F471" s="9"/>
      <c r="G471" s="9"/>
      <c r="H471" s="9"/>
      <c r="I471" s="6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</row>
    <row r="472" spans="1:49" x14ac:dyDescent="0.25">
      <c r="A472" s="9"/>
      <c r="B472" s="9"/>
      <c r="C472" s="9"/>
      <c r="D472" s="9"/>
      <c r="E472" s="9"/>
      <c r="F472" s="9"/>
      <c r="G472" s="9"/>
      <c r="H472" s="9"/>
      <c r="I472" s="6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</row>
    <row r="473" spans="1:49" x14ac:dyDescent="0.25">
      <c r="A473" s="9"/>
      <c r="B473" s="9"/>
      <c r="C473" s="9"/>
      <c r="D473" s="9"/>
      <c r="E473" s="9"/>
      <c r="F473" s="9"/>
      <c r="G473" s="9"/>
      <c r="H473" s="9"/>
      <c r="I473" s="6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</row>
    <row r="474" spans="1:49" x14ac:dyDescent="0.25">
      <c r="A474" s="9"/>
      <c r="B474" s="9"/>
      <c r="C474" s="9"/>
      <c r="D474" s="9"/>
      <c r="E474" s="9"/>
      <c r="F474" s="9"/>
      <c r="G474" s="9"/>
      <c r="H474" s="9"/>
      <c r="I474" s="6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</row>
    <row r="475" spans="1:49" x14ac:dyDescent="0.25">
      <c r="A475" s="9"/>
      <c r="B475" s="9"/>
      <c r="C475" s="9"/>
      <c r="D475" s="9"/>
      <c r="E475" s="9"/>
      <c r="F475" s="9"/>
      <c r="G475" s="9"/>
      <c r="H475" s="9"/>
      <c r="I475" s="6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</row>
    <row r="476" spans="1:49" x14ac:dyDescent="0.25">
      <c r="A476" s="9"/>
      <c r="B476" s="9"/>
      <c r="C476" s="9"/>
      <c r="D476" s="9"/>
      <c r="E476" s="9"/>
      <c r="F476" s="9"/>
      <c r="G476" s="9"/>
      <c r="H476" s="9"/>
      <c r="I476" s="6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</row>
    <row r="477" spans="1:49" x14ac:dyDescent="0.25">
      <c r="A477" s="9"/>
      <c r="B477" s="9"/>
      <c r="C477" s="9"/>
      <c r="D477" s="9"/>
      <c r="E477" s="9"/>
      <c r="F477" s="9"/>
      <c r="G477" s="9"/>
      <c r="H477" s="9"/>
      <c r="I477" s="6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</row>
    <row r="478" spans="1:49" x14ac:dyDescent="0.25">
      <c r="A478" s="9"/>
      <c r="B478" s="9"/>
      <c r="C478" s="9"/>
      <c r="D478" s="9"/>
      <c r="E478" s="9"/>
      <c r="F478" s="9"/>
      <c r="G478" s="9"/>
      <c r="H478" s="9"/>
      <c r="I478" s="6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</row>
    <row r="479" spans="1:49" x14ac:dyDescent="0.25">
      <c r="A479" s="9"/>
      <c r="B479" s="9"/>
      <c r="C479" s="9"/>
      <c r="D479" s="9"/>
      <c r="E479" s="9"/>
      <c r="F479" s="9"/>
      <c r="G479" s="9"/>
      <c r="H479" s="9"/>
      <c r="I479" s="6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</row>
    <row r="480" spans="1:49" x14ac:dyDescent="0.25">
      <c r="A480" s="9"/>
      <c r="B480" s="9"/>
      <c r="C480" s="9"/>
      <c r="D480" s="9"/>
      <c r="E480" s="9"/>
      <c r="F480" s="9"/>
      <c r="G480" s="9"/>
      <c r="H480" s="9"/>
      <c r="I480" s="6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</row>
    <row r="481" spans="1:49" x14ac:dyDescent="0.25">
      <c r="A481" s="9"/>
      <c r="B481" s="9"/>
      <c r="C481" s="9"/>
      <c r="D481" s="9"/>
      <c r="E481" s="9"/>
      <c r="F481" s="9"/>
      <c r="G481" s="9"/>
      <c r="H481" s="9"/>
      <c r="I481" s="6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</row>
    <row r="482" spans="1:49" x14ac:dyDescent="0.25">
      <c r="A482" s="9"/>
      <c r="B482" s="9"/>
      <c r="C482" s="9"/>
      <c r="D482" s="9"/>
      <c r="E482" s="9"/>
      <c r="F482" s="9"/>
      <c r="G482" s="9"/>
      <c r="H482" s="9"/>
      <c r="I482" s="6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</row>
    <row r="483" spans="1:49" x14ac:dyDescent="0.25">
      <c r="A483" s="9"/>
      <c r="B483" s="9"/>
      <c r="C483" s="9"/>
      <c r="D483" s="9"/>
      <c r="E483" s="9"/>
      <c r="F483" s="9"/>
      <c r="G483" s="9"/>
      <c r="H483" s="9"/>
      <c r="I483" s="6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</row>
    <row r="484" spans="1:49" x14ac:dyDescent="0.25">
      <c r="A484" s="9"/>
      <c r="B484" s="9"/>
      <c r="C484" s="9"/>
      <c r="D484" s="9"/>
      <c r="E484" s="9"/>
      <c r="F484" s="9"/>
      <c r="G484" s="9"/>
      <c r="H484" s="9"/>
      <c r="I484" s="6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</row>
    <row r="485" spans="1:49" x14ac:dyDescent="0.25">
      <c r="A485" s="9"/>
      <c r="B485" s="9"/>
      <c r="C485" s="9"/>
      <c r="D485" s="9"/>
      <c r="E485" s="9"/>
      <c r="F485" s="9"/>
      <c r="G485" s="9"/>
      <c r="H485" s="9"/>
      <c r="I485" s="6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</row>
    <row r="486" spans="1:49" x14ac:dyDescent="0.25">
      <c r="A486" s="9"/>
      <c r="B486" s="9"/>
      <c r="C486" s="9"/>
      <c r="D486" s="9"/>
      <c r="E486" s="9"/>
      <c r="F486" s="9"/>
      <c r="G486" s="9"/>
      <c r="H486" s="9"/>
      <c r="I486" s="6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</row>
    <row r="487" spans="1:49" x14ac:dyDescent="0.25">
      <c r="A487" s="9"/>
      <c r="B487" s="9"/>
      <c r="C487" s="9"/>
      <c r="D487" s="9"/>
      <c r="E487" s="9"/>
      <c r="F487" s="9"/>
      <c r="G487" s="9"/>
      <c r="H487" s="9"/>
      <c r="I487" s="6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</row>
    <row r="488" spans="1:49" x14ac:dyDescent="0.25">
      <c r="A488" s="9"/>
      <c r="B488" s="9"/>
      <c r="C488" s="9"/>
      <c r="D488" s="9"/>
      <c r="E488" s="9"/>
      <c r="F488" s="9"/>
      <c r="G488" s="9"/>
      <c r="H488" s="9"/>
      <c r="I488" s="6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</row>
    <row r="489" spans="1:49" x14ac:dyDescent="0.25">
      <c r="A489" s="9"/>
      <c r="B489" s="9"/>
      <c r="C489" s="9"/>
      <c r="D489" s="9"/>
      <c r="E489" s="9"/>
      <c r="F489" s="9"/>
      <c r="G489" s="9"/>
      <c r="H489" s="9"/>
      <c r="I489" s="6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</row>
    <row r="490" spans="1:49" x14ac:dyDescent="0.25">
      <c r="A490" s="9"/>
      <c r="B490" s="9"/>
      <c r="C490" s="9"/>
      <c r="D490" s="9"/>
      <c r="E490" s="9"/>
      <c r="F490" s="9"/>
      <c r="G490" s="9"/>
      <c r="H490" s="9"/>
      <c r="I490" s="6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</row>
    <row r="491" spans="1:49" x14ac:dyDescent="0.25">
      <c r="A491" s="9"/>
      <c r="B491" s="9"/>
      <c r="C491" s="9"/>
      <c r="D491" s="9"/>
      <c r="E491" s="9"/>
      <c r="F491" s="9"/>
      <c r="G491" s="9"/>
      <c r="H491" s="9"/>
      <c r="I491" s="6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</row>
    <row r="492" spans="1:49" x14ac:dyDescent="0.25">
      <c r="A492" s="9"/>
      <c r="B492" s="9"/>
      <c r="C492" s="9"/>
      <c r="D492" s="9"/>
      <c r="E492" s="9"/>
      <c r="F492" s="9"/>
      <c r="G492" s="9"/>
      <c r="H492" s="9"/>
      <c r="I492" s="6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</row>
    <row r="493" spans="1:49" x14ac:dyDescent="0.25">
      <c r="A493" s="9"/>
      <c r="B493" s="9"/>
      <c r="C493" s="9"/>
      <c r="D493" s="9"/>
      <c r="E493" s="9"/>
      <c r="F493" s="9"/>
      <c r="G493" s="9"/>
      <c r="H493" s="9"/>
      <c r="I493" s="6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</row>
    <row r="494" spans="1:49" x14ac:dyDescent="0.25">
      <c r="A494" s="9"/>
      <c r="B494" s="9"/>
      <c r="C494" s="9"/>
      <c r="D494" s="9"/>
      <c r="E494" s="9"/>
      <c r="F494" s="9"/>
      <c r="G494" s="9"/>
      <c r="H494" s="9"/>
      <c r="I494" s="6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</row>
  </sheetData>
  <autoFilter ref="A3:AH12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2026-09-21T13:01:15Z</dcterms:created>
  <dcterms:modified xsi:type="dcterms:W3CDTF">2026-09-21T13:33:35Z</dcterms:modified>
</cp:coreProperties>
</file>