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Бланк!$AC$3:$AC$599</definedName>
    <definedName name="номин.вес_нетто__кг">Бланк!$W$3:$W$599</definedName>
    <definedName name="_xlnm._FilterDatabase" localSheetId="0" hidden="1">'Бланк'!$A$9:$J$163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7"/>
  <sheetViews>
    <sheetView tabSelected="1" zoomScale="85" zoomScaleNormal="85" workbookViewId="0">
      <pane ySplit="9" topLeftCell="A159" activePane="bottomLeft" state="frozen"/>
      <selection pane="bottomLeft" activeCell="J177" sqref="J17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130438122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46194</v>
      </c>
      <c r="E3" s="7" t="inlineStr">
        <is>
          <t xml:space="preserve">Доставка: </t>
        </is>
      </c>
      <c r="F3" s="106">
        <f>D3+3</f>
        <v/>
      </c>
      <c r="G3" s="106" t="inlineStr">
        <is>
          <t>Бердянск</t>
        </is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100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15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>
        <v>175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180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>
        <v>60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>
        <v>150</v>
      </c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450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>
        <v>50</v>
      </c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300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>
        <v>75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/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/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>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/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/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/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>
        <v>80</v>
      </c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>
        <v>20</v>
      </c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>
        <v>21</v>
      </c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>
        <v>6</v>
      </c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/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>
        <v>5</v>
      </c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>
        <v>180</v>
      </c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>
        <v>175</v>
      </c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/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/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/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/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160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25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/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/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/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/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>
        <v>45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/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>
        <v>150</v>
      </c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>
        <v>150</v>
      </c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ЕВРОПЕЙСКИЙ в/к в/у 0.33кг 8шт.</t>
        </is>
      </c>
      <c r="C88" s="50" t="inlineStr">
        <is>
          <t>ШТ</t>
        </is>
      </c>
      <c r="D88" s="51" t="n">
        <v>1001300366807</v>
      </c>
      <c r="E88" s="24" t="n"/>
      <c r="F88" s="56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>
      <c r="A89" s="55">
        <f>RIGHT(D89,4)</f>
        <v/>
      </c>
      <c r="B89" s="53" t="inlineStr">
        <is>
          <t>СЕРВЕЛАТ ЗЕРНИСТЫЙ ПМ в/к в/у 0.35кг_50с</t>
        </is>
      </c>
      <c r="C89" s="50" t="inlineStr">
        <is>
          <t>ШТ</t>
        </is>
      </c>
      <c r="D89" s="51" t="n">
        <v>1001300387154</v>
      </c>
      <c r="E89" s="24" t="n"/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в/у_50с</t>
        </is>
      </c>
      <c r="C90" s="50" t="inlineStr">
        <is>
          <t>КГ</t>
        </is>
      </c>
      <c r="D90" s="51" t="n">
        <v>1001300387157</v>
      </c>
      <c r="E90" s="24" t="n"/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КАРЕЛЬСКИЙ в/к в/у 0.28кг_209к</t>
        </is>
      </c>
      <c r="C91" s="50" t="inlineStr">
        <is>
          <t>ШТ</t>
        </is>
      </c>
      <c r="D91" s="51" t="n">
        <v>1001304507236</v>
      </c>
      <c r="E91" s="24" t="n"/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>
      <c r="A92" s="55">
        <f>RIGHT(D92,4)</f>
        <v/>
      </c>
      <c r="B92" s="53" t="inlineStr">
        <is>
          <t>СЫРРРВЕЛАТ Папа может в/к в/у 0.28кг 8шт</t>
        </is>
      </c>
      <c r="C92" s="50" t="inlineStr">
        <is>
          <t>ШТ</t>
        </is>
      </c>
      <c r="D92" s="51" t="n">
        <v>1001307357489</v>
      </c>
      <c r="E92" s="24" t="n">
        <v>33</v>
      </c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>
      <c r="A93" s="55">
        <f>RIGHT(D93,4)</f>
        <v/>
      </c>
      <c r="B93" s="99" t="inlineStr">
        <is>
          <t>СЕРВЕЛАТ КРЕМЛЕВСКИЙ в/к в/у 0.33кг 8шт.</t>
        </is>
      </c>
      <c r="C93" s="50" t="inlineStr">
        <is>
          <t>ШТ</t>
        </is>
      </c>
      <c r="D93" s="51" t="n">
        <v>1001300456787</v>
      </c>
      <c r="E93" s="24" t="n"/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>
      <c r="A94" s="55">
        <f>RIGHT(D94,4)</f>
        <v/>
      </c>
      <c r="B94" s="99" t="inlineStr">
        <is>
          <t>СЕРВЕЛАТ ОХОТНИЧИЙ ПМ в/к в/у_50с</t>
        </is>
      </c>
      <c r="C94" s="50" t="inlineStr">
        <is>
          <t>КГ</t>
        </is>
      </c>
      <c r="D94" s="51" t="n">
        <v>1001303987166</v>
      </c>
      <c r="E94" s="24" t="n">
        <v>90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>
      <c r="A95" s="55">
        <f>RIGHT(D95,4)</f>
        <v/>
      </c>
      <c r="B95" s="53" t="inlineStr">
        <is>
          <t>СЕРВЕЛАТ ОХОТНИЧИЙ ПМ в/к в/у 0.35кг_50с</t>
        </is>
      </c>
      <c r="C95" s="50" t="inlineStr">
        <is>
          <t>ШТ</t>
        </is>
      </c>
      <c r="D95" s="51" t="n">
        <v>1001303987169</v>
      </c>
      <c r="E95" s="24" t="n">
        <v>120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ФИНСКИЙ в/к в/у_45с</t>
        </is>
      </c>
      <c r="C96" s="50" t="inlineStr">
        <is>
          <t>КГ</t>
        </is>
      </c>
      <c r="D96" s="51" t="n">
        <v>1001051875544</v>
      </c>
      <c r="E96" s="24" t="n">
        <v>125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>
      <c r="A97" s="55">
        <f>RIGHT(D97,4)</f>
        <v/>
      </c>
      <c r="B97" s="53" t="inlineStr">
        <is>
          <t>СЕРВЕЛАТ ФИНСКИЙ ПМ в/к в/у 0.35кг 8шт.</t>
        </is>
      </c>
      <c r="C97" s="50" t="inlineStr">
        <is>
          <t>ШТ</t>
        </is>
      </c>
      <c r="D97" s="51" t="n">
        <v>1001301876697</v>
      </c>
      <c r="E97" s="24" t="n">
        <v>220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ШВАРЦЕР ПМ в/к в/у 0.28кг_209к</t>
        </is>
      </c>
      <c r="C98" s="50" t="inlineStr">
        <is>
          <t>ШТ</t>
        </is>
      </c>
      <c r="D98" s="51" t="n">
        <v>1001304497237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ОРЕХОВЫЙ в/к в/у 0.31кг_209к</t>
        </is>
      </c>
      <c r="C99" s="50" t="inlineStr">
        <is>
          <t>ШТ</t>
        </is>
      </c>
      <c r="D99" s="51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ЧЕСНОЧНАЯ ПМ п/к в/у 0.35кг 8шт_50с</t>
        </is>
      </c>
      <c r="C100" s="50" t="inlineStr">
        <is>
          <t>ШТ</t>
        </is>
      </c>
      <c r="D100" s="51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>
      <c r="A101" s="55">
        <f>RIGHT(D101,4)</f>
        <v/>
      </c>
      <c r="B101" s="53" t="inlineStr">
        <is>
          <t>БОЯРСКАЯ ПМ п/к в/у 0.28кг_СНГ</t>
        </is>
      </c>
      <c r="C101" s="50" t="inlineStr">
        <is>
          <t>ШТ</t>
        </is>
      </c>
      <c r="D101" s="51" t="n">
        <v>1001301777332</v>
      </c>
      <c r="E101" s="24" t="n">
        <v>25</v>
      </c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СЕРВЕЛАТ ОХОТНИЧИЙ ПМ в/к в/у 0.28кг_СНГ</t>
        </is>
      </c>
      <c r="C102" s="50" t="inlineStr">
        <is>
          <t>ШТ</t>
        </is>
      </c>
      <c r="D102" s="51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ШВЕЙЦАРСК. в/к с/н в/у 1/100*10</t>
        </is>
      </c>
      <c r="C103" s="50" t="inlineStr">
        <is>
          <t>ШТ</t>
        </is>
      </c>
      <c r="D103" s="51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thickBot="1">
      <c r="A104" s="55">
        <f>RIGHT(D104,4)</f>
        <v/>
      </c>
      <c r="B104" s="53" t="inlineStr">
        <is>
          <t>СЕРВЕЛАТ БАВАРСКИЙ в/к с/н в/у 1/100*10</t>
        </is>
      </c>
      <c r="C104" s="50" t="inlineStr">
        <is>
          <t>ШТ</t>
        </is>
      </c>
      <c r="D104" s="51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thickTop="1">
      <c r="A106" s="55">
        <f>RIGHT(D106,4)</f>
        <v/>
      </c>
      <c r="B106" s="53" t="inlineStr">
        <is>
          <t>АРОМАТНАЯ с/к в/у_А</t>
        </is>
      </c>
      <c r="C106" s="50" t="inlineStr">
        <is>
          <t>КГ</t>
        </is>
      </c>
      <c r="D106" s="51" t="n">
        <v>1001061973582</v>
      </c>
      <c r="E106" s="24" t="n"/>
      <c r="F106" s="56" t="n">
        <v>0.488</v>
      </c>
      <c r="G106" s="23">
        <f>E106</f>
        <v/>
      </c>
      <c r="H106" s="94" t="n">
        <v>3.9</v>
      </c>
      <c r="I106" s="93" t="n">
        <v>120</v>
      </c>
      <c r="J106" s="29" t="n"/>
    </row>
    <row r="107" ht="16.5" customHeight="1">
      <c r="A107" s="55">
        <f>RIGHT(D107,4)</f>
        <v/>
      </c>
      <c r="B107" s="53" t="inlineStr">
        <is>
          <t>АРОМАТНАЯ с/к в/у 1/250 8шт.</t>
        </is>
      </c>
      <c r="C107" s="50" t="inlineStr">
        <is>
          <t>ШТ</t>
        </is>
      </c>
      <c r="D107" s="51" t="n">
        <v>1001061973986</v>
      </c>
      <c r="E107" s="24" t="n">
        <v>60</v>
      </c>
      <c r="F107" s="56" t="n">
        <v>0.25</v>
      </c>
      <c r="G107" s="23">
        <f>E107*F107</f>
        <v/>
      </c>
      <c r="H107" s="94" t="n">
        <v>2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ОХОТНИЧЬЯ Папа может с/к в/у 1/220 8шт.</t>
        </is>
      </c>
      <c r="C108" s="50" t="inlineStr">
        <is>
          <t>ШТ</t>
        </is>
      </c>
      <c r="D108" s="51" t="n">
        <v>1001060755931</v>
      </c>
      <c r="E108" s="24" t="n">
        <v>90</v>
      </c>
      <c r="F108" s="23" t="n">
        <v>0.22</v>
      </c>
      <c r="G108" s="23">
        <f>E108*F108</f>
        <v/>
      </c>
      <c r="H108" s="92" t="n">
        <v>1.76</v>
      </c>
      <c r="I108" s="14" t="n">
        <v>120</v>
      </c>
      <c r="J108" s="29" t="n"/>
    </row>
    <row r="109" ht="16.5" customHeight="1">
      <c r="A109" s="55">
        <f>RIGHT(D109,4)</f>
        <v/>
      </c>
      <c r="B109" s="53" t="inlineStr">
        <is>
          <t>ПОСОЛЬСКАЯ Папа может с/к в/у</t>
        </is>
      </c>
      <c r="C109" s="50" t="inlineStr">
        <is>
          <t>КГ</t>
        </is>
      </c>
      <c r="D109" s="51" t="n">
        <v>1001063145708</v>
      </c>
      <c r="E109" s="24" t="n">
        <v>12</v>
      </c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САЛЯМИ ИТАЛЬЯНСКАЯ с/к в/у</t>
        </is>
      </c>
      <c r="C110" s="50" t="inlineStr">
        <is>
          <t>КГ</t>
        </is>
      </c>
      <c r="D110" s="51" t="n">
        <v>1001060763287</v>
      </c>
      <c r="E110" s="24" t="n">
        <v>15</v>
      </c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 1/250*8_120c</t>
        </is>
      </c>
      <c r="C111" s="50" t="inlineStr">
        <is>
          <t>ШТ</t>
        </is>
      </c>
      <c r="D111" s="51" t="n">
        <v>1001060764993</v>
      </c>
      <c r="E111" s="24" t="n">
        <v>220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ЭКСТРА Папа может с/к в/у 1/250 8шт.</t>
        </is>
      </c>
      <c r="C112" s="50" t="inlineStr">
        <is>
          <t>ШТ</t>
        </is>
      </c>
      <c r="D112" s="51" t="n">
        <v>1001062505483</v>
      </c>
      <c r="E112" s="24" t="n">
        <v>125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в/у_Л</t>
        </is>
      </c>
      <c r="C113" s="50" t="inlineStr">
        <is>
          <t>КГ</t>
        </is>
      </c>
      <c r="D113" s="51" t="n">
        <v>1001062504117</v>
      </c>
      <c r="E113" s="24" t="n">
        <v>18</v>
      </c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ПРАЗДНИЧНАЯ с/к в/с дек.спец.мгс</t>
        </is>
      </c>
      <c r="C114" s="50" t="inlineStr">
        <is>
          <t>КГ</t>
        </is>
      </c>
      <c r="D114" s="51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БУРГУНДИЯ Папа может с/к в/у 1/250 8шт.</t>
        </is>
      </c>
      <c r="C115" s="50" t="inlineStr">
        <is>
          <t>ШТ</t>
        </is>
      </c>
      <c r="D115" s="51" t="n">
        <v>1001063656967</v>
      </c>
      <c r="E115" s="24" t="n">
        <v>60</v>
      </c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САЛЯМИ Папа может с/к в/у 1/250 8шт.</t>
        </is>
      </c>
      <c r="C116" s="50" t="inlineStr">
        <is>
          <t>ШТ</t>
        </is>
      </c>
      <c r="D116" s="51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БРАУНШВЕЙГСКАЯ ГОСТ с/к в/у 1/220 8шт.</t>
        </is>
      </c>
      <c r="C117" s="50" t="inlineStr">
        <is>
          <t>ШТ</t>
        </is>
      </c>
      <c r="D117" s="51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САЛЬЧИЧОН Останкино с/к в/у 1/220 8шт.</t>
        </is>
      </c>
      <c r="C118" s="50" t="inlineStr">
        <is>
          <t>ШТ</t>
        </is>
      </c>
      <c r="D118" s="51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САЛЯМИ ФИНСКАЯ Папа может с/к в/у 1/150</t>
        </is>
      </c>
      <c r="C119" s="50" t="inlineStr">
        <is>
          <t>ШТ</t>
        </is>
      </c>
      <c r="D119" s="51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>
      <c r="A120" s="55">
        <f>RIGHT(D120,4)</f>
        <v/>
      </c>
      <c r="B120" s="53" t="inlineStr">
        <is>
          <t>ЧОРИЗО Останкино с/к в/у 1/220 8шт.</t>
        </is>
      </c>
      <c r="C120" s="50" t="inlineStr">
        <is>
          <t>ШТ</t>
        </is>
      </c>
      <c r="D120" s="51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САН-РЕМО Останкино с/в в/у 1/220 8шт.</t>
        </is>
      </c>
      <c r="C121" s="50" t="inlineStr">
        <is>
          <t>ШТ</t>
        </is>
      </c>
      <c r="D121" s="51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ПРЕСИЖН с/к дек.спец. мгс 0.54кг</t>
        </is>
      </c>
      <c r="C122" s="50" t="inlineStr">
        <is>
          <t>ШТ</t>
        </is>
      </c>
      <c r="D122" s="51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>
      <c r="A123" s="55">
        <f>RIGHT(D123,4)</f>
        <v/>
      </c>
      <c r="B123" s="53" t="inlineStr">
        <is>
          <t>ПРАЗДНИЧНАЯ с/к в/с дек.спец. мгс 1/270</t>
        </is>
      </c>
      <c r="C123" s="50" t="inlineStr">
        <is>
          <t>ШТ</t>
        </is>
      </c>
      <c r="D123" s="51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0.54кг</t>
        </is>
      </c>
      <c r="C124" s="50" t="inlineStr">
        <is>
          <t>ШТ</t>
        </is>
      </c>
      <c r="D124" s="51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АССОРТИ САЛЬЧИЧОН И ЧОРИЗО с/к в/у 1/440</t>
        </is>
      </c>
      <c r="C125" s="50" t="inlineStr">
        <is>
          <t>ШТ</t>
        </is>
      </c>
      <c r="D125" s="51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>
      <c r="A126" s="55">
        <f>RIGHT(D126,4)</f>
        <v/>
      </c>
      <c r="B126" s="53" t="inlineStr">
        <is>
          <t>АССОРТИ СЫРОКОПЧЕНЫХ КОЛБАС Коровино в/у</t>
        </is>
      </c>
      <c r="C126" s="50" t="inlineStr">
        <is>
          <t>КГ</t>
        </is>
      </c>
      <c r="D126" s="51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>
      <c r="A127" s="55">
        <f>RIGHT(D127,4)</f>
        <v/>
      </c>
      <c r="B127" s="53" t="inlineStr">
        <is>
          <t>НАБОР ДЛЯ ПИЦЦЫ Папа Может с/к в/у</t>
        </is>
      </c>
      <c r="C127" s="50" t="inlineStr">
        <is>
          <t>КГ</t>
        </is>
      </c>
      <c r="D127" s="51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БАРСЕЛОНА ПМ с/к в/у 1/150</t>
        </is>
      </c>
      <c r="C128" s="50" t="inlineStr">
        <is>
          <t>ШТ</t>
        </is>
      </c>
      <c r="D128" s="51" t="n">
        <v>1001067017386</v>
      </c>
      <c r="E128" s="24" t="n"/>
      <c r="F128" s="23" t="n">
        <v>0.15</v>
      </c>
      <c r="G128" s="23">
        <f>E128*F128</f>
        <v/>
      </c>
      <c r="H128" s="14" t="n">
        <v>1.35</v>
      </c>
      <c r="I128" s="14" t="n">
        <v>90</v>
      </c>
      <c r="J128" s="29" t="n"/>
    </row>
    <row r="129" ht="16.5" customHeight="1">
      <c r="A129" s="55">
        <f>RIGHT(D129,4)</f>
        <v/>
      </c>
      <c r="B129" s="53" t="inlineStr">
        <is>
          <t>АРОМАТНАЯ с/к с/н в/у 1/100*8_60с</t>
        </is>
      </c>
      <c r="C129" s="50" t="inlineStr">
        <is>
          <t>ШТ</t>
        </is>
      </c>
      <c r="D129" s="51" t="n">
        <v>1001201976454</v>
      </c>
      <c r="E129" s="24" t="n">
        <v>60</v>
      </c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29" t="n"/>
    </row>
    <row r="130" ht="16.5" customHeight="1">
      <c r="A130" s="55">
        <f>RIGHT(D130,4)</f>
        <v/>
      </c>
      <c r="B130" s="53" t="inlineStr">
        <is>
          <t>ПОСОЛЬСКАЯ ПМ с/к с/н в/у 1/100 10шт</t>
        </is>
      </c>
      <c r="C130" s="50" t="inlineStr">
        <is>
          <t>ШТ</t>
        </is>
      </c>
      <c r="D130" s="51" t="n">
        <v>1001203146834</v>
      </c>
      <c r="E130" s="24" t="n"/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>
      <c r="A131" s="55">
        <f>RIGHT(D131,4)</f>
        <v/>
      </c>
      <c r="B131" s="53" t="inlineStr">
        <is>
          <t>САЛЯМИ МЕЛКОЗЕРНЕНАЯ с/к в/у 1/120 8шт.</t>
        </is>
      </c>
      <c r="C131" s="50" t="inlineStr">
        <is>
          <t>ШТ</t>
        </is>
      </c>
      <c r="D131" s="51" t="n">
        <v>1001203117382</v>
      </c>
      <c r="E131" s="24" t="n"/>
      <c r="F131" s="23" t="n">
        <v>0.12</v>
      </c>
      <c r="G131" s="23">
        <f>E131*F131</f>
        <v/>
      </c>
      <c r="H131" s="14" t="n">
        <v>0.96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ЭКСТРА Папа может с/к с/н в/у 1/100_60с</t>
        </is>
      </c>
      <c r="C132" s="50" t="inlineStr">
        <is>
          <t>ШТ</t>
        </is>
      </c>
      <c r="D132" s="51" t="n">
        <v>1001202506453</v>
      </c>
      <c r="E132" s="24" t="n">
        <v>220</v>
      </c>
      <c r="F132" s="23" t="n">
        <v>0.1</v>
      </c>
      <c r="G132" s="23">
        <f>E132*F132</f>
        <v/>
      </c>
      <c r="H132" s="14" t="n">
        <v>1.4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НЕАПОЛИТАНСКИЙ ДУЭТ с/к с/н мгс 1/90</t>
        </is>
      </c>
      <c r="C133" s="50" t="inlineStr">
        <is>
          <t>ШТ</t>
        </is>
      </c>
      <c r="D133" s="51" t="n">
        <v>1001205376221</v>
      </c>
      <c r="E133" s="24" t="n">
        <v>25</v>
      </c>
      <c r="F133" s="23" t="n">
        <v>0.09</v>
      </c>
      <c r="G133" s="23">
        <f>E133*F133</f>
        <v/>
      </c>
      <c r="H133" s="14" t="n">
        <v>0.9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ИТАЛЬЯНСКОЕ АССОРТИ с/в с/н мгс 1/90</t>
        </is>
      </c>
      <c r="C134" s="50" t="inlineStr">
        <is>
          <t>ШТ</t>
        </is>
      </c>
      <c r="D134" s="51" t="n">
        <v>1001205386222</v>
      </c>
      <c r="E134" s="24" t="n"/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САЛЬЧИЧОН ПРЕМИУМ с/к с/н мгс 1/70 14шт.</t>
        </is>
      </c>
      <c r="C135" s="50" t="inlineStr">
        <is>
          <t>ШТ</t>
        </is>
      </c>
      <c r="D135" s="51" t="n">
        <v>1001206356965</v>
      </c>
      <c r="E135" s="24" t="n"/>
      <c r="F135" s="23" t="n">
        <v>0.07000000000000001</v>
      </c>
      <c r="G135" s="23">
        <f>E135*F135</f>
        <v/>
      </c>
      <c r="H135" s="14" t="n">
        <v>0.98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ОХОТНИЧЬЯ ПМ с/к с/н в/у 1/100 10шт.</t>
        </is>
      </c>
      <c r="C136" s="50" t="inlineStr">
        <is>
          <t>ШТ</t>
        </is>
      </c>
      <c r="D136" s="51" t="n">
        <v>1001200756557</v>
      </c>
      <c r="E136" s="24" t="n"/>
      <c r="F136" s="23" t="n">
        <v>0.1</v>
      </c>
      <c r="G136" s="23">
        <f>E136*F136</f>
        <v/>
      </c>
      <c r="H136" s="14" t="n">
        <v>1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САЛЯМИ ИТАЛЬЯНСКАЯ с/к в/у 1/150_60с</t>
        </is>
      </c>
      <c r="C137" s="50" t="inlineStr">
        <is>
          <t>ШТ</t>
        </is>
      </c>
      <c r="D137" s="51" t="n">
        <v>1001190765679</v>
      </c>
      <c r="E137" s="24" t="n"/>
      <c r="F137" s="23" t="n">
        <v>0.15</v>
      </c>
      <c r="G137" s="23">
        <f>E137*F137</f>
        <v/>
      </c>
      <c r="H137" s="14" t="n">
        <v>1.2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БРАУНШВЕЙГСКАЯ полусухая с/к в/у 1/100</t>
        </is>
      </c>
      <c r="C138" s="50" t="inlineStr">
        <is>
          <t>ШТ</t>
        </is>
      </c>
      <c r="D138" s="51" t="n">
        <v>1001190715677</v>
      </c>
      <c r="E138" s="24" t="n"/>
      <c r="F138" s="23" t="n">
        <v>0.1</v>
      </c>
      <c r="G138" s="23">
        <f>E138*F138</f>
        <v/>
      </c>
      <c r="H138" s="14" t="n">
        <v>1</v>
      </c>
      <c r="I138" s="14" t="n">
        <v>60</v>
      </c>
      <c r="J138" s="29" t="n"/>
    </row>
    <row r="139" ht="16.5" customHeight="1" thickBot="1">
      <c r="A139" s="55">
        <f>RIGHT(D139,4)</f>
        <v/>
      </c>
      <c r="B139" s="53" t="inlineStr">
        <is>
          <t>ПЕППЕРОНИ с/к с/н мгс 1*8_HRC</t>
        </is>
      </c>
      <c r="C139" s="50" t="inlineStr">
        <is>
          <t>КГ</t>
        </is>
      </c>
      <c r="D139" s="51" t="n">
        <v>1001204447414</v>
      </c>
      <c r="E139" s="24" t="n"/>
      <c r="F139" s="23" t="n">
        <v>1</v>
      </c>
      <c r="G139" s="23">
        <f>E139</f>
        <v/>
      </c>
      <c r="H139" s="14" t="n">
        <v>8</v>
      </c>
      <c r="I139" s="14" t="n">
        <v>60</v>
      </c>
      <c r="J139" s="29" t="n"/>
    </row>
    <row r="140" ht="16.5" customHeight="1" thickBot="1" thickTop="1">
      <c r="A140" s="47" t="inlineStr"/>
      <c r="B140" s="42" t="inlineStr">
        <is>
          <t>Ветчины</t>
        </is>
      </c>
      <c r="C140" s="42" t="n"/>
      <c r="D140" s="42" t="n"/>
      <c r="E140" s="24" t="n"/>
      <c r="F140" s="41" t="n"/>
      <c r="G140" s="42" t="n"/>
      <c r="H140" s="42" t="n"/>
      <c r="I140" s="42" t="n"/>
      <c r="J140" s="43" t="n"/>
    </row>
    <row r="141" ht="16.15" customHeight="1" thickTop="1">
      <c r="A141" s="55">
        <f>RIGHT(D141,4)</f>
        <v/>
      </c>
      <c r="B141" s="98" t="inlineStr">
        <is>
          <t xml:space="preserve">ВЕТЧ.ИЗ ЛОПАТКИ Папа может п/о_HRC </t>
        </is>
      </c>
      <c r="C141" s="50" t="inlineStr">
        <is>
          <t>КГ</t>
        </is>
      </c>
      <c r="D141" s="97" t="n">
        <v>1001092674584</v>
      </c>
      <c r="E141" s="24" t="n"/>
      <c r="F141" s="23" t="n">
        <v>2.5</v>
      </c>
      <c r="G141" s="23">
        <f>E141</f>
        <v/>
      </c>
      <c r="H141" s="14" t="n">
        <v>7.5</v>
      </c>
      <c r="I141" s="14" t="n">
        <v>60</v>
      </c>
      <c r="J141" s="29" t="n"/>
    </row>
    <row r="142" ht="16.15" customHeight="1">
      <c r="A142" s="55">
        <f>RIGHT(D142,4)</f>
        <v/>
      </c>
      <c r="B142" s="98" t="inlineStr">
        <is>
          <t>ВЕТЧ.МРАМОРНАЯ в/у срез 0.3кг 6шт_45с</t>
        </is>
      </c>
      <c r="C142" s="50" t="inlineStr">
        <is>
          <t>ШТ</t>
        </is>
      </c>
      <c r="D142" s="51" t="n">
        <v>1001092436495</v>
      </c>
      <c r="E142" s="24" t="n"/>
      <c r="F142" s="56" t="n">
        <v>0.3</v>
      </c>
      <c r="G142" s="23">
        <f>E142*F142</f>
        <v/>
      </c>
      <c r="H142" s="29" t="n">
        <v>1.8</v>
      </c>
      <c r="I142" s="29" t="n">
        <v>45</v>
      </c>
      <c r="J142" s="29" t="n"/>
    </row>
    <row r="143" ht="16.15" customHeight="1">
      <c r="A143" s="55">
        <f>RIGHT(D143,4)</f>
        <v/>
      </c>
      <c r="B143" s="95" t="inlineStr">
        <is>
          <t>ВЕТЧ.МРАМОРНАЯ в/у_45с</t>
        </is>
      </c>
      <c r="C143" s="50" t="inlineStr">
        <is>
          <t>КГ</t>
        </is>
      </c>
      <c r="D143" s="51" t="n">
        <v>1001092436470</v>
      </c>
      <c r="E143" s="24" t="n"/>
      <c r="F143" s="56" t="n">
        <v>1.2</v>
      </c>
      <c r="G143" s="23">
        <f>E143</f>
        <v/>
      </c>
      <c r="H143" s="29" t="n">
        <v>4.8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ВЕТЧ.МЯСНАЯ Папа может п/о</t>
        </is>
      </c>
      <c r="C144" s="50" t="inlineStr">
        <is>
          <t>КГ</t>
        </is>
      </c>
      <c r="D144" s="51" t="n">
        <v>1001092485452</v>
      </c>
      <c r="E144" s="24" t="n"/>
      <c r="F144" s="56" t="n">
        <v>1.35</v>
      </c>
      <c r="G144" s="23">
        <f>E144</f>
        <v/>
      </c>
      <c r="H144" s="29" t="n">
        <v>4.05</v>
      </c>
      <c r="I144" s="29" t="n">
        <v>60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 0.4кг 8шт.</t>
        </is>
      </c>
      <c r="C145" s="50" t="inlineStr">
        <is>
          <t>ШТ</t>
        </is>
      </c>
      <c r="D145" s="51" t="n">
        <v>1001094053215</v>
      </c>
      <c r="E145" s="24" t="n">
        <v>160</v>
      </c>
      <c r="F145" s="56" t="n">
        <v>0.4</v>
      </c>
      <c r="G145" s="23">
        <f>E145*F145</f>
        <v/>
      </c>
      <c r="H145" s="29" t="n">
        <v>3.2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ВЕТЧ.НЕЖНАЯ Коровино п/о_Маяк</t>
        </is>
      </c>
      <c r="C146" s="50" t="inlineStr">
        <is>
          <t>КГ</t>
        </is>
      </c>
      <c r="D146" s="51" t="n">
        <v>1001095716866</v>
      </c>
      <c r="E146" s="24" t="n"/>
      <c r="F146" s="56" t="n">
        <v>1.5</v>
      </c>
      <c r="G146" s="23">
        <f>E146</f>
        <v/>
      </c>
      <c r="H146" s="29" t="n">
        <v>6</v>
      </c>
      <c r="I146" s="29" t="n">
        <v>60</v>
      </c>
      <c r="J146" s="29" t="n"/>
    </row>
    <row r="147" ht="16.5" customHeight="1">
      <c r="A147" s="55">
        <f>RIGHT(D147,4)</f>
        <v/>
      </c>
      <c r="B147" s="53" t="inlineStr">
        <is>
          <t>ВЕТЧ.С ИНДЕЙКОЙ Папа может п/о 400*6</t>
        </is>
      </c>
      <c r="C147" s="50" t="inlineStr">
        <is>
          <t>ШТ</t>
        </is>
      </c>
      <c r="D147" s="96" t="n">
        <v>1001093345495</v>
      </c>
      <c r="E147" s="24" t="n">
        <v>60</v>
      </c>
      <c r="F147" s="56" t="n">
        <v>0.4</v>
      </c>
      <c r="G147" s="23">
        <f>E147*F147</f>
        <v/>
      </c>
      <c r="H147" s="29" t="n">
        <v>2.4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ПМ в/у срез 0.3кг 6шт.</t>
        </is>
      </c>
      <c r="C148" s="50" t="inlineStr">
        <is>
          <t>ШТ</t>
        </is>
      </c>
      <c r="D148" s="96" t="n">
        <v>1001095027377</v>
      </c>
      <c r="E148" s="24" t="n"/>
      <c r="F148" s="56" t="n">
        <v>0.3</v>
      </c>
      <c r="G148" s="23">
        <f>E148*F148</f>
        <v/>
      </c>
      <c r="H148" s="29" t="n">
        <v>1.8</v>
      </c>
      <c r="I148" s="29" t="n">
        <v>45</v>
      </c>
      <c r="J148" s="29" t="n"/>
    </row>
    <row r="149" ht="16.5" customHeight="1">
      <c r="A149" s="55">
        <f>RIGHT(D149,4)</f>
        <v/>
      </c>
      <c r="B149" s="53" t="inlineStr">
        <is>
          <t>ВЕТЧ.КЛАССИЧЕСКАЯ в/у 0.6кг 8шт.</t>
        </is>
      </c>
      <c r="C149" s="50" t="inlineStr">
        <is>
          <t>ШТ</t>
        </is>
      </c>
      <c r="D149" s="96" t="n">
        <v>1001095226925</v>
      </c>
      <c r="E149" s="24" t="n"/>
      <c r="F149" s="56" t="n">
        <v>0.6</v>
      </c>
      <c r="G149" s="23">
        <f>E149*F149</f>
        <v/>
      </c>
      <c r="H149" s="29" t="n">
        <v>4.8</v>
      </c>
      <c r="I149" s="29" t="n">
        <v>45</v>
      </c>
      <c r="J149" s="29" t="n"/>
    </row>
    <row r="150" ht="15.75" customHeight="1" thickBot="1">
      <c r="A150" s="55">
        <f>RIGHT(D150,4)</f>
        <v/>
      </c>
      <c r="B150" s="53" t="inlineStr">
        <is>
          <t>ВЕТЧ.ФИРМЕННАЯ С ИНДЕЙКОЙ п/о</t>
        </is>
      </c>
      <c r="C150" s="50" t="inlineStr">
        <is>
          <t>КГ</t>
        </is>
      </c>
      <c r="D150" s="96" t="n">
        <v>1001094966025</v>
      </c>
      <c r="E150" s="24" t="n"/>
      <c r="F150" s="56" t="n">
        <v>3</v>
      </c>
      <c r="G150" s="23">
        <f>E150</f>
        <v/>
      </c>
      <c r="H150" s="29" t="n">
        <v>6</v>
      </c>
      <c r="I150" s="29" t="n">
        <v>60</v>
      </c>
      <c r="J150" s="29" t="n"/>
    </row>
    <row r="151" ht="16.5" customHeight="1" thickBot="1" thickTop="1">
      <c r="A151" s="47" t="inlineStr"/>
      <c r="B151" s="42" t="inlineStr">
        <is>
          <t>Копчености варенокопченые</t>
        </is>
      </c>
      <c r="C151" s="42" t="n"/>
      <c r="D151" s="42" t="n"/>
      <c r="E151" s="24" t="n"/>
      <c r="F151" s="41" t="n"/>
      <c r="G151" s="42" t="n"/>
      <c r="H151" s="42" t="n"/>
      <c r="I151" s="42" t="n"/>
      <c r="J151" s="43" t="n"/>
    </row>
    <row r="152" ht="16.5" customHeight="1" thickTop="1">
      <c r="A152" s="55">
        <f>RIGHT(D152,4)</f>
        <v/>
      </c>
      <c r="B152" s="35" t="inlineStr">
        <is>
          <t>СВИНИНА ПО-ДОМ. к/в мл/к в/у 0.3кг_50с</t>
        </is>
      </c>
      <c r="C152" s="50" t="inlineStr">
        <is>
          <t>ШТ</t>
        </is>
      </c>
      <c r="D152" s="51" t="n">
        <v>1001084217090</v>
      </c>
      <c r="E152" s="24" t="n">
        <v>100</v>
      </c>
      <c r="F152" s="23" t="n">
        <v>0.3</v>
      </c>
      <c r="G152" s="23">
        <f>E152*F152</f>
        <v/>
      </c>
      <c r="H152" s="14" t="n">
        <v>1.8</v>
      </c>
      <c r="I152" s="14" t="n">
        <v>50</v>
      </c>
      <c r="J152" s="29" t="n"/>
    </row>
    <row r="153" ht="16.5" customHeight="1">
      <c r="A153" s="55">
        <f>RIGHT(D153,4)</f>
        <v/>
      </c>
      <c r="B153" s="35" t="inlineStr">
        <is>
          <t>ГРУДИНКА ПРЕМИУМ к/в мл/к в/у 0.3кг_50с</t>
        </is>
      </c>
      <c r="C153" s="50" t="inlineStr">
        <is>
          <t>ШТ</t>
        </is>
      </c>
      <c r="D153" s="51" t="n">
        <v>1001085637187</v>
      </c>
      <c r="E153" s="24" t="n">
        <v>50</v>
      </c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РЕБРЫШКИ к/в в/у_30c</t>
        </is>
      </c>
      <c r="C154" s="50" t="inlineStr">
        <is>
          <t>КГ</t>
        </is>
      </c>
      <c r="D154" s="51" t="n">
        <v>1001081596620</v>
      </c>
      <c r="E154" s="24" t="n"/>
      <c r="F154" s="23" t="n">
        <v>1.05</v>
      </c>
      <c r="G154" s="23">
        <f>E154</f>
        <v/>
      </c>
      <c r="H154" s="14" t="n">
        <v>3.15</v>
      </c>
      <c r="I154" s="14" t="n">
        <v>30</v>
      </c>
      <c r="J154" s="29" t="n"/>
    </row>
    <row r="155" ht="16.5" customHeight="1">
      <c r="A155" s="55">
        <f>RIGHT(D155,4)</f>
        <v/>
      </c>
      <c r="B155" s="35" t="inlineStr">
        <is>
          <t>БЕКОН Останкино с/к с/н в/у 1/180_50с</t>
        </is>
      </c>
      <c r="C155" s="50" t="inlineStr">
        <is>
          <t>ШТ</t>
        </is>
      </c>
      <c r="D155" s="51" t="n">
        <v>1001223297103</v>
      </c>
      <c r="E155" s="24" t="n">
        <v>100</v>
      </c>
      <c r="F155" s="23" t="n">
        <v>0.18</v>
      </c>
      <c r="G155" s="23">
        <f>E155*F155</f>
        <v/>
      </c>
      <c r="H155" s="14" t="n">
        <v>1.8</v>
      </c>
      <c r="I155" s="14" t="n">
        <v>50</v>
      </c>
      <c r="J155" s="29" t="n"/>
    </row>
    <row r="156" ht="16.5" customHeight="1">
      <c r="A156" s="55">
        <f>RIGHT(D156,4)</f>
        <v/>
      </c>
      <c r="B156" s="35" t="inlineStr">
        <is>
          <t>БЕКОН Папа может с/к с/н в/у 1/140_50с</t>
        </is>
      </c>
      <c r="C156" s="50" t="inlineStr">
        <is>
          <t>ШТ</t>
        </is>
      </c>
      <c r="D156" s="51" t="n">
        <v>1001223297092</v>
      </c>
      <c r="E156" s="24" t="n"/>
      <c r="F156" s="23" t="n">
        <v>0.14</v>
      </c>
      <c r="G156" s="23">
        <f>E156*F156</f>
        <v/>
      </c>
      <c r="H156" s="14" t="n">
        <v>1.4</v>
      </c>
      <c r="I156" s="14" t="n">
        <v>50</v>
      </c>
      <c r="J156" s="29" t="n"/>
    </row>
    <row r="157" ht="16.5" customHeight="1">
      <c r="A157" s="55">
        <f>RIGHT(D157,4)</f>
        <v/>
      </c>
      <c r="B157" s="35" t="inlineStr">
        <is>
          <t>МЯСНОЕ АССОРТИ к/з с/н мгс 1/90 10шт.</t>
        </is>
      </c>
      <c r="C157" s="50" t="inlineStr">
        <is>
          <t>ШТ</t>
        </is>
      </c>
      <c r="D157" s="51" t="n">
        <v>1001225416228</v>
      </c>
      <c r="E157" s="24" t="n">
        <v>25</v>
      </c>
      <c r="F157" s="23" t="n">
        <v>0.09</v>
      </c>
      <c r="G157" s="23">
        <f>E157*F157</f>
        <v/>
      </c>
      <c r="H157" s="14" t="n">
        <v>0.9</v>
      </c>
      <c r="I157" s="14" t="n">
        <v>45</v>
      </c>
      <c r="J157" s="29" t="n"/>
    </row>
    <row r="158" ht="16.5" customHeight="1">
      <c r="A158" s="55">
        <f>RIGHT(D158,4)</f>
        <v/>
      </c>
      <c r="B158" s="35" t="inlineStr">
        <is>
          <t>СВИНИНА МАДЕРА с/к с/н в/у 1/100 10шт.</t>
        </is>
      </c>
      <c r="C158" s="50" t="inlineStr">
        <is>
          <t>ШТ</t>
        </is>
      </c>
      <c r="D158" s="51" t="n">
        <v>1001234146448</v>
      </c>
      <c r="E158" s="24" t="n"/>
      <c r="F158" s="23" t="n">
        <v>0.1</v>
      </c>
      <c r="G158" s="23">
        <f>E158*F158</f>
        <v/>
      </c>
      <c r="H158" s="14" t="n">
        <v>1</v>
      </c>
      <c r="I158" s="14" t="n">
        <v>45</v>
      </c>
      <c r="J158" s="29" t="n"/>
    </row>
    <row r="159" ht="16.5" customHeight="1">
      <c r="A159" s="55">
        <f>RIGHT(D159,4)</f>
        <v/>
      </c>
      <c r="B159" s="35" t="inlineStr">
        <is>
          <t>ДЫМОВИЦА ИЗ ЛОПАТКИ ПМ к/в с/н в/у 1/150</t>
        </is>
      </c>
      <c r="C159" s="50" t="inlineStr">
        <is>
          <t>ШТ</t>
        </is>
      </c>
      <c r="D159" s="51" t="n">
        <v>1001220226208</v>
      </c>
      <c r="E159" s="24" t="n">
        <v>5</v>
      </c>
      <c r="F159" s="23" t="n">
        <v>0.15</v>
      </c>
      <c r="G159" s="23">
        <f>E159*F159</f>
        <v/>
      </c>
      <c r="H159" s="14" t="n">
        <v>1.5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БАЛЫК И ШЕЙКА с/в с/н мгс 1/90 8шт.</t>
        </is>
      </c>
      <c r="C160" s="50" t="inlineStr">
        <is>
          <t>ШТ</t>
        </is>
      </c>
      <c r="D160" s="51" t="n">
        <v>1001225406754</v>
      </c>
      <c r="E160" s="24" t="n"/>
      <c r="F160" s="23" t="n">
        <v>0.09</v>
      </c>
      <c r="G160" s="23">
        <f>E160*F160</f>
        <v/>
      </c>
      <c r="H160" s="14" t="n">
        <v>0.72</v>
      </c>
      <c r="I160" s="14" t="n">
        <v>60</v>
      </c>
      <c r="J160" s="29" t="n"/>
    </row>
    <row r="161" ht="16.5" customHeight="1">
      <c r="A161" s="55">
        <f>RIGHT(D161,4)</f>
        <v/>
      </c>
      <c r="B161" s="35" t="inlineStr">
        <is>
          <t>КОРЕЙКА ПО-ОСТ.к/в в/с с/н в/у 1/150_45с</t>
        </is>
      </c>
      <c r="C161" s="50" t="inlineStr">
        <is>
          <t>ШТ</t>
        </is>
      </c>
      <c r="D161" s="51" t="n">
        <v>1001220286279</v>
      </c>
      <c r="E161" s="24" t="n"/>
      <c r="F161" s="23" t="n">
        <v>0.15</v>
      </c>
      <c r="G161" s="23">
        <f>E161*F161</f>
        <v/>
      </c>
      <c r="H161" s="14" t="n">
        <v>1.2</v>
      </c>
      <c r="I161" s="14" t="n">
        <v>45</v>
      </c>
      <c r="J161" s="29" t="n"/>
    </row>
    <row r="162" ht="16.5" customHeight="1" thickBot="1">
      <c r="A162" s="55">
        <f>RIGHT(D162,4)</f>
        <v/>
      </c>
      <c r="B162" s="35" t="inlineStr">
        <is>
          <t>БАЛЫК с/к с/н в/у 1/100 10шт.</t>
        </is>
      </c>
      <c r="C162" s="50" t="inlineStr">
        <is>
          <t>ШТ</t>
        </is>
      </c>
      <c r="D162" s="51" t="n">
        <v>1001223907288</v>
      </c>
      <c r="E162" s="24" t="n"/>
      <c r="F162" s="23" t="n">
        <v>0.1</v>
      </c>
      <c r="G162" s="23">
        <f>E162*F162</f>
        <v/>
      </c>
      <c r="H162" s="14" t="n">
        <v>1</v>
      </c>
      <c r="I162" s="14" t="n">
        <v>60</v>
      </c>
      <c r="J162" s="29" t="n"/>
    </row>
    <row r="163" ht="16.5" customHeight="1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SUM(E10:E162)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53" t="n"/>
      <c r="E172" s="4" t="n"/>
      <c r="F172" s="53" t="n"/>
      <c r="G172" s="57" t="n"/>
      <c r="H172" s="51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</sheetData>
  <autoFilter ref="A9:J163"/>
  <mergeCells count="2">
    <mergeCell ref="E1:J1"/>
    <mergeCell ref="G3:J3"/>
  </mergeCells>
  <conditionalFormatting sqref="D172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2026-07-01T12:24:51Z</dcterms:modified>
  <cp:lastModifiedBy>Uaer4</cp:lastModifiedBy>
  <cp:lastPrinted>2015-01-13T07:32:10Z</cp:lastPrinted>
</cp:coreProperties>
</file>