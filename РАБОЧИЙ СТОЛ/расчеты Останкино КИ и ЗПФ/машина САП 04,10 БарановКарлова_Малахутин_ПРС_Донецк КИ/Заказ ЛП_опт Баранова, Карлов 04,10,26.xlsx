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30,09 Баранова_Карлов ЛП\"/>
    </mc:Choice>
  </mc:AlternateContent>
  <xr:revisionPtr revIDLastSave="0" documentId="13_ncr:1_{1E61710C-634C-4B57-BA76-6BB60BE247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<sst xmlns="http://schemas.openxmlformats.org/spreadsheetml/2006/main" count="724" uniqueCount="243">
  <si>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</si>
  <si>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</si>
  <si>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</si>
  <si>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</si>
  <si>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</si>
  <si>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</si>
  <si>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</si>
  <si>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</si>
  <si>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</si>
  <si>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</si>
  <si>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</si>
  <si>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</si>
  <si>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</si>
  <si>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</si>
  <si>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</si>
  <si>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</si>
  <si>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</si>
  <si>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</si>
  <si>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</si>
  <si>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</si>
  <si>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</si>
  <si>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</si>
  <si>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</si>
  <si>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</si>
  <si>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</si>
  <si>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</si>
  <si>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</si>
  <si>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</si>
  <si>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</si>
  <si>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</si>
  <si>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</si>
  <si>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</si>
  <si>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</si>
  <si>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</si>
  <si>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</si>
  <si>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</si>
  <si>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</si>
  <si>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</si>
  <si>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</si>
  <si>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</si>
  <si>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</si>
  <si>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</si>
  <si>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</si>
  <si>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</si>
  <si>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</si>
  <si>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</si>
  <si>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</si>
  <si>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</si>
  <si>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</si>
  <si>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</si>
  <si>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</si>
  <si>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</si>
  <si>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</si>
  <si>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</si>
  <si>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</si>
  <si>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</si>
  <si>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</si>
  <si>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</si>
  <si>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</si>
  <si>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</si>
  <si>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</si>
  <si>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</si>
  <si>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</si>
  <si>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</si>
  <si>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</si>
  <si>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</si>
  <si>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</si>
  <si>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</si>
  <si>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</si>
  <si>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</si>
  <si>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</si>
  <si>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</si>
  <si>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</si>
  <si>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</si>
  <si>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</si>
  <si>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</si>
  <si>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</si>
  <si>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</si>
  <si>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</si>
  <si>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</si>
  <si>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</si>
  <si>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</si>
  <si>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</si>
  <si>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</si>
  <si>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</si>
  <si>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</si>
  <si>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</si>
  <si>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</si>
  <si>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</si>
  <si>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</si>
  <si>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</si>
  <si>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</si>
  <si>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</si>
  <si>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</si>
  <si>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</si>
  <si>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</si>
  <si>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</si>
  <si>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</si>
  <si>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</si>
  <si>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</si>
  <si>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</si>
  <si>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</si>
  <si>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</si>
  <si>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</si>
  <si>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</si>
  <si>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</si>
  <si>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</si>
  <si>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</si>
  <si>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</si>
  <si>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</si>
  <si>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</si>
  <si>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</si>
  <si>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</si>
  <si>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</si>
  <si>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</si>
  <si>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</si>
  <si>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</si>
  <si>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</si>
  <si>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</si>
  <si>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</si>
  <si>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</si>
  <si>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</si>
  <si>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</si>
  <si>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</si>
  <si>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</si>
  <si>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</si>
  <si>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</si>
  <si>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</si>
  <si>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</si>
  <si>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</si>
  <si>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</si>
  <si>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</si>
  <si>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</si>
  <si>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</si>
  <si>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</si>
  <si>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</si>
  <si>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</si>
  <si>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</si>
  <si>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</si>
  <si>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</si>
  <si>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</si>
  <si>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</si>
  <si>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</si>
  <si>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</si>
  <si>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</si>
  <si>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</si>
  <si>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</si>
  <si>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</si>
  <si>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</si>
  <si>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</si>
  <si>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</si>
  <si>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</si>
  <si>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</si>
  <si>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</si>
  <si>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</si>
  <si>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</si>
  <si>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</si>
  <si>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</si>
  <si>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</si>
  <si>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</si>
  <si>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</si>
  <si>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</si>
  <si>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</si>
  <si>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</si>
  <si>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</si>
  <si>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</si>
  <si>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</si>
  <si>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</si>
  <si>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</si>
  <si>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</si>
  <si>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</si>
  <si>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</si>
  <si>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</si>
  <si>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</si>
  <si>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</si>
  <si>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</si>
  <si>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</si>
  <si>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</si>
  <si>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</si>
  <si>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</si>
  <si>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</si>
  <si>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</si>
  <si>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</si>
  <si>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</si>
  <si>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</si>
  <si>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</si>
  <si>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</si>
  <si>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</si>
  <si>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</si>
  <si>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</si>
  <si>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</si>
  <si>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</si>
  <si>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</si>
  <si>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</si>
  <si>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</si>
  <si>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</si>
  <si>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</si>
  <si>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</si>
  <si>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</si>
  <si>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</si>
  <si>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</si>
  <si>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</si>
  <si>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</si>
  <si>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</si>
  <si>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</si>
  <si>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</si>
  <si>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</si>
  <si>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</si>
  <si>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</si>
  <si>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</si>
  <si>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</si>
  <si>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</si>
  <si>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</si>
  <si>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</si>
  <si>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</si>
  <si>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</si>
  <si>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</si>
  <si>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</si>
  <si>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</si>
  <si>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</si>
  <si>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</si>
  <si>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</si>
  <si>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</si>
  <si>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</si>
  <si>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</si>
  <si>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</si>
  <si>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</si>
  <si>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</si>
  <si>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</si>
  <si>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</si>
  <si>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</si>
  <si>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</si>
  <si>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</si>
  <si>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</si>
  <si>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</si>
  <si>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</si>
  <si>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</si>
  <si>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</si>
  <si>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</si>
  <si>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</si>
  <si>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</si>
  <si>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</si>
  <si>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(опт Баранова, Карлов)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</si>
</sst>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710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46299</v>
      </c>
      <c r="E3" s="7" t="s">
        <v>2</v>
      </c>
      <c r="F3" s="54">
        <f>D3+3</f>
        <v>46302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100</v>
      </c>
      <c r="F13" s="23">
        <v>1.35</v>
      </c>
      <c r="G13" s="23">
        <f t="shared" ref="G13:G20" si="1">E13</f>
        <v>100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1"/>
        <v>70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100</v>
      </c>
      <c r="F16" s="23">
        <v>1.35</v>
      </c>
      <c r="G16" s="23">
        <f t="shared" si="1"/>
        <v>100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100</v>
      </c>
      <c r="F17" s="23">
        <v>1.35</v>
      </c>
      <c r="G17" s="23">
        <f t="shared" si="1"/>
        <v>100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100</v>
      </c>
      <c r="F18" s="23">
        <v>1</v>
      </c>
      <c r="G18" s="23">
        <f t="shared" si="1"/>
        <v>100</v>
      </c>
      <c r="H18" s="14">
        <v>4</v>
      </c>
      <c r="I18" s="14">
        <v>60</v>
      </c>
      <c r="J18" s="29"/>
      <c r="L18" s="115"/>
    </row>
    <row r="19" spans="1:67" ht="16.5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20</v>
      </c>
      <c r="F29" s="23">
        <v>0.4</v>
      </c>
      <c r="G29" s="23">
        <f t="shared" si="4"/>
        <v>8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customHeight="1" thickBot="1" x14ac:dyDescent="0.3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50</v>
      </c>
      <c r="F43" s="59">
        <v>2.1</v>
      </c>
      <c r="G43" s="23">
        <f t="shared" si="5"/>
        <v>50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100</v>
      </c>
      <c r="F44" s="59">
        <v>1.5</v>
      </c>
      <c r="G44" s="23">
        <f t="shared" si="5"/>
        <v>100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150</v>
      </c>
      <c r="F47" s="59">
        <v>1.5</v>
      </c>
      <c r="G47" s="23">
        <f t="shared" si="5"/>
        <v>150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30</v>
      </c>
      <c r="F63" s="23">
        <v>0.41</v>
      </c>
      <c r="G63" s="23">
        <f t="shared" si="6"/>
        <v>12.299999999999999</v>
      </c>
      <c r="H63" s="14">
        <v>4.0999999999999996</v>
      </c>
      <c r="I63" s="14">
        <v>50</v>
      </c>
      <c r="J63" s="29"/>
      <c r="L63" s="115"/>
    </row>
    <row r="64" spans="1:67" ht="16.5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20</v>
      </c>
      <c r="F66" s="23">
        <v>0.4</v>
      </c>
      <c r="G66" s="23">
        <f t="shared" si="6"/>
        <v>8</v>
      </c>
      <c r="H66" s="14">
        <v>2.4</v>
      </c>
      <c r="I66" s="14">
        <v>50</v>
      </c>
      <c r="J66" s="29"/>
      <c r="L66" s="115"/>
    </row>
    <row r="67" spans="1:12" ht="16.5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>
        <v>500</v>
      </c>
      <c r="F67" s="23">
        <v>0.35</v>
      </c>
      <c r="G67" s="23">
        <f t="shared" si="6"/>
        <v>175</v>
      </c>
      <c r="H67" s="14">
        <v>2.8</v>
      </c>
      <c r="I67" s="14">
        <v>45</v>
      </c>
      <c r="J67" s="29"/>
      <c r="L67" s="115"/>
    </row>
    <row r="68" spans="1:12" ht="16.5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20</v>
      </c>
      <c r="F78" s="23">
        <v>1</v>
      </c>
      <c r="G78" s="23">
        <f t="shared" si="7"/>
        <v>20</v>
      </c>
      <c r="H78" s="14">
        <v>3</v>
      </c>
      <c r="I78" s="14">
        <v>45</v>
      </c>
      <c r="J78" s="29"/>
      <c r="L78" s="115"/>
    </row>
    <row r="79" spans="1:12" ht="16.5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20</v>
      </c>
      <c r="F81" s="23">
        <v>1</v>
      </c>
      <c r="G81" s="23">
        <f t="shared" si="7"/>
        <v>20</v>
      </c>
      <c r="H81" s="14">
        <v>3</v>
      </c>
      <c r="I81" s="14">
        <v>45</v>
      </c>
      <c r="J81" s="29"/>
      <c r="L81" s="115"/>
    </row>
    <row r="82" spans="1:12" ht="16.5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50</v>
      </c>
      <c r="F89" s="59">
        <v>0.81</v>
      </c>
      <c r="G89" s="23">
        <f t="shared" si="9"/>
        <v>50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70</v>
      </c>
      <c r="F92" s="59">
        <v>0.7</v>
      </c>
      <c r="G92" s="23">
        <f t="shared" si="10"/>
        <v>70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20</v>
      </c>
      <c r="F97" s="23">
        <v>0.35</v>
      </c>
      <c r="G97" s="23">
        <f t="shared" si="11"/>
        <v>7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20</v>
      </c>
      <c r="F98" s="23">
        <v>0.35</v>
      </c>
      <c r="G98" s="23">
        <f t="shared" si="11"/>
        <v>7</v>
      </c>
      <c r="H98" s="14">
        <v>2.8</v>
      </c>
      <c r="I98" s="14">
        <v>50</v>
      </c>
      <c r="J98" s="29"/>
      <c r="L98" s="115"/>
    </row>
    <row r="99" spans="1:12" ht="15.75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>
        <v>15</v>
      </c>
      <c r="F105" s="170">
        <v>0.35</v>
      </c>
      <c r="G105" s="23">
        <f>E105</f>
        <v>15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>
        <v>5</v>
      </c>
      <c r="F106" s="170">
        <v>0.31</v>
      </c>
      <c r="G106" s="23">
        <f t="shared" ref="G106:G107" si="12">E106*F106</f>
        <v>1.55</v>
      </c>
      <c r="H106" s="14">
        <v>2.48</v>
      </c>
      <c r="I106" s="14">
        <v>45</v>
      </c>
      <c r="J106" s="152" t="s">
        <v>190</v>
      </c>
      <c r="L106" s="115"/>
    </row>
    <row r="107" spans="1:12" ht="15.75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customHeight="1" thickBot="1" x14ac:dyDescent="0.3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customHeight="1" x14ac:dyDescent="0.25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customHeight="1" thickTop="1" x14ac:dyDescent="0.25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1560</v>
      </c>
      <c r="F186" s="17"/>
      <c r="G186" s="17">
        <f>SUM(G11:G185)</f>
        <v>1163.8499999999999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/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2026-09-30T11:34:49Z</dcterms:modified>
</cp:coreProperties>
</file>