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AE6AB0C-A6B2-4102-8448-BBFD31213C7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2" i="1" l="1"/>
  <c r="U17" i="1"/>
  <c r="AG7" i="1"/>
  <c r="AG8" i="1"/>
  <c r="AG10" i="1"/>
  <c r="AG13" i="1"/>
  <c r="AG15" i="1"/>
  <c r="AG16" i="1"/>
  <c r="AG18" i="1"/>
  <c r="AG20" i="1"/>
  <c r="AG21" i="1"/>
  <c r="AG22" i="1"/>
  <c r="AG23" i="1"/>
  <c r="AG26" i="1"/>
  <c r="AG27" i="1"/>
  <c r="AG28" i="1"/>
  <c r="AG29" i="1"/>
  <c r="AG30" i="1"/>
  <c r="AG36" i="1"/>
  <c r="AG37" i="1"/>
  <c r="AG38" i="1"/>
  <c r="AG39" i="1"/>
  <c r="AG41" i="1"/>
  <c r="AG44" i="1"/>
  <c r="AG45" i="1"/>
  <c r="AG48" i="1"/>
  <c r="AG51" i="1"/>
  <c r="AG53" i="1"/>
  <c r="AG55" i="1"/>
  <c r="AG56" i="1"/>
  <c r="AG57" i="1"/>
  <c r="AG58" i="1"/>
  <c r="AG59" i="1"/>
  <c r="AG60" i="1"/>
  <c r="AG61" i="1"/>
  <c r="AG62" i="1"/>
  <c r="AG63" i="1"/>
  <c r="AG64" i="1"/>
  <c r="AG66" i="1"/>
  <c r="AG68" i="1"/>
  <c r="AG71" i="1"/>
  <c r="AG72" i="1"/>
  <c r="AG73" i="1"/>
  <c r="AG76" i="1"/>
  <c r="AG80" i="1"/>
  <c r="AG82" i="1"/>
  <c r="AG83" i="1"/>
  <c r="AG84" i="1"/>
  <c r="AG86" i="1"/>
  <c r="AG87" i="1"/>
  <c r="AG88" i="1"/>
  <c r="AG89" i="1"/>
  <c r="AG90" i="1"/>
  <c r="AF92" i="1"/>
  <c r="AG92" i="1"/>
  <c r="AG93" i="1"/>
  <c r="AG95" i="1"/>
  <c r="AG96" i="1"/>
  <c r="AG98" i="1"/>
  <c r="AG6" i="1"/>
  <c r="AG17" i="1"/>
  <c r="S99" i="1"/>
  <c r="U99" i="1" s="1"/>
  <c r="S98" i="1"/>
  <c r="T98" i="1" s="1"/>
  <c r="AF98" i="1" s="1"/>
  <c r="S95" i="1"/>
  <c r="T95" i="1" s="1"/>
  <c r="AF95" i="1" s="1"/>
  <c r="S93" i="1"/>
  <c r="T93" i="1" s="1"/>
  <c r="AF93" i="1" s="1"/>
  <c r="S92" i="1"/>
  <c r="T92" i="1" s="1"/>
  <c r="S88" i="1"/>
  <c r="T88" i="1" s="1"/>
  <c r="AF88" i="1" s="1"/>
  <c r="S85" i="1"/>
  <c r="U85" i="1" s="1"/>
  <c r="S78" i="1"/>
  <c r="U78" i="1" s="1"/>
  <c r="S77" i="1"/>
  <c r="U77" i="1" s="1"/>
  <c r="S73" i="1"/>
  <c r="T73" i="1" s="1"/>
  <c r="AF73" i="1" s="1"/>
  <c r="S72" i="1"/>
  <c r="S67" i="1"/>
  <c r="U67" i="1" s="1"/>
  <c r="S64" i="1"/>
  <c r="T64" i="1" s="1"/>
  <c r="AF64" i="1" s="1"/>
  <c r="S60" i="1"/>
  <c r="T60" i="1" s="1"/>
  <c r="AF60" i="1" s="1"/>
  <c r="S41" i="1"/>
  <c r="T41" i="1" s="1"/>
  <c r="AF41" i="1" s="1"/>
  <c r="S30" i="1"/>
  <c r="T30" i="1" s="1"/>
  <c r="AF30" i="1" s="1"/>
  <c r="S28" i="1"/>
  <c r="T28" i="1" s="1"/>
  <c r="AF28" i="1" s="1"/>
  <c r="S24" i="1"/>
  <c r="U24" i="1" s="1"/>
  <c r="S23" i="1"/>
  <c r="T23" i="1" s="1"/>
  <c r="AF23" i="1" s="1"/>
  <c r="S21" i="1"/>
  <c r="T21" i="1" s="1"/>
  <c r="AF21" i="1" s="1"/>
  <c r="S20" i="1"/>
  <c r="T20" i="1" s="1"/>
  <c r="AF20" i="1" s="1"/>
  <c r="S18" i="1"/>
  <c r="T18" i="1" s="1"/>
  <c r="AF18" i="1" s="1"/>
  <c r="S17" i="1"/>
  <c r="S16" i="1"/>
  <c r="T16" i="1" s="1"/>
  <c r="AF16" i="1" s="1"/>
  <c r="S13" i="1"/>
  <c r="S9" i="1"/>
  <c r="U9" i="1" s="1"/>
  <c r="S7" i="1"/>
  <c r="T7" i="1" s="1"/>
  <c r="AF7" i="1" s="1"/>
  <c r="S6" i="1"/>
  <c r="T6" i="1" s="1"/>
  <c r="AF6" i="1" s="1"/>
  <c r="S8" i="1"/>
  <c r="T8" i="1" s="1"/>
  <c r="AF8" i="1" s="1"/>
  <c r="S10" i="1"/>
  <c r="T10" i="1" s="1"/>
  <c r="AF10" i="1" s="1"/>
  <c r="S15" i="1"/>
  <c r="S22" i="1"/>
  <c r="T22" i="1" s="1"/>
  <c r="AF22" i="1" s="1"/>
  <c r="S26" i="1"/>
  <c r="T26" i="1" s="1"/>
  <c r="AF26" i="1" s="1"/>
  <c r="S27" i="1"/>
  <c r="T27" i="1" s="1"/>
  <c r="AF27" i="1" s="1"/>
  <c r="S29" i="1"/>
  <c r="S37" i="1"/>
  <c r="S39" i="1"/>
  <c r="S44" i="1"/>
  <c r="T44" i="1" s="1"/>
  <c r="AF44" i="1" s="1"/>
  <c r="S48" i="1"/>
  <c r="T48" i="1" s="1"/>
  <c r="AF48" i="1" s="1"/>
  <c r="S51" i="1"/>
  <c r="T51" i="1" s="1"/>
  <c r="AF51" i="1" s="1"/>
  <c r="S53" i="1"/>
  <c r="T53" i="1" s="1"/>
  <c r="AF53" i="1" s="1"/>
  <c r="S55" i="1"/>
  <c r="T55" i="1" s="1"/>
  <c r="AF55" i="1" s="1"/>
  <c r="S57" i="1"/>
  <c r="T57" i="1" s="1"/>
  <c r="AF57" i="1" s="1"/>
  <c r="S59" i="1"/>
  <c r="T59" i="1" s="1"/>
  <c r="AF59" i="1" s="1"/>
  <c r="S61" i="1"/>
  <c r="T61" i="1" s="1"/>
  <c r="AF61" i="1" s="1"/>
  <c r="S66" i="1"/>
  <c r="T66" i="1" s="1"/>
  <c r="AF66" i="1" s="1"/>
  <c r="S76" i="1"/>
  <c r="T76" i="1" s="1"/>
  <c r="AF76" i="1" s="1"/>
  <c r="S82" i="1"/>
  <c r="T82" i="1" s="1"/>
  <c r="AF82" i="1" s="1"/>
  <c r="S83" i="1"/>
  <c r="T83" i="1" s="1"/>
  <c r="AF83" i="1" s="1"/>
  <c r="S84" i="1"/>
  <c r="T84" i="1" s="1"/>
  <c r="AF84" i="1" s="1"/>
  <c r="S86" i="1"/>
  <c r="T86" i="1" s="1"/>
  <c r="AF86" i="1" s="1"/>
  <c r="AG9" i="1" l="1"/>
  <c r="T17" i="1"/>
  <c r="AF17" i="1" s="1"/>
  <c r="T72" i="1"/>
  <c r="AF72" i="1" s="1"/>
  <c r="T37" i="1"/>
  <c r="AF37" i="1" s="1"/>
  <c r="T39" i="1"/>
  <c r="AF39" i="1" s="1"/>
  <c r="T29" i="1"/>
  <c r="AF29" i="1" s="1"/>
  <c r="T15" i="1"/>
  <c r="AF15" i="1" s="1"/>
  <c r="T13" i="1"/>
  <c r="AF13" i="1" s="1"/>
  <c r="Q44" i="1"/>
  <c r="X44" i="1" s="1"/>
  <c r="Q99" i="1"/>
  <c r="L99" i="1"/>
  <c r="Q98" i="1"/>
  <c r="Y98" i="1" s="1"/>
  <c r="L98" i="1"/>
  <c r="F97" i="1"/>
  <c r="E97" i="1"/>
  <c r="L97" i="1" s="1"/>
  <c r="Q96" i="1"/>
  <c r="Y96" i="1" s="1"/>
  <c r="L96" i="1"/>
  <c r="Q95" i="1"/>
  <c r="X95" i="1" s="1"/>
  <c r="L95" i="1"/>
  <c r="Q94" i="1"/>
  <c r="Y94" i="1" s="1"/>
  <c r="L94" i="1"/>
  <c r="Q93" i="1"/>
  <c r="Y93" i="1" s="1"/>
  <c r="L93" i="1"/>
  <c r="Q92" i="1"/>
  <c r="Y92" i="1" s="1"/>
  <c r="L92" i="1"/>
  <c r="Q91" i="1"/>
  <c r="L91" i="1"/>
  <c r="Q90" i="1"/>
  <c r="Y90" i="1" s="1"/>
  <c r="L90" i="1"/>
  <c r="Q89" i="1"/>
  <c r="Y89" i="1" s="1"/>
  <c r="L89" i="1"/>
  <c r="Q88" i="1"/>
  <c r="Y88" i="1" s="1"/>
  <c r="L88" i="1"/>
  <c r="Q87" i="1"/>
  <c r="R87" i="1" s="1"/>
  <c r="S87" i="1" s="1"/>
  <c r="L87" i="1"/>
  <c r="Q86" i="1"/>
  <c r="Y86" i="1" s="1"/>
  <c r="L86" i="1"/>
  <c r="Q85" i="1"/>
  <c r="Y85" i="1" s="1"/>
  <c r="L85" i="1"/>
  <c r="Q84" i="1"/>
  <c r="Y84" i="1" s="1"/>
  <c r="L84" i="1"/>
  <c r="Q83" i="1"/>
  <c r="X83" i="1" s="1"/>
  <c r="L83" i="1"/>
  <c r="Q82" i="1"/>
  <c r="Y82" i="1" s="1"/>
  <c r="L82" i="1"/>
  <c r="Q81" i="1"/>
  <c r="Y81" i="1" s="1"/>
  <c r="L81" i="1"/>
  <c r="Q80" i="1"/>
  <c r="Y80" i="1" s="1"/>
  <c r="L80" i="1"/>
  <c r="Q79" i="1"/>
  <c r="R79" i="1" s="1"/>
  <c r="S79" i="1" s="1"/>
  <c r="L79" i="1"/>
  <c r="Q78" i="1"/>
  <c r="Y78" i="1" s="1"/>
  <c r="L78" i="1"/>
  <c r="Q77" i="1"/>
  <c r="Y77" i="1" s="1"/>
  <c r="L77" i="1"/>
  <c r="Q76" i="1"/>
  <c r="Y76" i="1" s="1"/>
  <c r="L76" i="1"/>
  <c r="Q75" i="1"/>
  <c r="L75" i="1"/>
  <c r="Q74" i="1"/>
  <c r="Y74" i="1" s="1"/>
  <c r="L74" i="1"/>
  <c r="Q73" i="1"/>
  <c r="L73" i="1"/>
  <c r="Q72" i="1"/>
  <c r="Y72" i="1" s="1"/>
  <c r="L72" i="1"/>
  <c r="Q71" i="1"/>
  <c r="R71" i="1" s="1"/>
  <c r="S71" i="1" s="1"/>
  <c r="L71" i="1"/>
  <c r="Q70" i="1"/>
  <c r="Y70" i="1" s="1"/>
  <c r="L70" i="1"/>
  <c r="Q69" i="1"/>
  <c r="Y69" i="1" s="1"/>
  <c r="L69" i="1"/>
  <c r="Q68" i="1"/>
  <c r="Y68" i="1" s="1"/>
  <c r="L68" i="1"/>
  <c r="F67" i="1"/>
  <c r="E67" i="1"/>
  <c r="Q67" i="1" s="1"/>
  <c r="Q66" i="1"/>
  <c r="Y66" i="1" s="1"/>
  <c r="L66" i="1"/>
  <c r="F65" i="1"/>
  <c r="E65" i="1"/>
  <c r="Q65" i="1" s="1"/>
  <c r="Q64" i="1"/>
  <c r="L64" i="1"/>
  <c r="Q63" i="1"/>
  <c r="Y63" i="1" s="1"/>
  <c r="L63" i="1"/>
  <c r="Q62" i="1"/>
  <c r="Y62" i="1" s="1"/>
  <c r="L62" i="1"/>
  <c r="Q61" i="1"/>
  <c r="L61" i="1"/>
  <c r="Q60" i="1"/>
  <c r="L60" i="1"/>
  <c r="Q59" i="1"/>
  <c r="L59" i="1"/>
  <c r="Q58" i="1"/>
  <c r="Y58" i="1" s="1"/>
  <c r="L58" i="1"/>
  <c r="Q57" i="1"/>
  <c r="L57" i="1"/>
  <c r="Q56" i="1"/>
  <c r="Y56" i="1" s="1"/>
  <c r="L56" i="1"/>
  <c r="Q55" i="1"/>
  <c r="X55" i="1" s="1"/>
  <c r="L55" i="1"/>
  <c r="Q54" i="1"/>
  <c r="Y54" i="1" s="1"/>
  <c r="L54" i="1"/>
  <c r="Q53" i="1"/>
  <c r="L53" i="1"/>
  <c r="Q52" i="1"/>
  <c r="R52" i="1" s="1"/>
  <c r="L52" i="1"/>
  <c r="Q51" i="1"/>
  <c r="L51" i="1"/>
  <c r="Q50" i="1"/>
  <c r="L50" i="1"/>
  <c r="Q49" i="1"/>
  <c r="Y49" i="1" s="1"/>
  <c r="L49" i="1"/>
  <c r="Q48" i="1"/>
  <c r="Y48" i="1" s="1"/>
  <c r="L48" i="1"/>
  <c r="Q47" i="1"/>
  <c r="Y47" i="1" s="1"/>
  <c r="L47" i="1"/>
  <c r="Q46" i="1"/>
  <c r="L46" i="1"/>
  <c r="Q45" i="1"/>
  <c r="Y45" i="1" s="1"/>
  <c r="L45" i="1"/>
  <c r="L44" i="1"/>
  <c r="Q43" i="1"/>
  <c r="Y43" i="1" s="1"/>
  <c r="L43" i="1"/>
  <c r="Q42" i="1"/>
  <c r="R42" i="1" s="1"/>
  <c r="S42" i="1" s="1"/>
  <c r="U42" i="1" s="1"/>
  <c r="L42" i="1"/>
  <c r="Q41" i="1"/>
  <c r="Y41" i="1" s="1"/>
  <c r="L41" i="1"/>
  <c r="Q40" i="1"/>
  <c r="Y40" i="1" s="1"/>
  <c r="L40" i="1"/>
  <c r="Q39" i="1"/>
  <c r="L39" i="1"/>
  <c r="Q38" i="1"/>
  <c r="L38" i="1"/>
  <c r="Q37" i="1"/>
  <c r="L37" i="1"/>
  <c r="Q36" i="1"/>
  <c r="Y36" i="1" s="1"/>
  <c r="L36" i="1"/>
  <c r="Q35" i="1"/>
  <c r="Y35" i="1" s="1"/>
  <c r="L35" i="1"/>
  <c r="Q34" i="1"/>
  <c r="L34" i="1"/>
  <c r="Q33" i="1"/>
  <c r="Y33" i="1" s="1"/>
  <c r="L33" i="1"/>
  <c r="Q32" i="1"/>
  <c r="Y32" i="1" s="1"/>
  <c r="L32" i="1"/>
  <c r="Q31" i="1"/>
  <c r="Y31" i="1" s="1"/>
  <c r="L31" i="1"/>
  <c r="Q30" i="1"/>
  <c r="R30" i="1" s="1"/>
  <c r="L30" i="1"/>
  <c r="Q29" i="1"/>
  <c r="L29" i="1"/>
  <c r="Q28" i="1"/>
  <c r="Y28" i="1" s="1"/>
  <c r="L28" i="1"/>
  <c r="Q27" i="1"/>
  <c r="L27" i="1"/>
  <c r="Q26" i="1"/>
  <c r="X26" i="1" s="1"/>
  <c r="L26" i="1"/>
  <c r="Q25" i="1"/>
  <c r="Y25" i="1" s="1"/>
  <c r="L25" i="1"/>
  <c r="Q24" i="1"/>
  <c r="Y24" i="1" s="1"/>
  <c r="L24" i="1"/>
  <c r="Q23" i="1"/>
  <c r="Y23" i="1" s="1"/>
  <c r="L23" i="1"/>
  <c r="Q22" i="1"/>
  <c r="X22" i="1" s="1"/>
  <c r="L22" i="1"/>
  <c r="Q21" i="1"/>
  <c r="Y21" i="1" s="1"/>
  <c r="L21" i="1"/>
  <c r="Q20" i="1"/>
  <c r="X20" i="1" s="1"/>
  <c r="L20" i="1"/>
  <c r="Q19" i="1"/>
  <c r="Y19" i="1" s="1"/>
  <c r="L19" i="1"/>
  <c r="Q18" i="1"/>
  <c r="R18" i="1" s="1"/>
  <c r="L18" i="1"/>
  <c r="Q17" i="1"/>
  <c r="Y17" i="1" s="1"/>
  <c r="L17" i="1"/>
  <c r="Q16" i="1"/>
  <c r="Y16" i="1" s="1"/>
  <c r="L16" i="1"/>
  <c r="Q15" i="1"/>
  <c r="L15" i="1"/>
  <c r="Q14" i="1"/>
  <c r="L14" i="1"/>
  <c r="Q13" i="1"/>
  <c r="Y13" i="1" s="1"/>
  <c r="L13" i="1"/>
  <c r="Q12" i="1"/>
  <c r="L12" i="1"/>
  <c r="Q11" i="1"/>
  <c r="Y11" i="1" s="1"/>
  <c r="L11" i="1"/>
  <c r="Q10" i="1"/>
  <c r="X10" i="1" s="1"/>
  <c r="L10" i="1"/>
  <c r="Q9" i="1"/>
  <c r="Y9" i="1" s="1"/>
  <c r="L9" i="1"/>
  <c r="Q8" i="1"/>
  <c r="X8" i="1" s="1"/>
  <c r="L8" i="1"/>
  <c r="Q7" i="1"/>
  <c r="L7" i="1"/>
  <c r="Q6" i="1"/>
  <c r="X6" i="1" s="1"/>
  <c r="L6" i="1"/>
  <c r="AD5" i="1"/>
  <c r="AC5" i="1"/>
  <c r="AB5" i="1"/>
  <c r="AA5" i="1"/>
  <c r="Z5" i="1"/>
  <c r="V5" i="1"/>
  <c r="P5" i="1"/>
  <c r="O5" i="1"/>
  <c r="N5" i="1"/>
  <c r="M5" i="1"/>
  <c r="K5" i="1"/>
  <c r="U79" i="1" l="1"/>
  <c r="AG79" i="1" s="1"/>
  <c r="T99" i="1"/>
  <c r="AF99" i="1" s="1"/>
  <c r="AG99" i="1"/>
  <c r="T77" i="1"/>
  <c r="AF77" i="1" s="1"/>
  <c r="AG77" i="1"/>
  <c r="T78" i="1"/>
  <c r="AF78" i="1" s="1"/>
  <c r="AG78" i="1"/>
  <c r="T85" i="1"/>
  <c r="AF85" i="1" s="1"/>
  <c r="AG85" i="1"/>
  <c r="T67" i="1"/>
  <c r="AF67" i="1" s="1"/>
  <c r="AG67" i="1"/>
  <c r="T24" i="1"/>
  <c r="AF24" i="1" s="1"/>
  <c r="AG24" i="1"/>
  <c r="T9" i="1"/>
  <c r="AF9" i="1" s="1"/>
  <c r="AG42" i="1"/>
  <c r="X66" i="1"/>
  <c r="X88" i="1"/>
  <c r="X71" i="1"/>
  <c r="T71" i="1"/>
  <c r="AF71" i="1" s="1"/>
  <c r="X79" i="1"/>
  <c r="T79" i="1"/>
  <c r="AF79" i="1" s="1"/>
  <c r="X87" i="1"/>
  <c r="T87" i="1"/>
  <c r="AF87" i="1" s="1"/>
  <c r="X48" i="1"/>
  <c r="X86" i="1"/>
  <c r="X82" i="1"/>
  <c r="Y7" i="1"/>
  <c r="X7" i="1"/>
  <c r="Y15" i="1"/>
  <c r="X15" i="1"/>
  <c r="X18" i="1"/>
  <c r="Y27" i="1"/>
  <c r="X27" i="1"/>
  <c r="Y29" i="1"/>
  <c r="X29" i="1"/>
  <c r="X30" i="1"/>
  <c r="Y37" i="1"/>
  <c r="X37" i="1"/>
  <c r="Y39" i="1"/>
  <c r="X39" i="1"/>
  <c r="X42" i="1"/>
  <c r="Y99" i="1"/>
  <c r="X99" i="1"/>
  <c r="X28" i="1"/>
  <c r="X98" i="1"/>
  <c r="Y51" i="1"/>
  <c r="X51" i="1"/>
  <c r="S52" i="1"/>
  <c r="Y53" i="1"/>
  <c r="X53" i="1"/>
  <c r="Y57" i="1"/>
  <c r="X57" i="1"/>
  <c r="Y59" i="1"/>
  <c r="X59" i="1"/>
  <c r="Y61" i="1"/>
  <c r="X61" i="1"/>
  <c r="Y73" i="1"/>
  <c r="X73" i="1"/>
  <c r="X60" i="1"/>
  <c r="X76" i="1"/>
  <c r="X64" i="1"/>
  <c r="X84" i="1"/>
  <c r="X92" i="1"/>
  <c r="R58" i="1"/>
  <c r="R96" i="1"/>
  <c r="S96" i="1" s="1"/>
  <c r="R38" i="1"/>
  <c r="S38" i="1" s="1"/>
  <c r="T38" i="1" s="1"/>
  <c r="AF38" i="1" s="1"/>
  <c r="R56" i="1"/>
  <c r="R94" i="1"/>
  <c r="R32" i="1"/>
  <c r="S32" i="1" s="1"/>
  <c r="U32" i="1" s="1"/>
  <c r="R65" i="1"/>
  <c r="F5" i="1"/>
  <c r="E5" i="1"/>
  <c r="R11" i="1"/>
  <c r="S11" i="1" s="1"/>
  <c r="U11" i="1" s="1"/>
  <c r="R17" i="1"/>
  <c r="R36" i="1"/>
  <c r="S36" i="1" s="1"/>
  <c r="T36" i="1" s="1"/>
  <c r="AF36" i="1" s="1"/>
  <c r="R74" i="1"/>
  <c r="R67" i="1"/>
  <c r="R78" i="1"/>
  <c r="R80" i="1"/>
  <c r="R81" i="1"/>
  <c r="R93" i="1"/>
  <c r="Y26" i="1"/>
  <c r="R16" i="1"/>
  <c r="R19" i="1"/>
  <c r="S19" i="1" s="1"/>
  <c r="U19" i="1" s="1"/>
  <c r="R40" i="1"/>
  <c r="S40" i="1" s="1"/>
  <c r="U40" i="1" s="1"/>
  <c r="R41" i="1"/>
  <c r="R62" i="1"/>
  <c r="Y34" i="1"/>
  <c r="R21" i="1"/>
  <c r="R63" i="1"/>
  <c r="R43" i="1"/>
  <c r="S43" i="1" s="1"/>
  <c r="U43" i="1" s="1"/>
  <c r="R85" i="1"/>
  <c r="Y55" i="1"/>
  <c r="R23" i="1"/>
  <c r="R24" i="1"/>
  <c r="R45" i="1"/>
  <c r="S45" i="1" s="1"/>
  <c r="T45" i="1" s="1"/>
  <c r="AF45" i="1" s="1"/>
  <c r="R25" i="1"/>
  <c r="S25" i="1" s="1"/>
  <c r="U25" i="1" s="1"/>
  <c r="R46" i="1"/>
  <c r="S46" i="1" s="1"/>
  <c r="U46" i="1" s="1"/>
  <c r="R68" i="1"/>
  <c r="R47" i="1"/>
  <c r="S47" i="1" s="1"/>
  <c r="U47" i="1" s="1"/>
  <c r="R69" i="1"/>
  <c r="R89" i="1"/>
  <c r="R70" i="1"/>
  <c r="R90" i="1"/>
  <c r="Y50" i="1"/>
  <c r="R49" i="1"/>
  <c r="S49" i="1" s="1"/>
  <c r="U49" i="1" s="1"/>
  <c r="R91" i="1"/>
  <c r="R9" i="1"/>
  <c r="R50" i="1"/>
  <c r="S50" i="1" s="1"/>
  <c r="U50" i="1" s="1"/>
  <c r="R72" i="1"/>
  <c r="R31" i="1"/>
  <c r="S31" i="1" s="1"/>
  <c r="U31" i="1" s="1"/>
  <c r="R12" i="1"/>
  <c r="S12" i="1" s="1"/>
  <c r="U12" i="1" s="1"/>
  <c r="R33" i="1"/>
  <c r="S33" i="1" s="1"/>
  <c r="U33" i="1" s="1"/>
  <c r="R54" i="1"/>
  <c r="R75" i="1"/>
  <c r="R13" i="1"/>
  <c r="R34" i="1"/>
  <c r="S34" i="1" s="1"/>
  <c r="U34" i="1" s="1"/>
  <c r="R14" i="1"/>
  <c r="S14" i="1" s="1"/>
  <c r="U14" i="1" s="1"/>
  <c r="R35" i="1"/>
  <c r="S35" i="1" s="1"/>
  <c r="U35" i="1" s="1"/>
  <c r="R77" i="1"/>
  <c r="Y46" i="1"/>
  <c r="Y22" i="1"/>
  <c r="Y65" i="1"/>
  <c r="Y95" i="1"/>
  <c r="Y83" i="1"/>
  <c r="Y71" i="1"/>
  <c r="Y10" i="1"/>
  <c r="Y42" i="1"/>
  <c r="Y30" i="1"/>
  <c r="Y6" i="1"/>
  <c r="L67" i="1"/>
  <c r="Y91" i="1"/>
  <c r="Q97" i="1"/>
  <c r="R97" i="1" s="1"/>
  <c r="S97" i="1" s="1"/>
  <c r="Y18" i="1"/>
  <c r="Y79" i="1"/>
  <c r="Y67" i="1"/>
  <c r="Y38" i="1"/>
  <c r="Y14" i="1"/>
  <c r="Y87" i="1"/>
  <c r="Y75" i="1"/>
  <c r="Y60" i="1"/>
  <c r="Y20" i="1"/>
  <c r="Y52" i="1"/>
  <c r="Y8" i="1"/>
  <c r="Y44" i="1"/>
  <c r="Y64" i="1"/>
  <c r="Y12" i="1"/>
  <c r="L65" i="1"/>
  <c r="U97" i="1" l="1"/>
  <c r="AG97" i="1" s="1"/>
  <c r="U52" i="1"/>
  <c r="AG52" i="1" s="1"/>
  <c r="T42" i="1"/>
  <c r="AF42" i="1" s="1"/>
  <c r="T35" i="1"/>
  <c r="AF35" i="1" s="1"/>
  <c r="AG35" i="1"/>
  <c r="T12" i="1"/>
  <c r="AF12" i="1" s="1"/>
  <c r="AG12" i="1"/>
  <c r="T50" i="1"/>
  <c r="AF50" i="1" s="1"/>
  <c r="AG50" i="1"/>
  <c r="T49" i="1"/>
  <c r="AF49" i="1" s="1"/>
  <c r="AG49" i="1"/>
  <c r="T47" i="1"/>
  <c r="AF47" i="1" s="1"/>
  <c r="AG47" i="1"/>
  <c r="T46" i="1"/>
  <c r="AF46" i="1" s="1"/>
  <c r="AG46" i="1"/>
  <c r="T43" i="1"/>
  <c r="AF43" i="1" s="1"/>
  <c r="AG43" i="1"/>
  <c r="T40" i="1"/>
  <c r="AF40" i="1" s="1"/>
  <c r="AG40" i="1"/>
  <c r="T14" i="1"/>
  <c r="AF14" i="1" s="1"/>
  <c r="AG14" i="1"/>
  <c r="T34" i="1"/>
  <c r="AF34" i="1" s="1"/>
  <c r="AG34" i="1"/>
  <c r="T33" i="1"/>
  <c r="AF33" i="1" s="1"/>
  <c r="AG33" i="1"/>
  <c r="T31" i="1"/>
  <c r="AF31" i="1" s="1"/>
  <c r="AG31" i="1"/>
  <c r="T25" i="1"/>
  <c r="AF25" i="1" s="1"/>
  <c r="AG25" i="1"/>
  <c r="T19" i="1"/>
  <c r="AF19" i="1" s="1"/>
  <c r="AG19" i="1"/>
  <c r="T11" i="1"/>
  <c r="AF11" i="1" s="1"/>
  <c r="AG11" i="1"/>
  <c r="T32" i="1"/>
  <c r="AF32" i="1" s="1"/>
  <c r="AG32" i="1"/>
  <c r="X97" i="1"/>
  <c r="X96" i="1"/>
  <c r="T96" i="1"/>
  <c r="AF96" i="1" s="1"/>
  <c r="X52" i="1"/>
  <c r="X35" i="1"/>
  <c r="X34" i="1"/>
  <c r="S75" i="1"/>
  <c r="X33" i="1"/>
  <c r="X31" i="1"/>
  <c r="X72" i="1"/>
  <c r="X9" i="1"/>
  <c r="S70" i="1"/>
  <c r="S69" i="1"/>
  <c r="S68" i="1"/>
  <c r="X25" i="1"/>
  <c r="X24" i="1"/>
  <c r="X23" i="1"/>
  <c r="X85" i="1"/>
  <c r="X21" i="1"/>
  <c r="X41" i="1"/>
  <c r="X19" i="1"/>
  <c r="X93" i="1"/>
  <c r="S80" i="1"/>
  <c r="X67" i="1"/>
  <c r="X36" i="1"/>
  <c r="X11" i="1"/>
  <c r="X32" i="1"/>
  <c r="S56" i="1"/>
  <c r="X38" i="1"/>
  <c r="S58" i="1"/>
  <c r="X77" i="1"/>
  <c r="X14" i="1"/>
  <c r="X13" i="1"/>
  <c r="S54" i="1"/>
  <c r="X12" i="1"/>
  <c r="X50" i="1"/>
  <c r="S91" i="1"/>
  <c r="X49" i="1"/>
  <c r="S90" i="1"/>
  <c r="S89" i="1"/>
  <c r="X47" i="1"/>
  <c r="X46" i="1"/>
  <c r="X45" i="1"/>
  <c r="X43" i="1"/>
  <c r="S63" i="1"/>
  <c r="S62" i="1"/>
  <c r="X40" i="1"/>
  <c r="X16" i="1"/>
  <c r="S81" i="1"/>
  <c r="X78" i="1"/>
  <c r="S74" i="1"/>
  <c r="X17" i="1"/>
  <c r="S65" i="1"/>
  <c r="S94" i="1"/>
  <c r="L5" i="1"/>
  <c r="Y97" i="1"/>
  <c r="Q5" i="1"/>
  <c r="U65" i="1" l="1"/>
  <c r="AG65" i="1" s="1"/>
  <c r="U74" i="1"/>
  <c r="AG74" i="1" s="1"/>
  <c r="U81" i="1"/>
  <c r="AG81" i="1" s="1"/>
  <c r="U91" i="1"/>
  <c r="AG91" i="1" s="1"/>
  <c r="U69" i="1"/>
  <c r="AG69" i="1" s="1"/>
  <c r="U75" i="1"/>
  <c r="AG75" i="1" s="1"/>
  <c r="U94" i="1"/>
  <c r="AG94" i="1" s="1"/>
  <c r="U54" i="1"/>
  <c r="AG54" i="1" s="1"/>
  <c r="U70" i="1"/>
  <c r="AG70" i="1" s="1"/>
  <c r="T52" i="1"/>
  <c r="AF52" i="1" s="1"/>
  <c r="T97" i="1"/>
  <c r="AF97" i="1" s="1"/>
  <c r="U5" i="1"/>
  <c r="X58" i="1"/>
  <c r="T58" i="1"/>
  <c r="AF58" i="1" s="1"/>
  <c r="X56" i="1"/>
  <c r="T56" i="1"/>
  <c r="AF56" i="1" s="1"/>
  <c r="X80" i="1"/>
  <c r="T80" i="1"/>
  <c r="AF80" i="1" s="1"/>
  <c r="X68" i="1"/>
  <c r="T68" i="1"/>
  <c r="AF68" i="1" s="1"/>
  <c r="X69" i="1"/>
  <c r="T69" i="1"/>
  <c r="AF69" i="1" s="1"/>
  <c r="X70" i="1"/>
  <c r="T70" i="1"/>
  <c r="AF70" i="1" s="1"/>
  <c r="X75" i="1"/>
  <c r="T75" i="1"/>
  <c r="AF75" i="1" s="1"/>
  <c r="X94" i="1"/>
  <c r="T94" i="1"/>
  <c r="AF94" i="1" s="1"/>
  <c r="X65" i="1"/>
  <c r="T65" i="1"/>
  <c r="AF65" i="1" s="1"/>
  <c r="X74" i="1"/>
  <c r="T74" i="1"/>
  <c r="AF74" i="1" s="1"/>
  <c r="X81" i="1"/>
  <c r="T81" i="1"/>
  <c r="AF81" i="1" s="1"/>
  <c r="X62" i="1"/>
  <c r="T62" i="1"/>
  <c r="AF62" i="1" s="1"/>
  <c r="X63" i="1"/>
  <c r="T63" i="1"/>
  <c r="AF63" i="1" s="1"/>
  <c r="X89" i="1"/>
  <c r="T89" i="1"/>
  <c r="AF89" i="1" s="1"/>
  <c r="X90" i="1"/>
  <c r="T90" i="1"/>
  <c r="AF90" i="1" s="1"/>
  <c r="X91" i="1"/>
  <c r="T91" i="1"/>
  <c r="AF91" i="1" s="1"/>
  <c r="X54" i="1"/>
  <c r="T54" i="1"/>
  <c r="AF54" i="1" s="1"/>
  <c r="S5" i="1"/>
  <c r="AF5" i="1"/>
  <c r="R5" i="1"/>
  <c r="AG5" i="1" l="1"/>
  <c r="T5" i="1"/>
</calcChain>
</file>

<file path=xl/sharedStrings.xml><?xml version="1.0" encoding="utf-8"?>
<sst xmlns="http://schemas.openxmlformats.org/spreadsheetml/2006/main" count="280" uniqueCount="146">
  <si>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</si>
  <si>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</si>
  <si>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</si>
  <si>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</si>
  <si>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</si>
  <si>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</si>
  <si>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</si>
  <si>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</si>
  <si>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</si>
  <si>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</si>
  <si>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</si>
  <si>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</si>
  <si>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</si>
  <si>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</si>
  <si>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</si>
  <si>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</si>
  <si>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</si>
  <si>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</si>
  <si>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</si>
  <si>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</si>
  <si>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</si>
  <si>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</si>
  <si>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</si>
  <si>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</si>
  <si>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</si>
  <si>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</si>
  <si>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</si>
  <si>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</si>
  <si>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</si>
  <si>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</si>
  <si>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</si>
  <si>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</si>
  <si>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</si>
  <si>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</si>
  <si>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</si>
  <si>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</si>
  <si>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</si>
  <si>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</si>
  <si>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</si>
  <si>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</si>
  <si>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</si>
  <si>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</si>
  <si>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</si>
  <si>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</si>
  <si>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</si>
  <si>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</si>
  <si>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</si>
  <si>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</si>
  <si>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</si>
  <si>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</si>
  <si>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</si>
  <si>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</si>
  <si>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</si>
  <si>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</si>
  <si>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остатки?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</si>
  <si>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</si>
  <si>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</si>
  <si>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</si>
  <si>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</si>
  <si>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</si>
  <si>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</si>
  <si>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</si>
  <si>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</si>
  <si>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</si>
  <si>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</si>
  <si>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</si>
  <si>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</si>
  <si>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</si>
  <si>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</si>
  <si>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</si>
  <si>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</si>
  <si>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</si>
  <si>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</si>
  <si>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</si>
  <si>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</si>
  <si>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</si>
  <si>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</si>
  <si>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</si>
  <si>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</si>
  <si>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</si>
  <si>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</si>
  <si>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</si>
  <si>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</si>
  <si>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</si>
  <si>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</si>
  <si>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</si>
  <si>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</si>
  <si>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</si>
  <si>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</si>
  <si>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</si>
  <si>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</si>
  <si>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нужно увеличить продажи!!!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</si>
  <si>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</si>
  <si>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</si>
  <si>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</si>
  <si>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</si>
  <si>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</si>
  <si>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</si>
  <si>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</si>
  <si>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</si>
  <si>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</si>
  <si>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</si>
  <si>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</si>
  <si>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</si>
  <si>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</si>
  <si>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</si>
  <si>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</si>
  <si>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</si>
  <si>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</si>
  <si>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</si>
  <si>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</si>
  <si>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нужно увеличить продажи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</si>
  <si>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</si>
  <si>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</si>
  <si>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</si>
  <si>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</si>
  <si>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</si>
  <si>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</si>
  <si>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</si>
  <si>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</si>
  <si>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</si>
  <si>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</si>
  <si>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</si>
  <si>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</si>
  <si>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</si>
  <si>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</si>
  <si>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</si>
  <si>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</si>
  <si>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</si>
  <si>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</si>
  <si>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</si>
  <si>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</si>
  <si>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</si>
  <si>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</si>
  <si>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</si>
  <si>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вместо 7131</t>
  </si>
  <si>
    <t>вместо 6793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</si>
  <si>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</si>
  <si>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</si>
  <si>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</si>
  <si>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акция ЮГТех</t>
  </si>
  <si>
    <t>итого</t>
  </si>
  <si>
    <t>ВНИМАНИЕ акция</t>
  </si>
  <si>
    <t>заказ</t>
  </si>
  <si>
    <t>05,07,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</si>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</sst>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164" fontId="1" fillId="0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7109375" customWidth="1"/>
    <col min="15" max="18" width="7" customWidth="1"/>
    <col min="19" max="21" width="7" style="21" customWidth="1"/>
    <col min="22" max="22" width="7" customWidth="1"/>
    <col min="23" max="23" width="21" customWidth="1"/>
    <col min="24" max="25" width="5" customWidth="1"/>
    <col min="26" max="30" width="6" customWidth="1"/>
    <col min="31" max="31" width="29.7109375" customWidth="1"/>
    <col min="32" max="33" width="7" customWidth="1"/>
    <col min="34" max="53" width="5" customWidth="1"/>
  </cols>
  <sheetData>
    <row r="1" spans="1:53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141</v>
      </c>
      <c r="T3" s="3" t="s">
        <v>143</v>
      </c>
      <c r="U3" s="3" t="s">
        <v>143</v>
      </c>
      <c r="V3" s="9" t="s">
        <v>17</v>
      </c>
      <c r="W3" s="9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 t="s">
        <v>144</v>
      </c>
      <c r="U4" s="1" t="s">
        <v>145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144</v>
      </c>
      <c r="AG4" s="1" t="s">
        <v>145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19535.115000000002</v>
      </c>
      <c r="F5" s="4">
        <f>SUM(F6:F499)</f>
        <v>19086.482000000004</v>
      </c>
      <c r="G5" s="6"/>
      <c r="H5" s="1"/>
      <c r="I5" s="1"/>
      <c r="J5" s="1"/>
      <c r="K5" s="4">
        <f t="shared" ref="K5:V5" si="0">SUM(K6:K499)</f>
        <v>22732.145999999997</v>
      </c>
      <c r="L5" s="4">
        <f t="shared" si="0"/>
        <v>-3197.0309999999995</v>
      </c>
      <c r="M5" s="4">
        <f t="shared" si="0"/>
        <v>0</v>
      </c>
      <c r="N5" s="4">
        <f t="shared" si="0"/>
        <v>0</v>
      </c>
      <c r="O5" s="4">
        <f t="shared" si="0"/>
        <v>10212</v>
      </c>
      <c r="P5" s="4">
        <f t="shared" si="0"/>
        <v>9912</v>
      </c>
      <c r="Q5" s="4">
        <f t="shared" si="0"/>
        <v>3907.0230000000006</v>
      </c>
      <c r="R5" s="4">
        <f t="shared" si="0"/>
        <v>15032.040199999999</v>
      </c>
      <c r="S5" s="4">
        <f t="shared" si="0"/>
        <v>17983</v>
      </c>
      <c r="T5" s="4">
        <f t="shared" si="0"/>
        <v>9749</v>
      </c>
      <c r="U5" s="4">
        <f t="shared" ref="U5" si="1">SUM(U6:U499)</f>
        <v>8234</v>
      </c>
      <c r="V5" s="4">
        <f t="shared" si="0"/>
        <v>5920</v>
      </c>
      <c r="W5" s="1"/>
      <c r="X5" s="1"/>
      <c r="Y5" s="1"/>
      <c r="Z5" s="4">
        <f>SUM(Z6:Z499)</f>
        <v>5287.6044000000011</v>
      </c>
      <c r="AA5" s="4">
        <f>SUM(AA6:AA499)</f>
        <v>3513.8325999999997</v>
      </c>
      <c r="AB5" s="4">
        <f>SUM(AB6:AB499)</f>
        <v>3689.2409999999995</v>
      </c>
      <c r="AC5" s="4">
        <f>SUM(AC6:AC499)</f>
        <v>3616.5323999999996</v>
      </c>
      <c r="AD5" s="4">
        <f>SUM(AD6:AD499)</f>
        <v>3508.2075999999997</v>
      </c>
      <c r="AE5" s="1"/>
      <c r="AF5" s="4">
        <f>SUM(AF6:AF499)</f>
        <v>4483.9699999999993</v>
      </c>
      <c r="AG5" s="4">
        <f>SUM(AG6:AG499)</f>
        <v>4309.130000000001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31</v>
      </c>
      <c r="B6" s="1" t="s">
        <v>32</v>
      </c>
      <c r="C6" s="1">
        <v>212</v>
      </c>
      <c r="D6" s="1">
        <v>211</v>
      </c>
      <c r="E6" s="1">
        <v>250</v>
      </c>
      <c r="F6" s="1">
        <v>165</v>
      </c>
      <c r="G6" s="6">
        <v>0.4</v>
      </c>
      <c r="H6" s="1">
        <v>60</v>
      </c>
      <c r="I6" s="1">
        <v>3215</v>
      </c>
      <c r="J6" s="1"/>
      <c r="K6" s="1">
        <v>260</v>
      </c>
      <c r="L6" s="1">
        <f t="shared" ref="L6:L37" si="2">E6-K6</f>
        <v>-10</v>
      </c>
      <c r="M6" s="1"/>
      <c r="N6" s="1"/>
      <c r="O6" s="1">
        <v>270</v>
      </c>
      <c r="P6" s="1">
        <v>270</v>
      </c>
      <c r="Q6" s="1">
        <f t="shared" ref="Q6:Q37" si="3">E6/5</f>
        <v>50</v>
      </c>
      <c r="R6" s="5"/>
      <c r="S6" s="5">
        <f>V6</f>
        <v>50</v>
      </c>
      <c r="T6" s="5">
        <f>ROUND(S6-U6,0)</f>
        <v>50</v>
      </c>
      <c r="U6" s="5"/>
      <c r="V6" s="5">
        <v>50</v>
      </c>
      <c r="W6" s="1"/>
      <c r="X6" s="1">
        <f>(F6+O6+P6+S6)/Q6</f>
        <v>15.1</v>
      </c>
      <c r="Y6" s="1">
        <f t="shared" ref="Y6:Y37" si="4">(F6+O6+P6)/Q6</f>
        <v>14.1</v>
      </c>
      <c r="Z6" s="1">
        <v>76.400000000000006</v>
      </c>
      <c r="AA6" s="1">
        <v>59.8</v>
      </c>
      <c r="AB6" s="1">
        <v>79.8</v>
      </c>
      <c r="AC6" s="1">
        <v>60.4</v>
      </c>
      <c r="AD6" s="1">
        <v>56.2</v>
      </c>
      <c r="AE6" s="1" t="s">
        <v>33</v>
      </c>
      <c r="AF6" s="1">
        <f>G6*T6</f>
        <v>20</v>
      </c>
      <c r="AG6" s="1">
        <f>G6*U6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34</v>
      </c>
      <c r="B7" s="1" t="s">
        <v>35</v>
      </c>
      <c r="C7" s="1">
        <v>12.528</v>
      </c>
      <c r="D7" s="1"/>
      <c r="E7" s="1">
        <v>6.02</v>
      </c>
      <c r="F7" s="1">
        <v>6.508</v>
      </c>
      <c r="G7" s="6">
        <v>1</v>
      </c>
      <c r="H7" s="1">
        <v>120</v>
      </c>
      <c r="I7" s="1">
        <v>3287</v>
      </c>
      <c r="J7" s="1"/>
      <c r="K7" s="1">
        <v>6.5010000000000003</v>
      </c>
      <c r="L7" s="1">
        <f t="shared" si="2"/>
        <v>-0.48100000000000076</v>
      </c>
      <c r="M7" s="1"/>
      <c r="N7" s="1"/>
      <c r="O7" s="1">
        <v>10</v>
      </c>
      <c r="P7" s="1">
        <v>10</v>
      </c>
      <c r="Q7" s="1">
        <f t="shared" si="3"/>
        <v>1.204</v>
      </c>
      <c r="R7" s="5"/>
      <c r="S7" s="5">
        <f>V7</f>
        <v>10</v>
      </c>
      <c r="T7" s="5">
        <f t="shared" ref="T7:T70" si="5">ROUND(S7-U7,0)</f>
        <v>10</v>
      </c>
      <c r="U7" s="5"/>
      <c r="V7" s="5">
        <v>10</v>
      </c>
      <c r="W7" s="1"/>
      <c r="X7" s="1">
        <f>(F7+O7+P7+S7)/Q7</f>
        <v>30.322259136212622</v>
      </c>
      <c r="Y7" s="1">
        <f t="shared" si="4"/>
        <v>22.016611295681063</v>
      </c>
      <c r="Z7" s="1">
        <v>1.9656</v>
      </c>
      <c r="AA7" s="1">
        <v>1.6342000000000001</v>
      </c>
      <c r="AB7" s="1">
        <v>1.167</v>
      </c>
      <c r="AC7" s="1">
        <v>0.98599999999999999</v>
      </c>
      <c r="AD7" s="1">
        <v>1.5744</v>
      </c>
      <c r="AE7" s="1"/>
      <c r="AF7" s="1">
        <f t="shared" ref="AF7:AF70" si="6">G7*T7</f>
        <v>10</v>
      </c>
      <c r="AG7" s="1">
        <f t="shared" ref="AG7:AG70" si="7">G7*U7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36</v>
      </c>
      <c r="B8" s="1" t="s">
        <v>32</v>
      </c>
      <c r="C8" s="1">
        <v>305</v>
      </c>
      <c r="D8" s="1">
        <v>285</v>
      </c>
      <c r="E8" s="1">
        <v>135</v>
      </c>
      <c r="F8" s="1">
        <v>438</v>
      </c>
      <c r="G8" s="6">
        <v>0.25</v>
      </c>
      <c r="H8" s="1">
        <v>120</v>
      </c>
      <c r="I8" s="1">
        <v>3986</v>
      </c>
      <c r="J8" s="1"/>
      <c r="K8" s="1">
        <v>160</v>
      </c>
      <c r="L8" s="1">
        <f t="shared" si="2"/>
        <v>-25</v>
      </c>
      <c r="M8" s="1"/>
      <c r="N8" s="1"/>
      <c r="O8" s="1">
        <v>0</v>
      </c>
      <c r="P8" s="1">
        <v>0</v>
      </c>
      <c r="Q8" s="1">
        <f t="shared" si="3"/>
        <v>27</v>
      </c>
      <c r="R8" s="5"/>
      <c r="S8" s="5">
        <f t="shared" ref="S8:S70" si="8">ROUND(R8,0)</f>
        <v>0</v>
      </c>
      <c r="T8" s="5">
        <f t="shared" si="5"/>
        <v>0</v>
      </c>
      <c r="U8" s="5"/>
      <c r="V8" s="5"/>
      <c r="W8" s="1"/>
      <c r="X8" s="1">
        <f>(F8+O8+P8+S8)/Q8</f>
        <v>16.222222222222221</v>
      </c>
      <c r="Y8" s="1">
        <f t="shared" si="4"/>
        <v>16.222222222222221</v>
      </c>
      <c r="Z8" s="1">
        <v>45.8</v>
      </c>
      <c r="AA8" s="1">
        <v>42.2</v>
      </c>
      <c r="AB8" s="1">
        <v>25.8</v>
      </c>
      <c r="AC8" s="1">
        <v>49.4</v>
      </c>
      <c r="AD8" s="1">
        <v>55.2</v>
      </c>
      <c r="AE8" s="1" t="s">
        <v>37</v>
      </c>
      <c r="AF8" s="1">
        <f t="shared" si="6"/>
        <v>0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38</v>
      </c>
      <c r="B9" s="1" t="s">
        <v>35</v>
      </c>
      <c r="C9" s="1">
        <v>543.51099999999997</v>
      </c>
      <c r="D9" s="1">
        <v>1403.8309999999999</v>
      </c>
      <c r="E9" s="1">
        <v>1054.8409999999999</v>
      </c>
      <c r="F9" s="1">
        <v>859.15599999999995</v>
      </c>
      <c r="G9" s="6">
        <v>1</v>
      </c>
      <c r="H9" s="1">
        <v>60</v>
      </c>
      <c r="I9" s="1">
        <v>4063</v>
      </c>
      <c r="J9" s="1"/>
      <c r="K9" s="1">
        <v>1071.8</v>
      </c>
      <c r="L9" s="1">
        <f t="shared" si="2"/>
        <v>-16.95900000000006</v>
      </c>
      <c r="M9" s="1"/>
      <c r="N9" s="1"/>
      <c r="O9" s="1">
        <v>800</v>
      </c>
      <c r="P9" s="1">
        <v>500</v>
      </c>
      <c r="Q9" s="1">
        <f t="shared" si="3"/>
        <v>210.96819999999997</v>
      </c>
      <c r="R9" s="5">
        <f t="shared" ref="R9:R50" si="9">14*Q9-P9-O9-F9</f>
        <v>794.39879999999948</v>
      </c>
      <c r="S9" s="5">
        <f>V9</f>
        <v>850</v>
      </c>
      <c r="T9" s="5">
        <f t="shared" si="5"/>
        <v>350</v>
      </c>
      <c r="U9" s="5">
        <f>ROUND(S9/1.7,0)</f>
        <v>500</v>
      </c>
      <c r="V9" s="5">
        <v>850</v>
      </c>
      <c r="W9" s="1"/>
      <c r="X9" s="1">
        <f>(F9+O9+P9+S9)/Q9</f>
        <v>14.263552516445609</v>
      </c>
      <c r="Y9" s="1">
        <f t="shared" si="4"/>
        <v>10.23450927675356</v>
      </c>
      <c r="Z9" s="1">
        <v>273.19080000000002</v>
      </c>
      <c r="AA9" s="1">
        <v>182.46039999999999</v>
      </c>
      <c r="AB9" s="1">
        <v>221.37100000000001</v>
      </c>
      <c r="AC9" s="1">
        <v>197.34700000000001</v>
      </c>
      <c r="AD9" s="1">
        <v>222.8562</v>
      </c>
      <c r="AE9" s="1"/>
      <c r="AF9" s="1">
        <f t="shared" si="6"/>
        <v>350</v>
      </c>
      <c r="AG9" s="1">
        <f t="shared" si="7"/>
        <v>500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39</v>
      </c>
      <c r="B10" s="1" t="s">
        <v>35</v>
      </c>
      <c r="C10" s="1">
        <v>43.878999999999998</v>
      </c>
      <c r="D10" s="1">
        <v>1.03</v>
      </c>
      <c r="E10" s="1">
        <v>6.0460000000000003</v>
      </c>
      <c r="F10" s="1">
        <v>37.832999999999998</v>
      </c>
      <c r="G10" s="6">
        <v>1</v>
      </c>
      <c r="H10" s="1">
        <v>120</v>
      </c>
      <c r="I10" s="1">
        <v>4117</v>
      </c>
      <c r="J10" s="1"/>
      <c r="K10" s="1">
        <v>7.7</v>
      </c>
      <c r="L10" s="1">
        <f t="shared" si="2"/>
        <v>-1.6539999999999999</v>
      </c>
      <c r="M10" s="1"/>
      <c r="N10" s="1"/>
      <c r="O10" s="1">
        <v>30</v>
      </c>
      <c r="P10" s="1">
        <v>30</v>
      </c>
      <c r="Q10" s="1">
        <f t="shared" si="3"/>
        <v>1.2092000000000001</v>
      </c>
      <c r="R10" s="5"/>
      <c r="S10" s="5">
        <f t="shared" si="8"/>
        <v>0</v>
      </c>
      <c r="T10" s="5">
        <f t="shared" si="5"/>
        <v>0</v>
      </c>
      <c r="U10" s="5"/>
      <c r="V10" s="5"/>
      <c r="W10" s="1"/>
      <c r="X10" s="1">
        <f>(F10+O10+P10+S10)/Q10</f>
        <v>80.90721137942441</v>
      </c>
      <c r="Y10" s="1">
        <f t="shared" si="4"/>
        <v>80.90721137942441</v>
      </c>
      <c r="Z10" s="1">
        <v>6.8614000000000006</v>
      </c>
      <c r="AA10" s="1">
        <v>1.8819999999999999</v>
      </c>
      <c r="AB10" s="1">
        <v>0.79900000000000004</v>
      </c>
      <c r="AC10" s="1">
        <v>6.34</v>
      </c>
      <c r="AD10" s="1">
        <v>3.8715999999999999</v>
      </c>
      <c r="AE10" s="16" t="s">
        <v>111</v>
      </c>
      <c r="AF10" s="1">
        <f t="shared" si="6"/>
        <v>0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40</v>
      </c>
      <c r="B11" s="1" t="s">
        <v>35</v>
      </c>
      <c r="C11" s="1">
        <v>140.809</v>
      </c>
      <c r="D11" s="1">
        <v>160.24299999999999</v>
      </c>
      <c r="E11" s="1">
        <v>177.06399999999999</v>
      </c>
      <c r="F11" s="1">
        <v>107.536</v>
      </c>
      <c r="G11" s="6">
        <v>1</v>
      </c>
      <c r="H11" s="1">
        <v>60</v>
      </c>
      <c r="I11" s="1">
        <v>4574</v>
      </c>
      <c r="J11" s="1"/>
      <c r="K11" s="1">
        <v>190.1</v>
      </c>
      <c r="L11" s="1">
        <f t="shared" si="2"/>
        <v>-13.036000000000001</v>
      </c>
      <c r="M11" s="1"/>
      <c r="N11" s="1"/>
      <c r="O11" s="1">
        <v>90</v>
      </c>
      <c r="P11" s="1">
        <v>90</v>
      </c>
      <c r="Q11" s="1">
        <f t="shared" si="3"/>
        <v>35.412799999999997</v>
      </c>
      <c r="R11" s="5">
        <f t="shared" si="9"/>
        <v>208.24319999999994</v>
      </c>
      <c r="S11" s="5">
        <f t="shared" si="8"/>
        <v>208</v>
      </c>
      <c r="T11" s="5">
        <f t="shared" si="5"/>
        <v>86</v>
      </c>
      <c r="U11" s="5">
        <f t="shared" ref="U11:U12" si="10">ROUND(S11/1.7,0)</f>
        <v>122</v>
      </c>
      <c r="V11" s="5"/>
      <c r="W11" s="1"/>
      <c r="X11" s="1">
        <f>(F11+O11+P11+S11)/Q11</f>
        <v>13.993132426693174</v>
      </c>
      <c r="Y11" s="1">
        <f t="shared" si="4"/>
        <v>8.1195499932227904</v>
      </c>
      <c r="Z11" s="1">
        <v>36.8416</v>
      </c>
      <c r="AA11" s="1">
        <v>21.529199999999999</v>
      </c>
      <c r="AB11" s="1">
        <v>24.9114</v>
      </c>
      <c r="AC11" s="1">
        <v>29.545400000000001</v>
      </c>
      <c r="AD11" s="1">
        <v>27.542200000000001</v>
      </c>
      <c r="AE11" s="1"/>
      <c r="AF11" s="1">
        <f t="shared" si="6"/>
        <v>86</v>
      </c>
      <c r="AG11" s="1">
        <f t="shared" si="7"/>
        <v>122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41</v>
      </c>
      <c r="B12" s="1" t="s">
        <v>35</v>
      </c>
      <c r="C12" s="1">
        <v>719.322</v>
      </c>
      <c r="D12" s="1">
        <v>141.77000000000001</v>
      </c>
      <c r="E12" s="1">
        <v>486.38</v>
      </c>
      <c r="F12" s="1">
        <v>348.19</v>
      </c>
      <c r="G12" s="6">
        <v>1</v>
      </c>
      <c r="H12" s="1">
        <v>60</v>
      </c>
      <c r="I12" s="1">
        <v>4813</v>
      </c>
      <c r="J12" s="1"/>
      <c r="K12" s="1">
        <v>508.91</v>
      </c>
      <c r="L12" s="1">
        <f t="shared" si="2"/>
        <v>-22.53000000000003</v>
      </c>
      <c r="M12" s="1"/>
      <c r="N12" s="1"/>
      <c r="O12" s="1">
        <v>290</v>
      </c>
      <c r="P12" s="1">
        <v>290</v>
      </c>
      <c r="Q12" s="1">
        <f t="shared" si="3"/>
        <v>97.275999999999996</v>
      </c>
      <c r="R12" s="5">
        <f t="shared" si="9"/>
        <v>433.67400000000004</v>
      </c>
      <c r="S12" s="5">
        <f t="shared" si="8"/>
        <v>434</v>
      </c>
      <c r="T12" s="5">
        <f t="shared" si="5"/>
        <v>179</v>
      </c>
      <c r="U12" s="5">
        <f t="shared" si="10"/>
        <v>255</v>
      </c>
      <c r="V12" s="5"/>
      <c r="W12" s="1"/>
      <c r="X12" s="1">
        <f>(F12+O12+P12+S12)/Q12</f>
        <v>14.003351289115507</v>
      </c>
      <c r="Y12" s="1">
        <f t="shared" si="4"/>
        <v>9.541819153748099</v>
      </c>
      <c r="Z12" s="1">
        <v>103.453</v>
      </c>
      <c r="AA12" s="1">
        <v>79.201400000000007</v>
      </c>
      <c r="AB12" s="1">
        <v>95.4328</v>
      </c>
      <c r="AC12" s="1">
        <v>114.4444</v>
      </c>
      <c r="AD12" s="1">
        <v>86.782200000000003</v>
      </c>
      <c r="AE12" s="1"/>
      <c r="AF12" s="1">
        <f t="shared" si="6"/>
        <v>179</v>
      </c>
      <c r="AG12" s="1">
        <f t="shared" si="7"/>
        <v>255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42</v>
      </c>
      <c r="B13" s="1" t="s">
        <v>32</v>
      </c>
      <c r="C13" s="1">
        <v>133</v>
      </c>
      <c r="D13" s="1"/>
      <c r="E13" s="1">
        <v>87</v>
      </c>
      <c r="F13" s="1">
        <v>42</v>
      </c>
      <c r="G13" s="6">
        <v>0.25</v>
      </c>
      <c r="H13" s="1">
        <v>120</v>
      </c>
      <c r="I13" s="1">
        <v>4993</v>
      </c>
      <c r="J13" s="1"/>
      <c r="K13" s="1">
        <v>90</v>
      </c>
      <c r="L13" s="1">
        <f t="shared" si="2"/>
        <v>-3</v>
      </c>
      <c r="M13" s="1"/>
      <c r="N13" s="1"/>
      <c r="O13" s="1">
        <v>75</v>
      </c>
      <c r="P13" s="1">
        <v>75</v>
      </c>
      <c r="Q13" s="1">
        <f t="shared" si="3"/>
        <v>17.399999999999999</v>
      </c>
      <c r="R13" s="5">
        <f t="shared" si="9"/>
        <v>51.599999999999966</v>
      </c>
      <c r="S13" s="5">
        <f>V13</f>
        <v>70</v>
      </c>
      <c r="T13" s="5">
        <f t="shared" si="5"/>
        <v>70</v>
      </c>
      <c r="U13" s="5"/>
      <c r="V13" s="5">
        <v>70</v>
      </c>
      <c r="W13" s="1"/>
      <c r="X13" s="1">
        <f>(F13+O13+P13+S13)/Q13</f>
        <v>15.057471264367818</v>
      </c>
      <c r="Y13" s="1">
        <f t="shared" si="4"/>
        <v>11.03448275862069</v>
      </c>
      <c r="Z13" s="1">
        <v>20.097200000000001</v>
      </c>
      <c r="AA13" s="1">
        <v>15.8</v>
      </c>
      <c r="AB13" s="1">
        <v>13.2</v>
      </c>
      <c r="AC13" s="1">
        <v>23</v>
      </c>
      <c r="AD13" s="1">
        <v>14.2</v>
      </c>
      <c r="AE13" s="1" t="s">
        <v>43</v>
      </c>
      <c r="AF13" s="1">
        <f t="shared" si="6"/>
        <v>17.5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44</v>
      </c>
      <c r="B14" s="1" t="s">
        <v>35</v>
      </c>
      <c r="C14" s="1">
        <v>58.052999999999997</v>
      </c>
      <c r="D14" s="1">
        <v>34.014000000000003</v>
      </c>
      <c r="E14" s="1">
        <v>78.858999999999995</v>
      </c>
      <c r="F14" s="1">
        <v>11.85</v>
      </c>
      <c r="G14" s="6">
        <v>1</v>
      </c>
      <c r="H14" s="1">
        <v>60</v>
      </c>
      <c r="I14" s="1">
        <v>5452</v>
      </c>
      <c r="J14" s="1"/>
      <c r="K14" s="1">
        <v>76.7</v>
      </c>
      <c r="L14" s="1">
        <f t="shared" si="2"/>
        <v>2.1589999999999918</v>
      </c>
      <c r="M14" s="1"/>
      <c r="N14" s="1"/>
      <c r="O14" s="1">
        <v>40</v>
      </c>
      <c r="P14" s="1">
        <v>40</v>
      </c>
      <c r="Q14" s="1">
        <f t="shared" si="3"/>
        <v>15.771799999999999</v>
      </c>
      <c r="R14" s="5">
        <f t="shared" si="9"/>
        <v>128.95519999999999</v>
      </c>
      <c r="S14" s="5">
        <f t="shared" si="8"/>
        <v>129</v>
      </c>
      <c r="T14" s="5">
        <f t="shared" si="5"/>
        <v>53</v>
      </c>
      <c r="U14" s="5">
        <f>ROUND(S14/1.7,0)</f>
        <v>76</v>
      </c>
      <c r="V14" s="5"/>
      <c r="W14" s="1"/>
      <c r="X14" s="1">
        <f>(F14+O14+P14+S14)/Q14</f>
        <v>14.002840512814011</v>
      </c>
      <c r="Y14" s="1">
        <f t="shared" si="4"/>
        <v>5.823685311758962</v>
      </c>
      <c r="Z14" s="1">
        <v>13.082800000000001</v>
      </c>
      <c r="AA14" s="1">
        <v>7.8231999999999999</v>
      </c>
      <c r="AB14" s="1">
        <v>13.077400000000001</v>
      </c>
      <c r="AC14" s="1">
        <v>11.439399999999999</v>
      </c>
      <c r="AD14" s="1">
        <v>10.8256</v>
      </c>
      <c r="AE14" s="1"/>
      <c r="AF14" s="1">
        <f t="shared" si="6"/>
        <v>53</v>
      </c>
      <c r="AG14" s="1">
        <f t="shared" si="7"/>
        <v>76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45</v>
      </c>
      <c r="B15" s="1" t="s">
        <v>32</v>
      </c>
      <c r="C15" s="1">
        <v>504</v>
      </c>
      <c r="D15" s="1"/>
      <c r="E15" s="1">
        <v>70</v>
      </c>
      <c r="F15" s="1">
        <v>432</v>
      </c>
      <c r="G15" s="6">
        <v>0.25</v>
      </c>
      <c r="H15" s="1">
        <v>120</v>
      </c>
      <c r="I15" s="1">
        <v>5483</v>
      </c>
      <c r="J15" s="1"/>
      <c r="K15" s="1">
        <v>74</v>
      </c>
      <c r="L15" s="1">
        <f t="shared" si="2"/>
        <v>-4</v>
      </c>
      <c r="M15" s="1"/>
      <c r="N15" s="1"/>
      <c r="O15" s="1">
        <v>0</v>
      </c>
      <c r="P15" s="1">
        <v>0</v>
      </c>
      <c r="Q15" s="1">
        <f t="shared" si="3"/>
        <v>14</v>
      </c>
      <c r="R15" s="5"/>
      <c r="S15" s="5">
        <f t="shared" si="8"/>
        <v>0</v>
      </c>
      <c r="T15" s="5">
        <f t="shared" si="5"/>
        <v>0</v>
      </c>
      <c r="U15" s="5"/>
      <c r="V15" s="5"/>
      <c r="W15" s="1"/>
      <c r="X15" s="1">
        <f>(F15+O15+P15+S15)/Q15</f>
        <v>30.857142857142858</v>
      </c>
      <c r="Y15" s="1">
        <f t="shared" si="4"/>
        <v>30.857142857142858</v>
      </c>
      <c r="Z15" s="1">
        <v>13.6</v>
      </c>
      <c r="AA15" s="1">
        <v>61</v>
      </c>
      <c r="AB15" s="1">
        <v>10.4</v>
      </c>
      <c r="AC15" s="1">
        <v>34</v>
      </c>
      <c r="AD15" s="1">
        <v>20.2</v>
      </c>
      <c r="AE15" s="16" t="s">
        <v>111</v>
      </c>
      <c r="AF15" s="1">
        <f t="shared" si="6"/>
        <v>0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46</v>
      </c>
      <c r="B16" s="1" t="s">
        <v>32</v>
      </c>
      <c r="C16" s="1">
        <v>146</v>
      </c>
      <c r="D16" s="1">
        <v>548</v>
      </c>
      <c r="E16" s="1">
        <v>418</v>
      </c>
      <c r="F16" s="1">
        <v>262</v>
      </c>
      <c r="G16" s="6">
        <v>0.4</v>
      </c>
      <c r="H16" s="1">
        <v>60</v>
      </c>
      <c r="I16" s="1" t="s">
        <v>142</v>
      </c>
      <c r="J16" s="1"/>
      <c r="K16" s="1">
        <v>439</v>
      </c>
      <c r="L16" s="1">
        <f t="shared" si="2"/>
        <v>-21</v>
      </c>
      <c r="M16" s="1"/>
      <c r="N16" s="1"/>
      <c r="O16" s="1">
        <v>165</v>
      </c>
      <c r="P16" s="1">
        <v>165</v>
      </c>
      <c r="Q16" s="1">
        <f t="shared" si="3"/>
        <v>83.6</v>
      </c>
      <c r="R16" s="5">
        <f t="shared" si="9"/>
        <v>578.39999999999986</v>
      </c>
      <c r="S16" s="5">
        <f t="shared" ref="S16:S18" si="11">V16</f>
        <v>1850</v>
      </c>
      <c r="T16" s="5">
        <f t="shared" si="5"/>
        <v>1850</v>
      </c>
      <c r="U16" s="5"/>
      <c r="V16" s="5">
        <v>1850</v>
      </c>
      <c r="W16" s="1" t="s">
        <v>140</v>
      </c>
      <c r="X16" s="1">
        <f>(F16+O16+P16+S16)/Q16</f>
        <v>29.210526315789476</v>
      </c>
      <c r="Y16" s="1">
        <f t="shared" si="4"/>
        <v>7.0813397129186608</v>
      </c>
      <c r="Z16" s="1">
        <v>90.4</v>
      </c>
      <c r="AA16" s="1">
        <v>68</v>
      </c>
      <c r="AB16" s="1">
        <v>82.4</v>
      </c>
      <c r="AC16" s="1">
        <v>65.400000000000006</v>
      </c>
      <c r="AD16" s="1">
        <v>74.8</v>
      </c>
      <c r="AE16" s="1"/>
      <c r="AF16" s="1">
        <f t="shared" si="6"/>
        <v>740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47</v>
      </c>
      <c r="B17" s="1" t="s">
        <v>35</v>
      </c>
      <c r="C17" s="1">
        <v>177.84899999999999</v>
      </c>
      <c r="D17" s="1">
        <v>471.52699999999999</v>
      </c>
      <c r="E17" s="1">
        <v>302.55900000000003</v>
      </c>
      <c r="F17" s="1">
        <v>331.762</v>
      </c>
      <c r="G17" s="6">
        <v>1</v>
      </c>
      <c r="H17" s="1">
        <v>45</v>
      </c>
      <c r="I17" s="1">
        <v>5544</v>
      </c>
      <c r="J17" s="1"/>
      <c r="K17" s="1">
        <v>308</v>
      </c>
      <c r="L17" s="1">
        <f t="shared" si="2"/>
        <v>-5.4409999999999741</v>
      </c>
      <c r="M17" s="1"/>
      <c r="N17" s="1"/>
      <c r="O17" s="1">
        <v>115</v>
      </c>
      <c r="P17" s="1">
        <v>115</v>
      </c>
      <c r="Q17" s="1">
        <f t="shared" si="3"/>
        <v>60.511800000000008</v>
      </c>
      <c r="R17" s="5">
        <f t="shared" si="9"/>
        <v>285.40320000000014</v>
      </c>
      <c r="S17" s="5">
        <f t="shared" si="11"/>
        <v>300</v>
      </c>
      <c r="T17" s="5">
        <f t="shared" si="5"/>
        <v>124</v>
      </c>
      <c r="U17" s="5">
        <f>ROUND(S17/1.7,0)</f>
        <v>176</v>
      </c>
      <c r="V17" s="5">
        <v>300</v>
      </c>
      <c r="W17" s="1"/>
      <c r="X17" s="1">
        <f>(F17+O17+P17+S17)/Q17</f>
        <v>14.241222373156969</v>
      </c>
      <c r="Y17" s="1">
        <f t="shared" si="4"/>
        <v>9.2835116456624966</v>
      </c>
      <c r="Z17" s="1">
        <v>76.385400000000004</v>
      </c>
      <c r="AA17" s="1">
        <v>56.423400000000001</v>
      </c>
      <c r="AB17" s="1">
        <v>67.234400000000008</v>
      </c>
      <c r="AC17" s="1">
        <v>65.8172</v>
      </c>
      <c r="AD17" s="1">
        <v>70.875</v>
      </c>
      <c r="AE17" s="1"/>
      <c r="AF17" s="1">
        <f t="shared" si="6"/>
        <v>124</v>
      </c>
      <c r="AG17" s="1">
        <f t="shared" si="7"/>
        <v>176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48</v>
      </c>
      <c r="B18" s="1" t="s">
        <v>35</v>
      </c>
      <c r="C18" s="1"/>
      <c r="D18" s="1">
        <v>25.254000000000001</v>
      </c>
      <c r="E18" s="1">
        <v>12.151999999999999</v>
      </c>
      <c r="F18" s="1">
        <v>12.092000000000001</v>
      </c>
      <c r="G18" s="6">
        <v>1</v>
      </c>
      <c r="H18" s="1">
        <v>120</v>
      </c>
      <c r="I18" s="1">
        <v>5708</v>
      </c>
      <c r="J18" s="1"/>
      <c r="K18" s="1">
        <v>21.4</v>
      </c>
      <c r="L18" s="1">
        <f t="shared" si="2"/>
        <v>-9.2479999999999993</v>
      </c>
      <c r="M18" s="1"/>
      <c r="N18" s="1"/>
      <c r="O18" s="1">
        <v>0</v>
      </c>
      <c r="P18" s="1">
        <v>0</v>
      </c>
      <c r="Q18" s="1">
        <f t="shared" si="3"/>
        <v>2.4303999999999997</v>
      </c>
      <c r="R18" s="5">
        <f t="shared" si="9"/>
        <v>21.933599999999998</v>
      </c>
      <c r="S18" s="5">
        <f t="shared" si="11"/>
        <v>30</v>
      </c>
      <c r="T18" s="5">
        <f t="shared" si="5"/>
        <v>30</v>
      </c>
      <c r="U18" s="5"/>
      <c r="V18" s="5">
        <v>30</v>
      </c>
      <c r="W18" s="1"/>
      <c r="X18" s="1">
        <f>(F18+O18+P18+S18)/Q18</f>
        <v>17.31895984200132</v>
      </c>
      <c r="Y18" s="1">
        <f t="shared" si="4"/>
        <v>4.9753127057274531</v>
      </c>
      <c r="Z18" s="1">
        <v>0.68220000000000003</v>
      </c>
      <c r="AA18" s="1">
        <v>2.8746</v>
      </c>
      <c r="AB18" s="1">
        <v>0.99380000000000002</v>
      </c>
      <c r="AC18" s="1">
        <v>3.379</v>
      </c>
      <c r="AD18" s="1">
        <v>9.8799999999999999E-2</v>
      </c>
      <c r="AE18" s="1"/>
      <c r="AF18" s="1">
        <f t="shared" si="6"/>
        <v>30</v>
      </c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49</v>
      </c>
      <c r="B19" s="1" t="s">
        <v>32</v>
      </c>
      <c r="C19" s="1">
        <v>126</v>
      </c>
      <c r="D19" s="1">
        <v>548</v>
      </c>
      <c r="E19" s="1">
        <v>273</v>
      </c>
      <c r="F19" s="1">
        <v>397</v>
      </c>
      <c r="G19" s="6">
        <v>0.4</v>
      </c>
      <c r="H19" s="1">
        <v>45</v>
      </c>
      <c r="I19" s="1">
        <v>5819</v>
      </c>
      <c r="J19" s="1"/>
      <c r="K19" s="1">
        <v>283</v>
      </c>
      <c r="L19" s="1">
        <f t="shared" si="2"/>
        <v>-10</v>
      </c>
      <c r="M19" s="1"/>
      <c r="N19" s="1"/>
      <c r="O19" s="1">
        <v>0</v>
      </c>
      <c r="P19" s="1">
        <v>0</v>
      </c>
      <c r="Q19" s="1">
        <f t="shared" si="3"/>
        <v>54.6</v>
      </c>
      <c r="R19" s="5">
        <f t="shared" si="9"/>
        <v>367.4</v>
      </c>
      <c r="S19" s="5">
        <f t="shared" si="8"/>
        <v>367</v>
      </c>
      <c r="T19" s="5">
        <f t="shared" si="5"/>
        <v>151</v>
      </c>
      <c r="U19" s="5">
        <f>ROUND(S19/1.7,0)</f>
        <v>216</v>
      </c>
      <c r="V19" s="5"/>
      <c r="W19" s="1"/>
      <c r="X19" s="1">
        <f>(F19+O19+P19+S19)/Q19</f>
        <v>13.992673992673993</v>
      </c>
      <c r="Y19" s="1">
        <f t="shared" si="4"/>
        <v>7.271062271062271</v>
      </c>
      <c r="Z19" s="1">
        <v>56.6</v>
      </c>
      <c r="AA19" s="1">
        <v>67.400000000000006</v>
      </c>
      <c r="AB19" s="1">
        <v>44</v>
      </c>
      <c r="AC19" s="1">
        <v>55</v>
      </c>
      <c r="AD19" s="1">
        <v>71.2</v>
      </c>
      <c r="AE19" s="1" t="s">
        <v>43</v>
      </c>
      <c r="AF19" s="1">
        <f t="shared" si="6"/>
        <v>60.400000000000006</v>
      </c>
      <c r="AG19" s="1">
        <f t="shared" si="7"/>
        <v>86.4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50</v>
      </c>
      <c r="B20" s="1" t="s">
        <v>35</v>
      </c>
      <c r="C20" s="1">
        <v>335.24299999999999</v>
      </c>
      <c r="D20" s="1">
        <v>99.942999999999998</v>
      </c>
      <c r="E20" s="1">
        <v>218.68899999999999</v>
      </c>
      <c r="F20" s="1">
        <v>205.11799999999999</v>
      </c>
      <c r="G20" s="6">
        <v>1</v>
      </c>
      <c r="H20" s="1">
        <v>60</v>
      </c>
      <c r="I20" s="1">
        <v>5851</v>
      </c>
      <c r="J20" s="1"/>
      <c r="K20" s="1">
        <v>229.6</v>
      </c>
      <c r="L20" s="1">
        <f t="shared" si="2"/>
        <v>-10.911000000000001</v>
      </c>
      <c r="M20" s="1"/>
      <c r="N20" s="1"/>
      <c r="O20" s="1">
        <v>245</v>
      </c>
      <c r="P20" s="1">
        <v>245</v>
      </c>
      <c r="Q20" s="1">
        <f t="shared" si="3"/>
        <v>43.7378</v>
      </c>
      <c r="R20" s="5"/>
      <c r="S20" s="5">
        <f t="shared" ref="S20:S21" si="12">V20</f>
        <v>60</v>
      </c>
      <c r="T20" s="5">
        <f t="shared" si="5"/>
        <v>60</v>
      </c>
      <c r="U20" s="5"/>
      <c r="V20" s="5">
        <v>60</v>
      </c>
      <c r="W20" s="1"/>
      <c r="X20" s="1">
        <f>(F20+O20+P20+S20)/Q20</f>
        <v>17.264654372190645</v>
      </c>
      <c r="Y20" s="1">
        <f t="shared" si="4"/>
        <v>15.892843261435187</v>
      </c>
      <c r="Z20" s="1">
        <v>68.502600000000001</v>
      </c>
      <c r="AA20" s="1">
        <v>41.588000000000001</v>
      </c>
      <c r="AB20" s="1">
        <v>50.5824</v>
      </c>
      <c r="AC20" s="1">
        <v>56.876399999999997</v>
      </c>
      <c r="AD20" s="1">
        <v>42.729599999999998</v>
      </c>
      <c r="AE20" s="1"/>
      <c r="AF20" s="1">
        <f t="shared" si="6"/>
        <v>60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51</v>
      </c>
      <c r="B21" s="1" t="s">
        <v>32</v>
      </c>
      <c r="C21" s="1">
        <v>119</v>
      </c>
      <c r="D21" s="1">
        <v>49</v>
      </c>
      <c r="E21" s="1">
        <v>174</v>
      </c>
      <c r="F21" s="1">
        <v>-11</v>
      </c>
      <c r="G21" s="6">
        <v>0.22</v>
      </c>
      <c r="H21" s="1">
        <v>120</v>
      </c>
      <c r="I21" s="1">
        <v>5931</v>
      </c>
      <c r="J21" s="1"/>
      <c r="K21" s="1">
        <v>195.6</v>
      </c>
      <c r="L21" s="1">
        <f t="shared" si="2"/>
        <v>-21.599999999999994</v>
      </c>
      <c r="M21" s="1"/>
      <c r="N21" s="1"/>
      <c r="O21" s="1">
        <v>215</v>
      </c>
      <c r="P21" s="1">
        <v>215</v>
      </c>
      <c r="Q21" s="1">
        <f t="shared" si="3"/>
        <v>34.799999999999997</v>
      </c>
      <c r="R21" s="5">
        <f t="shared" si="9"/>
        <v>68.199999999999932</v>
      </c>
      <c r="S21" s="5">
        <f t="shared" si="12"/>
        <v>100</v>
      </c>
      <c r="T21" s="5">
        <f t="shared" si="5"/>
        <v>100</v>
      </c>
      <c r="U21" s="5"/>
      <c r="V21" s="5">
        <v>100</v>
      </c>
      <c r="W21" s="1"/>
      <c r="X21" s="1">
        <f>(F21+O21+P21+S21)/Q21</f>
        <v>14.913793103448278</v>
      </c>
      <c r="Y21" s="1">
        <f t="shared" si="4"/>
        <v>12.040229885057473</v>
      </c>
      <c r="Z21" s="1">
        <v>44</v>
      </c>
      <c r="AA21" s="1">
        <v>26.4</v>
      </c>
      <c r="AB21" s="1">
        <v>17.2</v>
      </c>
      <c r="AC21" s="1">
        <v>28.8</v>
      </c>
      <c r="AD21" s="1">
        <v>17.399999999999999</v>
      </c>
      <c r="AE21" s="1"/>
      <c r="AF21" s="1">
        <f t="shared" si="6"/>
        <v>22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52</v>
      </c>
      <c r="B22" s="1" t="s">
        <v>35</v>
      </c>
      <c r="C22" s="1">
        <v>180.916</v>
      </c>
      <c r="D22" s="1"/>
      <c r="E22" s="1">
        <v>42.24</v>
      </c>
      <c r="F22" s="1">
        <v>137.54400000000001</v>
      </c>
      <c r="G22" s="6">
        <v>1</v>
      </c>
      <c r="H22" s="1"/>
      <c r="I22" s="1"/>
      <c r="J22" s="1"/>
      <c r="K22" s="1">
        <v>41.095999999999997</v>
      </c>
      <c r="L22" s="1">
        <f t="shared" si="2"/>
        <v>1.1440000000000055</v>
      </c>
      <c r="M22" s="1"/>
      <c r="N22" s="1"/>
      <c r="O22" s="1"/>
      <c r="P22" s="1"/>
      <c r="Q22" s="1">
        <f t="shared" si="3"/>
        <v>8.4480000000000004</v>
      </c>
      <c r="R22" s="5"/>
      <c r="S22" s="5">
        <f t="shared" si="8"/>
        <v>0</v>
      </c>
      <c r="T22" s="5">
        <f t="shared" si="5"/>
        <v>0</v>
      </c>
      <c r="U22" s="5"/>
      <c r="V22" s="5"/>
      <c r="W22" s="1"/>
      <c r="X22" s="1">
        <f>(F22+O22+P22+S22)/Q22</f>
        <v>16.28125</v>
      </c>
      <c r="Y22" s="1">
        <f t="shared" si="4"/>
        <v>16.28125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6"/>
        <v>0</v>
      </c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53</v>
      </c>
      <c r="B23" s="1" t="s">
        <v>32</v>
      </c>
      <c r="C23" s="1">
        <v>79</v>
      </c>
      <c r="D23" s="1"/>
      <c r="E23" s="1">
        <v>19</v>
      </c>
      <c r="F23" s="1">
        <v>34</v>
      </c>
      <c r="G23" s="6">
        <v>0.15</v>
      </c>
      <c r="H23" s="1">
        <v>45</v>
      </c>
      <c r="I23" s="1">
        <v>6208</v>
      </c>
      <c r="J23" s="1"/>
      <c r="K23" s="1">
        <v>22</v>
      </c>
      <c r="L23" s="1">
        <f t="shared" si="2"/>
        <v>-3</v>
      </c>
      <c r="M23" s="1"/>
      <c r="N23" s="1"/>
      <c r="O23" s="1">
        <v>0</v>
      </c>
      <c r="P23" s="1">
        <v>0</v>
      </c>
      <c r="Q23" s="1">
        <f t="shared" si="3"/>
        <v>3.8</v>
      </c>
      <c r="R23" s="5">
        <f t="shared" si="9"/>
        <v>19.199999999999996</v>
      </c>
      <c r="S23" s="5">
        <f t="shared" ref="S23:S24" si="13">V23</f>
        <v>40</v>
      </c>
      <c r="T23" s="5">
        <f t="shared" si="5"/>
        <v>40</v>
      </c>
      <c r="U23" s="5"/>
      <c r="V23" s="5">
        <v>40</v>
      </c>
      <c r="W23" s="1"/>
      <c r="X23" s="1">
        <f>(F23+O23+P23+S23)/Q23</f>
        <v>19.473684210526315</v>
      </c>
      <c r="Y23" s="1">
        <f t="shared" si="4"/>
        <v>8.9473684210526319</v>
      </c>
      <c r="Z23" s="1">
        <v>2.2000000000000002</v>
      </c>
      <c r="AA23" s="1">
        <v>1.8</v>
      </c>
      <c r="AB23" s="1">
        <v>9</v>
      </c>
      <c r="AC23" s="1">
        <v>2.8</v>
      </c>
      <c r="AD23" s="1">
        <v>4</v>
      </c>
      <c r="AE23" s="1" t="s">
        <v>54</v>
      </c>
      <c r="AF23" s="1">
        <f t="shared" si="6"/>
        <v>6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55</v>
      </c>
      <c r="B24" s="1" t="s">
        <v>35</v>
      </c>
      <c r="C24" s="1">
        <v>81.227999999999994</v>
      </c>
      <c r="D24" s="1">
        <v>195.773</v>
      </c>
      <c r="E24" s="1">
        <v>266.77800000000002</v>
      </c>
      <c r="F24" s="1">
        <v>7.5229999999999997</v>
      </c>
      <c r="G24" s="6">
        <v>1</v>
      </c>
      <c r="H24" s="1">
        <v>60</v>
      </c>
      <c r="I24" s="1">
        <v>6220</v>
      </c>
      <c r="J24" s="1"/>
      <c r="K24" s="1">
        <v>297.10000000000002</v>
      </c>
      <c r="L24" s="1">
        <f t="shared" si="2"/>
        <v>-30.322000000000003</v>
      </c>
      <c r="M24" s="1"/>
      <c r="N24" s="1"/>
      <c r="O24" s="1">
        <v>325</v>
      </c>
      <c r="P24" s="1">
        <v>325</v>
      </c>
      <c r="Q24" s="1">
        <f t="shared" si="3"/>
        <v>53.355600000000003</v>
      </c>
      <c r="R24" s="5">
        <f t="shared" si="9"/>
        <v>89.455400000000083</v>
      </c>
      <c r="S24" s="5">
        <f t="shared" si="13"/>
        <v>120</v>
      </c>
      <c r="T24" s="5">
        <f t="shared" si="5"/>
        <v>49</v>
      </c>
      <c r="U24" s="5">
        <f t="shared" ref="U24:U25" si="14">ROUND(S24/1.7,0)</f>
        <v>71</v>
      </c>
      <c r="V24" s="5">
        <v>120</v>
      </c>
      <c r="W24" s="1"/>
      <c r="X24" s="1">
        <f>(F24+O24+P24+S24)/Q24</f>
        <v>14.572472242838614</v>
      </c>
      <c r="Y24" s="1">
        <f t="shared" si="4"/>
        <v>12.323411225813222</v>
      </c>
      <c r="Z24" s="1">
        <v>72.2042</v>
      </c>
      <c r="AA24" s="1">
        <v>33.979999999999997</v>
      </c>
      <c r="AB24" s="1">
        <v>58.654400000000003</v>
      </c>
      <c r="AC24" s="1">
        <v>38.292200000000001</v>
      </c>
      <c r="AD24" s="1">
        <v>37.873399999999997</v>
      </c>
      <c r="AE24" s="1" t="s">
        <v>56</v>
      </c>
      <c r="AF24" s="1">
        <f t="shared" si="6"/>
        <v>49</v>
      </c>
      <c r="AG24" s="1">
        <f t="shared" si="7"/>
        <v>71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57</v>
      </c>
      <c r="B25" s="1" t="s">
        <v>32</v>
      </c>
      <c r="C25" s="1">
        <v>565</v>
      </c>
      <c r="D25" s="1">
        <v>6</v>
      </c>
      <c r="E25" s="1">
        <v>415</v>
      </c>
      <c r="F25" s="1">
        <v>136</v>
      </c>
      <c r="G25" s="6">
        <v>0.09</v>
      </c>
      <c r="H25" s="1">
        <v>60</v>
      </c>
      <c r="I25" s="1">
        <v>6221</v>
      </c>
      <c r="J25" s="1"/>
      <c r="K25" s="1">
        <v>445</v>
      </c>
      <c r="L25" s="1">
        <f t="shared" si="2"/>
        <v>-30</v>
      </c>
      <c r="M25" s="1"/>
      <c r="N25" s="1"/>
      <c r="O25" s="1">
        <v>345</v>
      </c>
      <c r="P25" s="1">
        <v>345</v>
      </c>
      <c r="Q25" s="1">
        <f t="shared" si="3"/>
        <v>83</v>
      </c>
      <c r="R25" s="5">
        <f t="shared" si="9"/>
        <v>336</v>
      </c>
      <c r="S25" s="5">
        <f t="shared" si="8"/>
        <v>336</v>
      </c>
      <c r="T25" s="5">
        <f t="shared" si="5"/>
        <v>138</v>
      </c>
      <c r="U25" s="5">
        <f t="shared" si="14"/>
        <v>198</v>
      </c>
      <c r="V25" s="5"/>
      <c r="W25" s="1"/>
      <c r="X25" s="1">
        <f>(F25+O25+P25+S25)/Q25</f>
        <v>14</v>
      </c>
      <c r="Y25" s="1">
        <f t="shared" si="4"/>
        <v>9.9518072289156621</v>
      </c>
      <c r="Z25" s="1">
        <v>88.8</v>
      </c>
      <c r="AA25" s="1">
        <v>72</v>
      </c>
      <c r="AB25" s="1">
        <v>76.599999999999994</v>
      </c>
      <c r="AC25" s="1">
        <v>96</v>
      </c>
      <c r="AD25" s="1">
        <v>71.8</v>
      </c>
      <c r="AE25" s="1"/>
      <c r="AF25" s="1">
        <f t="shared" si="6"/>
        <v>12.42</v>
      </c>
      <c r="AG25" s="1">
        <f t="shared" si="7"/>
        <v>17.82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20" t="s">
        <v>58</v>
      </c>
      <c r="B26" s="1" t="s">
        <v>32</v>
      </c>
      <c r="C26" s="1">
        <v>-2</v>
      </c>
      <c r="D26" s="1">
        <v>40</v>
      </c>
      <c r="E26" s="1">
        <v>50</v>
      </c>
      <c r="F26" s="1">
        <v>-17</v>
      </c>
      <c r="G26" s="6">
        <v>0.09</v>
      </c>
      <c r="H26" s="1">
        <v>45</v>
      </c>
      <c r="I26" s="1">
        <v>6228</v>
      </c>
      <c r="J26" s="1"/>
      <c r="K26" s="1">
        <v>138</v>
      </c>
      <c r="L26" s="1">
        <f t="shared" si="2"/>
        <v>-88</v>
      </c>
      <c r="M26" s="1"/>
      <c r="N26" s="1"/>
      <c r="O26" s="1">
        <v>250</v>
      </c>
      <c r="P26" s="1">
        <v>250</v>
      </c>
      <c r="Q26" s="1">
        <f t="shared" si="3"/>
        <v>10</v>
      </c>
      <c r="R26" s="5"/>
      <c r="S26" s="5">
        <f t="shared" si="8"/>
        <v>0</v>
      </c>
      <c r="T26" s="5">
        <f t="shared" si="5"/>
        <v>0</v>
      </c>
      <c r="U26" s="5"/>
      <c r="V26" s="5"/>
      <c r="W26" s="1"/>
      <c r="X26" s="1">
        <f>(F26+O26+P26+S26)/Q26</f>
        <v>48.3</v>
      </c>
      <c r="Y26" s="1">
        <f t="shared" si="4"/>
        <v>48.3</v>
      </c>
      <c r="Z26" s="1">
        <v>40.799999999999997</v>
      </c>
      <c r="AA26" s="1">
        <v>19</v>
      </c>
      <c r="AB26" s="1">
        <v>14.8</v>
      </c>
      <c r="AC26" s="1">
        <v>20.2</v>
      </c>
      <c r="AD26" s="1">
        <v>13.2</v>
      </c>
      <c r="AE26" s="1" t="s">
        <v>43</v>
      </c>
      <c r="AF26" s="1">
        <f t="shared" si="6"/>
        <v>0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59</v>
      </c>
      <c r="B27" s="1" t="s">
        <v>32</v>
      </c>
      <c r="C27" s="1">
        <v>477</v>
      </c>
      <c r="D27" s="1"/>
      <c r="E27" s="1">
        <v>68</v>
      </c>
      <c r="F27" s="1">
        <v>366</v>
      </c>
      <c r="G27" s="6">
        <v>0.15</v>
      </c>
      <c r="H27" s="1">
        <v>45</v>
      </c>
      <c r="I27" s="1">
        <v>6279</v>
      </c>
      <c r="J27" s="1"/>
      <c r="K27" s="1">
        <v>73</v>
      </c>
      <c r="L27" s="1">
        <f t="shared" si="2"/>
        <v>-5</v>
      </c>
      <c r="M27" s="1"/>
      <c r="N27" s="1"/>
      <c r="O27" s="1">
        <v>0</v>
      </c>
      <c r="P27" s="1">
        <v>0</v>
      </c>
      <c r="Q27" s="1">
        <f t="shared" si="3"/>
        <v>13.6</v>
      </c>
      <c r="R27" s="5"/>
      <c r="S27" s="5">
        <f t="shared" si="8"/>
        <v>0</v>
      </c>
      <c r="T27" s="5">
        <f t="shared" si="5"/>
        <v>0</v>
      </c>
      <c r="U27" s="5"/>
      <c r="V27" s="5"/>
      <c r="W27" s="1"/>
      <c r="X27" s="1">
        <f>(F27+O27+P27+S27)/Q27</f>
        <v>26.911764705882355</v>
      </c>
      <c r="Y27" s="1">
        <f t="shared" si="4"/>
        <v>26.911764705882355</v>
      </c>
      <c r="Z27" s="1">
        <v>29.4</v>
      </c>
      <c r="AA27" s="1">
        <v>16.600000000000001</v>
      </c>
      <c r="AB27" s="1">
        <v>24.6</v>
      </c>
      <c r="AC27" s="1">
        <v>45.6</v>
      </c>
      <c r="AD27" s="1">
        <v>6.2</v>
      </c>
      <c r="AE27" s="17" t="s">
        <v>91</v>
      </c>
      <c r="AF27" s="1">
        <f t="shared" si="6"/>
        <v>0</v>
      </c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60</v>
      </c>
      <c r="B28" s="1" t="s">
        <v>35</v>
      </c>
      <c r="C28" s="1">
        <v>57.847999999999999</v>
      </c>
      <c r="D28" s="1">
        <v>435.57299999999998</v>
      </c>
      <c r="E28" s="1">
        <v>211.33099999999999</v>
      </c>
      <c r="F28" s="1">
        <v>260.35300000000001</v>
      </c>
      <c r="G28" s="6">
        <v>1</v>
      </c>
      <c r="H28" s="1">
        <v>45</v>
      </c>
      <c r="I28" s="1">
        <v>6303</v>
      </c>
      <c r="J28" s="1"/>
      <c r="K28" s="1">
        <v>214.9</v>
      </c>
      <c r="L28" s="1">
        <f t="shared" si="2"/>
        <v>-3.5690000000000168</v>
      </c>
      <c r="M28" s="1"/>
      <c r="N28" s="1"/>
      <c r="O28" s="1">
        <v>170</v>
      </c>
      <c r="P28" s="1">
        <v>170</v>
      </c>
      <c r="Q28" s="1">
        <f t="shared" si="3"/>
        <v>42.266199999999998</v>
      </c>
      <c r="R28" s="5"/>
      <c r="S28" s="5">
        <f>V28</f>
        <v>100</v>
      </c>
      <c r="T28" s="5">
        <f t="shared" si="5"/>
        <v>100</v>
      </c>
      <c r="U28" s="5"/>
      <c r="V28" s="5">
        <v>100</v>
      </c>
      <c r="W28" s="1"/>
      <c r="X28" s="1">
        <f>(F28+O28+P28+S28)/Q28</f>
        <v>16.570048880665876</v>
      </c>
      <c r="Y28" s="1">
        <f t="shared" si="4"/>
        <v>14.204092158746235</v>
      </c>
      <c r="Z28" s="1">
        <v>73.7684</v>
      </c>
      <c r="AA28" s="1">
        <v>25.926400000000001</v>
      </c>
      <c r="AB28" s="1">
        <v>46.323399999999999</v>
      </c>
      <c r="AC28" s="1">
        <v>37.568800000000003</v>
      </c>
      <c r="AD28" s="1">
        <v>53.324800000000003</v>
      </c>
      <c r="AE28" s="1"/>
      <c r="AF28" s="1">
        <f t="shared" si="6"/>
        <v>100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61</v>
      </c>
      <c r="B29" s="1" t="s">
        <v>32</v>
      </c>
      <c r="C29" s="1"/>
      <c r="D29" s="1"/>
      <c r="E29" s="1">
        <v>-2</v>
      </c>
      <c r="F29" s="1"/>
      <c r="G29" s="6">
        <v>0.4</v>
      </c>
      <c r="H29" s="1">
        <v>60</v>
      </c>
      <c r="I29" s="10" t="s">
        <v>62</v>
      </c>
      <c r="J29" s="1"/>
      <c r="K29" s="1">
        <v>437.3</v>
      </c>
      <c r="L29" s="1">
        <f t="shared" si="2"/>
        <v>-439.3</v>
      </c>
      <c r="M29" s="1"/>
      <c r="N29" s="1"/>
      <c r="O29" s="1">
        <v>0</v>
      </c>
      <c r="P29" s="1">
        <v>0</v>
      </c>
      <c r="Q29" s="1">
        <f t="shared" si="3"/>
        <v>-0.4</v>
      </c>
      <c r="R29" s="5">
        <v>80</v>
      </c>
      <c r="S29" s="5">
        <f t="shared" si="8"/>
        <v>80</v>
      </c>
      <c r="T29" s="5">
        <f t="shared" si="5"/>
        <v>80</v>
      </c>
      <c r="U29" s="5"/>
      <c r="V29" s="5"/>
      <c r="W29" s="1"/>
      <c r="X29" s="1">
        <f>(F29+O29+P29+S29)/Q29</f>
        <v>-200</v>
      </c>
      <c r="Y29" s="1">
        <f t="shared" si="4"/>
        <v>0</v>
      </c>
      <c r="Z29" s="1">
        <v>0</v>
      </c>
      <c r="AA29" s="1">
        <v>29</v>
      </c>
      <c r="AB29" s="1">
        <v>2.6</v>
      </c>
      <c r="AC29" s="1">
        <v>0.4</v>
      </c>
      <c r="AD29" s="1">
        <v>0</v>
      </c>
      <c r="AE29" s="1" t="s">
        <v>62</v>
      </c>
      <c r="AF29" s="1">
        <f t="shared" si="6"/>
        <v>32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63</v>
      </c>
      <c r="B30" s="1" t="s">
        <v>32</v>
      </c>
      <c r="C30" s="1">
        <v>8</v>
      </c>
      <c r="D30" s="1">
        <v>37</v>
      </c>
      <c r="E30" s="1">
        <v>35</v>
      </c>
      <c r="F30" s="1">
        <v>5</v>
      </c>
      <c r="G30" s="6">
        <v>0.4</v>
      </c>
      <c r="H30" s="1">
        <v>60</v>
      </c>
      <c r="I30" s="1">
        <v>6325</v>
      </c>
      <c r="J30" s="1"/>
      <c r="K30" s="1">
        <v>68</v>
      </c>
      <c r="L30" s="1">
        <f t="shared" si="2"/>
        <v>-33</v>
      </c>
      <c r="M30" s="1"/>
      <c r="N30" s="1"/>
      <c r="O30" s="1">
        <v>40</v>
      </c>
      <c r="P30" s="1">
        <v>40</v>
      </c>
      <c r="Q30" s="1">
        <f t="shared" si="3"/>
        <v>7</v>
      </c>
      <c r="R30" s="5">
        <f t="shared" si="9"/>
        <v>13</v>
      </c>
      <c r="S30" s="5">
        <f>V30</f>
        <v>50</v>
      </c>
      <c r="T30" s="5">
        <f t="shared" si="5"/>
        <v>50</v>
      </c>
      <c r="U30" s="5"/>
      <c r="V30" s="5">
        <v>50</v>
      </c>
      <c r="W30" s="1"/>
      <c r="X30" s="1">
        <f>(F30+O30+P30+S30)/Q30</f>
        <v>19.285714285714285</v>
      </c>
      <c r="Y30" s="1">
        <f t="shared" si="4"/>
        <v>12.142857142857142</v>
      </c>
      <c r="Z30" s="1">
        <v>9.1999999999999993</v>
      </c>
      <c r="AA30" s="1">
        <v>5.2</v>
      </c>
      <c r="AB30" s="1">
        <v>-0.2</v>
      </c>
      <c r="AC30" s="1">
        <v>6</v>
      </c>
      <c r="AD30" s="1">
        <v>-0.2</v>
      </c>
      <c r="AE30" s="1"/>
      <c r="AF30" s="1">
        <f t="shared" si="6"/>
        <v>20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64</v>
      </c>
      <c r="B31" s="1" t="s">
        <v>32</v>
      </c>
      <c r="C31" s="1">
        <v>150.655</v>
      </c>
      <c r="D31" s="1">
        <v>1221</v>
      </c>
      <c r="E31" s="1">
        <v>673</v>
      </c>
      <c r="F31" s="1">
        <v>661.65499999999997</v>
      </c>
      <c r="G31" s="6">
        <v>0.4</v>
      </c>
      <c r="H31" s="1">
        <v>60</v>
      </c>
      <c r="I31" s="1">
        <v>6333</v>
      </c>
      <c r="J31" s="1"/>
      <c r="K31" s="1">
        <v>709</v>
      </c>
      <c r="L31" s="1">
        <f t="shared" si="2"/>
        <v>-36</v>
      </c>
      <c r="M31" s="1"/>
      <c r="N31" s="1"/>
      <c r="O31" s="1">
        <v>0</v>
      </c>
      <c r="P31" s="1">
        <v>0</v>
      </c>
      <c r="Q31" s="1">
        <f t="shared" si="3"/>
        <v>134.6</v>
      </c>
      <c r="R31" s="5">
        <f t="shared" si="9"/>
        <v>1222.7449999999999</v>
      </c>
      <c r="S31" s="5">
        <f t="shared" si="8"/>
        <v>1223</v>
      </c>
      <c r="T31" s="5">
        <f t="shared" si="5"/>
        <v>504</v>
      </c>
      <c r="U31" s="5">
        <f t="shared" ref="U31:U35" si="15">ROUND(S31/1.7,0)</f>
        <v>719</v>
      </c>
      <c r="V31" s="5"/>
      <c r="W31" s="1"/>
      <c r="X31" s="1">
        <f>(F31+O31+P31+S31)/Q31</f>
        <v>14.001894502228826</v>
      </c>
      <c r="Y31" s="1">
        <f t="shared" si="4"/>
        <v>4.9157132243684991</v>
      </c>
      <c r="Z31" s="1">
        <v>131.6</v>
      </c>
      <c r="AA31" s="1">
        <v>108.6</v>
      </c>
      <c r="AB31" s="1">
        <v>119.2</v>
      </c>
      <c r="AC31" s="1">
        <v>106</v>
      </c>
      <c r="AD31" s="1">
        <v>145</v>
      </c>
      <c r="AE31" s="1" t="s">
        <v>43</v>
      </c>
      <c r="AF31" s="1">
        <f t="shared" si="6"/>
        <v>201.60000000000002</v>
      </c>
      <c r="AG31" s="1">
        <f t="shared" si="7"/>
        <v>287.60000000000002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65</v>
      </c>
      <c r="B32" s="1" t="s">
        <v>32</v>
      </c>
      <c r="C32" s="1">
        <v>269</v>
      </c>
      <c r="D32" s="1">
        <v>10.6</v>
      </c>
      <c r="E32" s="1">
        <v>287</v>
      </c>
      <c r="F32" s="1">
        <v>-18</v>
      </c>
      <c r="G32" s="6">
        <v>0.4</v>
      </c>
      <c r="H32" s="1">
        <v>60</v>
      </c>
      <c r="I32" s="1">
        <v>6353</v>
      </c>
      <c r="J32" s="1"/>
      <c r="K32" s="1">
        <v>463.2</v>
      </c>
      <c r="L32" s="1">
        <f t="shared" si="2"/>
        <v>-176.2</v>
      </c>
      <c r="M32" s="1"/>
      <c r="N32" s="1"/>
      <c r="O32" s="1">
        <v>0</v>
      </c>
      <c r="P32" s="1">
        <v>0</v>
      </c>
      <c r="Q32" s="1">
        <f t="shared" si="3"/>
        <v>57.4</v>
      </c>
      <c r="R32" s="5">
        <f>10*Q32-P32-O32-F32</f>
        <v>592</v>
      </c>
      <c r="S32" s="5">
        <f t="shared" si="8"/>
        <v>592</v>
      </c>
      <c r="T32" s="5">
        <f t="shared" si="5"/>
        <v>244</v>
      </c>
      <c r="U32" s="5">
        <f t="shared" si="15"/>
        <v>348</v>
      </c>
      <c r="V32" s="5"/>
      <c r="W32" s="1"/>
      <c r="X32" s="1">
        <f>(F32+O32+P32+S32)/Q32</f>
        <v>10</v>
      </c>
      <c r="Y32" s="1">
        <f t="shared" si="4"/>
        <v>-0.31358885017421606</v>
      </c>
      <c r="Z32" s="1">
        <v>111</v>
      </c>
      <c r="AA32" s="1">
        <v>112.6</v>
      </c>
      <c r="AB32" s="1">
        <v>84</v>
      </c>
      <c r="AC32" s="1">
        <v>105.4</v>
      </c>
      <c r="AD32" s="1">
        <v>131.80000000000001</v>
      </c>
      <c r="AE32" s="1" t="s">
        <v>43</v>
      </c>
      <c r="AF32" s="1">
        <f t="shared" si="6"/>
        <v>97.600000000000009</v>
      </c>
      <c r="AG32" s="1">
        <f t="shared" si="7"/>
        <v>139.20000000000002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66</v>
      </c>
      <c r="B33" s="1" t="s">
        <v>32</v>
      </c>
      <c r="C33" s="1">
        <v>216</v>
      </c>
      <c r="D33" s="1">
        <v>1626</v>
      </c>
      <c r="E33" s="1">
        <v>669.7</v>
      </c>
      <c r="F33" s="1">
        <v>1125.3</v>
      </c>
      <c r="G33" s="6">
        <v>0.4</v>
      </c>
      <c r="H33" s="1">
        <v>60</v>
      </c>
      <c r="I33" s="1">
        <v>6392</v>
      </c>
      <c r="J33" s="1"/>
      <c r="K33" s="1">
        <v>727.6</v>
      </c>
      <c r="L33" s="1">
        <f t="shared" si="2"/>
        <v>-57.899999999999977</v>
      </c>
      <c r="M33" s="1"/>
      <c r="N33" s="1"/>
      <c r="O33" s="1">
        <v>0</v>
      </c>
      <c r="P33" s="1">
        <v>0</v>
      </c>
      <c r="Q33" s="1">
        <f t="shared" si="3"/>
        <v>133.94</v>
      </c>
      <c r="R33" s="5">
        <f t="shared" si="9"/>
        <v>749.8599999999999</v>
      </c>
      <c r="S33" s="5">
        <f t="shared" si="8"/>
        <v>750</v>
      </c>
      <c r="T33" s="5">
        <f t="shared" si="5"/>
        <v>309</v>
      </c>
      <c r="U33" s="5">
        <f t="shared" si="15"/>
        <v>441</v>
      </c>
      <c r="V33" s="5"/>
      <c r="W33" s="1"/>
      <c r="X33" s="1">
        <f>(F33+O33+P33+S33)/Q33</f>
        <v>14.001045244139167</v>
      </c>
      <c r="Y33" s="1">
        <f t="shared" si="4"/>
        <v>8.4015230700313577</v>
      </c>
      <c r="Z33" s="1">
        <v>162.6</v>
      </c>
      <c r="AA33" s="1">
        <v>195.6</v>
      </c>
      <c r="AB33" s="1">
        <v>155.80000000000001</v>
      </c>
      <c r="AC33" s="1">
        <v>136.4</v>
      </c>
      <c r="AD33" s="1">
        <v>189.4</v>
      </c>
      <c r="AE33" s="1" t="s">
        <v>43</v>
      </c>
      <c r="AF33" s="1">
        <f t="shared" si="6"/>
        <v>123.60000000000001</v>
      </c>
      <c r="AG33" s="1">
        <f t="shared" si="7"/>
        <v>176.4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67</v>
      </c>
      <c r="B34" s="1" t="s">
        <v>32</v>
      </c>
      <c r="C34" s="1">
        <v>702</v>
      </c>
      <c r="D34" s="1">
        <v>56</v>
      </c>
      <c r="E34" s="1">
        <v>300</v>
      </c>
      <c r="F34" s="1">
        <v>448</v>
      </c>
      <c r="G34" s="6">
        <v>0.1</v>
      </c>
      <c r="H34" s="1">
        <v>60</v>
      </c>
      <c r="I34" s="1">
        <v>6453</v>
      </c>
      <c r="J34" s="1"/>
      <c r="K34" s="1">
        <v>317</v>
      </c>
      <c r="L34" s="1">
        <f t="shared" si="2"/>
        <v>-17</v>
      </c>
      <c r="M34" s="1"/>
      <c r="N34" s="1"/>
      <c r="O34" s="1">
        <v>120</v>
      </c>
      <c r="P34" s="1">
        <v>120</v>
      </c>
      <c r="Q34" s="1">
        <f t="shared" si="3"/>
        <v>60</v>
      </c>
      <c r="R34" s="5">
        <f t="shared" si="9"/>
        <v>152</v>
      </c>
      <c r="S34" s="5">
        <f t="shared" si="8"/>
        <v>152</v>
      </c>
      <c r="T34" s="5">
        <f t="shared" si="5"/>
        <v>63</v>
      </c>
      <c r="U34" s="5">
        <f t="shared" si="15"/>
        <v>89</v>
      </c>
      <c r="V34" s="5"/>
      <c r="W34" s="1"/>
      <c r="X34" s="1">
        <f>(F34+O34+P34+S34)/Q34</f>
        <v>14</v>
      </c>
      <c r="Y34" s="1">
        <f t="shared" si="4"/>
        <v>11.466666666666667</v>
      </c>
      <c r="Z34" s="1">
        <v>72.400000000000006</v>
      </c>
      <c r="AA34" s="1">
        <v>65.2</v>
      </c>
      <c r="AB34" s="1">
        <v>59</v>
      </c>
      <c r="AC34" s="1">
        <v>96.6</v>
      </c>
      <c r="AD34" s="1">
        <v>47.6</v>
      </c>
      <c r="AE34" s="1" t="s">
        <v>43</v>
      </c>
      <c r="AF34" s="1">
        <f t="shared" si="6"/>
        <v>6.3000000000000007</v>
      </c>
      <c r="AG34" s="1">
        <f t="shared" si="7"/>
        <v>8.9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68</v>
      </c>
      <c r="B35" s="1" t="s">
        <v>32</v>
      </c>
      <c r="C35" s="1">
        <v>35</v>
      </c>
      <c r="D35" s="1">
        <v>407</v>
      </c>
      <c r="E35" s="1">
        <v>206</v>
      </c>
      <c r="F35" s="1">
        <v>225</v>
      </c>
      <c r="G35" s="6">
        <v>0.1</v>
      </c>
      <c r="H35" s="1">
        <v>60</v>
      </c>
      <c r="I35" s="1">
        <v>6454</v>
      </c>
      <c r="J35" s="1"/>
      <c r="K35" s="1">
        <v>217</v>
      </c>
      <c r="L35" s="1">
        <f t="shared" si="2"/>
        <v>-11</v>
      </c>
      <c r="M35" s="1"/>
      <c r="N35" s="1"/>
      <c r="O35" s="1">
        <v>0</v>
      </c>
      <c r="P35" s="1">
        <v>0</v>
      </c>
      <c r="Q35" s="1">
        <f t="shared" si="3"/>
        <v>41.2</v>
      </c>
      <c r="R35" s="5">
        <f t="shared" si="9"/>
        <v>351.80000000000007</v>
      </c>
      <c r="S35" s="5">
        <f t="shared" si="8"/>
        <v>352</v>
      </c>
      <c r="T35" s="5">
        <f t="shared" si="5"/>
        <v>145</v>
      </c>
      <c r="U35" s="5">
        <f t="shared" si="15"/>
        <v>207</v>
      </c>
      <c r="V35" s="5"/>
      <c r="W35" s="1"/>
      <c r="X35" s="1">
        <f>(F35+O35+P35+S35)/Q35</f>
        <v>14.004854368932039</v>
      </c>
      <c r="Y35" s="1">
        <f t="shared" si="4"/>
        <v>5.4611650485436893</v>
      </c>
      <c r="Z35" s="1">
        <v>44</v>
      </c>
      <c r="AA35" s="1">
        <v>32.799999999999997</v>
      </c>
      <c r="AB35" s="1">
        <v>42.6</v>
      </c>
      <c r="AC35" s="1">
        <v>28</v>
      </c>
      <c r="AD35" s="1">
        <v>48.2</v>
      </c>
      <c r="AE35" s="1" t="s">
        <v>43</v>
      </c>
      <c r="AF35" s="1">
        <f t="shared" si="6"/>
        <v>14.5</v>
      </c>
      <c r="AG35" s="1">
        <f t="shared" si="7"/>
        <v>20.700000000000003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69</v>
      </c>
      <c r="B36" s="1" t="s">
        <v>32</v>
      </c>
      <c r="C36" s="1">
        <v>88</v>
      </c>
      <c r="D36" s="1">
        <v>62</v>
      </c>
      <c r="E36" s="1">
        <v>106</v>
      </c>
      <c r="F36" s="1">
        <v>41</v>
      </c>
      <c r="G36" s="6">
        <v>0.1</v>
      </c>
      <c r="H36" s="1">
        <v>45</v>
      </c>
      <c r="I36" s="1">
        <v>6459</v>
      </c>
      <c r="J36" s="1"/>
      <c r="K36" s="1">
        <v>112</v>
      </c>
      <c r="L36" s="1">
        <f t="shared" si="2"/>
        <v>-6</v>
      </c>
      <c r="M36" s="1"/>
      <c r="N36" s="1"/>
      <c r="O36" s="1">
        <v>80</v>
      </c>
      <c r="P36" s="1">
        <v>80</v>
      </c>
      <c r="Q36" s="1">
        <f t="shared" si="3"/>
        <v>21.2</v>
      </c>
      <c r="R36" s="5">
        <f t="shared" si="9"/>
        <v>95.800000000000011</v>
      </c>
      <c r="S36" s="5">
        <f t="shared" si="8"/>
        <v>96</v>
      </c>
      <c r="T36" s="5">
        <f t="shared" si="5"/>
        <v>96</v>
      </c>
      <c r="U36" s="5"/>
      <c r="V36" s="5"/>
      <c r="W36" s="1"/>
      <c r="X36" s="1">
        <f>(F36+O36+P36+S36)/Q36</f>
        <v>14.009433962264151</v>
      </c>
      <c r="Y36" s="1">
        <f t="shared" si="4"/>
        <v>9.4811320754716988</v>
      </c>
      <c r="Z36" s="1">
        <v>25.2</v>
      </c>
      <c r="AA36" s="1">
        <v>13.4</v>
      </c>
      <c r="AB36" s="1">
        <v>5</v>
      </c>
      <c r="AC36" s="1">
        <v>20.6</v>
      </c>
      <c r="AD36" s="1">
        <v>13.2</v>
      </c>
      <c r="AE36" s="1"/>
      <c r="AF36" s="1">
        <f t="shared" si="6"/>
        <v>9.6000000000000014</v>
      </c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70</v>
      </c>
      <c r="B37" s="1" t="s">
        <v>35</v>
      </c>
      <c r="C37" s="1">
        <v>67.385000000000005</v>
      </c>
      <c r="D37" s="1">
        <v>1.2150000000000001</v>
      </c>
      <c r="E37" s="1">
        <v>12.12</v>
      </c>
      <c r="F37" s="1">
        <v>55.265000000000001</v>
      </c>
      <c r="G37" s="6">
        <v>1</v>
      </c>
      <c r="H37" s="1"/>
      <c r="I37" s="1"/>
      <c r="J37" s="1"/>
      <c r="K37" s="1">
        <v>16.399999999999999</v>
      </c>
      <c r="L37" s="1">
        <f t="shared" si="2"/>
        <v>-4.2799999999999994</v>
      </c>
      <c r="M37" s="1"/>
      <c r="N37" s="1"/>
      <c r="O37" s="1"/>
      <c r="P37" s="1"/>
      <c r="Q37" s="1">
        <f t="shared" si="3"/>
        <v>2.4239999999999999</v>
      </c>
      <c r="R37" s="5"/>
      <c r="S37" s="5">
        <f t="shared" si="8"/>
        <v>0</v>
      </c>
      <c r="T37" s="5">
        <f t="shared" si="5"/>
        <v>0</v>
      </c>
      <c r="U37" s="5"/>
      <c r="V37" s="5"/>
      <c r="W37" s="1"/>
      <c r="X37" s="1">
        <f>(F37+O37+P37+S37)/Q37</f>
        <v>22.799092409240924</v>
      </c>
      <c r="Y37" s="1">
        <f t="shared" si="4"/>
        <v>22.799092409240924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6" t="s">
        <v>111</v>
      </c>
      <c r="AF37" s="1">
        <f t="shared" si="6"/>
        <v>0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71</v>
      </c>
      <c r="B38" s="1" t="s">
        <v>32</v>
      </c>
      <c r="C38" s="1">
        <v>1</v>
      </c>
      <c r="D38" s="1">
        <v>62</v>
      </c>
      <c r="E38" s="1">
        <v>53</v>
      </c>
      <c r="F38" s="1">
        <v>6</v>
      </c>
      <c r="G38" s="6">
        <v>0.4</v>
      </c>
      <c r="H38" s="1"/>
      <c r="I38" s="1">
        <v>6475</v>
      </c>
      <c r="J38" s="1"/>
      <c r="K38" s="1">
        <v>72</v>
      </c>
      <c r="L38" s="1">
        <f t="shared" ref="L38:L69" si="16">E38-K38</f>
        <v>-19</v>
      </c>
      <c r="M38" s="1"/>
      <c r="N38" s="1"/>
      <c r="O38" s="1">
        <v>0</v>
      </c>
      <c r="P38" s="1">
        <v>0</v>
      </c>
      <c r="Q38" s="1">
        <f t="shared" ref="Q38:Q69" si="17">E38/5</f>
        <v>10.6</v>
      </c>
      <c r="R38" s="5">
        <f>10*Q38-P38-O38-F38</f>
        <v>100</v>
      </c>
      <c r="S38" s="5">
        <f t="shared" si="8"/>
        <v>100</v>
      </c>
      <c r="T38" s="5">
        <f t="shared" si="5"/>
        <v>100</v>
      </c>
      <c r="U38" s="5"/>
      <c r="V38" s="5"/>
      <c r="W38" s="1"/>
      <c r="X38" s="1">
        <f>(F38+O38+P38+S38)/Q38</f>
        <v>10</v>
      </c>
      <c r="Y38" s="1">
        <f t="shared" ref="Y38:Y69" si="18">(F38+O38+P38)/Q38</f>
        <v>0.56603773584905659</v>
      </c>
      <c r="Z38" s="1">
        <v>3</v>
      </c>
      <c r="AA38" s="1">
        <v>7.4</v>
      </c>
      <c r="AB38" s="1">
        <v>1.6</v>
      </c>
      <c r="AC38" s="1">
        <v>0</v>
      </c>
      <c r="AD38" s="1">
        <v>1.2</v>
      </c>
      <c r="AE38" s="1" t="s">
        <v>43</v>
      </c>
      <c r="AF38" s="1">
        <f t="shared" si="6"/>
        <v>40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72</v>
      </c>
      <c r="B39" s="1" t="s">
        <v>32</v>
      </c>
      <c r="C39" s="1">
        <v>125</v>
      </c>
      <c r="D39" s="1">
        <v>137</v>
      </c>
      <c r="E39" s="1">
        <v>146</v>
      </c>
      <c r="F39" s="1">
        <v>46</v>
      </c>
      <c r="G39" s="6">
        <v>0.3</v>
      </c>
      <c r="H39" s="1" t="e">
        <v>#N/A</v>
      </c>
      <c r="I39" s="1">
        <v>6495</v>
      </c>
      <c r="J39" s="1"/>
      <c r="K39" s="1">
        <v>282</v>
      </c>
      <c r="L39" s="1">
        <f t="shared" si="16"/>
        <v>-136</v>
      </c>
      <c r="M39" s="1"/>
      <c r="N39" s="1"/>
      <c r="O39" s="1">
        <v>210</v>
      </c>
      <c r="P39" s="1">
        <v>210</v>
      </c>
      <c r="Q39" s="1">
        <f t="shared" si="17"/>
        <v>29.2</v>
      </c>
      <c r="R39" s="5"/>
      <c r="S39" s="5">
        <f t="shared" si="8"/>
        <v>0</v>
      </c>
      <c r="T39" s="5">
        <f t="shared" si="5"/>
        <v>0</v>
      </c>
      <c r="U39" s="5"/>
      <c r="V39" s="5"/>
      <c r="W39" s="1"/>
      <c r="X39" s="1">
        <f>(F39+O39+P39+S39)/Q39</f>
        <v>15.958904109589042</v>
      </c>
      <c r="Y39" s="1">
        <f t="shared" si="18"/>
        <v>15.958904109589042</v>
      </c>
      <c r="Z39" s="1">
        <v>42</v>
      </c>
      <c r="AA39" s="1">
        <v>0</v>
      </c>
      <c r="AB39" s="1">
        <v>0</v>
      </c>
      <c r="AC39" s="1">
        <v>0</v>
      </c>
      <c r="AD39" s="1">
        <v>18.399999999999999</v>
      </c>
      <c r="AE39" s="1"/>
      <c r="AF39" s="1">
        <f t="shared" si="6"/>
        <v>0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73</v>
      </c>
      <c r="B40" s="1" t="s">
        <v>35</v>
      </c>
      <c r="C40" s="1">
        <v>13.028</v>
      </c>
      <c r="D40" s="1">
        <v>145.73599999999999</v>
      </c>
      <c r="E40" s="1">
        <v>108.886</v>
      </c>
      <c r="F40" s="1">
        <v>48.585999999999999</v>
      </c>
      <c r="G40" s="6">
        <v>1</v>
      </c>
      <c r="H40" s="1">
        <v>60</v>
      </c>
      <c r="I40" s="1">
        <v>6498</v>
      </c>
      <c r="J40" s="1"/>
      <c r="K40" s="1">
        <v>109.8</v>
      </c>
      <c r="L40" s="1">
        <f t="shared" si="16"/>
        <v>-0.91400000000000148</v>
      </c>
      <c r="M40" s="1"/>
      <c r="N40" s="1"/>
      <c r="O40" s="1">
        <v>50</v>
      </c>
      <c r="P40" s="1">
        <v>50</v>
      </c>
      <c r="Q40" s="1">
        <f t="shared" si="17"/>
        <v>21.777200000000001</v>
      </c>
      <c r="R40" s="5">
        <f t="shared" si="9"/>
        <v>156.29480000000001</v>
      </c>
      <c r="S40" s="5">
        <f t="shared" si="8"/>
        <v>156</v>
      </c>
      <c r="T40" s="5">
        <f t="shared" si="5"/>
        <v>64</v>
      </c>
      <c r="U40" s="5">
        <f>ROUND(S40/1.7,0)</f>
        <v>92</v>
      </c>
      <c r="V40" s="5"/>
      <c r="W40" s="1"/>
      <c r="X40" s="1">
        <f>(F40+O40+P40+S40)/Q40</f>
        <v>13.986462906158735</v>
      </c>
      <c r="Y40" s="1">
        <f t="shared" si="18"/>
        <v>6.8230075491798763</v>
      </c>
      <c r="Z40" s="1">
        <v>22.845600000000001</v>
      </c>
      <c r="AA40" s="1">
        <v>21.195799999999998</v>
      </c>
      <c r="AB40" s="1">
        <v>26.767199999999999</v>
      </c>
      <c r="AC40" s="1">
        <v>22.452999999999999</v>
      </c>
      <c r="AD40" s="1">
        <v>14.877000000000001</v>
      </c>
      <c r="AE40" s="1"/>
      <c r="AF40" s="1">
        <f t="shared" si="6"/>
        <v>64</v>
      </c>
      <c r="AG40" s="1">
        <f t="shared" si="7"/>
        <v>92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74</v>
      </c>
      <c r="B41" s="1" t="s">
        <v>35</v>
      </c>
      <c r="C41" s="1">
        <v>96.86</v>
      </c>
      <c r="D41" s="1">
        <v>19.73</v>
      </c>
      <c r="E41" s="1">
        <v>56.223999999999997</v>
      </c>
      <c r="F41" s="1">
        <v>54.921999999999997</v>
      </c>
      <c r="G41" s="6">
        <v>1</v>
      </c>
      <c r="H41" s="1">
        <v>45</v>
      </c>
      <c r="I41" s="1">
        <v>6527</v>
      </c>
      <c r="J41" s="1"/>
      <c r="K41" s="1">
        <v>63.850999999999999</v>
      </c>
      <c r="L41" s="1">
        <f t="shared" si="16"/>
        <v>-7.6270000000000024</v>
      </c>
      <c r="M41" s="1"/>
      <c r="N41" s="1"/>
      <c r="O41" s="1">
        <v>40</v>
      </c>
      <c r="P41" s="1">
        <v>40</v>
      </c>
      <c r="Q41" s="1">
        <f t="shared" si="17"/>
        <v>11.2448</v>
      </c>
      <c r="R41" s="5">
        <f t="shared" si="9"/>
        <v>22.505200000000002</v>
      </c>
      <c r="S41" s="5">
        <f>V41</f>
        <v>50</v>
      </c>
      <c r="T41" s="5">
        <f t="shared" si="5"/>
        <v>50</v>
      </c>
      <c r="U41" s="5"/>
      <c r="V41" s="5">
        <v>50</v>
      </c>
      <c r="W41" s="1"/>
      <c r="X41" s="1">
        <f>(F41+O41+P41+S41)/Q41</f>
        <v>16.445112407512806</v>
      </c>
      <c r="Y41" s="1">
        <f t="shared" si="18"/>
        <v>11.998612692088788</v>
      </c>
      <c r="Z41" s="1">
        <v>14.4396</v>
      </c>
      <c r="AA41" s="1">
        <v>14.8492</v>
      </c>
      <c r="AB41" s="1">
        <v>17.9648</v>
      </c>
      <c r="AC41" s="1">
        <v>14.7774</v>
      </c>
      <c r="AD41" s="1">
        <v>12.758800000000001</v>
      </c>
      <c r="AE41" s="1"/>
      <c r="AF41" s="1">
        <f t="shared" si="6"/>
        <v>50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75</v>
      </c>
      <c r="B42" s="1" t="s">
        <v>35</v>
      </c>
      <c r="C42" s="1">
        <v>71.736000000000004</v>
      </c>
      <c r="D42" s="1">
        <v>128.53800000000001</v>
      </c>
      <c r="E42" s="1">
        <v>110.87</v>
      </c>
      <c r="F42" s="1">
        <v>81.738</v>
      </c>
      <c r="G42" s="6">
        <v>1</v>
      </c>
      <c r="H42" s="1">
        <v>45</v>
      </c>
      <c r="I42" s="1">
        <v>6550</v>
      </c>
      <c r="J42" s="1"/>
      <c r="K42" s="1">
        <v>116.22</v>
      </c>
      <c r="L42" s="1">
        <f t="shared" si="16"/>
        <v>-5.3499999999999943</v>
      </c>
      <c r="M42" s="1"/>
      <c r="N42" s="1"/>
      <c r="O42" s="1">
        <v>50</v>
      </c>
      <c r="P42" s="1">
        <v>50</v>
      </c>
      <c r="Q42" s="1">
        <f t="shared" si="17"/>
        <v>22.173999999999999</v>
      </c>
      <c r="R42" s="5">
        <f t="shared" si="9"/>
        <v>128.69799999999998</v>
      </c>
      <c r="S42" s="5">
        <f t="shared" si="8"/>
        <v>129</v>
      </c>
      <c r="T42" s="5">
        <f t="shared" si="5"/>
        <v>53</v>
      </c>
      <c r="U42" s="5">
        <f t="shared" ref="U42:U43" si="19">ROUND(S42/1.7,0)</f>
        <v>76</v>
      </c>
      <c r="V42" s="5"/>
      <c r="W42" s="1"/>
      <c r="X42" s="1">
        <f>(F42+O42+P42+S42)/Q42</f>
        <v>14.01361955443312</v>
      </c>
      <c r="Y42" s="1">
        <f t="shared" si="18"/>
        <v>8.1959953098223153</v>
      </c>
      <c r="Z42" s="1">
        <v>24.6816</v>
      </c>
      <c r="AA42" s="1">
        <v>17.996200000000002</v>
      </c>
      <c r="AB42" s="1">
        <v>17.272200000000002</v>
      </c>
      <c r="AC42" s="1">
        <v>10.6646</v>
      </c>
      <c r="AD42" s="1">
        <v>20.632000000000001</v>
      </c>
      <c r="AE42" s="1"/>
      <c r="AF42" s="1">
        <f t="shared" si="6"/>
        <v>53</v>
      </c>
      <c r="AG42" s="1">
        <f t="shared" si="7"/>
        <v>76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76</v>
      </c>
      <c r="B43" s="1" t="s">
        <v>35</v>
      </c>
      <c r="C43" s="1">
        <v>123.446</v>
      </c>
      <c r="D43" s="1">
        <v>175.333</v>
      </c>
      <c r="E43" s="1">
        <v>192.547</v>
      </c>
      <c r="F43" s="1">
        <v>96.152000000000001</v>
      </c>
      <c r="G43" s="6">
        <v>1</v>
      </c>
      <c r="H43" s="1">
        <v>45</v>
      </c>
      <c r="I43" s="1">
        <v>6608</v>
      </c>
      <c r="J43" s="1"/>
      <c r="K43" s="1">
        <v>198.1</v>
      </c>
      <c r="L43" s="1">
        <f t="shared" si="16"/>
        <v>-5.5529999999999973</v>
      </c>
      <c r="M43" s="1"/>
      <c r="N43" s="1"/>
      <c r="O43" s="1">
        <v>110</v>
      </c>
      <c r="P43" s="1">
        <v>110</v>
      </c>
      <c r="Q43" s="1">
        <f t="shared" si="17"/>
        <v>38.509399999999999</v>
      </c>
      <c r="R43" s="5">
        <f t="shared" si="9"/>
        <v>222.97959999999995</v>
      </c>
      <c r="S43" s="5">
        <f t="shared" si="8"/>
        <v>223</v>
      </c>
      <c r="T43" s="5">
        <f t="shared" si="5"/>
        <v>92</v>
      </c>
      <c r="U43" s="5">
        <f t="shared" si="19"/>
        <v>131</v>
      </c>
      <c r="V43" s="5"/>
      <c r="W43" s="1"/>
      <c r="X43" s="1">
        <f>(F43+O43+P43+S43)/Q43</f>
        <v>14.000529740790562</v>
      </c>
      <c r="Y43" s="1">
        <f t="shared" si="18"/>
        <v>8.2097358047645503</v>
      </c>
      <c r="Z43" s="1">
        <v>42.509799999999998</v>
      </c>
      <c r="AA43" s="1">
        <v>27.579799999999999</v>
      </c>
      <c r="AB43" s="1">
        <v>40.957799999999999</v>
      </c>
      <c r="AC43" s="1">
        <v>29.583200000000001</v>
      </c>
      <c r="AD43" s="1">
        <v>33.079799999999999</v>
      </c>
      <c r="AE43" s="1"/>
      <c r="AF43" s="1">
        <f t="shared" si="6"/>
        <v>92</v>
      </c>
      <c r="AG43" s="1">
        <f t="shared" si="7"/>
        <v>131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77</v>
      </c>
      <c r="B44" s="1" t="s">
        <v>32</v>
      </c>
      <c r="C44" s="1">
        <v>1046</v>
      </c>
      <c r="D44" s="1">
        <v>2030</v>
      </c>
      <c r="E44" s="1">
        <v>2363</v>
      </c>
      <c r="F44" s="1">
        <v>672</v>
      </c>
      <c r="G44" s="6">
        <v>0.3</v>
      </c>
      <c r="H44" s="1">
        <v>45</v>
      </c>
      <c r="I44" s="1">
        <v>6616</v>
      </c>
      <c r="J44" s="1"/>
      <c r="K44" s="1">
        <v>2401</v>
      </c>
      <c r="L44" s="1">
        <f t="shared" si="16"/>
        <v>-38</v>
      </c>
      <c r="M44" s="1"/>
      <c r="N44" s="1"/>
      <c r="O44" s="1">
        <v>850</v>
      </c>
      <c r="P44" s="1">
        <v>850</v>
      </c>
      <c r="Q44" s="1">
        <f t="shared" si="17"/>
        <v>472.6</v>
      </c>
      <c r="R44" s="18">
        <v>0</v>
      </c>
      <c r="S44" s="5">
        <f t="shared" si="8"/>
        <v>0</v>
      </c>
      <c r="T44" s="5">
        <f t="shared" si="5"/>
        <v>0</v>
      </c>
      <c r="U44" s="5"/>
      <c r="V44" s="5"/>
      <c r="W44" s="1"/>
      <c r="X44" s="1">
        <f>(F44+O44+P44+S44)/Q44</f>
        <v>5.0190435886584845</v>
      </c>
      <c r="Y44" s="1">
        <f t="shared" si="18"/>
        <v>5.0190435886584845</v>
      </c>
      <c r="Z44" s="1">
        <v>1125</v>
      </c>
      <c r="AA44" s="19">
        <v>88.8</v>
      </c>
      <c r="AB44" s="19">
        <v>92.2</v>
      </c>
      <c r="AC44" s="19">
        <v>90.2</v>
      </c>
      <c r="AD44" s="19">
        <v>75.2</v>
      </c>
      <c r="AE44" s="1"/>
      <c r="AF44" s="1">
        <f t="shared" si="6"/>
        <v>0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78</v>
      </c>
      <c r="B45" s="1" t="s">
        <v>35</v>
      </c>
      <c r="C45" s="1">
        <v>9.2929999999999993</v>
      </c>
      <c r="D45" s="1">
        <v>12.371</v>
      </c>
      <c r="E45" s="1">
        <v>10.823</v>
      </c>
      <c r="F45" s="1">
        <v>10.840999999999999</v>
      </c>
      <c r="G45" s="6">
        <v>1</v>
      </c>
      <c r="H45" s="1">
        <v>45</v>
      </c>
      <c r="I45" s="1">
        <v>6661</v>
      </c>
      <c r="J45" s="1"/>
      <c r="K45" s="1">
        <v>10.6</v>
      </c>
      <c r="L45" s="1">
        <f t="shared" si="16"/>
        <v>0.22300000000000075</v>
      </c>
      <c r="M45" s="1"/>
      <c r="N45" s="1"/>
      <c r="O45" s="1">
        <v>0</v>
      </c>
      <c r="P45" s="1">
        <v>0</v>
      </c>
      <c r="Q45" s="1">
        <f t="shared" si="17"/>
        <v>2.1646000000000001</v>
      </c>
      <c r="R45" s="5">
        <f t="shared" si="9"/>
        <v>19.4634</v>
      </c>
      <c r="S45" s="5">
        <f t="shared" si="8"/>
        <v>19</v>
      </c>
      <c r="T45" s="5">
        <f t="shared" si="5"/>
        <v>19</v>
      </c>
      <c r="U45" s="5"/>
      <c r="V45" s="5"/>
      <c r="W45" s="1"/>
      <c r="X45" s="1">
        <f>(F45+O45+P45+S45)/Q45</f>
        <v>13.785918876466784</v>
      </c>
      <c r="Y45" s="1">
        <f t="shared" si="18"/>
        <v>5.0083156241337887</v>
      </c>
      <c r="Z45" s="1">
        <v>2.6646000000000001</v>
      </c>
      <c r="AA45" s="1">
        <v>1.2427999999999999</v>
      </c>
      <c r="AB45" s="1">
        <v>1.234</v>
      </c>
      <c r="AC45" s="1">
        <v>3.0461999999999998</v>
      </c>
      <c r="AD45" s="1">
        <v>2.7833999999999999</v>
      </c>
      <c r="AE45" s="1"/>
      <c r="AF45" s="1">
        <f t="shared" si="6"/>
        <v>19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79</v>
      </c>
      <c r="B46" s="1" t="s">
        <v>32</v>
      </c>
      <c r="C46" s="1">
        <v>1165</v>
      </c>
      <c r="D46" s="1">
        <v>563</v>
      </c>
      <c r="E46" s="1">
        <v>1079</v>
      </c>
      <c r="F46" s="1">
        <v>509</v>
      </c>
      <c r="G46" s="6">
        <v>0.35</v>
      </c>
      <c r="H46" s="1">
        <v>45</v>
      </c>
      <c r="I46" s="1">
        <v>6697</v>
      </c>
      <c r="J46" s="1"/>
      <c r="K46" s="1">
        <v>1225</v>
      </c>
      <c r="L46" s="1">
        <f t="shared" si="16"/>
        <v>-146</v>
      </c>
      <c r="M46" s="1"/>
      <c r="N46" s="1"/>
      <c r="O46" s="1">
        <v>900</v>
      </c>
      <c r="P46" s="1">
        <v>900</v>
      </c>
      <c r="Q46" s="1">
        <f t="shared" si="17"/>
        <v>215.8</v>
      </c>
      <c r="R46" s="5">
        <f t="shared" si="9"/>
        <v>712.20000000000027</v>
      </c>
      <c r="S46" s="5">
        <f t="shared" si="8"/>
        <v>712</v>
      </c>
      <c r="T46" s="5">
        <f t="shared" si="5"/>
        <v>293</v>
      </c>
      <c r="U46" s="5">
        <f t="shared" ref="U46:U47" si="20">ROUND(S46/1.7,0)</f>
        <v>419</v>
      </c>
      <c r="V46" s="5"/>
      <c r="W46" s="1"/>
      <c r="X46" s="1">
        <f>(F46+O46+P46+S46)/Q46</f>
        <v>13.999073215940685</v>
      </c>
      <c r="Y46" s="1">
        <f t="shared" si="18"/>
        <v>10.699721964782205</v>
      </c>
      <c r="Z46" s="1">
        <v>254.4</v>
      </c>
      <c r="AA46" s="1">
        <v>225.4</v>
      </c>
      <c r="AB46" s="1">
        <v>174.6</v>
      </c>
      <c r="AC46" s="1">
        <v>242.8</v>
      </c>
      <c r="AD46" s="1">
        <v>195.2</v>
      </c>
      <c r="AE46" s="1" t="s">
        <v>33</v>
      </c>
      <c r="AF46" s="1">
        <f t="shared" si="6"/>
        <v>102.55</v>
      </c>
      <c r="AG46" s="1">
        <f t="shared" si="7"/>
        <v>146.64999999999998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80</v>
      </c>
      <c r="B47" s="1" t="s">
        <v>32</v>
      </c>
      <c r="C47" s="1">
        <v>40</v>
      </c>
      <c r="D47" s="1">
        <v>743</v>
      </c>
      <c r="E47" s="1">
        <v>427</v>
      </c>
      <c r="F47" s="1">
        <v>314</v>
      </c>
      <c r="G47" s="6">
        <v>0.41</v>
      </c>
      <c r="H47" s="1">
        <v>45</v>
      </c>
      <c r="I47" s="1">
        <v>6713</v>
      </c>
      <c r="J47" s="1"/>
      <c r="K47" s="1">
        <v>470</v>
      </c>
      <c r="L47" s="1">
        <f t="shared" si="16"/>
        <v>-43</v>
      </c>
      <c r="M47" s="1"/>
      <c r="N47" s="1"/>
      <c r="O47" s="1">
        <v>80</v>
      </c>
      <c r="P47" s="1">
        <v>80</v>
      </c>
      <c r="Q47" s="1">
        <f t="shared" si="17"/>
        <v>85.4</v>
      </c>
      <c r="R47" s="5">
        <f t="shared" si="9"/>
        <v>721.60000000000014</v>
      </c>
      <c r="S47" s="5">
        <f t="shared" si="8"/>
        <v>722</v>
      </c>
      <c r="T47" s="5">
        <f t="shared" si="5"/>
        <v>297</v>
      </c>
      <c r="U47" s="5">
        <f t="shared" si="20"/>
        <v>425</v>
      </c>
      <c r="V47" s="5"/>
      <c r="W47" s="1"/>
      <c r="X47" s="1">
        <f>(F47+O47+P47+S47)/Q47</f>
        <v>14.004683840749413</v>
      </c>
      <c r="Y47" s="1">
        <f t="shared" si="18"/>
        <v>5.5503512880562056</v>
      </c>
      <c r="Z47" s="1">
        <v>90</v>
      </c>
      <c r="AA47" s="1">
        <v>70.8</v>
      </c>
      <c r="AB47" s="1">
        <v>61</v>
      </c>
      <c r="AC47" s="1">
        <v>64.599999999999994</v>
      </c>
      <c r="AD47" s="1">
        <v>87.2</v>
      </c>
      <c r="AE47" s="1" t="s">
        <v>43</v>
      </c>
      <c r="AF47" s="1">
        <f t="shared" si="6"/>
        <v>121.77</v>
      </c>
      <c r="AG47" s="1">
        <f t="shared" si="7"/>
        <v>174.25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81</v>
      </c>
      <c r="B48" s="1" t="s">
        <v>32</v>
      </c>
      <c r="C48" s="1">
        <v>22</v>
      </c>
      <c r="D48" s="1">
        <v>120</v>
      </c>
      <c r="E48" s="1">
        <v>63</v>
      </c>
      <c r="F48" s="1">
        <v>78</v>
      </c>
      <c r="G48" s="6">
        <v>0.41</v>
      </c>
      <c r="H48" s="1">
        <v>45</v>
      </c>
      <c r="I48" s="1">
        <v>6724</v>
      </c>
      <c r="J48" s="1"/>
      <c r="K48" s="1">
        <v>67</v>
      </c>
      <c r="L48" s="1">
        <f t="shared" si="16"/>
        <v>-4</v>
      </c>
      <c r="M48" s="1"/>
      <c r="N48" s="1"/>
      <c r="O48" s="1">
        <v>80</v>
      </c>
      <c r="P48" s="1">
        <v>80</v>
      </c>
      <c r="Q48" s="1">
        <f t="shared" si="17"/>
        <v>12.6</v>
      </c>
      <c r="R48" s="5"/>
      <c r="S48" s="5">
        <f t="shared" si="8"/>
        <v>0</v>
      </c>
      <c r="T48" s="5">
        <f t="shared" si="5"/>
        <v>0</v>
      </c>
      <c r="U48" s="5"/>
      <c r="V48" s="5"/>
      <c r="W48" s="1"/>
      <c r="X48" s="1">
        <f>(F48+O48+P48+S48)/Q48</f>
        <v>18.888888888888889</v>
      </c>
      <c r="Y48" s="1">
        <f t="shared" si="18"/>
        <v>18.888888888888889</v>
      </c>
      <c r="Z48" s="1">
        <v>24.6</v>
      </c>
      <c r="AA48" s="1">
        <v>24.6</v>
      </c>
      <c r="AB48" s="1">
        <v>19</v>
      </c>
      <c r="AC48" s="1">
        <v>12.2</v>
      </c>
      <c r="AD48" s="1">
        <v>19.8</v>
      </c>
      <c r="AE48" s="1"/>
      <c r="AF48" s="1">
        <f t="shared" si="6"/>
        <v>0</v>
      </c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82</v>
      </c>
      <c r="B49" s="1" t="s">
        <v>32</v>
      </c>
      <c r="C49" s="1">
        <v>2</v>
      </c>
      <c r="D49" s="1">
        <v>362</v>
      </c>
      <c r="E49" s="1">
        <v>213</v>
      </c>
      <c r="F49" s="1">
        <v>139</v>
      </c>
      <c r="G49" s="6">
        <v>0.36</v>
      </c>
      <c r="H49" s="1">
        <v>45</v>
      </c>
      <c r="I49" s="1">
        <v>6765</v>
      </c>
      <c r="J49" s="1"/>
      <c r="K49" s="1">
        <v>225</v>
      </c>
      <c r="L49" s="1">
        <f t="shared" si="16"/>
        <v>-12</v>
      </c>
      <c r="M49" s="1"/>
      <c r="N49" s="1"/>
      <c r="O49" s="1">
        <v>160</v>
      </c>
      <c r="P49" s="1">
        <v>160</v>
      </c>
      <c r="Q49" s="1">
        <f t="shared" si="17"/>
        <v>42.6</v>
      </c>
      <c r="R49" s="5">
        <f t="shared" si="9"/>
        <v>137.39999999999998</v>
      </c>
      <c r="S49" s="5">
        <f t="shared" si="8"/>
        <v>137</v>
      </c>
      <c r="T49" s="5">
        <f t="shared" si="5"/>
        <v>56</v>
      </c>
      <c r="U49" s="5">
        <f t="shared" ref="U49:U50" si="21">ROUND(S49/1.7,0)</f>
        <v>81</v>
      </c>
      <c r="V49" s="5"/>
      <c r="W49" s="1"/>
      <c r="X49" s="1">
        <f>(F49+O49+P49+S49)/Q49</f>
        <v>13.990610328638498</v>
      </c>
      <c r="Y49" s="1">
        <f t="shared" si="18"/>
        <v>10.774647887323944</v>
      </c>
      <c r="Z49" s="1">
        <v>61.8</v>
      </c>
      <c r="AA49" s="1">
        <v>30.8</v>
      </c>
      <c r="AB49" s="1">
        <v>48.8</v>
      </c>
      <c r="AC49" s="1">
        <v>26.6</v>
      </c>
      <c r="AD49" s="1">
        <v>45.8</v>
      </c>
      <c r="AE49" s="1" t="s">
        <v>43</v>
      </c>
      <c r="AF49" s="1">
        <f t="shared" si="6"/>
        <v>20.16</v>
      </c>
      <c r="AG49" s="1">
        <f t="shared" si="7"/>
        <v>29.16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83</v>
      </c>
      <c r="B50" s="1" t="s">
        <v>32</v>
      </c>
      <c r="C50" s="1">
        <v>175</v>
      </c>
      <c r="D50" s="1">
        <v>323</v>
      </c>
      <c r="E50" s="1">
        <v>282</v>
      </c>
      <c r="F50" s="1">
        <v>179</v>
      </c>
      <c r="G50" s="6">
        <v>0.33</v>
      </c>
      <c r="H50" s="1">
        <v>45</v>
      </c>
      <c r="I50" s="1">
        <v>6787</v>
      </c>
      <c r="J50" s="1"/>
      <c r="K50" s="1">
        <v>327</v>
      </c>
      <c r="L50" s="1">
        <f t="shared" si="16"/>
        <v>-45</v>
      </c>
      <c r="M50" s="1"/>
      <c r="N50" s="1"/>
      <c r="O50" s="1">
        <v>70</v>
      </c>
      <c r="P50" s="1">
        <v>70</v>
      </c>
      <c r="Q50" s="1">
        <f t="shared" si="17"/>
        <v>56.4</v>
      </c>
      <c r="R50" s="5">
        <f t="shared" si="9"/>
        <v>470.6</v>
      </c>
      <c r="S50" s="5">
        <f t="shared" si="8"/>
        <v>471</v>
      </c>
      <c r="T50" s="5">
        <f t="shared" si="5"/>
        <v>194</v>
      </c>
      <c r="U50" s="5">
        <f t="shared" si="21"/>
        <v>277</v>
      </c>
      <c r="V50" s="5"/>
      <c r="W50" s="1"/>
      <c r="X50" s="1">
        <f>(F50+O50+P50+S50)/Q50</f>
        <v>14.00709219858156</v>
      </c>
      <c r="Y50" s="1">
        <f t="shared" si="18"/>
        <v>5.6560283687943267</v>
      </c>
      <c r="Z50" s="1">
        <v>54.2</v>
      </c>
      <c r="AA50" s="1">
        <v>59.2</v>
      </c>
      <c r="AB50" s="1">
        <v>41.2</v>
      </c>
      <c r="AC50" s="1">
        <v>51.6</v>
      </c>
      <c r="AD50" s="1">
        <v>54.8</v>
      </c>
      <c r="AE50" s="1" t="s">
        <v>43</v>
      </c>
      <c r="AF50" s="1">
        <f t="shared" si="6"/>
        <v>64.02</v>
      </c>
      <c r="AG50" s="1">
        <f t="shared" si="7"/>
        <v>91.410000000000011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1" t="s">
        <v>84</v>
      </c>
      <c r="B51" s="11" t="s">
        <v>32</v>
      </c>
      <c r="C51" s="11"/>
      <c r="D51" s="11"/>
      <c r="E51" s="15">
        <v>56</v>
      </c>
      <c r="F51" s="15">
        <v>-56</v>
      </c>
      <c r="G51" s="12">
        <v>0</v>
      </c>
      <c r="H51" s="11">
        <v>45</v>
      </c>
      <c r="I51" s="13" t="s">
        <v>85</v>
      </c>
      <c r="J51" s="13" t="s">
        <v>86</v>
      </c>
      <c r="K51" s="11">
        <v>220</v>
      </c>
      <c r="L51" s="11">
        <f t="shared" si="16"/>
        <v>-164</v>
      </c>
      <c r="M51" s="11"/>
      <c r="N51" s="11"/>
      <c r="O51" s="11">
        <v>0</v>
      </c>
      <c r="P51" s="11">
        <v>0</v>
      </c>
      <c r="Q51" s="11">
        <f t="shared" si="17"/>
        <v>11.2</v>
      </c>
      <c r="R51" s="14"/>
      <c r="S51" s="5">
        <f t="shared" si="8"/>
        <v>0</v>
      </c>
      <c r="T51" s="5">
        <f t="shared" si="5"/>
        <v>0</v>
      </c>
      <c r="U51" s="5"/>
      <c r="V51" s="14"/>
      <c r="W51" s="11"/>
      <c r="X51" s="1">
        <f>(F51+O51+P51+S51)/Q51</f>
        <v>-5</v>
      </c>
      <c r="Y51" s="11">
        <f t="shared" si="18"/>
        <v>-5</v>
      </c>
      <c r="Z51" s="11">
        <v>-0.2</v>
      </c>
      <c r="AA51" s="11">
        <v>12.4</v>
      </c>
      <c r="AB51" s="11">
        <v>5.8</v>
      </c>
      <c r="AC51" s="11">
        <v>26.4</v>
      </c>
      <c r="AD51" s="11">
        <v>7.2</v>
      </c>
      <c r="AE51" s="11" t="s">
        <v>33</v>
      </c>
      <c r="AF51" s="1">
        <f t="shared" si="6"/>
        <v>0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87</v>
      </c>
      <c r="B52" s="1" t="s">
        <v>32</v>
      </c>
      <c r="C52" s="1">
        <v>217</v>
      </c>
      <c r="D52" s="1">
        <v>172</v>
      </c>
      <c r="E52" s="1">
        <v>194</v>
      </c>
      <c r="F52" s="1">
        <v>180</v>
      </c>
      <c r="G52" s="6">
        <v>0.4</v>
      </c>
      <c r="H52" s="1" t="e">
        <v>#N/A</v>
      </c>
      <c r="I52" s="1">
        <v>6797</v>
      </c>
      <c r="J52" s="1"/>
      <c r="K52" s="1">
        <v>215</v>
      </c>
      <c r="L52" s="1">
        <f t="shared" si="16"/>
        <v>-21</v>
      </c>
      <c r="M52" s="1"/>
      <c r="N52" s="1"/>
      <c r="O52" s="1">
        <v>40</v>
      </c>
      <c r="P52" s="1">
        <v>40</v>
      </c>
      <c r="Q52" s="1">
        <f t="shared" si="17"/>
        <v>38.799999999999997</v>
      </c>
      <c r="R52" s="5">
        <f t="shared" ref="R52:R65" si="22">14*Q52-P52-O52-F52</f>
        <v>283.19999999999993</v>
      </c>
      <c r="S52" s="5">
        <f t="shared" si="8"/>
        <v>283</v>
      </c>
      <c r="T52" s="5">
        <f t="shared" si="5"/>
        <v>117</v>
      </c>
      <c r="U52" s="5">
        <f>ROUND(S52/1.7,0)</f>
        <v>166</v>
      </c>
      <c r="V52" s="5"/>
      <c r="W52" s="1"/>
      <c r="X52" s="1">
        <f>(F52+O52+P52+S52)/Q52</f>
        <v>13.994845360824744</v>
      </c>
      <c r="Y52" s="1">
        <f t="shared" si="18"/>
        <v>6.7010309278350517</v>
      </c>
      <c r="Z52" s="1">
        <v>37.4</v>
      </c>
      <c r="AA52" s="1">
        <v>0</v>
      </c>
      <c r="AB52" s="1">
        <v>0</v>
      </c>
      <c r="AC52" s="1">
        <v>11.2</v>
      </c>
      <c r="AD52" s="1">
        <v>40.200000000000003</v>
      </c>
      <c r="AE52" s="1"/>
      <c r="AF52" s="1">
        <f t="shared" si="6"/>
        <v>46.800000000000004</v>
      </c>
      <c r="AG52" s="1">
        <f t="shared" si="7"/>
        <v>66.400000000000006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88</v>
      </c>
      <c r="B53" s="1" t="s">
        <v>32</v>
      </c>
      <c r="C53" s="1">
        <v>310</v>
      </c>
      <c r="D53" s="1">
        <v>49</v>
      </c>
      <c r="E53" s="1">
        <v>28</v>
      </c>
      <c r="F53" s="1">
        <v>330</v>
      </c>
      <c r="G53" s="6">
        <v>0.33</v>
      </c>
      <c r="H53" s="1">
        <v>45</v>
      </c>
      <c r="I53" s="1">
        <v>6807</v>
      </c>
      <c r="J53" s="1"/>
      <c r="K53" s="1">
        <v>29</v>
      </c>
      <c r="L53" s="1">
        <f t="shared" si="16"/>
        <v>-1</v>
      </c>
      <c r="M53" s="1"/>
      <c r="N53" s="1"/>
      <c r="O53" s="1">
        <v>0</v>
      </c>
      <c r="P53" s="1">
        <v>0</v>
      </c>
      <c r="Q53" s="1">
        <f t="shared" si="17"/>
        <v>5.6</v>
      </c>
      <c r="R53" s="5"/>
      <c r="S53" s="5">
        <f t="shared" si="8"/>
        <v>0</v>
      </c>
      <c r="T53" s="5">
        <f t="shared" si="5"/>
        <v>0</v>
      </c>
      <c r="U53" s="5"/>
      <c r="V53" s="5"/>
      <c r="W53" s="1"/>
      <c r="X53" s="1">
        <f>(F53+O53+P53+S53)/Q53</f>
        <v>58.928571428571431</v>
      </c>
      <c r="Y53" s="1">
        <f t="shared" si="18"/>
        <v>58.928571428571431</v>
      </c>
      <c r="Z53" s="1">
        <v>6.2</v>
      </c>
      <c r="AA53" s="1">
        <v>18</v>
      </c>
      <c r="AB53" s="1">
        <v>13</v>
      </c>
      <c r="AC53" s="1">
        <v>26.6</v>
      </c>
      <c r="AD53" s="1">
        <v>4.8</v>
      </c>
      <c r="AE53" s="17" t="s">
        <v>91</v>
      </c>
      <c r="AF53" s="1">
        <f t="shared" si="6"/>
        <v>0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89</v>
      </c>
      <c r="B54" s="1" t="s">
        <v>35</v>
      </c>
      <c r="C54" s="1">
        <v>195.167</v>
      </c>
      <c r="D54" s="1">
        <v>393.22300000000001</v>
      </c>
      <c r="E54" s="1">
        <v>440.98500000000001</v>
      </c>
      <c r="F54" s="1">
        <v>131.44300000000001</v>
      </c>
      <c r="G54" s="6">
        <v>1</v>
      </c>
      <c r="H54" s="1">
        <v>45</v>
      </c>
      <c r="I54" s="1">
        <v>6829</v>
      </c>
      <c r="J54" s="1"/>
      <c r="K54" s="1">
        <v>494.3</v>
      </c>
      <c r="L54" s="1">
        <f t="shared" si="16"/>
        <v>-53.314999999999998</v>
      </c>
      <c r="M54" s="1"/>
      <c r="N54" s="1"/>
      <c r="O54" s="1">
        <v>260</v>
      </c>
      <c r="P54" s="1">
        <v>260</v>
      </c>
      <c r="Q54" s="1">
        <f t="shared" si="17"/>
        <v>88.197000000000003</v>
      </c>
      <c r="R54" s="5">
        <f t="shared" si="22"/>
        <v>583.31500000000005</v>
      </c>
      <c r="S54" s="5">
        <f t="shared" si="8"/>
        <v>583</v>
      </c>
      <c r="T54" s="5">
        <f t="shared" si="5"/>
        <v>240</v>
      </c>
      <c r="U54" s="5">
        <f>ROUND(S54/1.7,0)</f>
        <v>343</v>
      </c>
      <c r="V54" s="5"/>
      <c r="W54" s="1"/>
      <c r="X54" s="1">
        <f>(F54+O54+P54+S54)/Q54</f>
        <v>13.996428449947276</v>
      </c>
      <c r="Y54" s="1">
        <f t="shared" si="18"/>
        <v>7.3862262888760384</v>
      </c>
      <c r="Z54" s="1">
        <v>93.295600000000007</v>
      </c>
      <c r="AA54" s="1">
        <v>55.942399999999999</v>
      </c>
      <c r="AB54" s="1">
        <v>66.259600000000006</v>
      </c>
      <c r="AC54" s="1">
        <v>76.353999999999999</v>
      </c>
      <c r="AD54" s="1">
        <v>67.717999999999989</v>
      </c>
      <c r="AE54" s="1"/>
      <c r="AF54" s="1">
        <f t="shared" si="6"/>
        <v>240</v>
      </c>
      <c r="AG54" s="1">
        <f t="shared" si="7"/>
        <v>343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90</v>
      </c>
      <c r="B55" s="1" t="s">
        <v>35</v>
      </c>
      <c r="C55" s="1">
        <v>18.045999999999999</v>
      </c>
      <c r="D55" s="1"/>
      <c r="E55" s="1">
        <v>18.024000000000001</v>
      </c>
      <c r="F55" s="1">
        <v>2.1999999999999999E-2</v>
      </c>
      <c r="G55" s="6">
        <v>1</v>
      </c>
      <c r="H55" s="1"/>
      <c r="I55" s="1">
        <v>6832</v>
      </c>
      <c r="J55" s="1"/>
      <c r="K55" s="1">
        <v>28.1</v>
      </c>
      <c r="L55" s="1">
        <f t="shared" si="16"/>
        <v>-10.076000000000001</v>
      </c>
      <c r="M55" s="1"/>
      <c r="N55" s="1"/>
      <c r="O55" s="1">
        <v>50</v>
      </c>
      <c r="P55" s="1">
        <v>50</v>
      </c>
      <c r="Q55" s="1">
        <f t="shared" si="17"/>
        <v>3.6048</v>
      </c>
      <c r="R55" s="5"/>
      <c r="S55" s="5">
        <f t="shared" si="8"/>
        <v>0</v>
      </c>
      <c r="T55" s="5">
        <f t="shared" si="5"/>
        <v>0</v>
      </c>
      <c r="U55" s="5"/>
      <c r="V55" s="5"/>
      <c r="W55" s="1"/>
      <c r="X55" s="1">
        <f>(F55+O55+P55+S55)/Q55</f>
        <v>27.746893031513537</v>
      </c>
      <c r="Y55" s="1">
        <f t="shared" si="18"/>
        <v>27.746893031513537</v>
      </c>
      <c r="Z55" s="1">
        <v>8.5906000000000002</v>
      </c>
      <c r="AA55" s="1">
        <v>5.4905999999999997</v>
      </c>
      <c r="AB55" s="1">
        <v>0.93459999999999999</v>
      </c>
      <c r="AC55" s="1">
        <v>5.4938000000000002</v>
      </c>
      <c r="AD55" s="1">
        <v>4.8000000000000001E-2</v>
      </c>
      <c r="AE55" s="1"/>
      <c r="AF55" s="1">
        <f t="shared" si="6"/>
        <v>0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92</v>
      </c>
      <c r="B56" s="1" t="s">
        <v>32</v>
      </c>
      <c r="C56" s="1">
        <v>8</v>
      </c>
      <c r="D56" s="1"/>
      <c r="E56" s="1">
        <v>8</v>
      </c>
      <c r="F56" s="1"/>
      <c r="G56" s="6">
        <v>0.1</v>
      </c>
      <c r="H56" s="1">
        <v>60</v>
      </c>
      <c r="I56" s="1">
        <v>6834</v>
      </c>
      <c r="J56" s="1"/>
      <c r="K56" s="1">
        <v>27</v>
      </c>
      <c r="L56" s="1">
        <f t="shared" si="16"/>
        <v>-19</v>
      </c>
      <c r="M56" s="1"/>
      <c r="N56" s="1"/>
      <c r="O56" s="1">
        <v>0</v>
      </c>
      <c r="P56" s="1">
        <v>0</v>
      </c>
      <c r="Q56" s="1">
        <f t="shared" si="17"/>
        <v>1.6</v>
      </c>
      <c r="R56" s="5">
        <f>9*Q56-P56-O56-F56</f>
        <v>14.4</v>
      </c>
      <c r="S56" s="5">
        <f t="shared" si="8"/>
        <v>14</v>
      </c>
      <c r="T56" s="5">
        <f t="shared" si="5"/>
        <v>14</v>
      </c>
      <c r="U56" s="5"/>
      <c r="V56" s="5"/>
      <c r="W56" s="1"/>
      <c r="X56" s="1">
        <f>(F56+O56+P56+S56)/Q56</f>
        <v>8.75</v>
      </c>
      <c r="Y56" s="1">
        <f t="shared" si="18"/>
        <v>0</v>
      </c>
      <c r="Z56" s="1">
        <v>2.8</v>
      </c>
      <c r="AA56" s="1">
        <v>2.4</v>
      </c>
      <c r="AB56" s="1">
        <v>2.2000000000000002</v>
      </c>
      <c r="AC56" s="1">
        <v>2</v>
      </c>
      <c r="AD56" s="1">
        <v>3.4</v>
      </c>
      <c r="AE56" s="1"/>
      <c r="AF56" s="1">
        <f t="shared" si="6"/>
        <v>1.4000000000000001</v>
      </c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93</v>
      </c>
      <c r="B57" s="1" t="s">
        <v>32</v>
      </c>
      <c r="C57" s="1">
        <v>26</v>
      </c>
      <c r="D57" s="1"/>
      <c r="E57" s="1">
        <v>21</v>
      </c>
      <c r="F57" s="1">
        <v>-2</v>
      </c>
      <c r="G57" s="6">
        <v>0.4</v>
      </c>
      <c r="H57" s="1">
        <v>45</v>
      </c>
      <c r="I57" s="1">
        <v>6837</v>
      </c>
      <c r="J57" s="1"/>
      <c r="K57" s="1">
        <v>33</v>
      </c>
      <c r="L57" s="1">
        <f t="shared" si="16"/>
        <v>-12</v>
      </c>
      <c r="M57" s="1"/>
      <c r="N57" s="1"/>
      <c r="O57" s="1">
        <v>50</v>
      </c>
      <c r="P57" s="1">
        <v>50</v>
      </c>
      <c r="Q57" s="1">
        <f t="shared" si="17"/>
        <v>4.2</v>
      </c>
      <c r="R57" s="5"/>
      <c r="S57" s="5">
        <f t="shared" si="8"/>
        <v>0</v>
      </c>
      <c r="T57" s="5">
        <f t="shared" si="5"/>
        <v>0</v>
      </c>
      <c r="U57" s="5"/>
      <c r="V57" s="5"/>
      <c r="W57" s="1"/>
      <c r="X57" s="1">
        <f>(F57+O57+P57+S57)/Q57</f>
        <v>23.333333333333332</v>
      </c>
      <c r="Y57" s="1">
        <f t="shared" si="18"/>
        <v>23.333333333333332</v>
      </c>
      <c r="Z57" s="1">
        <v>9</v>
      </c>
      <c r="AA57" s="1">
        <v>6.2</v>
      </c>
      <c r="AB57" s="1">
        <v>7.2</v>
      </c>
      <c r="AC57" s="1">
        <v>7.2</v>
      </c>
      <c r="AD57" s="1">
        <v>2.6</v>
      </c>
      <c r="AE57" s="1"/>
      <c r="AF57" s="1">
        <f t="shared" si="6"/>
        <v>0</v>
      </c>
      <c r="AG57" s="1">
        <f t="shared" si="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94</v>
      </c>
      <c r="B58" s="1" t="s">
        <v>35</v>
      </c>
      <c r="C58" s="1">
        <v>3.9380000000000002</v>
      </c>
      <c r="D58" s="1">
        <v>15.65</v>
      </c>
      <c r="E58" s="1">
        <v>13.012</v>
      </c>
      <c r="F58" s="1">
        <v>5.8959999999999999</v>
      </c>
      <c r="G58" s="6">
        <v>1</v>
      </c>
      <c r="H58" s="1">
        <v>60</v>
      </c>
      <c r="I58" s="1">
        <v>6861</v>
      </c>
      <c r="J58" s="1"/>
      <c r="K58" s="1">
        <v>37.5</v>
      </c>
      <c r="L58" s="1">
        <f t="shared" si="16"/>
        <v>-24.488</v>
      </c>
      <c r="M58" s="1"/>
      <c r="N58" s="1"/>
      <c r="O58" s="1">
        <v>0</v>
      </c>
      <c r="P58" s="1">
        <v>0</v>
      </c>
      <c r="Q58" s="1">
        <f t="shared" si="17"/>
        <v>2.6024000000000003</v>
      </c>
      <c r="R58" s="5">
        <f>11*Q58-P58-O58-F58</f>
        <v>22.730400000000003</v>
      </c>
      <c r="S58" s="5">
        <f t="shared" si="8"/>
        <v>23</v>
      </c>
      <c r="T58" s="5">
        <f t="shared" si="5"/>
        <v>23</v>
      </c>
      <c r="U58" s="5"/>
      <c r="V58" s="5"/>
      <c r="W58" s="1"/>
      <c r="X58" s="1">
        <f>(F58+O58+P58+S58)/Q58</f>
        <v>11.103596679987703</v>
      </c>
      <c r="Y58" s="1">
        <f t="shared" si="18"/>
        <v>2.2656009837073467</v>
      </c>
      <c r="Z58" s="1">
        <v>0.76580000000000004</v>
      </c>
      <c r="AA58" s="1">
        <v>4.7548000000000004</v>
      </c>
      <c r="AB58" s="1">
        <v>5.0624000000000002</v>
      </c>
      <c r="AC58" s="1">
        <v>3.1055999999999999</v>
      </c>
      <c r="AD58" s="1">
        <v>4.3197999999999999</v>
      </c>
      <c r="AE58" s="1"/>
      <c r="AF58" s="1">
        <f t="shared" si="6"/>
        <v>23</v>
      </c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95</v>
      </c>
      <c r="B59" s="1" t="s">
        <v>35</v>
      </c>
      <c r="C59" s="1">
        <v>2.97</v>
      </c>
      <c r="D59" s="1">
        <v>12.03</v>
      </c>
      <c r="E59" s="1">
        <v>10.119999999999999</v>
      </c>
      <c r="F59" s="1">
        <v>1.4650000000000001</v>
      </c>
      <c r="G59" s="6">
        <v>1</v>
      </c>
      <c r="H59" s="1">
        <v>60</v>
      </c>
      <c r="I59" s="1">
        <v>6866</v>
      </c>
      <c r="J59" s="1"/>
      <c r="K59" s="1">
        <v>15.9</v>
      </c>
      <c r="L59" s="1">
        <f t="shared" si="16"/>
        <v>-5.7800000000000011</v>
      </c>
      <c r="M59" s="1"/>
      <c r="N59" s="1"/>
      <c r="O59" s="1">
        <v>25</v>
      </c>
      <c r="P59" s="1">
        <v>25</v>
      </c>
      <c r="Q59" s="1">
        <f t="shared" si="17"/>
        <v>2.024</v>
      </c>
      <c r="R59" s="5"/>
      <c r="S59" s="5">
        <f t="shared" si="8"/>
        <v>0</v>
      </c>
      <c r="T59" s="5">
        <f t="shared" si="5"/>
        <v>0</v>
      </c>
      <c r="U59" s="5"/>
      <c r="V59" s="5"/>
      <c r="W59" s="1"/>
      <c r="X59" s="1">
        <f>(F59+O59+P59+S59)/Q59</f>
        <v>25.427371541501977</v>
      </c>
      <c r="Y59" s="1">
        <f t="shared" si="18"/>
        <v>25.427371541501977</v>
      </c>
      <c r="Z59" s="1">
        <v>4.5279999999999996</v>
      </c>
      <c r="AA59" s="1">
        <v>3.6309999999999998</v>
      </c>
      <c r="AB59" s="1">
        <v>3.617</v>
      </c>
      <c r="AC59" s="1">
        <v>1.8580000000000001</v>
      </c>
      <c r="AD59" s="1">
        <v>2.8534000000000002</v>
      </c>
      <c r="AE59" s="1"/>
      <c r="AF59" s="1">
        <f t="shared" si="6"/>
        <v>0</v>
      </c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96</v>
      </c>
      <c r="B60" s="1" t="s">
        <v>32</v>
      </c>
      <c r="C60" s="1">
        <v>90</v>
      </c>
      <c r="D60" s="1"/>
      <c r="E60" s="1">
        <v>4</v>
      </c>
      <c r="F60" s="1">
        <v>-10</v>
      </c>
      <c r="G60" s="6">
        <v>0.6</v>
      </c>
      <c r="H60" s="1"/>
      <c r="I60" s="1">
        <v>6925</v>
      </c>
      <c r="J60" s="1"/>
      <c r="K60" s="1">
        <v>11</v>
      </c>
      <c r="L60" s="1">
        <f t="shared" si="16"/>
        <v>-7</v>
      </c>
      <c r="M60" s="1"/>
      <c r="N60" s="1"/>
      <c r="O60" s="1">
        <v>0</v>
      </c>
      <c r="P60" s="1">
        <v>0</v>
      </c>
      <c r="Q60" s="1">
        <f t="shared" si="17"/>
        <v>0.8</v>
      </c>
      <c r="R60" s="5">
        <v>24</v>
      </c>
      <c r="S60" s="5">
        <f>V60</f>
        <v>60</v>
      </c>
      <c r="T60" s="5">
        <f t="shared" si="5"/>
        <v>60</v>
      </c>
      <c r="U60" s="5"/>
      <c r="V60" s="5">
        <v>60</v>
      </c>
      <c r="W60" s="1"/>
      <c r="X60" s="1">
        <f>(F60+O60+P60+S60)/Q60</f>
        <v>62.5</v>
      </c>
      <c r="Y60" s="1">
        <f t="shared" si="18"/>
        <v>-12.5</v>
      </c>
      <c r="Z60" s="1">
        <v>3</v>
      </c>
      <c r="AA60" s="1">
        <v>10.4</v>
      </c>
      <c r="AB60" s="1">
        <v>6</v>
      </c>
      <c r="AC60" s="1">
        <v>7</v>
      </c>
      <c r="AD60" s="1">
        <v>4.8</v>
      </c>
      <c r="AE60" s="1"/>
      <c r="AF60" s="1">
        <f t="shared" si="6"/>
        <v>36</v>
      </c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97</v>
      </c>
      <c r="B61" s="1" t="s">
        <v>35</v>
      </c>
      <c r="C61" s="1">
        <v>20.547999999999998</v>
      </c>
      <c r="D61" s="1"/>
      <c r="E61" s="1">
        <v>4.2880000000000003</v>
      </c>
      <c r="F61" s="1">
        <v>16.260000000000002</v>
      </c>
      <c r="G61" s="6">
        <v>1</v>
      </c>
      <c r="H61" s="1"/>
      <c r="I61" s="1"/>
      <c r="J61" s="1"/>
      <c r="K61" s="1">
        <v>25.7</v>
      </c>
      <c r="L61" s="1">
        <f t="shared" si="16"/>
        <v>-21.411999999999999</v>
      </c>
      <c r="M61" s="1"/>
      <c r="N61" s="1"/>
      <c r="O61" s="1"/>
      <c r="P61" s="1"/>
      <c r="Q61" s="1">
        <f t="shared" si="17"/>
        <v>0.85760000000000003</v>
      </c>
      <c r="R61" s="5"/>
      <c r="S61" s="5">
        <f t="shared" si="8"/>
        <v>0</v>
      </c>
      <c r="T61" s="5">
        <f t="shared" si="5"/>
        <v>0</v>
      </c>
      <c r="U61" s="5"/>
      <c r="V61" s="5"/>
      <c r="W61" s="1"/>
      <c r="X61" s="1">
        <f>(F61+O61+P61+S61)/Q61</f>
        <v>18.959888059701495</v>
      </c>
      <c r="Y61" s="1">
        <f t="shared" si="18"/>
        <v>18.959888059701495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/>
      <c r="AF61" s="1">
        <f t="shared" si="6"/>
        <v>0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98</v>
      </c>
      <c r="B62" s="1" t="s">
        <v>32</v>
      </c>
      <c r="C62" s="1">
        <v>144</v>
      </c>
      <c r="D62" s="1">
        <v>32</v>
      </c>
      <c r="E62" s="1">
        <v>57</v>
      </c>
      <c r="F62" s="1">
        <v>119</v>
      </c>
      <c r="G62" s="6">
        <v>0.25</v>
      </c>
      <c r="H62" s="1">
        <v>120</v>
      </c>
      <c r="I62" s="1">
        <v>6967</v>
      </c>
      <c r="J62" s="1"/>
      <c r="K62" s="1">
        <v>58</v>
      </c>
      <c r="L62" s="1">
        <f t="shared" si="16"/>
        <v>-1</v>
      </c>
      <c r="M62" s="1"/>
      <c r="N62" s="1"/>
      <c r="O62" s="1">
        <v>0</v>
      </c>
      <c r="P62" s="1">
        <v>0</v>
      </c>
      <c r="Q62" s="1">
        <f t="shared" si="17"/>
        <v>11.4</v>
      </c>
      <c r="R62" s="5">
        <f t="shared" si="22"/>
        <v>40.599999999999994</v>
      </c>
      <c r="S62" s="5">
        <f t="shared" si="8"/>
        <v>41</v>
      </c>
      <c r="T62" s="5">
        <f t="shared" si="5"/>
        <v>41</v>
      </c>
      <c r="U62" s="5"/>
      <c r="V62" s="5"/>
      <c r="W62" s="1"/>
      <c r="X62" s="1">
        <f>(F62+O62+P62+S62)/Q62</f>
        <v>14.035087719298245</v>
      </c>
      <c r="Y62" s="1">
        <f t="shared" si="18"/>
        <v>10.43859649122807</v>
      </c>
      <c r="Z62" s="1">
        <v>4.5999999999999996</v>
      </c>
      <c r="AA62" s="1">
        <v>7</v>
      </c>
      <c r="AB62" s="1">
        <v>8.8000000000000007</v>
      </c>
      <c r="AC62" s="1">
        <v>15.8</v>
      </c>
      <c r="AD62" s="1">
        <v>8</v>
      </c>
      <c r="AE62" s="1"/>
      <c r="AF62" s="1">
        <f t="shared" si="6"/>
        <v>10.25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99</v>
      </c>
      <c r="B63" s="1" t="s">
        <v>35</v>
      </c>
      <c r="C63" s="1">
        <v>31.097999999999999</v>
      </c>
      <c r="D63" s="1">
        <v>3.1419999999999999</v>
      </c>
      <c r="E63" s="1">
        <v>15.529</v>
      </c>
      <c r="F63" s="1">
        <v>15.569000000000001</v>
      </c>
      <c r="G63" s="6">
        <v>1</v>
      </c>
      <c r="H63" s="1">
        <v>45</v>
      </c>
      <c r="I63" s="1">
        <v>7001</v>
      </c>
      <c r="J63" s="1"/>
      <c r="K63" s="1">
        <v>18.22</v>
      </c>
      <c r="L63" s="1">
        <f t="shared" si="16"/>
        <v>-2.6909999999999989</v>
      </c>
      <c r="M63" s="1"/>
      <c r="N63" s="1"/>
      <c r="O63" s="1">
        <v>10</v>
      </c>
      <c r="P63" s="1">
        <v>10</v>
      </c>
      <c r="Q63" s="1">
        <f t="shared" si="17"/>
        <v>3.1057999999999999</v>
      </c>
      <c r="R63" s="5">
        <f t="shared" si="22"/>
        <v>7.9122000000000003</v>
      </c>
      <c r="S63" s="5">
        <f t="shared" si="8"/>
        <v>8</v>
      </c>
      <c r="T63" s="5">
        <f t="shared" si="5"/>
        <v>8</v>
      </c>
      <c r="U63" s="5"/>
      <c r="V63" s="5"/>
      <c r="W63" s="1"/>
      <c r="X63" s="1">
        <f>(F63+O63+P63+S63)/Q63</f>
        <v>14.028269688969027</v>
      </c>
      <c r="Y63" s="1">
        <f t="shared" si="18"/>
        <v>11.452443814798121</v>
      </c>
      <c r="Z63" s="1">
        <v>3.4205999999999999</v>
      </c>
      <c r="AA63" s="1">
        <v>3.7978000000000001</v>
      </c>
      <c r="AB63" s="1">
        <v>2.9956</v>
      </c>
      <c r="AC63" s="1">
        <v>3.9388000000000001</v>
      </c>
      <c r="AD63" s="1">
        <v>3.18</v>
      </c>
      <c r="AE63" s="1"/>
      <c r="AF63" s="1">
        <f t="shared" si="6"/>
        <v>8</v>
      </c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100</v>
      </c>
      <c r="B64" s="1" t="s">
        <v>32</v>
      </c>
      <c r="C64" s="1">
        <v>205</v>
      </c>
      <c r="D64" s="1">
        <v>3</v>
      </c>
      <c r="E64" s="1">
        <v>92</v>
      </c>
      <c r="F64" s="1">
        <v>110</v>
      </c>
      <c r="G64" s="6">
        <v>0.3</v>
      </c>
      <c r="H64" s="1"/>
      <c r="I64" s="1">
        <v>7059</v>
      </c>
      <c r="J64" s="1"/>
      <c r="K64" s="1">
        <v>100</v>
      </c>
      <c r="L64" s="1">
        <f t="shared" si="16"/>
        <v>-8</v>
      </c>
      <c r="M64" s="1"/>
      <c r="N64" s="1"/>
      <c r="O64" s="1">
        <v>85</v>
      </c>
      <c r="P64" s="1">
        <v>85</v>
      </c>
      <c r="Q64" s="1">
        <f t="shared" si="17"/>
        <v>18.399999999999999</v>
      </c>
      <c r="R64" s="5"/>
      <c r="S64" s="5">
        <f>V64</f>
        <v>30</v>
      </c>
      <c r="T64" s="5">
        <f t="shared" si="5"/>
        <v>30</v>
      </c>
      <c r="U64" s="5"/>
      <c r="V64" s="5">
        <v>30</v>
      </c>
      <c r="W64" s="1"/>
      <c r="X64" s="1">
        <f>(F64+O64+P64+S64)/Q64</f>
        <v>16.847826086956523</v>
      </c>
      <c r="Y64" s="1">
        <f t="shared" si="18"/>
        <v>15.217391304347828</v>
      </c>
      <c r="Z64" s="1">
        <v>26.2</v>
      </c>
      <c r="AA64" s="1">
        <v>33.4</v>
      </c>
      <c r="AB64" s="1">
        <v>35.6</v>
      </c>
      <c r="AC64" s="1">
        <v>17.600000000000001</v>
      </c>
      <c r="AD64" s="1">
        <v>13.2</v>
      </c>
      <c r="AE64" s="1"/>
      <c r="AF64" s="1">
        <f t="shared" si="6"/>
        <v>9</v>
      </c>
      <c r="AG64" s="1">
        <f t="shared" si="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0" t="s">
        <v>101</v>
      </c>
      <c r="B65" s="1" t="s">
        <v>32</v>
      </c>
      <c r="C65" s="1">
        <v>184</v>
      </c>
      <c r="D65" s="1">
        <v>66</v>
      </c>
      <c r="E65" s="15">
        <f>991+E66+E98</f>
        <v>1132</v>
      </c>
      <c r="F65" s="15">
        <f>-801+F66+F98</f>
        <v>1554</v>
      </c>
      <c r="G65" s="6">
        <v>0.41</v>
      </c>
      <c r="H65" s="1">
        <v>50</v>
      </c>
      <c r="I65" s="1">
        <v>7066</v>
      </c>
      <c r="J65" s="1"/>
      <c r="K65" s="1">
        <v>1093</v>
      </c>
      <c r="L65" s="1">
        <f t="shared" si="16"/>
        <v>39</v>
      </c>
      <c r="M65" s="1"/>
      <c r="N65" s="1"/>
      <c r="O65" s="1">
        <v>200</v>
      </c>
      <c r="P65" s="1">
        <v>200</v>
      </c>
      <c r="Q65" s="1">
        <f t="shared" si="17"/>
        <v>226.4</v>
      </c>
      <c r="R65" s="5">
        <f t="shared" si="22"/>
        <v>1215.5999999999999</v>
      </c>
      <c r="S65" s="5">
        <f t="shared" si="8"/>
        <v>1216</v>
      </c>
      <c r="T65" s="5">
        <f t="shared" si="5"/>
        <v>501</v>
      </c>
      <c r="U65" s="5">
        <f>ROUND(S65/1.7,0)</f>
        <v>715</v>
      </c>
      <c r="V65" s="5"/>
      <c r="W65" s="1"/>
      <c r="X65" s="1">
        <f>(F65+O65+P65+S65)/Q65</f>
        <v>14.001766784452297</v>
      </c>
      <c r="Y65" s="1">
        <f t="shared" si="18"/>
        <v>8.6307420494699638</v>
      </c>
      <c r="Z65" s="1">
        <v>282</v>
      </c>
      <c r="AA65" s="1">
        <v>262.39999999999998</v>
      </c>
      <c r="AB65" s="1">
        <v>228</v>
      </c>
      <c r="AC65" s="1">
        <v>234</v>
      </c>
      <c r="AD65" s="1">
        <v>316.39999999999998</v>
      </c>
      <c r="AE65" s="1" t="s">
        <v>43</v>
      </c>
      <c r="AF65" s="1">
        <f t="shared" si="6"/>
        <v>205.41</v>
      </c>
      <c r="AG65" s="1">
        <f t="shared" si="7"/>
        <v>293.14999999999998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1" t="s">
        <v>102</v>
      </c>
      <c r="B66" s="11" t="s">
        <v>32</v>
      </c>
      <c r="C66" s="11"/>
      <c r="D66" s="11">
        <v>2524</v>
      </c>
      <c r="E66" s="15">
        <v>100</v>
      </c>
      <c r="F66" s="15">
        <v>2382</v>
      </c>
      <c r="G66" s="12">
        <v>0</v>
      </c>
      <c r="H66" s="11"/>
      <c r="I66" s="13" t="s">
        <v>103</v>
      </c>
      <c r="J66" s="13" t="s">
        <v>101</v>
      </c>
      <c r="K66" s="11">
        <v>109</v>
      </c>
      <c r="L66" s="11">
        <f t="shared" si="16"/>
        <v>-9</v>
      </c>
      <c r="M66" s="11"/>
      <c r="N66" s="11"/>
      <c r="O66" s="11"/>
      <c r="P66" s="11"/>
      <c r="Q66" s="11">
        <f t="shared" si="17"/>
        <v>20</v>
      </c>
      <c r="R66" s="14"/>
      <c r="S66" s="5">
        <f t="shared" si="8"/>
        <v>0</v>
      </c>
      <c r="T66" s="5">
        <f t="shared" si="5"/>
        <v>0</v>
      </c>
      <c r="U66" s="5"/>
      <c r="V66" s="14"/>
      <c r="W66" s="11"/>
      <c r="X66" s="1">
        <f>(F66+O66+P66+S66)/Q66</f>
        <v>119.1</v>
      </c>
      <c r="Y66" s="11">
        <f t="shared" si="18"/>
        <v>119.1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/>
      <c r="AF66" s="1">
        <f t="shared" si="6"/>
        <v>0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104</v>
      </c>
      <c r="B67" s="1" t="s">
        <v>35</v>
      </c>
      <c r="C67" s="1">
        <v>595.154</v>
      </c>
      <c r="D67" s="1">
        <v>103.511</v>
      </c>
      <c r="E67" s="15">
        <f>297.119+E99</f>
        <v>375.67700000000002</v>
      </c>
      <c r="F67" s="15">
        <f>392.866+F99</f>
        <v>233.20399999999998</v>
      </c>
      <c r="G67" s="6">
        <v>1</v>
      </c>
      <c r="H67" s="1">
        <v>50</v>
      </c>
      <c r="I67" s="1">
        <v>7070</v>
      </c>
      <c r="J67" s="1"/>
      <c r="K67" s="1">
        <v>295.7</v>
      </c>
      <c r="L67" s="1">
        <f t="shared" si="16"/>
        <v>79.977000000000032</v>
      </c>
      <c r="M67" s="1"/>
      <c r="N67" s="1"/>
      <c r="O67" s="1">
        <v>300</v>
      </c>
      <c r="P67" s="1">
        <v>300</v>
      </c>
      <c r="Q67" s="1">
        <f t="shared" si="17"/>
        <v>75.135400000000004</v>
      </c>
      <c r="R67" s="5">
        <f t="shared" ref="R67:R93" si="23">14*Q67-P67-O67-F67</f>
        <v>218.69160000000008</v>
      </c>
      <c r="S67" s="5">
        <f>V67</f>
        <v>240</v>
      </c>
      <c r="T67" s="5">
        <f t="shared" si="5"/>
        <v>99</v>
      </c>
      <c r="U67" s="5">
        <f>ROUND(S67/1.7,0)</f>
        <v>141</v>
      </c>
      <c r="V67" s="5">
        <v>240</v>
      </c>
      <c r="W67" s="1"/>
      <c r="X67" s="1">
        <f>(F67+O67+P67+S67)/Q67</f>
        <v>14.283600007453209</v>
      </c>
      <c r="Y67" s="1">
        <f t="shared" si="18"/>
        <v>11.089366663383704</v>
      </c>
      <c r="Z67" s="1">
        <v>94.911000000000001</v>
      </c>
      <c r="AA67" s="1">
        <v>43.7624</v>
      </c>
      <c r="AB67" s="1">
        <v>79.599999999999994</v>
      </c>
      <c r="AC67" s="1">
        <v>20.056000000000001</v>
      </c>
      <c r="AD67" s="1">
        <v>51.692399999999999</v>
      </c>
      <c r="AE67" s="1"/>
      <c r="AF67" s="1">
        <f t="shared" si="6"/>
        <v>99</v>
      </c>
      <c r="AG67" s="1">
        <f t="shared" si="7"/>
        <v>141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105</v>
      </c>
      <c r="B68" s="1" t="s">
        <v>32</v>
      </c>
      <c r="C68" s="1">
        <v>91</v>
      </c>
      <c r="D68" s="1">
        <v>20</v>
      </c>
      <c r="E68" s="1">
        <v>50</v>
      </c>
      <c r="F68" s="1">
        <v>55</v>
      </c>
      <c r="G68" s="6">
        <v>0.35</v>
      </c>
      <c r="H68" s="1">
        <v>50</v>
      </c>
      <c r="I68" s="1">
        <v>7073</v>
      </c>
      <c r="J68" s="1"/>
      <c r="K68" s="1">
        <v>56</v>
      </c>
      <c r="L68" s="1">
        <f t="shared" si="16"/>
        <v>-6</v>
      </c>
      <c r="M68" s="1"/>
      <c r="N68" s="1"/>
      <c r="O68" s="1">
        <v>25</v>
      </c>
      <c r="P68" s="1">
        <v>25</v>
      </c>
      <c r="Q68" s="1">
        <f t="shared" si="17"/>
        <v>10</v>
      </c>
      <c r="R68" s="5">
        <f t="shared" si="23"/>
        <v>35</v>
      </c>
      <c r="S68" s="5">
        <f t="shared" si="8"/>
        <v>35</v>
      </c>
      <c r="T68" s="5">
        <f t="shared" si="5"/>
        <v>35</v>
      </c>
      <c r="U68" s="5"/>
      <c r="V68" s="5"/>
      <c r="W68" s="1"/>
      <c r="X68" s="1">
        <f>(F68+O68+P68+S68)/Q68</f>
        <v>14</v>
      </c>
      <c r="Y68" s="1">
        <f t="shared" si="18"/>
        <v>10.5</v>
      </c>
      <c r="Z68" s="1">
        <v>9.4</v>
      </c>
      <c r="AA68" s="1">
        <v>8</v>
      </c>
      <c r="AB68" s="1">
        <v>7.6</v>
      </c>
      <c r="AC68" s="1">
        <v>12.6</v>
      </c>
      <c r="AD68" s="1">
        <v>5.4</v>
      </c>
      <c r="AE68" s="1"/>
      <c r="AF68" s="1">
        <f t="shared" si="6"/>
        <v>12.25</v>
      </c>
      <c r="AG68" s="1">
        <f t="shared" si="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106</v>
      </c>
      <c r="B69" s="1" t="s">
        <v>32</v>
      </c>
      <c r="C69" s="1">
        <v>1968</v>
      </c>
      <c r="D69" s="1">
        <v>70</v>
      </c>
      <c r="E69" s="1">
        <v>657</v>
      </c>
      <c r="F69" s="1">
        <v>1299</v>
      </c>
      <c r="G69" s="6">
        <v>0.41</v>
      </c>
      <c r="H69" s="1">
        <v>50</v>
      </c>
      <c r="I69" s="1">
        <v>7080</v>
      </c>
      <c r="J69" s="1"/>
      <c r="K69" s="1">
        <v>763</v>
      </c>
      <c r="L69" s="1">
        <f t="shared" si="16"/>
        <v>-106</v>
      </c>
      <c r="M69" s="1"/>
      <c r="N69" s="1"/>
      <c r="O69" s="1">
        <v>0</v>
      </c>
      <c r="P69" s="1">
        <v>0</v>
      </c>
      <c r="Q69" s="1">
        <f t="shared" si="17"/>
        <v>131.4</v>
      </c>
      <c r="R69" s="5">
        <f t="shared" si="23"/>
        <v>540.60000000000014</v>
      </c>
      <c r="S69" s="5">
        <f t="shared" si="8"/>
        <v>541</v>
      </c>
      <c r="T69" s="5">
        <f t="shared" si="5"/>
        <v>223</v>
      </c>
      <c r="U69" s="5">
        <f t="shared" ref="U69:U70" si="24">ROUND(S69/1.7,0)</f>
        <v>318</v>
      </c>
      <c r="V69" s="5"/>
      <c r="W69" s="1"/>
      <c r="X69" s="1">
        <f>(F69+O69+P69+S69)/Q69</f>
        <v>14.003044140030442</v>
      </c>
      <c r="Y69" s="1">
        <f t="shared" si="18"/>
        <v>9.8858447488584478</v>
      </c>
      <c r="Z69" s="1">
        <v>124</v>
      </c>
      <c r="AA69" s="1">
        <v>154.19999999999999</v>
      </c>
      <c r="AB69" s="1">
        <v>270.60000000000002</v>
      </c>
      <c r="AC69" s="1">
        <v>133</v>
      </c>
      <c r="AD69" s="1">
        <v>136.80000000000001</v>
      </c>
      <c r="AE69" s="1" t="s">
        <v>43</v>
      </c>
      <c r="AF69" s="1">
        <f t="shared" si="6"/>
        <v>91.429999999999993</v>
      </c>
      <c r="AG69" s="1">
        <f t="shared" si="7"/>
        <v>130.38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107</v>
      </c>
      <c r="B70" s="1" t="s">
        <v>35</v>
      </c>
      <c r="C70" s="1">
        <v>17.033999999999999</v>
      </c>
      <c r="D70" s="1">
        <v>238.05600000000001</v>
      </c>
      <c r="E70" s="1">
        <v>126.09099999999999</v>
      </c>
      <c r="F70" s="1">
        <v>122.089</v>
      </c>
      <c r="G70" s="6">
        <v>1</v>
      </c>
      <c r="H70" s="1"/>
      <c r="I70" s="1">
        <v>7083</v>
      </c>
      <c r="J70" s="1"/>
      <c r="K70" s="1">
        <v>129.80000000000001</v>
      </c>
      <c r="L70" s="1">
        <f t="shared" ref="L70:L99" si="25">E70-K70</f>
        <v>-3.7090000000000174</v>
      </c>
      <c r="M70" s="1"/>
      <c r="N70" s="1"/>
      <c r="O70" s="1">
        <v>60</v>
      </c>
      <c r="P70" s="1">
        <v>60</v>
      </c>
      <c r="Q70" s="1">
        <f t="shared" ref="Q70:Q99" si="26">E70/5</f>
        <v>25.2182</v>
      </c>
      <c r="R70" s="5">
        <f t="shared" si="23"/>
        <v>110.9658</v>
      </c>
      <c r="S70" s="5">
        <f t="shared" si="8"/>
        <v>111</v>
      </c>
      <c r="T70" s="5">
        <f t="shared" si="5"/>
        <v>46</v>
      </c>
      <c r="U70" s="5">
        <f t="shared" si="24"/>
        <v>65</v>
      </c>
      <c r="V70" s="5"/>
      <c r="W70" s="1"/>
      <c r="X70" s="1">
        <f>(F70+O70+P70+S70)/Q70</f>
        <v>14.001356163405795</v>
      </c>
      <c r="Y70" s="1">
        <f t="shared" ref="Y70:Y99" si="27">(F70+O70+P70)/Q70</f>
        <v>9.599773179687686</v>
      </c>
      <c r="Z70" s="1">
        <v>39</v>
      </c>
      <c r="AA70" s="1">
        <v>44.2</v>
      </c>
      <c r="AB70" s="1">
        <v>23.9648</v>
      </c>
      <c r="AC70" s="1">
        <v>22.8184</v>
      </c>
      <c r="AD70" s="1">
        <v>27.2654</v>
      </c>
      <c r="AE70" s="1"/>
      <c r="AF70" s="1">
        <f t="shared" si="6"/>
        <v>46</v>
      </c>
      <c r="AG70" s="1">
        <f t="shared" si="7"/>
        <v>65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108</v>
      </c>
      <c r="B71" s="1" t="s">
        <v>32</v>
      </c>
      <c r="C71" s="1"/>
      <c r="D71" s="1">
        <v>24</v>
      </c>
      <c r="E71" s="1">
        <v>15</v>
      </c>
      <c r="F71" s="1"/>
      <c r="G71" s="6">
        <v>0.3</v>
      </c>
      <c r="H71" s="1">
        <v>50</v>
      </c>
      <c r="I71" s="1">
        <v>7090</v>
      </c>
      <c r="J71" s="1"/>
      <c r="K71" s="1">
        <v>173</v>
      </c>
      <c r="L71" s="1">
        <f t="shared" si="25"/>
        <v>-158</v>
      </c>
      <c r="M71" s="1"/>
      <c r="N71" s="1"/>
      <c r="O71" s="1">
        <v>0</v>
      </c>
      <c r="P71" s="1">
        <v>0</v>
      </c>
      <c r="Q71" s="1">
        <f t="shared" si="26"/>
        <v>3</v>
      </c>
      <c r="R71" s="5">
        <f>9*Q71-P71-O71-F71</f>
        <v>27</v>
      </c>
      <c r="S71" s="5">
        <f t="shared" ref="S71:S97" si="28">ROUND(R71,0)</f>
        <v>27</v>
      </c>
      <c r="T71" s="5">
        <f t="shared" ref="T71:T99" si="29">ROUND(S71-U71,0)</f>
        <v>27</v>
      </c>
      <c r="U71" s="5"/>
      <c r="V71" s="5"/>
      <c r="W71" s="1"/>
      <c r="X71" s="1">
        <f t="shared" ref="X71:X99" si="30">(F71+O71+P71+S71)/Q71</f>
        <v>9</v>
      </c>
      <c r="Y71" s="1">
        <f t="shared" si="27"/>
        <v>0</v>
      </c>
      <c r="Z71" s="1">
        <v>-0.6</v>
      </c>
      <c r="AA71" s="1">
        <v>7.2</v>
      </c>
      <c r="AB71" s="1">
        <v>39.799999999999997</v>
      </c>
      <c r="AC71" s="1">
        <v>10.6</v>
      </c>
      <c r="AD71" s="1">
        <v>1.2</v>
      </c>
      <c r="AE71" s="1"/>
      <c r="AF71" s="1">
        <f t="shared" ref="AF71:AF99" si="31">G71*T71</f>
        <v>8.1</v>
      </c>
      <c r="AG71" s="1">
        <f t="shared" ref="AG71:AG99" si="32">G71*U71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109</v>
      </c>
      <c r="B72" s="1" t="s">
        <v>32</v>
      </c>
      <c r="C72" s="1">
        <v>409</v>
      </c>
      <c r="D72" s="1">
        <v>161</v>
      </c>
      <c r="E72" s="1">
        <v>206</v>
      </c>
      <c r="F72" s="1">
        <v>355</v>
      </c>
      <c r="G72" s="6">
        <v>0.18</v>
      </c>
      <c r="H72" s="1">
        <v>50</v>
      </c>
      <c r="I72" s="1">
        <v>7103</v>
      </c>
      <c r="J72" s="1"/>
      <c r="K72" s="1">
        <v>215</v>
      </c>
      <c r="L72" s="1">
        <f t="shared" si="25"/>
        <v>-9</v>
      </c>
      <c r="M72" s="1"/>
      <c r="N72" s="1"/>
      <c r="O72" s="1">
        <v>0</v>
      </c>
      <c r="P72" s="1">
        <v>0</v>
      </c>
      <c r="Q72" s="1">
        <f t="shared" si="26"/>
        <v>41.2</v>
      </c>
      <c r="R72" s="5">
        <f t="shared" si="23"/>
        <v>221.80000000000007</v>
      </c>
      <c r="S72" s="5">
        <f t="shared" ref="S72:S73" si="33">V72</f>
        <v>250</v>
      </c>
      <c r="T72" s="5">
        <f t="shared" si="29"/>
        <v>103</v>
      </c>
      <c r="U72" s="5">
        <f>ROUND(S72/1.7,0)</f>
        <v>147</v>
      </c>
      <c r="V72" s="5">
        <v>250</v>
      </c>
      <c r="W72" s="1"/>
      <c r="X72" s="1">
        <f t="shared" si="30"/>
        <v>14.684466019417474</v>
      </c>
      <c r="Y72" s="1">
        <f t="shared" si="27"/>
        <v>8.616504854368932</v>
      </c>
      <c r="Z72" s="1">
        <v>48.6</v>
      </c>
      <c r="AA72" s="1">
        <v>28</v>
      </c>
      <c r="AB72" s="1">
        <v>25.8</v>
      </c>
      <c r="AC72" s="1">
        <v>49.4</v>
      </c>
      <c r="AD72" s="1">
        <v>15.2</v>
      </c>
      <c r="AE72" s="1" t="s">
        <v>43</v>
      </c>
      <c r="AF72" s="1">
        <f t="shared" si="31"/>
        <v>18.54</v>
      </c>
      <c r="AG72" s="1">
        <f t="shared" si="32"/>
        <v>26.459999999999997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110</v>
      </c>
      <c r="B73" s="1" t="s">
        <v>32</v>
      </c>
      <c r="C73" s="1">
        <v>12</v>
      </c>
      <c r="D73" s="1"/>
      <c r="E73" s="1">
        <v>9</v>
      </c>
      <c r="F73" s="1">
        <v>3</v>
      </c>
      <c r="G73" s="6">
        <v>0.22</v>
      </c>
      <c r="H73" s="1">
        <v>120</v>
      </c>
      <c r="I73" s="1">
        <v>7147</v>
      </c>
      <c r="J73" s="1"/>
      <c r="K73" s="1">
        <v>10</v>
      </c>
      <c r="L73" s="1">
        <f t="shared" si="25"/>
        <v>-1</v>
      </c>
      <c r="M73" s="1"/>
      <c r="N73" s="1"/>
      <c r="O73" s="1">
        <v>12</v>
      </c>
      <c r="P73" s="1">
        <v>12</v>
      </c>
      <c r="Q73" s="1">
        <f t="shared" si="26"/>
        <v>1.8</v>
      </c>
      <c r="R73" s="5"/>
      <c r="S73" s="5">
        <f t="shared" si="33"/>
        <v>30</v>
      </c>
      <c r="T73" s="5">
        <f t="shared" si="29"/>
        <v>30</v>
      </c>
      <c r="U73" s="5"/>
      <c r="V73" s="5">
        <v>30</v>
      </c>
      <c r="W73" s="1"/>
      <c r="X73" s="1">
        <f t="shared" si="30"/>
        <v>31.666666666666664</v>
      </c>
      <c r="Y73" s="1">
        <f t="shared" si="27"/>
        <v>15</v>
      </c>
      <c r="Z73" s="1">
        <v>3</v>
      </c>
      <c r="AA73" s="1">
        <v>2.4</v>
      </c>
      <c r="AB73" s="1">
        <v>2.4</v>
      </c>
      <c r="AC73" s="1">
        <v>1.6</v>
      </c>
      <c r="AD73" s="1">
        <v>5.2</v>
      </c>
      <c r="AE73" s="1"/>
      <c r="AF73" s="1">
        <f t="shared" si="31"/>
        <v>6.6</v>
      </c>
      <c r="AG73" s="1">
        <f t="shared" si="32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112</v>
      </c>
      <c r="B74" s="1" t="s">
        <v>32</v>
      </c>
      <c r="C74" s="1">
        <v>772</v>
      </c>
      <c r="D74" s="1">
        <v>426</v>
      </c>
      <c r="E74" s="1">
        <v>749</v>
      </c>
      <c r="F74" s="1">
        <v>377</v>
      </c>
      <c r="G74" s="6">
        <v>0.35</v>
      </c>
      <c r="H74" s="1">
        <v>50</v>
      </c>
      <c r="I74" s="1">
        <v>7154</v>
      </c>
      <c r="J74" s="1"/>
      <c r="K74" s="1">
        <v>820.8</v>
      </c>
      <c r="L74" s="1">
        <f t="shared" si="25"/>
        <v>-71.799999999999955</v>
      </c>
      <c r="M74" s="1"/>
      <c r="N74" s="1"/>
      <c r="O74" s="1">
        <v>600</v>
      </c>
      <c r="P74" s="1">
        <v>600</v>
      </c>
      <c r="Q74" s="1">
        <f t="shared" si="26"/>
        <v>149.80000000000001</v>
      </c>
      <c r="R74" s="5">
        <f t="shared" si="23"/>
        <v>520.20000000000027</v>
      </c>
      <c r="S74" s="5">
        <f t="shared" si="28"/>
        <v>520</v>
      </c>
      <c r="T74" s="5">
        <f t="shared" si="29"/>
        <v>214</v>
      </c>
      <c r="U74" s="5">
        <f t="shared" ref="U74:U75" si="34">ROUND(S74/1.7,0)</f>
        <v>306</v>
      </c>
      <c r="V74" s="5"/>
      <c r="W74" s="1"/>
      <c r="X74" s="1">
        <f t="shared" si="30"/>
        <v>13.998664886515353</v>
      </c>
      <c r="Y74" s="1">
        <f t="shared" si="27"/>
        <v>10.527369826435246</v>
      </c>
      <c r="Z74" s="1">
        <v>176.6688</v>
      </c>
      <c r="AA74" s="1">
        <v>152.4</v>
      </c>
      <c r="AB74" s="1">
        <v>142.6</v>
      </c>
      <c r="AC74" s="1">
        <v>166</v>
      </c>
      <c r="AD74" s="1">
        <v>139</v>
      </c>
      <c r="AE74" s="1" t="s">
        <v>33</v>
      </c>
      <c r="AF74" s="1">
        <f t="shared" si="31"/>
        <v>74.899999999999991</v>
      </c>
      <c r="AG74" s="1">
        <f t="shared" si="32"/>
        <v>107.1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113</v>
      </c>
      <c r="B75" s="1" t="s">
        <v>35</v>
      </c>
      <c r="C75" s="1">
        <v>128.054</v>
      </c>
      <c r="D75" s="1">
        <v>65.975999999999999</v>
      </c>
      <c r="E75" s="1">
        <v>109.88800000000001</v>
      </c>
      <c r="F75" s="1">
        <v>80.759</v>
      </c>
      <c r="G75" s="6">
        <v>1</v>
      </c>
      <c r="H75" s="1">
        <v>50</v>
      </c>
      <c r="I75" s="1">
        <v>7157</v>
      </c>
      <c r="J75" s="1"/>
      <c r="K75" s="1">
        <v>107.8</v>
      </c>
      <c r="L75" s="1">
        <f t="shared" si="25"/>
        <v>2.0880000000000081</v>
      </c>
      <c r="M75" s="1"/>
      <c r="N75" s="1"/>
      <c r="O75" s="1">
        <v>60</v>
      </c>
      <c r="P75" s="1">
        <v>60</v>
      </c>
      <c r="Q75" s="1">
        <f t="shared" si="26"/>
        <v>21.977600000000002</v>
      </c>
      <c r="R75" s="5">
        <f t="shared" si="23"/>
        <v>106.92740000000005</v>
      </c>
      <c r="S75" s="5">
        <f t="shared" si="28"/>
        <v>107</v>
      </c>
      <c r="T75" s="5">
        <f t="shared" si="29"/>
        <v>44</v>
      </c>
      <c r="U75" s="5">
        <f t="shared" si="34"/>
        <v>63</v>
      </c>
      <c r="V75" s="5"/>
      <c r="W75" s="1"/>
      <c r="X75" s="1">
        <f t="shared" si="30"/>
        <v>14.003303363424576</v>
      </c>
      <c r="Y75" s="1">
        <f t="shared" si="27"/>
        <v>9.1347098864298193</v>
      </c>
      <c r="Z75" s="1">
        <v>24.486999999999998</v>
      </c>
      <c r="AA75" s="1">
        <v>16.852399999999999</v>
      </c>
      <c r="AB75" s="1">
        <v>27.894400000000001</v>
      </c>
      <c r="AC75" s="1">
        <v>17.2348</v>
      </c>
      <c r="AD75" s="1">
        <v>19.504200000000001</v>
      </c>
      <c r="AE75" s="1"/>
      <c r="AF75" s="1">
        <f t="shared" si="31"/>
        <v>44</v>
      </c>
      <c r="AG75" s="1">
        <f t="shared" si="32"/>
        <v>63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114</v>
      </c>
      <c r="B76" s="1" t="s">
        <v>32</v>
      </c>
      <c r="C76" s="1">
        <v>14</v>
      </c>
      <c r="D76" s="1"/>
      <c r="E76" s="1"/>
      <c r="F76" s="1">
        <v>14</v>
      </c>
      <c r="G76" s="6">
        <v>0.62</v>
      </c>
      <c r="H76" s="1"/>
      <c r="I76" s="1">
        <v>7163</v>
      </c>
      <c r="J76" s="1"/>
      <c r="K76" s="1">
        <v>3.2</v>
      </c>
      <c r="L76" s="1">
        <f t="shared" si="25"/>
        <v>-3.2</v>
      </c>
      <c r="M76" s="1"/>
      <c r="N76" s="1"/>
      <c r="O76" s="1">
        <v>0</v>
      </c>
      <c r="P76" s="1">
        <v>0</v>
      </c>
      <c r="Q76" s="1">
        <f t="shared" si="26"/>
        <v>0</v>
      </c>
      <c r="R76" s="5"/>
      <c r="S76" s="5">
        <f t="shared" si="28"/>
        <v>0</v>
      </c>
      <c r="T76" s="5">
        <f t="shared" si="29"/>
        <v>0</v>
      </c>
      <c r="U76" s="5"/>
      <c r="V76" s="5"/>
      <c r="W76" s="1"/>
      <c r="X76" s="1" t="e">
        <f t="shared" si="30"/>
        <v>#DIV/0!</v>
      </c>
      <c r="Y76" s="1" t="e">
        <f t="shared" si="27"/>
        <v>#DIV/0!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/>
      <c r="AF76" s="1">
        <f t="shared" si="31"/>
        <v>0</v>
      </c>
      <c r="AG76" s="1">
        <f t="shared" si="32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115</v>
      </c>
      <c r="B77" s="1" t="s">
        <v>35</v>
      </c>
      <c r="C77" s="1">
        <v>38.319000000000003</v>
      </c>
      <c r="D77" s="1">
        <v>553.19299999999998</v>
      </c>
      <c r="E77" s="1">
        <v>264.94200000000001</v>
      </c>
      <c r="F77" s="1">
        <v>319.75400000000002</v>
      </c>
      <c r="G77" s="6">
        <v>1</v>
      </c>
      <c r="H77" s="1">
        <v>50</v>
      </c>
      <c r="I77" s="1">
        <v>7166</v>
      </c>
      <c r="J77" s="1"/>
      <c r="K77" s="1">
        <v>262.3</v>
      </c>
      <c r="L77" s="1">
        <f t="shared" si="25"/>
        <v>2.6419999999999959</v>
      </c>
      <c r="M77" s="1"/>
      <c r="N77" s="1"/>
      <c r="O77" s="1">
        <v>110</v>
      </c>
      <c r="P77" s="1">
        <v>110</v>
      </c>
      <c r="Q77" s="1">
        <f t="shared" si="26"/>
        <v>52.988399999999999</v>
      </c>
      <c r="R77" s="5">
        <f t="shared" si="23"/>
        <v>202.08359999999993</v>
      </c>
      <c r="S77" s="5">
        <f t="shared" ref="S77:S78" si="35">V77</f>
        <v>230</v>
      </c>
      <c r="T77" s="5">
        <f t="shared" si="29"/>
        <v>95</v>
      </c>
      <c r="U77" s="5">
        <f t="shared" ref="U77:U79" si="36">ROUND(S77/1.7,0)</f>
        <v>135</v>
      </c>
      <c r="V77" s="5">
        <v>230</v>
      </c>
      <c r="W77" s="1"/>
      <c r="X77" s="1">
        <f t="shared" si="30"/>
        <v>14.526839836643493</v>
      </c>
      <c r="Y77" s="1">
        <f t="shared" si="27"/>
        <v>10.186267183006093</v>
      </c>
      <c r="Z77" s="1">
        <v>77.6614</v>
      </c>
      <c r="AA77" s="1">
        <v>51.933399999999992</v>
      </c>
      <c r="AB77" s="1">
        <v>61.083799999999997</v>
      </c>
      <c r="AC77" s="1">
        <v>50.800600000000003</v>
      </c>
      <c r="AD77" s="1">
        <v>63.891399999999997</v>
      </c>
      <c r="AE77" s="1"/>
      <c r="AF77" s="1">
        <f t="shared" si="31"/>
        <v>95</v>
      </c>
      <c r="AG77" s="1">
        <f t="shared" si="32"/>
        <v>135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116</v>
      </c>
      <c r="B78" s="1" t="s">
        <v>32</v>
      </c>
      <c r="C78" s="1">
        <v>1677</v>
      </c>
      <c r="D78" s="1">
        <v>147</v>
      </c>
      <c r="E78" s="1">
        <v>701.40899999999999</v>
      </c>
      <c r="F78" s="1">
        <v>947.59100000000001</v>
      </c>
      <c r="G78" s="6">
        <v>0.35</v>
      </c>
      <c r="H78" s="1">
        <v>50</v>
      </c>
      <c r="I78" s="1">
        <v>7169</v>
      </c>
      <c r="J78" s="1"/>
      <c r="K78" s="1">
        <v>876.4</v>
      </c>
      <c r="L78" s="1">
        <f t="shared" si="25"/>
        <v>-174.99099999999999</v>
      </c>
      <c r="M78" s="1"/>
      <c r="N78" s="1"/>
      <c r="O78" s="1">
        <v>400</v>
      </c>
      <c r="P78" s="1">
        <v>400</v>
      </c>
      <c r="Q78" s="1">
        <f t="shared" si="26"/>
        <v>140.2818</v>
      </c>
      <c r="R78" s="5">
        <f t="shared" si="23"/>
        <v>216.35420000000011</v>
      </c>
      <c r="S78" s="5">
        <f t="shared" si="35"/>
        <v>240</v>
      </c>
      <c r="T78" s="5">
        <f t="shared" si="29"/>
        <v>99</v>
      </c>
      <c r="U78" s="5">
        <f t="shared" si="36"/>
        <v>141</v>
      </c>
      <c r="V78" s="5">
        <v>240</v>
      </c>
      <c r="W78" s="1"/>
      <c r="X78" s="1">
        <f t="shared" si="30"/>
        <v>14.168559285666422</v>
      </c>
      <c r="Y78" s="1">
        <f t="shared" si="27"/>
        <v>12.457717251988496</v>
      </c>
      <c r="Z78" s="1">
        <v>173.4</v>
      </c>
      <c r="AA78" s="1">
        <v>162.80000000000001</v>
      </c>
      <c r="AB78" s="1">
        <v>250.2</v>
      </c>
      <c r="AC78" s="1">
        <v>195.6</v>
      </c>
      <c r="AD78" s="1">
        <v>125.8</v>
      </c>
      <c r="AE78" s="1"/>
      <c r="AF78" s="1">
        <f t="shared" si="31"/>
        <v>34.65</v>
      </c>
      <c r="AG78" s="1">
        <f t="shared" si="32"/>
        <v>49.349999999999994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117</v>
      </c>
      <c r="B79" s="1" t="s">
        <v>32</v>
      </c>
      <c r="C79" s="1">
        <v>43</v>
      </c>
      <c r="D79" s="1">
        <v>60</v>
      </c>
      <c r="E79" s="1">
        <v>103</v>
      </c>
      <c r="F79" s="1">
        <v>-3</v>
      </c>
      <c r="G79" s="8">
        <v>0.3</v>
      </c>
      <c r="H79">
        <v>50</v>
      </c>
      <c r="I79" s="1">
        <v>7187</v>
      </c>
      <c r="J79" s="1"/>
      <c r="K79" s="1">
        <v>116</v>
      </c>
      <c r="L79" s="1">
        <f t="shared" si="25"/>
        <v>-13</v>
      </c>
      <c r="M79" s="1"/>
      <c r="N79" s="1"/>
      <c r="O79" s="1">
        <v>0</v>
      </c>
      <c r="P79" s="1">
        <v>0</v>
      </c>
      <c r="Q79" s="1">
        <f t="shared" si="26"/>
        <v>20.6</v>
      </c>
      <c r="R79" s="5">
        <f>9*Q79-P79-O79-F79</f>
        <v>188.4</v>
      </c>
      <c r="S79" s="5">
        <f t="shared" si="28"/>
        <v>188</v>
      </c>
      <c r="T79" s="5">
        <f t="shared" si="29"/>
        <v>77</v>
      </c>
      <c r="U79" s="5">
        <f t="shared" si="36"/>
        <v>111</v>
      </c>
      <c r="V79" s="5"/>
      <c r="W79" s="1"/>
      <c r="X79" s="1">
        <f t="shared" si="30"/>
        <v>8.9805825242718438</v>
      </c>
      <c r="Y79" s="1">
        <f t="shared" si="27"/>
        <v>-0.14563106796116504</v>
      </c>
      <c r="Z79" s="1">
        <v>1</v>
      </c>
      <c r="AA79" s="1">
        <v>0</v>
      </c>
      <c r="AB79" s="1">
        <v>0</v>
      </c>
      <c r="AC79" s="1">
        <v>0</v>
      </c>
      <c r="AD79" s="1">
        <v>17.8</v>
      </c>
      <c r="AE79" s="1"/>
      <c r="AF79" s="1">
        <f t="shared" si="31"/>
        <v>23.099999999999998</v>
      </c>
      <c r="AG79" s="1">
        <f t="shared" si="32"/>
        <v>33.299999999999997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118</v>
      </c>
      <c r="B80" s="1" t="s">
        <v>32</v>
      </c>
      <c r="C80" s="1">
        <v>113</v>
      </c>
      <c r="D80" s="1">
        <v>11</v>
      </c>
      <c r="E80" s="1">
        <v>71</v>
      </c>
      <c r="F80" s="1">
        <v>42</v>
      </c>
      <c r="G80" s="6">
        <v>0.3</v>
      </c>
      <c r="H80" s="1">
        <v>60</v>
      </c>
      <c r="I80" s="1">
        <v>7231</v>
      </c>
      <c r="J80" s="1"/>
      <c r="K80" s="1">
        <v>85</v>
      </c>
      <c r="L80" s="1">
        <f t="shared" si="25"/>
        <v>-14</v>
      </c>
      <c r="M80" s="1"/>
      <c r="N80" s="1"/>
      <c r="O80" s="1">
        <v>50</v>
      </c>
      <c r="P80" s="1">
        <v>50</v>
      </c>
      <c r="Q80" s="1">
        <f t="shared" si="26"/>
        <v>14.2</v>
      </c>
      <c r="R80" s="5">
        <f t="shared" si="23"/>
        <v>56.799999999999983</v>
      </c>
      <c r="S80" s="5">
        <f t="shared" si="28"/>
        <v>57</v>
      </c>
      <c r="T80" s="5">
        <f t="shared" si="29"/>
        <v>57</v>
      </c>
      <c r="U80" s="5"/>
      <c r="V80" s="5"/>
      <c r="W80" s="1"/>
      <c r="X80" s="1">
        <f t="shared" si="30"/>
        <v>14.014084507042254</v>
      </c>
      <c r="Y80" s="1">
        <f t="shared" si="27"/>
        <v>10</v>
      </c>
      <c r="Z80" s="1">
        <v>15</v>
      </c>
      <c r="AA80" s="1">
        <v>7.6</v>
      </c>
      <c r="AB80" s="1">
        <v>19</v>
      </c>
      <c r="AC80" s="1">
        <v>10.199999999999999</v>
      </c>
      <c r="AD80" s="1">
        <v>9.6</v>
      </c>
      <c r="AE80" s="1"/>
      <c r="AF80" s="1">
        <f t="shared" si="31"/>
        <v>17.099999999999998</v>
      </c>
      <c r="AG80" s="1">
        <f t="shared" si="32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119</v>
      </c>
      <c r="B81" s="1" t="s">
        <v>32</v>
      </c>
      <c r="C81" s="1">
        <v>28</v>
      </c>
      <c r="D81" s="1">
        <v>340</v>
      </c>
      <c r="E81" s="1">
        <v>126</v>
      </c>
      <c r="F81" s="1">
        <v>232</v>
      </c>
      <c r="G81" s="6">
        <v>0.28000000000000003</v>
      </c>
      <c r="H81" s="1">
        <v>50</v>
      </c>
      <c r="I81" s="1">
        <v>7232</v>
      </c>
      <c r="J81" s="1"/>
      <c r="K81" s="1">
        <v>134</v>
      </c>
      <c r="L81" s="1">
        <f t="shared" si="25"/>
        <v>-8</v>
      </c>
      <c r="M81" s="1"/>
      <c r="N81" s="1"/>
      <c r="O81" s="1">
        <v>0</v>
      </c>
      <c r="P81" s="1">
        <v>0</v>
      </c>
      <c r="Q81" s="1">
        <f t="shared" si="26"/>
        <v>25.2</v>
      </c>
      <c r="R81" s="5">
        <f t="shared" si="23"/>
        <v>120.80000000000001</v>
      </c>
      <c r="S81" s="5">
        <f t="shared" si="28"/>
        <v>121</v>
      </c>
      <c r="T81" s="5">
        <f t="shared" si="29"/>
        <v>50</v>
      </c>
      <c r="U81" s="5">
        <f>ROUND(S81/1.7,0)</f>
        <v>71</v>
      </c>
      <c r="V81" s="5"/>
      <c r="W81" s="1"/>
      <c r="X81" s="1">
        <f t="shared" si="30"/>
        <v>14.007936507936508</v>
      </c>
      <c r="Y81" s="1">
        <f t="shared" si="27"/>
        <v>9.2063492063492074</v>
      </c>
      <c r="Z81" s="1">
        <v>32.6</v>
      </c>
      <c r="AA81" s="1">
        <v>18.8</v>
      </c>
      <c r="AB81" s="1">
        <v>33.6</v>
      </c>
      <c r="AC81" s="1">
        <v>27</v>
      </c>
      <c r="AD81" s="1">
        <v>37</v>
      </c>
      <c r="AE81" s="1" t="s">
        <v>43</v>
      </c>
      <c r="AF81" s="1">
        <f t="shared" si="31"/>
        <v>14.000000000000002</v>
      </c>
      <c r="AG81" s="1">
        <f t="shared" si="32"/>
        <v>19.880000000000003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120</v>
      </c>
      <c r="B82" s="1" t="s">
        <v>32</v>
      </c>
      <c r="C82" s="1">
        <v>115</v>
      </c>
      <c r="D82" s="1">
        <v>49</v>
      </c>
      <c r="E82" s="1">
        <v>42</v>
      </c>
      <c r="F82" s="1">
        <v>112</v>
      </c>
      <c r="G82" s="6">
        <v>0.28000000000000003</v>
      </c>
      <c r="H82" s="1">
        <v>45</v>
      </c>
      <c r="I82" s="1">
        <v>7236</v>
      </c>
      <c r="J82" s="1"/>
      <c r="K82" s="1">
        <v>400</v>
      </c>
      <c r="L82" s="1">
        <f t="shared" si="25"/>
        <v>-358</v>
      </c>
      <c r="M82" s="1"/>
      <c r="N82" s="1"/>
      <c r="O82" s="1">
        <v>330</v>
      </c>
      <c r="P82" s="1">
        <v>330</v>
      </c>
      <c r="Q82" s="1">
        <f t="shared" si="26"/>
        <v>8.4</v>
      </c>
      <c r="R82" s="5"/>
      <c r="S82" s="5">
        <f t="shared" si="28"/>
        <v>0</v>
      </c>
      <c r="T82" s="5">
        <f t="shared" si="29"/>
        <v>0</v>
      </c>
      <c r="U82" s="5"/>
      <c r="V82" s="5"/>
      <c r="W82" s="1"/>
      <c r="X82" s="1">
        <f t="shared" si="30"/>
        <v>91.904761904761898</v>
      </c>
      <c r="Y82" s="1">
        <f t="shared" si="27"/>
        <v>91.904761904761898</v>
      </c>
      <c r="Z82" s="1">
        <v>60.4</v>
      </c>
      <c r="AA82" s="1">
        <v>40.799999999999997</v>
      </c>
      <c r="AB82" s="1">
        <v>41.2</v>
      </c>
      <c r="AC82" s="1">
        <v>42.6</v>
      </c>
      <c r="AD82" s="1">
        <v>22.4</v>
      </c>
      <c r="AE82" s="16" t="s">
        <v>111</v>
      </c>
      <c r="AF82" s="1">
        <f t="shared" si="31"/>
        <v>0</v>
      </c>
      <c r="AG82" s="1">
        <f t="shared" si="32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121</v>
      </c>
      <c r="B83" s="1" t="s">
        <v>32</v>
      </c>
      <c r="C83" s="1">
        <v>63</v>
      </c>
      <c r="D83" s="1">
        <v>114</v>
      </c>
      <c r="E83" s="1">
        <v>46</v>
      </c>
      <c r="F83" s="1">
        <v>125</v>
      </c>
      <c r="G83" s="6">
        <v>0.28000000000000003</v>
      </c>
      <c r="H83" s="1">
        <v>45</v>
      </c>
      <c r="I83" s="1">
        <v>7237</v>
      </c>
      <c r="J83" s="1"/>
      <c r="K83" s="1">
        <v>54</v>
      </c>
      <c r="L83" s="1">
        <f t="shared" si="25"/>
        <v>-8</v>
      </c>
      <c r="M83" s="1"/>
      <c r="N83" s="1"/>
      <c r="O83" s="1">
        <v>0</v>
      </c>
      <c r="P83" s="1">
        <v>0</v>
      </c>
      <c r="Q83" s="1">
        <f t="shared" si="26"/>
        <v>9.1999999999999993</v>
      </c>
      <c r="R83" s="5">
        <v>8</v>
      </c>
      <c r="S83" s="5">
        <f t="shared" si="28"/>
        <v>8</v>
      </c>
      <c r="T83" s="5">
        <f t="shared" si="29"/>
        <v>8</v>
      </c>
      <c r="U83" s="5"/>
      <c r="V83" s="5"/>
      <c r="W83" s="1"/>
      <c r="X83" s="1">
        <f t="shared" si="30"/>
        <v>14.456521739130435</v>
      </c>
      <c r="Y83" s="1">
        <f t="shared" si="27"/>
        <v>13.586956521739131</v>
      </c>
      <c r="Z83" s="1">
        <v>10.8</v>
      </c>
      <c r="AA83" s="1">
        <v>17.600000000000001</v>
      </c>
      <c r="AB83" s="1">
        <v>12</v>
      </c>
      <c r="AC83" s="1">
        <v>16.399999999999999</v>
      </c>
      <c r="AD83" s="1">
        <v>18.600000000000001</v>
      </c>
      <c r="AE83" s="1"/>
      <c r="AF83" s="1">
        <f t="shared" si="31"/>
        <v>2.2400000000000002</v>
      </c>
      <c r="AG83" s="1">
        <f t="shared" si="32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122</v>
      </c>
      <c r="B84" s="1" t="s">
        <v>32</v>
      </c>
      <c r="C84" s="1">
        <v>431</v>
      </c>
      <c r="D84" s="1">
        <v>77</v>
      </c>
      <c r="E84" s="1">
        <v>117</v>
      </c>
      <c r="F84" s="1">
        <v>308</v>
      </c>
      <c r="G84" s="6">
        <v>0.28000000000000003</v>
      </c>
      <c r="H84" s="1">
        <v>45</v>
      </c>
      <c r="I84" s="1">
        <v>7241</v>
      </c>
      <c r="J84" s="1"/>
      <c r="K84" s="1">
        <v>205</v>
      </c>
      <c r="L84" s="1">
        <f t="shared" si="25"/>
        <v>-88</v>
      </c>
      <c r="M84" s="1"/>
      <c r="N84" s="1"/>
      <c r="O84" s="1">
        <v>150</v>
      </c>
      <c r="P84" s="1">
        <v>150</v>
      </c>
      <c r="Q84" s="1">
        <f t="shared" si="26"/>
        <v>23.4</v>
      </c>
      <c r="R84" s="5"/>
      <c r="S84" s="5">
        <f t="shared" si="28"/>
        <v>0</v>
      </c>
      <c r="T84" s="5">
        <f t="shared" si="29"/>
        <v>0</v>
      </c>
      <c r="U84" s="5"/>
      <c r="V84" s="5"/>
      <c r="W84" s="1"/>
      <c r="X84" s="1">
        <f t="shared" si="30"/>
        <v>25.982905982905983</v>
      </c>
      <c r="Y84" s="1">
        <f t="shared" si="27"/>
        <v>25.982905982905983</v>
      </c>
      <c r="Z84" s="1">
        <v>51</v>
      </c>
      <c r="AA84" s="1">
        <v>34</v>
      </c>
      <c r="AB84" s="1">
        <v>10.8</v>
      </c>
      <c r="AC84" s="1">
        <v>50.6</v>
      </c>
      <c r="AD84" s="1">
        <v>9.1999999999999993</v>
      </c>
      <c r="AE84" s="16" t="s">
        <v>111</v>
      </c>
      <c r="AF84" s="1">
        <f t="shared" si="31"/>
        <v>0</v>
      </c>
      <c r="AG84" s="1">
        <f t="shared" si="32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123</v>
      </c>
      <c r="B85" s="1" t="s">
        <v>32</v>
      </c>
      <c r="C85" s="1">
        <v>297</v>
      </c>
      <c r="D85" s="1">
        <v>64</v>
      </c>
      <c r="E85" s="1">
        <v>342</v>
      </c>
      <c r="F85" s="1">
        <v>-2</v>
      </c>
      <c r="G85" s="6">
        <v>0.4</v>
      </c>
      <c r="H85" s="1">
        <v>50</v>
      </c>
      <c r="I85" s="1">
        <v>7255</v>
      </c>
      <c r="J85" s="1"/>
      <c r="K85" s="1">
        <v>421</v>
      </c>
      <c r="L85" s="1">
        <f t="shared" si="25"/>
        <v>-79</v>
      </c>
      <c r="M85" s="1"/>
      <c r="N85" s="1"/>
      <c r="O85" s="1">
        <v>420</v>
      </c>
      <c r="P85" s="1">
        <v>420</v>
      </c>
      <c r="Q85" s="1">
        <f t="shared" si="26"/>
        <v>68.400000000000006</v>
      </c>
      <c r="R85" s="5">
        <f t="shared" si="23"/>
        <v>119.60000000000014</v>
      </c>
      <c r="S85" s="5">
        <f>V85</f>
        <v>140</v>
      </c>
      <c r="T85" s="5">
        <f t="shared" si="29"/>
        <v>58</v>
      </c>
      <c r="U85" s="5">
        <f>ROUND(S85/1.7,0)</f>
        <v>82</v>
      </c>
      <c r="V85" s="5">
        <v>140</v>
      </c>
      <c r="W85" s="1"/>
      <c r="X85" s="1">
        <f t="shared" si="30"/>
        <v>14.298245614035087</v>
      </c>
      <c r="Y85" s="1">
        <f t="shared" si="27"/>
        <v>12.251461988304092</v>
      </c>
      <c r="Z85" s="1">
        <v>89.6</v>
      </c>
      <c r="AA85" s="1">
        <v>57.4</v>
      </c>
      <c r="AB85" s="1">
        <v>83.4</v>
      </c>
      <c r="AC85" s="1">
        <v>67</v>
      </c>
      <c r="AD85" s="1">
        <v>52.6</v>
      </c>
      <c r="AE85" s="1"/>
      <c r="AF85" s="1">
        <f t="shared" si="31"/>
        <v>23.200000000000003</v>
      </c>
      <c r="AG85" s="1">
        <f t="shared" si="32"/>
        <v>32.800000000000004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124</v>
      </c>
      <c r="B86" s="1" t="s">
        <v>32</v>
      </c>
      <c r="C86" s="1">
        <v>67</v>
      </c>
      <c r="D86" s="1">
        <v>102</v>
      </c>
      <c r="E86" s="1">
        <v>9</v>
      </c>
      <c r="F86" s="1">
        <v>156</v>
      </c>
      <c r="G86" s="6">
        <v>0.3</v>
      </c>
      <c r="H86" s="1"/>
      <c r="I86" s="1">
        <v>7276</v>
      </c>
      <c r="J86" s="1"/>
      <c r="K86" s="1">
        <v>13</v>
      </c>
      <c r="L86" s="1">
        <f t="shared" si="25"/>
        <v>-4</v>
      </c>
      <c r="M86" s="1"/>
      <c r="N86" s="1"/>
      <c r="O86" s="1">
        <v>0</v>
      </c>
      <c r="P86" s="1">
        <v>0</v>
      </c>
      <c r="Q86" s="1">
        <f t="shared" si="26"/>
        <v>1.8</v>
      </c>
      <c r="R86" s="5"/>
      <c r="S86" s="5">
        <f t="shared" si="28"/>
        <v>0</v>
      </c>
      <c r="T86" s="5">
        <f t="shared" si="29"/>
        <v>0</v>
      </c>
      <c r="U86" s="5"/>
      <c r="V86" s="5"/>
      <c r="W86" s="1"/>
      <c r="X86" s="1">
        <f t="shared" si="30"/>
        <v>86.666666666666671</v>
      </c>
      <c r="Y86" s="1">
        <f t="shared" si="27"/>
        <v>86.666666666666671</v>
      </c>
      <c r="Z86" s="1">
        <v>2.4</v>
      </c>
      <c r="AA86" s="1">
        <v>10.4</v>
      </c>
      <c r="AB86" s="1">
        <v>6.2</v>
      </c>
      <c r="AC86" s="1">
        <v>11.4</v>
      </c>
      <c r="AD86" s="1">
        <v>13.6</v>
      </c>
      <c r="AE86" s="17" t="s">
        <v>91</v>
      </c>
      <c r="AF86" s="1">
        <f t="shared" si="31"/>
        <v>0</v>
      </c>
      <c r="AG86" s="1">
        <f t="shared" si="32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125</v>
      </c>
      <c r="B87" s="1" t="s">
        <v>32</v>
      </c>
      <c r="C87" s="1">
        <v>31</v>
      </c>
      <c r="D87" s="1">
        <v>9</v>
      </c>
      <c r="E87" s="1">
        <v>17</v>
      </c>
      <c r="F87" s="1">
        <v>12</v>
      </c>
      <c r="G87" s="6">
        <v>0.33</v>
      </c>
      <c r="H87" s="1">
        <v>30</v>
      </c>
      <c r="I87" s="1">
        <v>7284</v>
      </c>
      <c r="J87" s="1"/>
      <c r="K87" s="1">
        <v>29</v>
      </c>
      <c r="L87" s="1">
        <f t="shared" si="25"/>
        <v>-12</v>
      </c>
      <c r="M87" s="1"/>
      <c r="N87" s="1"/>
      <c r="O87" s="1">
        <v>0</v>
      </c>
      <c r="P87" s="1">
        <v>0</v>
      </c>
      <c r="Q87" s="1">
        <f t="shared" si="26"/>
        <v>3.4</v>
      </c>
      <c r="R87" s="5">
        <f>13*Q87-P87-O87-F87</f>
        <v>32.199999999999996</v>
      </c>
      <c r="S87" s="5">
        <f t="shared" si="28"/>
        <v>32</v>
      </c>
      <c r="T87" s="5">
        <f t="shared" si="29"/>
        <v>32</v>
      </c>
      <c r="U87" s="5"/>
      <c r="V87" s="5"/>
      <c r="W87" s="1"/>
      <c r="X87" s="1">
        <f t="shared" si="30"/>
        <v>12.941176470588236</v>
      </c>
      <c r="Y87" s="1">
        <f t="shared" si="27"/>
        <v>3.5294117647058822</v>
      </c>
      <c r="Z87" s="1">
        <v>3.6</v>
      </c>
      <c r="AA87" s="1">
        <v>2.8</v>
      </c>
      <c r="AB87" s="1">
        <v>5.8</v>
      </c>
      <c r="AC87" s="1">
        <v>4</v>
      </c>
      <c r="AD87" s="1">
        <v>1.4</v>
      </c>
      <c r="AE87" s="1"/>
      <c r="AF87" s="1">
        <f t="shared" si="31"/>
        <v>10.56</v>
      </c>
      <c r="AG87" s="1">
        <f t="shared" si="32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126</v>
      </c>
      <c r="B88" s="1" t="s">
        <v>32</v>
      </c>
      <c r="C88" s="1">
        <v>53</v>
      </c>
      <c r="D88" s="1">
        <v>6</v>
      </c>
      <c r="E88" s="1">
        <v>49</v>
      </c>
      <c r="F88" s="1">
        <v>5</v>
      </c>
      <c r="G88" s="6">
        <v>0.1</v>
      </c>
      <c r="H88" s="1">
        <v>60</v>
      </c>
      <c r="I88" s="1">
        <v>7288</v>
      </c>
      <c r="J88" s="1"/>
      <c r="K88" s="1">
        <v>79</v>
      </c>
      <c r="L88" s="1">
        <f t="shared" si="25"/>
        <v>-30</v>
      </c>
      <c r="M88" s="1"/>
      <c r="N88" s="1"/>
      <c r="O88" s="1">
        <v>70</v>
      </c>
      <c r="P88" s="1">
        <v>70</v>
      </c>
      <c r="Q88" s="1">
        <f t="shared" si="26"/>
        <v>9.8000000000000007</v>
      </c>
      <c r="R88" s="5"/>
      <c r="S88" s="5">
        <f>V88</f>
        <v>30</v>
      </c>
      <c r="T88" s="5">
        <f t="shared" si="29"/>
        <v>30</v>
      </c>
      <c r="U88" s="5"/>
      <c r="V88" s="5">
        <v>30</v>
      </c>
      <c r="W88" s="1"/>
      <c r="X88" s="1">
        <f t="shared" si="30"/>
        <v>17.857142857142854</v>
      </c>
      <c r="Y88" s="1">
        <f t="shared" si="27"/>
        <v>14.795918367346937</v>
      </c>
      <c r="Z88" s="1">
        <v>13</v>
      </c>
      <c r="AA88" s="1">
        <v>9.1999999999999993</v>
      </c>
      <c r="AB88" s="1">
        <v>13.6</v>
      </c>
      <c r="AC88" s="1">
        <v>8.8000000000000007</v>
      </c>
      <c r="AD88" s="1">
        <v>5.2</v>
      </c>
      <c r="AE88" s="1"/>
      <c r="AF88" s="1">
        <f t="shared" si="31"/>
        <v>3</v>
      </c>
      <c r="AG88" s="1">
        <f t="shared" si="32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127</v>
      </c>
      <c r="B89" s="1" t="s">
        <v>32</v>
      </c>
      <c r="C89" s="1">
        <v>47</v>
      </c>
      <c r="D89" s="1">
        <v>2</v>
      </c>
      <c r="E89" s="1">
        <v>14</v>
      </c>
      <c r="F89" s="1">
        <v>29</v>
      </c>
      <c r="G89" s="6">
        <v>0.28000000000000003</v>
      </c>
      <c r="H89" s="1">
        <v>50</v>
      </c>
      <c r="I89" s="1">
        <v>7332</v>
      </c>
      <c r="J89" s="1"/>
      <c r="K89" s="1">
        <v>18</v>
      </c>
      <c r="L89" s="1">
        <f t="shared" si="25"/>
        <v>-4</v>
      </c>
      <c r="M89" s="1"/>
      <c r="N89" s="1"/>
      <c r="O89" s="1">
        <v>0</v>
      </c>
      <c r="P89" s="1">
        <v>0</v>
      </c>
      <c r="Q89" s="1">
        <f t="shared" si="26"/>
        <v>2.8</v>
      </c>
      <c r="R89" s="5">
        <f t="shared" si="23"/>
        <v>10.199999999999996</v>
      </c>
      <c r="S89" s="5">
        <f t="shared" si="28"/>
        <v>10</v>
      </c>
      <c r="T89" s="5">
        <f t="shared" si="29"/>
        <v>10</v>
      </c>
      <c r="U89" s="5"/>
      <c r="V89" s="5"/>
      <c r="W89" s="1"/>
      <c r="X89" s="1">
        <f t="shared" si="30"/>
        <v>13.928571428571429</v>
      </c>
      <c r="Y89" s="1">
        <f t="shared" si="27"/>
        <v>10.357142857142858</v>
      </c>
      <c r="Z89" s="1">
        <v>4.4000000000000004</v>
      </c>
      <c r="AA89" s="1">
        <v>0.4</v>
      </c>
      <c r="AB89" s="1">
        <v>3.2</v>
      </c>
      <c r="AC89" s="1">
        <v>6.4</v>
      </c>
      <c r="AD89" s="1">
        <v>3.6</v>
      </c>
      <c r="AE89" s="1"/>
      <c r="AF89" s="1">
        <f t="shared" si="31"/>
        <v>2.8000000000000003</v>
      </c>
      <c r="AG89" s="1">
        <f t="shared" si="32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128</v>
      </c>
      <c r="B90" s="1" t="s">
        <v>32</v>
      </c>
      <c r="C90" s="1">
        <v>41</v>
      </c>
      <c r="D90" s="1">
        <v>4</v>
      </c>
      <c r="E90" s="1">
        <v>15</v>
      </c>
      <c r="F90" s="1">
        <v>26</v>
      </c>
      <c r="G90" s="6">
        <v>0.28000000000000003</v>
      </c>
      <c r="H90" s="1">
        <v>50</v>
      </c>
      <c r="I90" s="1">
        <v>7333</v>
      </c>
      <c r="J90" s="1"/>
      <c r="K90" s="1">
        <v>20</v>
      </c>
      <c r="L90" s="1">
        <f t="shared" si="25"/>
        <v>-5</v>
      </c>
      <c r="M90" s="1"/>
      <c r="N90" s="1"/>
      <c r="O90" s="1">
        <v>0</v>
      </c>
      <c r="P90" s="1">
        <v>0</v>
      </c>
      <c r="Q90" s="1">
        <f t="shared" si="26"/>
        <v>3</v>
      </c>
      <c r="R90" s="5">
        <f t="shared" si="23"/>
        <v>16</v>
      </c>
      <c r="S90" s="5">
        <f t="shared" si="28"/>
        <v>16</v>
      </c>
      <c r="T90" s="5">
        <f t="shared" si="29"/>
        <v>16</v>
      </c>
      <c r="U90" s="5"/>
      <c r="V90" s="5"/>
      <c r="W90" s="1"/>
      <c r="X90" s="1">
        <f t="shared" si="30"/>
        <v>14</v>
      </c>
      <c r="Y90" s="1">
        <f t="shared" si="27"/>
        <v>8.6666666666666661</v>
      </c>
      <c r="Z90" s="1">
        <v>4</v>
      </c>
      <c r="AA90" s="1">
        <v>0.2</v>
      </c>
      <c r="AB90" s="1">
        <v>4.5999999999999996</v>
      </c>
      <c r="AC90" s="1">
        <v>6</v>
      </c>
      <c r="AD90" s="1">
        <v>3.4</v>
      </c>
      <c r="AE90" s="1"/>
      <c r="AF90" s="1">
        <f t="shared" si="31"/>
        <v>4.4800000000000004</v>
      </c>
      <c r="AG90" s="1">
        <f t="shared" si="32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129</v>
      </c>
      <c r="B91" s="1" t="s">
        <v>32</v>
      </c>
      <c r="C91" s="1">
        <v>79</v>
      </c>
      <c r="D91" s="1">
        <v>70</v>
      </c>
      <c r="E91" s="1">
        <v>166</v>
      </c>
      <c r="F91" s="1">
        <v>-28</v>
      </c>
      <c r="G91" s="6">
        <v>0.3</v>
      </c>
      <c r="H91" s="1"/>
      <c r="I91" s="1">
        <v>7371</v>
      </c>
      <c r="J91" s="1"/>
      <c r="K91" s="1">
        <v>179</v>
      </c>
      <c r="L91" s="1">
        <f t="shared" si="25"/>
        <v>-13</v>
      </c>
      <c r="M91" s="1"/>
      <c r="N91" s="1"/>
      <c r="O91" s="1">
        <v>90</v>
      </c>
      <c r="P91" s="1">
        <v>90</v>
      </c>
      <c r="Q91" s="1">
        <f t="shared" si="26"/>
        <v>33.200000000000003</v>
      </c>
      <c r="R91" s="5">
        <f t="shared" si="23"/>
        <v>312.80000000000007</v>
      </c>
      <c r="S91" s="5">
        <f t="shared" si="28"/>
        <v>313</v>
      </c>
      <c r="T91" s="5">
        <f t="shared" si="29"/>
        <v>129</v>
      </c>
      <c r="U91" s="5">
        <f>ROUND(S91/1.7,0)</f>
        <v>184</v>
      </c>
      <c r="V91" s="5"/>
      <c r="W91" s="1"/>
      <c r="X91" s="1">
        <f t="shared" si="30"/>
        <v>14.006024096385541</v>
      </c>
      <c r="Y91" s="1">
        <f t="shared" si="27"/>
        <v>4.5783132530120474</v>
      </c>
      <c r="Z91" s="1">
        <v>32.6</v>
      </c>
      <c r="AA91" s="1">
        <v>21</v>
      </c>
      <c r="AB91" s="1">
        <v>33.6</v>
      </c>
      <c r="AC91" s="1">
        <v>28.4</v>
      </c>
      <c r="AD91" s="1">
        <v>25.8</v>
      </c>
      <c r="AE91" s="1"/>
      <c r="AF91" s="1">
        <f t="shared" si="31"/>
        <v>38.699999999999996</v>
      </c>
      <c r="AG91" s="1">
        <f t="shared" si="32"/>
        <v>55.199999999999996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130</v>
      </c>
      <c r="B92" s="1" t="s">
        <v>32</v>
      </c>
      <c r="C92" s="1">
        <v>247</v>
      </c>
      <c r="D92" s="1">
        <v>117</v>
      </c>
      <c r="E92" s="1">
        <v>155</v>
      </c>
      <c r="F92" s="1">
        <v>202</v>
      </c>
      <c r="G92" s="6">
        <v>0.12</v>
      </c>
      <c r="H92" s="1">
        <v>60</v>
      </c>
      <c r="I92" s="1" t="s">
        <v>142</v>
      </c>
      <c r="J92" s="1"/>
      <c r="K92" s="1">
        <v>164</v>
      </c>
      <c r="L92" s="1">
        <f t="shared" si="25"/>
        <v>-9</v>
      </c>
      <c r="M92" s="1"/>
      <c r="N92" s="1"/>
      <c r="O92" s="1">
        <v>140</v>
      </c>
      <c r="P92" s="1">
        <v>140</v>
      </c>
      <c r="Q92" s="1">
        <f t="shared" si="26"/>
        <v>31</v>
      </c>
      <c r="R92" s="5"/>
      <c r="S92" s="5">
        <f t="shared" ref="S92:S93" si="37">V92</f>
        <v>700</v>
      </c>
      <c r="T92" s="5">
        <f t="shared" si="29"/>
        <v>700</v>
      </c>
      <c r="U92" s="5"/>
      <c r="V92" s="5">
        <v>700</v>
      </c>
      <c r="W92" s="1" t="s">
        <v>140</v>
      </c>
      <c r="X92" s="1">
        <f t="shared" si="30"/>
        <v>38.12903225806452</v>
      </c>
      <c r="Y92" s="1">
        <f t="shared" si="27"/>
        <v>15.548387096774194</v>
      </c>
      <c r="Z92" s="1">
        <v>50.6</v>
      </c>
      <c r="AA92" s="1">
        <v>42.6</v>
      </c>
      <c r="AB92" s="1">
        <v>30.8</v>
      </c>
      <c r="AC92" s="1">
        <v>46.2</v>
      </c>
      <c r="AD92" s="1">
        <v>34.200000000000003</v>
      </c>
      <c r="AE92" s="1"/>
      <c r="AF92" s="1">
        <f t="shared" si="31"/>
        <v>84</v>
      </c>
      <c r="AG92" s="1">
        <f t="shared" si="32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131</v>
      </c>
      <c r="B93" s="1" t="s">
        <v>32</v>
      </c>
      <c r="C93" s="1">
        <v>84</v>
      </c>
      <c r="D93" s="1">
        <v>233</v>
      </c>
      <c r="E93" s="1">
        <v>186</v>
      </c>
      <c r="F93" s="1">
        <v>98</v>
      </c>
      <c r="G93" s="6">
        <v>0.33</v>
      </c>
      <c r="H93" s="1"/>
      <c r="I93" s="1">
        <v>7461</v>
      </c>
      <c r="J93" s="1"/>
      <c r="K93" s="1">
        <v>218</v>
      </c>
      <c r="L93" s="1">
        <f t="shared" si="25"/>
        <v>-32</v>
      </c>
      <c r="M93" s="1"/>
      <c r="N93" s="1"/>
      <c r="O93" s="1">
        <v>200</v>
      </c>
      <c r="P93" s="1">
        <v>200</v>
      </c>
      <c r="Q93" s="1">
        <f t="shared" si="26"/>
        <v>37.200000000000003</v>
      </c>
      <c r="R93" s="5">
        <f t="shared" si="23"/>
        <v>22.800000000000068</v>
      </c>
      <c r="S93" s="5">
        <f t="shared" si="37"/>
        <v>60</v>
      </c>
      <c r="T93" s="5">
        <f t="shared" si="29"/>
        <v>60</v>
      </c>
      <c r="U93" s="5"/>
      <c r="V93" s="5">
        <v>60</v>
      </c>
      <c r="W93" s="1"/>
      <c r="X93" s="1">
        <f t="shared" si="30"/>
        <v>14.999999999999998</v>
      </c>
      <c r="Y93" s="1">
        <f t="shared" si="27"/>
        <v>13.387096774193548</v>
      </c>
      <c r="Z93" s="1">
        <v>56.2</v>
      </c>
      <c r="AA93" s="1">
        <v>49.8</v>
      </c>
      <c r="AB93" s="1">
        <v>31</v>
      </c>
      <c r="AC93" s="1">
        <v>40.799999999999997</v>
      </c>
      <c r="AD93" s="1">
        <v>42.8</v>
      </c>
      <c r="AE93" s="1"/>
      <c r="AF93" s="1">
        <f t="shared" si="31"/>
        <v>19.8</v>
      </c>
      <c r="AG93" s="1">
        <f t="shared" si="3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132</v>
      </c>
      <c r="B94" s="1" t="s">
        <v>32</v>
      </c>
      <c r="C94" s="1">
        <v>158</v>
      </c>
      <c r="D94" s="1">
        <v>11</v>
      </c>
      <c r="E94" s="1">
        <v>156</v>
      </c>
      <c r="F94" s="1"/>
      <c r="G94" s="8">
        <v>0.28000000000000003</v>
      </c>
      <c r="J94" s="1"/>
      <c r="K94" s="1">
        <v>193</v>
      </c>
      <c r="L94" s="1">
        <f t="shared" si="25"/>
        <v>-37</v>
      </c>
      <c r="M94" s="1"/>
      <c r="N94" s="1"/>
      <c r="O94" s="1"/>
      <c r="P94" s="1"/>
      <c r="Q94" s="1">
        <f t="shared" si="26"/>
        <v>31.2</v>
      </c>
      <c r="R94" s="5">
        <f>9*Q94-P94-O94-F94</f>
        <v>280.8</v>
      </c>
      <c r="S94" s="5">
        <f t="shared" si="28"/>
        <v>281</v>
      </c>
      <c r="T94" s="5">
        <f t="shared" si="29"/>
        <v>116</v>
      </c>
      <c r="U94" s="5">
        <f>ROUND(S94/1.7,0)</f>
        <v>165</v>
      </c>
      <c r="V94" s="5"/>
      <c r="W94" s="1"/>
      <c r="X94" s="1">
        <f t="shared" si="30"/>
        <v>9.0064102564102573</v>
      </c>
      <c r="Y94" s="1">
        <f t="shared" si="27"/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>
        <f t="shared" si="31"/>
        <v>32.480000000000004</v>
      </c>
      <c r="AG94" s="1">
        <f t="shared" si="32"/>
        <v>46.2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133</v>
      </c>
      <c r="B95" s="1" t="s">
        <v>32</v>
      </c>
      <c r="C95" s="1"/>
      <c r="D95" s="1">
        <v>52</v>
      </c>
      <c r="E95" s="1">
        <v>47</v>
      </c>
      <c r="F95" s="1">
        <v>1</v>
      </c>
      <c r="G95" s="6">
        <v>0.4</v>
      </c>
      <c r="H95" s="1"/>
      <c r="I95" s="1">
        <v>7523</v>
      </c>
      <c r="J95" s="1"/>
      <c r="K95" s="1">
        <v>181</v>
      </c>
      <c r="L95" s="1">
        <f t="shared" si="25"/>
        <v>-134</v>
      </c>
      <c r="M95" s="1"/>
      <c r="N95" s="1"/>
      <c r="O95" s="1">
        <v>200</v>
      </c>
      <c r="P95" s="1">
        <v>200</v>
      </c>
      <c r="Q95" s="1">
        <f t="shared" si="26"/>
        <v>9.4</v>
      </c>
      <c r="R95" s="5"/>
      <c r="S95" s="5">
        <f>V95</f>
        <v>40</v>
      </c>
      <c r="T95" s="5">
        <f t="shared" si="29"/>
        <v>40</v>
      </c>
      <c r="U95" s="5"/>
      <c r="V95" s="5">
        <v>40</v>
      </c>
      <c r="W95" s="1"/>
      <c r="X95" s="1">
        <f t="shared" si="30"/>
        <v>46.914893617021278</v>
      </c>
      <c r="Y95" s="1">
        <f t="shared" si="27"/>
        <v>42.659574468085104</v>
      </c>
      <c r="Z95" s="1">
        <v>35.200000000000003</v>
      </c>
      <c r="AA95" s="1">
        <v>13</v>
      </c>
      <c r="AB95" s="1">
        <v>27.6</v>
      </c>
      <c r="AC95" s="1">
        <v>20.2</v>
      </c>
      <c r="AD95" s="1">
        <v>18.8</v>
      </c>
      <c r="AE95" s="1"/>
      <c r="AF95" s="1">
        <f t="shared" si="31"/>
        <v>16</v>
      </c>
      <c r="AG95" s="1">
        <f t="shared" si="32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134</v>
      </c>
      <c r="B96" s="1" t="s">
        <v>35</v>
      </c>
      <c r="C96" s="1">
        <v>2.4569999999999999</v>
      </c>
      <c r="D96" s="1">
        <v>10.173999999999999</v>
      </c>
      <c r="E96" s="1">
        <v>8.4629999999999992</v>
      </c>
      <c r="F96" s="1">
        <v>4.1680000000000001</v>
      </c>
      <c r="G96" s="6">
        <v>1</v>
      </c>
      <c r="H96" s="1" t="e">
        <v>#N/A</v>
      </c>
      <c r="I96" s="1">
        <v>7564</v>
      </c>
      <c r="K96" s="1">
        <v>14.5</v>
      </c>
      <c r="L96" s="1">
        <f t="shared" si="25"/>
        <v>-6.0370000000000008</v>
      </c>
      <c r="M96" s="1"/>
      <c r="N96" s="1"/>
      <c r="O96" s="1">
        <v>0</v>
      </c>
      <c r="P96" s="1">
        <v>0</v>
      </c>
      <c r="Q96" s="1">
        <f t="shared" si="26"/>
        <v>1.6925999999999999</v>
      </c>
      <c r="R96" s="5">
        <f>11*Q96-P96-O96-F96</f>
        <v>14.450599999999998</v>
      </c>
      <c r="S96" s="5">
        <f t="shared" si="28"/>
        <v>14</v>
      </c>
      <c r="T96" s="5">
        <f t="shared" si="29"/>
        <v>14</v>
      </c>
      <c r="U96" s="5"/>
      <c r="V96" s="5"/>
      <c r="W96" s="1"/>
      <c r="X96" s="1">
        <f t="shared" si="30"/>
        <v>10.733782346685572</v>
      </c>
      <c r="Y96" s="1">
        <f t="shared" si="27"/>
        <v>2.4624837528063339</v>
      </c>
      <c r="Z96" s="1">
        <v>4.6631999999999998</v>
      </c>
      <c r="AA96" s="1">
        <v>0</v>
      </c>
      <c r="AB96" s="1">
        <v>0</v>
      </c>
      <c r="AC96" s="1">
        <v>0</v>
      </c>
      <c r="AD96" s="1">
        <v>2.8502000000000001</v>
      </c>
      <c r="AE96" s="10" t="s">
        <v>135</v>
      </c>
      <c r="AF96" s="1">
        <f t="shared" si="31"/>
        <v>14</v>
      </c>
      <c r="AG96" s="1">
        <f t="shared" si="32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86</v>
      </c>
      <c r="B97" s="1" t="s">
        <v>32</v>
      </c>
      <c r="C97" s="1"/>
      <c r="D97" s="1">
        <v>96</v>
      </c>
      <c r="E97" s="15">
        <f>18+E51</f>
        <v>74</v>
      </c>
      <c r="F97" s="15">
        <f>78+F51</f>
        <v>22</v>
      </c>
      <c r="G97" s="6">
        <v>0.33</v>
      </c>
      <c r="H97" s="1"/>
      <c r="I97" s="1"/>
      <c r="J97" s="1"/>
      <c r="K97" s="1">
        <v>18</v>
      </c>
      <c r="L97" s="1">
        <f t="shared" si="25"/>
        <v>56</v>
      </c>
      <c r="M97" s="1"/>
      <c r="N97" s="1"/>
      <c r="O97" s="1"/>
      <c r="P97" s="1"/>
      <c r="Q97" s="1">
        <f t="shared" si="26"/>
        <v>14.8</v>
      </c>
      <c r="R97" s="5">
        <f>10*Q97-P97-O97-F97</f>
        <v>126</v>
      </c>
      <c r="S97" s="5">
        <f t="shared" si="28"/>
        <v>126</v>
      </c>
      <c r="T97" s="5">
        <f t="shared" si="29"/>
        <v>52</v>
      </c>
      <c r="U97" s="5">
        <f>ROUND(S97/1.7,0)</f>
        <v>74</v>
      </c>
      <c r="V97" s="5"/>
      <c r="W97" s="1"/>
      <c r="X97" s="1">
        <f t="shared" si="30"/>
        <v>10</v>
      </c>
      <c r="Y97" s="1">
        <f t="shared" si="27"/>
        <v>1.4864864864864864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136</v>
      </c>
      <c r="AF97" s="1">
        <f t="shared" si="31"/>
        <v>17.16</v>
      </c>
      <c r="AG97" s="1">
        <f t="shared" si="32"/>
        <v>24.42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1" t="s">
        <v>137</v>
      </c>
      <c r="B98" s="11" t="s">
        <v>32</v>
      </c>
      <c r="C98" s="11">
        <v>26</v>
      </c>
      <c r="D98" s="11">
        <v>1</v>
      </c>
      <c r="E98" s="15">
        <v>41</v>
      </c>
      <c r="F98" s="15">
        <v>-27</v>
      </c>
      <c r="G98" s="12">
        <v>0</v>
      </c>
      <c r="H98" s="11">
        <v>0</v>
      </c>
      <c r="I98" s="11" t="s">
        <v>138</v>
      </c>
      <c r="J98" s="11" t="s">
        <v>101</v>
      </c>
      <c r="K98" s="11">
        <v>85</v>
      </c>
      <c r="L98" s="11">
        <f t="shared" si="25"/>
        <v>-44</v>
      </c>
      <c r="M98" s="11"/>
      <c r="N98" s="11"/>
      <c r="O98" s="11">
        <v>0</v>
      </c>
      <c r="P98" s="11">
        <v>0</v>
      </c>
      <c r="Q98" s="11">
        <f t="shared" si="26"/>
        <v>8.1999999999999993</v>
      </c>
      <c r="R98" s="14"/>
      <c r="S98" s="5">
        <f t="shared" ref="S98:S99" si="38">V98</f>
        <v>40</v>
      </c>
      <c r="T98" s="5">
        <f t="shared" si="29"/>
        <v>40</v>
      </c>
      <c r="U98" s="5"/>
      <c r="V98" s="14">
        <v>40</v>
      </c>
      <c r="W98" s="11"/>
      <c r="X98" s="1">
        <f t="shared" si="30"/>
        <v>1.5853658536585367</v>
      </c>
      <c r="Y98" s="11">
        <f t="shared" si="27"/>
        <v>-3.2926829268292686</v>
      </c>
      <c r="Z98" s="11">
        <v>2.6</v>
      </c>
      <c r="AA98" s="11">
        <v>18.2</v>
      </c>
      <c r="AB98" s="11">
        <v>13.6</v>
      </c>
      <c r="AC98" s="11">
        <v>1.4</v>
      </c>
      <c r="AD98" s="11">
        <v>0.2</v>
      </c>
      <c r="AE98" s="11"/>
      <c r="AF98" s="1">
        <f t="shared" si="31"/>
        <v>0</v>
      </c>
      <c r="AG98" s="1">
        <f t="shared" si="32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1" t="s">
        <v>139</v>
      </c>
      <c r="B99" s="11" t="s">
        <v>35</v>
      </c>
      <c r="C99" s="11">
        <v>-82.661000000000001</v>
      </c>
      <c r="D99" s="11">
        <v>4.6319999999999997</v>
      </c>
      <c r="E99" s="15">
        <v>78.558000000000007</v>
      </c>
      <c r="F99" s="15">
        <v>-159.66200000000001</v>
      </c>
      <c r="G99" s="12">
        <v>0</v>
      </c>
      <c r="H99" s="11">
        <v>0</v>
      </c>
      <c r="I99" s="11" t="s">
        <v>138</v>
      </c>
      <c r="J99" s="11" t="s">
        <v>104</v>
      </c>
      <c r="K99" s="11">
        <v>89.447999999999993</v>
      </c>
      <c r="L99" s="11">
        <f t="shared" si="25"/>
        <v>-10.889999999999986</v>
      </c>
      <c r="M99" s="11"/>
      <c r="N99" s="11"/>
      <c r="O99" s="11">
        <v>0</v>
      </c>
      <c r="P99" s="11">
        <v>0</v>
      </c>
      <c r="Q99" s="11">
        <f t="shared" si="26"/>
        <v>15.711600000000001</v>
      </c>
      <c r="R99" s="14"/>
      <c r="S99" s="5">
        <f t="shared" si="38"/>
        <v>150</v>
      </c>
      <c r="T99" s="5">
        <f t="shared" si="29"/>
        <v>62</v>
      </c>
      <c r="U99" s="5">
        <f>ROUND(S99/1.7,0)</f>
        <v>88</v>
      </c>
      <c r="V99" s="14">
        <v>150</v>
      </c>
      <c r="W99" s="11"/>
      <c r="X99" s="1">
        <f t="shared" si="30"/>
        <v>-0.61495964764887123</v>
      </c>
      <c r="Y99" s="11">
        <f t="shared" si="27"/>
        <v>-10.162045876931694</v>
      </c>
      <c r="Z99" s="11">
        <v>12.635999999999999</v>
      </c>
      <c r="AA99" s="11">
        <v>14.8812</v>
      </c>
      <c r="AB99" s="11">
        <v>13.2858</v>
      </c>
      <c r="AC99" s="11">
        <v>0.31219999999999998</v>
      </c>
      <c r="AD99" s="11">
        <v>0</v>
      </c>
      <c r="AE99" s="11"/>
      <c r="AF99" s="1">
        <f t="shared" si="31"/>
        <v>0</v>
      </c>
      <c r="AG99" s="1">
        <f t="shared" si="32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F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2026-06-29T11:29:54Z</dcterms:created>
  <dcterms:modified xsi:type="dcterms:W3CDTF">2026-07-01T12:08:39Z</dcterms:modified>
</cp:coreProperties>
</file>