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D64ED914-25FC-4EB7-A439-9E5512F22D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Бланк!$A$9:$J$165</definedName>
    <definedName name="кол_во_инд.__упак_к">Бланк!$AC$3:$AC$601</definedName>
    <definedName name="номин.вес_нетто__кг">Бланк!$W$3:$W$601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5" i="1" l="1"/>
  <c r="G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G154" i="1"/>
  <c r="A154" i="1"/>
  <c r="G153" i="1"/>
  <c r="A153" i="1"/>
  <c r="G151" i="1"/>
  <c r="G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G137" i="1"/>
  <c r="A137" i="1"/>
  <c r="G136" i="1"/>
  <c r="A136" i="1"/>
  <c r="G135" i="1"/>
  <c r="A135" i="1"/>
  <c r="G134" i="1"/>
  <c r="A134" i="1"/>
  <c r="G133" i="1"/>
  <c r="A133" i="1"/>
  <c r="G132" i="1"/>
  <c r="G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6" i="1"/>
  <c r="G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K5" i="1"/>
  <c r="F3" i="1"/>
  <c r="G1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5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5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5682</t>
        </r>
      </text>
    </comment>
    <comment ref="D9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7227 с 01.04.26</t>
        </r>
      </text>
    </comment>
    <comment ref="D12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Ротация с кода 7082</t>
        </r>
      </text>
    </comment>
    <comment ref="D1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<sst xmlns="http://schemas.openxmlformats.org/spreadsheetml/2006/main" count="653" uniqueCount="216">
  <si>
    <t xml:space="preserve">Грузополучатель: </t>
  </si>
  <si>
    <t xml:space="preserve">ЛП Луганск </t>
  </si>
  <si>
    <t xml:space="preserve">ЛП Донецк (ПРС) - 130438384 </t>
  </si>
  <si>
    <t>ЛП Луганск - 130438644</t>
  </si>
  <si>
    <t xml:space="preserve">Дата отгрузки с ОМПК: </t>
  </si>
  <si>
    <t xml:space="preserve">Доставка: </t>
  </si>
  <si>
    <t>Луганск</t>
  </si>
  <si>
    <t>ЛП Донецк (ОПТЫ (МАЛАХУТИН)) - 130439106</t>
  </si>
  <si>
    <t>ЛП Донецк (МАСТЕРОВ) - 130439107</t>
  </si>
  <si>
    <t>Грация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</si>
  <si>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</si>
  <si>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</si>
  <si>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</si>
  <si>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</si>
  <si>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</si>
  <si>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</si>
  <si>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</si>
  <si>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</si>
  <si>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</si>
  <si>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</si>
  <si>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</si>
  <si>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</si>
  <si>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</si>
  <si>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</si>
  <si>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</si>
  <si>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</si>
  <si>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ГОСТ Папа может вар п/о</t>
  </si>
  <si>
    <t>КГ</t>
  </si>
  <si>
    <t>ДОКТОРСКАЯ ГОСТ Останкино вар п/о</t>
  </si>
  <si>
    <t>Ротация кода 4555</t>
  </si>
  <si>
    <t>ЭКСТРА Папа может вар п/о</t>
  </si>
  <si>
    <t>ФИЛЕЙНАЯ Папа может вар п/о</t>
  </si>
  <si>
    <t>МЯСНАЯ СО ШПИКОМ Папа может вар п/о</t>
  </si>
  <si>
    <t>МЯСНАЯ Папа может вар п/о</t>
  </si>
  <si>
    <t>ГОВЯЖЬЯ Папа может вар п/о</t>
  </si>
  <si>
    <t>МОЛОЧНАЯ Папа может вар п/о</t>
  </si>
  <si>
    <t>ДОМАШНИЙ РЕЦЕПТ Коровино вар п/о</t>
  </si>
  <si>
    <t>ДОМАШНИЙ РЕЦЕПТ СО ШПИК.Коровино вар п/о</t>
  </si>
  <si>
    <t>ДОКТОРСКАЯ ГОСТ Останкино вар п/о 0.35кг</t>
  </si>
  <si>
    <t>ШТ</t>
  </si>
  <si>
    <t>Ротация кода 6324</t>
  </si>
  <si>
    <t>МЯСНАЯ СО ШПИКОМ ПМ вар п/о 0.4кг 8шт.</t>
  </si>
  <si>
    <t>ДОКТОРСКАЯ ПРЕМИУМ вар п/о 0.4кг 8шт.</t>
  </si>
  <si>
    <t>ДОКТОРСКАЯ ПРЕМИУМ вар п/о(п)</t>
  </si>
  <si>
    <t>ЭКСТРА Папа может вар п/о 0.4кг 8шт_195к</t>
  </si>
  <si>
    <t>Ротация кода 6353</t>
  </si>
  <si>
    <t>ГОВЯЖЬЯ Папа может вар п/о 0.4кг 6шт.</t>
  </si>
  <si>
    <t>Ротация кода 6268</t>
  </si>
  <si>
    <t>ДОМАШНИЙ РЕЦЕПТ Коровино 0.5кг 8шт.</t>
  </si>
  <si>
    <t>ДОМАШНИЙ РЕЦЕПТ СО ШПИКОМ Коровино 0.5кг</t>
  </si>
  <si>
    <t>МЯСНАЯ Папа может вар п/о 0.4кг 8шт.</t>
  </si>
  <si>
    <t>ФИЛЕЙНАЯ Папа может вар п/о 0.4кг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</si>
  <si>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</si>
  <si>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</si>
  <si>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</si>
  <si>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</si>
  <si>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РУБЛЕНЫЕ сос ц/о мгс 1*4</t>
  </si>
  <si>
    <t>МОЛОЧНЫЕ ГОСТ сос ц/о мгс 1*4</t>
  </si>
  <si>
    <t>СЛИВОЧНЫЕ сос ц/о мгс 1*4</t>
  </si>
  <si>
    <t>ФИЛЕЙНЫЕ Папа может сос ц/о мгс 1.5*2</t>
  </si>
  <si>
    <t>МОЛОЧ.ПРЕМИУМ ПМ сос п/о мгс 1.5*4_О_50с</t>
  </si>
  <si>
    <t>СЛИВОЧНЫЕ ПМ сос п/о мгс 1.5*4_А_50с</t>
  </si>
  <si>
    <t>МОЛОЧНЫЕ КЛАССИЧЕСКИЕ сос п/о мгс 2*4_С</t>
  </si>
  <si>
    <t>СОЧНЫЕ ПМ сос п/о мгс 1.5*4_А_50с</t>
  </si>
  <si>
    <t>МОЛОЧ.ПРЕМИУМ ПМ сос п/о мгс 1.5*4_50с</t>
  </si>
  <si>
    <t>МЯСНЫЕ С ГОВЯДИНОЙ ПМ сос п/о мгс 1.5*4</t>
  </si>
  <si>
    <t>МЯСНЫЕ Папа может сос п/о мгс 1.5*3</t>
  </si>
  <si>
    <t>СОЧНЫЙ ГРИЛЬ ПМ сос п/о мгс 1.5*4_Маяк</t>
  </si>
  <si>
    <t>МОЛОЧНЫЕ ГОСТ сос ц/о мгс 0.4кг 7шт.</t>
  </si>
  <si>
    <t>СЛИВОЧНЫЕ сос ц/о мгс 0.41кг 8шт.</t>
  </si>
  <si>
    <t>РУБЛЕНЫЕ сос ц/о мгс 0.36кг 6шт.</t>
  </si>
  <si>
    <t>МОЛОЧ.ПРЕМИУМ ПМ сос п/о мгс 0.6кг_50с</t>
  </si>
  <si>
    <t>ВЕНСКИЕ ПРЕМИУМ сос б/о мгс 0.3кг 6шт.</t>
  </si>
  <si>
    <t>МЯСНЫЕ Папа может сос п/о в/у 0.4кг_45с</t>
  </si>
  <si>
    <t>С СЫРОМ Папа может сос ц/о мгс 0.4кг 6шт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</si>
  <si>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</si>
  <si>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</si>
  <si>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</si>
  <si>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>Новинка, Смешарики</t>
  </si>
  <si>
    <t xml:space="preserve">БРЕСТСКИЕ сос п/о в/у 0.3кг 8шт. </t>
  </si>
  <si>
    <t>ФИЛЕЙНЫЕ Папа Может сос ц/о мгс 0.4кг</t>
  </si>
  <si>
    <t>СЛИВОЧНЫЕ ПМ сос п/о мгс 0.41кг 10шт_50с</t>
  </si>
  <si>
    <t>МОЛОЧНЫЕ ПМ сос п/о мгс 0.41кг 10шт.</t>
  </si>
  <si>
    <t>СОЧНЫЕ ПМ сос п/о мгс 0.41кг 10шт_50с</t>
  </si>
  <si>
    <t>СОЧНЫЙ ГРИЛЬ ПМ сос п/о мгс 0.41кг 8шт.</t>
  </si>
  <si>
    <t>МЯСНЫЕ С ГОВЯД.ПМ сос п/о мгс 0.4кг 6шт.</t>
  </si>
  <si>
    <t>БАВАРСКИЕ ПМ сос ц/о мгс 0.35кг 8шт.</t>
  </si>
  <si>
    <t>МОЛОЧ.ПРЕМИУМ ПМ сос п/о в/у 1/350_50с</t>
  </si>
  <si>
    <t>СЛИВОЧНЫЕ ПМ сос п/о мгс 0.3кг 7шт.</t>
  </si>
  <si>
    <t>МОЛОЧНЫЕ КЛАССИЧЕСКИЕ сос п/о в/у 0.3кг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</si>
  <si>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</si>
  <si>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</si>
  <si>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</si>
  <si>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</si>
  <si>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ШПИКАЧКИ СОЧНЫЕ ПМ сар б/о мгс 1*3_45с</t>
  </si>
  <si>
    <t>МЯСНЫЕ Папа может сар б/о мгс 1*3_О_45с</t>
  </si>
  <si>
    <t>МЯСНЫЕ Папа может сар б/о мгс 1*3_Х5_45с</t>
  </si>
  <si>
    <t>КЛАССИЧЕСКИЕ Папа может сар б/о мгс 1*3</t>
  </si>
  <si>
    <t>С ГОВЯДИНОЙ ОРИГИН. сар б/о мгс 1*3_45с</t>
  </si>
  <si>
    <t>ШПИКАЧКИ СОЧНЫЕ С БЕК. п/о мгс 0.3кг_60с</t>
  </si>
  <si>
    <t>С ГОВЯДИНОЙ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</si>
  <si>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</si>
  <si>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</si>
  <si>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</si>
  <si>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СЕРВЕЛАТ ЕВРОПЕЙСКИЙ в/к в/у 0.84кг</t>
  </si>
  <si>
    <t>СЕРВЕЛАТ КРЕМЛЕВСКИЙ в/к в/у 0.84кг</t>
  </si>
  <si>
    <t>ВЕНСКАЯ САЛЯМИ п/к в/у 0.840кг</t>
  </si>
  <si>
    <t>СЕРВЕЛАТ ФИНСКИЙ в/к в/у_45с</t>
  </si>
  <si>
    <t>БАЛЫКОВАЯ Коровино п/к в/у 0.84кг_50с</t>
  </si>
  <si>
    <t>СЕРВЕЛАТ ЗЕРНИСТЫЙ ПМ в/к в/у_50с</t>
  </si>
  <si>
    <t>СЕРВЕЛАТ ОХОТНИЧИЙ ПМ в/к в/у_50с</t>
  </si>
  <si>
    <t>БАЛЫКОВАЯ Останкино в/к в/у 0.33кг 8шт.</t>
  </si>
  <si>
    <t>Ротация кода 6793</t>
  </si>
  <si>
    <t>СЕРВЕЛАТ ЕВРОПЕЙСКИЙ в/к в/у 0.33кг 8шт.</t>
  </si>
  <si>
    <t>СЕРВЕЛАТ КРЕМЛЕВСКИЙ в/к в/у 0.33кг 8шт.</t>
  </si>
  <si>
    <t>СЫРРРВЕЛАТ Папа может в/к в/у 0.28кг 8шт</t>
  </si>
  <si>
    <t>СЕРВЕЛАТ ФИНСКИЙ ПМ в/к в/у 0.35кг 8шт.</t>
  </si>
  <si>
    <t>СЕРВЕЛАТ ОХОТНИЧИЙ ПМ в/к в/у 0.35кг_50с</t>
  </si>
  <si>
    <t>БАЛЫКОВАЯ Папа Может п/к в/у 0.31кг 8шт.</t>
  </si>
  <si>
    <t>СЕРВЕЛАТ КАРЕЛЬСКИЙ в/к в/у 0.28кг_209к</t>
  </si>
  <si>
    <t>ЧЕСНОЧНАЯ ПМ п/к в/у 0.35кг 8шт_50с</t>
  </si>
  <si>
    <t>БОЯNСКАЯ ПМ п/к в/у 0.28кг 8шт_209к</t>
  </si>
  <si>
    <t>СЕРВЕЛАТ ЗЕРНИСТЫЙ ПМ в/к в/у 0.35кг_50с</t>
  </si>
  <si>
    <t>СЕРВЕЛАТ ОРЕХОВЫЙ в/к в/у 0.31кг_209к</t>
  </si>
  <si>
    <t>СЕРВЕЛАТ ШВАРЦЕР ПМ в/к в/у 0.28кг_209к</t>
  </si>
  <si>
    <t>САЛЯМИ Папа может п/к в/у 0.28кг_209к</t>
  </si>
  <si>
    <t>БОЯРСКАЯ ПМ п/к в/у 0.28кг_СНГ</t>
  </si>
  <si>
    <t>СЕРВЕЛАТ ОХОТНИЧИЙ ПМ в/к в/у 0.28кг_СНГ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</si>
  <si>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</si>
  <si>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</si>
  <si>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</si>
  <si>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</si>
  <si>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</si>
  <si>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ПРАЗДНИЧНАЯ с/к в/с дек.спец.мгс</t>
  </si>
  <si>
    <t>САЛЯМИ ИТАЛЬЯНСКАЯ с/к в/у</t>
  </si>
  <si>
    <t>ПОСОЛЬСКАЯ Папа может с/к в/у</t>
  </si>
  <si>
    <t>ЭКСТРА Папа может с/к в/у_Л</t>
  </si>
  <si>
    <t>ПРАЗДНИЧНАЯ с/к в/с дек.спец. мгс 0.54кг</t>
  </si>
  <si>
    <t>ПРЕСИЖН с/к дек.спец. мгс 0.54кг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</si>
  <si>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</si>
  <si>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</si>
  <si>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</si>
  <si>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ПРАЗДНИЧНАЯ с/к в/с дек.спец. мгс 1/270</t>
  </si>
  <si>
    <t>АРОМАТНАЯ с/к в/у 1/250 8шт.</t>
  </si>
  <si>
    <t>ЧОРИЗО Останкино с/к в/у 1/220 8шт.</t>
  </si>
  <si>
    <t>САН-РЕМО Останкино с/в в/у 1/220 8шт.</t>
  </si>
  <si>
    <t>БУРГУНДИЯ Папа может с/к в/у 1/250 8шт.</t>
  </si>
  <si>
    <t>САЛЯМИ ИТАЛЬЯНСКАЯ с/к в/у 1/250*8_120с</t>
  </si>
  <si>
    <t>САЛЯМИ Папа может с/к в/у 1/250 8шт.</t>
  </si>
  <si>
    <t>ЭКСТРА Папа может с/к в/у 1/250 8шт.</t>
  </si>
  <si>
    <t>ОХОТНИЧЬЯ Папа может с/к в/у 1/220 8шт.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</si>
  <si>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</si>
  <si>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</si>
  <si>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</si>
  <si>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САЛЯМИ ИТАЛЬЯНСКАЯ с/к в/у 1/150_60с</t>
  </si>
  <si>
    <t>САЛЯМИ МЕЛКОЗЕРНЕНАЯ с/к в/у 1/120 8шт.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</si>
  <si>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</si>
  <si>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</si>
  <si>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</si>
  <si>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</si>
  <si>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</si>
  <si>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</si>
  <si>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ПОСОЛЬСКАЯ ПМ с/к с/н в/у 1/100 10шт.</t>
  </si>
  <si>
    <t>Заблокирован</t>
  </si>
  <si>
    <t>САЛЬЧИЧОН ПРЕМИУМ с/к с/н мгс 1/70 14шт.</t>
  </si>
  <si>
    <t>ОХОТНИЧЬЯ ПМ с/к с/н в/у 1/100 10шт.</t>
  </si>
  <si>
    <t>БРАУНШВЕЙГСКАЯ с/к с/н мгс 1/100_Л10</t>
  </si>
  <si>
    <t>Ротация кода 5677</t>
  </si>
  <si>
    <t>Ветчины</t>
  </si>
  <si>
    <t>ВЕТЧ.МРАМОРНАЯ в/у_45с</t>
  </si>
  <si>
    <t>ВЕТЧ.МРАМОРНАЯ в/у срез 0.3кг 6шт_45с</t>
  </si>
  <si>
    <t>ВЕТЧ.МЯСНАЯ Папа может п/о</t>
  </si>
  <si>
    <t>ВЕТЧ.НЕЖНАЯ Коровино п/о_Маяк</t>
  </si>
  <si>
    <t>ВЕТЧ.ФИРМЕННАЯ С ИНДЕЙКОЙ п/о</t>
  </si>
  <si>
    <t>ВЕТЧ.ИЗ ЛОПАТКИ Папа может п/о_HRC</t>
  </si>
  <si>
    <t>ВЕТЧ.МЯСНАЯ Папа может п/о 0.4кг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</si>
  <si>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</si>
  <si>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</si>
  <si>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</si>
  <si>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</si>
  <si>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</si>
  <si>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</si>
  <si>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</si>
  <si>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РЕБРЫШКИ к/в в/у_30c</t>
  </si>
  <si>
    <t>ГРУДИНКА ПРЕМИУМ к/в мл/к в/у 0.3кг_50с</t>
  </si>
  <si>
    <t>САЛО СОЛЕНОЕ С ЧЕРНЫМ ПЕРЦЕМ мл/к в/у</t>
  </si>
  <si>
    <t>СВИНИНА ПО-ДОМ. к/в мл/к в/у 0.3кг_50с</t>
  </si>
  <si>
    <t>БЕКОН Останкино с/к с/н в/у 1/180 10шт.</t>
  </si>
  <si>
    <t>КОРЕЙКА ПО-ОСТ.к/в в/с с/н в/у 1/150_45с</t>
  </si>
  <si>
    <t>БЕКОН Папа может с/к с/н в/у 1/140_50с</t>
  </si>
  <si>
    <t>СВИНИНА МАДЕРА с/к с/н в/у 1/100 10шт.</t>
  </si>
  <si>
    <t>БАЛЫК И ШЕЙКА с/в с/н мгс 1/90 10шт.</t>
  </si>
  <si>
    <t>ДЫМОВИЦА ИЗ ЛОПАТКИ ПМ к/в с/н в/у 1/150</t>
  </si>
  <si>
    <t>МЯСНОЕ АССОРТИ к/з с/н мгс 1/90 10шт.</t>
  </si>
  <si>
    <t>БАЛЫК с/к с/н в/у 1/100 10шт_Л11</t>
  </si>
  <si>
    <t>Ротация кода 7288</t>
  </si>
  <si>
    <t>ВСЕГО:</t>
  </si>
  <si>
    <t>Новинка, ротация</t>
  </si>
  <si>
    <t>РУССКАЯ ПРЕМИУМ ПМ вар п/о</t>
  </si>
  <si>
    <t>ЭКСТРА Папа может вар п/о 0.4кг 8шт.</t>
  </si>
  <si>
    <t>260554517237 (с 31.05 по 30.06)</t>
  </si>
  <si>
    <t>Копчености в/к</t>
  </si>
  <si>
    <t>Нарезка копченостей</t>
  </si>
  <si>
    <t>БАЛЫК с/к с/н в/у 1/100 10шт. (7288)</t>
  </si>
  <si>
    <t>Копченые колбасы</t>
  </si>
  <si>
    <t>Нарезка в/к колбас</t>
  </si>
  <si>
    <t>СЕРВЕЛАТ ШВЕЙЦАРСК. в/к с/н в/у 1/100*10</t>
  </si>
  <si>
    <t>СЕРВЕЛАТ БАВАРСКИЙ в/к с/н в/у 1/100*10</t>
  </si>
  <si>
    <t>Нарезка с/к колбас</t>
  </si>
  <si>
    <t>АРОМАТНАЯ с/к с/н в/у 1/100 10шт.</t>
  </si>
  <si>
    <t>ЭКСТРА Папа может с/к с/н в/у 1/100 14шт.</t>
  </si>
  <si>
    <t>БРАУНШВЕЙГСКАЯ полусухая с/к в/у 1/100</t>
  </si>
  <si>
    <t>ПЕППЕРОНИ с/к с/н мгс 1*8_HRC</t>
  </si>
  <si>
    <t>АССОРТИ САЛЬЧИЧОН И ЧОРИЗО с/к в/у 1/440</t>
  </si>
  <si>
    <t xml:space="preserve">Сардельки </t>
  </si>
  <si>
    <t xml:space="preserve">Сосиски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</si>
</sst>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3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1" fontId="24" fillId="0" borderId="8" xfId="0" applyNumberFormat="1" applyFont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6" fillId="10" borderId="8" xfId="0" applyFont="1" applyFill="1" applyBorder="1" applyAlignment="1">
      <alignment horizontal="center" vertical="center"/>
    </xf>
    <xf numFmtId="1" fontId="27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7" fillId="10" borderId="8" xfId="0" applyFont="1" applyFill="1" applyBorder="1" applyAlignment="1">
      <alignment horizontal="center" vertical="center"/>
    </xf>
    <xf numFmtId="2" fontId="27" fillId="10" borderId="8" xfId="4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0" xfId="0"/>
    <xf numFmtId="0" fontId="0" fillId="9" borderId="8" xfId="0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9"/>
  <sheetViews>
    <sheetView tabSelected="1" zoomScale="85" zoomScaleNormal="85" workbookViewId="0">
      <pane ySplit="9" topLeftCell="A161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10" customWidth="1"/>
    <col min="13" max="67" width="8.85546875" style="110" customWidth="1"/>
  </cols>
  <sheetData>
    <row r="1" spans="1:15" ht="27" customHeight="1" thickTop="1" thickBot="1" x14ac:dyDescent="0.4">
      <c r="C1" s="1" t="s">
        <v>0</v>
      </c>
      <c r="D1" s="120">
        <v>130438644</v>
      </c>
      <c r="E1" s="122" t="s">
        <v>1</v>
      </c>
      <c r="F1" s="123"/>
      <c r="G1" s="123"/>
      <c r="H1" s="123"/>
      <c r="I1" s="123"/>
      <c r="J1" s="124"/>
      <c r="K1">
        <v>130438384</v>
      </c>
      <c r="L1" t="s">
        <v>2</v>
      </c>
    </row>
    <row r="2" spans="1:15" ht="16.5" customHeight="1" thickTop="1" thickBot="1" x14ac:dyDescent="0.3">
      <c r="K2">
        <v>130438644</v>
      </c>
      <c r="L2" t="s">
        <v>3</v>
      </c>
    </row>
    <row r="3" spans="1:15" ht="19.5" customHeight="1" thickTop="1" thickBot="1" x14ac:dyDescent="0.3">
      <c r="B3" s="23"/>
      <c r="C3" s="5" t="s">
        <v>4</v>
      </c>
      <c r="D3" s="121">
        <v>46223</v>
      </c>
      <c r="E3" s="5" t="s">
        <v>5</v>
      </c>
      <c r="F3" s="121">
        <f>D3+3</f>
        <v>46226</v>
      </c>
      <c r="G3" s="125" t="s">
        <v>6</v>
      </c>
      <c r="H3" s="123"/>
      <c r="I3" s="123"/>
      <c r="J3" s="124"/>
      <c r="K3">
        <v>130439106</v>
      </c>
      <c r="L3" t="s">
        <v>7</v>
      </c>
    </row>
    <row r="4" spans="1:15" ht="15.75" customHeight="1" thickTop="1" x14ac:dyDescent="0.25">
      <c r="K4">
        <v>130439107</v>
      </c>
      <c r="L4" t="s">
        <v>8</v>
      </c>
      <c r="O4" t="s">
        <v>9</v>
      </c>
    </row>
    <row r="5" spans="1:15" x14ac:dyDescent="0.25">
      <c r="C5" s="5" t="s">
        <v>10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5" ht="15.75" customHeight="1" thickBot="1" x14ac:dyDescent="0.3">
      <c r="D6" s="30" t="s">
        <v>11</v>
      </c>
      <c r="E6" s="7"/>
      <c r="F6" s="8"/>
      <c r="G6" s="8"/>
      <c r="H6" s="15"/>
      <c r="I6" s="15"/>
      <c r="K6" s="45" t="str">
        <f>LEFT(L6,9)</f>
        <v/>
      </c>
    </row>
    <row r="7" spans="1:15" ht="19.5" customHeight="1" thickTop="1" thickBot="1" x14ac:dyDescent="0.3">
      <c r="B7" s="24" t="s">
        <v>12</v>
      </c>
      <c r="D7" s="29" t="s">
        <v>13</v>
      </c>
      <c r="E7" s="9" t="s">
        <v>14</v>
      </c>
      <c r="F7" s="18"/>
      <c r="G7" s="18"/>
      <c r="H7" s="18"/>
      <c r="I7" s="18"/>
      <c r="J7" s="18"/>
      <c r="K7" s="45" t="str">
        <f>LEFT(L7,9)</f>
        <v/>
      </c>
    </row>
    <row r="8" spans="1:15" ht="16.5" customHeight="1" thickTop="1" thickBot="1" x14ac:dyDescent="0.3"/>
    <row r="9" spans="1:15" s="89" customFormat="1" ht="47.25" customHeight="1" thickTop="1" thickBot="1" x14ac:dyDescent="0.3">
      <c r="A9" s="36" t="s">
        <v>15</v>
      </c>
      <c r="B9" s="34" t="s">
        <v>16</v>
      </c>
      <c r="C9" s="10" t="s">
        <v>17</v>
      </c>
      <c r="D9" s="25" t="s">
        <v>18</v>
      </c>
      <c r="E9" s="19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21" t="s">
        <v>24</v>
      </c>
      <c r="K9" s="20"/>
    </row>
    <row r="10" spans="1:15" ht="16.5" customHeight="1" thickTop="1" thickBot="1" x14ac:dyDescent="0.3">
      <c r="A10" s="37"/>
      <c r="B10" s="32" t="s">
        <v>25</v>
      </c>
      <c r="C10" s="32"/>
      <c r="D10" s="32"/>
      <c r="E10" s="32"/>
      <c r="F10" s="31"/>
      <c r="G10" s="32"/>
      <c r="H10" s="32"/>
      <c r="I10" s="32"/>
      <c r="J10" s="33"/>
    </row>
    <row r="11" spans="1:15" s="90" customFormat="1" ht="16.5" customHeight="1" thickTop="1" x14ac:dyDescent="0.25">
      <c r="A11" s="42" t="str">
        <f t="shared" ref="A11:A24" si="0">RIGHT(D11,4)</f>
        <v>4561</v>
      </c>
      <c r="B11" s="50" t="s">
        <v>26</v>
      </c>
      <c r="C11" s="41" t="s">
        <v>27</v>
      </c>
      <c r="D11" s="78">
        <v>1001010014561</v>
      </c>
      <c r="E11" s="17"/>
      <c r="F11" s="16">
        <v>1.35</v>
      </c>
      <c r="G11" s="16">
        <f t="shared" ref="G11:G20" si="1">E11</f>
        <v>0</v>
      </c>
      <c r="H11" s="11">
        <v>4.05</v>
      </c>
      <c r="I11" s="11">
        <v>60</v>
      </c>
      <c r="J11" s="44"/>
      <c r="K11" s="45"/>
    </row>
    <row r="12" spans="1:15" s="90" customFormat="1" ht="16.5" customHeight="1" x14ac:dyDescent="0.25">
      <c r="A12" s="111" t="str">
        <f t="shared" si="0"/>
        <v>7536</v>
      </c>
      <c r="B12" s="50" t="s">
        <v>28</v>
      </c>
      <c r="C12" s="41" t="s">
        <v>27</v>
      </c>
      <c r="D12" s="78">
        <v>1001010017536</v>
      </c>
      <c r="E12" s="17"/>
      <c r="F12" s="16">
        <v>1.35</v>
      </c>
      <c r="G12" s="16">
        <f t="shared" si="1"/>
        <v>0</v>
      </c>
      <c r="H12" s="11">
        <v>4.05</v>
      </c>
      <c r="I12" s="11">
        <v>60</v>
      </c>
      <c r="J12" s="40" t="s">
        <v>29</v>
      </c>
      <c r="K12" s="45"/>
    </row>
    <row r="13" spans="1:15" s="90" customFormat="1" ht="16.5" customHeight="1" x14ac:dyDescent="0.25">
      <c r="A13" s="42" t="str">
        <f t="shared" si="0"/>
        <v>5851</v>
      </c>
      <c r="B13" s="50" t="s">
        <v>30</v>
      </c>
      <c r="C13" s="41" t="s">
        <v>27</v>
      </c>
      <c r="D13" s="78">
        <v>1001012505851</v>
      </c>
      <c r="E13" s="17">
        <v>463</v>
      </c>
      <c r="F13" s="16">
        <v>1.35</v>
      </c>
      <c r="G13" s="16">
        <f t="shared" si="1"/>
        <v>463</v>
      </c>
      <c r="H13" s="11">
        <v>4.05</v>
      </c>
      <c r="I13" s="11">
        <v>60</v>
      </c>
      <c r="J13" s="44"/>
      <c r="K13" s="45"/>
    </row>
    <row r="14" spans="1:15" s="90" customFormat="1" ht="16.5" customHeight="1" x14ac:dyDescent="0.25">
      <c r="A14" s="42" t="str">
        <f t="shared" si="0"/>
        <v>4813</v>
      </c>
      <c r="B14" s="50" t="s">
        <v>31</v>
      </c>
      <c r="C14" s="41" t="s">
        <v>27</v>
      </c>
      <c r="D14" s="78">
        <v>1001012564813</v>
      </c>
      <c r="E14" s="17">
        <v>320</v>
      </c>
      <c r="F14" s="16">
        <v>1.35</v>
      </c>
      <c r="G14" s="16">
        <f t="shared" si="1"/>
        <v>320</v>
      </c>
      <c r="H14" s="11">
        <v>4.05</v>
      </c>
      <c r="I14" s="11">
        <v>60</v>
      </c>
      <c r="J14" s="44"/>
      <c r="K14" s="45"/>
    </row>
    <row r="15" spans="1:15" s="90" customFormat="1" ht="16.5" customHeight="1" x14ac:dyDescent="0.25">
      <c r="A15" s="42" t="str">
        <f t="shared" si="0"/>
        <v>4574</v>
      </c>
      <c r="B15" s="50" t="s">
        <v>32</v>
      </c>
      <c r="C15" s="41" t="s">
        <v>27</v>
      </c>
      <c r="D15" s="78">
        <v>1001012634574</v>
      </c>
      <c r="E15" s="17">
        <v>274</v>
      </c>
      <c r="F15" s="16">
        <v>1.35</v>
      </c>
      <c r="G15" s="16">
        <f t="shared" si="1"/>
        <v>274</v>
      </c>
      <c r="H15" s="11">
        <v>4.05</v>
      </c>
      <c r="I15" s="11">
        <v>60</v>
      </c>
      <c r="J15" s="44"/>
      <c r="K15" s="45"/>
    </row>
    <row r="16" spans="1:15" ht="16.5" customHeight="1" x14ac:dyDescent="0.25">
      <c r="A16" s="42" t="str">
        <f t="shared" si="0"/>
        <v>4063</v>
      </c>
      <c r="B16" s="50" t="s">
        <v>33</v>
      </c>
      <c r="C16" s="41" t="s">
        <v>27</v>
      </c>
      <c r="D16" s="78">
        <v>1001012484063</v>
      </c>
      <c r="E16" s="17"/>
      <c r="F16" s="16">
        <v>1.35</v>
      </c>
      <c r="G16" s="16">
        <f t="shared" si="1"/>
        <v>0</v>
      </c>
      <c r="H16" s="11">
        <v>4.05</v>
      </c>
      <c r="I16" s="11">
        <v>60</v>
      </c>
      <c r="J16" s="44"/>
    </row>
    <row r="17" spans="1:10" ht="16.5" customHeight="1" x14ac:dyDescent="0.25">
      <c r="A17" s="42" t="str">
        <f t="shared" si="0"/>
        <v>6220</v>
      </c>
      <c r="B17" s="50" t="s">
        <v>34</v>
      </c>
      <c r="C17" s="41" t="s">
        <v>27</v>
      </c>
      <c r="D17" s="78">
        <v>1001012426220</v>
      </c>
      <c r="E17" s="17"/>
      <c r="F17" s="16">
        <v>1.35</v>
      </c>
      <c r="G17" s="16">
        <f t="shared" si="1"/>
        <v>0</v>
      </c>
      <c r="H17" s="11">
        <v>4.05</v>
      </c>
      <c r="I17" s="11">
        <v>60</v>
      </c>
      <c r="J17" s="44"/>
    </row>
    <row r="18" spans="1:10" ht="16.5" customHeight="1" x14ac:dyDescent="0.25">
      <c r="A18" s="42" t="str">
        <f t="shared" si="0"/>
        <v>6498</v>
      </c>
      <c r="B18" s="50" t="s">
        <v>35</v>
      </c>
      <c r="C18" s="41" t="s">
        <v>27</v>
      </c>
      <c r="D18" s="78">
        <v>1001012456498</v>
      </c>
      <c r="E18" s="17">
        <v>84</v>
      </c>
      <c r="F18" s="16">
        <v>1</v>
      </c>
      <c r="G18" s="16">
        <f t="shared" si="1"/>
        <v>84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6861</v>
      </c>
      <c r="B19" s="50" t="s">
        <v>36</v>
      </c>
      <c r="C19" s="41" t="s">
        <v>27</v>
      </c>
      <c r="D19" s="78">
        <v>1001015646861</v>
      </c>
      <c r="E19" s="17"/>
      <c r="F19" s="16">
        <v>1.95</v>
      </c>
      <c r="G19" s="16">
        <f t="shared" si="1"/>
        <v>0</v>
      </c>
      <c r="H19" s="11">
        <v>3.9</v>
      </c>
      <c r="I19" s="11">
        <v>60</v>
      </c>
      <c r="J19" s="44"/>
    </row>
    <row r="20" spans="1:10" ht="16.5" customHeight="1" x14ac:dyDescent="0.25">
      <c r="A20" s="42" t="str">
        <f t="shared" si="0"/>
        <v>6862</v>
      </c>
      <c r="B20" s="50" t="s">
        <v>37</v>
      </c>
      <c r="C20" s="41" t="s">
        <v>27</v>
      </c>
      <c r="D20" s="78">
        <v>1001015706862</v>
      </c>
      <c r="E20" s="17"/>
      <c r="F20" s="16">
        <v>1.95</v>
      </c>
      <c r="G20" s="16">
        <f t="shared" si="1"/>
        <v>0</v>
      </c>
      <c r="H20" s="11">
        <v>3.9</v>
      </c>
      <c r="I20" s="11">
        <v>60</v>
      </c>
      <c r="J20" s="44"/>
    </row>
    <row r="21" spans="1:10" ht="16.5" customHeight="1" x14ac:dyDescent="0.25">
      <c r="A21" s="111" t="str">
        <f t="shared" si="0"/>
        <v>7539</v>
      </c>
      <c r="B21" s="50" t="s">
        <v>38</v>
      </c>
      <c r="C21" s="41" t="s">
        <v>39</v>
      </c>
      <c r="D21" s="78">
        <v>1001010017539</v>
      </c>
      <c r="E21" s="17"/>
      <c r="F21" s="16">
        <v>0.35</v>
      </c>
      <c r="G21" s="16">
        <f>E21*F21</f>
        <v>0</v>
      </c>
      <c r="H21" s="11">
        <v>2.8</v>
      </c>
      <c r="I21" s="11">
        <v>60</v>
      </c>
      <c r="J21" s="40" t="s">
        <v>40</v>
      </c>
    </row>
    <row r="22" spans="1:10" ht="16.5" customHeight="1" x14ac:dyDescent="0.25">
      <c r="A22" s="42" t="str">
        <f t="shared" si="0"/>
        <v>7334</v>
      </c>
      <c r="B22" s="50" t="s">
        <v>41</v>
      </c>
      <c r="C22" s="41" t="s">
        <v>39</v>
      </c>
      <c r="D22" s="78">
        <v>1001012637334</v>
      </c>
      <c r="E22" s="17"/>
      <c r="F22" s="16">
        <v>0.4</v>
      </c>
      <c r="G22" s="16">
        <f>E22*F22</f>
        <v>0</v>
      </c>
      <c r="H22" s="11">
        <v>3.2</v>
      </c>
      <c r="I22" s="11">
        <v>60</v>
      </c>
      <c r="J22" s="44"/>
    </row>
    <row r="23" spans="1:10" ht="16.5" customHeight="1" x14ac:dyDescent="0.25">
      <c r="A23" s="42" t="str">
        <f t="shared" si="0"/>
        <v>6325</v>
      </c>
      <c r="B23" s="50" t="s">
        <v>42</v>
      </c>
      <c r="C23" s="41" t="s">
        <v>39</v>
      </c>
      <c r="D23" s="78">
        <v>1001010106325</v>
      </c>
      <c r="E23" s="17">
        <v>518</v>
      </c>
      <c r="F23" s="16">
        <v>0.4</v>
      </c>
      <c r="G23" s="16">
        <f>E23*F23</f>
        <v>207.20000000000002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8014</v>
      </c>
      <c r="B24" s="50" t="s">
        <v>43</v>
      </c>
      <c r="C24" s="41" t="s">
        <v>27</v>
      </c>
      <c r="D24" s="78">
        <v>1001010108014</v>
      </c>
      <c r="E24" s="17"/>
      <c r="F24" s="43">
        <v>1.35</v>
      </c>
      <c r="G24" s="16">
        <f>E24</f>
        <v>0</v>
      </c>
      <c r="H24" s="44">
        <v>5.4</v>
      </c>
      <c r="I24" s="44">
        <v>60</v>
      </c>
      <c r="J24" s="44"/>
    </row>
    <row r="25" spans="1:10" ht="16.5" customHeight="1" x14ac:dyDescent="0.25">
      <c r="A25" s="111">
        <v>7632</v>
      </c>
      <c r="B25" s="50" t="s">
        <v>44</v>
      </c>
      <c r="C25" s="41" t="s">
        <v>39</v>
      </c>
      <c r="D25" s="78">
        <v>1001012507632</v>
      </c>
      <c r="E25" s="17"/>
      <c r="F25" s="43">
        <v>0.4</v>
      </c>
      <c r="G25" s="16">
        <f t="shared" ref="G25:G33" si="2">E25*F25</f>
        <v>0</v>
      </c>
      <c r="H25" s="44">
        <v>3.2</v>
      </c>
      <c r="I25" s="44">
        <v>60</v>
      </c>
      <c r="J25" s="40" t="s">
        <v>45</v>
      </c>
    </row>
    <row r="26" spans="1:10" ht="16.5" customHeight="1" x14ac:dyDescent="0.25">
      <c r="A26" s="111" t="str">
        <f t="shared" ref="A26:A33" si="3">RIGHT(D26,4)</f>
        <v>7523</v>
      </c>
      <c r="B26" s="50" t="s">
        <v>46</v>
      </c>
      <c r="C26" s="41" t="s">
        <v>39</v>
      </c>
      <c r="D26" s="78">
        <v>1001012427523</v>
      </c>
      <c r="E26" s="17">
        <v>186</v>
      </c>
      <c r="F26" s="43">
        <v>0.4</v>
      </c>
      <c r="G26" s="16">
        <f t="shared" si="2"/>
        <v>74.400000000000006</v>
      </c>
      <c r="H26" s="44">
        <v>2.4</v>
      </c>
      <c r="I26" s="44">
        <v>60</v>
      </c>
      <c r="J26" s="40" t="s">
        <v>47</v>
      </c>
    </row>
    <row r="27" spans="1:10" ht="16.5" customHeight="1" x14ac:dyDescent="0.25">
      <c r="A27" s="42" t="str">
        <f t="shared" si="3"/>
        <v>6340</v>
      </c>
      <c r="B27" s="50" t="s">
        <v>48</v>
      </c>
      <c r="C27" s="41" t="s">
        <v>39</v>
      </c>
      <c r="D27" s="78">
        <v>1001012816340</v>
      </c>
      <c r="E27" s="17"/>
      <c r="F27" s="16">
        <v>0.5</v>
      </c>
      <c r="G27" s="16">
        <f t="shared" si="2"/>
        <v>0</v>
      </c>
      <c r="H27" s="11">
        <v>4</v>
      </c>
      <c r="I27" s="11">
        <v>60</v>
      </c>
      <c r="J27" s="44"/>
    </row>
    <row r="28" spans="1:10" ht="16.5" customHeight="1" x14ac:dyDescent="0.25">
      <c r="A28" s="42" t="str">
        <f t="shared" si="3"/>
        <v>6341</v>
      </c>
      <c r="B28" s="50" t="s">
        <v>49</v>
      </c>
      <c r="C28" s="41" t="s">
        <v>39</v>
      </c>
      <c r="D28" s="78">
        <v>1001012816341</v>
      </c>
      <c r="E28" s="17"/>
      <c r="F28" s="16">
        <v>0.5</v>
      </c>
      <c r="G28" s="16">
        <f t="shared" si="2"/>
        <v>0</v>
      </c>
      <c r="H28" s="11">
        <v>4</v>
      </c>
      <c r="I28" s="11">
        <v>60</v>
      </c>
      <c r="J28" s="44"/>
    </row>
    <row r="29" spans="1:10" ht="16.5" customHeight="1" x14ac:dyDescent="0.25">
      <c r="A29" s="42" t="str">
        <f t="shared" si="3"/>
        <v>6333</v>
      </c>
      <c r="B29" s="50" t="s">
        <v>50</v>
      </c>
      <c r="C29" s="41" t="s">
        <v>39</v>
      </c>
      <c r="D29" s="78">
        <v>1001012486333</v>
      </c>
      <c r="E29" s="17">
        <v>157</v>
      </c>
      <c r="F29" s="16">
        <v>0.4</v>
      </c>
      <c r="G29" s="16">
        <f t="shared" si="2"/>
        <v>62.800000000000004</v>
      </c>
      <c r="H29" s="11">
        <v>3.2</v>
      </c>
      <c r="I29" s="11">
        <v>60</v>
      </c>
      <c r="J29" s="44"/>
    </row>
    <row r="30" spans="1:10" ht="16.5" customHeight="1" x14ac:dyDescent="0.25">
      <c r="A30" s="42" t="str">
        <f t="shared" si="3"/>
        <v>6392</v>
      </c>
      <c r="B30" s="50" t="s">
        <v>51</v>
      </c>
      <c r="C30" s="41" t="s">
        <v>39</v>
      </c>
      <c r="D30" s="78">
        <v>1001012566392</v>
      </c>
      <c r="E30" s="17"/>
      <c r="F30" s="16">
        <v>0.4</v>
      </c>
      <c r="G30" s="16">
        <f t="shared" si="2"/>
        <v>0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3"/>
        <v>7343</v>
      </c>
      <c r="B31" s="50" t="s">
        <v>52</v>
      </c>
      <c r="C31" s="41" t="s">
        <v>39</v>
      </c>
      <c r="D31" s="78">
        <v>1001016747343</v>
      </c>
      <c r="E31" s="17"/>
      <c r="F31" s="16">
        <v>0.4</v>
      </c>
      <c r="G31" s="16">
        <f t="shared" si="2"/>
        <v>0</v>
      </c>
      <c r="H31" s="11">
        <v>3.2</v>
      </c>
      <c r="I31" s="11">
        <v>60</v>
      </c>
      <c r="J31" s="44"/>
    </row>
    <row r="32" spans="1:10" ht="16.5" customHeight="1" x14ac:dyDescent="0.25">
      <c r="A32" s="42" t="str">
        <f t="shared" si="3"/>
        <v>6797</v>
      </c>
      <c r="B32" s="50" t="s">
        <v>53</v>
      </c>
      <c r="C32" s="41" t="s">
        <v>39</v>
      </c>
      <c r="D32" s="78">
        <v>1001015026797</v>
      </c>
      <c r="E32" s="17">
        <v>110</v>
      </c>
      <c r="F32" s="43">
        <v>0.4</v>
      </c>
      <c r="G32" s="16">
        <f t="shared" si="2"/>
        <v>44</v>
      </c>
      <c r="H32" s="44">
        <v>3.2</v>
      </c>
      <c r="I32" s="44">
        <v>60</v>
      </c>
      <c r="J32" s="44"/>
    </row>
    <row r="33" spans="1:10" ht="16.5" customHeight="1" thickBot="1" x14ac:dyDescent="0.3">
      <c r="A33" s="42" t="str">
        <f t="shared" si="3"/>
        <v>7231</v>
      </c>
      <c r="B33" s="50" t="s">
        <v>54</v>
      </c>
      <c r="C33" s="41" t="s">
        <v>39</v>
      </c>
      <c r="D33" s="78">
        <v>1001013957231</v>
      </c>
      <c r="E33" s="17">
        <v>101</v>
      </c>
      <c r="F33" s="43">
        <v>0.3</v>
      </c>
      <c r="G33" s="16">
        <f t="shared" si="2"/>
        <v>30.299999999999997</v>
      </c>
      <c r="H33" s="44">
        <v>2.4</v>
      </c>
      <c r="I33" s="44">
        <v>60</v>
      </c>
      <c r="J33" s="44"/>
    </row>
    <row r="34" spans="1:10" ht="16.5" customHeight="1" thickTop="1" thickBot="1" x14ac:dyDescent="0.3">
      <c r="A34" s="37"/>
      <c r="B34" s="32" t="s">
        <v>55</v>
      </c>
      <c r="C34" s="32"/>
      <c r="D34" s="32"/>
      <c r="E34" s="32"/>
      <c r="F34" s="31"/>
      <c r="G34" s="32"/>
      <c r="H34" s="32"/>
      <c r="I34" s="32"/>
      <c r="J34" s="33"/>
    </row>
    <row r="35" spans="1:10" ht="16.5" customHeight="1" thickTop="1" x14ac:dyDescent="0.25">
      <c r="A35" s="42" t="str">
        <f t="shared" ref="A35:A70" si="4">RIGHT(D35,4)</f>
        <v>6767</v>
      </c>
      <c r="B35" s="50" t="s">
        <v>56</v>
      </c>
      <c r="C35" s="41" t="s">
        <v>27</v>
      </c>
      <c r="D35" s="78">
        <v>1001023696767</v>
      </c>
      <c r="E35" s="17"/>
      <c r="F35" s="43">
        <v>1.04</v>
      </c>
      <c r="G35" s="16">
        <f t="shared" ref="G35:G46" si="5">E35</f>
        <v>0</v>
      </c>
      <c r="H35" s="44">
        <v>4.16</v>
      </c>
      <c r="I35" s="44">
        <v>45</v>
      </c>
      <c r="J35" s="44"/>
    </row>
    <row r="36" spans="1:10" ht="16.5" customHeight="1" x14ac:dyDescent="0.25">
      <c r="A36" s="42" t="str">
        <f t="shared" si="4"/>
        <v>6761</v>
      </c>
      <c r="B36" s="50" t="s">
        <v>57</v>
      </c>
      <c r="C36" s="41" t="s">
        <v>27</v>
      </c>
      <c r="D36" s="78">
        <v>1001020836761</v>
      </c>
      <c r="E36" s="17"/>
      <c r="F36" s="43">
        <v>1</v>
      </c>
      <c r="G36" s="16">
        <f t="shared" si="5"/>
        <v>0</v>
      </c>
      <c r="H36" s="44">
        <v>4</v>
      </c>
      <c r="I36" s="44">
        <v>30</v>
      </c>
      <c r="J36" s="44"/>
    </row>
    <row r="37" spans="1:10" ht="16.5" customHeight="1" x14ac:dyDescent="0.25">
      <c r="A37" s="42" t="str">
        <f t="shared" si="4"/>
        <v>6764</v>
      </c>
      <c r="B37" s="50" t="s">
        <v>58</v>
      </c>
      <c r="C37" s="41" t="s">
        <v>27</v>
      </c>
      <c r="D37" s="78">
        <v>1001020846764</v>
      </c>
      <c r="E37" s="17"/>
      <c r="F37" s="43">
        <v>1</v>
      </c>
      <c r="G37" s="16">
        <f t="shared" si="5"/>
        <v>0</v>
      </c>
      <c r="H37" s="44">
        <v>4</v>
      </c>
      <c r="I37" s="44">
        <v>45</v>
      </c>
      <c r="J37" s="44"/>
    </row>
    <row r="38" spans="1:10" ht="16.5" customHeight="1" x14ac:dyDescent="0.25">
      <c r="A38" s="42" t="str">
        <f t="shared" si="4"/>
        <v>6254</v>
      </c>
      <c r="B38" s="50" t="s">
        <v>59</v>
      </c>
      <c r="C38" s="41" t="s">
        <v>27</v>
      </c>
      <c r="D38" s="78">
        <v>1001022556254</v>
      </c>
      <c r="E38" s="17"/>
      <c r="F38" s="43">
        <v>1.5</v>
      </c>
      <c r="G38" s="16">
        <f t="shared" si="5"/>
        <v>0</v>
      </c>
      <c r="H38" s="44">
        <v>3</v>
      </c>
      <c r="I38" s="44">
        <v>45</v>
      </c>
      <c r="J38" s="44"/>
    </row>
    <row r="39" spans="1:10" ht="16.5" customHeight="1" x14ac:dyDescent="0.25">
      <c r="A39" s="42" t="str">
        <f t="shared" si="4"/>
        <v>7075</v>
      </c>
      <c r="B39" s="50" t="s">
        <v>60</v>
      </c>
      <c r="C39" s="41" t="s">
        <v>27</v>
      </c>
      <c r="D39" s="78">
        <v>1001022657075</v>
      </c>
      <c r="E39" s="17"/>
      <c r="F39" s="43">
        <v>1.5</v>
      </c>
      <c r="G39" s="16">
        <f t="shared" si="5"/>
        <v>0</v>
      </c>
      <c r="H39" s="44">
        <v>6</v>
      </c>
      <c r="I39" s="44">
        <v>50</v>
      </c>
      <c r="J39" s="44"/>
    </row>
    <row r="40" spans="1:10" ht="16.5" customHeight="1" x14ac:dyDescent="0.25">
      <c r="A40" s="42" t="str">
        <f t="shared" si="4"/>
        <v>7083</v>
      </c>
      <c r="B40" s="50" t="s">
        <v>61</v>
      </c>
      <c r="C40" s="41" t="s">
        <v>27</v>
      </c>
      <c r="D40" s="78">
        <v>1001022467083</v>
      </c>
      <c r="E40" s="17"/>
      <c r="F40" s="43">
        <v>1.5</v>
      </c>
      <c r="G40" s="16">
        <f t="shared" si="5"/>
        <v>0</v>
      </c>
      <c r="H40" s="44">
        <v>6</v>
      </c>
      <c r="I40" s="44">
        <v>50</v>
      </c>
      <c r="J40" s="44"/>
    </row>
    <row r="41" spans="1:10" ht="16.5" customHeight="1" x14ac:dyDescent="0.25">
      <c r="A41" s="42" t="str">
        <f t="shared" si="4"/>
        <v>6829</v>
      </c>
      <c r="B41" s="50" t="s">
        <v>62</v>
      </c>
      <c r="C41" s="41" t="s">
        <v>27</v>
      </c>
      <c r="D41" s="78">
        <v>1001024976829</v>
      </c>
      <c r="E41" s="17">
        <v>164</v>
      </c>
      <c r="F41" s="43">
        <v>2.1</v>
      </c>
      <c r="G41" s="16">
        <f t="shared" si="5"/>
        <v>164</v>
      </c>
      <c r="H41" s="44">
        <v>8.4</v>
      </c>
      <c r="I41" s="44">
        <v>45</v>
      </c>
      <c r="J41" s="44"/>
    </row>
    <row r="42" spans="1:10" ht="16.5" customHeight="1" x14ac:dyDescent="0.25">
      <c r="A42" s="42" t="str">
        <f t="shared" si="4"/>
        <v>7070</v>
      </c>
      <c r="B42" s="50" t="s">
        <v>63</v>
      </c>
      <c r="C42" s="41" t="s">
        <v>27</v>
      </c>
      <c r="D42" s="78">
        <v>1001022377070</v>
      </c>
      <c r="E42" s="17"/>
      <c r="F42" s="43">
        <v>1.5</v>
      </c>
      <c r="G42" s="16">
        <f t="shared" si="5"/>
        <v>0</v>
      </c>
      <c r="H42" s="44">
        <v>6</v>
      </c>
      <c r="I42" s="44">
        <v>50</v>
      </c>
      <c r="J42" s="44"/>
    </row>
    <row r="43" spans="1:10" ht="16.5" customHeight="1" x14ac:dyDescent="0.25">
      <c r="A43" s="42" t="str">
        <f t="shared" si="4"/>
        <v>7076</v>
      </c>
      <c r="B43" s="50" t="s">
        <v>64</v>
      </c>
      <c r="C43" s="41" t="s">
        <v>27</v>
      </c>
      <c r="D43" s="78">
        <v>1001022657076</v>
      </c>
      <c r="E43" s="17"/>
      <c r="F43" s="43">
        <v>1.5</v>
      </c>
      <c r="G43" s="16">
        <f t="shared" si="5"/>
        <v>0</v>
      </c>
      <c r="H43" s="44">
        <v>6</v>
      </c>
      <c r="I43" s="44">
        <v>50</v>
      </c>
      <c r="J43" s="44"/>
    </row>
    <row r="44" spans="1:10" ht="16.5" customHeight="1" x14ac:dyDescent="0.25">
      <c r="A44" s="42" t="str">
        <f t="shared" si="4"/>
        <v>7271</v>
      </c>
      <c r="B44" s="50" t="s">
        <v>65</v>
      </c>
      <c r="C44" s="41" t="s">
        <v>27</v>
      </c>
      <c r="D44" s="78">
        <v>1001025507271</v>
      </c>
      <c r="E44" s="17"/>
      <c r="F44" s="43">
        <v>1.5</v>
      </c>
      <c r="G44" s="16">
        <f t="shared" si="5"/>
        <v>0</v>
      </c>
      <c r="H44" s="44">
        <v>6</v>
      </c>
      <c r="I44" s="44">
        <v>50</v>
      </c>
      <c r="J44" s="44"/>
    </row>
    <row r="45" spans="1:10" ht="16.5" customHeight="1" x14ac:dyDescent="0.25">
      <c r="A45" s="42" t="str">
        <f t="shared" si="4"/>
        <v>6303</v>
      </c>
      <c r="B45" s="50" t="s">
        <v>66</v>
      </c>
      <c r="C45" s="41" t="s">
        <v>27</v>
      </c>
      <c r="D45" s="78">
        <v>1001022726303</v>
      </c>
      <c r="E45" s="17"/>
      <c r="F45" s="43">
        <v>1.5</v>
      </c>
      <c r="G45" s="16">
        <f t="shared" si="5"/>
        <v>0</v>
      </c>
      <c r="H45" s="44">
        <v>4.5</v>
      </c>
      <c r="I45" s="44">
        <v>45</v>
      </c>
      <c r="J45" s="44"/>
    </row>
    <row r="46" spans="1:10" ht="16.5" customHeight="1" x14ac:dyDescent="0.25">
      <c r="A46" s="42" t="str">
        <f t="shared" si="4"/>
        <v>6661</v>
      </c>
      <c r="B46" s="50" t="s">
        <v>67</v>
      </c>
      <c r="C46" s="41" t="s">
        <v>27</v>
      </c>
      <c r="D46" s="78">
        <v>1001022246661</v>
      </c>
      <c r="E46" s="17">
        <v>375</v>
      </c>
      <c r="F46" s="43">
        <v>1.5</v>
      </c>
      <c r="G46" s="16">
        <f t="shared" si="5"/>
        <v>375</v>
      </c>
      <c r="H46" s="44">
        <v>6</v>
      </c>
      <c r="I46" s="44">
        <v>45</v>
      </c>
      <c r="J46" s="44"/>
    </row>
    <row r="47" spans="1:10" ht="16.5" customHeight="1" x14ac:dyDescent="0.25">
      <c r="A47" s="42" t="str">
        <f t="shared" si="4"/>
        <v>6759</v>
      </c>
      <c r="B47" s="50" t="s">
        <v>68</v>
      </c>
      <c r="C47" s="41" t="s">
        <v>39</v>
      </c>
      <c r="D47" s="78">
        <v>1001020836759</v>
      </c>
      <c r="E47" s="17"/>
      <c r="F47" s="43">
        <v>0.4</v>
      </c>
      <c r="G47" s="16">
        <f t="shared" ref="G47:G70" si="6">E47*F47</f>
        <v>0</v>
      </c>
      <c r="H47" s="44">
        <v>2.8</v>
      </c>
      <c r="I47" s="44">
        <v>30</v>
      </c>
      <c r="J47" s="44"/>
    </row>
    <row r="48" spans="1:10" ht="16.5" customHeight="1" x14ac:dyDescent="0.25">
      <c r="A48" s="42" t="str">
        <f t="shared" si="4"/>
        <v>6762</v>
      </c>
      <c r="B48" s="50" t="s">
        <v>69</v>
      </c>
      <c r="C48" s="41" t="s">
        <v>39</v>
      </c>
      <c r="D48" s="78">
        <v>1001020846762</v>
      </c>
      <c r="E48" s="17"/>
      <c r="F48" s="43">
        <v>0.41</v>
      </c>
      <c r="G48" s="16">
        <f t="shared" si="6"/>
        <v>0</v>
      </c>
      <c r="H48" s="44">
        <v>3.28</v>
      </c>
      <c r="I48" s="44">
        <v>45</v>
      </c>
      <c r="J48" s="44"/>
    </row>
    <row r="49" spans="1:10" ht="16.5" customHeight="1" x14ac:dyDescent="0.25">
      <c r="A49" s="42" t="str">
        <f t="shared" si="4"/>
        <v>6765</v>
      </c>
      <c r="B49" s="50" t="s">
        <v>70</v>
      </c>
      <c r="C49" s="41" t="s">
        <v>39</v>
      </c>
      <c r="D49" s="78">
        <v>1001023696765</v>
      </c>
      <c r="E49" s="17"/>
      <c r="F49" s="43">
        <v>0.36</v>
      </c>
      <c r="G49" s="16">
        <f t="shared" si="6"/>
        <v>0</v>
      </c>
      <c r="H49" s="44">
        <v>2.16</v>
      </c>
      <c r="I49" s="44">
        <v>45</v>
      </c>
      <c r="J49" s="44"/>
    </row>
    <row r="50" spans="1:10" ht="16.5" customHeight="1" x14ac:dyDescent="0.25">
      <c r="A50" s="42" t="str">
        <f t="shared" si="4"/>
        <v>7074</v>
      </c>
      <c r="B50" s="50" t="s">
        <v>71</v>
      </c>
      <c r="C50" s="41" t="s">
        <v>39</v>
      </c>
      <c r="D50" s="78">
        <v>1001022657074</v>
      </c>
      <c r="E50" s="17"/>
      <c r="F50" s="43">
        <v>0.6</v>
      </c>
      <c r="G50" s="16">
        <f t="shared" si="6"/>
        <v>0</v>
      </c>
      <c r="H50" s="44">
        <v>4.8</v>
      </c>
      <c r="I50" s="44">
        <v>50</v>
      </c>
      <c r="J50" s="44"/>
    </row>
    <row r="51" spans="1:10" ht="16.5" customHeight="1" x14ac:dyDescent="0.25">
      <c r="A51" s="42" t="str">
        <f t="shared" si="4"/>
        <v>7123</v>
      </c>
      <c r="B51" s="50" t="s">
        <v>72</v>
      </c>
      <c r="C51" s="41" t="s">
        <v>39</v>
      </c>
      <c r="D51" s="78">
        <v>1001020867123</v>
      </c>
      <c r="E51" s="17"/>
      <c r="F51" s="43">
        <v>0.3</v>
      </c>
      <c r="G51" s="16">
        <f t="shared" si="6"/>
        <v>0</v>
      </c>
      <c r="H51" s="44">
        <v>1.8</v>
      </c>
      <c r="I51" s="44">
        <v>45</v>
      </c>
      <c r="J51" s="44"/>
    </row>
    <row r="52" spans="1:10" ht="16.5" customHeight="1" x14ac:dyDescent="0.25">
      <c r="A52" s="42" t="str">
        <f t="shared" si="4"/>
        <v>5819</v>
      </c>
      <c r="B52" s="50" t="s">
        <v>73</v>
      </c>
      <c r="C52" s="41" t="s">
        <v>39</v>
      </c>
      <c r="D52" s="78">
        <v>1001022725819</v>
      </c>
      <c r="E52" s="17">
        <v>146</v>
      </c>
      <c r="F52" s="43">
        <v>0.4</v>
      </c>
      <c r="G52" s="16">
        <f t="shared" si="6"/>
        <v>58.400000000000006</v>
      </c>
      <c r="H52" s="44">
        <v>3.2</v>
      </c>
      <c r="I52" s="44">
        <v>45</v>
      </c>
      <c r="J52" s="44"/>
    </row>
    <row r="53" spans="1:10" ht="16.5" customHeight="1" x14ac:dyDescent="0.25">
      <c r="A53" s="42" t="str">
        <f t="shared" si="4"/>
        <v>6475</v>
      </c>
      <c r="B53" s="50" t="s">
        <v>74</v>
      </c>
      <c r="C53" s="41" t="s">
        <v>39</v>
      </c>
      <c r="D53" s="78">
        <v>1001025176475</v>
      </c>
      <c r="E53" s="17">
        <v>10</v>
      </c>
      <c r="F53" s="43">
        <v>0.4</v>
      </c>
      <c r="G53" s="16">
        <f t="shared" si="6"/>
        <v>4</v>
      </c>
      <c r="H53" s="44">
        <v>2.4</v>
      </c>
      <c r="I53" s="44">
        <v>45</v>
      </c>
      <c r="J53" s="44"/>
    </row>
    <row r="54" spans="1:10" ht="16.5" customHeight="1" x14ac:dyDescent="0.25">
      <c r="A54" s="42" t="str">
        <f t="shared" si="4"/>
        <v>7284</v>
      </c>
      <c r="B54" s="50" t="s">
        <v>75</v>
      </c>
      <c r="C54" s="41" t="s">
        <v>39</v>
      </c>
      <c r="D54" s="78">
        <v>1001025767284</v>
      </c>
      <c r="E54" s="17">
        <v>97</v>
      </c>
      <c r="F54" s="43">
        <v>0.33</v>
      </c>
      <c r="G54" s="16">
        <f t="shared" si="6"/>
        <v>32.01</v>
      </c>
      <c r="H54" s="44">
        <v>1.98</v>
      </c>
      <c r="I54" s="44">
        <v>30</v>
      </c>
      <c r="J54" s="44"/>
    </row>
    <row r="55" spans="1:10" ht="16.5" customHeight="1" x14ac:dyDescent="0.25">
      <c r="A55" s="42" t="str">
        <f t="shared" si="4"/>
        <v>7601</v>
      </c>
      <c r="B55" s="50" t="s">
        <v>76</v>
      </c>
      <c r="C55" s="41" t="s">
        <v>39</v>
      </c>
      <c r="D55" s="78">
        <v>1001025767601</v>
      </c>
      <c r="E55" s="17"/>
      <c r="F55" s="43">
        <v>0.26400000000000001</v>
      </c>
      <c r="G55" s="16">
        <f t="shared" si="6"/>
        <v>0</v>
      </c>
      <c r="H55" s="44">
        <v>1.58</v>
      </c>
      <c r="I55" s="44">
        <v>30</v>
      </c>
      <c r="J55" s="44"/>
    </row>
    <row r="56" spans="1:10" ht="16.5" customHeight="1" x14ac:dyDescent="0.25">
      <c r="A56" s="42" t="str">
        <f t="shared" si="4"/>
        <v>7461</v>
      </c>
      <c r="B56" s="50" t="s">
        <v>77</v>
      </c>
      <c r="C56" s="41" t="s">
        <v>39</v>
      </c>
      <c r="D56" s="78">
        <v>1001025767461</v>
      </c>
      <c r="E56" s="17">
        <v>50</v>
      </c>
      <c r="F56" s="43">
        <v>0.33</v>
      </c>
      <c r="G56" s="16">
        <f t="shared" si="6"/>
        <v>16.5</v>
      </c>
      <c r="H56" s="44">
        <v>1.98</v>
      </c>
      <c r="I56" s="44">
        <v>30</v>
      </c>
      <c r="J56" s="40" t="s">
        <v>78</v>
      </c>
    </row>
    <row r="57" spans="1:10" ht="16.5" customHeight="1" x14ac:dyDescent="0.25">
      <c r="A57" s="42" t="str">
        <f t="shared" si="4"/>
        <v>7371</v>
      </c>
      <c r="B57" s="50" t="s">
        <v>79</v>
      </c>
      <c r="C57" s="41" t="s">
        <v>39</v>
      </c>
      <c r="D57" s="78">
        <v>1001026947371</v>
      </c>
      <c r="E57" s="17"/>
      <c r="F57" s="43">
        <v>0.3</v>
      </c>
      <c r="G57" s="16">
        <f t="shared" si="6"/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4"/>
        <v>6837</v>
      </c>
      <c r="B58" s="50" t="s">
        <v>80</v>
      </c>
      <c r="C58" s="41" t="s">
        <v>39</v>
      </c>
      <c r="D58" s="78">
        <v>1001022556837</v>
      </c>
      <c r="E58" s="17">
        <v>301</v>
      </c>
      <c r="F58" s="43">
        <v>0.4</v>
      </c>
      <c r="G58" s="16">
        <f t="shared" si="6"/>
        <v>120.4</v>
      </c>
      <c r="H58" s="44">
        <v>2.4</v>
      </c>
      <c r="I58" s="44">
        <v>45</v>
      </c>
      <c r="J58" s="44"/>
    </row>
    <row r="59" spans="1:10" ht="16.5" customHeight="1" x14ac:dyDescent="0.25">
      <c r="A59" s="42" t="str">
        <f t="shared" si="4"/>
        <v>7080</v>
      </c>
      <c r="B59" s="50" t="s">
        <v>81</v>
      </c>
      <c r="C59" s="41" t="s">
        <v>39</v>
      </c>
      <c r="D59" s="78">
        <v>1001022467080</v>
      </c>
      <c r="E59" s="17"/>
      <c r="F59" s="16">
        <v>0.41</v>
      </c>
      <c r="G59" s="16">
        <f t="shared" si="6"/>
        <v>0</v>
      </c>
      <c r="H59" s="11">
        <v>4.0999999999999996</v>
      </c>
      <c r="I59" s="11">
        <v>50</v>
      </c>
      <c r="J59" s="44"/>
    </row>
    <row r="60" spans="1:10" ht="16.5" customHeight="1" x14ac:dyDescent="0.25">
      <c r="A60" s="42" t="str">
        <f t="shared" si="4"/>
        <v>6724</v>
      </c>
      <c r="B60" s="50" t="s">
        <v>82</v>
      </c>
      <c r="C60" s="41" t="s">
        <v>39</v>
      </c>
      <c r="D60" s="78">
        <v>1001020836724</v>
      </c>
      <c r="E60" s="17"/>
      <c r="F60" s="16">
        <v>0.41</v>
      </c>
      <c r="G60" s="16">
        <f t="shared" si="6"/>
        <v>0</v>
      </c>
      <c r="H60" s="11">
        <v>4.0999999999999996</v>
      </c>
      <c r="I60" s="11">
        <v>45</v>
      </c>
      <c r="J60" s="44"/>
    </row>
    <row r="61" spans="1:10" ht="16.5" customHeight="1" x14ac:dyDescent="0.25">
      <c r="A61" s="42" t="str">
        <f t="shared" si="4"/>
        <v>7066</v>
      </c>
      <c r="B61" s="50" t="s">
        <v>83</v>
      </c>
      <c r="C61" s="41" t="s">
        <v>39</v>
      </c>
      <c r="D61" s="78">
        <v>1001022377066</v>
      </c>
      <c r="E61" s="17">
        <v>392</v>
      </c>
      <c r="F61" s="16">
        <v>0.41</v>
      </c>
      <c r="G61" s="16">
        <f t="shared" si="6"/>
        <v>160.72</v>
      </c>
      <c r="H61" s="11">
        <v>4.0999999999999996</v>
      </c>
      <c r="I61" s="11">
        <v>50</v>
      </c>
      <c r="J61" s="44"/>
    </row>
    <row r="62" spans="1:10" ht="16.5" customHeight="1" x14ac:dyDescent="0.25">
      <c r="A62" s="42" t="str">
        <f t="shared" si="4"/>
        <v>6713</v>
      </c>
      <c r="B62" s="50" t="s">
        <v>84</v>
      </c>
      <c r="C62" s="41" t="s">
        <v>39</v>
      </c>
      <c r="D62" s="78">
        <v>1001022246713</v>
      </c>
      <c r="E62" s="17">
        <v>215</v>
      </c>
      <c r="F62" s="16">
        <v>0.41</v>
      </c>
      <c r="G62" s="16">
        <f t="shared" si="6"/>
        <v>88.149999999999991</v>
      </c>
      <c r="H62" s="11">
        <v>3.28</v>
      </c>
      <c r="I62" s="11">
        <v>45</v>
      </c>
      <c r="J62" s="44"/>
    </row>
    <row r="63" spans="1:10" ht="16.5" customHeight="1" x14ac:dyDescent="0.25">
      <c r="A63" s="42" t="str">
        <f t="shared" si="4"/>
        <v>7255</v>
      </c>
      <c r="B63" s="50" t="s">
        <v>85</v>
      </c>
      <c r="C63" s="41" t="s">
        <v>39</v>
      </c>
      <c r="D63" s="78">
        <v>1001025507255</v>
      </c>
      <c r="E63" s="17">
        <v>107</v>
      </c>
      <c r="F63" s="16">
        <v>0.4</v>
      </c>
      <c r="G63" s="16">
        <f t="shared" si="6"/>
        <v>42.800000000000004</v>
      </c>
      <c r="H63" s="11">
        <v>2.4</v>
      </c>
      <c r="I63" s="11">
        <v>50</v>
      </c>
      <c r="J63" s="44"/>
    </row>
    <row r="64" spans="1:10" ht="16.5" customHeight="1" x14ac:dyDescent="0.25">
      <c r="A64" s="42" t="str">
        <f t="shared" si="4"/>
        <v>6602</v>
      </c>
      <c r="B64" s="50" t="s">
        <v>86</v>
      </c>
      <c r="C64" s="41" t="s">
        <v>39</v>
      </c>
      <c r="D64" s="78">
        <v>1001021966602</v>
      </c>
      <c r="E64" s="17">
        <v>50</v>
      </c>
      <c r="F64" s="16">
        <v>0.35</v>
      </c>
      <c r="G64" s="16">
        <f t="shared" si="6"/>
        <v>17.5</v>
      </c>
      <c r="H64" s="11">
        <v>2.8</v>
      </c>
      <c r="I64" s="11">
        <v>45</v>
      </c>
      <c r="J64" s="44"/>
    </row>
    <row r="65" spans="1:10" ht="16.5" customHeight="1" x14ac:dyDescent="0.25">
      <c r="A65" s="42" t="str">
        <f t="shared" si="4"/>
        <v>7073</v>
      </c>
      <c r="B65" s="50" t="s">
        <v>87</v>
      </c>
      <c r="C65" s="41" t="s">
        <v>39</v>
      </c>
      <c r="D65" s="78">
        <v>1001022657073</v>
      </c>
      <c r="E65" s="17">
        <v>65</v>
      </c>
      <c r="F65" s="16">
        <v>0.35</v>
      </c>
      <c r="G65" s="16">
        <f t="shared" si="6"/>
        <v>22.75</v>
      </c>
      <c r="H65" s="11">
        <v>2.8</v>
      </c>
      <c r="I65" s="11">
        <v>50</v>
      </c>
      <c r="J65" s="44"/>
    </row>
    <row r="66" spans="1:10" ht="16.5" customHeight="1" x14ac:dyDescent="0.25">
      <c r="A66" s="42" t="str">
        <f t="shared" si="4"/>
        <v>7276</v>
      </c>
      <c r="B66" s="50" t="s">
        <v>88</v>
      </c>
      <c r="C66" s="41" t="s">
        <v>39</v>
      </c>
      <c r="D66" s="78">
        <v>1001022467276</v>
      </c>
      <c r="E66" s="17"/>
      <c r="F66" s="16">
        <v>0.3</v>
      </c>
      <c r="G66" s="16">
        <f t="shared" si="6"/>
        <v>0</v>
      </c>
      <c r="H66" s="11">
        <v>2.1</v>
      </c>
      <c r="I66" s="11">
        <v>50</v>
      </c>
      <c r="J66" s="44"/>
    </row>
    <row r="67" spans="1:10" ht="16.5" customHeight="1" x14ac:dyDescent="0.25">
      <c r="A67" s="42" t="str">
        <f t="shared" si="4"/>
        <v>6616</v>
      </c>
      <c r="B67" s="50" t="s">
        <v>89</v>
      </c>
      <c r="C67" s="41" t="s">
        <v>39</v>
      </c>
      <c r="D67" s="78">
        <v>1001024976616</v>
      </c>
      <c r="E67" s="17">
        <v>589</v>
      </c>
      <c r="F67" s="16">
        <v>0.3</v>
      </c>
      <c r="G67" s="16">
        <f t="shared" si="6"/>
        <v>176.7</v>
      </c>
      <c r="H67" s="11">
        <v>2.4</v>
      </c>
      <c r="I67" s="11">
        <v>45</v>
      </c>
      <c r="J67" s="44"/>
    </row>
    <row r="68" spans="1:10" ht="16.5" customHeight="1" x14ac:dyDescent="0.25">
      <c r="A68" s="42" t="str">
        <f t="shared" si="4"/>
        <v>7385</v>
      </c>
      <c r="B68" s="50" t="s">
        <v>90</v>
      </c>
      <c r="C68" s="41" t="s">
        <v>39</v>
      </c>
      <c r="D68" s="78">
        <v>1001027067385</v>
      </c>
      <c r="E68" s="17"/>
      <c r="F68" s="16">
        <v>0.33</v>
      </c>
      <c r="G68" s="16">
        <f t="shared" si="6"/>
        <v>0</v>
      </c>
      <c r="H68" s="11">
        <v>2.64</v>
      </c>
      <c r="I68" s="11">
        <v>45</v>
      </c>
      <c r="J68" s="44"/>
    </row>
    <row r="69" spans="1:10" ht="16.5" customHeight="1" x14ac:dyDescent="0.25">
      <c r="A69" s="42" t="str">
        <f t="shared" si="4"/>
        <v>7044</v>
      </c>
      <c r="B69" s="50" t="s">
        <v>91</v>
      </c>
      <c r="C69" s="41" t="s">
        <v>39</v>
      </c>
      <c r="D69" s="78">
        <v>1001025167044</v>
      </c>
      <c r="E69" s="17"/>
      <c r="F69" s="16">
        <v>0.32</v>
      </c>
      <c r="G69" s="16">
        <f t="shared" si="6"/>
        <v>0</v>
      </c>
      <c r="H69" s="11">
        <v>2.56</v>
      </c>
      <c r="I69" s="11">
        <v>45</v>
      </c>
      <c r="J69" s="44"/>
    </row>
    <row r="70" spans="1:10" ht="16.5" customHeight="1" thickBot="1" x14ac:dyDescent="0.3">
      <c r="A70" s="42" t="str">
        <f t="shared" si="4"/>
        <v>7460</v>
      </c>
      <c r="B70" s="50" t="s">
        <v>92</v>
      </c>
      <c r="C70" s="41" t="s">
        <v>39</v>
      </c>
      <c r="D70" s="78">
        <v>1001027247460</v>
      </c>
      <c r="E70" s="17"/>
      <c r="F70" s="16">
        <v>0.33</v>
      </c>
      <c r="G70" s="16">
        <f t="shared" si="6"/>
        <v>0</v>
      </c>
      <c r="H70" s="11">
        <v>2.64</v>
      </c>
      <c r="I70" s="11">
        <v>45</v>
      </c>
      <c r="J70" s="44"/>
    </row>
    <row r="71" spans="1:10" ht="16.5" customHeight="1" thickTop="1" thickBot="1" x14ac:dyDescent="0.3">
      <c r="A71" s="37"/>
      <c r="B71" s="32" t="s">
        <v>93</v>
      </c>
      <c r="C71" s="32"/>
      <c r="D71" s="32"/>
      <c r="E71" s="32"/>
      <c r="F71" s="31"/>
      <c r="G71" s="32"/>
      <c r="H71" s="32"/>
      <c r="I71" s="32"/>
      <c r="J71" s="33"/>
    </row>
    <row r="72" spans="1:10" ht="16.5" customHeight="1" thickTop="1" x14ac:dyDescent="0.25">
      <c r="A72" s="42" t="str">
        <f t="shared" ref="A72:A78" si="7">RIGHT(D72,4)</f>
        <v>6527</v>
      </c>
      <c r="B72" s="87" t="s">
        <v>94</v>
      </c>
      <c r="C72" s="88" t="s">
        <v>27</v>
      </c>
      <c r="D72" s="78">
        <v>1001031076527</v>
      </c>
      <c r="E72" s="17"/>
      <c r="F72" s="43">
        <v>1</v>
      </c>
      <c r="G72" s="16">
        <f>E72</f>
        <v>0</v>
      </c>
      <c r="H72" s="44">
        <v>3</v>
      </c>
      <c r="I72" s="44">
        <v>45</v>
      </c>
      <c r="J72" s="44"/>
    </row>
    <row r="73" spans="1:10" ht="16.5" customHeight="1" x14ac:dyDescent="0.25">
      <c r="A73" s="42" t="str">
        <f t="shared" si="7"/>
        <v>6550</v>
      </c>
      <c r="B73" s="87" t="s">
        <v>95</v>
      </c>
      <c r="C73" s="41" t="s">
        <v>27</v>
      </c>
      <c r="D73" s="78">
        <v>1001032736550</v>
      </c>
      <c r="E73" s="17">
        <v>187</v>
      </c>
      <c r="F73" s="16">
        <v>1</v>
      </c>
      <c r="G73" s="16">
        <f>E73</f>
        <v>187</v>
      </c>
      <c r="H73" s="11">
        <v>3</v>
      </c>
      <c r="I73" s="11">
        <v>45</v>
      </c>
      <c r="J73" s="44"/>
    </row>
    <row r="74" spans="1:10" ht="16.5" customHeight="1" x14ac:dyDescent="0.25">
      <c r="A74" s="42" t="str">
        <f t="shared" si="7"/>
        <v>6549</v>
      </c>
      <c r="B74" s="87" t="s">
        <v>96</v>
      </c>
      <c r="C74" s="41" t="s">
        <v>27</v>
      </c>
      <c r="D74" s="78">
        <v>1001032736549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7"/>
        <v>7001</v>
      </c>
      <c r="B75" s="87" t="s">
        <v>97</v>
      </c>
      <c r="C75" s="41" t="s">
        <v>27</v>
      </c>
      <c r="D75" s="78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7"/>
        <v>6608</v>
      </c>
      <c r="B76" s="87" t="s">
        <v>98</v>
      </c>
      <c r="C76" s="41" t="s">
        <v>27</v>
      </c>
      <c r="D76" s="78">
        <v>1001033856608</v>
      </c>
      <c r="E76" s="17">
        <v>225</v>
      </c>
      <c r="F76" s="16">
        <v>1</v>
      </c>
      <c r="G76" s="16">
        <f>E76</f>
        <v>225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7"/>
        <v>7059</v>
      </c>
      <c r="B77" s="87" t="s">
        <v>99</v>
      </c>
      <c r="C77" s="41" t="s">
        <v>39</v>
      </c>
      <c r="D77" s="78">
        <v>1001035277059</v>
      </c>
      <c r="E77" s="17"/>
      <c r="F77" s="16">
        <v>0.3</v>
      </c>
      <c r="G77" s="16">
        <f>E77*F77</f>
        <v>0</v>
      </c>
      <c r="H77" s="11">
        <v>2.4</v>
      </c>
      <c r="I77" s="11">
        <v>60</v>
      </c>
      <c r="J77" s="44"/>
    </row>
    <row r="78" spans="1:10" ht="16.5" customHeight="1" thickBot="1" x14ac:dyDescent="0.3">
      <c r="A78" s="42" t="str">
        <f t="shared" si="7"/>
        <v>6609</v>
      </c>
      <c r="B78" s="87" t="s">
        <v>100</v>
      </c>
      <c r="C78" s="41" t="s">
        <v>39</v>
      </c>
      <c r="D78" s="78">
        <v>1001033856609</v>
      </c>
      <c r="E78" s="17"/>
      <c r="F78" s="16">
        <v>0.4</v>
      </c>
      <c r="G78" s="16">
        <f>E78*F78</f>
        <v>0</v>
      </c>
      <c r="H78" s="11">
        <v>2.4</v>
      </c>
      <c r="I78" s="11">
        <v>45</v>
      </c>
      <c r="J78" s="44"/>
    </row>
    <row r="79" spans="1:10" ht="16.5" customHeight="1" thickTop="1" thickBot="1" x14ac:dyDescent="0.3">
      <c r="A79" s="37"/>
      <c r="B79" s="32" t="s">
        <v>101</v>
      </c>
      <c r="C79" s="32"/>
      <c r="D79" s="32"/>
      <c r="E79" s="32"/>
      <c r="F79" s="31"/>
      <c r="G79" s="32"/>
      <c r="H79" s="32"/>
      <c r="I79" s="32"/>
      <c r="J79" s="33"/>
    </row>
    <row r="80" spans="1:10" ht="16.5" customHeight="1" thickTop="1" x14ac:dyDescent="0.25">
      <c r="A80" s="111" t="str">
        <f t="shared" ref="A80:A104" si="8">RIGHT(D80,4)</f>
        <v>7564</v>
      </c>
      <c r="B80" s="50" t="s">
        <v>102</v>
      </c>
      <c r="C80" s="41" t="s">
        <v>27</v>
      </c>
      <c r="D80" s="78">
        <v>1001303637564</v>
      </c>
      <c r="E80" s="17"/>
      <c r="F80" s="16">
        <v>0.84</v>
      </c>
      <c r="G80" s="16">
        <f t="shared" ref="G80:G85" si="9">E80</f>
        <v>0</v>
      </c>
      <c r="H80" s="11">
        <v>5.04</v>
      </c>
      <c r="I80" s="11">
        <v>45</v>
      </c>
      <c r="J80" s="40" t="s">
        <v>103</v>
      </c>
    </row>
    <row r="81" spans="1:10" ht="16.5" customHeight="1" x14ac:dyDescent="0.25">
      <c r="A81" s="42" t="str">
        <f t="shared" si="8"/>
        <v>7133</v>
      </c>
      <c r="B81" s="50" t="s">
        <v>104</v>
      </c>
      <c r="C81" s="41" t="s">
        <v>27</v>
      </c>
      <c r="D81" s="78">
        <v>1001300367133</v>
      </c>
      <c r="E81" s="17"/>
      <c r="F81" s="16">
        <v>0.84</v>
      </c>
      <c r="G81" s="16">
        <f t="shared" si="9"/>
        <v>0</v>
      </c>
      <c r="H81" s="11">
        <v>5.04</v>
      </c>
      <c r="I81" s="11">
        <v>45</v>
      </c>
      <c r="J81" s="44"/>
    </row>
    <row r="82" spans="1:10" ht="16.5" customHeight="1" x14ac:dyDescent="0.25">
      <c r="A82" s="42" t="str">
        <f t="shared" si="8"/>
        <v>6946</v>
      </c>
      <c r="B82" s="50" t="s">
        <v>105</v>
      </c>
      <c r="C82" s="41" t="s">
        <v>27</v>
      </c>
      <c r="D82" s="78">
        <v>1001300456946</v>
      </c>
      <c r="E82" s="17"/>
      <c r="F82" s="16">
        <v>0.84</v>
      </c>
      <c r="G82" s="16">
        <f t="shared" si="9"/>
        <v>0</v>
      </c>
      <c r="H82" s="11">
        <v>5.04</v>
      </c>
      <c r="I82" s="11">
        <v>45</v>
      </c>
      <c r="J82" s="44"/>
    </row>
    <row r="83" spans="1:10" ht="16.5" customHeight="1" x14ac:dyDescent="0.25">
      <c r="A83" s="42" t="str">
        <f t="shared" si="8"/>
        <v>7132</v>
      </c>
      <c r="B83" s="50" t="s">
        <v>106</v>
      </c>
      <c r="C83" s="41" t="s">
        <v>27</v>
      </c>
      <c r="D83" s="78">
        <v>1001300517132</v>
      </c>
      <c r="E83" s="17"/>
      <c r="F83" s="43">
        <v>0.84</v>
      </c>
      <c r="G83" s="16">
        <f t="shared" si="9"/>
        <v>0</v>
      </c>
      <c r="H83" s="44">
        <v>5.04</v>
      </c>
      <c r="I83" s="44">
        <v>45</v>
      </c>
      <c r="J83" s="44"/>
    </row>
    <row r="84" spans="1:10" ht="16.5" customHeight="1" x14ac:dyDescent="0.25">
      <c r="A84" s="42" t="str">
        <f t="shared" si="8"/>
        <v>5544</v>
      </c>
      <c r="B84" s="50" t="s">
        <v>107</v>
      </c>
      <c r="C84" s="41" t="s">
        <v>27</v>
      </c>
      <c r="D84" s="78">
        <v>1001051875544</v>
      </c>
      <c r="E84" s="17"/>
      <c r="F84" s="43">
        <v>0.81</v>
      </c>
      <c r="G84" s="16">
        <f t="shared" si="9"/>
        <v>0</v>
      </c>
      <c r="H84" s="44">
        <v>4.8600000000000003</v>
      </c>
      <c r="I84" s="44">
        <v>45</v>
      </c>
      <c r="J84" s="44"/>
    </row>
    <row r="85" spans="1:10" ht="16.5" customHeight="1" x14ac:dyDescent="0.25">
      <c r="A85" s="42" t="str">
        <f t="shared" si="8"/>
        <v>6946</v>
      </c>
      <c r="B85" s="50" t="s">
        <v>105</v>
      </c>
      <c r="C85" s="41" t="s">
        <v>27</v>
      </c>
      <c r="D85" s="78">
        <v>1001300456946</v>
      </c>
      <c r="E85" s="17">
        <v>71</v>
      </c>
      <c r="F85" s="43"/>
      <c r="G85" s="16">
        <f t="shared" si="9"/>
        <v>71</v>
      </c>
      <c r="H85" s="44"/>
      <c r="I85" s="44"/>
      <c r="J85" s="44"/>
    </row>
    <row r="86" spans="1:10" ht="16.5" customHeight="1" x14ac:dyDescent="0.25">
      <c r="A86" s="42" t="str">
        <f t="shared" si="8"/>
        <v>7149</v>
      </c>
      <c r="B86" s="50" t="s">
        <v>108</v>
      </c>
      <c r="C86" s="41" t="s">
        <v>39</v>
      </c>
      <c r="D86" s="78">
        <v>1001303637149</v>
      </c>
      <c r="E86" s="17">
        <v>18</v>
      </c>
      <c r="F86" s="43">
        <v>0.84</v>
      </c>
      <c r="G86" s="16">
        <f>E86*F86</f>
        <v>15.12</v>
      </c>
      <c r="H86" s="44">
        <v>5.04</v>
      </c>
      <c r="I86" s="44">
        <v>50</v>
      </c>
      <c r="J86" s="44"/>
    </row>
    <row r="87" spans="1:10" ht="16.5" customHeight="1" x14ac:dyDescent="0.25">
      <c r="A87" s="42" t="str">
        <f t="shared" si="8"/>
        <v>7157</v>
      </c>
      <c r="B87" s="50" t="s">
        <v>109</v>
      </c>
      <c r="C87" s="41" t="s">
        <v>27</v>
      </c>
      <c r="D87" s="78">
        <v>1001300387157</v>
      </c>
      <c r="E87" s="17">
        <v>152</v>
      </c>
      <c r="F87" s="43">
        <v>0.63</v>
      </c>
      <c r="G87" s="16">
        <f>E87</f>
        <v>152</v>
      </c>
      <c r="H87" s="44">
        <v>5.04</v>
      </c>
      <c r="I87" s="44">
        <v>50</v>
      </c>
      <c r="J87" s="44"/>
    </row>
    <row r="88" spans="1:10" ht="16.5" customHeight="1" x14ac:dyDescent="0.25">
      <c r="A88" s="42" t="str">
        <f t="shared" si="8"/>
        <v>7166</v>
      </c>
      <c r="B88" s="50" t="s">
        <v>110</v>
      </c>
      <c r="C88" s="41" t="s">
        <v>27</v>
      </c>
      <c r="D88" s="78">
        <v>1001303987166</v>
      </c>
      <c r="E88" s="17"/>
      <c r="F88" s="43">
        <v>0.7</v>
      </c>
      <c r="G88" s="16">
        <f>E88</f>
        <v>0</v>
      </c>
      <c r="H88" s="44">
        <v>5.6</v>
      </c>
      <c r="I88" s="44">
        <v>50</v>
      </c>
      <c r="J88" s="44"/>
    </row>
    <row r="89" spans="1:10" ht="16.5" customHeight="1" x14ac:dyDescent="0.25">
      <c r="A89" s="111" t="str">
        <f t="shared" si="8"/>
        <v>7603</v>
      </c>
      <c r="B89" s="50" t="s">
        <v>111</v>
      </c>
      <c r="C89" s="41" t="s">
        <v>39</v>
      </c>
      <c r="D89" s="78">
        <v>1001303637603</v>
      </c>
      <c r="E89" s="17"/>
      <c r="F89" s="16">
        <v>0.33</v>
      </c>
      <c r="G89" s="16">
        <f t="shared" ref="G89:G106" si="10">E89*F89</f>
        <v>0</v>
      </c>
      <c r="H89" s="11">
        <v>2.64</v>
      </c>
      <c r="I89" s="11">
        <v>45</v>
      </c>
      <c r="J89" s="40" t="s">
        <v>112</v>
      </c>
    </row>
    <row r="90" spans="1:10" ht="16.5" customHeight="1" x14ac:dyDescent="0.25">
      <c r="A90" s="42" t="str">
        <f t="shared" si="8"/>
        <v>6807</v>
      </c>
      <c r="B90" s="50" t="s">
        <v>113</v>
      </c>
      <c r="C90" s="41" t="s">
        <v>39</v>
      </c>
      <c r="D90" s="78">
        <v>1001300366807</v>
      </c>
      <c r="E90" s="17"/>
      <c r="F90" s="16">
        <v>0.33</v>
      </c>
      <c r="G90" s="16">
        <f t="shared" si="10"/>
        <v>0</v>
      </c>
      <c r="H90" s="11">
        <v>2.64</v>
      </c>
      <c r="I90" s="11">
        <v>45</v>
      </c>
      <c r="J90" s="44"/>
    </row>
    <row r="91" spans="1:10" ht="16.5" customHeight="1" x14ac:dyDescent="0.25">
      <c r="A91" s="42" t="str">
        <f t="shared" si="8"/>
        <v>6787</v>
      </c>
      <c r="B91" s="50" t="s">
        <v>114</v>
      </c>
      <c r="C91" s="41" t="s">
        <v>39</v>
      </c>
      <c r="D91" s="78">
        <v>1001300456787</v>
      </c>
      <c r="E91" s="17">
        <v>4</v>
      </c>
      <c r="F91" s="16">
        <v>0.33</v>
      </c>
      <c r="G91" s="16">
        <f t="shared" si="10"/>
        <v>1.32</v>
      </c>
      <c r="H91" s="11">
        <v>2.64</v>
      </c>
      <c r="I91" s="11">
        <v>45</v>
      </c>
      <c r="J91" s="44"/>
    </row>
    <row r="92" spans="1:10" ht="16.5" customHeight="1" x14ac:dyDescent="0.25">
      <c r="A92" s="42" t="str">
        <f t="shared" si="8"/>
        <v>7489</v>
      </c>
      <c r="B92" s="50" t="s">
        <v>115</v>
      </c>
      <c r="C92" s="41" t="s">
        <v>39</v>
      </c>
      <c r="D92" s="78">
        <v>1001307357489</v>
      </c>
      <c r="E92" s="17"/>
      <c r="F92" s="16">
        <v>0.28000000000000003</v>
      </c>
      <c r="G92" s="16">
        <f t="shared" si="10"/>
        <v>0</v>
      </c>
      <c r="H92" s="11"/>
      <c r="I92" s="11"/>
      <c r="J92" s="44"/>
    </row>
    <row r="93" spans="1:10" ht="16.5" customHeight="1" x14ac:dyDescent="0.25">
      <c r="A93" s="42" t="str">
        <f t="shared" si="8"/>
        <v>6697</v>
      </c>
      <c r="B93" s="86" t="s">
        <v>116</v>
      </c>
      <c r="C93" s="41" t="s">
        <v>39</v>
      </c>
      <c r="D93" s="78">
        <v>1001301876697</v>
      </c>
      <c r="E93" s="17">
        <v>350</v>
      </c>
      <c r="F93" s="16">
        <v>0.35</v>
      </c>
      <c r="G93" s="16">
        <f t="shared" si="10"/>
        <v>122.49999999999999</v>
      </c>
      <c r="H93" s="11">
        <v>2.8</v>
      </c>
      <c r="I93" s="11">
        <v>45</v>
      </c>
      <c r="J93" s="44"/>
    </row>
    <row r="94" spans="1:10" ht="16.5" customHeight="1" x14ac:dyDescent="0.25">
      <c r="A94" s="42" t="str">
        <f t="shared" si="8"/>
        <v>7169</v>
      </c>
      <c r="B94" s="86" t="s">
        <v>117</v>
      </c>
      <c r="C94" s="41" t="s">
        <v>39</v>
      </c>
      <c r="D94" s="78">
        <v>1001303987169</v>
      </c>
      <c r="E94" s="17">
        <v>34</v>
      </c>
      <c r="F94" s="16">
        <v>0.35</v>
      </c>
      <c r="G94" s="16">
        <f t="shared" si="10"/>
        <v>11.899999999999999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8"/>
        <v>7233</v>
      </c>
      <c r="B95" s="50" t="s">
        <v>118</v>
      </c>
      <c r="C95" s="41" t="s">
        <v>39</v>
      </c>
      <c r="D95" s="78">
        <v>1001303637233</v>
      </c>
      <c r="E95" s="17"/>
      <c r="F95" s="16">
        <v>0.31</v>
      </c>
      <c r="G95" s="16">
        <f t="shared" si="10"/>
        <v>0</v>
      </c>
      <c r="H95" s="11">
        <v>2.48</v>
      </c>
      <c r="I95" s="11">
        <v>45</v>
      </c>
      <c r="J95" s="44"/>
    </row>
    <row r="96" spans="1:10" ht="15.75" customHeight="1" x14ac:dyDescent="0.25">
      <c r="A96" s="42" t="str">
        <f t="shared" si="8"/>
        <v>7236</v>
      </c>
      <c r="B96" s="50" t="s">
        <v>119</v>
      </c>
      <c r="C96" s="41" t="s">
        <v>39</v>
      </c>
      <c r="D96" s="78">
        <v>1001304507236</v>
      </c>
      <c r="E96" s="17">
        <v>167</v>
      </c>
      <c r="F96" s="16">
        <v>0.28000000000000003</v>
      </c>
      <c r="G96" s="16">
        <f t="shared" si="10"/>
        <v>46.760000000000005</v>
      </c>
      <c r="H96" s="11">
        <v>2.2400000000000002</v>
      </c>
      <c r="I96" s="11">
        <v>45</v>
      </c>
      <c r="J96" s="39"/>
    </row>
    <row r="97" spans="1:10" ht="15.75" customHeight="1" x14ac:dyDescent="0.25">
      <c r="A97" s="42" t="str">
        <f t="shared" si="8"/>
        <v>7177</v>
      </c>
      <c r="B97" s="50" t="s">
        <v>120</v>
      </c>
      <c r="C97" s="41" t="s">
        <v>39</v>
      </c>
      <c r="D97" s="78">
        <v>1001302347177</v>
      </c>
      <c r="E97" s="17"/>
      <c r="F97" s="16">
        <v>0.35</v>
      </c>
      <c r="G97" s="16">
        <f t="shared" si="10"/>
        <v>0</v>
      </c>
      <c r="H97" s="11">
        <v>2.8</v>
      </c>
      <c r="I97" s="11">
        <v>50</v>
      </c>
      <c r="J97" s="39"/>
    </row>
    <row r="98" spans="1:10" ht="15.75" customHeight="1" x14ac:dyDescent="0.25">
      <c r="A98" s="42" t="str">
        <f t="shared" si="8"/>
        <v>7232</v>
      </c>
      <c r="B98" s="50" t="s">
        <v>121</v>
      </c>
      <c r="C98" s="41" t="s">
        <v>39</v>
      </c>
      <c r="D98" s="78">
        <v>1001302277232</v>
      </c>
      <c r="E98" s="17">
        <v>212</v>
      </c>
      <c r="F98" s="16">
        <v>0.28000000000000003</v>
      </c>
      <c r="G98" s="16">
        <f t="shared" si="10"/>
        <v>59.360000000000007</v>
      </c>
      <c r="H98" s="11">
        <v>2.2400000000000002</v>
      </c>
      <c r="I98" s="11">
        <v>50</v>
      </c>
      <c r="J98" s="39"/>
    </row>
    <row r="99" spans="1:10" ht="15.75" customHeight="1" x14ac:dyDescent="0.25">
      <c r="A99" s="42" t="str">
        <f t="shared" si="8"/>
        <v>7154</v>
      </c>
      <c r="B99" s="50" t="s">
        <v>122</v>
      </c>
      <c r="C99" s="41" t="s">
        <v>39</v>
      </c>
      <c r="D99" s="78">
        <v>1001300387154</v>
      </c>
      <c r="E99" s="17">
        <v>834</v>
      </c>
      <c r="F99" s="16">
        <v>0.35</v>
      </c>
      <c r="G99" s="16">
        <f t="shared" si="10"/>
        <v>291.89999999999998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8"/>
        <v>7238</v>
      </c>
      <c r="B100" s="50" t="s">
        <v>123</v>
      </c>
      <c r="C100" s="41" t="s">
        <v>39</v>
      </c>
      <c r="D100" s="78">
        <v>1001305197238</v>
      </c>
      <c r="E100" s="17"/>
      <c r="F100" s="16">
        <v>0.31</v>
      </c>
      <c r="G100" s="16">
        <f t="shared" si="10"/>
        <v>0</v>
      </c>
      <c r="H100" s="11">
        <v>2.48</v>
      </c>
      <c r="I100" s="11">
        <v>45</v>
      </c>
      <c r="J100" s="39"/>
    </row>
    <row r="101" spans="1:10" ht="15.75" customHeight="1" x14ac:dyDescent="0.25">
      <c r="A101" s="42" t="str">
        <f t="shared" si="8"/>
        <v>7237</v>
      </c>
      <c r="B101" s="50" t="s">
        <v>124</v>
      </c>
      <c r="C101" s="41" t="s">
        <v>39</v>
      </c>
      <c r="D101" s="78">
        <v>1001304497237</v>
      </c>
      <c r="E101" s="17">
        <v>30</v>
      </c>
      <c r="F101" s="16">
        <v>0.28000000000000003</v>
      </c>
      <c r="G101" s="16">
        <f t="shared" si="10"/>
        <v>8.4</v>
      </c>
      <c r="H101" s="11">
        <v>2.2400000000000002</v>
      </c>
      <c r="I101" s="11">
        <v>45</v>
      </c>
      <c r="J101" s="39"/>
    </row>
    <row r="102" spans="1:10" ht="15.75" customHeight="1" x14ac:dyDescent="0.25">
      <c r="A102" s="42" t="str">
        <f t="shared" si="8"/>
        <v>7241</v>
      </c>
      <c r="B102" s="50" t="s">
        <v>125</v>
      </c>
      <c r="C102" s="41" t="s">
        <v>39</v>
      </c>
      <c r="D102" s="78">
        <v>1001303107241</v>
      </c>
      <c r="E102" s="17">
        <v>610</v>
      </c>
      <c r="F102" s="16">
        <v>0.28000000000000003</v>
      </c>
      <c r="G102" s="16">
        <f t="shared" si="10"/>
        <v>170.8</v>
      </c>
      <c r="H102" s="11">
        <v>2.2400000000000002</v>
      </c>
      <c r="I102" s="11">
        <v>45</v>
      </c>
      <c r="J102" s="39"/>
    </row>
    <row r="103" spans="1:10" ht="15.75" customHeight="1" x14ac:dyDescent="0.25">
      <c r="A103" s="42" t="str">
        <f t="shared" si="8"/>
        <v>7332</v>
      </c>
      <c r="B103" s="50" t="s">
        <v>126</v>
      </c>
      <c r="C103" s="41" t="s">
        <v>39</v>
      </c>
      <c r="D103" s="78">
        <v>1001301777332</v>
      </c>
      <c r="E103" s="17"/>
      <c r="F103" s="16">
        <v>0.28000000000000003</v>
      </c>
      <c r="G103" s="16">
        <f t="shared" si="10"/>
        <v>0</v>
      </c>
      <c r="H103" s="11">
        <v>2.2400000000000002</v>
      </c>
      <c r="I103" s="11">
        <v>50</v>
      </c>
      <c r="J103" s="39"/>
    </row>
    <row r="104" spans="1:10" ht="15.75" customHeight="1" x14ac:dyDescent="0.25">
      <c r="A104" s="42" t="str">
        <f t="shared" si="8"/>
        <v>7333</v>
      </c>
      <c r="B104" s="50" t="s">
        <v>127</v>
      </c>
      <c r="C104" s="41" t="s">
        <v>39</v>
      </c>
      <c r="D104" s="78">
        <v>1001303987333</v>
      </c>
      <c r="E104" s="17"/>
      <c r="F104" s="16">
        <v>0.28000000000000003</v>
      </c>
      <c r="G104" s="16">
        <f t="shared" si="10"/>
        <v>0</v>
      </c>
      <c r="H104" s="11">
        <v>2.2400000000000002</v>
      </c>
      <c r="I104" s="11">
        <v>50</v>
      </c>
      <c r="J104" s="39"/>
    </row>
    <row r="105" spans="1:10" ht="15.75" customHeight="1" x14ac:dyDescent="0.25">
      <c r="A105" s="111">
        <v>7608</v>
      </c>
      <c r="B105" s="50" t="s">
        <v>128</v>
      </c>
      <c r="C105" s="41" t="s">
        <v>39</v>
      </c>
      <c r="D105" s="78">
        <v>1001304197608</v>
      </c>
      <c r="E105" s="17"/>
      <c r="F105" s="16">
        <v>0.1</v>
      </c>
      <c r="G105" s="16">
        <f t="shared" si="10"/>
        <v>0</v>
      </c>
      <c r="H105" s="11">
        <v>1</v>
      </c>
      <c r="I105" s="11">
        <v>45</v>
      </c>
      <c r="J105" s="40" t="s">
        <v>129</v>
      </c>
    </row>
    <row r="106" spans="1:10" ht="15.75" customHeight="1" thickBot="1" x14ac:dyDescent="0.3">
      <c r="A106" s="111">
        <v>7610</v>
      </c>
      <c r="B106" s="50" t="s">
        <v>130</v>
      </c>
      <c r="C106" s="41" t="s">
        <v>39</v>
      </c>
      <c r="D106" s="78">
        <v>1001306717610</v>
      </c>
      <c r="E106" s="17"/>
      <c r="F106" s="16">
        <v>0.1</v>
      </c>
      <c r="G106" s="16">
        <f t="shared" si="10"/>
        <v>0</v>
      </c>
      <c r="H106" s="11">
        <v>1</v>
      </c>
      <c r="I106" s="11">
        <v>45</v>
      </c>
      <c r="J106" s="40" t="s">
        <v>131</v>
      </c>
    </row>
    <row r="107" spans="1:10" ht="16.5" customHeight="1" thickTop="1" thickBot="1" x14ac:dyDescent="0.3">
      <c r="A107" s="37"/>
      <c r="B107" s="32" t="s">
        <v>132</v>
      </c>
      <c r="C107" s="32"/>
      <c r="D107" s="32"/>
      <c r="E107" s="32"/>
      <c r="F107" s="31"/>
      <c r="G107" s="32"/>
      <c r="H107" s="32"/>
      <c r="I107" s="32"/>
      <c r="J107" s="33"/>
    </row>
    <row r="108" spans="1:10" ht="16.5" customHeight="1" thickTop="1" x14ac:dyDescent="0.25">
      <c r="A108" s="42" t="str">
        <f t="shared" ref="A108:A130" si="11">RIGHT(D108,4)</f>
        <v>0614</v>
      </c>
      <c r="B108" s="50" t="s">
        <v>133</v>
      </c>
      <c r="C108" s="41" t="s">
        <v>27</v>
      </c>
      <c r="D108" s="78">
        <v>1001060720614</v>
      </c>
      <c r="E108" s="17"/>
      <c r="F108" s="43">
        <v>0.52</v>
      </c>
      <c r="G108" s="16">
        <f>E108</f>
        <v>0</v>
      </c>
      <c r="H108" s="81">
        <v>3.64</v>
      </c>
      <c r="I108" s="80">
        <v>120</v>
      </c>
      <c r="J108" s="44"/>
    </row>
    <row r="109" spans="1:10" ht="16.5" customHeight="1" x14ac:dyDescent="0.25">
      <c r="A109" s="42" t="str">
        <f t="shared" si="11"/>
        <v>3287</v>
      </c>
      <c r="B109" s="50" t="s">
        <v>134</v>
      </c>
      <c r="C109" s="41" t="s">
        <v>27</v>
      </c>
      <c r="D109" s="78">
        <v>1001060763287</v>
      </c>
      <c r="E109" s="17">
        <v>25</v>
      </c>
      <c r="F109" s="43">
        <v>0.48799999999999999</v>
      </c>
      <c r="G109" s="16">
        <f>E109</f>
        <v>25</v>
      </c>
      <c r="H109" s="81">
        <v>3.9</v>
      </c>
      <c r="I109" s="80">
        <v>120</v>
      </c>
      <c r="J109" s="44"/>
    </row>
    <row r="110" spans="1:10" ht="16.5" customHeight="1" x14ac:dyDescent="0.25">
      <c r="A110" s="42" t="str">
        <f t="shared" si="11"/>
        <v>5708</v>
      </c>
      <c r="B110" s="50" t="s">
        <v>135</v>
      </c>
      <c r="C110" s="41" t="s">
        <v>27</v>
      </c>
      <c r="D110" s="78">
        <v>1001063145708</v>
      </c>
      <c r="E110" s="17">
        <v>12</v>
      </c>
      <c r="F110" s="16">
        <v>0.5</v>
      </c>
      <c r="G110" s="16">
        <f>E110</f>
        <v>12</v>
      </c>
      <c r="H110" s="79">
        <v>4</v>
      </c>
      <c r="I110" s="11">
        <v>120</v>
      </c>
      <c r="J110" s="44"/>
    </row>
    <row r="111" spans="1:10" ht="16.5" customHeight="1" x14ac:dyDescent="0.25">
      <c r="A111" s="42" t="str">
        <f t="shared" si="11"/>
        <v>4117</v>
      </c>
      <c r="B111" s="50" t="s">
        <v>136</v>
      </c>
      <c r="C111" s="41" t="s">
        <v>27</v>
      </c>
      <c r="D111" s="78">
        <v>1001062504117</v>
      </c>
      <c r="E111" s="17">
        <v>27</v>
      </c>
      <c r="F111" s="16">
        <v>0.49399999999999999</v>
      </c>
      <c r="G111" s="16">
        <f>E111</f>
        <v>27</v>
      </c>
      <c r="H111" s="11">
        <v>3.95</v>
      </c>
      <c r="I111" s="11">
        <v>120</v>
      </c>
      <c r="J111" s="44"/>
    </row>
    <row r="112" spans="1:10" ht="16.5" customHeight="1" x14ac:dyDescent="0.25">
      <c r="A112" s="42" t="str">
        <f t="shared" si="11"/>
        <v>7316</v>
      </c>
      <c r="B112" s="50" t="s">
        <v>137</v>
      </c>
      <c r="C112" s="41" t="s">
        <v>39</v>
      </c>
      <c r="D112" s="78">
        <v>1001060727316</v>
      </c>
      <c r="E112" s="17"/>
      <c r="F112" s="16">
        <v>0.54</v>
      </c>
      <c r="G112" s="16">
        <f t="shared" ref="G112:G125" si="12">E112*F112</f>
        <v>0</v>
      </c>
      <c r="H112" s="11">
        <v>3.78</v>
      </c>
      <c r="I112" s="11">
        <v>120</v>
      </c>
      <c r="J112" s="44"/>
    </row>
    <row r="113" spans="1:10" ht="16.5" customHeight="1" x14ac:dyDescent="0.25">
      <c r="A113" s="42" t="str">
        <f t="shared" si="11"/>
        <v>7317</v>
      </c>
      <c r="B113" s="50" t="s">
        <v>138</v>
      </c>
      <c r="C113" s="41" t="s">
        <v>39</v>
      </c>
      <c r="D113" s="78">
        <v>1001066567317</v>
      </c>
      <c r="E113" s="17"/>
      <c r="F113" s="16">
        <v>0.54</v>
      </c>
      <c r="G113" s="16">
        <f t="shared" si="12"/>
        <v>0</v>
      </c>
      <c r="H113" s="11">
        <v>3.78</v>
      </c>
      <c r="I113" s="11">
        <v>120</v>
      </c>
      <c r="J113" s="44"/>
    </row>
    <row r="114" spans="1:10" ht="16.5" customHeight="1" x14ac:dyDescent="0.25">
      <c r="A114" s="42" t="str">
        <f t="shared" si="11"/>
        <v>7143</v>
      </c>
      <c r="B114" s="50" t="s">
        <v>139</v>
      </c>
      <c r="C114" s="41" t="s">
        <v>39</v>
      </c>
      <c r="D114" s="78">
        <v>1001060717143</v>
      </c>
      <c r="E114" s="17"/>
      <c r="F114" s="16">
        <v>0.22</v>
      </c>
      <c r="G114" s="16">
        <f t="shared" si="12"/>
        <v>0</v>
      </c>
      <c r="H114" s="11">
        <v>1.76</v>
      </c>
      <c r="I114" s="11">
        <v>120</v>
      </c>
      <c r="J114" s="44"/>
    </row>
    <row r="115" spans="1:10" ht="16.5" customHeight="1" x14ac:dyDescent="0.25">
      <c r="A115" s="42" t="str">
        <f t="shared" si="11"/>
        <v>7147</v>
      </c>
      <c r="B115" s="50" t="s">
        <v>140</v>
      </c>
      <c r="C115" s="41" t="s">
        <v>39</v>
      </c>
      <c r="D115" s="78">
        <v>1001063237147</v>
      </c>
      <c r="E115" s="17"/>
      <c r="F115" s="16">
        <v>0.22</v>
      </c>
      <c r="G115" s="16">
        <f t="shared" si="12"/>
        <v>0</v>
      </c>
      <c r="H115" s="11">
        <v>1.76</v>
      </c>
      <c r="I115" s="11">
        <v>120</v>
      </c>
      <c r="J115" s="44"/>
    </row>
    <row r="116" spans="1:10" ht="16.5" customHeight="1" x14ac:dyDescent="0.25">
      <c r="A116" s="42" t="str">
        <f t="shared" si="11"/>
        <v>7456</v>
      </c>
      <c r="B116" s="50" t="s">
        <v>141</v>
      </c>
      <c r="C116" s="41" t="s">
        <v>39</v>
      </c>
      <c r="D116" s="78">
        <v>1001063097456</v>
      </c>
      <c r="E116" s="17"/>
      <c r="F116" s="16">
        <v>0.15</v>
      </c>
      <c r="G116" s="16">
        <f t="shared" si="12"/>
        <v>0</v>
      </c>
      <c r="H116" s="11">
        <v>1.8</v>
      </c>
      <c r="I116" s="11">
        <v>90</v>
      </c>
      <c r="J116" s="44"/>
    </row>
    <row r="117" spans="1:10" ht="16.5" customHeight="1" x14ac:dyDescent="0.25">
      <c r="A117" s="42" t="str">
        <f t="shared" si="11"/>
        <v>7318</v>
      </c>
      <c r="B117" s="50" t="s">
        <v>142</v>
      </c>
      <c r="C117" s="41" t="s">
        <v>39</v>
      </c>
      <c r="D117" s="78">
        <v>1001060727318</v>
      </c>
      <c r="E117" s="17"/>
      <c r="F117" s="16">
        <v>0.27</v>
      </c>
      <c r="G117" s="16">
        <f t="shared" si="12"/>
        <v>0</v>
      </c>
      <c r="H117" s="11">
        <v>2.16</v>
      </c>
      <c r="I117" s="11">
        <v>120</v>
      </c>
      <c r="J117" s="44"/>
    </row>
    <row r="118" spans="1:10" ht="16.5" customHeight="1" x14ac:dyDescent="0.25">
      <c r="A118" s="42" t="str">
        <f t="shared" si="11"/>
        <v>3986</v>
      </c>
      <c r="B118" s="50" t="s">
        <v>143</v>
      </c>
      <c r="C118" s="41" t="s">
        <v>39</v>
      </c>
      <c r="D118" s="78">
        <v>1001061973986</v>
      </c>
      <c r="E118" s="17">
        <v>137</v>
      </c>
      <c r="F118" s="16">
        <v>0.25</v>
      </c>
      <c r="G118" s="16">
        <f t="shared" si="12"/>
        <v>34.25</v>
      </c>
      <c r="H118" s="11">
        <v>2</v>
      </c>
      <c r="I118" s="11">
        <v>120</v>
      </c>
      <c r="J118" s="44"/>
    </row>
    <row r="119" spans="1:10" ht="16.5" customHeight="1" x14ac:dyDescent="0.25">
      <c r="A119" s="42" t="str">
        <f t="shared" si="11"/>
        <v>7364</v>
      </c>
      <c r="B119" s="50" t="s">
        <v>144</v>
      </c>
      <c r="C119" s="41" t="s">
        <v>39</v>
      </c>
      <c r="D119" s="78">
        <v>1001063217364</v>
      </c>
      <c r="E119" s="17"/>
      <c r="F119" s="16">
        <v>0.22</v>
      </c>
      <c r="G119" s="16">
        <f t="shared" si="12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11"/>
        <v>7383</v>
      </c>
      <c r="B120" s="50" t="s">
        <v>145</v>
      </c>
      <c r="C120" s="41" t="s">
        <v>39</v>
      </c>
      <c r="D120" s="78">
        <v>1001065467383</v>
      </c>
      <c r="E120" s="17"/>
      <c r="F120" s="16">
        <v>0.22</v>
      </c>
      <c r="G120" s="16">
        <f t="shared" si="12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11"/>
        <v>6967</v>
      </c>
      <c r="B121" s="50" t="s">
        <v>146</v>
      </c>
      <c r="C121" s="41" t="s">
        <v>39</v>
      </c>
      <c r="D121" s="78">
        <v>1001063656967</v>
      </c>
      <c r="E121" s="17">
        <v>103</v>
      </c>
      <c r="F121" s="16">
        <v>0.25</v>
      </c>
      <c r="G121" s="16">
        <f t="shared" si="12"/>
        <v>25.75</v>
      </c>
      <c r="H121" s="11">
        <v>2</v>
      </c>
      <c r="I121" s="11">
        <v>120</v>
      </c>
      <c r="J121" s="44"/>
    </row>
    <row r="122" spans="1:10" ht="16.5" customHeight="1" x14ac:dyDescent="0.25">
      <c r="A122" s="42" t="str">
        <f t="shared" si="11"/>
        <v>4993</v>
      </c>
      <c r="B122" s="50" t="s">
        <v>147</v>
      </c>
      <c r="C122" s="41" t="s">
        <v>39</v>
      </c>
      <c r="D122" s="78">
        <v>1001060764993</v>
      </c>
      <c r="E122" s="17">
        <v>125</v>
      </c>
      <c r="F122" s="16">
        <v>0.25</v>
      </c>
      <c r="G122" s="16">
        <f t="shared" si="12"/>
        <v>31.25</v>
      </c>
      <c r="H122" s="11">
        <v>2</v>
      </c>
      <c r="I122" s="11">
        <v>120</v>
      </c>
      <c r="J122" s="44"/>
    </row>
    <row r="123" spans="1:10" ht="16.5" customHeight="1" x14ac:dyDescent="0.25">
      <c r="A123" s="42" t="str">
        <f t="shared" si="11"/>
        <v>6937</v>
      </c>
      <c r="B123" s="50" t="s">
        <v>148</v>
      </c>
      <c r="C123" s="41" t="s">
        <v>39</v>
      </c>
      <c r="D123" s="78">
        <v>1001063106937</v>
      </c>
      <c r="E123" s="17"/>
      <c r="F123" s="16">
        <v>0.25</v>
      </c>
      <c r="G123" s="16">
        <f t="shared" si="12"/>
        <v>0</v>
      </c>
      <c r="H123" s="11">
        <v>2</v>
      </c>
      <c r="I123" s="11">
        <v>120</v>
      </c>
      <c r="J123" s="44"/>
    </row>
    <row r="124" spans="1:10" ht="16.5" customHeight="1" x14ac:dyDescent="0.25">
      <c r="A124" s="42" t="str">
        <f t="shared" si="11"/>
        <v>5483</v>
      </c>
      <c r="B124" s="50" t="s">
        <v>149</v>
      </c>
      <c r="C124" s="41" t="s">
        <v>39</v>
      </c>
      <c r="D124" s="78">
        <v>1001062505483</v>
      </c>
      <c r="E124" s="17">
        <v>148</v>
      </c>
      <c r="F124" s="16">
        <v>0.25</v>
      </c>
      <c r="G124" s="16">
        <f t="shared" si="12"/>
        <v>37</v>
      </c>
      <c r="H124" s="11">
        <v>2</v>
      </c>
      <c r="I124" s="11">
        <v>120</v>
      </c>
      <c r="J124" s="44"/>
    </row>
    <row r="125" spans="1:10" ht="16.5" customHeight="1" x14ac:dyDescent="0.25">
      <c r="A125" s="42" t="str">
        <f t="shared" si="11"/>
        <v>5931</v>
      </c>
      <c r="B125" s="50" t="s">
        <v>150</v>
      </c>
      <c r="C125" s="41" t="s">
        <v>39</v>
      </c>
      <c r="D125" s="78">
        <v>1001060755931</v>
      </c>
      <c r="E125" s="17">
        <v>1167</v>
      </c>
      <c r="F125" s="16">
        <v>0.22</v>
      </c>
      <c r="G125" s="16">
        <f t="shared" si="12"/>
        <v>256.74</v>
      </c>
      <c r="H125" s="11">
        <v>1.76</v>
      </c>
      <c r="I125" s="11">
        <v>120</v>
      </c>
      <c r="J125" s="44"/>
    </row>
    <row r="126" spans="1:10" ht="16.5" customHeight="1" x14ac:dyDescent="0.25">
      <c r="A126" s="42" t="str">
        <f t="shared" si="11"/>
        <v>6832</v>
      </c>
      <c r="B126" s="50" t="s">
        <v>151</v>
      </c>
      <c r="C126" s="41" t="s">
        <v>27</v>
      </c>
      <c r="D126" s="78">
        <v>1001065616832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11"/>
        <v>7299</v>
      </c>
      <c r="B127" s="50" t="s">
        <v>152</v>
      </c>
      <c r="C127" s="41" t="s">
        <v>27</v>
      </c>
      <c r="D127" s="78">
        <v>1001060677299</v>
      </c>
      <c r="E127" s="17"/>
      <c r="F127" s="16">
        <v>0.215</v>
      </c>
      <c r="G127" s="16">
        <f>E127</f>
        <v>0</v>
      </c>
      <c r="H127" s="11">
        <v>2.15</v>
      </c>
      <c r="I127" s="11">
        <v>30</v>
      </c>
      <c r="J127" s="44"/>
    </row>
    <row r="128" spans="1:10" ht="16.5" customHeight="1" x14ac:dyDescent="0.25">
      <c r="A128" s="42" t="str">
        <f t="shared" si="11"/>
        <v>7386</v>
      </c>
      <c r="B128" s="50" t="s">
        <v>153</v>
      </c>
      <c r="C128" s="41" t="s">
        <v>39</v>
      </c>
      <c r="D128" s="78">
        <v>1001067017386</v>
      </c>
      <c r="E128" s="17"/>
      <c r="F128" s="16">
        <v>0.15</v>
      </c>
      <c r="G128" s="16">
        <f t="shared" ref="G128:G138" si="13">E128*F128</f>
        <v>0</v>
      </c>
      <c r="H128" s="11">
        <v>1.35</v>
      </c>
      <c r="I128" s="11">
        <v>90</v>
      </c>
      <c r="J128" s="44"/>
    </row>
    <row r="129" spans="1:10" ht="16.5" customHeight="1" x14ac:dyDescent="0.25">
      <c r="A129" s="42" t="str">
        <f t="shared" si="11"/>
        <v>5679</v>
      </c>
      <c r="B129" s="50" t="s">
        <v>154</v>
      </c>
      <c r="C129" s="41" t="s">
        <v>39</v>
      </c>
      <c r="D129" s="78">
        <v>1001190765679</v>
      </c>
      <c r="E129" s="17"/>
      <c r="F129" s="16">
        <v>0.15</v>
      </c>
      <c r="G129" s="16">
        <f t="shared" si="13"/>
        <v>0</v>
      </c>
      <c r="H129" s="11">
        <v>1.2</v>
      </c>
      <c r="I129" s="11">
        <v>60</v>
      </c>
      <c r="J129" s="44"/>
    </row>
    <row r="130" spans="1:10" ht="16.5" customHeight="1" x14ac:dyDescent="0.25">
      <c r="A130" s="42" t="str">
        <f t="shared" si="11"/>
        <v>7382</v>
      </c>
      <c r="B130" s="50" t="s">
        <v>155</v>
      </c>
      <c r="C130" s="41" t="s">
        <v>39</v>
      </c>
      <c r="D130" s="78">
        <v>1001203117382</v>
      </c>
      <c r="E130" s="17">
        <v>279</v>
      </c>
      <c r="F130" s="16">
        <v>0.12</v>
      </c>
      <c r="G130" s="16">
        <f t="shared" si="13"/>
        <v>33.479999999999997</v>
      </c>
      <c r="H130" s="11">
        <v>0.96</v>
      </c>
      <c r="I130" s="11">
        <v>60</v>
      </c>
      <c r="J130" s="44"/>
    </row>
    <row r="131" spans="1:10" ht="16.5" customHeight="1" x14ac:dyDescent="0.25">
      <c r="A131" s="111">
        <v>7613</v>
      </c>
      <c r="B131" s="50" t="s">
        <v>156</v>
      </c>
      <c r="C131" s="41" t="s">
        <v>39</v>
      </c>
      <c r="D131" s="78">
        <v>1001061977613</v>
      </c>
      <c r="E131" s="17">
        <v>244</v>
      </c>
      <c r="F131" s="16">
        <v>0.1</v>
      </c>
      <c r="G131" s="16">
        <f t="shared" si="13"/>
        <v>24.400000000000002</v>
      </c>
      <c r="H131" s="11">
        <v>1</v>
      </c>
      <c r="I131" s="11">
        <v>60</v>
      </c>
      <c r="J131" s="40" t="s">
        <v>157</v>
      </c>
    </row>
    <row r="132" spans="1:10" ht="16.5" customHeight="1" x14ac:dyDescent="0.25">
      <c r="A132" s="111">
        <v>7616</v>
      </c>
      <c r="B132" s="50" t="s">
        <v>158</v>
      </c>
      <c r="C132" s="41" t="s">
        <v>39</v>
      </c>
      <c r="D132" s="78">
        <v>1001062507616</v>
      </c>
      <c r="E132" s="17"/>
      <c r="F132" s="16">
        <v>0.1</v>
      </c>
      <c r="G132" s="16">
        <f t="shared" si="13"/>
        <v>0</v>
      </c>
      <c r="H132" s="11">
        <v>1.4</v>
      </c>
      <c r="I132" s="11">
        <v>60</v>
      </c>
      <c r="J132" s="40" t="s">
        <v>159</v>
      </c>
    </row>
    <row r="133" spans="1:10" ht="16.5" customHeight="1" x14ac:dyDescent="0.25">
      <c r="A133" s="42" t="str">
        <f>RIGHT(D133,4)</f>
        <v>6221</v>
      </c>
      <c r="B133" s="50" t="s">
        <v>160</v>
      </c>
      <c r="C133" s="41" t="s">
        <v>39</v>
      </c>
      <c r="D133" s="78">
        <v>1001205376221</v>
      </c>
      <c r="E133" s="17">
        <v>252</v>
      </c>
      <c r="F133" s="16">
        <v>0.09</v>
      </c>
      <c r="G133" s="16">
        <f t="shared" si="13"/>
        <v>22.68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>RIGHT(D134,4)</f>
        <v>6222</v>
      </c>
      <c r="B134" s="50" t="s">
        <v>161</v>
      </c>
      <c r="C134" s="41" t="s">
        <v>39</v>
      </c>
      <c r="D134" s="78">
        <v>1001205386222</v>
      </c>
      <c r="E134" s="17"/>
      <c r="F134" s="16">
        <v>0.09</v>
      </c>
      <c r="G134" s="16">
        <f t="shared" si="13"/>
        <v>0</v>
      </c>
      <c r="H134" s="11">
        <v>0.9</v>
      </c>
      <c r="I134" s="11">
        <v>60</v>
      </c>
      <c r="J134" s="44"/>
    </row>
    <row r="135" spans="1:10" ht="16.5" customHeight="1" x14ac:dyDescent="0.25">
      <c r="A135" s="113" t="str">
        <f>RIGHT(D135,4)</f>
        <v>6834</v>
      </c>
      <c r="B135" s="114" t="s">
        <v>162</v>
      </c>
      <c r="C135" s="115" t="s">
        <v>39</v>
      </c>
      <c r="D135" s="116">
        <v>1001203146834</v>
      </c>
      <c r="E135" s="117"/>
      <c r="F135" s="118">
        <v>0.1</v>
      </c>
      <c r="G135" s="118">
        <f t="shared" si="13"/>
        <v>0</v>
      </c>
      <c r="H135" s="119">
        <v>1</v>
      </c>
      <c r="I135" s="119">
        <v>60</v>
      </c>
      <c r="J135" s="119" t="s">
        <v>163</v>
      </c>
    </row>
    <row r="136" spans="1:10" ht="16.5" customHeight="1" x14ac:dyDescent="0.25">
      <c r="A136" s="42" t="str">
        <f>RIGHT(D136,4)</f>
        <v>6965</v>
      </c>
      <c r="B136" s="50" t="s">
        <v>164</v>
      </c>
      <c r="C136" s="41" t="s">
        <v>39</v>
      </c>
      <c r="D136" s="78">
        <v>1001206356965</v>
      </c>
      <c r="E136" s="17"/>
      <c r="F136" s="16">
        <v>7.0000000000000007E-2</v>
      </c>
      <c r="G136" s="16">
        <f t="shared" si="13"/>
        <v>0</v>
      </c>
      <c r="H136" s="11">
        <v>0.98</v>
      </c>
      <c r="I136" s="11">
        <v>60</v>
      </c>
      <c r="J136" s="44"/>
    </row>
    <row r="137" spans="1:10" ht="16.5" customHeight="1" x14ac:dyDescent="0.25">
      <c r="A137" s="42" t="str">
        <f>RIGHT(D137,4)</f>
        <v>6557</v>
      </c>
      <c r="B137" s="50" t="s">
        <v>165</v>
      </c>
      <c r="C137" s="41" t="s">
        <v>39</v>
      </c>
      <c r="D137" s="78">
        <v>1001200756557</v>
      </c>
      <c r="E137" s="17"/>
      <c r="F137" s="16">
        <v>0.1</v>
      </c>
      <c r="G137" s="16">
        <f t="shared" si="13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111">
        <v>7626</v>
      </c>
      <c r="B138" s="50" t="s">
        <v>166</v>
      </c>
      <c r="C138" s="41" t="s">
        <v>39</v>
      </c>
      <c r="D138" s="78">
        <v>1001066607626</v>
      </c>
      <c r="E138" s="17"/>
      <c r="F138" s="16">
        <v>0.1</v>
      </c>
      <c r="G138" s="16">
        <f t="shared" si="13"/>
        <v>0</v>
      </c>
      <c r="H138" s="11">
        <v>1</v>
      </c>
      <c r="I138" s="11">
        <v>60</v>
      </c>
      <c r="J138" s="40" t="s">
        <v>167</v>
      </c>
    </row>
    <row r="139" spans="1:10" ht="16.5" customHeight="1" thickTop="1" thickBot="1" x14ac:dyDescent="0.3">
      <c r="A139" s="37"/>
      <c r="B139" s="32" t="s">
        <v>168</v>
      </c>
      <c r="C139" s="32"/>
      <c r="D139" s="32"/>
      <c r="E139" s="32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14">RIGHT(D140,4)</f>
        <v>6470</v>
      </c>
      <c r="B140" s="85" t="s">
        <v>169</v>
      </c>
      <c r="C140" s="41" t="s">
        <v>27</v>
      </c>
      <c r="D140" s="84">
        <v>1001092436470</v>
      </c>
      <c r="E140" s="17"/>
      <c r="F140" s="16">
        <v>1.2</v>
      </c>
      <c r="G140" s="16">
        <f>E140</f>
        <v>0</v>
      </c>
      <c r="H140" s="11">
        <v>4.8</v>
      </c>
      <c r="I140" s="11">
        <v>45</v>
      </c>
      <c r="J140" s="44"/>
    </row>
    <row r="141" spans="1:10" ht="16.149999999999999" customHeight="1" x14ac:dyDescent="0.25">
      <c r="A141" s="42" t="str">
        <f t="shared" si="14"/>
        <v>6495</v>
      </c>
      <c r="B141" s="85" t="s">
        <v>170</v>
      </c>
      <c r="C141" s="41" t="s">
        <v>39</v>
      </c>
      <c r="D141" s="78">
        <v>1001092436495</v>
      </c>
      <c r="E141" s="17">
        <v>155</v>
      </c>
      <c r="F141" s="43">
        <v>0.3</v>
      </c>
      <c r="G141" s="16">
        <f>E141*F141</f>
        <v>46.5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14"/>
        <v>5452</v>
      </c>
      <c r="B142" s="82" t="s">
        <v>171</v>
      </c>
      <c r="C142" s="41" t="s">
        <v>27</v>
      </c>
      <c r="D142" s="78">
        <v>1001092485452</v>
      </c>
      <c r="E142" s="17"/>
      <c r="F142" s="43">
        <v>1.35</v>
      </c>
      <c r="G142" s="16">
        <f>E142</f>
        <v>0</v>
      </c>
      <c r="H142" s="44">
        <v>4.05</v>
      </c>
      <c r="I142" s="44">
        <v>60</v>
      </c>
      <c r="J142" s="44"/>
    </row>
    <row r="143" spans="1:10" ht="16.149999999999999" customHeight="1" x14ac:dyDescent="0.25">
      <c r="A143" s="42" t="str">
        <f t="shared" si="14"/>
        <v>6866</v>
      </c>
      <c r="B143" s="82" t="s">
        <v>172</v>
      </c>
      <c r="C143" s="41" t="s">
        <v>27</v>
      </c>
      <c r="D143" s="78">
        <v>1001095716866</v>
      </c>
      <c r="E143" s="17"/>
      <c r="F143" s="43">
        <v>1.5</v>
      </c>
      <c r="G143" s="16">
        <f>E143</f>
        <v>0</v>
      </c>
      <c r="H143" s="44">
        <v>6</v>
      </c>
      <c r="I143" s="44">
        <v>60</v>
      </c>
      <c r="J143" s="44"/>
    </row>
    <row r="144" spans="1:10" ht="16.149999999999999" customHeight="1" x14ac:dyDescent="0.25">
      <c r="A144" s="42" t="str">
        <f t="shared" si="14"/>
        <v>6025</v>
      </c>
      <c r="B144" s="82" t="s">
        <v>173</v>
      </c>
      <c r="C144" s="41" t="s">
        <v>27</v>
      </c>
      <c r="D144" s="78">
        <v>1001094966025</v>
      </c>
      <c r="E144" s="17"/>
      <c r="F144" s="43">
        <v>3</v>
      </c>
      <c r="G144" s="16">
        <f>E144</f>
        <v>0</v>
      </c>
      <c r="H144" s="44">
        <v>6</v>
      </c>
      <c r="I144" s="44">
        <v>60</v>
      </c>
      <c r="J144" s="44"/>
    </row>
    <row r="145" spans="1:10" ht="16.149999999999999" customHeight="1" x14ac:dyDescent="0.25">
      <c r="A145" s="42" t="str">
        <f t="shared" si="14"/>
        <v>4584</v>
      </c>
      <c r="B145" s="82" t="s">
        <v>174</v>
      </c>
      <c r="C145" s="41" t="s">
        <v>27</v>
      </c>
      <c r="D145" s="78">
        <v>1001092674584</v>
      </c>
      <c r="E145" s="17"/>
      <c r="F145" s="43">
        <v>2.5</v>
      </c>
      <c r="G145" s="16">
        <f>E145</f>
        <v>0</v>
      </c>
      <c r="H145" s="44">
        <v>7.5</v>
      </c>
      <c r="I145" s="44">
        <v>60</v>
      </c>
      <c r="J145" s="44"/>
    </row>
    <row r="146" spans="1:10" ht="16.5" customHeight="1" x14ac:dyDescent="0.25">
      <c r="A146" s="42" t="str">
        <f t="shared" si="14"/>
        <v>3215</v>
      </c>
      <c r="B146" s="50" t="s">
        <v>175</v>
      </c>
      <c r="C146" s="41" t="s">
        <v>39</v>
      </c>
      <c r="D146" s="83">
        <v>1001094053215</v>
      </c>
      <c r="E146" s="17"/>
      <c r="F146" s="43">
        <v>0.4</v>
      </c>
      <c r="G146" s="16">
        <f t="shared" ref="G146:G151" si="15">E146*F146</f>
        <v>0</v>
      </c>
      <c r="H146" s="44">
        <v>3.2</v>
      </c>
      <c r="I146" s="44">
        <v>60</v>
      </c>
      <c r="J146" s="44"/>
    </row>
    <row r="147" spans="1:10" ht="16.5" customHeight="1" x14ac:dyDescent="0.25">
      <c r="A147" s="42" t="str">
        <f t="shared" si="14"/>
        <v>5495</v>
      </c>
      <c r="B147" s="50" t="s">
        <v>176</v>
      </c>
      <c r="C147" s="41" t="s">
        <v>39</v>
      </c>
      <c r="D147" s="83">
        <v>1001093345495</v>
      </c>
      <c r="E147" s="17">
        <v>78</v>
      </c>
      <c r="F147" s="43">
        <v>0.4</v>
      </c>
      <c r="G147" s="16">
        <f t="shared" si="15"/>
        <v>31.200000000000003</v>
      </c>
      <c r="H147" s="44">
        <v>2.4</v>
      </c>
      <c r="I147" s="44">
        <v>60</v>
      </c>
      <c r="J147" s="44"/>
    </row>
    <row r="148" spans="1:10" ht="16.5" customHeight="1" x14ac:dyDescent="0.25">
      <c r="A148" s="42" t="str">
        <f t="shared" si="14"/>
        <v>7377</v>
      </c>
      <c r="B148" s="50" t="s">
        <v>177</v>
      </c>
      <c r="C148" s="41" t="s">
        <v>39</v>
      </c>
      <c r="D148" s="83">
        <v>1001095027377</v>
      </c>
      <c r="E148" s="17"/>
      <c r="F148" s="43">
        <v>0.3</v>
      </c>
      <c r="G148" s="16">
        <f t="shared" si="15"/>
        <v>0</v>
      </c>
      <c r="H148" s="44">
        <v>1.8</v>
      </c>
      <c r="I148" s="44">
        <v>45</v>
      </c>
      <c r="J148" s="44"/>
    </row>
    <row r="149" spans="1:10" ht="15.75" customHeight="1" x14ac:dyDescent="0.25">
      <c r="A149" s="42" t="str">
        <f t="shared" si="14"/>
        <v>6925</v>
      </c>
      <c r="B149" s="50" t="s">
        <v>178</v>
      </c>
      <c r="C149" s="41" t="s">
        <v>39</v>
      </c>
      <c r="D149" s="83">
        <v>1001095226925</v>
      </c>
      <c r="E149" s="17"/>
      <c r="F149" s="43">
        <v>0.6</v>
      </c>
      <c r="G149" s="16">
        <f t="shared" si="15"/>
        <v>0</v>
      </c>
      <c r="H149" s="44">
        <v>4.8</v>
      </c>
      <c r="I149" s="44">
        <v>45</v>
      </c>
      <c r="J149" s="44"/>
    </row>
    <row r="150" spans="1:10" ht="15.75" customHeight="1" x14ac:dyDescent="0.25">
      <c r="A150" s="111">
        <v>7647</v>
      </c>
      <c r="B150" s="50" t="s">
        <v>179</v>
      </c>
      <c r="C150" s="41" t="s">
        <v>39</v>
      </c>
      <c r="D150" s="83">
        <v>1001097747647</v>
      </c>
      <c r="E150" s="17"/>
      <c r="F150" s="43">
        <v>0.1</v>
      </c>
      <c r="G150" s="16">
        <f t="shared" si="15"/>
        <v>0</v>
      </c>
      <c r="H150" s="44">
        <v>1</v>
      </c>
      <c r="I150" s="44">
        <v>30</v>
      </c>
      <c r="J150" s="112" t="s">
        <v>180</v>
      </c>
    </row>
    <row r="151" spans="1:10" ht="15.75" customHeight="1" thickBot="1" x14ac:dyDescent="0.3">
      <c r="A151" s="111">
        <v>7651</v>
      </c>
      <c r="B151" s="50" t="s">
        <v>181</v>
      </c>
      <c r="C151" s="41" t="s">
        <v>39</v>
      </c>
      <c r="D151" s="83">
        <v>1001097767651</v>
      </c>
      <c r="E151" s="17"/>
      <c r="F151" s="43">
        <v>0.1</v>
      </c>
      <c r="G151" s="16">
        <f t="shared" si="15"/>
        <v>0</v>
      </c>
      <c r="H151" s="44">
        <v>1</v>
      </c>
      <c r="I151" s="44">
        <v>30</v>
      </c>
      <c r="J151" s="112" t="s">
        <v>180</v>
      </c>
    </row>
    <row r="152" spans="1:10" ht="16.5" customHeight="1" thickTop="1" thickBot="1" x14ac:dyDescent="0.3">
      <c r="A152" s="37"/>
      <c r="B152" s="32" t="s">
        <v>182</v>
      </c>
      <c r="C152" s="32"/>
      <c r="D152" s="32"/>
      <c r="E152" s="32"/>
      <c r="F152" s="31"/>
      <c r="G152" s="32"/>
      <c r="H152" s="32"/>
      <c r="I152" s="32"/>
      <c r="J152" s="33"/>
    </row>
    <row r="153" spans="1:10" ht="16.5" customHeight="1" thickTop="1" x14ac:dyDescent="0.25">
      <c r="A153" s="42" t="str">
        <f>RIGHT(D153,4)</f>
        <v>6620</v>
      </c>
      <c r="B153" s="26" t="s">
        <v>183</v>
      </c>
      <c r="C153" s="41" t="s">
        <v>27</v>
      </c>
      <c r="D153" s="78">
        <v>1001081596620</v>
      </c>
      <c r="E153" s="17">
        <v>128</v>
      </c>
      <c r="F153" s="16">
        <v>1.05</v>
      </c>
      <c r="G153" s="16">
        <f>E153</f>
        <v>128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>RIGHT(D154,4)</f>
        <v>7187</v>
      </c>
      <c r="B154" s="26" t="s">
        <v>184</v>
      </c>
      <c r="C154" s="41" t="s">
        <v>39</v>
      </c>
      <c r="D154" s="78">
        <v>1001085637187</v>
      </c>
      <c r="E154" s="17"/>
      <c r="F154" s="16">
        <v>0.3</v>
      </c>
      <c r="G154" s="16">
        <f t="shared" ref="G154:G164" si="16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111">
        <v>6008</v>
      </c>
      <c r="B155" s="26" t="s">
        <v>185</v>
      </c>
      <c r="C155" s="41" t="s">
        <v>27</v>
      </c>
      <c r="D155" s="78">
        <v>1001084856008</v>
      </c>
      <c r="E155" s="17"/>
      <c r="F155" s="16">
        <v>0.3</v>
      </c>
      <c r="G155" s="16">
        <f t="shared" si="16"/>
        <v>0</v>
      </c>
      <c r="H155" s="11">
        <v>1.8</v>
      </c>
      <c r="I155" s="11">
        <v>40</v>
      </c>
      <c r="J155" s="112" t="s">
        <v>180</v>
      </c>
    </row>
    <row r="156" spans="1:10" ht="16.5" customHeight="1" x14ac:dyDescent="0.25">
      <c r="A156" s="42" t="str">
        <f t="shared" ref="A156:A163" si="17">RIGHT(D156,4)</f>
        <v>7090</v>
      </c>
      <c r="B156" s="26" t="s">
        <v>186</v>
      </c>
      <c r="C156" s="41" t="s">
        <v>39</v>
      </c>
      <c r="D156" s="78">
        <v>1001084217090</v>
      </c>
      <c r="E156" s="17">
        <v>23</v>
      </c>
      <c r="F156" s="16">
        <v>0.3</v>
      </c>
      <c r="G156" s="16">
        <f t="shared" si="16"/>
        <v>6.8999999999999995</v>
      </c>
      <c r="H156" s="11">
        <v>1.8</v>
      </c>
      <c r="I156" s="11">
        <v>50</v>
      </c>
      <c r="J156" s="44"/>
    </row>
    <row r="157" spans="1:10" ht="16.5" customHeight="1" x14ac:dyDescent="0.25">
      <c r="A157" s="42" t="str">
        <f t="shared" si="17"/>
        <v>7103</v>
      </c>
      <c r="B157" s="26" t="s">
        <v>187</v>
      </c>
      <c r="C157" s="41" t="s">
        <v>39</v>
      </c>
      <c r="D157" s="78">
        <v>1001223297103</v>
      </c>
      <c r="E157" s="17"/>
      <c r="F157" s="16">
        <v>0.18</v>
      </c>
      <c r="G157" s="16">
        <f t="shared" si="16"/>
        <v>0</v>
      </c>
      <c r="H157" s="11">
        <v>1.8</v>
      </c>
      <c r="I157" s="11">
        <v>50</v>
      </c>
      <c r="J157" s="44"/>
    </row>
    <row r="158" spans="1:10" ht="16.5" customHeight="1" x14ac:dyDescent="0.25">
      <c r="A158" s="42" t="str">
        <f t="shared" si="17"/>
        <v>6279</v>
      </c>
      <c r="B158" s="26" t="s">
        <v>188</v>
      </c>
      <c r="C158" s="41" t="s">
        <v>39</v>
      </c>
      <c r="D158" s="78">
        <v>1001220286279</v>
      </c>
      <c r="E158" s="17">
        <v>96</v>
      </c>
      <c r="F158" s="16">
        <v>0.15</v>
      </c>
      <c r="G158" s="16">
        <f t="shared" si="16"/>
        <v>14.399999999999999</v>
      </c>
      <c r="H158" s="11">
        <v>1.2</v>
      </c>
      <c r="I158" s="11">
        <v>45</v>
      </c>
      <c r="J158" s="44"/>
    </row>
    <row r="159" spans="1:10" ht="16.5" customHeight="1" x14ac:dyDescent="0.25">
      <c r="A159" s="42" t="str">
        <f t="shared" si="17"/>
        <v>7092</v>
      </c>
      <c r="B159" s="26" t="s">
        <v>189</v>
      </c>
      <c r="C159" s="41" t="s">
        <v>39</v>
      </c>
      <c r="D159" s="78">
        <v>1001223297092</v>
      </c>
      <c r="E159" s="17"/>
      <c r="F159" s="16">
        <v>0.14000000000000001</v>
      </c>
      <c r="G159" s="16">
        <f t="shared" si="16"/>
        <v>0</v>
      </c>
      <c r="H159" s="11">
        <v>1.4</v>
      </c>
      <c r="I159" s="11">
        <v>50</v>
      </c>
      <c r="J159" s="44"/>
    </row>
    <row r="160" spans="1:10" ht="16.5" customHeight="1" x14ac:dyDescent="0.25">
      <c r="A160" s="42" t="str">
        <f t="shared" si="17"/>
        <v>6448</v>
      </c>
      <c r="B160" s="26" t="s">
        <v>190</v>
      </c>
      <c r="C160" s="41" t="s">
        <v>39</v>
      </c>
      <c r="D160" s="78">
        <v>1001234146448</v>
      </c>
      <c r="E160" s="17"/>
      <c r="F160" s="16">
        <v>0.1</v>
      </c>
      <c r="G160" s="16">
        <f t="shared" si="16"/>
        <v>0</v>
      </c>
      <c r="H160" s="11">
        <v>1</v>
      </c>
      <c r="I160" s="11">
        <v>45</v>
      </c>
      <c r="J160" s="44"/>
    </row>
    <row r="161" spans="1:10" ht="16.5" customHeight="1" x14ac:dyDescent="0.25">
      <c r="A161" s="42" t="str">
        <f t="shared" si="17"/>
        <v>6754</v>
      </c>
      <c r="B161" s="26" t="s">
        <v>191</v>
      </c>
      <c r="C161" s="41" t="s">
        <v>39</v>
      </c>
      <c r="D161" s="78">
        <v>1001225406754</v>
      </c>
      <c r="E161" s="17"/>
      <c r="F161" s="16">
        <v>0.09</v>
      </c>
      <c r="G161" s="16">
        <f t="shared" si="16"/>
        <v>0</v>
      </c>
      <c r="H161" s="11">
        <v>0.72</v>
      </c>
      <c r="I161" s="11">
        <v>60</v>
      </c>
      <c r="J161" s="44"/>
    </row>
    <row r="162" spans="1:10" ht="16.5" customHeight="1" x14ac:dyDescent="0.25">
      <c r="A162" s="42" t="str">
        <f t="shared" si="17"/>
        <v>6208</v>
      </c>
      <c r="B162" s="26" t="s">
        <v>192</v>
      </c>
      <c r="C162" s="41" t="s">
        <v>39</v>
      </c>
      <c r="D162" s="78">
        <v>1001220226208</v>
      </c>
      <c r="E162" s="17"/>
      <c r="F162" s="16">
        <v>0.15</v>
      </c>
      <c r="G162" s="16">
        <f t="shared" si="16"/>
        <v>0</v>
      </c>
      <c r="H162" s="11">
        <v>1.5</v>
      </c>
      <c r="I162" s="11">
        <v>45</v>
      </c>
      <c r="J162" s="44"/>
    </row>
    <row r="163" spans="1:10" ht="16.5" customHeight="1" x14ac:dyDescent="0.25">
      <c r="A163" s="42" t="str">
        <f t="shared" si="17"/>
        <v>6228</v>
      </c>
      <c r="B163" s="26" t="s">
        <v>193</v>
      </c>
      <c r="C163" s="41" t="s">
        <v>39</v>
      </c>
      <c r="D163" s="78">
        <v>1001225416228</v>
      </c>
      <c r="E163" s="17">
        <v>123</v>
      </c>
      <c r="F163" s="16">
        <v>0.09</v>
      </c>
      <c r="G163" s="16">
        <f t="shared" si="16"/>
        <v>11.07</v>
      </c>
      <c r="H163" s="11">
        <v>0.9</v>
      </c>
      <c r="I163" s="11">
        <v>45</v>
      </c>
      <c r="J163" s="44"/>
    </row>
    <row r="164" spans="1:10" ht="16.5" customHeight="1" thickBot="1" x14ac:dyDescent="0.3">
      <c r="A164" s="111">
        <v>7612</v>
      </c>
      <c r="B164" s="26" t="s">
        <v>194</v>
      </c>
      <c r="C164" s="41" t="s">
        <v>39</v>
      </c>
      <c r="D164" s="78">
        <v>1001453907612</v>
      </c>
      <c r="E164" s="17">
        <v>11</v>
      </c>
      <c r="F164" s="16">
        <v>0.1</v>
      </c>
      <c r="G164" s="16">
        <f t="shared" si="16"/>
        <v>1.1000000000000001</v>
      </c>
      <c r="H164" s="11">
        <v>1</v>
      </c>
      <c r="I164" s="11">
        <v>60</v>
      </c>
      <c r="J164" s="40" t="s">
        <v>195</v>
      </c>
    </row>
    <row r="165" spans="1:10" ht="16.5" customHeight="1" thickTop="1" thickBot="1" x14ac:dyDescent="0.3">
      <c r="A165" s="38"/>
      <c r="B165" s="35" t="s">
        <v>196</v>
      </c>
      <c r="C165" s="12"/>
      <c r="D165" s="27"/>
      <c r="E165" s="13">
        <f>SUM(E10:E164)</f>
        <v>10801</v>
      </c>
      <c r="F165" s="13"/>
      <c r="G165" s="13">
        <f>SUM(G11:G164)</f>
        <v>4970.4099999999989</v>
      </c>
      <c r="H165" s="13"/>
      <c r="I165" s="13"/>
      <c r="J165" s="13"/>
    </row>
    <row r="166" spans="1:10" ht="15.75" customHeight="1" thickTop="1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47"/>
      <c r="F171" s="49"/>
      <c r="G171" s="49"/>
      <c r="H171" s="53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50"/>
      <c r="E174" s="51"/>
      <c r="F174" s="50"/>
      <c r="G174" s="52"/>
      <c r="H174" s="78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  <row r="1687" spans="2:10" x14ac:dyDescent="0.25">
      <c r="B1687" s="28"/>
      <c r="C1687" s="46"/>
      <c r="D1687" s="47"/>
      <c r="F1687" s="49"/>
      <c r="G1687" s="49"/>
      <c r="H1687" s="53"/>
      <c r="I1687" s="53"/>
      <c r="J1687" s="14"/>
    </row>
    <row r="1688" spans="2:10" x14ac:dyDescent="0.25">
      <c r="B1688" s="28"/>
      <c r="C1688" s="46"/>
      <c r="D1688" s="47"/>
      <c r="F1688" s="49"/>
      <c r="G1688" s="49"/>
      <c r="H1688" s="53"/>
      <c r="I1688" s="53"/>
      <c r="J1688" s="14"/>
    </row>
    <row r="1689" spans="2:10" x14ac:dyDescent="0.25">
      <c r="B1689" s="28"/>
      <c r="C1689" s="46"/>
      <c r="D1689" s="47"/>
      <c r="F1689" s="49"/>
      <c r="G1689" s="49"/>
      <c r="H1689" s="53"/>
      <c r="I1689" s="53"/>
      <c r="J1689" s="14"/>
    </row>
  </sheetData>
  <autoFilter ref="A9:J165" xr:uid="{00000000-0009-0000-0000-000000000000}"/>
  <mergeCells count="2">
    <mergeCell ref="E1:J1"/>
    <mergeCell ref="G3:J3"/>
  </mergeCells>
  <conditionalFormatting sqref="D174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style="110" customWidth="1"/>
    <col min="4" max="4" width="68.42578125" style="110" bestFit="1" customWidth="1"/>
    <col min="5" max="5" width="43.5703125" style="110" bestFit="1" customWidth="1"/>
  </cols>
  <sheetData>
    <row r="2" spans="2:7" ht="21" customHeight="1" x14ac:dyDescent="0.25">
      <c r="B2" s="68">
        <v>4561</v>
      </c>
      <c r="C2" s="59">
        <v>1001010014561</v>
      </c>
      <c r="D2" s="56" t="s">
        <v>26</v>
      </c>
      <c r="E2" s="71"/>
      <c r="F2" s="106" t="s">
        <v>27</v>
      </c>
      <c r="G2" s="60">
        <v>1</v>
      </c>
    </row>
    <row r="3" spans="2:7" ht="21" customHeight="1" x14ac:dyDescent="0.25">
      <c r="B3" s="62">
        <v>7536</v>
      </c>
      <c r="C3" s="57">
        <v>1001010017536</v>
      </c>
      <c r="D3" s="58" t="s">
        <v>28</v>
      </c>
      <c r="E3" s="61" t="s">
        <v>197</v>
      </c>
      <c r="F3" s="62" t="s">
        <v>27</v>
      </c>
      <c r="G3" s="63">
        <v>1</v>
      </c>
    </row>
    <row r="4" spans="2:7" ht="21" customHeight="1" x14ac:dyDescent="0.25">
      <c r="B4" s="68">
        <v>5851</v>
      </c>
      <c r="C4" s="57">
        <v>1001012505851</v>
      </c>
      <c r="D4" s="71" t="s">
        <v>30</v>
      </c>
      <c r="E4" s="71"/>
      <c r="F4" s="106" t="s">
        <v>27</v>
      </c>
      <c r="G4" s="60">
        <v>1</v>
      </c>
    </row>
    <row r="5" spans="2:7" ht="21" customHeight="1" x14ac:dyDescent="0.25">
      <c r="B5" s="68">
        <v>4813</v>
      </c>
      <c r="C5" s="57">
        <v>1001012564813</v>
      </c>
      <c r="D5" s="71" t="s">
        <v>31</v>
      </c>
      <c r="E5" s="71"/>
      <c r="F5" s="106" t="s">
        <v>27</v>
      </c>
      <c r="G5" s="60">
        <v>1</v>
      </c>
    </row>
    <row r="6" spans="2:7" ht="21" customHeight="1" x14ac:dyDescent="0.25">
      <c r="B6" s="68">
        <v>4574</v>
      </c>
      <c r="C6" s="57">
        <v>1001012634574</v>
      </c>
      <c r="D6" s="71" t="s">
        <v>32</v>
      </c>
      <c r="E6" s="71"/>
      <c r="F6" s="106" t="s">
        <v>27</v>
      </c>
      <c r="G6" s="60">
        <v>1</v>
      </c>
    </row>
    <row r="7" spans="2:7" ht="21" customHeight="1" x14ac:dyDescent="0.25">
      <c r="B7" s="68">
        <v>4063</v>
      </c>
      <c r="C7" s="57">
        <v>1001012484063</v>
      </c>
      <c r="D7" s="71" t="s">
        <v>33</v>
      </c>
      <c r="E7" s="71"/>
      <c r="F7" s="106" t="s">
        <v>27</v>
      </c>
      <c r="G7" s="60">
        <v>1</v>
      </c>
    </row>
    <row r="8" spans="2:7" ht="21" customHeight="1" x14ac:dyDescent="0.25">
      <c r="B8" s="68">
        <v>6220</v>
      </c>
      <c r="C8" s="55">
        <v>1001012426220</v>
      </c>
      <c r="D8" s="56" t="s">
        <v>34</v>
      </c>
      <c r="E8" s="71"/>
      <c r="F8" s="106" t="s">
        <v>27</v>
      </c>
      <c r="G8" s="60">
        <v>1</v>
      </c>
    </row>
    <row r="9" spans="2:7" ht="21" customHeight="1" x14ac:dyDescent="0.25">
      <c r="B9" s="68">
        <v>6498</v>
      </c>
      <c r="C9" s="59">
        <v>1001012456498</v>
      </c>
      <c r="D9" s="56" t="s">
        <v>35</v>
      </c>
      <c r="E9" s="71"/>
      <c r="F9" s="106" t="s">
        <v>27</v>
      </c>
      <c r="G9" s="60">
        <v>1</v>
      </c>
    </row>
    <row r="10" spans="2:7" ht="21" customHeight="1" x14ac:dyDescent="0.25">
      <c r="B10" s="68">
        <v>6861</v>
      </c>
      <c r="C10" s="57">
        <v>1001015646861</v>
      </c>
      <c r="D10" s="71" t="s">
        <v>36</v>
      </c>
      <c r="E10" s="71"/>
      <c r="F10" s="106" t="s">
        <v>27</v>
      </c>
      <c r="G10" s="60">
        <v>1</v>
      </c>
    </row>
    <row r="11" spans="2:7" ht="21" customHeight="1" x14ac:dyDescent="0.25">
      <c r="B11" s="68">
        <v>6862</v>
      </c>
      <c r="C11" s="57">
        <v>1001015706862</v>
      </c>
      <c r="D11" s="71" t="s">
        <v>37</v>
      </c>
      <c r="E11" s="71"/>
      <c r="F11" s="106" t="s">
        <v>27</v>
      </c>
      <c r="G11" s="60">
        <v>1</v>
      </c>
    </row>
    <row r="12" spans="2:7" ht="21" customHeight="1" x14ac:dyDescent="0.25">
      <c r="B12" s="62">
        <v>7539</v>
      </c>
      <c r="C12" s="59">
        <v>1001010017539</v>
      </c>
      <c r="D12" s="54" t="s">
        <v>38</v>
      </c>
      <c r="E12" s="61" t="s">
        <v>197</v>
      </c>
      <c r="F12" s="62" t="s">
        <v>39</v>
      </c>
      <c r="G12" s="63">
        <v>0.35</v>
      </c>
    </row>
    <row r="13" spans="2:7" ht="21" customHeight="1" x14ac:dyDescent="0.25">
      <c r="B13" s="62">
        <v>7334</v>
      </c>
      <c r="C13" s="59">
        <v>1001012637334</v>
      </c>
      <c r="D13" s="56" t="s">
        <v>41</v>
      </c>
      <c r="E13" s="56"/>
      <c r="F13" s="62" t="s">
        <v>39</v>
      </c>
      <c r="G13" s="63">
        <v>0.4</v>
      </c>
    </row>
    <row r="14" spans="2:7" ht="21" customHeight="1" x14ac:dyDescent="0.25">
      <c r="B14" s="62">
        <v>6325</v>
      </c>
      <c r="C14" s="91">
        <v>1001010106325</v>
      </c>
      <c r="D14" s="56" t="s">
        <v>42</v>
      </c>
      <c r="E14" s="56"/>
      <c r="F14" s="62" t="s">
        <v>39</v>
      </c>
      <c r="G14" s="63">
        <v>0.4</v>
      </c>
    </row>
    <row r="15" spans="2:7" ht="21" customHeight="1" x14ac:dyDescent="0.25">
      <c r="B15" s="62">
        <v>7303</v>
      </c>
      <c r="C15" s="59">
        <v>1001010857303</v>
      </c>
      <c r="D15" s="56" t="s">
        <v>198</v>
      </c>
      <c r="E15" s="56"/>
      <c r="F15" s="62" t="s">
        <v>27</v>
      </c>
      <c r="G15" s="63">
        <v>1</v>
      </c>
    </row>
    <row r="16" spans="2:7" ht="21" customHeight="1" x14ac:dyDescent="0.25">
      <c r="B16" s="62">
        <v>8014</v>
      </c>
      <c r="C16" s="59">
        <v>1001010108014</v>
      </c>
      <c r="D16" s="56" t="s">
        <v>43</v>
      </c>
      <c r="E16" s="56"/>
      <c r="F16" s="62" t="s">
        <v>27</v>
      </c>
      <c r="G16" s="63">
        <v>1</v>
      </c>
    </row>
    <row r="17" spans="2:7" ht="21" customHeight="1" x14ac:dyDescent="0.25">
      <c r="B17" s="62">
        <v>6353</v>
      </c>
      <c r="C17" s="91">
        <v>1001012506353</v>
      </c>
      <c r="D17" s="56" t="s">
        <v>199</v>
      </c>
      <c r="E17" s="56"/>
      <c r="F17" s="62" t="s">
        <v>39</v>
      </c>
      <c r="G17" s="63">
        <v>0.4</v>
      </c>
    </row>
    <row r="18" spans="2:7" ht="21" customHeight="1" x14ac:dyDescent="0.25">
      <c r="B18" s="62">
        <v>7523</v>
      </c>
      <c r="C18" s="55">
        <v>1001012427523</v>
      </c>
      <c r="D18" s="54" t="s">
        <v>46</v>
      </c>
      <c r="E18" s="61" t="s">
        <v>197</v>
      </c>
      <c r="F18" s="106" t="s">
        <v>39</v>
      </c>
      <c r="G18" s="60">
        <v>0.4</v>
      </c>
    </row>
    <row r="19" spans="2:7" ht="21" customHeight="1" x14ac:dyDescent="0.25">
      <c r="B19" s="68">
        <v>6340</v>
      </c>
      <c r="C19" s="59">
        <v>1001012816340</v>
      </c>
      <c r="D19" s="56" t="s">
        <v>48</v>
      </c>
      <c r="E19" s="71"/>
      <c r="F19" s="106" t="s">
        <v>39</v>
      </c>
      <c r="G19" s="60">
        <v>0.5</v>
      </c>
    </row>
    <row r="20" spans="2:7" ht="21" customHeight="1" x14ac:dyDescent="0.25">
      <c r="B20" s="68">
        <v>6341</v>
      </c>
      <c r="C20" s="59">
        <v>1001012816341</v>
      </c>
      <c r="D20" s="56" t="s">
        <v>49</v>
      </c>
      <c r="E20" s="71"/>
      <c r="F20" s="106" t="s">
        <v>39</v>
      </c>
      <c r="G20" s="60">
        <v>0.5</v>
      </c>
    </row>
    <row r="21" spans="2:7" ht="21" customHeight="1" x14ac:dyDescent="0.25">
      <c r="B21" s="62">
        <v>6333</v>
      </c>
      <c r="C21" s="91">
        <v>1001012486333</v>
      </c>
      <c r="D21" s="56" t="s">
        <v>50</v>
      </c>
      <c r="E21" s="56"/>
      <c r="F21" s="62" t="s">
        <v>39</v>
      </c>
      <c r="G21" s="63">
        <v>0.4</v>
      </c>
    </row>
    <row r="22" spans="2:7" ht="21" customHeight="1" x14ac:dyDescent="0.25">
      <c r="B22" s="62">
        <v>6392</v>
      </c>
      <c r="C22" s="91">
        <v>1001012566392</v>
      </c>
      <c r="D22" s="56" t="s">
        <v>51</v>
      </c>
      <c r="E22" s="56"/>
      <c r="F22" s="62" t="s">
        <v>39</v>
      </c>
      <c r="G22" s="63">
        <v>0.4</v>
      </c>
    </row>
    <row r="23" spans="2:7" ht="21" customHeight="1" x14ac:dyDescent="0.25">
      <c r="B23" s="62">
        <v>7343</v>
      </c>
      <c r="C23" s="59">
        <v>1001016747343</v>
      </c>
      <c r="D23" s="56" t="s">
        <v>52</v>
      </c>
      <c r="E23" s="71"/>
      <c r="F23" s="106" t="s">
        <v>39</v>
      </c>
      <c r="G23" s="60">
        <v>0.4</v>
      </c>
    </row>
    <row r="24" spans="2:7" ht="21" customHeight="1" x14ac:dyDescent="0.25">
      <c r="B24" s="62">
        <v>6797</v>
      </c>
      <c r="C24" s="59">
        <v>1001015026797</v>
      </c>
      <c r="D24" s="92" t="s">
        <v>53</v>
      </c>
      <c r="E24" s="92" t="s">
        <v>200</v>
      </c>
      <c r="F24" s="62" t="s">
        <v>39</v>
      </c>
      <c r="G24" s="63">
        <v>0.4</v>
      </c>
    </row>
    <row r="25" spans="2:7" ht="21" customHeight="1" x14ac:dyDescent="0.25">
      <c r="B25" s="62">
        <v>7231</v>
      </c>
      <c r="C25" s="59">
        <v>1001013957231</v>
      </c>
      <c r="D25" s="56" t="s">
        <v>54</v>
      </c>
      <c r="E25" s="71"/>
      <c r="F25" s="106" t="s">
        <v>39</v>
      </c>
      <c r="G25" s="60">
        <v>0.3</v>
      </c>
    </row>
    <row r="26" spans="2:7" ht="23.25" customHeight="1" x14ac:dyDescent="0.25">
      <c r="B26" s="66"/>
      <c r="C26" s="93"/>
      <c r="D26" s="94" t="s">
        <v>168</v>
      </c>
      <c r="E26" s="95"/>
      <c r="F26" s="96"/>
      <c r="G26" s="97"/>
    </row>
    <row r="27" spans="2:7" ht="21" customHeight="1" x14ac:dyDescent="0.25">
      <c r="B27" s="68">
        <v>6470</v>
      </c>
      <c r="C27" s="57">
        <v>1001092436470</v>
      </c>
      <c r="D27" s="71" t="s">
        <v>169</v>
      </c>
      <c r="E27" s="71"/>
      <c r="F27" s="106" t="s">
        <v>27</v>
      </c>
      <c r="G27" s="60">
        <v>1</v>
      </c>
    </row>
    <row r="28" spans="2:7" ht="21" customHeight="1" x14ac:dyDescent="0.25">
      <c r="B28" s="62">
        <v>6495</v>
      </c>
      <c r="C28" s="59">
        <v>1001092436495</v>
      </c>
      <c r="D28" s="69" t="s">
        <v>170</v>
      </c>
      <c r="E28" s="71"/>
      <c r="F28" s="106" t="s">
        <v>39</v>
      </c>
      <c r="G28" s="60">
        <v>0.3</v>
      </c>
    </row>
    <row r="29" spans="2:7" ht="21" customHeight="1" x14ac:dyDescent="0.25">
      <c r="B29" s="62">
        <v>5452</v>
      </c>
      <c r="C29" s="59">
        <v>1001092485452</v>
      </c>
      <c r="D29" s="69" t="s">
        <v>171</v>
      </c>
      <c r="E29" s="71"/>
      <c r="F29" s="106" t="s">
        <v>27</v>
      </c>
      <c r="G29" s="60">
        <v>1</v>
      </c>
    </row>
    <row r="30" spans="2:7" ht="21" customHeight="1" x14ac:dyDescent="0.25">
      <c r="B30" s="68">
        <v>6866</v>
      </c>
      <c r="C30" s="57">
        <v>1001095716866</v>
      </c>
      <c r="D30" s="71" t="s">
        <v>172</v>
      </c>
      <c r="E30" s="71"/>
      <c r="F30" s="106" t="s">
        <v>27</v>
      </c>
      <c r="G30" s="60">
        <v>1</v>
      </c>
    </row>
    <row r="31" spans="2:7" ht="21" customHeight="1" x14ac:dyDescent="0.25">
      <c r="B31" s="68">
        <v>6025</v>
      </c>
      <c r="C31" s="57">
        <v>1001094966025</v>
      </c>
      <c r="D31" s="71" t="s">
        <v>173</v>
      </c>
      <c r="E31" s="71"/>
      <c r="F31" s="106" t="s">
        <v>27</v>
      </c>
      <c r="G31" s="60">
        <v>1</v>
      </c>
    </row>
    <row r="32" spans="2:7" ht="21" customHeight="1" x14ac:dyDescent="0.25">
      <c r="B32" s="68">
        <v>4584</v>
      </c>
      <c r="C32" s="57">
        <v>1001092674584</v>
      </c>
      <c r="D32" s="71" t="s">
        <v>174</v>
      </c>
      <c r="E32" s="71"/>
      <c r="F32" s="106" t="s">
        <v>27</v>
      </c>
      <c r="G32" s="60">
        <v>1</v>
      </c>
    </row>
    <row r="33" spans="2:7" ht="21" customHeight="1" x14ac:dyDescent="0.25">
      <c r="B33" s="62">
        <v>3215</v>
      </c>
      <c r="C33" s="91">
        <v>1001094053215</v>
      </c>
      <c r="D33" s="56" t="s">
        <v>175</v>
      </c>
      <c r="E33" s="56"/>
      <c r="F33" s="62" t="s">
        <v>39</v>
      </c>
      <c r="G33" s="63">
        <v>0.4</v>
      </c>
    </row>
    <row r="34" spans="2:7" ht="21" customHeight="1" x14ac:dyDescent="0.25">
      <c r="B34" s="62">
        <v>5495</v>
      </c>
      <c r="C34" s="59">
        <v>1001093345495</v>
      </c>
      <c r="D34" s="69" t="s">
        <v>176</v>
      </c>
      <c r="E34" s="71"/>
      <c r="F34" s="106" t="s">
        <v>39</v>
      </c>
      <c r="G34" s="60">
        <v>0.4</v>
      </c>
    </row>
    <row r="35" spans="2:7" ht="21" customHeight="1" x14ac:dyDescent="0.25">
      <c r="B35" s="62">
        <v>7377</v>
      </c>
      <c r="C35" s="59">
        <v>1001095027377</v>
      </c>
      <c r="D35" s="69" t="s">
        <v>177</v>
      </c>
      <c r="E35" s="98"/>
      <c r="F35" s="106" t="s">
        <v>39</v>
      </c>
      <c r="G35" s="60">
        <v>0.3</v>
      </c>
    </row>
    <row r="36" spans="2:7" ht="21" customHeight="1" x14ac:dyDescent="0.25">
      <c r="B36" s="62">
        <v>6925</v>
      </c>
      <c r="C36" s="59">
        <v>1001095226925</v>
      </c>
      <c r="D36" s="56" t="s">
        <v>178</v>
      </c>
      <c r="E36" s="70"/>
      <c r="F36" s="62" t="s">
        <v>39</v>
      </c>
      <c r="G36" s="63">
        <v>0.6</v>
      </c>
    </row>
    <row r="37" spans="2:7" ht="23.25" customHeight="1" x14ac:dyDescent="0.25">
      <c r="B37" s="99"/>
      <c r="C37" s="100"/>
      <c r="D37" s="101" t="s">
        <v>201</v>
      </c>
      <c r="E37" s="102"/>
      <c r="F37" s="103"/>
      <c r="G37" s="104"/>
    </row>
    <row r="38" spans="2:7" ht="21" customHeight="1" x14ac:dyDescent="0.25">
      <c r="B38" s="68">
        <v>6620</v>
      </c>
      <c r="C38" s="57">
        <v>1001081596620</v>
      </c>
      <c r="D38" s="71" t="s">
        <v>183</v>
      </c>
      <c r="E38" s="71"/>
      <c r="F38" s="106" t="s">
        <v>27</v>
      </c>
      <c r="G38" s="60">
        <v>1</v>
      </c>
    </row>
    <row r="39" spans="2:7" ht="21" customHeight="1" x14ac:dyDescent="0.25">
      <c r="B39" s="62">
        <v>7187</v>
      </c>
      <c r="C39" s="55">
        <v>1001085637187</v>
      </c>
      <c r="D39" s="56" t="s">
        <v>184</v>
      </c>
      <c r="E39" s="56"/>
      <c r="F39" s="106" t="s">
        <v>39</v>
      </c>
      <c r="G39" s="60">
        <v>0.3</v>
      </c>
    </row>
    <row r="40" spans="2:7" ht="21" customHeight="1" x14ac:dyDescent="0.25">
      <c r="B40" s="68">
        <v>7090</v>
      </c>
      <c r="C40" s="57">
        <v>1001084217090</v>
      </c>
      <c r="D40" s="71" t="s">
        <v>186</v>
      </c>
      <c r="E40" s="71"/>
      <c r="F40" s="106" t="s">
        <v>39</v>
      </c>
      <c r="G40" s="60">
        <v>0.3</v>
      </c>
    </row>
    <row r="41" spans="2:7" ht="23.25" customHeight="1" x14ac:dyDescent="0.25">
      <c r="B41" s="66"/>
      <c r="C41" s="93"/>
      <c r="D41" s="94" t="s">
        <v>202</v>
      </c>
      <c r="E41" s="95"/>
      <c r="F41" s="96"/>
      <c r="G41" s="97"/>
    </row>
    <row r="42" spans="2:7" ht="23.25" customHeight="1" x14ac:dyDescent="0.25">
      <c r="B42" s="62">
        <v>7103</v>
      </c>
      <c r="C42" s="91">
        <v>1001223297103</v>
      </c>
      <c r="D42" s="56" t="s">
        <v>187</v>
      </c>
      <c r="E42" s="105"/>
      <c r="F42" s="62" t="s">
        <v>39</v>
      </c>
      <c r="G42" s="60">
        <v>0.18</v>
      </c>
    </row>
    <row r="43" spans="2:7" ht="21" customHeight="1" x14ac:dyDescent="0.25">
      <c r="B43" s="68">
        <v>6279</v>
      </c>
      <c r="C43" s="57">
        <v>1001220286279</v>
      </c>
      <c r="D43" s="71" t="s">
        <v>188</v>
      </c>
      <c r="E43" s="71"/>
      <c r="F43" s="106" t="s">
        <v>39</v>
      </c>
      <c r="G43" s="60">
        <v>0.15</v>
      </c>
    </row>
    <row r="44" spans="2:7" ht="21" customHeight="1" x14ac:dyDescent="0.25">
      <c r="B44" s="62">
        <v>7092</v>
      </c>
      <c r="C44" s="59">
        <v>1001223297092</v>
      </c>
      <c r="D44" s="56" t="s">
        <v>189</v>
      </c>
      <c r="E44" s="56"/>
      <c r="F44" s="62" t="s">
        <v>39</v>
      </c>
      <c r="G44" s="63">
        <v>0.14000000000000001</v>
      </c>
    </row>
    <row r="45" spans="2:7" ht="21" customHeight="1" x14ac:dyDescent="0.25">
      <c r="B45" s="68">
        <v>6448</v>
      </c>
      <c r="C45" s="57">
        <v>1001234146448</v>
      </c>
      <c r="D45" s="71" t="s">
        <v>190</v>
      </c>
      <c r="E45" s="71"/>
      <c r="F45" s="106" t="s">
        <v>39</v>
      </c>
      <c r="G45" s="60">
        <v>0.1</v>
      </c>
    </row>
    <row r="46" spans="2:7" ht="21" customHeight="1" x14ac:dyDescent="0.25">
      <c r="B46" s="62">
        <v>6754</v>
      </c>
      <c r="C46" s="91">
        <v>1001225406754</v>
      </c>
      <c r="D46" s="56" t="s">
        <v>191</v>
      </c>
      <c r="E46" s="56"/>
      <c r="F46" s="62" t="s">
        <v>39</v>
      </c>
      <c r="G46" s="63">
        <v>0.09</v>
      </c>
    </row>
    <row r="47" spans="2:7" ht="23.25" customHeight="1" x14ac:dyDescent="0.25">
      <c r="B47" s="62">
        <v>6208</v>
      </c>
      <c r="C47" s="91">
        <v>1001220226208</v>
      </c>
      <c r="D47" s="56" t="s">
        <v>192</v>
      </c>
      <c r="E47" s="105"/>
      <c r="F47" s="62" t="s">
        <v>39</v>
      </c>
      <c r="G47" s="60">
        <v>0.15</v>
      </c>
    </row>
    <row r="48" spans="2:7" ht="23.25" customHeight="1" x14ac:dyDescent="0.25">
      <c r="B48" s="62">
        <v>6228</v>
      </c>
      <c r="C48" s="91">
        <v>1001225416228</v>
      </c>
      <c r="D48" s="56" t="s">
        <v>193</v>
      </c>
      <c r="E48" s="105"/>
      <c r="F48" s="62" t="s">
        <v>39</v>
      </c>
      <c r="G48" s="60">
        <v>0.09</v>
      </c>
    </row>
    <row r="49" spans="2:7" ht="21" customHeight="1" x14ac:dyDescent="0.25">
      <c r="B49" s="62">
        <v>7288</v>
      </c>
      <c r="C49" s="59">
        <v>1001223907288</v>
      </c>
      <c r="D49" s="56" t="s">
        <v>203</v>
      </c>
      <c r="E49" s="98"/>
      <c r="F49" s="62" t="s">
        <v>39</v>
      </c>
      <c r="G49" s="63">
        <v>0.1</v>
      </c>
    </row>
    <row r="50" spans="2:7" ht="23.25" customHeight="1" x14ac:dyDescent="0.25">
      <c r="B50" s="66"/>
      <c r="C50" s="93"/>
      <c r="D50" s="94" t="s">
        <v>204</v>
      </c>
      <c r="E50" s="95"/>
      <c r="F50" s="96"/>
      <c r="G50" s="97"/>
    </row>
    <row r="51" spans="2:7" ht="21" customHeight="1" x14ac:dyDescent="0.25">
      <c r="B51" s="62">
        <v>7564</v>
      </c>
      <c r="C51" s="59">
        <v>1001303637564</v>
      </c>
      <c r="D51" s="54" t="s">
        <v>102</v>
      </c>
      <c r="E51" s="54" t="s">
        <v>197</v>
      </c>
      <c r="F51" s="62" t="s">
        <v>27</v>
      </c>
      <c r="G51" s="63">
        <v>1</v>
      </c>
    </row>
    <row r="52" spans="2:7" ht="21" customHeight="1" x14ac:dyDescent="0.25">
      <c r="B52" s="62">
        <v>7133</v>
      </c>
      <c r="C52" s="59">
        <v>1001300367133</v>
      </c>
      <c r="D52" s="56" t="s">
        <v>104</v>
      </c>
      <c r="E52" s="71"/>
      <c r="F52" s="106" t="s">
        <v>27</v>
      </c>
      <c r="G52" s="60">
        <v>1</v>
      </c>
    </row>
    <row r="53" spans="2:7" ht="21" customHeight="1" x14ac:dyDescent="0.25">
      <c r="B53" s="68">
        <v>6946</v>
      </c>
      <c r="C53" s="57">
        <v>1001300456946</v>
      </c>
      <c r="D53" s="71" t="s">
        <v>105</v>
      </c>
      <c r="E53" s="71"/>
      <c r="F53" s="106" t="s">
        <v>27</v>
      </c>
      <c r="G53" s="60">
        <v>1</v>
      </c>
    </row>
    <row r="54" spans="2:7" ht="21" customHeight="1" x14ac:dyDescent="0.25">
      <c r="B54" s="68">
        <v>7132</v>
      </c>
      <c r="C54" s="57">
        <v>1001300517132</v>
      </c>
      <c r="D54" s="71" t="s">
        <v>106</v>
      </c>
      <c r="E54" s="71"/>
      <c r="F54" s="106" t="s">
        <v>27</v>
      </c>
      <c r="G54" s="60">
        <v>1</v>
      </c>
    </row>
    <row r="55" spans="2:7" ht="21" customHeight="1" x14ac:dyDescent="0.25">
      <c r="B55" s="68">
        <v>5544</v>
      </c>
      <c r="C55" s="57">
        <v>1001051875544</v>
      </c>
      <c r="D55" s="71" t="s">
        <v>107</v>
      </c>
      <c r="E55" s="71"/>
      <c r="F55" s="106" t="s">
        <v>27</v>
      </c>
      <c r="G55" s="60">
        <v>1</v>
      </c>
    </row>
    <row r="56" spans="2:7" ht="21" customHeight="1" x14ac:dyDescent="0.25">
      <c r="B56" s="62">
        <v>7149</v>
      </c>
      <c r="C56" s="55">
        <v>1001303637149</v>
      </c>
      <c r="D56" s="56" t="s">
        <v>108</v>
      </c>
      <c r="E56" s="71"/>
      <c r="F56" s="106" t="s">
        <v>39</v>
      </c>
      <c r="G56" s="60">
        <v>0.84</v>
      </c>
    </row>
    <row r="57" spans="2:7" ht="21" customHeight="1" x14ac:dyDescent="0.25">
      <c r="B57" s="62">
        <v>7157</v>
      </c>
      <c r="C57" s="59">
        <v>1001300387157</v>
      </c>
      <c r="D57" s="56" t="s">
        <v>109</v>
      </c>
      <c r="E57" s="71"/>
      <c r="F57" s="106" t="s">
        <v>27</v>
      </c>
      <c r="G57" s="60">
        <v>1</v>
      </c>
    </row>
    <row r="58" spans="2:7" ht="21" customHeight="1" x14ac:dyDescent="0.25">
      <c r="B58" s="68">
        <v>7166</v>
      </c>
      <c r="C58" s="57">
        <v>1001303987166</v>
      </c>
      <c r="D58" s="71" t="s">
        <v>110</v>
      </c>
      <c r="E58" s="71"/>
      <c r="F58" s="106" t="s">
        <v>27</v>
      </c>
      <c r="G58" s="60">
        <v>1</v>
      </c>
    </row>
    <row r="59" spans="2:7" ht="21" customHeight="1" x14ac:dyDescent="0.25">
      <c r="B59" s="62">
        <v>7603</v>
      </c>
      <c r="C59" s="59">
        <v>1001303637603</v>
      </c>
      <c r="D59" s="54" t="s">
        <v>111</v>
      </c>
      <c r="E59" s="54" t="s">
        <v>197</v>
      </c>
      <c r="F59" s="62" t="s">
        <v>39</v>
      </c>
      <c r="G59" s="63">
        <v>0.33</v>
      </c>
    </row>
    <row r="60" spans="2:7" ht="21" customHeight="1" x14ac:dyDescent="0.25">
      <c r="B60" s="68">
        <v>6807</v>
      </c>
      <c r="C60" s="57">
        <v>1001300366807</v>
      </c>
      <c r="D60" s="71" t="s">
        <v>113</v>
      </c>
      <c r="E60" s="71"/>
      <c r="F60" s="106" t="s">
        <v>39</v>
      </c>
      <c r="G60" s="60">
        <v>0.33</v>
      </c>
    </row>
    <row r="61" spans="2:7" ht="21" customHeight="1" x14ac:dyDescent="0.25">
      <c r="B61" s="68">
        <v>6787</v>
      </c>
      <c r="C61" s="57">
        <v>1001300456787</v>
      </c>
      <c r="D61" s="71" t="s">
        <v>114</v>
      </c>
      <c r="E61" s="71"/>
      <c r="F61" s="106" t="s">
        <v>39</v>
      </c>
      <c r="G61" s="60">
        <v>0.33</v>
      </c>
    </row>
    <row r="62" spans="2:7" ht="21" customHeight="1" x14ac:dyDescent="0.25">
      <c r="B62" s="68">
        <v>6697</v>
      </c>
      <c r="C62" s="57">
        <v>1001301876697</v>
      </c>
      <c r="D62" s="71" t="s">
        <v>116</v>
      </c>
      <c r="E62" s="71"/>
      <c r="F62" s="106" t="s">
        <v>39</v>
      </c>
      <c r="G62" s="60">
        <v>0.35</v>
      </c>
    </row>
    <row r="63" spans="2:7" ht="21" customHeight="1" x14ac:dyDescent="0.25">
      <c r="B63" s="68">
        <v>7169</v>
      </c>
      <c r="C63" s="57">
        <v>1001303987169</v>
      </c>
      <c r="D63" s="71" t="s">
        <v>117</v>
      </c>
      <c r="E63" s="71"/>
      <c r="F63" s="106" t="s">
        <v>39</v>
      </c>
      <c r="G63" s="60">
        <v>0.35</v>
      </c>
    </row>
    <row r="64" spans="2:7" ht="21" customHeight="1" x14ac:dyDescent="0.25">
      <c r="B64" s="62">
        <v>7233</v>
      </c>
      <c r="C64" s="55">
        <v>1001303637233</v>
      </c>
      <c r="D64" s="56" t="s">
        <v>118</v>
      </c>
      <c r="E64" s="56"/>
      <c r="F64" s="106" t="s">
        <v>39</v>
      </c>
      <c r="G64" s="60">
        <v>0.31</v>
      </c>
    </row>
    <row r="65" spans="2:7" ht="21" customHeight="1" x14ac:dyDescent="0.25">
      <c r="B65" s="68">
        <v>7236</v>
      </c>
      <c r="C65" s="57">
        <v>1001304507236</v>
      </c>
      <c r="D65" s="71" t="s">
        <v>119</v>
      </c>
      <c r="E65" s="71"/>
      <c r="F65" s="106" t="s">
        <v>39</v>
      </c>
      <c r="G65" s="60">
        <v>0.28000000000000003</v>
      </c>
    </row>
    <row r="66" spans="2:7" ht="21" customHeight="1" x14ac:dyDescent="0.25">
      <c r="B66" s="62">
        <v>7177</v>
      </c>
      <c r="C66" s="55">
        <v>1001302347177</v>
      </c>
      <c r="D66" s="56" t="s">
        <v>120</v>
      </c>
      <c r="E66" s="56"/>
      <c r="F66" s="106" t="s">
        <v>39</v>
      </c>
      <c r="G66" s="60">
        <v>0.35</v>
      </c>
    </row>
    <row r="67" spans="2:7" ht="21" customHeight="1" x14ac:dyDescent="0.25">
      <c r="B67" s="68">
        <v>7232</v>
      </c>
      <c r="C67" s="57">
        <v>1001302277232</v>
      </c>
      <c r="D67" s="71" t="s">
        <v>121</v>
      </c>
      <c r="E67" s="71"/>
      <c r="F67" s="106" t="s">
        <v>39</v>
      </c>
      <c r="G67" s="60">
        <v>0.28000000000000003</v>
      </c>
    </row>
    <row r="68" spans="2:7" ht="21" customHeight="1" x14ac:dyDescent="0.25">
      <c r="B68" s="62">
        <v>7154</v>
      </c>
      <c r="C68" s="55">
        <v>1001300387154</v>
      </c>
      <c r="D68" s="56" t="s">
        <v>122</v>
      </c>
      <c r="E68" s="56"/>
      <c r="F68" s="106" t="s">
        <v>39</v>
      </c>
      <c r="G68" s="60">
        <v>0.35</v>
      </c>
    </row>
    <row r="69" spans="2:7" ht="21" customHeight="1" x14ac:dyDescent="0.25">
      <c r="B69" s="62">
        <v>7238</v>
      </c>
      <c r="C69" s="59">
        <v>1001305197238</v>
      </c>
      <c r="D69" s="56" t="s">
        <v>123</v>
      </c>
      <c r="E69" s="71"/>
      <c r="F69" s="106" t="s">
        <v>39</v>
      </c>
      <c r="G69" s="60">
        <v>0.31</v>
      </c>
    </row>
    <row r="70" spans="2:7" ht="21" customHeight="1" x14ac:dyDescent="0.25">
      <c r="B70" s="62">
        <v>7237</v>
      </c>
      <c r="C70" s="59">
        <v>1001304497237</v>
      </c>
      <c r="D70" s="56" t="s">
        <v>124</v>
      </c>
      <c r="E70" s="71"/>
      <c r="F70" s="106" t="s">
        <v>39</v>
      </c>
      <c r="G70" s="60">
        <v>0.28000000000000003</v>
      </c>
    </row>
    <row r="71" spans="2:7" ht="21" customHeight="1" x14ac:dyDescent="0.25">
      <c r="B71" s="68">
        <v>7241</v>
      </c>
      <c r="C71" s="57">
        <v>1001303107241</v>
      </c>
      <c r="D71" s="71" t="s">
        <v>125</v>
      </c>
      <c r="E71" s="71"/>
      <c r="F71" s="106" t="s">
        <v>39</v>
      </c>
      <c r="G71" s="60">
        <v>0.28000000000000003</v>
      </c>
    </row>
    <row r="72" spans="2:7" ht="21" customHeight="1" x14ac:dyDescent="0.25">
      <c r="B72" s="68">
        <v>7332</v>
      </c>
      <c r="C72" s="57">
        <v>1001301777332</v>
      </c>
      <c r="D72" s="71" t="s">
        <v>126</v>
      </c>
      <c r="E72" s="71"/>
      <c r="F72" s="106" t="s">
        <v>39</v>
      </c>
      <c r="G72" s="60">
        <v>0.28000000000000003</v>
      </c>
    </row>
    <row r="73" spans="2:7" ht="21" customHeight="1" x14ac:dyDescent="0.25">
      <c r="B73" s="68">
        <v>7333</v>
      </c>
      <c r="C73" s="57">
        <v>1001303987333</v>
      </c>
      <c r="D73" s="71" t="s">
        <v>127</v>
      </c>
      <c r="E73" s="71"/>
      <c r="F73" s="106" t="s">
        <v>39</v>
      </c>
      <c r="G73" s="60">
        <v>0.28000000000000003</v>
      </c>
    </row>
    <row r="74" spans="2:7" ht="23.25" customHeight="1" x14ac:dyDescent="0.25">
      <c r="B74" s="72"/>
      <c r="C74" s="64"/>
      <c r="D74" s="65" t="s">
        <v>205</v>
      </c>
      <c r="E74" s="65"/>
      <c r="F74" s="66"/>
      <c r="G74" s="67"/>
    </row>
    <row r="75" spans="2:7" ht="21" customHeight="1" x14ac:dyDescent="0.25">
      <c r="B75" s="62">
        <v>6459</v>
      </c>
      <c r="C75" s="59">
        <v>1001214196459</v>
      </c>
      <c r="D75" s="56" t="s">
        <v>206</v>
      </c>
      <c r="E75" s="56"/>
      <c r="F75" s="62" t="s">
        <v>39</v>
      </c>
      <c r="G75" s="63">
        <v>0.1</v>
      </c>
    </row>
    <row r="76" spans="2:7" ht="21" customHeight="1" x14ac:dyDescent="0.25">
      <c r="B76" s="62">
        <v>7474</v>
      </c>
      <c r="C76" s="59">
        <v>1001216717474</v>
      </c>
      <c r="D76" s="56" t="s">
        <v>207</v>
      </c>
      <c r="E76" s="73"/>
      <c r="F76" s="62" t="s">
        <v>39</v>
      </c>
      <c r="G76" s="63">
        <v>0.1</v>
      </c>
    </row>
    <row r="77" spans="2:7" ht="23.25" customHeight="1" x14ac:dyDescent="0.25">
      <c r="B77" s="66"/>
      <c r="C77" s="93"/>
      <c r="D77" s="94" t="s">
        <v>208</v>
      </c>
      <c r="E77" s="95"/>
      <c r="F77" s="96"/>
      <c r="G77" s="97"/>
    </row>
    <row r="78" spans="2:7" ht="21" customHeight="1" x14ac:dyDescent="0.25">
      <c r="B78" s="62">
        <v>5679</v>
      </c>
      <c r="C78" s="59">
        <v>1001190765679</v>
      </c>
      <c r="D78" s="56" t="s">
        <v>154</v>
      </c>
      <c r="E78" s="56"/>
      <c r="F78" s="62" t="s">
        <v>39</v>
      </c>
      <c r="G78" s="63">
        <v>0.15</v>
      </c>
    </row>
    <row r="79" spans="2:7" ht="21" customHeight="1" x14ac:dyDescent="0.25">
      <c r="B79" s="62">
        <v>7382</v>
      </c>
      <c r="C79" s="59">
        <v>1001203117382</v>
      </c>
      <c r="D79" s="56" t="s">
        <v>155</v>
      </c>
      <c r="E79" s="56"/>
      <c r="F79" s="106" t="s">
        <v>39</v>
      </c>
      <c r="G79" s="60">
        <v>0.12</v>
      </c>
    </row>
    <row r="80" spans="2:7" ht="21" customHeight="1" x14ac:dyDescent="0.25">
      <c r="B80" s="68">
        <v>6454</v>
      </c>
      <c r="C80" s="57">
        <v>1001201976454</v>
      </c>
      <c r="D80" s="71" t="s">
        <v>209</v>
      </c>
      <c r="E80" s="71"/>
      <c r="F80" s="106" t="s">
        <v>39</v>
      </c>
      <c r="G80" s="60">
        <v>0.1</v>
      </c>
    </row>
    <row r="81" spans="2:7" ht="21" customHeight="1" x14ac:dyDescent="0.25">
      <c r="B81" s="68">
        <v>6453</v>
      </c>
      <c r="C81" s="57">
        <v>1001202506453</v>
      </c>
      <c r="D81" s="71" t="s">
        <v>210</v>
      </c>
      <c r="E81" s="71"/>
      <c r="F81" s="106" t="s">
        <v>39</v>
      </c>
      <c r="G81" s="60">
        <v>0.1</v>
      </c>
    </row>
    <row r="82" spans="2:7" ht="21" customHeight="1" x14ac:dyDescent="0.25">
      <c r="B82" s="62">
        <v>6221</v>
      </c>
      <c r="C82" s="55">
        <v>1001205376221</v>
      </c>
      <c r="D82" s="56" t="s">
        <v>160</v>
      </c>
      <c r="E82" s="56"/>
      <c r="F82" s="106" t="s">
        <v>39</v>
      </c>
      <c r="G82" s="60">
        <v>0.09</v>
      </c>
    </row>
    <row r="83" spans="2:7" ht="21" customHeight="1" x14ac:dyDescent="0.25">
      <c r="B83" s="62">
        <v>6222</v>
      </c>
      <c r="C83" s="55">
        <v>1001205386222</v>
      </c>
      <c r="D83" s="56" t="s">
        <v>161</v>
      </c>
      <c r="E83" s="56"/>
      <c r="F83" s="106" t="s">
        <v>39</v>
      </c>
      <c r="G83" s="60">
        <v>0.09</v>
      </c>
    </row>
    <row r="84" spans="2:7" ht="21" customHeight="1" x14ac:dyDescent="0.25">
      <c r="B84" s="62">
        <v>6834</v>
      </c>
      <c r="C84" s="59">
        <v>1001203146834</v>
      </c>
      <c r="D84" s="56" t="s">
        <v>162</v>
      </c>
      <c r="E84" s="56"/>
      <c r="F84" s="62" t="s">
        <v>39</v>
      </c>
      <c r="G84" s="63">
        <v>0.1</v>
      </c>
    </row>
    <row r="85" spans="2:7" ht="21" customHeight="1" x14ac:dyDescent="0.25">
      <c r="B85" s="68">
        <v>6965</v>
      </c>
      <c r="C85" s="57">
        <v>1001206356965</v>
      </c>
      <c r="D85" s="71" t="s">
        <v>164</v>
      </c>
      <c r="E85" s="71"/>
      <c r="F85" s="106" t="s">
        <v>39</v>
      </c>
      <c r="G85" s="60">
        <v>7.0000000000000007E-2</v>
      </c>
    </row>
    <row r="86" spans="2:7" ht="21" customHeight="1" x14ac:dyDescent="0.25">
      <c r="B86" s="62">
        <v>6557</v>
      </c>
      <c r="C86" s="59">
        <v>1001200756557</v>
      </c>
      <c r="D86" s="56" t="s">
        <v>165</v>
      </c>
      <c r="E86" s="56"/>
      <c r="F86" s="62" t="s">
        <v>39</v>
      </c>
      <c r="G86" s="63">
        <v>0.1</v>
      </c>
    </row>
    <row r="87" spans="2:7" ht="21" customHeight="1" x14ac:dyDescent="0.25">
      <c r="B87" s="62">
        <v>5677</v>
      </c>
      <c r="C87" s="59">
        <v>1001190715677</v>
      </c>
      <c r="D87" s="56" t="s">
        <v>211</v>
      </c>
      <c r="E87" s="98"/>
      <c r="F87" s="62" t="s">
        <v>39</v>
      </c>
      <c r="G87" s="63">
        <v>0.1</v>
      </c>
    </row>
    <row r="88" spans="2:7" ht="21" customHeight="1" x14ac:dyDescent="0.25">
      <c r="B88" s="62">
        <v>7414</v>
      </c>
      <c r="C88" s="59">
        <v>1001204447414</v>
      </c>
      <c r="D88" s="56" t="s">
        <v>212</v>
      </c>
      <c r="E88" s="98"/>
      <c r="F88" s="62" t="s">
        <v>27</v>
      </c>
      <c r="G88" s="63">
        <v>1</v>
      </c>
    </row>
    <row r="89" spans="2:7" ht="23.25" customHeight="1" x14ac:dyDescent="0.25">
      <c r="B89" s="66"/>
      <c r="C89" s="93"/>
      <c r="D89" s="94" t="s">
        <v>132</v>
      </c>
      <c r="E89" s="95"/>
      <c r="F89" s="96"/>
      <c r="G89" s="97"/>
    </row>
    <row r="90" spans="2:7" ht="21" customHeight="1" x14ac:dyDescent="0.25">
      <c r="B90" s="62">
        <v>614</v>
      </c>
      <c r="C90" s="59">
        <v>1001060720614</v>
      </c>
      <c r="D90" s="56" t="s">
        <v>133</v>
      </c>
      <c r="E90" s="56"/>
      <c r="F90" s="62" t="s">
        <v>27</v>
      </c>
      <c r="G90" s="63">
        <v>1</v>
      </c>
    </row>
    <row r="91" spans="2:7" ht="21" customHeight="1" x14ac:dyDescent="0.25">
      <c r="B91" s="62">
        <v>3287</v>
      </c>
      <c r="C91" s="59">
        <v>1001060763287</v>
      </c>
      <c r="D91" s="56" t="s">
        <v>134</v>
      </c>
      <c r="E91" s="56"/>
      <c r="F91" s="62" t="s">
        <v>27</v>
      </c>
      <c r="G91" s="63">
        <v>1</v>
      </c>
    </row>
    <row r="92" spans="2:7" ht="21" customHeight="1" x14ac:dyDescent="0.25">
      <c r="B92" s="68">
        <v>5708</v>
      </c>
      <c r="C92" s="57">
        <v>1001063145708</v>
      </c>
      <c r="D92" s="71" t="s">
        <v>135</v>
      </c>
      <c r="E92" s="71"/>
      <c r="F92" s="106" t="s">
        <v>27</v>
      </c>
      <c r="G92" s="60">
        <v>1</v>
      </c>
    </row>
    <row r="93" spans="2:7" ht="21" customHeight="1" x14ac:dyDescent="0.25">
      <c r="B93" s="68">
        <v>4117</v>
      </c>
      <c r="C93" s="57">
        <v>1001062504117</v>
      </c>
      <c r="D93" s="71" t="s">
        <v>136</v>
      </c>
      <c r="E93" s="71"/>
      <c r="F93" s="106" t="s">
        <v>27</v>
      </c>
      <c r="G93" s="60">
        <v>1</v>
      </c>
    </row>
    <row r="94" spans="2:7" ht="21" customHeight="1" x14ac:dyDescent="0.25">
      <c r="B94" s="62">
        <v>7316</v>
      </c>
      <c r="C94" s="59">
        <v>1001060727316</v>
      </c>
      <c r="D94" s="56" t="s">
        <v>137</v>
      </c>
      <c r="E94" s="56"/>
      <c r="F94" s="62" t="s">
        <v>39</v>
      </c>
      <c r="G94" s="63">
        <v>0.54</v>
      </c>
    </row>
    <row r="95" spans="2:7" ht="21" customHeight="1" x14ac:dyDescent="0.25">
      <c r="B95" s="62">
        <v>7317</v>
      </c>
      <c r="C95" s="59">
        <v>1001066567317</v>
      </c>
      <c r="D95" s="56" t="s">
        <v>138</v>
      </c>
      <c r="E95" s="56"/>
      <c r="F95" s="62" t="s">
        <v>39</v>
      </c>
      <c r="G95" s="63">
        <v>0.54</v>
      </c>
    </row>
    <row r="96" spans="2:7" ht="21" customHeight="1" x14ac:dyDescent="0.25">
      <c r="B96" s="62">
        <v>7143</v>
      </c>
      <c r="C96" s="59">
        <v>1001060717143</v>
      </c>
      <c r="D96" s="56" t="s">
        <v>139</v>
      </c>
      <c r="E96" s="56"/>
      <c r="F96" s="62" t="s">
        <v>39</v>
      </c>
      <c r="G96" s="63">
        <v>0.22</v>
      </c>
    </row>
    <row r="97" spans="2:7" ht="21" customHeight="1" x14ac:dyDescent="0.25">
      <c r="B97" s="62">
        <v>7147</v>
      </c>
      <c r="C97" s="59">
        <v>1001063237147</v>
      </c>
      <c r="D97" s="56" t="s">
        <v>140</v>
      </c>
      <c r="E97" s="56"/>
      <c r="F97" s="62" t="s">
        <v>39</v>
      </c>
      <c r="G97" s="63">
        <v>0.22</v>
      </c>
    </row>
    <row r="98" spans="2:7" ht="21" customHeight="1" x14ac:dyDescent="0.25">
      <c r="B98" s="62">
        <v>7456</v>
      </c>
      <c r="C98" s="59">
        <v>1001063097456</v>
      </c>
      <c r="D98" s="56" t="s">
        <v>141</v>
      </c>
      <c r="E98" s="56"/>
      <c r="F98" s="62" t="s">
        <v>39</v>
      </c>
      <c r="G98" s="63">
        <v>0.15</v>
      </c>
    </row>
    <row r="99" spans="2:7" ht="21" customHeight="1" x14ac:dyDescent="0.25">
      <c r="B99" s="62">
        <v>7318</v>
      </c>
      <c r="C99" s="59">
        <v>1001060727318</v>
      </c>
      <c r="D99" s="56" t="s">
        <v>142</v>
      </c>
      <c r="E99" s="56"/>
      <c r="F99" s="62" t="s">
        <v>39</v>
      </c>
      <c r="G99" s="63">
        <v>0.27</v>
      </c>
    </row>
    <row r="100" spans="2:7" ht="21" customHeight="1" x14ac:dyDescent="0.25">
      <c r="B100" s="68">
        <v>3986</v>
      </c>
      <c r="C100" s="57">
        <v>1001061973986</v>
      </c>
      <c r="D100" s="71" t="s">
        <v>143</v>
      </c>
      <c r="E100" s="71"/>
      <c r="F100" s="106" t="s">
        <v>39</v>
      </c>
      <c r="G100" s="60">
        <v>0.25</v>
      </c>
    </row>
    <row r="101" spans="2:7" ht="21" customHeight="1" x14ac:dyDescent="0.25">
      <c r="B101" s="62">
        <v>7364</v>
      </c>
      <c r="C101" s="59">
        <v>1001063217364</v>
      </c>
      <c r="D101" s="56" t="s">
        <v>144</v>
      </c>
      <c r="E101" s="56"/>
      <c r="F101" s="62" t="s">
        <v>39</v>
      </c>
      <c r="G101" s="63">
        <v>0.22</v>
      </c>
    </row>
    <row r="102" spans="2:7" ht="21" customHeight="1" x14ac:dyDescent="0.25">
      <c r="B102" s="62">
        <v>7383</v>
      </c>
      <c r="C102" s="59">
        <v>1001065467383</v>
      </c>
      <c r="D102" s="56" t="s">
        <v>145</v>
      </c>
      <c r="E102" s="56"/>
      <c r="F102" s="62" t="s">
        <v>39</v>
      </c>
      <c r="G102" s="63">
        <v>0.22</v>
      </c>
    </row>
    <row r="103" spans="2:7" ht="21" customHeight="1" x14ac:dyDescent="0.25">
      <c r="B103" s="106">
        <v>6967</v>
      </c>
      <c r="C103" s="55">
        <v>1001063656967</v>
      </c>
      <c r="D103" s="71" t="s">
        <v>146</v>
      </c>
      <c r="E103" s="71"/>
      <c r="F103" s="106" t="s">
        <v>39</v>
      </c>
      <c r="G103" s="60">
        <v>0.25</v>
      </c>
    </row>
    <row r="104" spans="2:7" ht="21" customHeight="1" x14ac:dyDescent="0.25">
      <c r="B104" s="62">
        <v>4993</v>
      </c>
      <c r="C104" s="59">
        <v>1001060764993</v>
      </c>
      <c r="D104" s="56" t="s">
        <v>147</v>
      </c>
      <c r="E104" s="56"/>
      <c r="F104" s="62" t="s">
        <v>39</v>
      </c>
      <c r="G104" s="63">
        <v>0.25</v>
      </c>
    </row>
    <row r="105" spans="2:7" ht="21" customHeight="1" x14ac:dyDescent="0.25">
      <c r="B105" s="62">
        <v>6937</v>
      </c>
      <c r="C105" s="59">
        <v>1001063106937</v>
      </c>
      <c r="D105" s="56" t="s">
        <v>148</v>
      </c>
      <c r="E105" s="56"/>
      <c r="F105" s="62" t="s">
        <v>39</v>
      </c>
      <c r="G105" s="63">
        <v>0.25</v>
      </c>
    </row>
    <row r="106" spans="2:7" ht="21" customHeight="1" x14ac:dyDescent="0.25">
      <c r="B106" s="62">
        <v>5483</v>
      </c>
      <c r="C106" s="59">
        <v>1001062505483</v>
      </c>
      <c r="D106" s="56" t="s">
        <v>149</v>
      </c>
      <c r="E106" s="56"/>
      <c r="F106" s="62" t="s">
        <v>39</v>
      </c>
      <c r="G106" s="63">
        <v>0.25</v>
      </c>
    </row>
    <row r="107" spans="2:7" ht="21" customHeight="1" x14ac:dyDescent="0.25">
      <c r="B107" s="62">
        <v>5931</v>
      </c>
      <c r="C107" s="59">
        <v>1001060755931</v>
      </c>
      <c r="D107" s="56" t="s">
        <v>150</v>
      </c>
      <c r="E107" s="56"/>
      <c r="F107" s="62" t="s">
        <v>39</v>
      </c>
      <c r="G107" s="63">
        <v>0.22</v>
      </c>
    </row>
    <row r="108" spans="2:7" ht="21" customHeight="1" x14ac:dyDescent="0.25">
      <c r="B108" s="62">
        <v>7417</v>
      </c>
      <c r="C108" s="59">
        <v>1001307147417</v>
      </c>
      <c r="D108" s="56" t="s">
        <v>213</v>
      </c>
      <c r="E108" s="56"/>
      <c r="F108" s="63" t="s">
        <v>39</v>
      </c>
      <c r="G108" s="63">
        <v>0.44</v>
      </c>
    </row>
    <row r="109" spans="2:7" ht="21" customHeight="1" x14ac:dyDescent="0.25">
      <c r="B109" s="62">
        <v>6832</v>
      </c>
      <c r="C109" s="59">
        <v>1001065616832</v>
      </c>
      <c r="D109" s="56" t="s">
        <v>151</v>
      </c>
      <c r="E109" s="56"/>
      <c r="F109" s="62" t="s">
        <v>27</v>
      </c>
      <c r="G109" s="63">
        <v>1</v>
      </c>
    </row>
    <row r="110" spans="2:7" ht="21" customHeight="1" x14ac:dyDescent="0.25">
      <c r="B110" s="62">
        <v>7299</v>
      </c>
      <c r="C110" s="59">
        <v>1001060677299</v>
      </c>
      <c r="D110" s="56" t="s">
        <v>152</v>
      </c>
      <c r="E110" s="56"/>
      <c r="F110" s="62" t="s">
        <v>27</v>
      </c>
      <c r="G110" s="63">
        <v>1</v>
      </c>
    </row>
    <row r="111" spans="2:7" ht="21" customHeight="1" x14ac:dyDescent="0.25">
      <c r="B111" s="62">
        <v>7386</v>
      </c>
      <c r="C111" s="59">
        <v>1001067017386</v>
      </c>
      <c r="D111" s="56" t="s">
        <v>153</v>
      </c>
      <c r="E111" s="73"/>
      <c r="F111" s="62" t="s">
        <v>39</v>
      </c>
      <c r="G111" s="63">
        <v>0.15</v>
      </c>
    </row>
    <row r="112" spans="2:7" ht="23.25" customHeight="1" x14ac:dyDescent="0.25">
      <c r="B112" s="99"/>
      <c r="C112" s="100"/>
      <c r="D112" s="101" t="s">
        <v>214</v>
      </c>
      <c r="E112" s="102"/>
      <c r="F112" s="103"/>
      <c r="G112" s="104"/>
    </row>
    <row r="113" spans="2:7" ht="21" customHeight="1" x14ac:dyDescent="0.25">
      <c r="B113" s="106">
        <v>6527</v>
      </c>
      <c r="C113" s="55">
        <v>1001031076527</v>
      </c>
      <c r="D113" s="71" t="s">
        <v>94</v>
      </c>
      <c r="E113" s="71"/>
      <c r="F113" s="106" t="s">
        <v>27</v>
      </c>
      <c r="G113" s="60">
        <v>1</v>
      </c>
    </row>
    <row r="114" spans="2:7" ht="21" customHeight="1" x14ac:dyDescent="0.25">
      <c r="B114" s="68">
        <v>6550</v>
      </c>
      <c r="C114" s="57">
        <v>1001032736550</v>
      </c>
      <c r="D114" s="71" t="s">
        <v>95</v>
      </c>
      <c r="E114" s="71"/>
      <c r="F114" s="106" t="s">
        <v>27</v>
      </c>
      <c r="G114" s="60">
        <v>1</v>
      </c>
    </row>
    <row r="115" spans="2:7" ht="21" customHeight="1" x14ac:dyDescent="0.25">
      <c r="B115" s="68">
        <v>6549</v>
      </c>
      <c r="C115" s="57">
        <v>1001032736549</v>
      </c>
      <c r="D115" s="71" t="s">
        <v>96</v>
      </c>
      <c r="E115" s="73"/>
      <c r="F115" s="106" t="s">
        <v>27</v>
      </c>
      <c r="G115" s="60">
        <v>1</v>
      </c>
    </row>
    <row r="116" spans="2:7" ht="21" customHeight="1" x14ac:dyDescent="0.25">
      <c r="B116" s="106">
        <v>7001</v>
      </c>
      <c r="C116" s="55">
        <v>1001035937001</v>
      </c>
      <c r="D116" s="71" t="s">
        <v>97</v>
      </c>
      <c r="E116" s="71"/>
      <c r="F116" s="106" t="s">
        <v>27</v>
      </c>
      <c r="G116" s="60">
        <v>1</v>
      </c>
    </row>
    <row r="117" spans="2:7" ht="21" customHeight="1" x14ac:dyDescent="0.25">
      <c r="B117" s="68">
        <v>6608</v>
      </c>
      <c r="C117" s="57">
        <v>1001033856608</v>
      </c>
      <c r="D117" s="71" t="s">
        <v>98</v>
      </c>
      <c r="E117" s="71"/>
      <c r="F117" s="106" t="s">
        <v>27</v>
      </c>
      <c r="G117" s="60">
        <v>1</v>
      </c>
    </row>
    <row r="118" spans="2:7" ht="21" customHeight="1" x14ac:dyDescent="0.25">
      <c r="B118" s="62">
        <v>7059</v>
      </c>
      <c r="C118" s="74">
        <v>1001035277059</v>
      </c>
      <c r="D118" s="56" t="s">
        <v>99</v>
      </c>
      <c r="E118" s="73"/>
      <c r="F118" s="62" t="s">
        <v>39</v>
      </c>
      <c r="G118" s="63">
        <v>0.3</v>
      </c>
    </row>
    <row r="119" spans="2:7" ht="21" customHeight="1" x14ac:dyDescent="0.25">
      <c r="B119" s="62">
        <v>6609</v>
      </c>
      <c r="C119" s="59">
        <v>1001033856609</v>
      </c>
      <c r="D119" s="56" t="s">
        <v>100</v>
      </c>
      <c r="E119" s="56"/>
      <c r="F119" s="62" t="s">
        <v>39</v>
      </c>
      <c r="G119" s="63">
        <v>0.4</v>
      </c>
    </row>
    <row r="120" spans="2:7" ht="23.25" customHeight="1" x14ac:dyDescent="0.25">
      <c r="B120" s="66"/>
      <c r="C120" s="93"/>
      <c r="D120" s="94" t="s">
        <v>215</v>
      </c>
      <c r="E120" s="95"/>
      <c r="F120" s="96"/>
      <c r="G120" s="97"/>
    </row>
    <row r="121" spans="2:7" ht="21" customHeight="1" x14ac:dyDescent="0.25">
      <c r="B121" s="68">
        <v>6767</v>
      </c>
      <c r="C121" s="57">
        <v>1001023696767</v>
      </c>
      <c r="D121" s="71" t="s">
        <v>56</v>
      </c>
      <c r="E121" s="71"/>
      <c r="F121" s="106" t="s">
        <v>27</v>
      </c>
      <c r="G121" s="60">
        <v>1</v>
      </c>
    </row>
    <row r="122" spans="2:7" ht="21" customHeight="1" x14ac:dyDescent="0.25">
      <c r="B122" s="62">
        <v>6761</v>
      </c>
      <c r="C122" s="59">
        <v>1001020836761</v>
      </c>
      <c r="D122" s="56" t="s">
        <v>57</v>
      </c>
      <c r="E122" s="56"/>
      <c r="F122" s="62" t="s">
        <v>27</v>
      </c>
      <c r="G122" s="63">
        <v>1</v>
      </c>
    </row>
    <row r="123" spans="2:7" ht="21" customHeight="1" x14ac:dyDescent="0.25">
      <c r="B123" s="62">
        <v>6764</v>
      </c>
      <c r="C123" s="59">
        <v>1001020846764</v>
      </c>
      <c r="D123" s="56" t="s">
        <v>58</v>
      </c>
      <c r="E123" s="56"/>
      <c r="F123" s="62" t="s">
        <v>27</v>
      </c>
      <c r="G123" s="63">
        <v>1</v>
      </c>
    </row>
    <row r="124" spans="2:7" ht="21" customHeight="1" x14ac:dyDescent="0.25">
      <c r="B124" s="68">
        <v>6254</v>
      </c>
      <c r="C124" s="57">
        <v>1001022556254</v>
      </c>
      <c r="D124" s="71" t="s">
        <v>59</v>
      </c>
      <c r="E124" s="71"/>
      <c r="F124" s="106" t="s">
        <v>27</v>
      </c>
      <c r="G124" s="60">
        <v>1</v>
      </c>
    </row>
    <row r="125" spans="2:7" ht="21" customHeight="1" x14ac:dyDescent="0.25">
      <c r="B125" s="62">
        <v>7075</v>
      </c>
      <c r="C125" s="59">
        <v>1001022657075</v>
      </c>
      <c r="D125" s="56" t="s">
        <v>60</v>
      </c>
      <c r="E125" s="56"/>
      <c r="F125" s="62" t="s">
        <v>27</v>
      </c>
      <c r="G125" s="63">
        <v>1</v>
      </c>
    </row>
    <row r="126" spans="2:7" ht="21" customHeight="1" x14ac:dyDescent="0.25">
      <c r="B126" s="106">
        <v>7083</v>
      </c>
      <c r="C126" s="59">
        <v>1001022467083</v>
      </c>
      <c r="D126" s="56" t="s">
        <v>61</v>
      </c>
      <c r="E126" s="71"/>
      <c r="F126" s="62" t="s">
        <v>27</v>
      </c>
      <c r="G126" s="63">
        <v>1</v>
      </c>
    </row>
    <row r="127" spans="2:7" ht="21" customHeight="1" x14ac:dyDescent="0.25">
      <c r="B127" s="68">
        <v>6829</v>
      </c>
      <c r="C127" s="57">
        <v>1001024976829</v>
      </c>
      <c r="D127" s="71" t="s">
        <v>62</v>
      </c>
      <c r="E127" s="71"/>
      <c r="F127" s="106" t="s">
        <v>27</v>
      </c>
      <c r="G127" s="60">
        <v>1</v>
      </c>
    </row>
    <row r="128" spans="2:7" ht="21" customHeight="1" x14ac:dyDescent="0.25">
      <c r="B128" s="106">
        <v>7070</v>
      </c>
      <c r="C128" s="57">
        <v>1001022377070</v>
      </c>
      <c r="D128" s="71" t="s">
        <v>63</v>
      </c>
      <c r="E128" s="71"/>
      <c r="F128" s="106" t="s">
        <v>27</v>
      </c>
      <c r="G128" s="60">
        <v>1</v>
      </c>
    </row>
    <row r="129" spans="2:7" ht="21" customHeight="1" x14ac:dyDescent="0.25">
      <c r="B129" s="68">
        <v>7076</v>
      </c>
      <c r="C129" s="57">
        <v>1001022657076</v>
      </c>
      <c r="D129" s="71" t="s">
        <v>64</v>
      </c>
      <c r="E129" s="71"/>
      <c r="F129" s="106" t="s">
        <v>27</v>
      </c>
      <c r="G129" s="60">
        <v>1</v>
      </c>
    </row>
    <row r="130" spans="2:7" ht="21" customHeight="1" x14ac:dyDescent="0.25">
      <c r="B130" s="62">
        <v>7271</v>
      </c>
      <c r="C130" s="59">
        <v>1001025507271</v>
      </c>
      <c r="D130" s="56" t="s">
        <v>65</v>
      </c>
      <c r="E130" s="56"/>
      <c r="F130" s="62" t="s">
        <v>27</v>
      </c>
      <c r="G130" s="63">
        <v>1</v>
      </c>
    </row>
    <row r="131" spans="2:7" ht="21" customHeight="1" x14ac:dyDescent="0.25">
      <c r="B131" s="68">
        <v>6303</v>
      </c>
      <c r="C131" s="57">
        <v>1001022726303</v>
      </c>
      <c r="D131" s="71" t="s">
        <v>66</v>
      </c>
      <c r="E131" s="71"/>
      <c r="F131" s="106" t="s">
        <v>27</v>
      </c>
      <c r="G131" s="60">
        <v>1</v>
      </c>
    </row>
    <row r="132" spans="2:7" ht="21" customHeight="1" x14ac:dyDescent="0.25">
      <c r="B132" s="68">
        <v>6661</v>
      </c>
      <c r="C132" s="57">
        <v>1001022246661</v>
      </c>
      <c r="D132" s="71" t="s">
        <v>67</v>
      </c>
      <c r="E132" s="71"/>
      <c r="F132" s="106" t="s">
        <v>27</v>
      </c>
      <c r="G132" s="60">
        <v>1</v>
      </c>
    </row>
    <row r="133" spans="2:7" ht="21" customHeight="1" x14ac:dyDescent="0.25">
      <c r="B133" s="62">
        <v>6759</v>
      </c>
      <c r="C133" s="59">
        <v>1001020836759</v>
      </c>
      <c r="D133" s="56" t="s">
        <v>68</v>
      </c>
      <c r="E133" s="56"/>
      <c r="F133" s="62" t="s">
        <v>39</v>
      </c>
      <c r="G133" s="63">
        <v>0.4</v>
      </c>
    </row>
    <row r="134" spans="2:7" ht="21" customHeight="1" x14ac:dyDescent="0.25">
      <c r="B134" s="62">
        <v>6762</v>
      </c>
      <c r="C134" s="59">
        <v>1001020846762</v>
      </c>
      <c r="D134" s="56" t="s">
        <v>69</v>
      </c>
      <c r="E134" s="56"/>
      <c r="F134" s="62" t="s">
        <v>39</v>
      </c>
      <c r="G134" s="63">
        <v>0.41</v>
      </c>
    </row>
    <row r="135" spans="2:7" ht="21" customHeight="1" x14ac:dyDescent="0.25">
      <c r="B135" s="68">
        <v>6765</v>
      </c>
      <c r="C135" s="57">
        <v>1001023696765</v>
      </c>
      <c r="D135" s="71" t="s">
        <v>70</v>
      </c>
      <c r="E135" s="71"/>
      <c r="F135" s="106" t="s">
        <v>39</v>
      </c>
      <c r="G135" s="60">
        <v>0.36</v>
      </c>
    </row>
    <row r="136" spans="2:7" ht="21" customHeight="1" x14ac:dyDescent="0.25">
      <c r="B136" s="62">
        <v>7074</v>
      </c>
      <c r="C136" s="55">
        <v>1001022657074</v>
      </c>
      <c r="D136" s="56" t="s">
        <v>71</v>
      </c>
      <c r="E136" s="56"/>
      <c r="F136" s="62" t="s">
        <v>39</v>
      </c>
      <c r="G136" s="63">
        <v>0.6</v>
      </c>
    </row>
    <row r="137" spans="2:7" ht="21" customHeight="1" x14ac:dyDescent="0.25">
      <c r="B137" s="62">
        <v>7123</v>
      </c>
      <c r="C137" s="59">
        <v>1001020867123</v>
      </c>
      <c r="D137" s="56" t="s">
        <v>72</v>
      </c>
      <c r="E137" s="71"/>
      <c r="F137" s="106" t="s">
        <v>39</v>
      </c>
      <c r="G137" s="60">
        <v>0.3</v>
      </c>
    </row>
    <row r="138" spans="2:7" ht="21" customHeight="1" x14ac:dyDescent="0.25">
      <c r="B138" s="68">
        <v>5819</v>
      </c>
      <c r="C138" s="57">
        <v>1001022725819</v>
      </c>
      <c r="D138" s="71" t="s">
        <v>73</v>
      </c>
      <c r="E138" s="71"/>
      <c r="F138" s="106" t="s">
        <v>39</v>
      </c>
      <c r="G138" s="60">
        <v>0.4</v>
      </c>
    </row>
    <row r="139" spans="2:7" ht="21" customHeight="1" x14ac:dyDescent="0.25">
      <c r="B139" s="62">
        <v>6475</v>
      </c>
      <c r="C139" s="55">
        <v>1001025176475</v>
      </c>
      <c r="D139" s="56" t="s">
        <v>74</v>
      </c>
      <c r="E139" s="56"/>
      <c r="F139" s="106" t="s">
        <v>39</v>
      </c>
      <c r="G139" s="60">
        <v>0.4</v>
      </c>
    </row>
    <row r="140" spans="2:7" ht="21" customHeight="1" x14ac:dyDescent="0.25">
      <c r="B140" s="109">
        <v>7284</v>
      </c>
      <c r="C140" s="74">
        <v>1001025767284</v>
      </c>
      <c r="D140" s="98" t="s">
        <v>75</v>
      </c>
      <c r="E140" s="98"/>
      <c r="F140" s="107" t="s">
        <v>39</v>
      </c>
      <c r="G140" s="108">
        <v>0.33</v>
      </c>
    </row>
    <row r="141" spans="2:7" ht="21" customHeight="1" x14ac:dyDescent="0.25">
      <c r="B141" s="62">
        <v>7601</v>
      </c>
      <c r="C141" s="59">
        <v>1001025767601</v>
      </c>
      <c r="D141" s="56" t="s">
        <v>76</v>
      </c>
      <c r="E141" s="73"/>
      <c r="F141" s="62" t="s">
        <v>39</v>
      </c>
      <c r="G141" s="63">
        <v>0.26</v>
      </c>
    </row>
    <row r="142" spans="2:7" ht="21" customHeight="1" x14ac:dyDescent="0.25">
      <c r="B142" s="109">
        <v>7461</v>
      </c>
      <c r="C142" s="75">
        <v>1001025767461</v>
      </c>
      <c r="D142" s="98" t="s">
        <v>77</v>
      </c>
      <c r="E142" s="73"/>
      <c r="F142" s="109" t="s">
        <v>39</v>
      </c>
      <c r="G142" s="77">
        <v>0.33</v>
      </c>
    </row>
    <row r="143" spans="2:7" ht="21" customHeight="1" x14ac:dyDescent="0.25">
      <c r="B143" s="62">
        <v>7371</v>
      </c>
      <c r="C143" s="59">
        <v>1001026947371</v>
      </c>
      <c r="D143" s="56" t="s">
        <v>79</v>
      </c>
      <c r="E143" s="70"/>
      <c r="F143" s="62" t="s">
        <v>39</v>
      </c>
      <c r="G143" s="63">
        <v>0.3</v>
      </c>
    </row>
    <row r="144" spans="2:7" ht="21" customHeight="1" x14ac:dyDescent="0.25">
      <c r="B144" s="109">
        <v>6837</v>
      </c>
      <c r="C144" s="75">
        <v>1001022556837</v>
      </c>
      <c r="D144" s="98" t="s">
        <v>80</v>
      </c>
      <c r="E144" s="98"/>
      <c r="F144" s="107" t="s">
        <v>39</v>
      </c>
      <c r="G144" s="108">
        <v>0.4</v>
      </c>
    </row>
    <row r="145" spans="2:7" ht="21" customHeight="1" x14ac:dyDescent="0.25">
      <c r="B145" s="109">
        <v>7080</v>
      </c>
      <c r="C145" s="75">
        <v>1001022467080</v>
      </c>
      <c r="D145" s="76" t="s">
        <v>81</v>
      </c>
      <c r="E145" s="76"/>
      <c r="F145" s="109" t="s">
        <v>39</v>
      </c>
      <c r="G145" s="77">
        <v>0.41</v>
      </c>
    </row>
    <row r="146" spans="2:7" ht="21" customHeight="1" x14ac:dyDescent="0.25">
      <c r="B146" s="62">
        <v>6724</v>
      </c>
      <c r="C146" s="59">
        <v>1001020836724</v>
      </c>
      <c r="D146" s="56" t="s">
        <v>82</v>
      </c>
      <c r="E146" s="56"/>
      <c r="F146" s="62" t="s">
        <v>39</v>
      </c>
      <c r="G146" s="63">
        <v>0.41</v>
      </c>
    </row>
    <row r="147" spans="2:7" ht="21" customHeight="1" x14ac:dyDescent="0.25">
      <c r="B147" s="62">
        <v>7066</v>
      </c>
      <c r="C147" s="59">
        <v>1001022377066</v>
      </c>
      <c r="D147" s="56" t="s">
        <v>83</v>
      </c>
      <c r="E147" s="56"/>
      <c r="F147" s="62" t="s">
        <v>39</v>
      </c>
      <c r="G147" s="63">
        <v>0.41</v>
      </c>
    </row>
    <row r="148" spans="2:7" ht="21" customHeight="1" x14ac:dyDescent="0.25">
      <c r="B148" s="68">
        <v>6713</v>
      </c>
      <c r="C148" s="55">
        <v>1001022246713</v>
      </c>
      <c r="D148" s="56" t="s">
        <v>84</v>
      </c>
      <c r="E148" s="56"/>
      <c r="F148" s="106" t="s">
        <v>39</v>
      </c>
      <c r="G148" s="60">
        <v>0.41</v>
      </c>
    </row>
    <row r="149" spans="2:7" ht="21" customHeight="1" x14ac:dyDescent="0.25">
      <c r="B149" s="62">
        <v>7255</v>
      </c>
      <c r="C149" s="59">
        <v>1001025507255</v>
      </c>
      <c r="D149" s="56" t="s">
        <v>85</v>
      </c>
      <c r="E149" s="71"/>
      <c r="F149" s="62" t="s">
        <v>39</v>
      </c>
      <c r="G149" s="63">
        <v>0.4</v>
      </c>
    </row>
    <row r="150" spans="2:7" ht="21" customHeight="1" x14ac:dyDescent="0.25">
      <c r="B150" s="62">
        <v>6602</v>
      </c>
      <c r="C150" s="59">
        <v>1001021966602</v>
      </c>
      <c r="D150" s="56" t="s">
        <v>86</v>
      </c>
      <c r="E150" s="56"/>
      <c r="F150" s="62" t="s">
        <v>39</v>
      </c>
      <c r="G150" s="63">
        <v>0.35</v>
      </c>
    </row>
    <row r="151" spans="2:7" ht="21" customHeight="1" x14ac:dyDescent="0.25">
      <c r="B151" s="62">
        <v>7073</v>
      </c>
      <c r="C151" s="59">
        <v>1001022657073</v>
      </c>
      <c r="D151" s="56" t="s">
        <v>87</v>
      </c>
      <c r="E151" s="56"/>
      <c r="F151" s="62" t="s">
        <v>39</v>
      </c>
      <c r="G151" s="63">
        <v>0.35</v>
      </c>
    </row>
    <row r="152" spans="2:7" ht="21" customHeight="1" x14ac:dyDescent="0.25">
      <c r="B152" s="109">
        <v>7276</v>
      </c>
      <c r="C152" s="75">
        <v>1001022467276</v>
      </c>
      <c r="D152" s="76" t="s">
        <v>88</v>
      </c>
      <c r="E152" s="76"/>
      <c r="F152" s="109" t="s">
        <v>39</v>
      </c>
      <c r="G152" s="77">
        <v>0.3</v>
      </c>
    </row>
    <row r="153" spans="2:7" ht="21" customHeight="1" x14ac:dyDescent="0.25">
      <c r="B153" s="62">
        <v>6616</v>
      </c>
      <c r="C153" s="55">
        <v>1001024976616</v>
      </c>
      <c r="D153" s="56" t="s">
        <v>89</v>
      </c>
      <c r="E153" s="56"/>
      <c r="F153" s="62" t="s">
        <v>39</v>
      </c>
      <c r="G153" s="63">
        <v>0.3</v>
      </c>
    </row>
    <row r="154" spans="2:7" ht="21" customHeight="1" x14ac:dyDescent="0.25">
      <c r="B154" s="62">
        <v>7385</v>
      </c>
      <c r="C154" s="59">
        <v>1001027067385</v>
      </c>
      <c r="D154" s="70" t="s">
        <v>90</v>
      </c>
      <c r="E154" s="56"/>
      <c r="F154" s="62" t="s">
        <v>39</v>
      </c>
      <c r="G154" s="63">
        <v>0.33</v>
      </c>
    </row>
    <row r="155" spans="2:7" ht="21" customHeight="1" x14ac:dyDescent="0.25">
      <c r="B155" s="109">
        <v>7044</v>
      </c>
      <c r="C155" s="75">
        <v>1001025167044</v>
      </c>
      <c r="D155" s="76" t="s">
        <v>91</v>
      </c>
      <c r="E155" s="73"/>
      <c r="F155" s="62" t="s">
        <v>39</v>
      </c>
      <c r="G155" s="77">
        <v>0.32</v>
      </c>
    </row>
    <row r="156" spans="2:7" ht="21" customHeight="1" x14ac:dyDescent="0.25">
      <c r="B156" s="109">
        <v>7460</v>
      </c>
      <c r="C156" s="75">
        <v>1001027247460</v>
      </c>
      <c r="D156" s="76" t="s">
        <v>92</v>
      </c>
      <c r="E156" s="73"/>
      <c r="F156" s="62" t="s">
        <v>39</v>
      </c>
      <c r="G156" s="77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26:B27 B45 B50 B77:B78 B89 B120:B123 B125:B127">
    <cfRule type="duplicateValues" dxfId="360" priority="285"/>
  </conditionalFormatting>
  <conditionalFormatting sqref="B26:B27 B45 B50 B77:B78 B89 B120:B123 B127">
    <cfRule type="duplicateValues" dxfId="359" priority="289"/>
  </conditionalFormatting>
  <conditionalFormatting sqref="B127">
    <cfRule type="duplicateValues" dxfId="358" priority="292"/>
    <cfRule type="duplicateValues" dxfId="357" priority="290"/>
  </conditionalFormatting>
  <conditionalFormatting sqref="B26:C27 B45:C45 B50:C50 B77:C78 B89:C89 B120:C123 B127:C127 C124">
    <cfRule type="duplicateValues" dxfId="356" priority="291"/>
  </conditionalFormatting>
  <conditionalFormatting sqref="B2">
    <cfRule type="duplicateValues" dxfId="355" priority="284"/>
  </conditionalFormatting>
  <conditionalFormatting sqref="B2 B4:B6">
    <cfRule type="duplicateValues" dxfId="354" priority="293"/>
  </conditionalFormatting>
  <conditionalFormatting sqref="B80">
    <cfRule type="duplicateValues" dxfId="353" priority="282"/>
    <cfRule type="duplicateValues" dxfId="352" priority="281"/>
    <cfRule type="duplicateValues" dxfId="351" priority="279"/>
    <cfRule type="duplicateValues" dxfId="350" priority="280"/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  <cfRule type="duplicateValues" dxfId="342" priority="273"/>
    <cfRule type="duplicateValues" dxfId="341" priority="274"/>
  </conditionalFormatting>
  <conditionalFormatting sqref="B81">
    <cfRule type="duplicateValues" dxfId="340" priority="294"/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  <cfRule type="duplicateValues" dxfId="323" priority="265"/>
    <cfRule type="duplicateValues" dxfId="322" priority="266"/>
    <cfRule type="duplicateValues" dxfId="321" priority="268"/>
    <cfRule type="duplicateValues" dxfId="320" priority="269"/>
    <cfRule type="duplicateValues" dxfId="319" priority="270"/>
  </conditionalFormatting>
  <conditionalFormatting sqref="B41:C44">
    <cfRule type="duplicateValues" dxfId="318" priority="267"/>
  </conditionalFormatting>
  <conditionalFormatting sqref="B10">
    <cfRule type="duplicateValues" dxfId="317" priority="260"/>
    <cfRule type="duplicateValues" dxfId="316" priority="261"/>
    <cfRule type="duplicateValues" dxfId="315" priority="262"/>
    <cfRule type="duplicateValues" dxfId="314" priority="263"/>
  </conditionalFormatting>
  <conditionalFormatting sqref="B29:B31">
    <cfRule type="duplicateValues" dxfId="313" priority="256"/>
    <cfRule type="duplicateValues" dxfId="312" priority="257"/>
    <cfRule type="duplicateValues" dxfId="311" priority="258"/>
    <cfRule type="duplicateValues" dxfId="310" priority="259"/>
  </conditionalFormatting>
  <conditionalFormatting sqref="B37:B39">
    <cfRule type="duplicateValues" dxfId="309" priority="241"/>
    <cfRule type="duplicateValues" dxfId="308" priority="242"/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  <cfRule type="duplicateValues" dxfId="293" priority="238"/>
    <cfRule type="duplicateValues" dxfId="292" priority="239"/>
    <cfRule type="duplicateValues" dxfId="291" priority="240"/>
  </conditionalFormatting>
  <conditionalFormatting sqref="B54:B58 B60">
    <cfRule type="duplicateValues" dxfId="290" priority="229"/>
  </conditionalFormatting>
  <conditionalFormatting sqref="B60">
    <cfRule type="duplicateValues" dxfId="289" priority="230"/>
    <cfRule type="duplicateValues" dxfId="288" priority="231"/>
    <cfRule type="duplicateValues" dxfId="287" priority="236"/>
  </conditionalFormatting>
  <conditionalFormatting sqref="B53">
    <cfRule type="duplicateValues" dxfId="286" priority="232"/>
    <cfRule type="duplicateValues" dxfId="285" priority="233"/>
    <cfRule type="duplicateValues" dxfId="284" priority="234"/>
    <cfRule type="duplicateValues" dxfId="283" priority="235"/>
  </conditionalFormatting>
  <conditionalFormatting sqref="B82:B84">
    <cfRule type="duplicateValues" dxfId="282" priority="225"/>
    <cfRule type="duplicateValues" dxfId="281" priority="226"/>
    <cfRule type="duplicateValues" dxfId="280" priority="227"/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  <cfRule type="duplicateValues" dxfId="264" priority="217"/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  <cfRule type="duplicateValues" dxfId="249" priority="197"/>
  </conditionalFormatting>
  <conditionalFormatting sqref="B128:B132 B135:B137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  <cfRule type="duplicateValues" dxfId="245" priority="314"/>
  </conditionalFormatting>
  <conditionalFormatting sqref="B93:B95">
    <cfRule type="duplicateValues" dxfId="244" priority="313"/>
  </conditionalFormatting>
  <conditionalFormatting sqref="B14 B17 B19:B22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  <cfRule type="duplicateValues" dxfId="239" priority="188"/>
    <cfRule type="duplicateValues" dxfId="238" priority="189"/>
    <cfRule type="duplicateValues" dxfId="237" priority="191"/>
  </conditionalFormatting>
  <conditionalFormatting sqref="B33">
    <cfRule type="duplicateValues" dxfId="236" priority="187"/>
    <cfRule type="duplicateValues" dxfId="235" priority="184"/>
    <cfRule type="duplicateValues" dxfId="234" priority="185"/>
    <cfRule type="duplicateValues" dxfId="233" priority="186"/>
  </conditionalFormatting>
  <conditionalFormatting sqref="B34">
    <cfRule type="duplicateValues" dxfId="232" priority="182"/>
    <cfRule type="duplicateValues" dxfId="231" priority="180"/>
    <cfRule type="duplicateValues" dxfId="230" priority="181"/>
    <cfRule type="duplicateValues" dxfId="229" priority="183"/>
  </conditionalFormatting>
  <conditionalFormatting sqref="B28">
    <cfRule type="duplicateValues" dxfId="228" priority="178"/>
    <cfRule type="duplicateValues" dxfId="227" priority="176"/>
    <cfRule type="duplicateValues" dxfId="226" priority="177"/>
    <cfRule type="duplicateValues" dxfId="225" priority="179"/>
  </conditionalFormatting>
  <conditionalFormatting sqref="B61">
    <cfRule type="duplicateValues" dxfId="224" priority="174"/>
    <cfRule type="duplicateValues" dxfId="223" priority="172"/>
    <cfRule type="duplicateValues" dxfId="222" priority="173"/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  <cfRule type="duplicateValues" dxfId="207" priority="156"/>
    <cfRule type="duplicateValues" dxfId="206" priority="157"/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  <cfRule type="duplicateValues" dxfId="199" priority="148"/>
    <cfRule type="duplicateValues" dxfId="198" priority="149"/>
    <cfRule type="duplicateValues" dxfId="197" priority="151"/>
  </conditionalFormatting>
  <conditionalFormatting sqref="B69">
    <cfRule type="duplicateValues" dxfId="196" priority="146"/>
    <cfRule type="duplicateValues" dxfId="195" priority="144"/>
    <cfRule type="duplicateValues" dxfId="194" priority="145"/>
    <cfRule type="duplicateValues" dxfId="193" priority="147"/>
  </conditionalFormatting>
  <conditionalFormatting sqref="B70">
    <cfRule type="duplicateValues" dxfId="192" priority="139"/>
    <cfRule type="duplicateValues" dxfId="191" priority="140"/>
    <cfRule type="duplicateValues" dxfId="190" priority="141"/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  <cfRule type="duplicateValues" dxfId="165" priority="118"/>
    <cfRule type="duplicateValues" dxfId="164" priority="117"/>
  </conditionalFormatting>
  <conditionalFormatting sqref="B147:B148">
    <cfRule type="duplicateValues" dxfId="163" priority="111"/>
    <cfRule type="duplicateValues" dxfId="162" priority="112"/>
    <cfRule type="duplicateValues" dxfId="161" priority="114"/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  <cfRule type="duplicateValues" dxfId="141" priority="333"/>
  </conditionalFormatting>
  <conditionalFormatting sqref="B13">
    <cfRule type="duplicateValues" dxfId="140" priority="109"/>
    <cfRule type="duplicateValues" dxfId="139" priority="107"/>
    <cfRule type="duplicateValues" dxfId="138" priority="108"/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  <cfRule type="duplicateValues" dxfId="126" priority="106"/>
  </conditionalFormatting>
  <conditionalFormatting sqref="B2 B4:B5">
    <cfRule type="duplicateValues" dxfId="125" priority="334"/>
    <cfRule type="duplicateValues" dxfId="124" priority="335"/>
    <cfRule type="duplicateValues" dxfId="123" priority="336"/>
    <cfRule type="duplicateValues" dxfId="122" priority="337"/>
  </conditionalFormatting>
  <conditionalFormatting sqref="B2:C2 B4:C6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  <cfRule type="duplicateValues" dxfId="118" priority="93"/>
    <cfRule type="duplicateValues" dxfId="117" priority="91"/>
    <cfRule type="duplicateValues" dxfId="116" priority="92"/>
    <cfRule type="duplicateValues" dxfId="115" priority="95"/>
  </conditionalFormatting>
  <conditionalFormatting sqref="B100:B101 B103:B104">
    <cfRule type="duplicateValues" dxfId="114" priority="340"/>
    <cfRule type="duplicateValues" dxfId="113" priority="341"/>
    <cfRule type="duplicateValues" dxfId="112" priority="342"/>
  </conditionalFormatting>
  <conditionalFormatting sqref="B7:B9 B11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  <cfRule type="duplicateValues" dxfId="101" priority="90"/>
  </conditionalFormatting>
  <conditionalFormatting sqref="B109:B110">
    <cfRule type="duplicateValues" dxfId="100" priority="84"/>
    <cfRule type="duplicateValues" dxfId="99" priority="85"/>
    <cfRule type="duplicateValues" dxfId="98" priority="86"/>
  </conditionalFormatting>
  <conditionalFormatting sqref="B35">
    <cfRule type="duplicateValues" dxfId="97" priority="82"/>
    <cfRule type="duplicateValues" dxfId="96" priority="80"/>
    <cfRule type="duplicateValues" dxfId="95" priority="81"/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26:B27 B45 B50 B77:B78 B89 B120:B123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  <cfRule type="duplicateValues" dxfId="84" priority="78"/>
    <cfRule type="duplicateValues" dxfId="83" priority="79"/>
  </conditionalFormatting>
  <conditionalFormatting sqref="B49">
    <cfRule type="duplicateValues" dxfId="82" priority="71"/>
    <cfRule type="duplicateValues" dxfId="81" priority="72"/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  <cfRule type="duplicateValues" dxfId="49" priority="56"/>
    <cfRule type="duplicateValues" dxfId="48" priority="57"/>
  </conditionalFormatting>
  <conditionalFormatting sqref="B141:B142">
    <cfRule type="duplicateValues" dxfId="47" priority="50"/>
    <cfRule type="duplicateValues" dxfId="46" priority="51"/>
    <cfRule type="duplicateValues" dxfId="45" priority="53"/>
    <cfRule type="duplicateValues" dxfId="44" priority="52"/>
  </conditionalFormatting>
  <conditionalFormatting sqref="B111">
    <cfRule type="duplicateValues" dxfId="43" priority="47"/>
    <cfRule type="duplicateValues" dxfId="42" priority="48"/>
    <cfRule type="duplicateValues" dxfId="41" priority="49"/>
  </conditionalFormatting>
  <conditionalFormatting sqref="B138:B140 B144:B145 B152:B153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  <cfRule type="duplicateValues" dxfId="35" priority="19"/>
    <cfRule type="duplicateValues" dxfId="34" priority="20"/>
  </conditionalFormatting>
  <conditionalFormatting sqref="B36">
    <cfRule type="duplicateValues" dxfId="33" priority="15"/>
    <cfRule type="duplicateValues" dxfId="32" priority="13"/>
    <cfRule type="duplicateValues" dxfId="31" priority="14"/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  <cfRule type="duplicateValues" dxfId="9" priority="867"/>
  </conditionalFormatting>
  <conditionalFormatting sqref="B3">
    <cfRule type="duplicateValues" dxfId="8" priority="922"/>
    <cfRule type="duplicateValues" dxfId="7" priority="923"/>
    <cfRule type="duplicateValues" dxfId="6" priority="924"/>
  </conditionalFormatting>
  <conditionalFormatting sqref="B51">
    <cfRule type="duplicateValues" dxfId="5" priority="970"/>
    <cfRule type="duplicateValues" dxfId="4" priority="971"/>
    <cfRule type="duplicateValues" dxfId="3" priority="972"/>
  </conditionalFormatting>
  <conditionalFormatting sqref="B59">
    <cfRule type="duplicateValues" dxfId="2" priority="1018"/>
    <cfRule type="duplicateValues" dxfId="1" priority="1019"/>
    <cfRule type="duplicateValues" dxfId="0" priority="1020"/>
  </conditionalFormatting>
  <dataValidations count="1">
    <dataValidation type="textLength" operator="lessThanOrEqual" allowBlank="1" showInputMessage="1" showErrorMessage="1" sqref="D22 D52:E52 D125:E125 D133:E134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2026-07-15T11:18:07Z</dcterms:modified>
</cp:coreProperties>
</file>