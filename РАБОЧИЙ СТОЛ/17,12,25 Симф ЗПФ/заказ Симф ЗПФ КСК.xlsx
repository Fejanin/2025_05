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3344B104-F73C-4FC6-A281-38B142D1EF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Y270" i="1"/>
  <c r="X270" i="1"/>
  <c r="Z269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Y26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6" i="1"/>
  <c r="X245" i="1"/>
  <c r="BO244" i="1"/>
  <c r="BM244" i="1"/>
  <c r="Z244" i="1"/>
  <c r="Y244" i="1"/>
  <c r="P244" i="1"/>
  <c r="BP243" i="1"/>
  <c r="BO243" i="1"/>
  <c r="BN243" i="1"/>
  <c r="BM243" i="1"/>
  <c r="Z243" i="1"/>
  <c r="Z245" i="1" s="1"/>
  <c r="Y243" i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Y212" i="1"/>
  <c r="X212" i="1"/>
  <c r="Z211" i="1"/>
  <c r="X211" i="1"/>
  <c r="BO210" i="1"/>
  <c r="BM210" i="1"/>
  <c r="Z210" i="1"/>
  <c r="Y210" i="1"/>
  <c r="P210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4" i="1"/>
  <c r="Z193" i="1"/>
  <c r="X193" i="1"/>
  <c r="BO192" i="1"/>
  <c r="BM192" i="1"/>
  <c r="Z192" i="1"/>
  <c r="Y192" i="1"/>
  <c r="P192" i="1"/>
  <c r="Y188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2" i="1" s="1"/>
  <c r="Y113" i="1"/>
  <c r="Y123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3" i="1" s="1"/>
  <c r="BM22" i="1"/>
  <c r="X272" i="1" s="1"/>
  <c r="X274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71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Z276" i="1" s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3" i="1" l="1"/>
  <c r="Y272" i="1"/>
  <c r="Y274" i="1" s="1"/>
  <c r="Y275" i="1"/>
  <c r="A284" i="1"/>
  <c r="B284" i="1" l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<sst xmlns="http://schemas.openxmlformats.org/spreadsheetml/2006/main" count="1231" uniqueCount="397">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</sst>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57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7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7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5" t="str">
        <f>IFERROR(VLOOKUP($D$10,Proxy,2,FALSE),"")</f>
        <v/>
      </c>
      <c r="I10" s="288"/>
      <c r="J10" s="288"/>
      <c r="K10" s="288"/>
      <c r="L10" s="288"/>
      <c r="M10" s="288"/>
      <c r="N10" s="266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7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6" t="s">
        <v>55</v>
      </c>
      <c r="AB17" s="396" t="s">
        <v>56</v>
      </c>
      <c r="AC17" s="396" t="s">
        <v>57</v>
      </c>
      <c r="AD17" s="396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7"/>
      <c r="AB18" s="397"/>
      <c r="AC18" s="397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0</v>
      </c>
      <c r="Y24" s="271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0</v>
      </c>
      <c r="Y28" s="272">
        <f>IFERROR(SUM(Y22:Y27),"0")</f>
        <v>0</v>
      </c>
      <c r="Z28" s="272">
        <f>IFERROR(IF(Z22="",0,Z22),"0")+IFERROR(IF(Z23="",0,Z23),"0")+IFERROR(IF(Z24="",0,Z24),"0")+IFERROR(IF(Z25="",0,Z25),"0")+IFERROR(IF(Z26="",0,Z26),"0")+IFERROR(IF(Z27="",0,Z27),"0")</f>
        <v>0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0</v>
      </c>
      <c r="Y29" s="272">
        <f>IFERROR(SUMPRODUCT(Y22:Y27*H22:H27),"0")</f>
        <v>0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12</v>
      </c>
      <c r="Y33" s="271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12</v>
      </c>
      <c r="Y34" s="272">
        <f>IFERROR(SUM(Y32:Y33),"0")</f>
        <v>12</v>
      </c>
      <c r="Z34" s="272">
        <f>IFERROR(IF(Z32="",0,Z32),"0")+IFERROR(IF(Z33="",0,Z33),"0")</f>
        <v>0.186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76.800000000000011</v>
      </c>
      <c r="Y35" s="272">
        <f>IFERROR(SUMPRODUCT(Y32:Y33*H32:H33),"0")</f>
        <v>76.800000000000011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98</v>
      </c>
      <c r="Y39" s="271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98</v>
      </c>
      <c r="Y41" s="272">
        <f>IFERROR(SUM(Y39:Y40),"0")</f>
        <v>98</v>
      </c>
      <c r="Z41" s="272">
        <f>IFERROR(IF(Z39="",0,Z39),"0")+IFERROR(IF(Z40="",0,Z40),"0")</f>
        <v>0.92218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147</v>
      </c>
      <c r="Y42" s="272">
        <f>IFERROR(SUMPRODUCT(Y39:Y40*H39:H40),"0")</f>
        <v>147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12</v>
      </c>
      <c r="Y52" s="271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48</v>
      </c>
      <c r="Y53" s="271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132</v>
      </c>
      <c r="Y55" s="271">
        <f>IFERROR(IF(X55="","",X55),"")</f>
        <v>132</v>
      </c>
      <c r="Z55" s="36">
        <f>IFERROR(IF(X55="","",X55*0.0155),"")</f>
        <v>2.0459999999999998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963.6</v>
      </c>
      <c r="BN55" s="67">
        <f>IFERROR(Y55*I55,"0")</f>
        <v>963.6</v>
      </c>
      <c r="BO55" s="67">
        <f>IFERROR(X55/J55,"0")</f>
        <v>1.5714285714285714</v>
      </c>
      <c r="BP55" s="67">
        <f>IFERROR(Y55/J55,"0")</f>
        <v>1.5714285714285714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1344</v>
      </c>
      <c r="Y57" s="272">
        <f>IFERROR(SUMPRODUCT(Y52:Y55*H52:H55),"0")</f>
        <v>1344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4"/>
      <c r="AB59" s="264"/>
      <c r="AC59" s="264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4"/>
      <c r="AB63" s="264"/>
      <c r="AC63" s="264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4"/>
      <c r="AB67" s="264"/>
      <c r="AC67" s="264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4"/>
      <c r="AB72" s="264"/>
      <c r="AC72" s="264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0</v>
      </c>
      <c r="Y76" s="272">
        <f>IFERROR(SUM(Y73:Y75),"0")</f>
        <v>0</v>
      </c>
      <c r="Z76" s="272">
        <f>IFERROR(IF(Z73="",0,Z73),"0")+IFERROR(IF(Z74="",0,Z74),"0")+IFERROR(IF(Z75="",0,Z75),"0")</f>
        <v>0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0</v>
      </c>
      <c r="Y77" s="272">
        <f>IFERROR(SUMPRODUCT(Y73:Y75*H73:H75),"0")</f>
        <v>0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0</v>
      </c>
      <c r="Y86" s="271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0</v>
      </c>
      <c r="Y87" s="272">
        <f>IFERROR(SUM(Y86:Y86),"0")</f>
        <v>0</v>
      </c>
      <c r="Z87" s="272">
        <f>IFERROR(IF(Z86="",0,Z86),"0")</f>
        <v>0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0</v>
      </c>
      <c r="Y88" s="272">
        <f>IFERROR(SUMPRODUCT(Y86:Y86*H86:H86),"0")</f>
        <v>0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0</v>
      </c>
      <c r="Y91" s="271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0</v>
      </c>
      <c r="Y92" s="271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0</v>
      </c>
      <c r="Y93" s="272">
        <f>IFERROR(SUM(Y91:Y92),"0")</f>
        <v>0</v>
      </c>
      <c r="Z93" s="272">
        <f>IFERROR(IF(Z91="",0,Z91),"0")+IFERROR(IF(Z92="",0,Z92),"0")</f>
        <v>0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0</v>
      </c>
      <c r="Y94" s="272">
        <f>IFERROR(SUMPRODUCT(Y91:Y92*H91:H92),"0")</f>
        <v>0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0</v>
      </c>
      <c r="Y97" s="271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224</v>
      </c>
      <c r="Y98" s="271">
        <f t="shared" si="6"/>
        <v>224</v>
      </c>
      <c r="Z98" s="36">
        <f t="shared" si="7"/>
        <v>4.0051199999999998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802.72640000000001</v>
      </c>
      <c r="BN98" s="67">
        <f t="shared" si="9"/>
        <v>802.72640000000001</v>
      </c>
      <c r="BO98" s="67">
        <f t="shared" si="10"/>
        <v>3.2</v>
      </c>
      <c r="BP98" s="67">
        <f t="shared" si="11"/>
        <v>3.2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336</v>
      </c>
      <c r="Y103" s="272">
        <f>IFERROR(SUM(Y97:Y102),"0")</f>
        <v>336</v>
      </c>
      <c r="Z103" s="272">
        <f>IFERROR(IF(Z97="",0,Z97),"0")+IFERROR(IF(Z98="",0,Z98),"0")+IFERROR(IF(Z99="",0,Z99),"0")+IFERROR(IF(Z100="",0,Z100),"0")+IFERROR(IF(Z101="",0,Z101),"0")+IFERROR(IF(Z102="",0,Z102),"0")</f>
        <v>6.0076799999999997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967.68000000000006</v>
      </c>
      <c r="Y104" s="272">
        <f>IFERROR(SUMPRODUCT(Y97:Y102*H97:H102),"0")</f>
        <v>967.68000000000006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0</v>
      </c>
      <c r="Y107" s="271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0</v>
      </c>
      <c r="Y109" s="272">
        <f>IFERROR(SUM(Y107:Y108),"0")</f>
        <v>0</v>
      </c>
      <c r="Z109" s="272">
        <f>IFERROR(IF(Z107="",0,Z107),"0")+IFERROR(IF(Z108="",0,Z108),"0")</f>
        <v>0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0</v>
      </c>
      <c r="Y110" s="272">
        <f>IFERROR(SUMPRODUCT(Y107:Y108*H107:H108),"0")</f>
        <v>0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48</v>
      </c>
      <c r="Y114" s="271">
        <f t="shared" si="12"/>
        <v>48</v>
      </c>
      <c r="Z114" s="36">
        <f t="shared" si="13"/>
        <v>0.74399999999999999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349.44</v>
      </c>
      <c r="BN114" s="67">
        <f t="shared" si="15"/>
        <v>349.44</v>
      </c>
      <c r="BO114" s="67">
        <f t="shared" si="16"/>
        <v>0.5714285714285714</v>
      </c>
      <c r="BP114" s="67">
        <f t="shared" si="17"/>
        <v>0.5714285714285714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12</v>
      </c>
      <c r="Y115" s="271">
        <f t="shared" si="12"/>
        <v>12</v>
      </c>
      <c r="Z115" s="36">
        <f t="shared" si="13"/>
        <v>0.186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228</v>
      </c>
      <c r="Y116" s="271">
        <f t="shared" si="12"/>
        <v>228</v>
      </c>
      <c r="Z116" s="36">
        <f t="shared" si="13"/>
        <v>3.5339999999999998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1664.3999999999999</v>
      </c>
      <c r="BN116" s="67">
        <f t="shared" si="15"/>
        <v>1664.3999999999999</v>
      </c>
      <c r="BO116" s="67">
        <f t="shared" si="16"/>
        <v>2.7142857142857144</v>
      </c>
      <c r="BP116" s="67">
        <f t="shared" si="17"/>
        <v>2.7142857142857144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0</v>
      </c>
      <c r="Y118" s="271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252</v>
      </c>
      <c r="Y119" s="271">
        <f t="shared" si="12"/>
        <v>252</v>
      </c>
      <c r="Z119" s="36">
        <f t="shared" si="13"/>
        <v>3.9060000000000001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1839.6</v>
      </c>
      <c r="BN119" s="67">
        <f t="shared" si="15"/>
        <v>1839.6</v>
      </c>
      <c r="BO119" s="67">
        <f t="shared" si="16"/>
        <v>3</v>
      </c>
      <c r="BP119" s="67">
        <f t="shared" si="17"/>
        <v>3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36</v>
      </c>
      <c r="Y121" s="271">
        <f t="shared" si="12"/>
        <v>36</v>
      </c>
      <c r="Z121" s="36">
        <f t="shared" si="13"/>
        <v>0.55800000000000005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260.28000000000003</v>
      </c>
      <c r="BN121" s="67">
        <f t="shared" si="15"/>
        <v>260.28000000000003</v>
      </c>
      <c r="BO121" s="67">
        <f t="shared" si="16"/>
        <v>0.42857142857142855</v>
      </c>
      <c r="BP121" s="67">
        <f t="shared" si="17"/>
        <v>0.42857142857142855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588</v>
      </c>
      <c r="Y122" s="272">
        <f>IFERROR(SUM(Y113:Y121),"0")</f>
        <v>588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9.113999999999999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4101.6000000000004</v>
      </c>
      <c r="Y123" s="272">
        <f>IFERROR(SUMPRODUCT(Y113:Y121*H113:H121),"0")</f>
        <v>4101.6000000000004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4"/>
      <c r="AB124" s="264"/>
      <c r="AC124" s="264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210</v>
      </c>
      <c r="Y134" s="271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308</v>
      </c>
      <c r="Y135" s="271">
        <f>IFERROR(IF(X135="","",X135),"")</f>
        <v>308</v>
      </c>
      <c r="Z135" s="36">
        <f>IFERROR(IF(X135="","",X135*0.01788),"")</f>
        <v>5.5070399999999999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1140.7087999999999</v>
      </c>
      <c r="BN135" s="67">
        <f>IFERROR(Y135*I135,"0")</f>
        <v>1140.7087999999999</v>
      </c>
      <c r="BO135" s="67">
        <f>IFERROR(X135/J135,"0")</f>
        <v>4.4000000000000004</v>
      </c>
      <c r="BP135" s="67">
        <f>IFERROR(Y135/J135,"0")</f>
        <v>4.4000000000000004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518</v>
      </c>
      <c r="Y136" s="272">
        <f>IFERROR(SUM(Y134:Y135),"0")</f>
        <v>518</v>
      </c>
      <c r="Z136" s="272">
        <f>IFERROR(IF(Z134="",0,Z134),"0")+IFERROR(IF(Z135="",0,Z135),"0")</f>
        <v>9.2618399999999994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1554</v>
      </c>
      <c r="Y137" s="272">
        <f>IFERROR(SUMPRODUCT(Y134:Y135*H134:H135),"0")</f>
        <v>1554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168</v>
      </c>
      <c r="Y141" s="271">
        <f>IFERROR(IF(X141="","",X141),"")</f>
        <v>168</v>
      </c>
      <c r="Z141" s="36">
        <f>IFERROR(IF(X141="","",X141*0.01788),"")</f>
        <v>3.0038399999999998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622.20479999999998</v>
      </c>
      <c r="BN141" s="67">
        <f>IFERROR(Y141*I141,"0")</f>
        <v>622.20479999999998</v>
      </c>
      <c r="BO141" s="67">
        <f>IFERROR(X141/J141,"0")</f>
        <v>2.4</v>
      </c>
      <c r="BP141" s="67">
        <f>IFERROR(Y141/J141,"0")</f>
        <v>2.4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168</v>
      </c>
      <c r="Y142" s="272">
        <f>IFERROR(SUM(Y140:Y141),"0")</f>
        <v>168</v>
      </c>
      <c r="Z142" s="272">
        <f>IFERROR(IF(Z140="",0,Z140),"0")+IFERROR(IF(Z141="",0,Z141),"0")</f>
        <v>3.0038399999999998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504</v>
      </c>
      <c r="Y143" s="272">
        <f>IFERROR(SUMPRODUCT(Y140:Y141*H140:H141),"0")</f>
        <v>504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0</v>
      </c>
      <c r="Y146" s="271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70</v>
      </c>
      <c r="Y147" s="271">
        <f>IFERROR(IF(X147="","",X147),"")</f>
        <v>70</v>
      </c>
      <c r="Z147" s="36">
        <f>IFERROR(IF(X147="","",X147*0.01788),"")</f>
        <v>1.2516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187.60000000000002</v>
      </c>
      <c r="BN147" s="67">
        <f>IFERROR(Y147*I147,"0")</f>
        <v>187.60000000000002</v>
      </c>
      <c r="BO147" s="67">
        <f>IFERROR(X147/J147,"0")</f>
        <v>1</v>
      </c>
      <c r="BP147" s="67">
        <f>IFERROR(Y147/J147,"0")</f>
        <v>1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70</v>
      </c>
      <c r="Y148" s="272">
        <f>IFERROR(SUM(Y146:Y147),"0")</f>
        <v>70</v>
      </c>
      <c r="Z148" s="272">
        <f>IFERROR(IF(Z146="",0,Z146),"0")+IFERROR(IF(Z147="",0,Z147),"0")</f>
        <v>1.2516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168</v>
      </c>
      <c r="Y149" s="272">
        <f>IFERROR(SUMPRODUCT(Y146:Y147*H146:H147),"0")</f>
        <v>168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168</v>
      </c>
      <c r="Y180" s="271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112</v>
      </c>
      <c r="Y181" s="271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210</v>
      </c>
      <c r="Y182" s="271">
        <f>IFERROR(IF(X182="","",X182),"")</f>
        <v>210</v>
      </c>
      <c r="Z182" s="36">
        <f>IFERROR(IF(X182="","",X182*0.01788),"")</f>
        <v>3.7547999999999999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784.56000000000006</v>
      </c>
      <c r="BN182" s="67">
        <f>IFERROR(Y182*I182,"0")</f>
        <v>784.56000000000006</v>
      </c>
      <c r="BO182" s="67">
        <f>IFERROR(X182/J182,"0")</f>
        <v>3</v>
      </c>
      <c r="BP182" s="67">
        <f>IFERROR(Y182/J182,"0")</f>
        <v>3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490</v>
      </c>
      <c r="Y183" s="272">
        <f>IFERROR(SUM(Y180:Y182),"0")</f>
        <v>490</v>
      </c>
      <c r="Z183" s="272">
        <f>IFERROR(IF(Z180="",0,Z180),"0")+IFERROR(IF(Z181="",0,Z181),"0")+IFERROR(IF(Z182="",0,Z182),"0")</f>
        <v>8.7611999999999988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1470</v>
      </c>
      <c r="Y184" s="272">
        <f>IFERROR(SUMPRODUCT(Y180:Y182*H180:H182),"0")</f>
        <v>1470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4"/>
      <c r="AB185" s="264"/>
      <c r="AC185" s="264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4"/>
      <c r="AB195" s="264"/>
      <c r="AC195" s="264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36</v>
      </c>
      <c r="Y205" s="271">
        <f>IFERROR(IF(X205="","",X205),"")</f>
        <v>36</v>
      </c>
      <c r="Z205" s="36">
        <f>IFERROR(IF(X205="","",X205*0.0155),"")</f>
        <v>0.55800000000000005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188.28000000000003</v>
      </c>
      <c r="BN205" s="67">
        <f>IFERROR(Y205*I205,"0")</f>
        <v>188.28000000000003</v>
      </c>
      <c r="BO205" s="67">
        <f>IFERROR(X205/J205,"0")</f>
        <v>0.42857142857142855</v>
      </c>
      <c r="BP205" s="67">
        <f>IFERROR(Y205/J205,"0")</f>
        <v>0.42857142857142855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36</v>
      </c>
      <c r="Y206" s="272">
        <f>IFERROR(SUM(Y205:Y205),"0")</f>
        <v>36</v>
      </c>
      <c r="Z206" s="272">
        <f>IFERROR(IF(Z205="",0,Z205),"0")</f>
        <v>0.55800000000000005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180</v>
      </c>
      <c r="Y207" s="272">
        <f>IFERROR(SUMPRODUCT(Y205:Y205*H205:H205),"0")</f>
        <v>180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4"/>
      <c r="AB209" s="264"/>
      <c r="AC209" s="264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12</v>
      </c>
      <c r="Y210" s="271">
        <f>IFERROR(IF(X210="","",X210),"")</f>
        <v>12</v>
      </c>
      <c r="Z210" s="36">
        <f>IFERROR(IF(X210="","",X210*0.0155),"")</f>
        <v>0.186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65.64</v>
      </c>
      <c r="BN210" s="67">
        <f>IFERROR(Y210*I210,"0")</f>
        <v>65.64</v>
      </c>
      <c r="BO210" s="67">
        <f>IFERROR(X210/J210,"0")</f>
        <v>0.14285714285714285</v>
      </c>
      <c r="BP210" s="67">
        <f>IFERROR(Y210/J210,"0")</f>
        <v>0.14285714285714285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12</v>
      </c>
      <c r="Y211" s="272">
        <f>IFERROR(SUM(Y210:Y210),"0")</f>
        <v>12</v>
      </c>
      <c r="Z211" s="272">
        <f>IFERROR(IF(Z210="",0,Z210),"0")</f>
        <v>0.186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62.400000000000006</v>
      </c>
      <c r="Y212" s="272">
        <f>IFERROR(SUMPRODUCT(Y210:Y210*H210:H210),"0")</f>
        <v>62.400000000000006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4"/>
      <c r="AB213" s="264"/>
      <c r="AC213" s="264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4"/>
      <c r="AB220" s="264"/>
      <c r="AC220" s="264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24</v>
      </c>
      <c r="Y227" s="271">
        <f>IFERROR(IF(X227="","",X227),"")</f>
        <v>24</v>
      </c>
      <c r="Z227" s="36">
        <f>IFERROR(IF(X227="","",X227*0.0155),"")</f>
        <v>0.372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126.28799999999998</v>
      </c>
      <c r="BN227" s="67">
        <f>IFERROR(Y227*I227,"0")</f>
        <v>126.28799999999998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24</v>
      </c>
      <c r="Y228" s="272">
        <f>IFERROR(SUM(Y227:Y227),"0")</f>
        <v>24</v>
      </c>
      <c r="Z228" s="272">
        <f>IFERROR(IF(Z227="",0,Z227),"0")</f>
        <v>0.372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120</v>
      </c>
      <c r="Y229" s="272">
        <f>IFERROR(SUMPRODUCT(Y227:Y227*H227:H227),"0")</f>
        <v>120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4"/>
      <c r="AB232" s="264"/>
      <c r="AC232" s="264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4"/>
      <c r="AB236" s="264"/>
      <c r="AC236" s="264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4"/>
      <c r="AB242" s="264"/>
      <c r="AC242" s="264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60</v>
      </c>
      <c r="Y248" s="271">
        <f>IFERROR(IF(X248="","",X248),"")</f>
        <v>60</v>
      </c>
      <c r="Z248" s="36">
        <f>IFERROR(IF(X248="","",X248*0.0155),"")</f>
        <v>0.92999999999999994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375.59999999999997</v>
      </c>
      <c r="BN248" s="67">
        <f>IFERROR(Y248*I248,"0")</f>
        <v>375.59999999999997</v>
      </c>
      <c r="BO248" s="67">
        <f>IFERROR(X248/J248,"0")</f>
        <v>0.7142857142857143</v>
      </c>
      <c r="BP248" s="67">
        <f>IFERROR(Y248/J248,"0")</f>
        <v>0.7142857142857143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60</v>
      </c>
      <c r="Y250" s="272">
        <f>IFERROR(SUM(Y248:Y249),"0")</f>
        <v>60</v>
      </c>
      <c r="Z250" s="272">
        <f>IFERROR(IF(Z248="",0,Z248),"0")+IFERROR(IF(Z249="",0,Z249),"0")</f>
        <v>0.92999999999999994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360</v>
      </c>
      <c r="Y251" s="272">
        <f>IFERROR(SUMPRODUCT(Y248:Y249*H248:H249),"0")</f>
        <v>360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4"/>
      <c r="AB252" s="264"/>
      <c r="AC252" s="264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36</v>
      </c>
      <c r="Y254" s="271">
        <f>IFERROR(IF(X254="","",X254),"")</f>
        <v>36</v>
      </c>
      <c r="Z254" s="36">
        <f>IFERROR(IF(X254="","",X254*0.0155),"")</f>
        <v>0.55800000000000005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188.46</v>
      </c>
      <c r="BN254" s="67">
        <f>IFERROR(Y254*I254,"0")</f>
        <v>188.46</v>
      </c>
      <c r="BO254" s="67">
        <f>IFERROR(X254/J254,"0")</f>
        <v>0.42857142857142855</v>
      </c>
      <c r="BP254" s="67">
        <f>IFERROR(Y254/J254,"0")</f>
        <v>0.42857142857142855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36</v>
      </c>
      <c r="Y256" s="272">
        <f>IFERROR(SUM(Y253:Y255),"0")</f>
        <v>36</v>
      </c>
      <c r="Z256" s="272">
        <f>IFERROR(IF(Z253="",0,Z253),"0")+IFERROR(IF(Z254="",0,Z254),"0")+IFERROR(IF(Z255="",0,Z255),"0")</f>
        <v>0.55800000000000005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180</v>
      </c>
      <c r="Y257" s="272">
        <f>IFERROR(SUMPRODUCT(Y253:Y255*H253:H255),"0")</f>
        <v>180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4"/>
      <c r="AB258" s="264"/>
      <c r="AC258" s="264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98</v>
      </c>
      <c r="Y260" s="271">
        <f t="shared" si="18"/>
        <v>98</v>
      </c>
      <c r="Z260" s="36">
        <f>IFERROR(IF(X260="","",X260*0.00936),"")</f>
        <v>0.91727999999999998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381.416</v>
      </c>
      <c r="BN260" s="67">
        <f t="shared" si="20"/>
        <v>381.416</v>
      </c>
      <c r="BO260" s="67">
        <f t="shared" si="21"/>
        <v>0.77777777777777779</v>
      </c>
      <c r="BP260" s="67">
        <f t="shared" si="22"/>
        <v>0.77777777777777779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84</v>
      </c>
      <c r="Y262" s="271">
        <f t="shared" si="18"/>
        <v>84</v>
      </c>
      <c r="Z262" s="36">
        <f t="shared" ref="Z262:Z267" si="23">IFERROR(IF(X262="","",X262*0.00936),"")</f>
        <v>0.78624000000000005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268.12800000000004</v>
      </c>
      <c r="BN262" s="67">
        <f t="shared" si="20"/>
        <v>268.12800000000004</v>
      </c>
      <c r="BO262" s="67">
        <f t="shared" si="21"/>
        <v>0.66666666666666663</v>
      </c>
      <c r="BP262" s="67">
        <f t="shared" si="22"/>
        <v>0.66666666666666663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182</v>
      </c>
      <c r="Y269" s="272">
        <f>IFERROR(SUM(Y259:Y268),"0")</f>
        <v>182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1.7035200000000001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614.6</v>
      </c>
      <c r="Y270" s="272">
        <f>IFERROR(SUMPRODUCT(Y259:Y268*H259:H268),"0")</f>
        <v>614.6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12031.52</v>
      </c>
      <c r="Y271" s="272">
        <f>IFERROR(Y29+Y35+Y42+Y49+Y57+Y62+Y66+Y71+Y77+Y83+Y88+Y94+Y104+Y110+Y123+Y127+Y131+Y137+Y143+Y149+Y154+Y159+Y164+Y169+Y176+Y184+Y188+Y194+Y202+Y207+Y212+Y217+Y223+Y229+Y235+Y239+Y246+Y251+Y257+Y270,"0")</f>
        <v>12031.52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13411.011599999998</v>
      </c>
      <c r="Y272" s="272">
        <f>IFERROR(SUM(BN22:BN268),"0")</f>
        <v>13411.011599999998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37</v>
      </c>
      <c r="Y273" s="38">
        <f>ROUNDUP(SUM(BP22:BP268),0)</f>
        <v>37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14336.011599999998</v>
      </c>
      <c r="Y274" s="272">
        <f>GrossWeightTotalR+PalletQtyTotalR*25</f>
        <v>14336.011599999998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2876</v>
      </c>
      <c r="Y275" s="272">
        <f>IFERROR(Y28+Y34+Y41+Y48+Y56+Y61+Y65+Y70+Y76+Y82+Y87+Y93+Y103+Y109+Y122+Y126+Y130+Y136+Y142+Y148+Y153+Y158+Y163+Y168+Y175+Y183+Y187+Y193+Y201+Y206+Y211+Y216+Y222+Y228+Y234+Y238+Y245+Y250+Y256+Y269,"0")</f>
        <v>2876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46.728819999999999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2" t="s">
        <v>252</v>
      </c>
      <c r="W278" s="262" t="s">
        <v>260</v>
      </c>
      <c r="X278" s="290" t="s">
        <v>279</v>
      </c>
      <c r="Y278" s="368"/>
      <c r="Z278" s="369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3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3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3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0</v>
      </c>
      <c r="C281" s="46">
        <f>IFERROR(X32*H32,"0")+IFERROR(X33*H33,"0")</f>
        <v>76.800000000000011</v>
      </c>
      <c r="D281" s="46">
        <f>IFERROR(X39*H39,"0")+IFERROR(X40*H40,"0")</f>
        <v>147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1344</v>
      </c>
      <c r="G281" s="46">
        <f>IFERROR(X60*H60,"0")+IFERROR(X64*H64,"0")+IFERROR(X68*H68,"0")+IFERROR(X69*H69,"0")+IFERROR(X73*H73,"0")+IFERROR(X74*H74,"0")+IFERROR(X75*H75,"0")</f>
        <v>0</v>
      </c>
      <c r="H281" s="46">
        <f>IFERROR(X80*H80,"0")+IFERROR(X81*H81,"0")</f>
        <v>0</v>
      </c>
      <c r="I281" s="46">
        <f>IFERROR(X86*H86,"0")</f>
        <v>0</v>
      </c>
      <c r="J281" s="46">
        <f>IFERROR(X91*H91,"0")+IFERROR(X92*H92,"0")</f>
        <v>0</v>
      </c>
      <c r="K281" s="46">
        <f>IFERROR(X97*H97,"0")+IFERROR(X98*H98,"0")+IFERROR(X99*H99,"0")+IFERROR(X100*H100,"0")+IFERROR(X101*H101,"0")+IFERROR(X102*H102,"0")</f>
        <v>967.68000000000006</v>
      </c>
      <c r="L281" s="46">
        <f>IFERROR(X107*H107,"0")+IFERROR(X108*H108,"0")</f>
        <v>0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4101.6000000000004</v>
      </c>
      <c r="N281" s="263"/>
      <c r="O281" s="46">
        <f>IFERROR(X134*H134,"0")+IFERROR(X135*H135,"0")</f>
        <v>1554</v>
      </c>
      <c r="P281" s="46">
        <f>IFERROR(X140*H140,"0")+IFERROR(X141*H141,"0")</f>
        <v>504</v>
      </c>
      <c r="Q281" s="46">
        <f>IFERROR(X146*H146,"0")+IFERROR(X147*H147,"0")</f>
        <v>168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1470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180</v>
      </c>
      <c r="Z281" s="46">
        <f>IFERROR(X210*H210,"0")+IFERROR(X214*H214,"0")+IFERROR(X215*H215,"0")</f>
        <v>62.400000000000006</v>
      </c>
      <c r="AA281" s="46">
        <f>IFERROR(X221*H221,"0")</f>
        <v>0</v>
      </c>
      <c r="AB281" s="46">
        <f>IFERROR(X227*H227,"0")</f>
        <v>120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1154.5999999999999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5952</v>
      </c>
      <c r="B284" s="60">
        <f>SUMPRODUCT(--(BB:BB="ПГП"),--(W:W="кор"),H:H,Y:Y)+SUMPRODUCT(--(BB:BB="ПГП"),--(W:W="кг"),Y:Y)</f>
        <v>6079.5200000000013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Y17:Y18"/>
    <mergeCell ref="A8:C8"/>
    <mergeCell ref="P163:V163"/>
    <mergeCell ref="D32:E32"/>
    <mergeCell ref="D97:E97"/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Q5:R5"/>
    <mergeCell ref="F17:F18"/>
    <mergeCell ref="D120:E120"/>
    <mergeCell ref="P199:T199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N17:N18"/>
    <mergeCell ref="V12:W12"/>
    <mergeCell ref="U17:V17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P169:V169"/>
    <mergeCell ref="P186:T186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P125:T125"/>
    <mergeCell ref="A179:Z179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D22:E22"/>
    <mergeCell ref="D86:E86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223:V223"/>
    <mergeCell ref="P102:T102"/>
    <mergeCell ref="J9:M9"/>
    <mergeCell ref="D279:D280"/>
    <mergeCell ref="P141:T141"/>
    <mergeCell ref="A65:O66"/>
    <mergeCell ref="P233:T233"/>
    <mergeCell ref="A56:O57"/>
    <mergeCell ref="D114:E114"/>
    <mergeCell ref="D64:E64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P27:T27"/>
    <mergeCell ref="D75:E75"/>
    <mergeCell ref="Q10:R10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4:T24"/>
    <mergeCell ref="P260:T260"/>
    <mergeCell ref="A206:O207"/>
    <mergeCell ref="A63:Z63"/>
    <mergeCell ref="P26:T26"/>
    <mergeCell ref="P71:V71"/>
    <mergeCell ref="A138:Z138"/>
    <mergeCell ref="P202:V202"/>
    <mergeCell ref="A13:M13"/>
    <mergeCell ref="P115:T115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P68:T68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L279:L280"/>
    <mergeCell ref="P62:V62"/>
    <mergeCell ref="P127:V127"/>
    <mergeCell ref="A17:A18"/>
    <mergeCell ref="K17:K18"/>
    <mergeCell ref="A189:Z189"/>
    <mergeCell ref="C17:C18"/>
    <mergeCell ref="D180:E180"/>
    <mergeCell ref="D118:E118"/>
    <mergeCell ref="P53:T53"/>
    <mergeCell ref="A183:O184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73:T73"/>
    <mergeCell ref="P244:T244"/>
    <mergeCell ref="D174:E174"/>
    <mergeCell ref="P87:V87"/>
    <mergeCell ref="P245:V245"/>
    <mergeCell ref="D45:E45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