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трица ПОКОМ КИ\"/>
    </mc:Choice>
  </mc:AlternateContent>
  <xr:revisionPtr revIDLastSave="0" documentId="13_ncr:1_{62EB682C-E584-4CA9-AFDE-7A4A9B95DB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112" i="1" l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M93" i="1"/>
  <c r="R93" i="1"/>
  <c r="T93" i="1" s="1"/>
  <c r="U93" i="1" l="1"/>
  <c r="AG112" i="1"/>
  <c r="R112" i="1"/>
  <c r="M112" i="1"/>
  <c r="R111" i="1"/>
  <c r="M111" i="1"/>
  <c r="R110" i="1"/>
  <c r="M110" i="1"/>
  <c r="AG109" i="1"/>
  <c r="R109" i="1"/>
  <c r="U109" i="1" s="1"/>
  <c r="M109" i="1"/>
  <c r="R108" i="1"/>
  <c r="S108" i="1" s="1"/>
  <c r="M108" i="1"/>
  <c r="AG107" i="1"/>
  <c r="R107" i="1"/>
  <c r="M107" i="1"/>
  <c r="AG106" i="1"/>
  <c r="R106" i="1"/>
  <c r="U106" i="1" s="1"/>
  <c r="M106" i="1"/>
  <c r="R105" i="1"/>
  <c r="U105" i="1" s="1"/>
  <c r="M105" i="1"/>
  <c r="R104" i="1"/>
  <c r="U104" i="1" s="1"/>
  <c r="M104" i="1"/>
  <c r="S103" i="1"/>
  <c r="R103" i="1"/>
  <c r="U103" i="1" s="1"/>
  <c r="M103" i="1"/>
  <c r="AG102" i="1"/>
  <c r="R102" i="1"/>
  <c r="M102" i="1"/>
  <c r="R101" i="1"/>
  <c r="M101" i="1"/>
  <c r="AG100" i="1"/>
  <c r="R100" i="1"/>
  <c r="U100" i="1" s="1"/>
  <c r="M100" i="1"/>
  <c r="R99" i="1"/>
  <c r="S99" i="1" s="1"/>
  <c r="M99" i="1"/>
  <c r="R98" i="1"/>
  <c r="S98" i="1" s="1"/>
  <c r="M98" i="1"/>
  <c r="R97" i="1"/>
  <c r="S97" i="1" s="1"/>
  <c r="M97" i="1"/>
  <c r="R96" i="1"/>
  <c r="S96" i="1" s="1"/>
  <c r="M96" i="1"/>
  <c r="R95" i="1"/>
  <c r="S95" i="1" s="1"/>
  <c r="M95" i="1"/>
  <c r="R94" i="1"/>
  <c r="S94" i="1" s="1"/>
  <c r="M94" i="1"/>
  <c r="AG92" i="1"/>
  <c r="R92" i="1"/>
  <c r="T92" i="1" s="1"/>
  <c r="M92" i="1"/>
  <c r="AG91" i="1"/>
  <c r="R91" i="1"/>
  <c r="U91" i="1" s="1"/>
  <c r="M91" i="1"/>
  <c r="AG90" i="1"/>
  <c r="R90" i="1"/>
  <c r="T90" i="1" s="1"/>
  <c r="M90" i="1"/>
  <c r="AG89" i="1"/>
  <c r="R89" i="1"/>
  <c r="U89" i="1" s="1"/>
  <c r="M89" i="1"/>
  <c r="R88" i="1"/>
  <c r="U88" i="1" s="1"/>
  <c r="M88" i="1"/>
  <c r="R87" i="1"/>
  <c r="U87" i="1" s="1"/>
  <c r="M87" i="1"/>
  <c r="R86" i="1"/>
  <c r="U86" i="1" s="1"/>
  <c r="M86" i="1"/>
  <c r="R85" i="1"/>
  <c r="U85" i="1" s="1"/>
  <c r="M85" i="1"/>
  <c r="R84" i="1"/>
  <c r="U84" i="1" s="1"/>
  <c r="M84" i="1"/>
  <c r="R83" i="1"/>
  <c r="U83" i="1" s="1"/>
  <c r="M83" i="1"/>
  <c r="S82" i="1"/>
  <c r="R82" i="1"/>
  <c r="U82" i="1" s="1"/>
  <c r="M82" i="1"/>
  <c r="AG81" i="1"/>
  <c r="U81" i="1"/>
  <c r="R81" i="1"/>
  <c r="T81" i="1" s="1"/>
  <c r="M81" i="1"/>
  <c r="AG80" i="1"/>
  <c r="T80" i="1"/>
  <c r="R80" i="1"/>
  <c r="U80" i="1" s="1"/>
  <c r="M80" i="1"/>
  <c r="AG79" i="1"/>
  <c r="U79" i="1"/>
  <c r="R79" i="1"/>
  <c r="T79" i="1" s="1"/>
  <c r="M79" i="1"/>
  <c r="AG78" i="1"/>
  <c r="T78" i="1"/>
  <c r="R78" i="1"/>
  <c r="U78" i="1" s="1"/>
  <c r="M78" i="1"/>
  <c r="AG77" i="1"/>
  <c r="U77" i="1"/>
  <c r="R77" i="1"/>
  <c r="T77" i="1" s="1"/>
  <c r="M77" i="1"/>
  <c r="AG76" i="1"/>
  <c r="T76" i="1"/>
  <c r="R76" i="1"/>
  <c r="U76" i="1" s="1"/>
  <c r="M76" i="1"/>
  <c r="AG75" i="1"/>
  <c r="U75" i="1"/>
  <c r="R75" i="1"/>
  <c r="T75" i="1" s="1"/>
  <c r="M75" i="1"/>
  <c r="AG74" i="1"/>
  <c r="T74" i="1"/>
  <c r="R74" i="1"/>
  <c r="U74" i="1" s="1"/>
  <c r="M74" i="1"/>
  <c r="AG73" i="1"/>
  <c r="U73" i="1"/>
  <c r="R73" i="1"/>
  <c r="T73" i="1" s="1"/>
  <c r="M73" i="1"/>
  <c r="R72" i="1"/>
  <c r="M72" i="1"/>
  <c r="AG71" i="1"/>
  <c r="T71" i="1"/>
  <c r="R71" i="1"/>
  <c r="U71" i="1" s="1"/>
  <c r="M71" i="1"/>
  <c r="AG70" i="1"/>
  <c r="U70" i="1"/>
  <c r="R70" i="1"/>
  <c r="T70" i="1" s="1"/>
  <c r="M70" i="1"/>
  <c r="R69" i="1"/>
  <c r="M69" i="1"/>
  <c r="R68" i="1"/>
  <c r="M68" i="1"/>
  <c r="AG67" i="1"/>
  <c r="T67" i="1"/>
  <c r="R67" i="1"/>
  <c r="U67" i="1" s="1"/>
  <c r="M67" i="1"/>
  <c r="R66" i="1"/>
  <c r="U66" i="1" s="1"/>
  <c r="M66" i="1"/>
  <c r="R65" i="1"/>
  <c r="U65" i="1" s="1"/>
  <c r="M65" i="1"/>
  <c r="R64" i="1"/>
  <c r="U64" i="1" s="1"/>
  <c r="M64" i="1"/>
  <c r="R63" i="1"/>
  <c r="U63" i="1" s="1"/>
  <c r="M63" i="1"/>
  <c r="AG62" i="1"/>
  <c r="R62" i="1"/>
  <c r="T62" i="1" s="1"/>
  <c r="M62" i="1"/>
  <c r="R61" i="1"/>
  <c r="M61" i="1"/>
  <c r="R60" i="1"/>
  <c r="M60" i="1"/>
  <c r="R59" i="1"/>
  <c r="M59" i="1"/>
  <c r="R58" i="1"/>
  <c r="M58" i="1"/>
  <c r="R57" i="1"/>
  <c r="M57" i="1"/>
  <c r="R56" i="1"/>
  <c r="M56" i="1"/>
  <c r="AG55" i="1"/>
  <c r="R55" i="1"/>
  <c r="U55" i="1" s="1"/>
  <c r="M55" i="1"/>
  <c r="AG54" i="1"/>
  <c r="R54" i="1"/>
  <c r="T54" i="1" s="1"/>
  <c r="M54" i="1"/>
  <c r="AG53" i="1"/>
  <c r="R53" i="1"/>
  <c r="U53" i="1" s="1"/>
  <c r="M53" i="1"/>
  <c r="R52" i="1"/>
  <c r="U52" i="1" s="1"/>
  <c r="M52" i="1"/>
  <c r="R51" i="1"/>
  <c r="U51" i="1" s="1"/>
  <c r="M51" i="1"/>
  <c r="R50" i="1"/>
  <c r="U50" i="1" s="1"/>
  <c r="M50" i="1"/>
  <c r="S49" i="1"/>
  <c r="R49" i="1"/>
  <c r="U49" i="1" s="1"/>
  <c r="M49" i="1"/>
  <c r="R48" i="1"/>
  <c r="U48" i="1" s="1"/>
  <c r="M48" i="1"/>
  <c r="R47" i="1"/>
  <c r="U47" i="1" s="1"/>
  <c r="M47" i="1"/>
  <c r="R46" i="1"/>
  <c r="U46" i="1" s="1"/>
  <c r="M46" i="1"/>
  <c r="R45" i="1"/>
  <c r="U45" i="1" s="1"/>
  <c r="M45" i="1"/>
  <c r="AG44" i="1"/>
  <c r="R44" i="1"/>
  <c r="T44" i="1" s="1"/>
  <c r="M44" i="1"/>
  <c r="AG43" i="1"/>
  <c r="R43" i="1"/>
  <c r="U43" i="1" s="1"/>
  <c r="M43" i="1"/>
  <c r="R42" i="1"/>
  <c r="U42" i="1" s="1"/>
  <c r="M42" i="1"/>
  <c r="R41" i="1"/>
  <c r="U41" i="1" s="1"/>
  <c r="M41" i="1"/>
  <c r="AG40" i="1"/>
  <c r="R40" i="1"/>
  <c r="T40" i="1" s="1"/>
  <c r="M40" i="1"/>
  <c r="AG39" i="1"/>
  <c r="R39" i="1"/>
  <c r="U39" i="1" s="1"/>
  <c r="M39" i="1"/>
  <c r="AG38" i="1"/>
  <c r="R38" i="1"/>
  <c r="T38" i="1" s="1"/>
  <c r="M38" i="1"/>
  <c r="AG37" i="1"/>
  <c r="R37" i="1"/>
  <c r="U37" i="1" s="1"/>
  <c r="M37" i="1"/>
  <c r="R36" i="1"/>
  <c r="U36" i="1" s="1"/>
  <c r="M36" i="1"/>
  <c r="AG35" i="1"/>
  <c r="R35" i="1"/>
  <c r="T35" i="1" s="1"/>
  <c r="M35" i="1"/>
  <c r="R34" i="1"/>
  <c r="M34" i="1"/>
  <c r="AG33" i="1"/>
  <c r="R33" i="1"/>
  <c r="U33" i="1" s="1"/>
  <c r="M33" i="1"/>
  <c r="AG32" i="1"/>
  <c r="R32" i="1"/>
  <c r="T32" i="1" s="1"/>
  <c r="M32" i="1"/>
  <c r="AG31" i="1"/>
  <c r="R31" i="1"/>
  <c r="U31" i="1" s="1"/>
  <c r="M31" i="1"/>
  <c r="AG30" i="1"/>
  <c r="R30" i="1"/>
  <c r="T30" i="1" s="1"/>
  <c r="M30" i="1"/>
  <c r="AG29" i="1"/>
  <c r="R29" i="1"/>
  <c r="U29" i="1" s="1"/>
  <c r="M29" i="1"/>
  <c r="S28" i="1"/>
  <c r="R28" i="1"/>
  <c r="U28" i="1" s="1"/>
  <c r="M28" i="1"/>
  <c r="R27" i="1"/>
  <c r="U27" i="1" s="1"/>
  <c r="M27" i="1"/>
  <c r="R26" i="1"/>
  <c r="U26" i="1" s="1"/>
  <c r="M26" i="1"/>
  <c r="R25" i="1"/>
  <c r="U25" i="1" s="1"/>
  <c r="M25" i="1"/>
  <c r="R24" i="1"/>
  <c r="U24" i="1" s="1"/>
  <c r="M24" i="1"/>
  <c r="R23" i="1"/>
  <c r="U23" i="1" s="1"/>
  <c r="M23" i="1"/>
  <c r="R22" i="1"/>
  <c r="U22" i="1" s="1"/>
  <c r="M22" i="1"/>
  <c r="R21" i="1"/>
  <c r="U21" i="1" s="1"/>
  <c r="M21" i="1"/>
  <c r="S20" i="1"/>
  <c r="R20" i="1"/>
  <c r="U20" i="1" s="1"/>
  <c r="M20" i="1"/>
  <c r="R19" i="1"/>
  <c r="U19" i="1" s="1"/>
  <c r="M19" i="1"/>
  <c r="AG18" i="1"/>
  <c r="R18" i="1"/>
  <c r="T18" i="1" s="1"/>
  <c r="M18" i="1"/>
  <c r="AG17" i="1"/>
  <c r="R17" i="1"/>
  <c r="U17" i="1" s="1"/>
  <c r="M17" i="1"/>
  <c r="R16" i="1"/>
  <c r="U16" i="1" s="1"/>
  <c r="M16" i="1"/>
  <c r="R15" i="1"/>
  <c r="U15" i="1" s="1"/>
  <c r="M15" i="1"/>
  <c r="AG14" i="1"/>
  <c r="R14" i="1"/>
  <c r="U14" i="1" s="1"/>
  <c r="M14" i="1"/>
  <c r="AG13" i="1"/>
  <c r="R13" i="1"/>
  <c r="T13" i="1" s="1"/>
  <c r="M13" i="1"/>
  <c r="R12" i="1"/>
  <c r="U12" i="1" s="1"/>
  <c r="M12" i="1"/>
  <c r="R11" i="1"/>
  <c r="U11" i="1" s="1"/>
  <c r="M11" i="1"/>
  <c r="R10" i="1"/>
  <c r="U10" i="1" s="1"/>
  <c r="M10" i="1"/>
  <c r="AG9" i="1"/>
  <c r="R9" i="1"/>
  <c r="U9" i="1" s="1"/>
  <c r="M9" i="1"/>
  <c r="R8" i="1"/>
  <c r="S8" i="1" s="1"/>
  <c r="AG8" i="1" s="1"/>
  <c r="M8" i="1"/>
  <c r="R7" i="1"/>
  <c r="S7" i="1" s="1"/>
  <c r="AG7" i="1" s="1"/>
  <c r="M7" i="1"/>
  <c r="AG6" i="1"/>
  <c r="R6" i="1"/>
  <c r="T6" i="1" s="1"/>
  <c r="M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L5" i="1"/>
  <c r="G5" i="1"/>
  <c r="F5" i="1"/>
  <c r="S24" i="1" l="1"/>
  <c r="AG24" i="1" s="1"/>
  <c r="T43" i="1"/>
  <c r="U44" i="1"/>
  <c r="S45" i="1"/>
  <c r="T53" i="1"/>
  <c r="U54" i="1"/>
  <c r="T55" i="1"/>
  <c r="U62" i="1"/>
  <c r="S63" i="1"/>
  <c r="T63" i="1" s="1"/>
  <c r="S86" i="1"/>
  <c r="S22" i="1"/>
  <c r="AG22" i="1" s="1"/>
  <c r="S26" i="1"/>
  <c r="AG26" i="1" s="1"/>
  <c r="T37" i="1"/>
  <c r="U38" i="1"/>
  <c r="T39" i="1"/>
  <c r="U40" i="1"/>
  <c r="S41" i="1"/>
  <c r="T41" i="1" s="1"/>
  <c r="S47" i="1"/>
  <c r="T47" i="1" s="1"/>
  <c r="S51" i="1"/>
  <c r="AG51" i="1" s="1"/>
  <c r="S65" i="1"/>
  <c r="T65" i="1" s="1"/>
  <c r="S84" i="1"/>
  <c r="T84" i="1" s="1"/>
  <c r="S88" i="1"/>
  <c r="AG88" i="1" s="1"/>
  <c r="S105" i="1"/>
  <c r="T105" i="1" s="1"/>
  <c r="T14" i="1"/>
  <c r="T17" i="1"/>
  <c r="U18" i="1"/>
  <c r="S19" i="1"/>
  <c r="AG19" i="1" s="1"/>
  <c r="S21" i="1"/>
  <c r="T21" i="1" s="1"/>
  <c r="S23" i="1"/>
  <c r="AG23" i="1" s="1"/>
  <c r="S25" i="1"/>
  <c r="AG25" i="1" s="1"/>
  <c r="S27" i="1"/>
  <c r="AG27" i="1" s="1"/>
  <c r="T29" i="1"/>
  <c r="U30" i="1"/>
  <c r="T31" i="1"/>
  <c r="U32" i="1"/>
  <c r="T33" i="1"/>
  <c r="U35" i="1"/>
  <c r="S36" i="1"/>
  <c r="AG36" i="1" s="1"/>
  <c r="S42" i="1"/>
  <c r="AG42" i="1" s="1"/>
  <c r="S46" i="1"/>
  <c r="T46" i="1" s="1"/>
  <c r="S48" i="1"/>
  <c r="AG48" i="1" s="1"/>
  <c r="S50" i="1"/>
  <c r="AG50" i="1" s="1"/>
  <c r="S52" i="1"/>
  <c r="AG52" i="1" s="1"/>
  <c r="S64" i="1"/>
  <c r="T64" i="1" s="1"/>
  <c r="S66" i="1"/>
  <c r="AG66" i="1" s="1"/>
  <c r="S83" i="1"/>
  <c r="T83" i="1" s="1"/>
  <c r="S85" i="1"/>
  <c r="T85" i="1" s="1"/>
  <c r="S87" i="1"/>
  <c r="AG87" i="1" s="1"/>
  <c r="T89" i="1"/>
  <c r="U90" i="1"/>
  <c r="T91" i="1"/>
  <c r="U92" i="1"/>
  <c r="S104" i="1"/>
  <c r="AG104" i="1" s="1"/>
  <c r="T106" i="1"/>
  <c r="U7" i="1"/>
  <c r="U8" i="1"/>
  <c r="U94" i="1"/>
  <c r="U95" i="1"/>
  <c r="U96" i="1"/>
  <c r="U97" i="1"/>
  <c r="U98" i="1"/>
  <c r="U99" i="1"/>
  <c r="U108" i="1"/>
  <c r="R5" i="1"/>
  <c r="M5" i="1"/>
  <c r="T9" i="1"/>
  <c r="T100" i="1"/>
  <c r="T109" i="1"/>
  <c r="T19" i="1"/>
  <c r="AG20" i="1"/>
  <c r="T20" i="1"/>
  <c r="T22" i="1"/>
  <c r="T24" i="1"/>
  <c r="T26" i="1"/>
  <c r="AG28" i="1"/>
  <c r="T28" i="1"/>
  <c r="T36" i="1"/>
  <c r="AG47" i="1"/>
  <c r="T50" i="1"/>
  <c r="AG63" i="1"/>
  <c r="U6" i="1"/>
  <c r="U13" i="1"/>
  <c r="AG21" i="1"/>
  <c r="T25" i="1"/>
  <c r="AG41" i="1"/>
  <c r="AG45" i="1"/>
  <c r="T45" i="1"/>
  <c r="AG46" i="1"/>
  <c r="AG49" i="1"/>
  <c r="T49" i="1"/>
  <c r="T51" i="1"/>
  <c r="AG64" i="1"/>
  <c r="AG65" i="1"/>
  <c r="T102" i="1"/>
  <c r="U102" i="1"/>
  <c r="U110" i="1"/>
  <c r="S110" i="1"/>
  <c r="T112" i="1"/>
  <c r="U112" i="1"/>
  <c r="T7" i="1"/>
  <c r="T8" i="1"/>
  <c r="S10" i="1"/>
  <c r="S11" i="1"/>
  <c r="S12" i="1"/>
  <c r="S15" i="1"/>
  <c r="S16" i="1"/>
  <c r="U34" i="1"/>
  <c r="S34" i="1"/>
  <c r="U56" i="1"/>
  <c r="S56" i="1"/>
  <c r="U57" i="1"/>
  <c r="S57" i="1"/>
  <c r="U58" i="1"/>
  <c r="S58" i="1"/>
  <c r="AG82" i="1"/>
  <c r="T82" i="1"/>
  <c r="AG83" i="1"/>
  <c r="AG84" i="1"/>
  <c r="AG85" i="1"/>
  <c r="AG86" i="1"/>
  <c r="T86" i="1"/>
  <c r="T87" i="1"/>
  <c r="T88" i="1"/>
  <c r="U101" i="1"/>
  <c r="S101" i="1"/>
  <c r="T107" i="1"/>
  <c r="U107" i="1"/>
  <c r="U111" i="1"/>
  <c r="S111" i="1"/>
  <c r="U59" i="1"/>
  <c r="S59" i="1"/>
  <c r="U60" i="1"/>
  <c r="S60" i="1"/>
  <c r="U61" i="1"/>
  <c r="S61" i="1"/>
  <c r="U68" i="1"/>
  <c r="S68" i="1"/>
  <c r="U69" i="1"/>
  <c r="S69" i="1"/>
  <c r="U72" i="1"/>
  <c r="S72" i="1"/>
  <c r="AG94" i="1"/>
  <c r="T94" i="1"/>
  <c r="AG95" i="1"/>
  <c r="T95" i="1"/>
  <c r="AG96" i="1"/>
  <c r="T96" i="1"/>
  <c r="AG97" i="1"/>
  <c r="T97" i="1"/>
  <c r="AG98" i="1"/>
  <c r="T98" i="1"/>
  <c r="AG99" i="1"/>
  <c r="T99" i="1"/>
  <c r="AG103" i="1"/>
  <c r="T103" i="1"/>
  <c r="AG105" i="1"/>
  <c r="AG108" i="1"/>
  <c r="T108" i="1"/>
  <c r="T104" i="1" l="1"/>
  <c r="T66" i="1"/>
  <c r="T27" i="1"/>
  <c r="T23" i="1"/>
  <c r="T52" i="1"/>
  <c r="T48" i="1"/>
  <c r="T42" i="1"/>
  <c r="S5" i="1"/>
  <c r="AG69" i="1"/>
  <c r="T69" i="1"/>
  <c r="AG61" i="1"/>
  <c r="T61" i="1"/>
  <c r="AG59" i="1"/>
  <c r="T59" i="1"/>
  <c r="T101" i="1"/>
  <c r="AG101" i="1"/>
  <c r="AG15" i="1"/>
  <c r="T15" i="1"/>
  <c r="AG11" i="1"/>
  <c r="T11" i="1"/>
  <c r="AG72" i="1"/>
  <c r="T72" i="1"/>
  <c r="AG68" i="1"/>
  <c r="T68" i="1"/>
  <c r="AG60" i="1"/>
  <c r="T60" i="1"/>
  <c r="T111" i="1"/>
  <c r="AG111" i="1"/>
  <c r="AG58" i="1"/>
  <c r="T58" i="1"/>
  <c r="AG57" i="1"/>
  <c r="T57" i="1"/>
  <c r="AG56" i="1"/>
  <c r="T56" i="1"/>
  <c r="AG34" i="1"/>
  <c r="T34" i="1"/>
  <c r="AG16" i="1"/>
  <c r="T16" i="1"/>
  <c r="T12" i="1"/>
  <c r="AG12" i="1"/>
  <c r="T10" i="1"/>
  <c r="AG10" i="1"/>
  <c r="T110" i="1"/>
  <c r="AG110" i="1"/>
  <c r="AG5" i="1" l="1"/>
</calcChain>
</file>

<file path=xl/sharedStrings.xml><?xml version="1.0" encoding="utf-8"?>
<sst xmlns="http://schemas.openxmlformats.org/spreadsheetml/2006/main" count="472" uniqueCount="355">
  <si>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</si>
  <si>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</si>
  <si>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</si>
  <si>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</si>
  <si>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</si>
  <si>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</si>
  <si>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</si>
  <si>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</si>
  <si>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</si>
  <si>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</si>
  <si>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</si>
  <si>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</si>
  <si>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</si>
  <si>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</si>
  <si>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</si>
  <si>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</si>
  <si>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</si>
  <si>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</si>
  <si>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</si>
  <si>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</si>
  <si>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</si>
  <si>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</si>
  <si>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12,07,</t>
  </si>
  <si>
    <t>14,07,</t>
  </si>
  <si>
    <t>09,07,</t>
  </si>
  <si>
    <t>07,07,</t>
  </si>
  <si>
    <t>02,07,</t>
  </si>
  <si>
    <t>30,06,</t>
  </si>
  <si>
    <t>25,06,</t>
  </si>
  <si>
    <t>23,06,</t>
  </si>
  <si>
    <t>16,06,</t>
  </si>
  <si>
    <t>09,06,</t>
  </si>
  <si>
    <t>02,06,</t>
  </si>
  <si>
    <t>26,05,</t>
  </si>
  <si>
    <t xml:space="preserve"> 005  Колбаса Докторская ГОСТ, Вязанка вектор,ВЕС. ПОКОМ</t>
  </si>
  <si>
    <t>кг</t>
  </si>
  <si>
    <t>P003011</t>
  </si>
  <si>
    <t>SU000722</t>
  </si>
  <si>
    <t xml:space="preserve"> 016  Сосиски Вязанка Молочные, Вязанка вискофан  ВЕС.ПОКОМ</t>
  </si>
  <si>
    <t>P003986</t>
  </si>
  <si>
    <t>SU001523</t>
  </si>
  <si>
    <t xml:space="preserve"> 017  Сосиски Вязанка Сливочные, Вязанка амицел ВЕС.ПОКОМ</t>
  </si>
  <si>
    <t>P003988</t>
  </si>
  <si>
    <t>SU001721</t>
  </si>
  <si>
    <t xml:space="preserve"> 023  Колбаса Докторская ГОСТ, Вязанка вектор, 0,4 кг, ПОКОМ</t>
  </si>
  <si>
    <t>шт</t>
  </si>
  <si>
    <t>SU001485</t>
  </si>
  <si>
    <t xml:space="preserve"> 030  Сосиски Вязанка Молочные, Вязанка вискофан МГС, 0.45кг, ПОКОМ</t>
  </si>
  <si>
    <t>P003985</t>
  </si>
  <si>
    <t>SU001718</t>
  </si>
  <si>
    <t xml:space="preserve"> 032  Сосиски Вязанка Сливочные, Вязанка амицел МГС, 0.45кг, ПОКОМ</t>
  </si>
  <si>
    <t>P003989</t>
  </si>
  <si>
    <t>SU001720</t>
  </si>
  <si>
    <t xml:space="preserve"> 062  Колбаса Кракушка пряная с сальцем, 0.3кг в/у п/к, БАВАРУШКА ПОКОМ</t>
  </si>
  <si>
    <t>P002461</t>
  </si>
  <si>
    <t>SU002252</t>
  </si>
  <si>
    <t xml:space="preserve"> 083  Колбаса Швейцарская 0,17 кг., ШТ., сырокопченая   ПОКОМ</t>
  </si>
  <si>
    <t>P001909</t>
  </si>
  <si>
    <t>SU001869</t>
  </si>
  <si>
    <t xml:space="preserve"> 200  Ветчина Дугушка ТМ Стародворье, вектор в/у    ПОКОМ</t>
  </si>
  <si>
    <t>P004460</t>
  </si>
  <si>
    <t>SU002035</t>
  </si>
  <si>
    <t xml:space="preserve"> 201  Ветчина Нежная ТМ Особый рецепт, (2,5кг), ПОКОМ</t>
  </si>
  <si>
    <t>P002555</t>
  </si>
  <si>
    <t>SU000126</t>
  </si>
  <si>
    <t xml:space="preserve"> 215  Колбаса Докторская ГОСТ Дугушка, ВЕС, ТМ Стародворье ПОКОМ</t>
  </si>
  <si>
    <t>P004028</t>
  </si>
  <si>
    <t>SU002011</t>
  </si>
  <si>
    <t xml:space="preserve"> 225  Колбаса Дугушка со шпиком, ВЕС, ТМ Стародворье   ПОКОМ</t>
  </si>
  <si>
    <t>P004406</t>
  </si>
  <si>
    <t>SU002182</t>
  </si>
  <si>
    <t xml:space="preserve"> 226  Колбаса Княжеская, с/к белков.обол в термоусад. пакете, ВЕС, ТМ Стародворье ПОКОМ</t>
  </si>
  <si>
    <t>P001900</t>
  </si>
  <si>
    <t>SU001920</t>
  </si>
  <si>
    <t xml:space="preserve"> 229  Колбаса Молочная Дугушка, в/у, ВЕС, ТМ Стародворье   ПОКОМ</t>
  </si>
  <si>
    <t>P004030</t>
  </si>
  <si>
    <t>SU002010</t>
  </si>
  <si>
    <t xml:space="preserve"> 236  Колбаса Рубленая ЗАПЕЧ. Дугушка ТМ Стародворье, вектор, в/к    ПОКОМ</t>
  </si>
  <si>
    <t>P004465</t>
  </si>
  <si>
    <t>SU002150</t>
  </si>
  <si>
    <t xml:space="preserve"> 239  Колбаса Салями запеч Дугушка, оболочка вектор, ВЕС, ТМ Стародворье  ПОКОМ</t>
  </si>
  <si>
    <t>P004466</t>
  </si>
  <si>
    <t>SU002158</t>
  </si>
  <si>
    <t xml:space="preserve"> 240  Колбаса Салями охотничья, ВЕС. ПОКОМ</t>
  </si>
  <si>
    <t>P001916</t>
  </si>
  <si>
    <t>SU001921</t>
  </si>
  <si>
    <t xml:space="preserve"> 242  Колбаса Сервелат ЗАПЕЧ.Дугушка ТМ Стародворье, вектор, в/к     ПОКОМ</t>
  </si>
  <si>
    <t>P004470</t>
  </si>
  <si>
    <t>SU002151</t>
  </si>
  <si>
    <t xml:space="preserve"> 243  Колбаса Сервелат Зернистый, ВЕС.  ПОКОМ</t>
  </si>
  <si>
    <t>P001820</t>
  </si>
  <si>
    <t>SU001820</t>
  </si>
  <si>
    <t xml:space="preserve"> 247  Сардельки Нежные, ВЕС.  ПОКОМ</t>
  </si>
  <si>
    <t>P003997</t>
  </si>
  <si>
    <t>SU001051</t>
  </si>
  <si>
    <t xml:space="preserve"> 248  Сардельки Сочные ТМ Особый рецепт,   ПОКОМ</t>
  </si>
  <si>
    <t>P005080</t>
  </si>
  <si>
    <t>SU002287</t>
  </si>
  <si>
    <t xml:space="preserve"> 250  Сардельки стародворские с говядиной в обол. NDX, ВЕС. ПОКОМ</t>
  </si>
  <si>
    <t>P002536</t>
  </si>
  <si>
    <t>SU000227</t>
  </si>
  <si>
    <t xml:space="preserve"> 255  Сосиски Молочные для завтрака ТМ Особый рецепт, п/а МГС, ВЕС, ТМ Стародворье  ПОКОМ</t>
  </si>
  <si>
    <t>P004844</t>
  </si>
  <si>
    <t>SU002074</t>
  </si>
  <si>
    <t xml:space="preserve"> 257  Сосиски Молочные оригинальные ТМ Особый рецепт, ВЕС.   ПОКОМ</t>
  </si>
  <si>
    <t>P004843</t>
  </si>
  <si>
    <t>SU000246</t>
  </si>
  <si>
    <t xml:space="preserve"> 263  Шпикачки Стародворские, ВЕС.  ПОКОМ</t>
  </si>
  <si>
    <t>P004913</t>
  </si>
  <si>
    <t>SU001430</t>
  </si>
  <si>
    <t xml:space="preserve"> 265  Колбаса Балыкбургская, ВЕС, ТМ Баварушка  ПОКОМ</t>
  </si>
  <si>
    <t>P004896</t>
  </si>
  <si>
    <t>SU002612</t>
  </si>
  <si>
    <t xml:space="preserve"> 266  Колбаса Филейбургская с сочным окороком, ВЕС, ТМ Баварушка  ПОКОМ</t>
  </si>
  <si>
    <t>P004895</t>
  </si>
  <si>
    <t>SU002613</t>
  </si>
  <si>
    <t xml:space="preserve"> 267  Колбаса Салями Филейбургская зернистая, оболочка фиброуз, ВЕС, ТМ Баварушка  ПОКОМ</t>
  </si>
  <si>
    <t>P004898</t>
  </si>
  <si>
    <t>SU002614</t>
  </si>
  <si>
    <t xml:space="preserve"> 273  Сосиски Сочинки с сочной грудинкой, МГС 0.4кг,   ПОКОМ</t>
  </si>
  <si>
    <t>P003957</t>
  </si>
  <si>
    <t>SU002618</t>
  </si>
  <si>
    <t xml:space="preserve"> 276  Колбаса Сливушка ТМ Вязанка в оболочке полиамид 0,45 кг  ПОКОМ</t>
  </si>
  <si>
    <t>P003103</t>
  </si>
  <si>
    <t>SU002734</t>
  </si>
  <si>
    <t xml:space="preserve"> 278  Сосиски Сочинки с сочным окороком, МГС 0.4кг,   ПОКОМ</t>
  </si>
  <si>
    <t>P003958</t>
  </si>
  <si>
    <t>SU002621</t>
  </si>
  <si>
    <t xml:space="preserve"> 281  Сосиски Молочные для завтрака ТМ Особый рецепт, 0,4кг  ПОКОМ</t>
  </si>
  <si>
    <t>P005198</t>
  </si>
  <si>
    <t>SU002205</t>
  </si>
  <si>
    <t xml:space="preserve"> 283  Сосиски Сочинки, ВЕС, ТМ Стародворье ПОКОМ</t>
  </si>
  <si>
    <t>P003959</t>
  </si>
  <si>
    <t>SU002725</t>
  </si>
  <si>
    <t xml:space="preserve"> 285  Паштет печеночный со слив.маслом ТМ Стародворье ламистер 0,1 кг  ПОКОМ</t>
  </si>
  <si>
    <t>P002648</t>
  </si>
  <si>
    <t>SU002368</t>
  </si>
  <si>
    <t xml:space="preserve"> 296  Колбаса Мясорубская с рубленой грудинкой 0,35кг срез ТМ Стародворье  ПОКОМ</t>
  </si>
  <si>
    <t>P003256</t>
  </si>
  <si>
    <t>SU002660</t>
  </si>
  <si>
    <t xml:space="preserve"> 297  Колбаса Мясорубская с рубленой грудинкой ВЕС ТМ Стародворье  ПОКОМ</t>
  </si>
  <si>
    <t>P003179</t>
  </si>
  <si>
    <t>SU002756</t>
  </si>
  <si>
    <t xml:space="preserve"> 301  Сосиски Сочинки по-баварски с сыром,  0.4кг, ТМ Стародворье  ПОКОМ</t>
  </si>
  <si>
    <t>P003475</t>
  </si>
  <si>
    <t>SU002801</t>
  </si>
  <si>
    <t xml:space="preserve"> 302  Сосиски Сочинки по-баварски,  0.4кг, ТМ Стародворье  ПОКОМ</t>
  </si>
  <si>
    <t>P003217</t>
  </si>
  <si>
    <t>SU002799</t>
  </si>
  <si>
    <t xml:space="preserve"> 304  Колбаса Салями Мясорубская с рубленным шпиком ВЕС ТМ Стародворье  ПОКОМ</t>
  </si>
  <si>
    <t>P003276</t>
  </si>
  <si>
    <t>SU002876</t>
  </si>
  <si>
    <t xml:space="preserve"> 305  Колбаса Сервелат Мясорубский с мелкорубленным окороком в/у  ТМ Стародворье ВЕС   ПОКОМ</t>
  </si>
  <si>
    <t>P003259</t>
  </si>
  <si>
    <t>SU002847</t>
  </si>
  <si>
    <t xml:space="preserve"> 307  Колбаса Сервелат Мясорубский с мелкорубленным окороком 0,35 кг срез ТМ Стародворье   Поком</t>
  </si>
  <si>
    <t>P003260</t>
  </si>
  <si>
    <t>SU002848</t>
  </si>
  <si>
    <t xml:space="preserve"> 309  Сосиски Сочинки с сыром 0,4 кг ТМ Стародворье  ПОКОМ</t>
  </si>
  <si>
    <t>P004178</t>
  </si>
  <si>
    <t>SU002686</t>
  </si>
  <si>
    <t xml:space="preserve"> 312  Ветчина Филейская ВЕС ТМ  Вязанка ТС Столичная  ПОКОМ</t>
  </si>
  <si>
    <t>P003234</t>
  </si>
  <si>
    <t>SU002828</t>
  </si>
  <si>
    <t xml:space="preserve"> 315  Колбаса вареная Молокуша ТМ Вязанка ВЕС, ПОКОМ</t>
  </si>
  <si>
    <t>P003239</t>
  </si>
  <si>
    <t>SU002830</t>
  </si>
  <si>
    <t xml:space="preserve"> 318  Сосиски Датские ТМ Зареченские, ВЕС  ПОКОМ</t>
  </si>
  <si>
    <t>P004991</t>
  </si>
  <si>
    <t>SU002655</t>
  </si>
  <si>
    <t xml:space="preserve"> 319  Колбаса вареная Филейская ТМ Вязанка ТС Классическая, 0,45 кг. ПОКОМ</t>
  </si>
  <si>
    <t>P003227</t>
  </si>
  <si>
    <t>SU002815</t>
  </si>
  <si>
    <t xml:space="preserve"> 322  Колбаса вареная Молокуша 0,45кг ТМ Вязанка  ПОКОМ</t>
  </si>
  <si>
    <t>P003228</t>
  </si>
  <si>
    <t>SU002816</t>
  </si>
  <si>
    <t xml:space="preserve"> 328  Сардельки Сочинки Стародворье ТМ  0,4 кг ПОКОМ</t>
  </si>
  <si>
    <t>P003960</t>
  </si>
  <si>
    <t>SU002758</t>
  </si>
  <si>
    <t xml:space="preserve"> 329  Сардельки Сочинки с сыром Стародворье ТМ, 0,4 кг. ПОКОМ</t>
  </si>
  <si>
    <t>P003961</t>
  </si>
  <si>
    <t>SU002759</t>
  </si>
  <si>
    <t xml:space="preserve"> 330  Колбаса вареная Филейская ТМ Вязанка ТС Классическая ВЕС  ПОКОМ</t>
  </si>
  <si>
    <t>P003235</t>
  </si>
  <si>
    <t>SU002829</t>
  </si>
  <si>
    <t xml:space="preserve"> 334  Паштет Любительский ТМ Стародворье ламистер 0,1 кг  ПОКОМ</t>
  </si>
  <si>
    <t>P003253</t>
  </si>
  <si>
    <t>SU002841</t>
  </si>
  <si>
    <t xml:space="preserve"> 335  Колбаса Сливушка ТМ Вязанка. ВЕС.  ПОКОМ </t>
  </si>
  <si>
    <t>P003357</t>
  </si>
  <si>
    <t>SU002928</t>
  </si>
  <si>
    <t xml:space="preserve"> 336  Ветчина Сливушка с индейкой ТМ Вязанка. ВЕС  ПОКОМ</t>
  </si>
  <si>
    <t>P004607</t>
  </si>
  <si>
    <t>SU002833</t>
  </si>
  <si>
    <t xml:space="preserve"> 338  Паштет печеночный с морковью ТМ Стародворье ламистер 0,1 кг.  ПОКОМ</t>
  </si>
  <si>
    <t>P003252</t>
  </si>
  <si>
    <t>SU002840</t>
  </si>
  <si>
    <t xml:space="preserve"> 339  Колбаса вареная Филейская ТМ Вязанка ТС Классическая, 0,40 кг.  ПОКОМ</t>
  </si>
  <si>
    <t>P003243</t>
  </si>
  <si>
    <t>SU002831</t>
  </si>
  <si>
    <t xml:space="preserve"> 340  Сосиски Сочинки Молочные ТМ Стародворье, ВЕС ПОКОМ</t>
  </si>
  <si>
    <t>P003263</t>
  </si>
  <si>
    <t>SU002843</t>
  </si>
  <si>
    <t xml:space="preserve"> 341 Сосиски Сочинки Сливочные ТМ Стародворье ВЕС ПОКОМ</t>
  </si>
  <si>
    <t>P003266</t>
  </si>
  <si>
    <t>SU002845</t>
  </si>
  <si>
    <t xml:space="preserve"> 342 Сосиски Сочинки Молочные ТМ Стародворье 0,4 кг ПОКОМ</t>
  </si>
  <si>
    <t>P003262</t>
  </si>
  <si>
    <t>SU002842</t>
  </si>
  <si>
    <t xml:space="preserve"> 343 Сосиски Сочинки Сливочные ТМ Стародворье  0,4 кг ПОКОМ</t>
  </si>
  <si>
    <t>P003265</t>
  </si>
  <si>
    <t>SU002844</t>
  </si>
  <si>
    <t xml:space="preserve"> 344  Колбаса Сочинка по-европейски с сочной грудинкой ТМ Стародворье, ВЕС ПОКОМ</t>
  </si>
  <si>
    <t>P003387</t>
  </si>
  <si>
    <t>SU002941</t>
  </si>
  <si>
    <t xml:space="preserve"> 345  Колбаса Сочинка по-фински с сочным окроком ТМ Стародворье ВЕС ПОКОМ</t>
  </si>
  <si>
    <t>P003401</t>
  </si>
  <si>
    <t>SU002943</t>
  </si>
  <si>
    <t xml:space="preserve"> 346  Колбаса Сочинка зернистая с сочной грудинкой ТМ Стародворье.ВЕС ПОКОМ</t>
  </si>
  <si>
    <t>P003383</t>
  </si>
  <si>
    <t>SU002945</t>
  </si>
  <si>
    <t xml:space="preserve"> 347  Колбаса Сочинка рубленая с сочным окороком ТМ Стародворье ВЕС ПОКОМ</t>
  </si>
  <si>
    <t>P003384</t>
  </si>
  <si>
    <t>SU002947</t>
  </si>
  <si>
    <t xml:space="preserve"> 355  Колбаса Сервелат запеченный ТМ Стародворье ТС Дугушка. 0,6 кг. ПОКОМ</t>
  </si>
  <si>
    <t>P004929</t>
  </si>
  <si>
    <t>SU002918</t>
  </si>
  <si>
    <t xml:space="preserve"> 364  Сардельки Филейские Вязанка ВЕС NDX ТМ Вязанка  ПОКОМ</t>
  </si>
  <si>
    <t>P003883</t>
  </si>
  <si>
    <t>SU002835</t>
  </si>
  <si>
    <t xml:space="preserve"> 377  Колбаса Молочная Дугушка 0,6кг ТМ Стародворье  ПОКОМ</t>
  </si>
  <si>
    <t>P004688</t>
  </si>
  <si>
    <t>SU002631</t>
  </si>
  <si>
    <t xml:space="preserve"> 387  Колбаса вареная Мусульманская Халяль ТМ Вязанка, 0,4 кг ПОКОМ</t>
  </si>
  <si>
    <t>P003437</t>
  </si>
  <si>
    <t>SU002983</t>
  </si>
  <si>
    <t xml:space="preserve"> 388  Сосиски Восточные Халяль ТМ Вязанка 0,33 кг АК. ПОКОМ</t>
  </si>
  <si>
    <t>P003438</t>
  </si>
  <si>
    <t>SU002984</t>
  </si>
  <si>
    <t xml:space="preserve"> 394 Колбаса полукопченая Аль-Ислами халяль ТМ Вязанка оболочка фиброуз в в/у 0,35 кг  ПОКОМ</t>
  </si>
  <si>
    <t>P003442</t>
  </si>
  <si>
    <t>SU002985</t>
  </si>
  <si>
    <t xml:space="preserve"> 395  Колбаса Докторская ГОСТ ТМ Вязанка в оболочке полиамид 0,37 кг. ПОКОМ</t>
  </si>
  <si>
    <t>P003429</t>
  </si>
  <si>
    <t>SU002986</t>
  </si>
  <si>
    <t xml:space="preserve"> 405  Сардельки Сливушки ТМ Вязанка в оболочке айпил 0,33 кг. ПОКОМ</t>
  </si>
  <si>
    <t>P002644</t>
  </si>
  <si>
    <t>SU002367</t>
  </si>
  <si>
    <t xml:space="preserve"> 408  Ветчина Сливушка с индейкой ТМ Вязанка, 0,4кг  ПОКОМ</t>
  </si>
  <si>
    <t>P004586</t>
  </si>
  <si>
    <t>SU002735</t>
  </si>
  <si>
    <t xml:space="preserve"> 410  Сосиски Баварские с сыром ТМ Стародворье 0,35 кг. ПОКОМ</t>
  </si>
  <si>
    <t>P003364</t>
  </si>
  <si>
    <t>SU003168</t>
  </si>
  <si>
    <t xml:space="preserve"> 412  Сосиски Баварские ТМ Стародворье 0,35 кг ПОКОМ</t>
  </si>
  <si>
    <t>P003363</t>
  </si>
  <si>
    <t>SU003167</t>
  </si>
  <si>
    <t xml:space="preserve"> 435  Колбаса Молочная Стародворская  с молоком в оболочке полиамид 0,4 кг.ТМ Стародворье ПОКОМ</t>
  </si>
  <si>
    <t>P004067</t>
  </si>
  <si>
    <t>SU003274</t>
  </si>
  <si>
    <t xml:space="preserve"> 436  Колбаса Молочная стародворская с молоком, ВЕС, ТМ Стародворье  ПОКОМ</t>
  </si>
  <si>
    <t>P004070</t>
  </si>
  <si>
    <t>SU003273</t>
  </si>
  <si>
    <t xml:space="preserve"> 449  Колбаса Дугушка Стародворская ВЕС ТС Дугушка ПОКОМ</t>
  </si>
  <si>
    <t>P002989</t>
  </si>
  <si>
    <t>SU002634</t>
  </si>
  <si>
    <t xml:space="preserve"> 452  Колбаса Со шпиком ВЕС большой батон ТМ Особый рецепт  ПОКОМ</t>
  </si>
  <si>
    <t>P004257</t>
  </si>
  <si>
    <t>SU003423</t>
  </si>
  <si>
    <t xml:space="preserve"> 456  Колбаса Филейная ТМ Особый рецепт ВЕС большой батон  ПОКОМ</t>
  </si>
  <si>
    <t>P004252</t>
  </si>
  <si>
    <t>SU003420</t>
  </si>
  <si>
    <t xml:space="preserve"> 457  Колбаса Молочная ТМ Особый рецепт ВЕС большой батон  ПОКОМ</t>
  </si>
  <si>
    <t>P004256</t>
  </si>
  <si>
    <t>SU003422</t>
  </si>
  <si>
    <t xml:space="preserve"> 498  Колбаса Сочинка рубленая с сочным окороком 0,3кг ТМ Стародворье  ПОКОМ</t>
  </si>
  <si>
    <t>P003390</t>
  </si>
  <si>
    <t>SU002948</t>
  </si>
  <si>
    <t xml:space="preserve"> 523  Колбаса Сальчичон нарезка 0,07кг ТМ Стародворье  ПОКОМ </t>
  </si>
  <si>
    <t>P004978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</si>
  <si>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</si>
  <si>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</si>
  <si>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</si>
  <si>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</si>
  <si>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P004982</t>
  </si>
  <si>
    <t>SU003896</t>
  </si>
  <si>
    <t xml:space="preserve"> 526  Корейка вяленая выдержанная нарезка 0,05кг ТМ Стародворье  ПОКОМ</t>
  </si>
  <si>
    <t>P005023</t>
  </si>
  <si>
    <t>SU003925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</si>
  <si>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</si>
  <si>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</si>
  <si>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</si>
  <si>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>SU003924</t>
  </si>
  <si>
    <t xml:space="preserve"> 530  Окорок Хамон выдержанный нарезка 0,055кг ТМ Стародворье  ПОКОМ</t>
  </si>
  <si>
    <t>P005021</t>
  </si>
  <si>
    <t>SU003923</t>
  </si>
  <si>
    <t xml:space="preserve"> 547  Колбаса Мясная Классическая ТМ Вязанка в оболочке полиамид. ВЕС  ПОКОМ</t>
  </si>
  <si>
    <t>не в матрице</t>
  </si>
  <si>
    <t>Не заказываем ( ошибочное скю) распрадаём</t>
  </si>
  <si>
    <t xml:space="preserve"> 553  Ассорти колбас Мясорубская коллекция: Сервелат Делюкс, С балыком 0,08 кг нарезка  ПОКОМ</t>
  </si>
  <si>
    <t>P005155</t>
  </si>
  <si>
    <t>SU004026</t>
  </si>
  <si>
    <t xml:space="preserve"> 554  Колбаса Сервелат Мясорубский ТМ Стародворье в упаковке скин 0,08 кг нарезка  ПОКОМ</t>
  </si>
  <si>
    <t>P003837</t>
  </si>
  <si>
    <t>SU003178</t>
  </si>
  <si>
    <t xml:space="preserve"> 556  Колбаса Сервелат Ореховый ТМ Вязанка в оболочке фиброуз в вакуумной упаковке, ВЕС  ПОКОМ</t>
  </si>
  <si>
    <t>P005376</t>
  </si>
  <si>
    <t>SU004044</t>
  </si>
  <si>
    <t xml:space="preserve"> 557  Колбаса Сервелат Финский ТМ Вязанка в оболочке фиброуз в вакуумной упаковке, ВЕС  ПОКОМ</t>
  </si>
  <si>
    <t>P005377</t>
  </si>
  <si>
    <t>SU004047</t>
  </si>
  <si>
    <t xml:space="preserve"> 558  Колбаса Балыковая НОВАЯ ВЕС Вязанка фиброуз в/у ПОКОМ</t>
  </si>
  <si>
    <t>P005375</t>
  </si>
  <si>
    <t>SU004041</t>
  </si>
  <si>
    <t xml:space="preserve"> 569  Колбаса Балыковая ТМ Вязанка в оболочке фиброуз в вакуумной упаковке 0,28 кг срез.  ПОКОМ</t>
  </si>
  <si>
    <t>P005163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</si>
  <si>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</si>
  <si>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</si>
  <si>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</si>
  <si>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</si>
  <si>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P005166</t>
  </si>
  <si>
    <t>SU004042</t>
  </si>
  <si>
    <t xml:space="preserve"> 579  Колбаса Ветчинно-рубленая ТМ Особый рецепт в оболочке полиамид.ВЕС  ПОКОМ</t>
  </si>
  <si>
    <t>P005388</t>
  </si>
  <si>
    <t>SU004131</t>
  </si>
  <si>
    <t xml:space="preserve"> 580  Ветчина Нежная с индейкой ТМ Особый рецепт в оболочке полиамид.ВЕС  ПОКОМ</t>
  </si>
  <si>
    <t>P004675</t>
  </si>
  <si>
    <t>SU003686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</si>
  <si>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</si>
  <si>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</si>
  <si>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</si>
  <si>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P005361</t>
  </si>
  <si>
    <t>SU004104</t>
  </si>
  <si>
    <t xml:space="preserve"> 588 Колбаса Со шпиком ТМ Стародворье в оболочке вектор ВЕС  ПОКОМ</t>
  </si>
  <si>
    <t>P005363</t>
  </si>
  <si>
    <t>SU004106</t>
  </si>
  <si>
    <t xml:space="preserve"> 597  Колбаса Классическая ТМ Особый рецепт в оболочке полиамид ВЕС. ПОКОМ</t>
  </si>
  <si>
    <t>SU004238</t>
  </si>
  <si>
    <t>495  Колбаса Сочинка по-европейски с сочной грудинкой 0,3кг ТМ Стародворье  ПОКОМ</t>
  </si>
  <si>
    <t>P003386</t>
  </si>
  <si>
    <t>SU002944</t>
  </si>
  <si>
    <t>496  Колбаса Сочинка по-фински с сочным окроком 0,3кг ТМ Стародворье  ПОКОМ</t>
  </si>
  <si>
    <t>P003385</t>
  </si>
  <si>
    <t>SU002942</t>
  </si>
  <si>
    <t>503 Колбаса Филейская со шпиком ТМ Вязанка в оболочке полиамид.ПОКОМ</t>
  </si>
  <si>
    <t>P004621</t>
  </si>
  <si>
    <t>SU003642</t>
  </si>
  <si>
    <t>515  Колбаса Сервелат Мясорубский Делюкс 0,3кг ТМ Стародворье  ПОКОМ</t>
  </si>
  <si>
    <t>P004890</t>
  </si>
  <si>
    <t>SU003829</t>
  </si>
  <si>
    <t>519  Грудинка 0,12 кг нарезка ТМ Стародворье  ПОКОМ</t>
  </si>
  <si>
    <t>P005060</t>
  </si>
  <si>
    <t>SU003921</t>
  </si>
  <si>
    <t>вместо 219 / новинка</t>
  </si>
  <si>
    <t>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</si>
</sst>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0" borderId="1" xfId="1" applyNumberFormat="1" applyFont="1"/>
    <xf numFmtId="1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498"/>
  <sheetViews>
    <sheetView tabSelected="1" zoomScale="85" workbookViewId="0">
      <pane xSplit="3" ySplit="5" topLeftCell="D6" activePane="bottomRight" state="frozen"/>
      <selection pane="topRight"/>
      <selection pane="bottomLeft"/>
      <selection pane="bottomRight" activeCell="AI7" sqref="AI7"/>
    </sheetView>
  </sheetViews>
  <sheetFormatPr defaultRowHeight="15" x14ac:dyDescent="0.25"/>
  <cols>
    <col min="2" max="2" width="60" customWidth="1"/>
    <col min="3" max="3" width="3" customWidth="1"/>
    <col min="4" max="5" width="6" customWidth="1"/>
    <col min="6" max="7" width="7" customWidth="1"/>
    <col min="8" max="8" width="5" style="5" customWidth="1"/>
    <col min="9" max="9" width="5" customWidth="1"/>
    <col min="10" max="10" width="12" customWidth="1"/>
    <col min="11" max="11" width="1" customWidth="1"/>
    <col min="12" max="13" width="7" customWidth="1"/>
    <col min="14" max="15" width="0.5703125" customWidth="1"/>
    <col min="16" max="19" width="7" customWidth="1"/>
    <col min="20" max="21" width="5" customWidth="1"/>
    <col min="22" max="31" width="6" customWidth="1"/>
    <col min="32" max="32" width="39.140625" customWidth="1"/>
    <col min="33" max="33" width="7" customWidth="1"/>
    <col min="34" max="34" width="9.140625" style="16"/>
  </cols>
  <sheetData>
    <row r="1" spans="1:34" x14ac:dyDescent="0.25">
      <c r="B1" s="11"/>
      <c r="C1" s="11"/>
      <c r="D1" s="11"/>
      <c r="E1" s="11"/>
      <c r="F1" s="11"/>
      <c r="G1" s="11"/>
      <c r="H1" s="6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4" x14ac:dyDescent="0.25">
      <c r="B2" s="11"/>
      <c r="C2" s="11"/>
      <c r="D2" s="11"/>
      <c r="E2" s="11"/>
      <c r="F2" s="11"/>
      <c r="G2" s="11"/>
      <c r="H2" s="6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4" x14ac:dyDescent="0.25">
      <c r="A3" t="s">
        <v>354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7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14</v>
      </c>
      <c r="R3" s="1" t="s">
        <v>15</v>
      </c>
      <c r="S3" s="2" t="s">
        <v>16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</row>
    <row r="4" spans="1:34" hidden="1" x14ac:dyDescent="0.25">
      <c r="B4" s="11"/>
      <c r="C4" s="11"/>
      <c r="D4" s="11"/>
      <c r="E4" s="11"/>
      <c r="F4" s="11"/>
      <c r="G4" s="11"/>
      <c r="H4" s="6"/>
      <c r="I4" s="11"/>
      <c r="J4" s="11"/>
      <c r="K4" s="11"/>
      <c r="L4" s="11"/>
      <c r="M4" s="11"/>
      <c r="N4" s="11"/>
      <c r="O4" s="11"/>
      <c r="P4" s="11" t="s">
        <v>22</v>
      </c>
      <c r="Q4" s="11" t="s">
        <v>23</v>
      </c>
      <c r="R4" s="11" t="s">
        <v>23</v>
      </c>
      <c r="S4" s="11"/>
      <c r="T4" s="11"/>
      <c r="U4" s="11"/>
      <c r="V4" s="11" t="s">
        <v>24</v>
      </c>
      <c r="W4" s="11" t="s">
        <v>25</v>
      </c>
      <c r="X4" s="11" t="s">
        <v>26</v>
      </c>
      <c r="Y4" s="11" t="s">
        <v>27</v>
      </c>
      <c r="Z4" s="11" t="s">
        <v>28</v>
      </c>
      <c r="AA4" s="11" t="s">
        <v>29</v>
      </c>
      <c r="AB4" s="11" t="s">
        <v>30</v>
      </c>
      <c r="AC4" s="11" t="s">
        <v>31</v>
      </c>
      <c r="AD4" s="11" t="s">
        <v>32</v>
      </c>
      <c r="AE4" s="11" t="s">
        <v>33</v>
      </c>
      <c r="AF4" s="11"/>
      <c r="AG4" s="11"/>
      <c r="AH4"/>
    </row>
    <row r="5" spans="1:34" hidden="1" x14ac:dyDescent="0.25">
      <c r="B5" s="11"/>
      <c r="C5" s="11"/>
      <c r="D5" s="11"/>
      <c r="E5" s="11"/>
      <c r="F5" s="3">
        <f>SUM(F6:F498)</f>
        <v>28405.699000000004</v>
      </c>
      <c r="G5" s="3">
        <f>SUM(G6:G498)</f>
        <v>37457.550000000003</v>
      </c>
      <c r="H5" s="6"/>
      <c r="I5" s="11"/>
      <c r="J5" s="11"/>
      <c r="K5" s="11"/>
      <c r="L5" s="3">
        <f t="shared" ref="L5:S5" si="0">SUM(L6:L498)</f>
        <v>26026.038</v>
      </c>
      <c r="M5" s="3">
        <f t="shared" si="0"/>
        <v>2379.661000000001</v>
      </c>
      <c r="N5" s="3">
        <f t="shared" si="0"/>
        <v>0</v>
      </c>
      <c r="O5" s="3">
        <f t="shared" si="0"/>
        <v>0</v>
      </c>
      <c r="P5" s="3">
        <f t="shared" si="0"/>
        <v>4415.19846856</v>
      </c>
      <c r="Q5" s="3">
        <f t="shared" si="0"/>
        <v>7355.6278694400035</v>
      </c>
      <c r="R5" s="3">
        <f t="shared" si="0"/>
        <v>5681.1398000000008</v>
      </c>
      <c r="S5" s="3">
        <f t="shared" si="0"/>
        <v>16545.391613999993</v>
      </c>
      <c r="T5" s="11"/>
      <c r="U5" s="11"/>
      <c r="V5" s="3">
        <f t="shared" ref="V5:AE5" si="1">SUM(V6:V498)</f>
        <v>4551.0276000000013</v>
      </c>
      <c r="W5" s="3">
        <f t="shared" si="1"/>
        <v>4055.5027999999998</v>
      </c>
      <c r="X5" s="3">
        <f t="shared" si="1"/>
        <v>4899.2521999999981</v>
      </c>
      <c r="Y5" s="3">
        <f t="shared" si="1"/>
        <v>4551.299799999997</v>
      </c>
      <c r="Z5" s="3">
        <f t="shared" si="1"/>
        <v>4262.4295999999977</v>
      </c>
      <c r="AA5" s="3">
        <f t="shared" si="1"/>
        <v>4449.9754000000012</v>
      </c>
      <c r="AB5" s="3">
        <f t="shared" si="1"/>
        <v>4569.6715999999988</v>
      </c>
      <c r="AC5" s="3">
        <f t="shared" si="1"/>
        <v>3542.7732000000005</v>
      </c>
      <c r="AD5" s="3">
        <f t="shared" si="1"/>
        <v>4222.9649999999992</v>
      </c>
      <c r="AE5" s="3">
        <f t="shared" si="1"/>
        <v>4229.6840000000011</v>
      </c>
      <c r="AF5" s="11"/>
      <c r="AG5" s="3">
        <f>SUM(AG6:AG498)</f>
        <v>13626.870014</v>
      </c>
      <c r="AH5"/>
    </row>
    <row r="6" spans="1:34" x14ac:dyDescent="0.25">
      <c r="A6" t="s">
        <v>37</v>
      </c>
      <c r="B6" s="11" t="s">
        <v>34</v>
      </c>
      <c r="C6" s="11" t="s">
        <v>35</v>
      </c>
      <c r="D6" s="11">
        <v>646.21900000000005</v>
      </c>
      <c r="E6" s="11">
        <v>612.67899999999997</v>
      </c>
      <c r="F6" s="11">
        <v>411.47</v>
      </c>
      <c r="G6" s="11">
        <v>896.81</v>
      </c>
      <c r="H6" s="6">
        <v>1</v>
      </c>
      <c r="I6" s="11">
        <v>50</v>
      </c>
      <c r="J6" s="11" t="s">
        <v>36</v>
      </c>
      <c r="K6" s="11"/>
      <c r="L6" s="11">
        <v>319.45</v>
      </c>
      <c r="M6" s="11">
        <f t="shared" ref="M6:M37" si="2">F6-L6</f>
        <v>92.020000000000039</v>
      </c>
      <c r="N6" s="11"/>
      <c r="O6" s="11"/>
      <c r="P6" s="11"/>
      <c r="Q6" s="11"/>
      <c r="R6" s="11">
        <f t="shared" ref="R6:R37" si="3">F6/5</f>
        <v>82.294000000000011</v>
      </c>
      <c r="S6" s="4"/>
      <c r="T6" s="11">
        <f t="shared" ref="T6:T37" si="4">(G6+P6+Q6+S6)/R6</f>
        <v>10.897635307555834</v>
      </c>
      <c r="U6" s="11">
        <f t="shared" ref="U6:U37" si="5">(G6+P6+Q6)/R6</f>
        <v>10.897635307555834</v>
      </c>
      <c r="V6" s="11">
        <v>60.082000000000008</v>
      </c>
      <c r="W6" s="11">
        <v>55.816999999999993</v>
      </c>
      <c r="X6" s="11">
        <v>53.811199999999999</v>
      </c>
      <c r="Y6" s="11">
        <v>54.4542</v>
      </c>
      <c r="Z6" s="11">
        <v>78.643600000000006</v>
      </c>
      <c r="AA6" s="11">
        <v>81.141999999999996</v>
      </c>
      <c r="AB6" s="11">
        <v>56.725999999999999</v>
      </c>
      <c r="AC6" s="11">
        <v>56.728200000000001</v>
      </c>
      <c r="AD6" s="11">
        <v>58.592599999999997</v>
      </c>
      <c r="AE6" s="11">
        <v>59.230600000000003</v>
      </c>
      <c r="AF6" s="11"/>
      <c r="AG6" s="11">
        <f t="shared" ref="AG6:AG37" si="6">H6*S6</f>
        <v>0</v>
      </c>
      <c r="AH6" s="16">
        <f>(R6+SUM(V6:AE6))/11*H6</f>
        <v>63.411036363636363</v>
      </c>
    </row>
    <row r="7" spans="1:34" x14ac:dyDescent="0.25">
      <c r="A7" t="s">
        <v>40</v>
      </c>
      <c r="B7" s="11" t="s">
        <v>38</v>
      </c>
      <c r="C7" s="11" t="s">
        <v>35</v>
      </c>
      <c r="D7" s="11">
        <v>434.44499999999999</v>
      </c>
      <c r="E7" s="11">
        <v>1556.6669999999999</v>
      </c>
      <c r="F7" s="11">
        <v>894.24099999999999</v>
      </c>
      <c r="G7" s="11">
        <v>1189.3979999999999</v>
      </c>
      <c r="H7" s="6">
        <v>1</v>
      </c>
      <c r="I7" s="11">
        <v>45</v>
      </c>
      <c r="J7" s="11" t="s">
        <v>39</v>
      </c>
      <c r="K7" s="11"/>
      <c r="L7" s="11">
        <v>702.3</v>
      </c>
      <c r="M7" s="11">
        <f t="shared" si="2"/>
        <v>191.94100000000003</v>
      </c>
      <c r="N7" s="11"/>
      <c r="O7" s="11"/>
      <c r="P7" s="11"/>
      <c r="Q7" s="11">
        <v>302.76372000000049</v>
      </c>
      <c r="R7" s="11">
        <f t="shared" si="3"/>
        <v>178.84819999999999</v>
      </c>
      <c r="S7" s="4">
        <f>11*R7-Q7-P7-G7</f>
        <v>475.16847999999959</v>
      </c>
      <c r="T7" s="11">
        <f t="shared" si="4"/>
        <v>11.000000000000002</v>
      </c>
      <c r="U7" s="11">
        <f t="shared" si="5"/>
        <v>8.3431743791662463</v>
      </c>
      <c r="V7" s="11">
        <v>149.67179999999999</v>
      </c>
      <c r="W7" s="11">
        <v>148.21080000000001</v>
      </c>
      <c r="X7" s="11">
        <v>187.27260000000001</v>
      </c>
      <c r="Y7" s="11">
        <v>139.0446</v>
      </c>
      <c r="Z7" s="11">
        <v>77.631399999999999</v>
      </c>
      <c r="AA7" s="11">
        <v>85.131200000000007</v>
      </c>
      <c r="AB7" s="11">
        <v>120.83459999999999</v>
      </c>
      <c r="AC7" s="11">
        <v>53.919400000000003</v>
      </c>
      <c r="AD7" s="11">
        <v>103.55159999999999</v>
      </c>
      <c r="AE7" s="11">
        <v>110.9192</v>
      </c>
      <c r="AF7" s="11"/>
      <c r="AG7" s="11">
        <f t="shared" si="6"/>
        <v>475.16847999999959</v>
      </c>
      <c r="AH7" s="16">
        <f t="shared" ref="AH7:AH70" si="7">(R7+SUM(V7:AE7))/11*H7</f>
        <v>123.18503636363636</v>
      </c>
    </row>
    <row r="8" spans="1:34" x14ac:dyDescent="0.25">
      <c r="A8" t="s">
        <v>43</v>
      </c>
      <c r="B8" s="11" t="s">
        <v>41</v>
      </c>
      <c r="C8" s="11" t="s">
        <v>35</v>
      </c>
      <c r="D8" s="11">
        <v>426.98200000000003</v>
      </c>
      <c r="E8" s="11">
        <v>1507.203</v>
      </c>
      <c r="F8" s="11">
        <v>948.54899999999998</v>
      </c>
      <c r="G8" s="11">
        <v>1122.5119999999999</v>
      </c>
      <c r="H8" s="6">
        <v>1</v>
      </c>
      <c r="I8" s="11">
        <v>45</v>
      </c>
      <c r="J8" s="11" t="s">
        <v>42</v>
      </c>
      <c r="K8" s="11"/>
      <c r="L8" s="11">
        <v>763.95</v>
      </c>
      <c r="M8" s="11">
        <f t="shared" si="2"/>
        <v>184.59899999999993</v>
      </c>
      <c r="N8" s="11"/>
      <c r="O8" s="11"/>
      <c r="P8" s="11"/>
      <c r="Q8" s="11">
        <v>450.35723999999999</v>
      </c>
      <c r="R8" s="11">
        <f t="shared" si="3"/>
        <v>189.7098</v>
      </c>
      <c r="S8" s="4">
        <f>11*R8-Q8-P8-G8</f>
        <v>513.93856000000005</v>
      </c>
      <c r="T8" s="11">
        <f t="shared" si="4"/>
        <v>11</v>
      </c>
      <c r="U8" s="11">
        <f t="shared" si="5"/>
        <v>8.2909224510278321</v>
      </c>
      <c r="V8" s="11">
        <v>156.5736</v>
      </c>
      <c r="W8" s="11">
        <v>142.0624</v>
      </c>
      <c r="X8" s="11">
        <v>183.81639999999999</v>
      </c>
      <c r="Y8" s="11">
        <v>143.90119999999999</v>
      </c>
      <c r="Z8" s="11">
        <v>28.558599999999998</v>
      </c>
      <c r="AA8" s="11">
        <v>19.2348</v>
      </c>
      <c r="AB8" s="11">
        <v>136.8586</v>
      </c>
      <c r="AC8" s="11">
        <v>61.915200000000013</v>
      </c>
      <c r="AD8" s="11">
        <v>120.94499999999999</v>
      </c>
      <c r="AE8" s="11">
        <v>110.595</v>
      </c>
      <c r="AF8" s="11"/>
      <c r="AG8" s="11">
        <f t="shared" si="6"/>
        <v>513.93856000000005</v>
      </c>
      <c r="AH8" s="16">
        <f t="shared" si="7"/>
        <v>117.65187272727272</v>
      </c>
    </row>
    <row r="9" spans="1:34" x14ac:dyDescent="0.25">
      <c r="A9" t="s">
        <v>46</v>
      </c>
      <c r="B9" s="11" t="s">
        <v>44</v>
      </c>
      <c r="C9" s="11" t="s">
        <v>45</v>
      </c>
      <c r="D9" s="11"/>
      <c r="E9" s="11"/>
      <c r="F9" s="11"/>
      <c r="G9" s="11"/>
      <c r="H9" s="6">
        <v>0.4</v>
      </c>
      <c r="I9" s="11">
        <v>50</v>
      </c>
      <c r="J9" s="11"/>
      <c r="K9" s="11"/>
      <c r="L9" s="11"/>
      <c r="M9" s="11">
        <f t="shared" si="2"/>
        <v>0</v>
      </c>
      <c r="N9" s="11"/>
      <c r="O9" s="11"/>
      <c r="P9" s="11">
        <v>16</v>
      </c>
      <c r="Q9" s="11"/>
      <c r="R9" s="11">
        <f t="shared" si="3"/>
        <v>0</v>
      </c>
      <c r="S9" s="4"/>
      <c r="T9" s="11" t="e">
        <f t="shared" si="4"/>
        <v>#DIV/0!</v>
      </c>
      <c r="U9" s="11" t="e">
        <f t="shared" si="5"/>
        <v>#DIV/0!</v>
      </c>
      <c r="V9" s="11">
        <v>0</v>
      </c>
      <c r="W9" s="11">
        <v>0.4</v>
      </c>
      <c r="X9" s="11">
        <v>1.4</v>
      </c>
      <c r="Y9" s="11">
        <v>2</v>
      </c>
      <c r="Z9" s="11">
        <v>2.2000000000000002</v>
      </c>
      <c r="AA9" s="11">
        <v>1.2</v>
      </c>
      <c r="AB9" s="11">
        <v>1</v>
      </c>
      <c r="AC9" s="11">
        <v>0</v>
      </c>
      <c r="AD9" s="11">
        <v>0</v>
      </c>
      <c r="AE9" s="11">
        <v>0</v>
      </c>
      <c r="AF9" s="11"/>
      <c r="AG9" s="11">
        <f t="shared" si="6"/>
        <v>0</v>
      </c>
      <c r="AH9" s="16">
        <f t="shared" si="7"/>
        <v>0.29818181818181816</v>
      </c>
    </row>
    <row r="10" spans="1:34" x14ac:dyDescent="0.25">
      <c r="A10" t="s">
        <v>49</v>
      </c>
      <c r="B10" s="11" t="s">
        <v>47</v>
      </c>
      <c r="C10" s="11" t="s">
        <v>45</v>
      </c>
      <c r="D10" s="11">
        <v>255</v>
      </c>
      <c r="E10" s="11">
        <v>559</v>
      </c>
      <c r="F10" s="11">
        <v>322</v>
      </c>
      <c r="G10" s="11">
        <v>462</v>
      </c>
      <c r="H10" s="6">
        <v>0.45</v>
      </c>
      <c r="I10" s="11">
        <v>45</v>
      </c>
      <c r="J10" s="11" t="s">
        <v>48</v>
      </c>
      <c r="K10" s="11"/>
      <c r="L10" s="11">
        <v>344</v>
      </c>
      <c r="M10" s="11">
        <f t="shared" si="2"/>
        <v>-22</v>
      </c>
      <c r="N10" s="11"/>
      <c r="O10" s="11"/>
      <c r="P10" s="11"/>
      <c r="Q10" s="11">
        <v>32.400000000000027</v>
      </c>
      <c r="R10" s="11">
        <f t="shared" si="3"/>
        <v>64.400000000000006</v>
      </c>
      <c r="S10" s="4">
        <f>11*R10-Q10-P10-G10</f>
        <v>214.00000000000011</v>
      </c>
      <c r="T10" s="11">
        <f t="shared" si="4"/>
        <v>11</v>
      </c>
      <c r="U10" s="11">
        <f t="shared" si="5"/>
        <v>7.6770186335403725</v>
      </c>
      <c r="V10" s="11">
        <v>51.8</v>
      </c>
      <c r="W10" s="11">
        <v>54</v>
      </c>
      <c r="X10" s="11">
        <v>66.599999999999994</v>
      </c>
      <c r="Y10" s="11">
        <v>69</v>
      </c>
      <c r="Z10" s="11">
        <v>72.599999999999994</v>
      </c>
      <c r="AA10" s="11">
        <v>51</v>
      </c>
      <c r="AB10" s="11">
        <v>59.6</v>
      </c>
      <c r="AC10" s="11">
        <v>-0.4</v>
      </c>
      <c r="AD10" s="11">
        <v>12.8</v>
      </c>
      <c r="AE10" s="11">
        <v>48</v>
      </c>
      <c r="AF10" s="11"/>
      <c r="AG10" s="11">
        <f t="shared" si="6"/>
        <v>96.300000000000054</v>
      </c>
      <c r="AH10" s="16">
        <f t="shared" si="7"/>
        <v>22.47545454545455</v>
      </c>
    </row>
    <row r="11" spans="1:34" x14ac:dyDescent="0.25">
      <c r="A11" t="s">
        <v>52</v>
      </c>
      <c r="B11" s="11" t="s">
        <v>50</v>
      </c>
      <c r="C11" s="11" t="s">
        <v>45</v>
      </c>
      <c r="D11" s="11">
        <v>846</v>
      </c>
      <c r="E11" s="11">
        <v>66</v>
      </c>
      <c r="F11" s="11">
        <v>453</v>
      </c>
      <c r="G11" s="11">
        <v>441</v>
      </c>
      <c r="H11" s="6">
        <v>0.45</v>
      </c>
      <c r="I11" s="11">
        <v>45</v>
      </c>
      <c r="J11" s="11" t="s">
        <v>51</v>
      </c>
      <c r="K11" s="11"/>
      <c r="L11" s="11">
        <v>458</v>
      </c>
      <c r="M11" s="11">
        <f t="shared" si="2"/>
        <v>-5</v>
      </c>
      <c r="N11" s="11"/>
      <c r="O11" s="11"/>
      <c r="P11" s="11">
        <v>99.940000000000055</v>
      </c>
      <c r="Q11" s="11">
        <v>113.86</v>
      </c>
      <c r="R11" s="11">
        <f t="shared" si="3"/>
        <v>90.6</v>
      </c>
      <c r="S11" s="4">
        <f>11*R11-Q11-P11-G11</f>
        <v>341.79999999999984</v>
      </c>
      <c r="T11" s="11">
        <f t="shared" si="4"/>
        <v>11</v>
      </c>
      <c r="U11" s="11">
        <f t="shared" si="5"/>
        <v>7.227373068432672</v>
      </c>
      <c r="V11" s="11">
        <v>71.400000000000006</v>
      </c>
      <c r="W11" s="11">
        <v>71.8</v>
      </c>
      <c r="X11" s="11">
        <v>78</v>
      </c>
      <c r="Y11" s="11">
        <v>73.2</v>
      </c>
      <c r="Z11" s="11">
        <v>69</v>
      </c>
      <c r="AA11" s="11">
        <v>81.8</v>
      </c>
      <c r="AB11" s="11">
        <v>64.8</v>
      </c>
      <c r="AC11" s="11">
        <v>39.799999999999997</v>
      </c>
      <c r="AD11" s="11">
        <v>75.599999999999994</v>
      </c>
      <c r="AE11" s="11">
        <v>77</v>
      </c>
      <c r="AF11" s="11"/>
      <c r="AG11" s="11">
        <f t="shared" si="6"/>
        <v>153.80999999999995</v>
      </c>
      <c r="AH11" s="16">
        <f t="shared" si="7"/>
        <v>32.440909090909095</v>
      </c>
    </row>
    <row r="12" spans="1:34" x14ac:dyDescent="0.25">
      <c r="A12" t="s">
        <v>55</v>
      </c>
      <c r="B12" s="11" t="s">
        <v>53</v>
      </c>
      <c r="C12" s="11" t="s">
        <v>45</v>
      </c>
      <c r="D12" s="11">
        <v>115</v>
      </c>
      <c r="E12" s="11">
        <v>127</v>
      </c>
      <c r="F12" s="11">
        <v>128</v>
      </c>
      <c r="G12" s="11">
        <v>115</v>
      </c>
      <c r="H12" s="6">
        <v>0.3</v>
      </c>
      <c r="I12" s="11">
        <v>40</v>
      </c>
      <c r="J12" s="11" t="s">
        <v>54</v>
      </c>
      <c r="K12" s="11"/>
      <c r="L12" s="11">
        <v>123</v>
      </c>
      <c r="M12" s="11">
        <f t="shared" si="2"/>
        <v>5</v>
      </c>
      <c r="N12" s="11"/>
      <c r="O12" s="11"/>
      <c r="P12" s="11"/>
      <c r="Q12" s="11">
        <v>112.8</v>
      </c>
      <c r="R12" s="11">
        <f t="shared" si="3"/>
        <v>25.6</v>
      </c>
      <c r="S12" s="4">
        <f>11*R12-Q12-P12-G12</f>
        <v>53.800000000000011</v>
      </c>
      <c r="T12" s="11">
        <f t="shared" si="4"/>
        <v>11</v>
      </c>
      <c r="U12" s="11">
        <f t="shared" si="5"/>
        <v>8.8984375</v>
      </c>
      <c r="V12" s="11">
        <v>22.4</v>
      </c>
      <c r="W12" s="11">
        <v>14</v>
      </c>
      <c r="X12" s="11">
        <v>18</v>
      </c>
      <c r="Y12" s="11">
        <v>14.4</v>
      </c>
      <c r="Z12" s="11">
        <v>9.4</v>
      </c>
      <c r="AA12" s="11">
        <v>11.6</v>
      </c>
      <c r="AB12" s="11">
        <v>16</v>
      </c>
      <c r="AC12" s="11">
        <v>8.6</v>
      </c>
      <c r="AD12" s="11">
        <v>17.2</v>
      </c>
      <c r="AE12" s="11">
        <v>11.4</v>
      </c>
      <c r="AF12" s="11"/>
      <c r="AG12" s="11">
        <f t="shared" si="6"/>
        <v>16.140000000000004</v>
      </c>
      <c r="AH12" s="16">
        <f t="shared" si="7"/>
        <v>4.5981818181818177</v>
      </c>
    </row>
    <row r="13" spans="1:34" x14ac:dyDescent="0.25">
      <c r="A13" t="s">
        <v>58</v>
      </c>
      <c r="B13" s="11" t="s">
        <v>56</v>
      </c>
      <c r="C13" s="11" t="s">
        <v>45</v>
      </c>
      <c r="D13" s="11">
        <v>104</v>
      </c>
      <c r="E13" s="11">
        <v>300</v>
      </c>
      <c r="F13" s="11">
        <v>103</v>
      </c>
      <c r="G13" s="11">
        <v>338</v>
      </c>
      <c r="H13" s="6">
        <v>0.17</v>
      </c>
      <c r="I13" s="11">
        <v>180</v>
      </c>
      <c r="J13" s="11" t="s">
        <v>57</v>
      </c>
      <c r="K13" s="11"/>
      <c r="L13" s="11">
        <v>66</v>
      </c>
      <c r="M13" s="11">
        <f t="shared" si="2"/>
        <v>37</v>
      </c>
      <c r="N13" s="11"/>
      <c r="O13" s="11"/>
      <c r="P13" s="11"/>
      <c r="Q13" s="11"/>
      <c r="R13" s="11">
        <f t="shared" si="3"/>
        <v>20.6</v>
      </c>
      <c r="S13" s="4"/>
      <c r="T13" s="11">
        <f t="shared" si="4"/>
        <v>16.407766990291261</v>
      </c>
      <c r="U13" s="11">
        <f t="shared" si="5"/>
        <v>16.407766990291261</v>
      </c>
      <c r="V13" s="11">
        <v>21.8</v>
      </c>
      <c r="W13" s="11">
        <v>18.2</v>
      </c>
      <c r="X13" s="11">
        <v>30.6</v>
      </c>
      <c r="Y13" s="11">
        <v>32.799999999999997</v>
      </c>
      <c r="Z13" s="11">
        <v>24.6</v>
      </c>
      <c r="AA13" s="11">
        <v>22.6</v>
      </c>
      <c r="AB13" s="11">
        <v>25</v>
      </c>
      <c r="AC13" s="11">
        <v>14.8</v>
      </c>
      <c r="AD13" s="11">
        <v>12</v>
      </c>
      <c r="AE13" s="11">
        <v>10.4</v>
      </c>
      <c r="AF13" s="11"/>
      <c r="AG13" s="11">
        <f t="shared" si="6"/>
        <v>0</v>
      </c>
      <c r="AH13" s="16">
        <f t="shared" si="7"/>
        <v>3.6070909090909096</v>
      </c>
    </row>
    <row r="14" spans="1:34" x14ac:dyDescent="0.25">
      <c r="A14" t="s">
        <v>61</v>
      </c>
      <c r="B14" s="11" t="s">
        <v>59</v>
      </c>
      <c r="C14" s="11" t="s">
        <v>35</v>
      </c>
      <c r="D14" s="11">
        <v>21.164999999999999</v>
      </c>
      <c r="E14" s="11">
        <v>507.149</v>
      </c>
      <c r="F14" s="11">
        <v>331.11099999999999</v>
      </c>
      <c r="G14" s="11">
        <v>290.08600000000001</v>
      </c>
      <c r="H14" s="6">
        <v>1</v>
      </c>
      <c r="I14" s="11">
        <v>70</v>
      </c>
      <c r="J14" s="11" t="s">
        <v>60</v>
      </c>
      <c r="K14" s="11"/>
      <c r="L14" s="11">
        <v>272.39999999999998</v>
      </c>
      <c r="M14" s="11">
        <f t="shared" si="2"/>
        <v>58.711000000000013</v>
      </c>
      <c r="N14" s="11"/>
      <c r="O14" s="11"/>
      <c r="P14" s="11">
        <v>626.31640000000016</v>
      </c>
      <c r="Q14" s="11">
        <v>66.298200000000065</v>
      </c>
      <c r="R14" s="11">
        <f t="shared" si="3"/>
        <v>66.222200000000001</v>
      </c>
      <c r="S14" s="4"/>
      <c r="T14" s="11">
        <f t="shared" si="4"/>
        <v>14.83944357028308</v>
      </c>
      <c r="U14" s="11">
        <f t="shared" si="5"/>
        <v>14.83944357028308</v>
      </c>
      <c r="V14" s="11">
        <v>84.409000000000006</v>
      </c>
      <c r="W14" s="11">
        <v>85.927999999999997</v>
      </c>
      <c r="X14" s="11">
        <v>52.177999999999997</v>
      </c>
      <c r="Y14" s="11">
        <v>15.4452</v>
      </c>
      <c r="Z14" s="11">
        <v>54.483400000000003</v>
      </c>
      <c r="AA14" s="11">
        <v>91.662400000000005</v>
      </c>
      <c r="AB14" s="11">
        <v>84.409599999999998</v>
      </c>
      <c r="AC14" s="11">
        <v>76.513199999999998</v>
      </c>
      <c r="AD14" s="11">
        <v>84.661199999999994</v>
      </c>
      <c r="AE14" s="11">
        <v>73.17</v>
      </c>
      <c r="AF14" s="11"/>
      <c r="AG14" s="11">
        <f t="shared" si="6"/>
        <v>0</v>
      </c>
      <c r="AH14" s="16">
        <f t="shared" si="7"/>
        <v>69.916563636363648</v>
      </c>
    </row>
    <row r="15" spans="1:34" x14ac:dyDescent="0.25">
      <c r="A15" t="s">
        <v>64</v>
      </c>
      <c r="B15" s="11" t="s">
        <v>62</v>
      </c>
      <c r="C15" s="11" t="s">
        <v>35</v>
      </c>
      <c r="D15" s="11">
        <v>645.33699999999999</v>
      </c>
      <c r="E15" s="11">
        <v>2817.9459999999999</v>
      </c>
      <c r="F15" s="11">
        <v>1984.82</v>
      </c>
      <c r="G15" s="11">
        <v>1593.7380000000001</v>
      </c>
      <c r="H15" s="6">
        <v>1</v>
      </c>
      <c r="I15" s="11">
        <v>50</v>
      </c>
      <c r="J15" s="11" t="s">
        <v>63</v>
      </c>
      <c r="K15" s="11"/>
      <c r="L15" s="11">
        <v>1968.65</v>
      </c>
      <c r="M15" s="11">
        <f t="shared" si="2"/>
        <v>16.169999999999845</v>
      </c>
      <c r="N15" s="11"/>
      <c r="O15" s="11"/>
      <c r="P15" s="11">
        <v>1211.9890399999999</v>
      </c>
      <c r="Q15" s="11">
        <v>937.00008000000071</v>
      </c>
      <c r="R15" s="11">
        <f t="shared" si="3"/>
        <v>396.964</v>
      </c>
      <c r="S15" s="4">
        <f>11*R15-Q15-P15-G15</f>
        <v>623.87687999999957</v>
      </c>
      <c r="T15" s="11">
        <f t="shared" si="4"/>
        <v>11</v>
      </c>
      <c r="U15" s="11">
        <f t="shared" si="5"/>
        <v>9.4283791981136833</v>
      </c>
      <c r="V15" s="11">
        <v>364.63580000000002</v>
      </c>
      <c r="W15" s="11">
        <v>341.27480000000003</v>
      </c>
      <c r="X15" s="11">
        <v>267.3186</v>
      </c>
      <c r="Y15" s="11">
        <v>211.0538</v>
      </c>
      <c r="Z15" s="11">
        <v>419.64319999999998</v>
      </c>
      <c r="AA15" s="11">
        <v>440.71100000000001</v>
      </c>
      <c r="AB15" s="11">
        <v>273.9434</v>
      </c>
      <c r="AC15" s="11">
        <v>349.3664</v>
      </c>
      <c r="AD15" s="11">
        <v>403.61200000000002</v>
      </c>
      <c r="AE15" s="11">
        <v>369.06459999999998</v>
      </c>
      <c r="AF15" s="11"/>
      <c r="AG15" s="11">
        <f t="shared" si="6"/>
        <v>623.87687999999957</v>
      </c>
      <c r="AH15" s="16">
        <f t="shared" si="7"/>
        <v>348.8716</v>
      </c>
    </row>
    <row r="16" spans="1:34" x14ac:dyDescent="0.25">
      <c r="A16" t="s">
        <v>67</v>
      </c>
      <c r="B16" s="11" t="s">
        <v>65</v>
      </c>
      <c r="C16" s="11" t="s">
        <v>35</v>
      </c>
      <c r="D16" s="11">
        <v>65.7</v>
      </c>
      <c r="E16" s="11">
        <v>177.20699999999999</v>
      </c>
      <c r="F16" s="11">
        <v>92.078000000000003</v>
      </c>
      <c r="G16" s="11">
        <v>132.18899999999999</v>
      </c>
      <c r="H16" s="6">
        <v>1</v>
      </c>
      <c r="I16" s="11">
        <v>60</v>
      </c>
      <c r="J16" s="11" t="s">
        <v>66</v>
      </c>
      <c r="K16" s="11"/>
      <c r="L16" s="11">
        <v>82</v>
      </c>
      <c r="M16" s="11">
        <f t="shared" si="2"/>
        <v>10.078000000000003</v>
      </c>
      <c r="N16" s="11"/>
      <c r="O16" s="11"/>
      <c r="P16" s="11"/>
      <c r="Q16" s="11"/>
      <c r="R16" s="11">
        <f t="shared" si="3"/>
        <v>18.415600000000001</v>
      </c>
      <c r="S16" s="4">
        <f>11*R16-Q16-P16-G16</f>
        <v>70.382600000000025</v>
      </c>
      <c r="T16" s="11">
        <f t="shared" si="4"/>
        <v>11</v>
      </c>
      <c r="U16" s="11">
        <f t="shared" si="5"/>
        <v>7.1780990030191782</v>
      </c>
      <c r="V16" s="11">
        <v>10.8032</v>
      </c>
      <c r="W16" s="11">
        <v>8.2970000000000006</v>
      </c>
      <c r="X16" s="11">
        <v>16.942399999999999</v>
      </c>
      <c r="Y16" s="11">
        <v>19.0762</v>
      </c>
      <c r="Z16" s="11">
        <v>18.809999999999999</v>
      </c>
      <c r="AA16" s="11">
        <v>20.7744</v>
      </c>
      <c r="AB16" s="11">
        <v>21.4712</v>
      </c>
      <c r="AC16" s="11">
        <v>20.5778</v>
      </c>
      <c r="AD16" s="11">
        <v>18.390999999999998</v>
      </c>
      <c r="AE16" s="11">
        <v>21.386600000000001</v>
      </c>
      <c r="AF16" s="11"/>
      <c r="AG16" s="11">
        <f t="shared" si="6"/>
        <v>70.382600000000025</v>
      </c>
      <c r="AH16" s="16">
        <f t="shared" si="7"/>
        <v>17.722309090909089</v>
      </c>
    </row>
    <row r="17" spans="1:34" x14ac:dyDescent="0.25">
      <c r="A17" t="s">
        <v>70</v>
      </c>
      <c r="B17" s="11" t="s">
        <v>68</v>
      </c>
      <c r="C17" s="11" t="s">
        <v>35</v>
      </c>
      <c r="D17" s="11">
        <v>23.716999999999999</v>
      </c>
      <c r="E17" s="11">
        <v>163.53299999999999</v>
      </c>
      <c r="F17" s="11">
        <v>33.628</v>
      </c>
      <c r="G17" s="11">
        <v>106.929</v>
      </c>
      <c r="H17" s="6">
        <v>1</v>
      </c>
      <c r="I17" s="11">
        <v>60</v>
      </c>
      <c r="J17" s="11" t="s">
        <v>69</v>
      </c>
      <c r="K17" s="11"/>
      <c r="L17" s="11">
        <v>27.3</v>
      </c>
      <c r="M17" s="11">
        <f t="shared" si="2"/>
        <v>6.3279999999999994</v>
      </c>
      <c r="N17" s="11"/>
      <c r="O17" s="11"/>
      <c r="P17" s="11"/>
      <c r="Q17" s="11"/>
      <c r="R17" s="11">
        <f t="shared" si="3"/>
        <v>6.7256</v>
      </c>
      <c r="S17" s="4"/>
      <c r="T17" s="11">
        <f t="shared" si="4"/>
        <v>15.89880456762222</v>
      </c>
      <c r="U17" s="11">
        <f t="shared" si="5"/>
        <v>15.89880456762222</v>
      </c>
      <c r="V17" s="11">
        <v>4.0734000000000004</v>
      </c>
      <c r="W17" s="11">
        <v>4.6054000000000004</v>
      </c>
      <c r="X17" s="11">
        <v>12.081200000000001</v>
      </c>
      <c r="Y17" s="11">
        <v>12.433199999999999</v>
      </c>
      <c r="Z17" s="11">
        <v>2.8418000000000001</v>
      </c>
      <c r="AA17" s="11">
        <v>0</v>
      </c>
      <c r="AB17" s="11">
        <v>7.9376000000000007</v>
      </c>
      <c r="AC17" s="11">
        <v>1.6040000000000001</v>
      </c>
      <c r="AD17" s="11">
        <v>3.9266000000000001</v>
      </c>
      <c r="AE17" s="11">
        <v>2.3201999999999998</v>
      </c>
      <c r="AF17" s="11"/>
      <c r="AG17" s="11">
        <f t="shared" si="6"/>
        <v>0</v>
      </c>
      <c r="AH17" s="16">
        <f t="shared" si="7"/>
        <v>5.3226363636363638</v>
      </c>
    </row>
    <row r="18" spans="1:34" x14ac:dyDescent="0.25">
      <c r="A18" t="s">
        <v>73</v>
      </c>
      <c r="B18" s="11" t="s">
        <v>71</v>
      </c>
      <c r="C18" s="11" t="s">
        <v>35</v>
      </c>
      <c r="D18" s="11">
        <v>18.521000000000001</v>
      </c>
      <c r="E18" s="11">
        <v>73.992000000000004</v>
      </c>
      <c r="F18" s="11">
        <v>29.331</v>
      </c>
      <c r="G18" s="11">
        <v>61.563000000000002</v>
      </c>
      <c r="H18" s="6">
        <v>1</v>
      </c>
      <c r="I18" s="11">
        <v>180</v>
      </c>
      <c r="J18" s="11" t="s">
        <v>72</v>
      </c>
      <c r="K18" s="11"/>
      <c r="L18" s="11">
        <v>28.42</v>
      </c>
      <c r="M18" s="11">
        <f t="shared" si="2"/>
        <v>0.91099999999999781</v>
      </c>
      <c r="N18" s="11"/>
      <c r="O18" s="11"/>
      <c r="P18" s="11"/>
      <c r="Q18" s="11"/>
      <c r="R18" s="11">
        <f t="shared" si="3"/>
        <v>5.8662000000000001</v>
      </c>
      <c r="S18" s="4">
        <v>4</v>
      </c>
      <c r="T18" s="11">
        <f t="shared" si="4"/>
        <v>11.176400395486004</v>
      </c>
      <c r="U18" s="11">
        <f t="shared" si="5"/>
        <v>10.494527973816099</v>
      </c>
      <c r="V18" s="11">
        <v>3.2307999999999999</v>
      </c>
      <c r="W18" s="11">
        <v>3.8264</v>
      </c>
      <c r="X18" s="11">
        <v>6.4126000000000003</v>
      </c>
      <c r="Y18" s="11">
        <v>4.5920000000000014</v>
      </c>
      <c r="Z18" s="11">
        <v>0.43180000000000002</v>
      </c>
      <c r="AA18" s="11">
        <v>1.2968</v>
      </c>
      <c r="AB18" s="11">
        <v>3.1156000000000001</v>
      </c>
      <c r="AC18" s="11">
        <v>1.7052</v>
      </c>
      <c r="AD18" s="11">
        <v>3.2547999999999999</v>
      </c>
      <c r="AE18" s="11">
        <v>3.6768000000000001</v>
      </c>
      <c r="AF18" s="11"/>
      <c r="AG18" s="11">
        <f t="shared" si="6"/>
        <v>4</v>
      </c>
      <c r="AH18" s="16">
        <f t="shared" si="7"/>
        <v>3.4008181818181824</v>
      </c>
    </row>
    <row r="19" spans="1:34" x14ac:dyDescent="0.25">
      <c r="A19" t="s">
        <v>76</v>
      </c>
      <c r="B19" s="11" t="s">
        <v>74</v>
      </c>
      <c r="C19" s="11" t="s">
        <v>35</v>
      </c>
      <c r="D19" s="11">
        <v>414.33</v>
      </c>
      <c r="E19" s="11">
        <v>822.29</v>
      </c>
      <c r="F19" s="11">
        <v>642.33000000000004</v>
      </c>
      <c r="G19" s="11">
        <v>663.524</v>
      </c>
      <c r="H19" s="6">
        <v>1</v>
      </c>
      <c r="I19" s="11">
        <v>60</v>
      </c>
      <c r="J19" s="11" t="s">
        <v>75</v>
      </c>
      <c r="K19" s="11"/>
      <c r="L19" s="11">
        <v>506.63</v>
      </c>
      <c r="M19" s="11">
        <f t="shared" si="2"/>
        <v>135.70000000000005</v>
      </c>
      <c r="N19" s="11"/>
      <c r="O19" s="11"/>
      <c r="P19" s="11"/>
      <c r="Q19" s="11">
        <v>171.70972000000009</v>
      </c>
      <c r="R19" s="11">
        <f t="shared" si="3"/>
        <v>128.46600000000001</v>
      </c>
      <c r="S19" s="4">
        <f t="shared" ref="S19:S28" si="8">11*R19-Q19-P19-G19</f>
        <v>577.89228000000014</v>
      </c>
      <c r="T19" s="11">
        <f t="shared" si="4"/>
        <v>11</v>
      </c>
      <c r="U19" s="11">
        <f t="shared" si="5"/>
        <v>6.5015935733968524</v>
      </c>
      <c r="V19" s="11">
        <v>94.878799999999998</v>
      </c>
      <c r="W19" s="11">
        <v>92.316800000000001</v>
      </c>
      <c r="X19" s="11">
        <v>112.2612</v>
      </c>
      <c r="Y19" s="11">
        <v>109.2184</v>
      </c>
      <c r="Z19" s="11">
        <v>102.24079999999999</v>
      </c>
      <c r="AA19" s="11">
        <v>114.7664</v>
      </c>
      <c r="AB19" s="11">
        <v>94.618399999999994</v>
      </c>
      <c r="AC19" s="11">
        <v>100.66679999999999</v>
      </c>
      <c r="AD19" s="11">
        <v>104.90519999999999</v>
      </c>
      <c r="AE19" s="11">
        <v>78.773400000000009</v>
      </c>
      <c r="AF19" s="11"/>
      <c r="AG19" s="11">
        <f t="shared" si="6"/>
        <v>577.89228000000014</v>
      </c>
      <c r="AH19" s="16">
        <f t="shared" si="7"/>
        <v>103.0102</v>
      </c>
    </row>
    <row r="20" spans="1:34" x14ac:dyDescent="0.25">
      <c r="A20" t="s">
        <v>79</v>
      </c>
      <c r="B20" s="11" t="s">
        <v>77</v>
      </c>
      <c r="C20" s="11" t="s">
        <v>35</v>
      </c>
      <c r="D20" s="11">
        <v>11.864000000000001</v>
      </c>
      <c r="E20" s="11">
        <v>178.798</v>
      </c>
      <c r="F20" s="11">
        <v>126.027</v>
      </c>
      <c r="G20" s="11">
        <v>58.607999999999997</v>
      </c>
      <c r="H20" s="6">
        <v>1</v>
      </c>
      <c r="I20" s="11">
        <v>70</v>
      </c>
      <c r="J20" s="11" t="s">
        <v>78</v>
      </c>
      <c r="K20" s="11"/>
      <c r="L20" s="11">
        <v>128</v>
      </c>
      <c r="M20" s="11">
        <f t="shared" si="2"/>
        <v>-1.972999999999999</v>
      </c>
      <c r="N20" s="11"/>
      <c r="O20" s="11"/>
      <c r="P20" s="11"/>
      <c r="Q20" s="11">
        <v>86.773599999999988</v>
      </c>
      <c r="R20" s="11">
        <f t="shared" si="3"/>
        <v>25.205400000000001</v>
      </c>
      <c r="S20" s="4">
        <f t="shared" si="8"/>
        <v>131.87780000000004</v>
      </c>
      <c r="T20" s="11">
        <f t="shared" si="4"/>
        <v>11</v>
      </c>
      <c r="U20" s="11">
        <f t="shared" si="5"/>
        <v>5.7678751378672821</v>
      </c>
      <c r="V20" s="11">
        <v>18.808800000000002</v>
      </c>
      <c r="W20" s="11">
        <v>8.6364000000000001</v>
      </c>
      <c r="X20" s="11">
        <v>5.4560000000000004</v>
      </c>
      <c r="Y20" s="11">
        <v>17.258400000000002</v>
      </c>
      <c r="Z20" s="11">
        <v>23.96</v>
      </c>
      <c r="AA20" s="11">
        <v>16.3932</v>
      </c>
      <c r="AB20" s="11">
        <v>14.417999999999999</v>
      </c>
      <c r="AC20" s="11">
        <v>13.342599999999999</v>
      </c>
      <c r="AD20" s="11">
        <v>12.1364</v>
      </c>
      <c r="AE20" s="11">
        <v>18.9848</v>
      </c>
      <c r="AF20" s="11"/>
      <c r="AG20" s="11">
        <f t="shared" si="6"/>
        <v>131.87780000000004</v>
      </c>
      <c r="AH20" s="16">
        <f t="shared" si="7"/>
        <v>15.872727272727275</v>
      </c>
    </row>
    <row r="21" spans="1:34" x14ac:dyDescent="0.25">
      <c r="A21" t="s">
        <v>82</v>
      </c>
      <c r="B21" s="11" t="s">
        <v>80</v>
      </c>
      <c r="C21" s="11" t="s">
        <v>35</v>
      </c>
      <c r="D21" s="11">
        <v>267.935</v>
      </c>
      <c r="E21" s="11">
        <v>387.43599999999998</v>
      </c>
      <c r="F21" s="11">
        <v>255.601</v>
      </c>
      <c r="G21" s="11">
        <v>399.21199999999999</v>
      </c>
      <c r="H21" s="6">
        <v>1</v>
      </c>
      <c r="I21" s="11">
        <v>70</v>
      </c>
      <c r="J21" s="11" t="s">
        <v>81</v>
      </c>
      <c r="K21" s="11"/>
      <c r="L21" s="11">
        <v>221.5</v>
      </c>
      <c r="M21" s="11">
        <f t="shared" si="2"/>
        <v>34.100999999999999</v>
      </c>
      <c r="N21" s="11"/>
      <c r="O21" s="11"/>
      <c r="P21" s="11"/>
      <c r="Q21" s="11"/>
      <c r="R21" s="11">
        <f t="shared" si="3"/>
        <v>51.120199999999997</v>
      </c>
      <c r="S21" s="4">
        <f t="shared" si="8"/>
        <v>163.11019999999996</v>
      </c>
      <c r="T21" s="11">
        <f t="shared" si="4"/>
        <v>11</v>
      </c>
      <c r="U21" s="11">
        <f t="shared" si="5"/>
        <v>7.8092808713580935</v>
      </c>
      <c r="V21" s="11">
        <v>36.6006</v>
      </c>
      <c r="W21" s="11">
        <v>37.357199999999999</v>
      </c>
      <c r="X21" s="11">
        <v>53.085400000000007</v>
      </c>
      <c r="Y21" s="11">
        <v>53.475800000000007</v>
      </c>
      <c r="Z21" s="11">
        <v>57.174599999999998</v>
      </c>
      <c r="AA21" s="11">
        <v>54.511600000000001</v>
      </c>
      <c r="AB21" s="11">
        <v>38.178800000000003</v>
      </c>
      <c r="AC21" s="11">
        <v>33.288400000000003</v>
      </c>
      <c r="AD21" s="11">
        <v>42.434199999999997</v>
      </c>
      <c r="AE21" s="11">
        <v>31.876799999999999</v>
      </c>
      <c r="AF21" s="11"/>
      <c r="AG21" s="11">
        <f t="shared" si="6"/>
        <v>163.11019999999996</v>
      </c>
      <c r="AH21" s="16">
        <f t="shared" si="7"/>
        <v>44.463963636363637</v>
      </c>
    </row>
    <row r="22" spans="1:34" x14ac:dyDescent="0.25">
      <c r="A22" t="s">
        <v>85</v>
      </c>
      <c r="B22" s="11" t="s">
        <v>83</v>
      </c>
      <c r="C22" s="11" t="s">
        <v>35</v>
      </c>
      <c r="D22" s="11">
        <v>19.172000000000001</v>
      </c>
      <c r="E22" s="11">
        <v>24.181999999999999</v>
      </c>
      <c r="F22" s="11">
        <v>22.552</v>
      </c>
      <c r="G22" s="11">
        <v>23.864999999999998</v>
      </c>
      <c r="H22" s="6">
        <v>1</v>
      </c>
      <c r="I22" s="11">
        <v>180</v>
      </c>
      <c r="J22" s="11" t="s">
        <v>84</v>
      </c>
      <c r="K22" s="11"/>
      <c r="L22" s="11">
        <v>21.17</v>
      </c>
      <c r="M22" s="11">
        <f t="shared" si="2"/>
        <v>1.3819999999999979</v>
      </c>
      <c r="N22" s="11"/>
      <c r="O22" s="11"/>
      <c r="P22" s="11"/>
      <c r="Q22" s="11"/>
      <c r="R22" s="11">
        <f t="shared" si="3"/>
        <v>4.5103999999999997</v>
      </c>
      <c r="S22" s="4">
        <f t="shared" si="8"/>
        <v>25.749399999999998</v>
      </c>
      <c r="T22" s="11">
        <f t="shared" si="4"/>
        <v>11</v>
      </c>
      <c r="U22" s="11">
        <f t="shared" si="5"/>
        <v>5.2911050017736789</v>
      </c>
      <c r="V22" s="11">
        <v>4.2845999999999993</v>
      </c>
      <c r="W22" s="11">
        <v>3.5438000000000001</v>
      </c>
      <c r="X22" s="11">
        <v>6.9477999999999991</v>
      </c>
      <c r="Y22" s="11">
        <v>5.1381999999999994</v>
      </c>
      <c r="Z22" s="11">
        <v>0.43819999999999998</v>
      </c>
      <c r="AA22" s="11">
        <v>0.87339999999999995</v>
      </c>
      <c r="AB22" s="11">
        <v>3.0621999999999998</v>
      </c>
      <c r="AC22" s="11">
        <v>3.3464</v>
      </c>
      <c r="AD22" s="11">
        <v>1.7766</v>
      </c>
      <c r="AE22" s="11">
        <v>2.7141999999999999</v>
      </c>
      <c r="AF22" s="11"/>
      <c r="AG22" s="11">
        <f t="shared" si="6"/>
        <v>25.749399999999998</v>
      </c>
      <c r="AH22" s="16">
        <f t="shared" si="7"/>
        <v>3.3305272727272723</v>
      </c>
    </row>
    <row r="23" spans="1:34" x14ac:dyDescent="0.25">
      <c r="A23" t="s">
        <v>88</v>
      </c>
      <c r="B23" s="11" t="s">
        <v>86</v>
      </c>
      <c r="C23" s="11" t="s">
        <v>35</v>
      </c>
      <c r="D23" s="11">
        <v>399.05</v>
      </c>
      <c r="E23" s="11">
        <v>421.435</v>
      </c>
      <c r="F23" s="11">
        <v>293.39999999999998</v>
      </c>
      <c r="G23" s="11">
        <v>530.56200000000001</v>
      </c>
      <c r="H23" s="6">
        <v>1</v>
      </c>
      <c r="I23" s="11">
        <v>70</v>
      </c>
      <c r="J23" s="11" t="s">
        <v>87</v>
      </c>
      <c r="K23" s="11"/>
      <c r="L23" s="11">
        <v>249.02</v>
      </c>
      <c r="M23" s="11">
        <f t="shared" si="2"/>
        <v>44.379999999999967</v>
      </c>
      <c r="N23" s="11"/>
      <c r="O23" s="11"/>
      <c r="P23" s="11"/>
      <c r="Q23" s="11"/>
      <c r="R23" s="11">
        <f t="shared" si="3"/>
        <v>58.679999999999993</v>
      </c>
      <c r="S23" s="4">
        <f t="shared" si="8"/>
        <v>114.91799999999989</v>
      </c>
      <c r="T23" s="11">
        <f t="shared" si="4"/>
        <v>11</v>
      </c>
      <c r="U23" s="11">
        <f t="shared" si="5"/>
        <v>9.0416155419222921</v>
      </c>
      <c r="V23" s="11">
        <v>46.426400000000001</v>
      </c>
      <c r="W23" s="11">
        <v>46.136600000000001</v>
      </c>
      <c r="X23" s="11">
        <v>69.900199999999998</v>
      </c>
      <c r="Y23" s="11">
        <v>60.441600000000008</v>
      </c>
      <c r="Z23" s="11">
        <v>43.510000000000012</v>
      </c>
      <c r="AA23" s="11">
        <v>49.888800000000003</v>
      </c>
      <c r="AB23" s="11">
        <v>52.990400000000001</v>
      </c>
      <c r="AC23" s="11">
        <v>39.368600000000001</v>
      </c>
      <c r="AD23" s="11">
        <v>52.986800000000002</v>
      </c>
      <c r="AE23" s="11">
        <v>42.601999999999997</v>
      </c>
      <c r="AF23" s="11"/>
      <c r="AG23" s="11">
        <f t="shared" si="6"/>
        <v>114.91799999999989</v>
      </c>
      <c r="AH23" s="16">
        <f t="shared" si="7"/>
        <v>51.175581818181826</v>
      </c>
    </row>
    <row r="24" spans="1:34" x14ac:dyDescent="0.25">
      <c r="A24" t="s">
        <v>91</v>
      </c>
      <c r="B24" s="11" t="s">
        <v>89</v>
      </c>
      <c r="C24" s="11" t="s">
        <v>35</v>
      </c>
      <c r="D24" s="11">
        <v>30.015000000000001</v>
      </c>
      <c r="E24" s="11">
        <v>29.469000000000001</v>
      </c>
      <c r="F24" s="11">
        <v>35.121000000000002</v>
      </c>
      <c r="G24" s="11">
        <v>27.827999999999999</v>
      </c>
      <c r="H24" s="6">
        <v>1</v>
      </c>
      <c r="I24" s="11">
        <v>35</v>
      </c>
      <c r="J24" s="11" t="s">
        <v>90</v>
      </c>
      <c r="K24" s="11"/>
      <c r="L24" s="11">
        <v>30.097999999999999</v>
      </c>
      <c r="M24" s="11">
        <f t="shared" si="2"/>
        <v>5.0230000000000032</v>
      </c>
      <c r="N24" s="11"/>
      <c r="O24" s="11"/>
      <c r="P24" s="11"/>
      <c r="Q24" s="11">
        <v>24.03291999999999</v>
      </c>
      <c r="R24" s="11">
        <f t="shared" si="3"/>
        <v>7.0242000000000004</v>
      </c>
      <c r="S24" s="4">
        <f t="shared" si="8"/>
        <v>25.405280000000008</v>
      </c>
      <c r="T24" s="11">
        <f t="shared" si="4"/>
        <v>10.999999999999998</v>
      </c>
      <c r="U24" s="11">
        <f t="shared" si="5"/>
        <v>7.383178155519488</v>
      </c>
      <c r="V24" s="11">
        <v>5.6067999999999998</v>
      </c>
      <c r="W24" s="11">
        <v>2.6564000000000001</v>
      </c>
      <c r="X24" s="11">
        <v>4.1875999999999998</v>
      </c>
      <c r="Y24" s="11">
        <v>4.7523999999999997</v>
      </c>
      <c r="Z24" s="11">
        <v>1.1226</v>
      </c>
      <c r="AA24" s="11">
        <v>4.2080000000000002</v>
      </c>
      <c r="AB24" s="11">
        <v>8.168000000000001</v>
      </c>
      <c r="AC24" s="11">
        <v>2.4500000000000002</v>
      </c>
      <c r="AD24" s="11">
        <v>3.4954000000000001</v>
      </c>
      <c r="AE24" s="11">
        <v>9.4819999999999993</v>
      </c>
      <c r="AF24" s="11"/>
      <c r="AG24" s="11">
        <f t="shared" si="6"/>
        <v>25.405280000000008</v>
      </c>
      <c r="AH24" s="16">
        <f t="shared" si="7"/>
        <v>4.8321272727272726</v>
      </c>
    </row>
    <row r="25" spans="1:34" x14ac:dyDescent="0.25">
      <c r="A25" t="s">
        <v>94</v>
      </c>
      <c r="B25" s="11" t="s">
        <v>92</v>
      </c>
      <c r="C25" s="11" t="s">
        <v>35</v>
      </c>
      <c r="D25" s="11">
        <v>3.8340000000000001</v>
      </c>
      <c r="E25" s="11">
        <v>429.97899999999998</v>
      </c>
      <c r="F25" s="11">
        <v>203.25700000000001</v>
      </c>
      <c r="G25" s="11">
        <v>237.45099999999999</v>
      </c>
      <c r="H25" s="6">
        <v>1</v>
      </c>
      <c r="I25" s="11">
        <v>30</v>
      </c>
      <c r="J25" s="11" t="s">
        <v>93</v>
      </c>
      <c r="K25" s="11"/>
      <c r="L25" s="11">
        <v>178.4</v>
      </c>
      <c r="M25" s="11">
        <f t="shared" si="2"/>
        <v>24.856999999999999</v>
      </c>
      <c r="N25" s="11"/>
      <c r="O25" s="11"/>
      <c r="P25" s="11"/>
      <c r="Q25" s="11"/>
      <c r="R25" s="11">
        <f t="shared" si="3"/>
        <v>40.651400000000002</v>
      </c>
      <c r="S25" s="4">
        <f t="shared" si="8"/>
        <v>209.71440000000004</v>
      </c>
      <c r="T25" s="11">
        <f t="shared" si="4"/>
        <v>11</v>
      </c>
      <c r="U25" s="11">
        <f t="shared" si="5"/>
        <v>5.8411518422489745</v>
      </c>
      <c r="V25" s="11">
        <v>18.385000000000002</v>
      </c>
      <c r="W25" s="11">
        <v>6.2451999999999996</v>
      </c>
      <c r="X25" s="11">
        <v>23.9664</v>
      </c>
      <c r="Y25" s="11">
        <v>38.5518</v>
      </c>
      <c r="Z25" s="11">
        <v>15.353400000000001</v>
      </c>
      <c r="AA25" s="11">
        <v>1.7964</v>
      </c>
      <c r="AB25" s="11">
        <v>17.0366</v>
      </c>
      <c r="AC25" s="11">
        <v>5.8121999999999998</v>
      </c>
      <c r="AD25" s="11">
        <v>19.634599999999999</v>
      </c>
      <c r="AE25" s="11">
        <v>21.001200000000001</v>
      </c>
      <c r="AF25" s="11"/>
      <c r="AG25" s="11">
        <f t="shared" si="6"/>
        <v>209.71440000000004</v>
      </c>
      <c r="AH25" s="16">
        <f t="shared" si="7"/>
        <v>18.948563636363637</v>
      </c>
    </row>
    <row r="26" spans="1:34" x14ac:dyDescent="0.25">
      <c r="A26" t="s">
        <v>97</v>
      </c>
      <c r="B26" s="11" t="s">
        <v>95</v>
      </c>
      <c r="C26" s="11" t="s">
        <v>35</v>
      </c>
      <c r="D26" s="11">
        <v>18.739000000000001</v>
      </c>
      <c r="E26" s="11">
        <v>791.44200000000001</v>
      </c>
      <c r="F26" s="11">
        <v>399.327</v>
      </c>
      <c r="G26" s="11">
        <v>385.74599999999998</v>
      </c>
      <c r="H26" s="6">
        <v>1</v>
      </c>
      <c r="I26" s="11">
        <v>40</v>
      </c>
      <c r="J26" s="11" t="s">
        <v>96</v>
      </c>
      <c r="K26" s="11"/>
      <c r="L26" s="11">
        <v>313.5</v>
      </c>
      <c r="M26" s="11">
        <f t="shared" si="2"/>
        <v>85.826999999999998</v>
      </c>
      <c r="N26" s="11"/>
      <c r="O26" s="11"/>
      <c r="P26" s="11"/>
      <c r="Q26" s="11">
        <v>44.541760000000181</v>
      </c>
      <c r="R26" s="11">
        <f t="shared" si="3"/>
        <v>79.865399999999994</v>
      </c>
      <c r="S26" s="4">
        <f t="shared" si="8"/>
        <v>448.23163999999974</v>
      </c>
      <c r="T26" s="11">
        <f t="shared" si="4"/>
        <v>11</v>
      </c>
      <c r="U26" s="11">
        <f t="shared" si="5"/>
        <v>5.3876617408790315</v>
      </c>
      <c r="V26" s="11">
        <v>55.552999999999997</v>
      </c>
      <c r="W26" s="11">
        <v>47.498399999999997</v>
      </c>
      <c r="X26" s="11">
        <v>64.634600000000006</v>
      </c>
      <c r="Y26" s="11">
        <v>63.067999999999998</v>
      </c>
      <c r="Z26" s="11">
        <v>57.167600000000007</v>
      </c>
      <c r="AA26" s="11">
        <v>56.127000000000002</v>
      </c>
      <c r="AB26" s="11">
        <v>46.794800000000002</v>
      </c>
      <c r="AC26" s="11">
        <v>46.891800000000003</v>
      </c>
      <c r="AD26" s="11">
        <v>38.828800000000001</v>
      </c>
      <c r="AE26" s="11">
        <v>52.742199999999997</v>
      </c>
      <c r="AF26" s="11"/>
      <c r="AG26" s="11">
        <f t="shared" si="6"/>
        <v>448.23163999999974</v>
      </c>
      <c r="AH26" s="16">
        <f t="shared" si="7"/>
        <v>55.379236363636366</v>
      </c>
    </row>
    <row r="27" spans="1:34" x14ac:dyDescent="0.25">
      <c r="A27" t="s">
        <v>100</v>
      </c>
      <c r="B27" s="11" t="s">
        <v>98</v>
      </c>
      <c r="C27" s="11" t="s">
        <v>35</v>
      </c>
      <c r="D27" s="11">
        <v>-7.0940000000000003</v>
      </c>
      <c r="E27" s="11">
        <v>799.91800000000001</v>
      </c>
      <c r="F27" s="11">
        <v>358.851</v>
      </c>
      <c r="G27" s="11">
        <v>473.51499999999999</v>
      </c>
      <c r="H27" s="6">
        <v>1</v>
      </c>
      <c r="I27" s="11">
        <v>30</v>
      </c>
      <c r="J27" s="11" t="s">
        <v>99</v>
      </c>
      <c r="K27" s="11"/>
      <c r="L27" s="11">
        <v>341.75</v>
      </c>
      <c r="M27" s="11">
        <f t="shared" si="2"/>
        <v>17.100999999999999</v>
      </c>
      <c r="N27" s="11"/>
      <c r="O27" s="11"/>
      <c r="P27" s="11"/>
      <c r="Q27" s="11">
        <v>116.4957999999999</v>
      </c>
      <c r="R27" s="11">
        <f t="shared" si="3"/>
        <v>71.770200000000003</v>
      </c>
      <c r="S27" s="4">
        <f t="shared" si="8"/>
        <v>199.46140000000014</v>
      </c>
      <c r="T27" s="11">
        <f t="shared" si="4"/>
        <v>11</v>
      </c>
      <c r="U27" s="11">
        <f t="shared" si="5"/>
        <v>8.2208326018319564</v>
      </c>
      <c r="V27" s="11">
        <v>57.282799999999988</v>
      </c>
      <c r="W27" s="11">
        <v>54.650399999999998</v>
      </c>
      <c r="X27" s="11">
        <v>63.486400000000003</v>
      </c>
      <c r="Y27" s="11">
        <v>25.735800000000001</v>
      </c>
      <c r="Z27" s="11">
        <v>17.547999999999998</v>
      </c>
      <c r="AA27" s="11">
        <v>63.722400000000007</v>
      </c>
      <c r="AB27" s="11">
        <v>111.14619999999999</v>
      </c>
      <c r="AC27" s="11">
        <v>73.176400000000001</v>
      </c>
      <c r="AD27" s="11">
        <v>86.483800000000002</v>
      </c>
      <c r="AE27" s="11">
        <v>88.993200000000002</v>
      </c>
      <c r="AF27" s="11"/>
      <c r="AG27" s="11">
        <f t="shared" si="6"/>
        <v>199.46140000000014</v>
      </c>
      <c r="AH27" s="16">
        <f t="shared" si="7"/>
        <v>64.908690909090922</v>
      </c>
    </row>
    <row r="28" spans="1:34" x14ac:dyDescent="0.25">
      <c r="A28" t="s">
        <v>103</v>
      </c>
      <c r="B28" s="11" t="s">
        <v>101</v>
      </c>
      <c r="C28" s="11" t="s">
        <v>35</v>
      </c>
      <c r="D28" s="11"/>
      <c r="E28" s="11">
        <v>2333.2979999999998</v>
      </c>
      <c r="F28" s="11">
        <v>961.07799999999997</v>
      </c>
      <c r="G28" s="11">
        <v>1297.8140000000001</v>
      </c>
      <c r="H28" s="6">
        <v>1</v>
      </c>
      <c r="I28" s="11">
        <v>40</v>
      </c>
      <c r="J28" s="11" t="s">
        <v>102</v>
      </c>
      <c r="K28" s="11"/>
      <c r="L28" s="11">
        <v>902.75</v>
      </c>
      <c r="M28" s="11">
        <f t="shared" si="2"/>
        <v>58.327999999999975</v>
      </c>
      <c r="N28" s="11"/>
      <c r="O28" s="11"/>
      <c r="P28" s="11"/>
      <c r="Q28" s="11"/>
      <c r="R28" s="11">
        <f t="shared" si="3"/>
        <v>192.21559999999999</v>
      </c>
      <c r="S28" s="4">
        <f t="shared" si="8"/>
        <v>816.55759999999987</v>
      </c>
      <c r="T28" s="11">
        <f t="shared" si="4"/>
        <v>11</v>
      </c>
      <c r="U28" s="11">
        <f t="shared" si="5"/>
        <v>6.7518661336540848</v>
      </c>
      <c r="V28" s="11">
        <v>70.557199999999995</v>
      </c>
      <c r="W28" s="11">
        <v>-0.49800000000000011</v>
      </c>
      <c r="X28" s="11">
        <v>74.856799999999993</v>
      </c>
      <c r="Y28" s="11">
        <v>185.2568</v>
      </c>
      <c r="Z28" s="11">
        <v>162.31219999999999</v>
      </c>
      <c r="AA28" s="11">
        <v>71.218600000000009</v>
      </c>
      <c r="AB28" s="11">
        <v>218.88560000000001</v>
      </c>
      <c r="AC28" s="11">
        <v>80.849599999999995</v>
      </c>
      <c r="AD28" s="11">
        <v>144.97579999999999</v>
      </c>
      <c r="AE28" s="11">
        <v>140.4692</v>
      </c>
      <c r="AF28" s="11"/>
      <c r="AG28" s="11">
        <f t="shared" si="6"/>
        <v>816.55759999999987</v>
      </c>
      <c r="AH28" s="16">
        <f t="shared" si="7"/>
        <v>121.91812727272728</v>
      </c>
    </row>
    <row r="29" spans="1:34" x14ac:dyDescent="0.25">
      <c r="A29" t="s">
        <v>106</v>
      </c>
      <c r="B29" s="11" t="s">
        <v>104</v>
      </c>
      <c r="C29" s="11" t="s">
        <v>35</v>
      </c>
      <c r="D29" s="11"/>
      <c r="E29" s="11">
        <v>43.122</v>
      </c>
      <c r="F29" s="11">
        <v>-2.1139999999999999</v>
      </c>
      <c r="G29" s="11">
        <v>43.122</v>
      </c>
      <c r="H29" s="6">
        <v>1</v>
      </c>
      <c r="I29" s="11">
        <v>40</v>
      </c>
      <c r="J29" s="11" t="s">
        <v>105</v>
      </c>
      <c r="K29" s="11"/>
      <c r="L29" s="11"/>
      <c r="M29" s="11">
        <f t="shared" si="2"/>
        <v>-2.1139999999999999</v>
      </c>
      <c r="N29" s="11"/>
      <c r="O29" s="11"/>
      <c r="P29" s="11"/>
      <c r="Q29" s="11"/>
      <c r="R29" s="11">
        <f t="shared" si="3"/>
        <v>-0.42279999999999995</v>
      </c>
      <c r="S29" s="4"/>
      <c r="T29" s="11">
        <f t="shared" si="4"/>
        <v>-101.99148533585621</v>
      </c>
      <c r="U29" s="11">
        <f t="shared" si="5"/>
        <v>-101.99148533585621</v>
      </c>
      <c r="V29" s="11">
        <v>-0.42280000000000001</v>
      </c>
      <c r="W29" s="11">
        <v>0</v>
      </c>
      <c r="X29" s="11">
        <v>0</v>
      </c>
      <c r="Y29" s="11">
        <v>0.64379999999999993</v>
      </c>
      <c r="Z29" s="11">
        <v>5.3945999999999996</v>
      </c>
      <c r="AA29" s="11">
        <v>16.281400000000001</v>
      </c>
      <c r="AB29" s="11">
        <v>15.133800000000001</v>
      </c>
      <c r="AC29" s="11">
        <v>11.8508</v>
      </c>
      <c r="AD29" s="11">
        <v>11.727399999999999</v>
      </c>
      <c r="AE29" s="11">
        <v>17.645800000000001</v>
      </c>
      <c r="AF29" s="11"/>
      <c r="AG29" s="11">
        <f t="shared" si="6"/>
        <v>0</v>
      </c>
      <c r="AH29" s="16">
        <f t="shared" si="7"/>
        <v>7.0756363636363631</v>
      </c>
    </row>
    <row r="30" spans="1:34" x14ac:dyDescent="0.25">
      <c r="A30" t="s">
        <v>109</v>
      </c>
      <c r="B30" s="11" t="s">
        <v>107</v>
      </c>
      <c r="C30" s="11" t="s">
        <v>35</v>
      </c>
      <c r="D30" s="11">
        <v>4.0000000000000001E-3</v>
      </c>
      <c r="E30" s="11">
        <v>94.712000000000003</v>
      </c>
      <c r="F30" s="11">
        <v>45.15</v>
      </c>
      <c r="G30" s="11">
        <v>53.817999999999998</v>
      </c>
      <c r="H30" s="6">
        <v>1</v>
      </c>
      <c r="I30" s="11">
        <v>30</v>
      </c>
      <c r="J30" s="11" t="s">
        <v>108</v>
      </c>
      <c r="K30" s="11"/>
      <c r="L30" s="11">
        <v>53.2</v>
      </c>
      <c r="M30" s="11">
        <f t="shared" si="2"/>
        <v>-8.0500000000000043</v>
      </c>
      <c r="N30" s="11"/>
      <c r="O30" s="11"/>
      <c r="P30" s="11">
        <v>27.91271200000002</v>
      </c>
      <c r="Q30" s="11">
        <v>82.287799999999976</v>
      </c>
      <c r="R30" s="11">
        <f t="shared" si="3"/>
        <v>9.0299999999999994</v>
      </c>
      <c r="S30" s="4"/>
      <c r="T30" s="11">
        <f t="shared" si="4"/>
        <v>18.163733333333333</v>
      </c>
      <c r="U30" s="11">
        <f t="shared" si="5"/>
        <v>18.163733333333333</v>
      </c>
      <c r="V30" s="11">
        <v>13.668799999999999</v>
      </c>
      <c r="W30" s="11">
        <v>10.4878</v>
      </c>
      <c r="X30" s="11">
        <v>6.930200000000001</v>
      </c>
      <c r="Y30" s="11">
        <v>4.702</v>
      </c>
      <c r="Z30" s="11">
        <v>11.2216</v>
      </c>
      <c r="AA30" s="11">
        <v>18.107199999999999</v>
      </c>
      <c r="AB30" s="11">
        <v>2.2928000000000002</v>
      </c>
      <c r="AC30" s="11">
        <v>11.4916</v>
      </c>
      <c r="AD30" s="11">
        <v>10.300800000000001</v>
      </c>
      <c r="AE30" s="11">
        <v>11.0518</v>
      </c>
      <c r="AF30" s="11"/>
      <c r="AG30" s="11">
        <f t="shared" si="6"/>
        <v>0</v>
      </c>
      <c r="AH30" s="16">
        <f t="shared" si="7"/>
        <v>9.9349636363636353</v>
      </c>
    </row>
    <row r="31" spans="1:34" x14ac:dyDescent="0.25">
      <c r="A31" t="s">
        <v>112</v>
      </c>
      <c r="B31" s="11" t="s">
        <v>110</v>
      </c>
      <c r="C31" s="11" t="s">
        <v>35</v>
      </c>
      <c r="D31" s="11">
        <v>20.146999999999998</v>
      </c>
      <c r="E31" s="11">
        <v>269.21499999999997</v>
      </c>
      <c r="F31" s="11">
        <v>58.716999999999999</v>
      </c>
      <c r="G31" s="11">
        <v>238.023</v>
      </c>
      <c r="H31" s="6">
        <v>1</v>
      </c>
      <c r="I31" s="11">
        <v>50</v>
      </c>
      <c r="J31" s="11" t="s">
        <v>111</v>
      </c>
      <c r="K31" s="11"/>
      <c r="L31" s="11">
        <v>50.8</v>
      </c>
      <c r="M31" s="11">
        <f t="shared" si="2"/>
        <v>7.9170000000000016</v>
      </c>
      <c r="N31" s="11"/>
      <c r="O31" s="11"/>
      <c r="P31" s="11"/>
      <c r="Q31" s="11"/>
      <c r="R31" s="11">
        <f t="shared" si="3"/>
        <v>11.743399999999999</v>
      </c>
      <c r="S31" s="4"/>
      <c r="T31" s="11">
        <f t="shared" si="4"/>
        <v>20.268661546059914</v>
      </c>
      <c r="U31" s="11">
        <f t="shared" si="5"/>
        <v>20.268661546059914</v>
      </c>
      <c r="V31" s="11">
        <v>12.266</v>
      </c>
      <c r="W31" s="11">
        <v>12.967599999999999</v>
      </c>
      <c r="X31" s="11">
        <v>22.8354</v>
      </c>
      <c r="Y31" s="11">
        <v>18.087</v>
      </c>
      <c r="Z31" s="11">
        <v>8.8298000000000005</v>
      </c>
      <c r="AA31" s="11">
        <v>14.561199999999999</v>
      </c>
      <c r="AB31" s="11">
        <v>13.348000000000001</v>
      </c>
      <c r="AC31" s="11">
        <v>11</v>
      </c>
      <c r="AD31" s="11">
        <v>17.146799999999999</v>
      </c>
      <c r="AE31" s="11">
        <v>11.792199999999999</v>
      </c>
      <c r="AF31" s="11"/>
      <c r="AG31" s="11">
        <f t="shared" si="6"/>
        <v>0</v>
      </c>
      <c r="AH31" s="16">
        <f t="shared" si="7"/>
        <v>14.052490909090913</v>
      </c>
    </row>
    <row r="32" spans="1:34" x14ac:dyDescent="0.25">
      <c r="A32" t="s">
        <v>115</v>
      </c>
      <c r="B32" s="11" t="s">
        <v>113</v>
      </c>
      <c r="C32" s="11" t="s">
        <v>35</v>
      </c>
      <c r="D32" s="11">
        <v>25.995000000000001</v>
      </c>
      <c r="E32" s="11">
        <v>218.28899999999999</v>
      </c>
      <c r="F32" s="11">
        <v>45.62</v>
      </c>
      <c r="G32" s="11">
        <v>203.24</v>
      </c>
      <c r="H32" s="6">
        <v>1</v>
      </c>
      <c r="I32" s="11">
        <v>50</v>
      </c>
      <c r="J32" s="11" t="s">
        <v>114</v>
      </c>
      <c r="K32" s="11"/>
      <c r="L32" s="11">
        <v>37.299999999999997</v>
      </c>
      <c r="M32" s="11">
        <f t="shared" si="2"/>
        <v>8.32</v>
      </c>
      <c r="N32" s="11"/>
      <c r="O32" s="11"/>
      <c r="P32" s="11"/>
      <c r="Q32" s="11"/>
      <c r="R32" s="11">
        <f t="shared" si="3"/>
        <v>9.1239999999999988</v>
      </c>
      <c r="S32" s="4"/>
      <c r="T32" s="11">
        <f t="shared" si="4"/>
        <v>22.275317843051297</v>
      </c>
      <c r="U32" s="11">
        <f t="shared" si="5"/>
        <v>22.275317843051297</v>
      </c>
      <c r="V32" s="11">
        <v>9.2742000000000004</v>
      </c>
      <c r="W32" s="11">
        <v>7.9944000000000006</v>
      </c>
      <c r="X32" s="11">
        <v>17.6374</v>
      </c>
      <c r="Y32" s="11">
        <v>15.8256</v>
      </c>
      <c r="Z32" s="11">
        <v>2.5464000000000002</v>
      </c>
      <c r="AA32" s="11">
        <v>3.4506000000000001</v>
      </c>
      <c r="AB32" s="11">
        <v>11.9902</v>
      </c>
      <c r="AC32" s="11">
        <v>6.7331999999999992</v>
      </c>
      <c r="AD32" s="11">
        <v>7.7528000000000006</v>
      </c>
      <c r="AE32" s="11">
        <v>11.283200000000001</v>
      </c>
      <c r="AF32" s="11"/>
      <c r="AG32" s="11">
        <f t="shared" si="6"/>
        <v>0</v>
      </c>
      <c r="AH32" s="16">
        <f t="shared" si="7"/>
        <v>9.4192727272727268</v>
      </c>
    </row>
    <row r="33" spans="1:34" x14ac:dyDescent="0.25">
      <c r="A33" t="s">
        <v>118</v>
      </c>
      <c r="B33" s="11" t="s">
        <v>116</v>
      </c>
      <c r="C33" s="11" t="s">
        <v>35</v>
      </c>
      <c r="D33" s="11">
        <v>25.053000000000001</v>
      </c>
      <c r="E33" s="11">
        <v>160.20400000000001</v>
      </c>
      <c r="F33" s="11">
        <v>45.628999999999998</v>
      </c>
      <c r="G33" s="11">
        <v>144.21600000000001</v>
      </c>
      <c r="H33" s="6">
        <v>1</v>
      </c>
      <c r="I33" s="11">
        <v>50</v>
      </c>
      <c r="J33" s="11" t="s">
        <v>117</v>
      </c>
      <c r="K33" s="11"/>
      <c r="L33" s="11">
        <v>38.9</v>
      </c>
      <c r="M33" s="11">
        <f t="shared" si="2"/>
        <v>6.7289999999999992</v>
      </c>
      <c r="N33" s="11"/>
      <c r="O33" s="11"/>
      <c r="P33" s="11"/>
      <c r="Q33" s="11"/>
      <c r="R33" s="11">
        <f t="shared" si="3"/>
        <v>9.1257999999999999</v>
      </c>
      <c r="S33" s="4"/>
      <c r="T33" s="11">
        <f t="shared" si="4"/>
        <v>15.803107672751979</v>
      </c>
      <c r="U33" s="11">
        <f t="shared" si="5"/>
        <v>15.803107672751979</v>
      </c>
      <c r="V33" s="11">
        <v>9.4567999999999994</v>
      </c>
      <c r="W33" s="11">
        <v>7.2782</v>
      </c>
      <c r="X33" s="11">
        <v>13.0936</v>
      </c>
      <c r="Y33" s="11">
        <v>11.2852</v>
      </c>
      <c r="Z33" s="11">
        <v>0.90340000000000009</v>
      </c>
      <c r="AA33" s="11">
        <v>1.6257999999999999</v>
      </c>
      <c r="AB33" s="11">
        <v>9.5920000000000005</v>
      </c>
      <c r="AC33" s="11">
        <v>4.7031999999999998</v>
      </c>
      <c r="AD33" s="11">
        <v>8.8510000000000009</v>
      </c>
      <c r="AE33" s="11">
        <v>6.9379999999999997</v>
      </c>
      <c r="AF33" s="11"/>
      <c r="AG33" s="11">
        <f t="shared" si="6"/>
        <v>0</v>
      </c>
      <c r="AH33" s="16">
        <f t="shared" si="7"/>
        <v>7.5320909090909085</v>
      </c>
    </row>
    <row r="34" spans="1:34" x14ac:dyDescent="0.25">
      <c r="A34" t="s">
        <v>121</v>
      </c>
      <c r="B34" s="11" t="s">
        <v>119</v>
      </c>
      <c r="C34" s="11" t="s">
        <v>45</v>
      </c>
      <c r="D34" s="11">
        <v>666</v>
      </c>
      <c r="E34" s="11">
        <v>2227</v>
      </c>
      <c r="F34" s="11">
        <v>1333.8</v>
      </c>
      <c r="G34" s="11">
        <v>1653</v>
      </c>
      <c r="H34" s="6">
        <v>0.4</v>
      </c>
      <c r="I34" s="11">
        <v>45</v>
      </c>
      <c r="J34" s="11" t="s">
        <v>120</v>
      </c>
      <c r="K34" s="11"/>
      <c r="L34" s="11">
        <v>1218</v>
      </c>
      <c r="M34" s="11">
        <f t="shared" si="2"/>
        <v>115.79999999999995</v>
      </c>
      <c r="N34" s="11"/>
      <c r="O34" s="11"/>
      <c r="P34" s="11"/>
      <c r="Q34" s="11">
        <v>693.34400000000005</v>
      </c>
      <c r="R34" s="11">
        <f t="shared" si="3"/>
        <v>266.76</v>
      </c>
      <c r="S34" s="4">
        <f>11*R34-Q34-P34-G34</f>
        <v>588.01599999999962</v>
      </c>
      <c r="T34" s="11">
        <f t="shared" si="4"/>
        <v>11</v>
      </c>
      <c r="U34" s="11">
        <f t="shared" si="5"/>
        <v>8.7957115009746598</v>
      </c>
      <c r="V34" s="11">
        <v>234.56</v>
      </c>
      <c r="W34" s="11">
        <v>209.4</v>
      </c>
      <c r="X34" s="11">
        <v>257.60000000000002</v>
      </c>
      <c r="Y34" s="11">
        <v>219.4</v>
      </c>
      <c r="Z34" s="11">
        <v>128</v>
      </c>
      <c r="AA34" s="11">
        <v>182.4</v>
      </c>
      <c r="AB34" s="11">
        <v>197.2</v>
      </c>
      <c r="AC34" s="11">
        <v>91.4</v>
      </c>
      <c r="AD34" s="11">
        <v>215.4</v>
      </c>
      <c r="AE34" s="11">
        <v>161.80000000000001</v>
      </c>
      <c r="AF34" s="11"/>
      <c r="AG34" s="11">
        <f t="shared" si="6"/>
        <v>235.20639999999986</v>
      </c>
      <c r="AH34" s="16">
        <f t="shared" si="7"/>
        <v>78.688000000000002</v>
      </c>
    </row>
    <row r="35" spans="1:34" x14ac:dyDescent="0.25">
      <c r="A35" t="s">
        <v>124</v>
      </c>
      <c r="B35" s="11" t="s">
        <v>122</v>
      </c>
      <c r="C35" s="11" t="s">
        <v>45</v>
      </c>
      <c r="D35" s="11">
        <v>115</v>
      </c>
      <c r="E35" s="11">
        <v>560</v>
      </c>
      <c r="F35" s="11">
        <v>202</v>
      </c>
      <c r="G35" s="11">
        <v>496</v>
      </c>
      <c r="H35" s="6">
        <v>0.45</v>
      </c>
      <c r="I35" s="11">
        <v>50</v>
      </c>
      <c r="J35" s="11" t="s">
        <v>123</v>
      </c>
      <c r="K35" s="11"/>
      <c r="L35" s="11">
        <v>179</v>
      </c>
      <c r="M35" s="11">
        <f t="shared" si="2"/>
        <v>23</v>
      </c>
      <c r="N35" s="11"/>
      <c r="O35" s="11"/>
      <c r="P35" s="11"/>
      <c r="Q35" s="11">
        <v>15.39999999999986</v>
      </c>
      <c r="R35" s="11">
        <f t="shared" si="3"/>
        <v>40.4</v>
      </c>
      <c r="S35" s="4"/>
      <c r="T35" s="11">
        <f t="shared" si="4"/>
        <v>12.658415841584155</v>
      </c>
      <c r="U35" s="11">
        <f t="shared" si="5"/>
        <v>12.658415841584155</v>
      </c>
      <c r="V35" s="11">
        <v>47.8</v>
      </c>
      <c r="W35" s="11">
        <v>42.4</v>
      </c>
      <c r="X35" s="11">
        <v>58.6</v>
      </c>
      <c r="Y35" s="11">
        <v>62.8</v>
      </c>
      <c r="Z35" s="11">
        <v>53</v>
      </c>
      <c r="AA35" s="11">
        <v>51.6</v>
      </c>
      <c r="AB35" s="11">
        <v>32.6</v>
      </c>
      <c r="AC35" s="11">
        <v>47</v>
      </c>
      <c r="AD35" s="11">
        <v>33</v>
      </c>
      <c r="AE35" s="11">
        <v>54.6</v>
      </c>
      <c r="AF35" s="11"/>
      <c r="AG35" s="11">
        <f t="shared" si="6"/>
        <v>0</v>
      </c>
      <c r="AH35" s="16">
        <f t="shared" si="7"/>
        <v>21.428181818181823</v>
      </c>
    </row>
    <row r="36" spans="1:34" x14ac:dyDescent="0.25">
      <c r="A36" t="s">
        <v>127</v>
      </c>
      <c r="B36" s="11" t="s">
        <v>125</v>
      </c>
      <c r="C36" s="11" t="s">
        <v>45</v>
      </c>
      <c r="D36" s="11">
        <v>19</v>
      </c>
      <c r="E36" s="11">
        <v>858</v>
      </c>
      <c r="F36" s="11">
        <v>433</v>
      </c>
      <c r="G36" s="11">
        <v>476</v>
      </c>
      <c r="H36" s="6">
        <v>0.4</v>
      </c>
      <c r="I36" s="11">
        <v>45</v>
      </c>
      <c r="J36" s="11" t="s">
        <v>126</v>
      </c>
      <c r="K36" s="11"/>
      <c r="L36" s="11">
        <v>397</v>
      </c>
      <c r="M36" s="11">
        <f t="shared" si="2"/>
        <v>36</v>
      </c>
      <c r="N36" s="11"/>
      <c r="O36" s="11"/>
      <c r="P36" s="11"/>
      <c r="Q36" s="11"/>
      <c r="R36" s="11">
        <f t="shared" si="3"/>
        <v>86.6</v>
      </c>
      <c r="S36" s="4">
        <f>11*R36-Q36-P36-G36</f>
        <v>476.59999999999991</v>
      </c>
      <c r="T36" s="11">
        <f t="shared" si="4"/>
        <v>11</v>
      </c>
      <c r="U36" s="11">
        <f t="shared" si="5"/>
        <v>5.4965357967667439</v>
      </c>
      <c r="V36" s="11">
        <v>51.2</v>
      </c>
      <c r="W36" s="11">
        <v>34.200000000000003</v>
      </c>
      <c r="X36" s="11">
        <v>69.8</v>
      </c>
      <c r="Y36" s="11">
        <v>72.599999999999994</v>
      </c>
      <c r="Z36" s="11">
        <v>49.8</v>
      </c>
      <c r="AA36" s="11">
        <v>42.2</v>
      </c>
      <c r="AB36" s="11">
        <v>54.6</v>
      </c>
      <c r="AC36" s="11">
        <v>24.8</v>
      </c>
      <c r="AD36" s="11">
        <v>36.6</v>
      </c>
      <c r="AE36" s="11">
        <v>65</v>
      </c>
      <c r="AF36" s="11"/>
      <c r="AG36" s="11">
        <f t="shared" si="6"/>
        <v>190.64</v>
      </c>
      <c r="AH36" s="16">
        <f t="shared" si="7"/>
        <v>21.36</v>
      </c>
    </row>
    <row r="37" spans="1:34" x14ac:dyDescent="0.25">
      <c r="A37" t="s">
        <v>130</v>
      </c>
      <c r="B37" s="11" t="s">
        <v>128</v>
      </c>
      <c r="C37" s="11" t="s">
        <v>45</v>
      </c>
      <c r="D37" s="11">
        <v>1</v>
      </c>
      <c r="E37" s="11">
        <v>150</v>
      </c>
      <c r="F37" s="11">
        <v>23</v>
      </c>
      <c r="G37" s="11">
        <v>128</v>
      </c>
      <c r="H37" s="6">
        <v>0.4</v>
      </c>
      <c r="I37" s="11">
        <v>40</v>
      </c>
      <c r="J37" s="11" t="s">
        <v>129</v>
      </c>
      <c r="K37" s="11"/>
      <c r="L37" s="11">
        <v>21</v>
      </c>
      <c r="M37" s="11">
        <f t="shared" si="2"/>
        <v>2</v>
      </c>
      <c r="N37" s="11"/>
      <c r="O37" s="11"/>
      <c r="P37" s="11"/>
      <c r="Q37" s="11"/>
      <c r="R37" s="11">
        <f t="shared" si="3"/>
        <v>4.5999999999999996</v>
      </c>
      <c r="S37" s="4"/>
      <c r="T37" s="11">
        <f t="shared" si="4"/>
        <v>27.826086956521742</v>
      </c>
      <c r="U37" s="11">
        <f t="shared" si="5"/>
        <v>27.826086956521742</v>
      </c>
      <c r="V37" s="11">
        <v>2.4</v>
      </c>
      <c r="W37" s="11">
        <v>0.6</v>
      </c>
      <c r="X37" s="11">
        <v>9.8000000000000007</v>
      </c>
      <c r="Y37" s="11">
        <v>11.2</v>
      </c>
      <c r="Z37" s="11">
        <v>12.6</v>
      </c>
      <c r="AA37" s="11">
        <v>11.2</v>
      </c>
      <c r="AB37" s="11">
        <v>2.8</v>
      </c>
      <c r="AC37" s="11">
        <v>3.2</v>
      </c>
      <c r="AD37" s="11">
        <v>3</v>
      </c>
      <c r="AE37" s="11">
        <v>5.4</v>
      </c>
      <c r="AF37" s="11"/>
      <c r="AG37" s="11">
        <f t="shared" si="6"/>
        <v>0</v>
      </c>
      <c r="AH37" s="16">
        <f t="shared" si="7"/>
        <v>2.4290909090909092</v>
      </c>
    </row>
    <row r="38" spans="1:34" x14ac:dyDescent="0.25">
      <c r="A38" t="s">
        <v>133</v>
      </c>
      <c r="B38" s="11" t="s">
        <v>131</v>
      </c>
      <c r="C38" s="11" t="s">
        <v>35</v>
      </c>
      <c r="D38" s="11">
        <v>4.3499999999999996</v>
      </c>
      <c r="E38" s="11">
        <v>69.302999999999997</v>
      </c>
      <c r="F38" s="11">
        <v>14.388</v>
      </c>
      <c r="G38" s="11">
        <v>59.265000000000001</v>
      </c>
      <c r="H38" s="6">
        <v>1</v>
      </c>
      <c r="I38" s="11">
        <v>45</v>
      </c>
      <c r="J38" s="11" t="s">
        <v>132</v>
      </c>
      <c r="K38" s="11"/>
      <c r="L38" s="11">
        <v>11.9</v>
      </c>
      <c r="M38" s="11">
        <f t="shared" ref="M38:M69" si="9">F38-L38</f>
        <v>2.4879999999999995</v>
      </c>
      <c r="N38" s="11"/>
      <c r="O38" s="11"/>
      <c r="P38" s="11"/>
      <c r="Q38" s="11"/>
      <c r="R38" s="11">
        <f t="shared" ref="R38:R69" si="10">F38/5</f>
        <v>2.8776000000000002</v>
      </c>
      <c r="S38" s="4"/>
      <c r="T38" s="11">
        <f t="shared" ref="T38:T69" si="11">(G38+P38+Q38+S38)/R38</f>
        <v>20.595287739783153</v>
      </c>
      <c r="U38" s="11">
        <f t="shared" ref="U38:U69" si="12">(G38+P38+Q38)/R38</f>
        <v>20.595287739783153</v>
      </c>
      <c r="V38" s="11">
        <v>1.722</v>
      </c>
      <c r="W38" s="11">
        <v>0</v>
      </c>
      <c r="X38" s="11">
        <v>1.1624000000000001</v>
      </c>
      <c r="Y38" s="11">
        <v>4.9401999999999999</v>
      </c>
      <c r="Z38" s="11">
        <v>3.7778</v>
      </c>
      <c r="AA38" s="11">
        <v>0</v>
      </c>
      <c r="AB38" s="11">
        <v>1.9923999999999999</v>
      </c>
      <c r="AC38" s="11">
        <v>5.5179999999999998</v>
      </c>
      <c r="AD38" s="11">
        <v>3.1657999999999999</v>
      </c>
      <c r="AE38" s="11">
        <v>2.5695999999999999</v>
      </c>
      <c r="AF38" s="11"/>
      <c r="AG38" s="11">
        <f t="shared" ref="AG38:AG69" si="13">H38*S38</f>
        <v>0</v>
      </c>
      <c r="AH38" s="16">
        <f t="shared" si="7"/>
        <v>2.5205272727272732</v>
      </c>
    </row>
    <row r="39" spans="1:34" x14ac:dyDescent="0.25">
      <c r="A39" t="s">
        <v>136</v>
      </c>
      <c r="B39" s="11" t="s">
        <v>134</v>
      </c>
      <c r="C39" s="11" t="s">
        <v>45</v>
      </c>
      <c r="D39" s="11">
        <v>31</v>
      </c>
      <c r="E39" s="11">
        <v>880</v>
      </c>
      <c r="F39" s="11">
        <v>235</v>
      </c>
      <c r="G39" s="11">
        <v>764</v>
      </c>
      <c r="H39" s="6">
        <v>0.1</v>
      </c>
      <c r="I39" s="11">
        <v>731</v>
      </c>
      <c r="J39" s="11" t="s">
        <v>135</v>
      </c>
      <c r="K39" s="11"/>
      <c r="L39" s="11">
        <v>120</v>
      </c>
      <c r="M39" s="11">
        <f t="shared" si="9"/>
        <v>115</v>
      </c>
      <c r="N39" s="11"/>
      <c r="O39" s="11"/>
      <c r="P39" s="11">
        <v>30.440000000000051</v>
      </c>
      <c r="Q39" s="11"/>
      <c r="R39" s="11">
        <f t="shared" si="10"/>
        <v>47</v>
      </c>
      <c r="S39" s="4"/>
      <c r="T39" s="11">
        <f t="shared" si="11"/>
        <v>16.902978723404257</v>
      </c>
      <c r="U39" s="11">
        <f t="shared" si="12"/>
        <v>16.902978723404257</v>
      </c>
      <c r="V39" s="11">
        <v>61</v>
      </c>
      <c r="W39" s="11">
        <v>70.8</v>
      </c>
      <c r="X39" s="11">
        <v>84.6</v>
      </c>
      <c r="Y39" s="11">
        <v>73.8</v>
      </c>
      <c r="Z39" s="11">
        <v>21.4</v>
      </c>
      <c r="AA39" s="11">
        <v>7.4</v>
      </c>
      <c r="AB39" s="11">
        <v>77.599999999999994</v>
      </c>
      <c r="AC39" s="11">
        <v>32.4</v>
      </c>
      <c r="AD39" s="11">
        <v>20.8</v>
      </c>
      <c r="AE39" s="11">
        <v>43.4</v>
      </c>
      <c r="AF39" s="11"/>
      <c r="AG39" s="11">
        <f t="shared" si="13"/>
        <v>0</v>
      </c>
      <c r="AH39" s="16">
        <f t="shared" si="7"/>
        <v>4.9109090909090902</v>
      </c>
    </row>
    <row r="40" spans="1:34" x14ac:dyDescent="0.25">
      <c r="A40" t="s">
        <v>139</v>
      </c>
      <c r="B40" s="11" t="s">
        <v>137</v>
      </c>
      <c r="C40" s="11" t="s">
        <v>45</v>
      </c>
      <c r="D40" s="11">
        <v>87</v>
      </c>
      <c r="E40" s="11">
        <v>288</v>
      </c>
      <c r="F40" s="11">
        <v>169</v>
      </c>
      <c r="G40" s="11">
        <v>211</v>
      </c>
      <c r="H40" s="6">
        <v>0.35</v>
      </c>
      <c r="I40" s="11">
        <v>40</v>
      </c>
      <c r="J40" s="11" t="s">
        <v>138</v>
      </c>
      <c r="K40" s="11"/>
      <c r="L40" s="11">
        <v>191</v>
      </c>
      <c r="M40" s="11">
        <f t="shared" si="9"/>
        <v>-22</v>
      </c>
      <c r="N40" s="11"/>
      <c r="O40" s="11"/>
      <c r="P40" s="11"/>
      <c r="Q40" s="11">
        <v>161.4</v>
      </c>
      <c r="R40" s="11">
        <f t="shared" si="10"/>
        <v>33.799999999999997</v>
      </c>
      <c r="S40" s="4"/>
      <c r="T40" s="11">
        <f t="shared" si="11"/>
        <v>11.017751479289942</v>
      </c>
      <c r="U40" s="11">
        <f t="shared" si="12"/>
        <v>11.017751479289942</v>
      </c>
      <c r="V40" s="11">
        <v>35.200000000000003</v>
      </c>
      <c r="W40" s="11">
        <v>30.4</v>
      </c>
      <c r="X40" s="11">
        <v>34</v>
      </c>
      <c r="Y40" s="11">
        <v>27.4</v>
      </c>
      <c r="Z40" s="11">
        <v>7.6</v>
      </c>
      <c r="AA40" s="11">
        <v>13.6</v>
      </c>
      <c r="AB40" s="11">
        <v>27.2</v>
      </c>
      <c r="AC40" s="11">
        <v>18.2</v>
      </c>
      <c r="AD40" s="11">
        <v>25.4</v>
      </c>
      <c r="AE40" s="11">
        <v>23</v>
      </c>
      <c r="AF40" s="11"/>
      <c r="AG40" s="11">
        <f t="shared" si="13"/>
        <v>0</v>
      </c>
      <c r="AH40" s="16">
        <f t="shared" si="7"/>
        <v>8.7754545454545436</v>
      </c>
    </row>
    <row r="41" spans="1:34" x14ac:dyDescent="0.25">
      <c r="A41" t="s">
        <v>142</v>
      </c>
      <c r="B41" s="11" t="s">
        <v>140</v>
      </c>
      <c r="C41" s="11" t="s">
        <v>35</v>
      </c>
      <c r="D41" s="11">
        <v>66.388000000000005</v>
      </c>
      <c r="E41" s="11">
        <v>213.35300000000001</v>
      </c>
      <c r="F41" s="11">
        <v>137.328</v>
      </c>
      <c r="G41" s="11">
        <v>149.02500000000001</v>
      </c>
      <c r="H41" s="6">
        <v>1</v>
      </c>
      <c r="I41" s="11">
        <v>40</v>
      </c>
      <c r="J41" s="11" t="s">
        <v>141</v>
      </c>
      <c r="K41" s="11"/>
      <c r="L41" s="11">
        <v>121.6</v>
      </c>
      <c r="M41" s="11">
        <f t="shared" si="9"/>
        <v>15.728000000000009</v>
      </c>
      <c r="N41" s="11"/>
      <c r="O41" s="11"/>
      <c r="P41" s="11"/>
      <c r="Q41" s="11"/>
      <c r="R41" s="11">
        <f t="shared" si="10"/>
        <v>27.465600000000002</v>
      </c>
      <c r="S41" s="4">
        <f>11*R41-Q41-P41-G41</f>
        <v>153.0966</v>
      </c>
      <c r="T41" s="11">
        <f t="shared" si="11"/>
        <v>11</v>
      </c>
      <c r="U41" s="11">
        <f t="shared" si="12"/>
        <v>5.4258781894442505</v>
      </c>
      <c r="V41" s="11">
        <v>16.9666</v>
      </c>
      <c r="W41" s="11">
        <v>11.3088</v>
      </c>
      <c r="X41" s="11">
        <v>21.493200000000002</v>
      </c>
      <c r="Y41" s="11">
        <v>20.497599999999998</v>
      </c>
      <c r="Z41" s="11">
        <v>6.5640000000000001</v>
      </c>
      <c r="AA41" s="11">
        <v>8.2590000000000003</v>
      </c>
      <c r="AB41" s="11">
        <v>17.3644</v>
      </c>
      <c r="AC41" s="11">
        <v>10.4474</v>
      </c>
      <c r="AD41" s="11">
        <v>16.349599999999999</v>
      </c>
      <c r="AE41" s="11">
        <v>13.042199999999999</v>
      </c>
      <c r="AF41" s="11"/>
      <c r="AG41" s="11">
        <f t="shared" si="13"/>
        <v>153.0966</v>
      </c>
      <c r="AH41" s="16">
        <f t="shared" si="7"/>
        <v>15.432581818181818</v>
      </c>
    </row>
    <row r="42" spans="1:34" x14ac:dyDescent="0.25">
      <c r="A42" t="s">
        <v>145</v>
      </c>
      <c r="B42" s="11" t="s">
        <v>143</v>
      </c>
      <c r="C42" s="11" t="s">
        <v>45</v>
      </c>
      <c r="D42" s="11"/>
      <c r="E42" s="11">
        <v>200</v>
      </c>
      <c r="F42" s="11">
        <v>113</v>
      </c>
      <c r="G42" s="11">
        <v>84</v>
      </c>
      <c r="H42" s="6">
        <v>0.4</v>
      </c>
      <c r="I42" s="11">
        <v>40</v>
      </c>
      <c r="J42" s="11" t="s">
        <v>144</v>
      </c>
      <c r="K42" s="11"/>
      <c r="L42" s="11">
        <v>115</v>
      </c>
      <c r="M42" s="11">
        <f t="shared" si="9"/>
        <v>-2</v>
      </c>
      <c r="N42" s="11"/>
      <c r="O42" s="11"/>
      <c r="P42" s="11"/>
      <c r="Q42" s="11"/>
      <c r="R42" s="11">
        <f t="shared" si="10"/>
        <v>22.6</v>
      </c>
      <c r="S42" s="4">
        <f>11*R42-Q42-P42-G42</f>
        <v>164.60000000000002</v>
      </c>
      <c r="T42" s="11">
        <f t="shared" si="11"/>
        <v>11</v>
      </c>
      <c r="U42" s="11">
        <f t="shared" si="12"/>
        <v>3.716814159292035</v>
      </c>
      <c r="V42" s="11">
        <v>12.6</v>
      </c>
      <c r="W42" s="11">
        <v>16.8</v>
      </c>
      <c r="X42" s="11">
        <v>27.2</v>
      </c>
      <c r="Y42" s="11">
        <v>28.8</v>
      </c>
      <c r="Z42" s="11">
        <v>33</v>
      </c>
      <c r="AA42" s="11">
        <v>28.78</v>
      </c>
      <c r="AB42" s="11">
        <v>18</v>
      </c>
      <c r="AC42" s="11">
        <v>15.6</v>
      </c>
      <c r="AD42" s="11">
        <v>21.8</v>
      </c>
      <c r="AE42" s="11">
        <v>30.2</v>
      </c>
      <c r="AF42" s="11"/>
      <c r="AG42" s="11">
        <f t="shared" si="13"/>
        <v>65.840000000000018</v>
      </c>
      <c r="AH42" s="16">
        <f t="shared" si="7"/>
        <v>9.286545454545454</v>
      </c>
    </row>
    <row r="43" spans="1:34" x14ac:dyDescent="0.25">
      <c r="A43" t="s">
        <v>148</v>
      </c>
      <c r="B43" s="11" t="s">
        <v>146</v>
      </c>
      <c r="C43" s="11" t="s">
        <v>45</v>
      </c>
      <c r="D43" s="11">
        <v>83</v>
      </c>
      <c r="E43" s="11">
        <v>276</v>
      </c>
      <c r="F43" s="11">
        <v>109</v>
      </c>
      <c r="G43" s="11">
        <v>251</v>
      </c>
      <c r="H43" s="6">
        <v>0.4</v>
      </c>
      <c r="I43" s="11">
        <v>45</v>
      </c>
      <c r="J43" s="11" t="s">
        <v>147</v>
      </c>
      <c r="K43" s="11"/>
      <c r="L43" s="11">
        <v>108</v>
      </c>
      <c r="M43" s="11">
        <f t="shared" si="9"/>
        <v>1</v>
      </c>
      <c r="N43" s="11"/>
      <c r="O43" s="11"/>
      <c r="P43" s="11"/>
      <c r="Q43" s="11"/>
      <c r="R43" s="11">
        <f t="shared" si="10"/>
        <v>21.8</v>
      </c>
      <c r="S43" s="4"/>
      <c r="T43" s="11">
        <f t="shared" si="11"/>
        <v>11.513761467889909</v>
      </c>
      <c r="U43" s="11">
        <f t="shared" si="12"/>
        <v>11.513761467889909</v>
      </c>
      <c r="V43" s="11">
        <v>19.600000000000001</v>
      </c>
      <c r="W43" s="11">
        <v>21.4</v>
      </c>
      <c r="X43" s="11">
        <v>24.4</v>
      </c>
      <c r="Y43" s="11">
        <v>27.8</v>
      </c>
      <c r="Z43" s="11">
        <v>42</v>
      </c>
      <c r="AA43" s="11">
        <v>32</v>
      </c>
      <c r="AB43" s="11">
        <v>16.8</v>
      </c>
      <c r="AC43" s="11">
        <v>16</v>
      </c>
      <c r="AD43" s="11">
        <v>12.2</v>
      </c>
      <c r="AE43" s="11">
        <v>37.6</v>
      </c>
      <c r="AF43" s="11"/>
      <c r="AG43" s="11">
        <f t="shared" si="13"/>
        <v>0</v>
      </c>
      <c r="AH43" s="16">
        <f t="shared" si="7"/>
        <v>9.8763636363636351</v>
      </c>
    </row>
    <row r="44" spans="1:34" x14ac:dyDescent="0.25">
      <c r="A44" t="s">
        <v>151</v>
      </c>
      <c r="B44" s="11" t="s">
        <v>149</v>
      </c>
      <c r="C44" s="11" t="s">
        <v>35</v>
      </c>
      <c r="D44" s="11">
        <v>3.8</v>
      </c>
      <c r="E44" s="11">
        <v>169.45</v>
      </c>
      <c r="F44" s="11">
        <v>46.298000000000002</v>
      </c>
      <c r="G44" s="11">
        <v>141.44200000000001</v>
      </c>
      <c r="H44" s="6">
        <v>1</v>
      </c>
      <c r="I44" s="11">
        <v>40</v>
      </c>
      <c r="J44" s="11" t="s">
        <v>150</v>
      </c>
      <c r="K44" s="11"/>
      <c r="L44" s="11">
        <v>48</v>
      </c>
      <c r="M44" s="11">
        <f t="shared" si="9"/>
        <v>-1.7019999999999982</v>
      </c>
      <c r="N44" s="11"/>
      <c r="O44" s="11"/>
      <c r="P44" s="11"/>
      <c r="Q44" s="11"/>
      <c r="R44" s="11">
        <f t="shared" si="10"/>
        <v>9.2596000000000007</v>
      </c>
      <c r="S44" s="4"/>
      <c r="T44" s="11">
        <f t="shared" si="11"/>
        <v>15.275173873601451</v>
      </c>
      <c r="U44" s="11">
        <f t="shared" si="12"/>
        <v>15.275173873601451</v>
      </c>
      <c r="V44" s="11">
        <v>9.5682000000000009</v>
      </c>
      <c r="W44" s="11">
        <v>11.018000000000001</v>
      </c>
      <c r="X44" s="11">
        <v>14.236800000000001</v>
      </c>
      <c r="Y44" s="11">
        <v>11.3324</v>
      </c>
      <c r="Z44" s="11">
        <v>1.7376</v>
      </c>
      <c r="AA44" s="11">
        <v>1.3106</v>
      </c>
      <c r="AB44" s="11">
        <v>10.1592</v>
      </c>
      <c r="AC44" s="11">
        <v>6.6159999999999997</v>
      </c>
      <c r="AD44" s="11">
        <v>7.5105999999999993</v>
      </c>
      <c r="AE44" s="11">
        <v>10.436199999999999</v>
      </c>
      <c r="AF44" s="11"/>
      <c r="AG44" s="11">
        <f t="shared" si="13"/>
        <v>0</v>
      </c>
      <c r="AH44" s="16">
        <f t="shared" si="7"/>
        <v>8.4713818181818183</v>
      </c>
    </row>
    <row r="45" spans="1:34" x14ac:dyDescent="0.25">
      <c r="A45" t="s">
        <v>154</v>
      </c>
      <c r="B45" s="11" t="s">
        <v>152</v>
      </c>
      <c r="C45" s="11" t="s">
        <v>35</v>
      </c>
      <c r="D45" s="11">
        <v>62.098999999999997</v>
      </c>
      <c r="E45" s="11">
        <v>251.13800000000001</v>
      </c>
      <c r="F45" s="11">
        <v>143.22999999999999</v>
      </c>
      <c r="G45" s="11">
        <v>180.19200000000001</v>
      </c>
      <c r="H45" s="6">
        <v>1</v>
      </c>
      <c r="I45" s="11">
        <v>40</v>
      </c>
      <c r="J45" s="11" t="s">
        <v>153</v>
      </c>
      <c r="K45" s="11"/>
      <c r="L45" s="11">
        <v>120.1</v>
      </c>
      <c r="M45" s="11">
        <f t="shared" si="9"/>
        <v>23.129999999999995</v>
      </c>
      <c r="N45" s="11"/>
      <c r="O45" s="11"/>
      <c r="P45" s="11"/>
      <c r="Q45" s="11"/>
      <c r="R45" s="11">
        <f t="shared" si="10"/>
        <v>28.645999999999997</v>
      </c>
      <c r="S45" s="4">
        <f t="shared" ref="S45:S52" si="14">11*R45-Q45-P45-G45</f>
        <v>134.91399999999999</v>
      </c>
      <c r="T45" s="11">
        <f t="shared" si="11"/>
        <v>11</v>
      </c>
      <c r="U45" s="11">
        <f t="shared" si="12"/>
        <v>6.2903023109683733</v>
      </c>
      <c r="V45" s="11">
        <v>20.747199999999999</v>
      </c>
      <c r="W45" s="11">
        <v>18.888000000000002</v>
      </c>
      <c r="X45" s="11">
        <v>24.991</v>
      </c>
      <c r="Y45" s="11">
        <v>20.183199999999999</v>
      </c>
      <c r="Z45" s="11">
        <v>12.035600000000001</v>
      </c>
      <c r="AA45" s="11">
        <v>17.441600000000001</v>
      </c>
      <c r="AB45" s="11">
        <v>20.315000000000001</v>
      </c>
      <c r="AC45" s="11">
        <v>4.5293999999999999</v>
      </c>
      <c r="AD45" s="11">
        <v>18.5532</v>
      </c>
      <c r="AE45" s="11">
        <v>18.1004</v>
      </c>
      <c r="AF45" s="11"/>
      <c r="AG45" s="11">
        <f t="shared" si="13"/>
        <v>134.91399999999999</v>
      </c>
      <c r="AH45" s="16">
        <f t="shared" si="7"/>
        <v>18.584599999999998</v>
      </c>
    </row>
    <row r="46" spans="1:34" x14ac:dyDescent="0.25">
      <c r="A46" t="s">
        <v>157</v>
      </c>
      <c r="B46" s="11" t="s">
        <v>155</v>
      </c>
      <c r="C46" s="11" t="s">
        <v>45</v>
      </c>
      <c r="D46" s="11">
        <v>329</v>
      </c>
      <c r="E46" s="11">
        <v>540</v>
      </c>
      <c r="F46" s="11">
        <v>478</v>
      </c>
      <c r="G46" s="11">
        <v>412</v>
      </c>
      <c r="H46" s="6">
        <v>0.35</v>
      </c>
      <c r="I46" s="11">
        <v>40</v>
      </c>
      <c r="J46" s="11" t="s">
        <v>156</v>
      </c>
      <c r="K46" s="11"/>
      <c r="L46" s="11">
        <v>436</v>
      </c>
      <c r="M46" s="11">
        <f t="shared" si="9"/>
        <v>42</v>
      </c>
      <c r="N46" s="11"/>
      <c r="O46" s="11"/>
      <c r="P46" s="11">
        <v>109.54</v>
      </c>
      <c r="Q46" s="11">
        <v>297.26</v>
      </c>
      <c r="R46" s="11">
        <f t="shared" si="10"/>
        <v>95.6</v>
      </c>
      <c r="S46" s="4">
        <f t="shared" si="14"/>
        <v>232.79999999999995</v>
      </c>
      <c r="T46" s="11">
        <f t="shared" si="11"/>
        <v>11</v>
      </c>
      <c r="U46" s="11">
        <f t="shared" si="12"/>
        <v>8.564853556485355</v>
      </c>
      <c r="V46" s="11">
        <v>83</v>
      </c>
      <c r="W46" s="11">
        <v>71.8</v>
      </c>
      <c r="X46" s="11">
        <v>77.2</v>
      </c>
      <c r="Y46" s="11">
        <v>67.97999999999999</v>
      </c>
      <c r="Z46" s="11">
        <v>25.58</v>
      </c>
      <c r="AA46" s="11">
        <v>37.4</v>
      </c>
      <c r="AB46" s="11">
        <v>78</v>
      </c>
      <c r="AC46" s="11">
        <v>40</v>
      </c>
      <c r="AD46" s="11">
        <v>84.2</v>
      </c>
      <c r="AE46" s="11">
        <v>87.8</v>
      </c>
      <c r="AF46" s="11"/>
      <c r="AG46" s="11">
        <f t="shared" si="13"/>
        <v>81.479999999999976</v>
      </c>
      <c r="AH46" s="16">
        <f t="shared" si="7"/>
        <v>23.817818181818179</v>
      </c>
    </row>
    <row r="47" spans="1:34" x14ac:dyDescent="0.25">
      <c r="A47" t="s">
        <v>160</v>
      </c>
      <c r="B47" s="11" t="s">
        <v>158</v>
      </c>
      <c r="C47" s="11" t="s">
        <v>45</v>
      </c>
      <c r="D47" s="11">
        <v>32</v>
      </c>
      <c r="E47" s="11">
        <v>414</v>
      </c>
      <c r="F47" s="11">
        <v>398</v>
      </c>
      <c r="G47" s="11">
        <v>68</v>
      </c>
      <c r="H47" s="6">
        <v>0.4</v>
      </c>
      <c r="I47" s="11">
        <v>40</v>
      </c>
      <c r="J47" s="11" t="s">
        <v>159</v>
      </c>
      <c r="K47" s="11"/>
      <c r="L47" s="11">
        <v>377</v>
      </c>
      <c r="M47" s="11">
        <f t="shared" si="9"/>
        <v>21</v>
      </c>
      <c r="N47" s="11"/>
      <c r="O47" s="11"/>
      <c r="P47" s="11">
        <v>124.6</v>
      </c>
      <c r="Q47" s="11">
        <v>363.4</v>
      </c>
      <c r="R47" s="11">
        <f t="shared" si="10"/>
        <v>79.599999999999994</v>
      </c>
      <c r="S47" s="4">
        <f t="shared" si="14"/>
        <v>319.59999999999991</v>
      </c>
      <c r="T47" s="11">
        <f t="shared" si="11"/>
        <v>11</v>
      </c>
      <c r="U47" s="11">
        <f t="shared" si="12"/>
        <v>6.9849246231155782</v>
      </c>
      <c r="V47" s="11">
        <v>60</v>
      </c>
      <c r="W47" s="11">
        <v>42</v>
      </c>
      <c r="X47" s="11">
        <v>28.6</v>
      </c>
      <c r="Y47" s="11">
        <v>26.6</v>
      </c>
      <c r="Z47" s="11">
        <v>50.2</v>
      </c>
      <c r="AA47" s="11">
        <v>51.4</v>
      </c>
      <c r="AB47" s="11">
        <v>73.400000000000006</v>
      </c>
      <c r="AC47" s="11">
        <v>46.6</v>
      </c>
      <c r="AD47" s="11">
        <v>53</v>
      </c>
      <c r="AE47" s="11">
        <v>77</v>
      </c>
      <c r="AF47" s="11"/>
      <c r="AG47" s="11">
        <f t="shared" si="13"/>
        <v>127.83999999999997</v>
      </c>
      <c r="AH47" s="16">
        <f t="shared" si="7"/>
        <v>21.396363636363638</v>
      </c>
    </row>
    <row r="48" spans="1:34" x14ac:dyDescent="0.25">
      <c r="A48" t="s">
        <v>163</v>
      </c>
      <c r="B48" s="11" t="s">
        <v>161</v>
      </c>
      <c r="C48" s="11" t="s">
        <v>35</v>
      </c>
      <c r="D48" s="11">
        <v>1.333</v>
      </c>
      <c r="E48" s="11">
        <v>108.35899999999999</v>
      </c>
      <c r="F48" s="11">
        <v>57.045000000000002</v>
      </c>
      <c r="G48" s="11">
        <v>63.414000000000001</v>
      </c>
      <c r="H48" s="6">
        <v>1</v>
      </c>
      <c r="I48" s="11">
        <v>50</v>
      </c>
      <c r="J48" s="11" t="s">
        <v>162</v>
      </c>
      <c r="K48" s="11"/>
      <c r="L48" s="11">
        <v>42.75</v>
      </c>
      <c r="M48" s="11">
        <f t="shared" si="9"/>
        <v>14.295000000000002</v>
      </c>
      <c r="N48" s="11"/>
      <c r="O48" s="11"/>
      <c r="P48" s="11"/>
      <c r="Q48" s="11"/>
      <c r="R48" s="11">
        <f t="shared" si="10"/>
        <v>11.409000000000001</v>
      </c>
      <c r="S48" s="4">
        <f t="shared" si="14"/>
        <v>62.085000000000008</v>
      </c>
      <c r="T48" s="11">
        <f t="shared" si="11"/>
        <v>11</v>
      </c>
      <c r="U48" s="11">
        <f t="shared" si="12"/>
        <v>5.5582434919800159</v>
      </c>
      <c r="V48" s="11">
        <v>5.1622000000000003</v>
      </c>
      <c r="W48" s="11">
        <v>2.6922000000000001</v>
      </c>
      <c r="X48" s="11">
        <v>6.4640000000000004</v>
      </c>
      <c r="Y48" s="11">
        <v>7.74</v>
      </c>
      <c r="Z48" s="11">
        <v>4.5076000000000001</v>
      </c>
      <c r="AA48" s="11">
        <v>6.4640000000000004</v>
      </c>
      <c r="AB48" s="11">
        <v>6.4567999999999994</v>
      </c>
      <c r="AC48" s="11">
        <v>6.7715999999999994</v>
      </c>
      <c r="AD48" s="11">
        <v>7.5808000000000009</v>
      </c>
      <c r="AE48" s="11">
        <v>7.5367999999999986</v>
      </c>
      <c r="AF48" s="11"/>
      <c r="AG48" s="11">
        <f t="shared" si="13"/>
        <v>62.085000000000008</v>
      </c>
      <c r="AH48" s="16">
        <f t="shared" si="7"/>
        <v>6.616818181818183</v>
      </c>
    </row>
    <row r="49" spans="1:34" x14ac:dyDescent="0.25">
      <c r="A49" t="s">
        <v>166</v>
      </c>
      <c r="B49" s="11" t="s">
        <v>164</v>
      </c>
      <c r="C49" s="11" t="s">
        <v>35</v>
      </c>
      <c r="D49" s="11">
        <v>103.599</v>
      </c>
      <c r="E49" s="11">
        <v>271.53800000000001</v>
      </c>
      <c r="F49" s="11">
        <v>162.38900000000001</v>
      </c>
      <c r="G49" s="11">
        <v>232.9</v>
      </c>
      <c r="H49" s="6">
        <v>1</v>
      </c>
      <c r="I49" s="11">
        <v>50</v>
      </c>
      <c r="J49" s="11" t="s">
        <v>165</v>
      </c>
      <c r="K49" s="11"/>
      <c r="L49" s="11">
        <v>133</v>
      </c>
      <c r="M49" s="11">
        <f t="shared" si="9"/>
        <v>29.38900000000001</v>
      </c>
      <c r="N49" s="11"/>
      <c r="O49" s="11"/>
      <c r="P49" s="11"/>
      <c r="Q49" s="11"/>
      <c r="R49" s="11">
        <f t="shared" si="10"/>
        <v>32.477800000000002</v>
      </c>
      <c r="S49" s="4">
        <f t="shared" si="14"/>
        <v>124.35580000000002</v>
      </c>
      <c r="T49" s="11">
        <f t="shared" si="11"/>
        <v>11</v>
      </c>
      <c r="U49" s="11">
        <f t="shared" si="12"/>
        <v>7.1710522264439094</v>
      </c>
      <c r="V49" s="11">
        <v>18.959</v>
      </c>
      <c r="W49" s="11">
        <v>17.484999999999999</v>
      </c>
      <c r="X49" s="11">
        <v>29.415600000000001</v>
      </c>
      <c r="Y49" s="11">
        <v>25.074000000000002</v>
      </c>
      <c r="Z49" s="11">
        <v>17.300999999999998</v>
      </c>
      <c r="AA49" s="11">
        <v>22.004999999999999</v>
      </c>
      <c r="AB49" s="11">
        <v>25.757400000000001</v>
      </c>
      <c r="AC49" s="11">
        <v>6.9251999999999994</v>
      </c>
      <c r="AD49" s="11">
        <v>16.209599999999998</v>
      </c>
      <c r="AE49" s="11">
        <v>15.2142</v>
      </c>
      <c r="AF49" s="11"/>
      <c r="AG49" s="11">
        <f t="shared" si="13"/>
        <v>124.35580000000002</v>
      </c>
      <c r="AH49" s="16">
        <f t="shared" si="7"/>
        <v>20.620345454545454</v>
      </c>
    </row>
    <row r="50" spans="1:34" x14ac:dyDescent="0.25">
      <c r="A50" t="s">
        <v>169</v>
      </c>
      <c r="B50" s="11" t="s">
        <v>167</v>
      </c>
      <c r="C50" s="11" t="s">
        <v>35</v>
      </c>
      <c r="D50" s="11"/>
      <c r="E50" s="11">
        <v>54.139000000000003</v>
      </c>
      <c r="F50" s="11">
        <v>53.198</v>
      </c>
      <c r="G50" s="11">
        <v>-0.17100000000000001</v>
      </c>
      <c r="H50" s="6">
        <v>1</v>
      </c>
      <c r="I50" s="11">
        <v>45</v>
      </c>
      <c r="J50" s="11" t="s">
        <v>168</v>
      </c>
      <c r="K50" s="11"/>
      <c r="L50" s="11">
        <v>83.7</v>
      </c>
      <c r="M50" s="11">
        <f t="shared" si="9"/>
        <v>-30.502000000000002</v>
      </c>
      <c r="N50" s="11"/>
      <c r="O50" s="11"/>
      <c r="P50" s="11"/>
      <c r="Q50" s="11">
        <v>78.92580000000001</v>
      </c>
      <c r="R50" s="11">
        <f t="shared" si="10"/>
        <v>10.6396</v>
      </c>
      <c r="S50" s="4">
        <f t="shared" si="14"/>
        <v>38.280799999999992</v>
      </c>
      <c r="T50" s="11">
        <f t="shared" si="11"/>
        <v>11</v>
      </c>
      <c r="U50" s="11">
        <f t="shared" si="12"/>
        <v>7.4020451896687849</v>
      </c>
      <c r="V50" s="11">
        <v>9.4252000000000002</v>
      </c>
      <c r="W50" s="11">
        <v>0</v>
      </c>
      <c r="X50" s="11">
        <v>0</v>
      </c>
      <c r="Y50" s="11">
        <v>0</v>
      </c>
      <c r="Z50" s="11">
        <v>-0.30359999999999998</v>
      </c>
      <c r="AA50" s="11">
        <v>2.0486</v>
      </c>
      <c r="AB50" s="11">
        <v>29.5078</v>
      </c>
      <c r="AC50" s="11">
        <v>3.2395999999999998</v>
      </c>
      <c r="AD50" s="11">
        <v>14.295199999999999</v>
      </c>
      <c r="AE50" s="11">
        <v>18.4956</v>
      </c>
      <c r="AF50" s="11"/>
      <c r="AG50" s="11">
        <f t="shared" si="13"/>
        <v>38.280799999999992</v>
      </c>
      <c r="AH50" s="16">
        <f t="shared" si="7"/>
        <v>7.9407272727272726</v>
      </c>
    </row>
    <row r="51" spans="1:34" x14ac:dyDescent="0.25">
      <c r="A51" t="s">
        <v>172</v>
      </c>
      <c r="B51" s="11" t="s">
        <v>170</v>
      </c>
      <c r="C51" s="11" t="s">
        <v>45</v>
      </c>
      <c r="D51" s="11">
        <v>2</v>
      </c>
      <c r="E51" s="11">
        <v>260</v>
      </c>
      <c r="F51" s="11">
        <v>109</v>
      </c>
      <c r="G51" s="11">
        <v>149</v>
      </c>
      <c r="H51" s="6">
        <v>0.45</v>
      </c>
      <c r="I51" s="11">
        <v>50</v>
      </c>
      <c r="J51" s="11" t="s">
        <v>171</v>
      </c>
      <c r="K51" s="11"/>
      <c r="L51" s="11">
        <v>113</v>
      </c>
      <c r="M51" s="11">
        <f t="shared" si="9"/>
        <v>-4</v>
      </c>
      <c r="N51" s="11"/>
      <c r="O51" s="11"/>
      <c r="P51" s="11"/>
      <c r="Q51" s="11">
        <v>65.600000000000023</v>
      </c>
      <c r="R51" s="11">
        <f t="shared" si="10"/>
        <v>21.8</v>
      </c>
      <c r="S51" s="4">
        <f t="shared" si="14"/>
        <v>25.199999999999989</v>
      </c>
      <c r="T51" s="11">
        <f t="shared" si="11"/>
        <v>11</v>
      </c>
      <c r="U51" s="11">
        <f t="shared" si="12"/>
        <v>9.8440366972477076</v>
      </c>
      <c r="V51" s="11">
        <v>22.8</v>
      </c>
      <c r="W51" s="11">
        <v>20.8</v>
      </c>
      <c r="X51" s="11">
        <v>17.399999999999999</v>
      </c>
      <c r="Y51" s="11">
        <v>23</v>
      </c>
      <c r="Z51" s="11">
        <v>36</v>
      </c>
      <c r="AA51" s="11">
        <v>29</v>
      </c>
      <c r="AB51" s="11">
        <v>28</v>
      </c>
      <c r="AC51" s="11">
        <v>7.2</v>
      </c>
      <c r="AD51" s="11">
        <v>42.6</v>
      </c>
      <c r="AE51" s="11">
        <v>32</v>
      </c>
      <c r="AF51" s="11"/>
      <c r="AG51" s="11">
        <f t="shared" si="13"/>
        <v>11.339999999999995</v>
      </c>
      <c r="AH51" s="16">
        <f t="shared" si="7"/>
        <v>11.479090909090907</v>
      </c>
    </row>
    <row r="52" spans="1:34" x14ac:dyDescent="0.25">
      <c r="A52" t="s">
        <v>175</v>
      </c>
      <c r="B52" s="11" t="s">
        <v>173</v>
      </c>
      <c r="C52" s="11" t="s">
        <v>45</v>
      </c>
      <c r="D52" s="11">
        <v>133</v>
      </c>
      <c r="E52" s="11">
        <v>350</v>
      </c>
      <c r="F52" s="11">
        <v>243</v>
      </c>
      <c r="G52" s="11">
        <v>251</v>
      </c>
      <c r="H52" s="6">
        <v>0.45</v>
      </c>
      <c r="I52" s="11">
        <v>50</v>
      </c>
      <c r="J52" s="11" t="s">
        <v>174</v>
      </c>
      <c r="K52" s="11"/>
      <c r="L52" s="11">
        <v>227</v>
      </c>
      <c r="M52" s="11">
        <f t="shared" si="9"/>
        <v>16</v>
      </c>
      <c r="N52" s="11"/>
      <c r="O52" s="11"/>
      <c r="P52" s="11"/>
      <c r="Q52" s="11">
        <v>120</v>
      </c>
      <c r="R52" s="11">
        <f t="shared" si="10"/>
        <v>48.6</v>
      </c>
      <c r="S52" s="4">
        <f t="shared" si="14"/>
        <v>163.60000000000002</v>
      </c>
      <c r="T52" s="11">
        <f t="shared" si="11"/>
        <v>11</v>
      </c>
      <c r="U52" s="11">
        <f t="shared" si="12"/>
        <v>7.6337448559670777</v>
      </c>
      <c r="V52" s="11">
        <v>40.6</v>
      </c>
      <c r="W52" s="11">
        <v>35.6</v>
      </c>
      <c r="X52" s="11">
        <v>40.6</v>
      </c>
      <c r="Y52" s="11">
        <v>40.4</v>
      </c>
      <c r="Z52" s="11">
        <v>42.6</v>
      </c>
      <c r="AA52" s="11">
        <v>49.2</v>
      </c>
      <c r="AB52" s="11">
        <v>37</v>
      </c>
      <c r="AC52" s="11">
        <v>23.4</v>
      </c>
      <c r="AD52" s="11">
        <v>35.200000000000003</v>
      </c>
      <c r="AE52" s="11">
        <v>34.799999999999997</v>
      </c>
      <c r="AF52" s="11"/>
      <c r="AG52" s="11">
        <f t="shared" si="13"/>
        <v>73.620000000000019</v>
      </c>
      <c r="AH52" s="16">
        <f t="shared" si="7"/>
        <v>17.509090909090908</v>
      </c>
    </row>
    <row r="53" spans="1:34" x14ac:dyDescent="0.25">
      <c r="A53" t="s">
        <v>178</v>
      </c>
      <c r="B53" s="11" t="s">
        <v>176</v>
      </c>
      <c r="C53" s="11" t="s">
        <v>45</v>
      </c>
      <c r="D53" s="11">
        <v>9</v>
      </c>
      <c r="E53" s="11">
        <v>306</v>
      </c>
      <c r="F53" s="11">
        <v>95</v>
      </c>
      <c r="G53" s="11">
        <v>222</v>
      </c>
      <c r="H53" s="6">
        <v>0.4</v>
      </c>
      <c r="I53" s="11">
        <v>40</v>
      </c>
      <c r="J53" s="11" t="s">
        <v>177</v>
      </c>
      <c r="K53" s="11"/>
      <c r="L53" s="11">
        <v>93</v>
      </c>
      <c r="M53" s="11">
        <f t="shared" si="9"/>
        <v>2</v>
      </c>
      <c r="N53" s="11"/>
      <c r="O53" s="11"/>
      <c r="P53" s="11"/>
      <c r="Q53" s="11"/>
      <c r="R53" s="11">
        <f t="shared" si="10"/>
        <v>19</v>
      </c>
      <c r="S53" s="4"/>
      <c r="T53" s="11">
        <f t="shared" si="11"/>
        <v>11.684210526315789</v>
      </c>
      <c r="U53" s="11">
        <f t="shared" si="12"/>
        <v>11.684210526315789</v>
      </c>
      <c r="V53" s="11">
        <v>9.1999999999999993</v>
      </c>
      <c r="W53" s="11">
        <v>1.2</v>
      </c>
      <c r="X53" s="11">
        <v>11.8</v>
      </c>
      <c r="Y53" s="11">
        <v>23</v>
      </c>
      <c r="Z53" s="11">
        <v>16.399999999999999</v>
      </c>
      <c r="AA53" s="11">
        <v>12.2</v>
      </c>
      <c r="AB53" s="11">
        <v>18.399999999999999</v>
      </c>
      <c r="AC53" s="11">
        <v>16.2</v>
      </c>
      <c r="AD53" s="11">
        <v>23.8</v>
      </c>
      <c r="AE53" s="11">
        <v>30.2</v>
      </c>
      <c r="AF53" s="11"/>
      <c r="AG53" s="11">
        <f t="shared" si="13"/>
        <v>0</v>
      </c>
      <c r="AH53" s="16">
        <f t="shared" si="7"/>
        <v>6.5963636363636358</v>
      </c>
    </row>
    <row r="54" spans="1:34" x14ac:dyDescent="0.25">
      <c r="A54" t="s">
        <v>181</v>
      </c>
      <c r="B54" s="11" t="s">
        <v>179</v>
      </c>
      <c r="C54" s="11" t="s">
        <v>45</v>
      </c>
      <c r="D54" s="11">
        <v>10</v>
      </c>
      <c r="E54" s="11">
        <v>24</v>
      </c>
      <c r="F54" s="11">
        <v>44</v>
      </c>
      <c r="G54" s="11"/>
      <c r="H54" s="6">
        <v>0.4</v>
      </c>
      <c r="I54" s="11">
        <v>40</v>
      </c>
      <c r="J54" s="11" t="s">
        <v>180</v>
      </c>
      <c r="K54" s="11"/>
      <c r="L54" s="11">
        <v>60</v>
      </c>
      <c r="M54" s="11">
        <f t="shared" si="9"/>
        <v>-16</v>
      </c>
      <c r="N54" s="11"/>
      <c r="O54" s="11"/>
      <c r="P54" s="11">
        <v>88.367999999999995</v>
      </c>
      <c r="Q54" s="11">
        <v>93.399999999999991</v>
      </c>
      <c r="R54" s="11">
        <f t="shared" si="10"/>
        <v>8.8000000000000007</v>
      </c>
      <c r="S54" s="4"/>
      <c r="T54" s="11">
        <f t="shared" si="11"/>
        <v>20.655454545454539</v>
      </c>
      <c r="U54" s="11">
        <f t="shared" si="12"/>
        <v>20.655454545454539</v>
      </c>
      <c r="V54" s="11">
        <v>15.6</v>
      </c>
      <c r="W54" s="11">
        <v>14.2</v>
      </c>
      <c r="X54" s="11">
        <v>6</v>
      </c>
      <c r="Y54" s="11">
        <v>0.4</v>
      </c>
      <c r="Z54" s="11">
        <v>11</v>
      </c>
      <c r="AA54" s="11">
        <v>18.8</v>
      </c>
      <c r="AB54" s="11">
        <v>16.600000000000001</v>
      </c>
      <c r="AC54" s="11">
        <v>18</v>
      </c>
      <c r="AD54" s="11">
        <v>25.2</v>
      </c>
      <c r="AE54" s="11">
        <v>27.6</v>
      </c>
      <c r="AF54" s="11"/>
      <c r="AG54" s="11">
        <f t="shared" si="13"/>
        <v>0</v>
      </c>
      <c r="AH54" s="16">
        <f t="shared" si="7"/>
        <v>5.8981818181818193</v>
      </c>
    </row>
    <row r="55" spans="1:34" x14ac:dyDescent="0.25">
      <c r="A55" t="s">
        <v>184</v>
      </c>
      <c r="B55" s="11" t="s">
        <v>182</v>
      </c>
      <c r="C55" s="11" t="s">
        <v>35</v>
      </c>
      <c r="D55" s="11">
        <v>9.2940000000000005</v>
      </c>
      <c r="E55" s="11">
        <v>363.61399999999998</v>
      </c>
      <c r="F55" s="11">
        <v>97.331000000000003</v>
      </c>
      <c r="G55" s="11">
        <v>295.69299999999998</v>
      </c>
      <c r="H55" s="6">
        <v>1</v>
      </c>
      <c r="I55" s="11">
        <v>50</v>
      </c>
      <c r="J55" s="11" t="s">
        <v>183</v>
      </c>
      <c r="K55" s="11"/>
      <c r="L55" s="11">
        <v>85.7</v>
      </c>
      <c r="M55" s="11">
        <f t="shared" si="9"/>
        <v>11.631</v>
      </c>
      <c r="N55" s="11"/>
      <c r="O55" s="11"/>
      <c r="P55" s="11"/>
      <c r="Q55" s="11"/>
      <c r="R55" s="11">
        <f t="shared" si="10"/>
        <v>19.466200000000001</v>
      </c>
      <c r="S55" s="4"/>
      <c r="T55" s="11">
        <f t="shared" si="11"/>
        <v>15.190073049696396</v>
      </c>
      <c r="U55" s="11">
        <f t="shared" si="12"/>
        <v>15.190073049696396</v>
      </c>
      <c r="V55" s="11">
        <v>19.613600000000002</v>
      </c>
      <c r="W55" s="11">
        <v>23.474799999999998</v>
      </c>
      <c r="X55" s="11">
        <v>30.131599999999999</v>
      </c>
      <c r="Y55" s="11">
        <v>27.6572</v>
      </c>
      <c r="Z55" s="11">
        <v>10.188000000000001</v>
      </c>
      <c r="AA55" s="11">
        <v>11.5906</v>
      </c>
      <c r="AB55" s="11">
        <v>24.2422</v>
      </c>
      <c r="AC55" s="11">
        <v>12.941000000000001</v>
      </c>
      <c r="AD55" s="11">
        <v>20.411799999999999</v>
      </c>
      <c r="AE55" s="11">
        <v>15.2996</v>
      </c>
      <c r="AF55" s="11"/>
      <c r="AG55" s="11">
        <f t="shared" si="13"/>
        <v>0</v>
      </c>
      <c r="AH55" s="16">
        <f t="shared" si="7"/>
        <v>19.546963636363635</v>
      </c>
    </row>
    <row r="56" spans="1:34" x14ac:dyDescent="0.25">
      <c r="A56" t="s">
        <v>187</v>
      </c>
      <c r="B56" s="11" t="s">
        <v>185</v>
      </c>
      <c r="C56" s="11" t="s">
        <v>45</v>
      </c>
      <c r="D56" s="11"/>
      <c r="E56" s="11">
        <v>700</v>
      </c>
      <c r="F56" s="11">
        <v>229</v>
      </c>
      <c r="G56" s="11">
        <v>471</v>
      </c>
      <c r="H56" s="6">
        <v>0.1</v>
      </c>
      <c r="I56" s="11">
        <v>731</v>
      </c>
      <c r="J56" s="11" t="s">
        <v>186</v>
      </c>
      <c r="K56" s="11"/>
      <c r="L56" s="11">
        <v>172</v>
      </c>
      <c r="M56" s="11">
        <f t="shared" si="9"/>
        <v>57</v>
      </c>
      <c r="N56" s="11"/>
      <c r="O56" s="11"/>
      <c r="P56" s="11"/>
      <c r="Q56" s="11"/>
      <c r="R56" s="11">
        <f t="shared" si="10"/>
        <v>45.8</v>
      </c>
      <c r="S56" s="4">
        <f t="shared" ref="S56:S61" si="15">11*R56-Q56-P56-G56</f>
        <v>32.799999999999955</v>
      </c>
      <c r="T56" s="11">
        <f t="shared" si="11"/>
        <v>11</v>
      </c>
      <c r="U56" s="11">
        <f t="shared" si="12"/>
        <v>10.283842794759826</v>
      </c>
      <c r="V56" s="11">
        <v>44</v>
      </c>
      <c r="W56" s="11">
        <v>22</v>
      </c>
      <c r="X56" s="11">
        <v>45</v>
      </c>
      <c r="Y56" s="11">
        <v>59.4</v>
      </c>
      <c r="Z56" s="11">
        <v>43.8</v>
      </c>
      <c r="AA56" s="11">
        <v>44</v>
      </c>
      <c r="AB56" s="11">
        <v>24.6</v>
      </c>
      <c r="AC56" s="11">
        <v>34.6</v>
      </c>
      <c r="AD56" s="11">
        <v>19.2</v>
      </c>
      <c r="AE56" s="11">
        <v>28.4</v>
      </c>
      <c r="AF56" s="11"/>
      <c r="AG56" s="11">
        <f t="shared" si="13"/>
        <v>3.2799999999999958</v>
      </c>
      <c r="AH56" s="16">
        <f t="shared" si="7"/>
        <v>3.7345454545454544</v>
      </c>
    </row>
    <row r="57" spans="1:34" x14ac:dyDescent="0.25">
      <c r="A57" t="s">
        <v>190</v>
      </c>
      <c r="B57" s="11" t="s">
        <v>188</v>
      </c>
      <c r="C57" s="11" t="s">
        <v>35</v>
      </c>
      <c r="D57" s="11">
        <v>18.981000000000002</v>
      </c>
      <c r="E57" s="11">
        <v>238.92</v>
      </c>
      <c r="F57" s="11">
        <v>108.57899999999999</v>
      </c>
      <c r="G57" s="11">
        <v>165.59100000000001</v>
      </c>
      <c r="H57" s="6">
        <v>1</v>
      </c>
      <c r="I57" s="11">
        <v>50</v>
      </c>
      <c r="J57" s="11" t="s">
        <v>189</v>
      </c>
      <c r="K57" s="11"/>
      <c r="L57" s="11">
        <v>78.849999999999994</v>
      </c>
      <c r="M57" s="11">
        <f t="shared" si="9"/>
        <v>29.728999999999999</v>
      </c>
      <c r="N57" s="11"/>
      <c r="O57" s="11"/>
      <c r="P57" s="11"/>
      <c r="Q57" s="11"/>
      <c r="R57" s="11">
        <f t="shared" si="10"/>
        <v>21.715799999999998</v>
      </c>
      <c r="S57" s="4">
        <f t="shared" si="15"/>
        <v>73.28279999999998</v>
      </c>
      <c r="T57" s="11">
        <f t="shared" si="11"/>
        <v>11</v>
      </c>
      <c r="U57" s="11">
        <f t="shared" si="12"/>
        <v>7.6253695465974092</v>
      </c>
      <c r="V57" s="11">
        <v>16.465399999999999</v>
      </c>
      <c r="W57" s="11">
        <v>16.174800000000001</v>
      </c>
      <c r="X57" s="11">
        <v>20.6662</v>
      </c>
      <c r="Y57" s="11">
        <v>20.6676</v>
      </c>
      <c r="Z57" s="11">
        <v>20.402799999999999</v>
      </c>
      <c r="AA57" s="11">
        <v>18.515999999999998</v>
      </c>
      <c r="AB57" s="11">
        <v>5.1243999999999996</v>
      </c>
      <c r="AC57" s="11">
        <v>12.113200000000001</v>
      </c>
      <c r="AD57" s="11">
        <v>9.4244000000000003</v>
      </c>
      <c r="AE57" s="11">
        <v>10.9678</v>
      </c>
      <c r="AF57" s="11"/>
      <c r="AG57" s="11">
        <f t="shared" si="13"/>
        <v>73.28279999999998</v>
      </c>
      <c r="AH57" s="16">
        <f t="shared" si="7"/>
        <v>15.658036363636363</v>
      </c>
    </row>
    <row r="58" spans="1:34" x14ac:dyDescent="0.25">
      <c r="A58" t="s">
        <v>193</v>
      </c>
      <c r="B58" s="11" t="s">
        <v>191</v>
      </c>
      <c r="C58" s="11" t="s">
        <v>35</v>
      </c>
      <c r="D58" s="11">
        <v>-5.8000000000000003E-2</v>
      </c>
      <c r="E58" s="11">
        <v>54.042999999999999</v>
      </c>
      <c r="F58" s="11">
        <v>27.018999999999998</v>
      </c>
      <c r="G58" s="11">
        <v>33.723999999999997</v>
      </c>
      <c r="H58" s="6">
        <v>1</v>
      </c>
      <c r="I58" s="11">
        <v>55</v>
      </c>
      <c r="J58" s="11" t="s">
        <v>192</v>
      </c>
      <c r="K58" s="11"/>
      <c r="L58" s="11">
        <v>19.45</v>
      </c>
      <c r="M58" s="11">
        <f t="shared" si="9"/>
        <v>7.5689999999999991</v>
      </c>
      <c r="N58" s="11"/>
      <c r="O58" s="11"/>
      <c r="P58" s="11"/>
      <c r="Q58" s="11">
        <v>3.5927999999999969</v>
      </c>
      <c r="R58" s="11">
        <f t="shared" si="10"/>
        <v>5.4037999999999995</v>
      </c>
      <c r="S58" s="4">
        <f t="shared" si="15"/>
        <v>22.125</v>
      </c>
      <c r="T58" s="11">
        <f t="shared" si="11"/>
        <v>11</v>
      </c>
      <c r="U58" s="11">
        <f t="shared" si="12"/>
        <v>6.9056589807172726</v>
      </c>
      <c r="V58" s="11">
        <v>4.0573999999999986</v>
      </c>
      <c r="W58" s="11">
        <v>2.7052</v>
      </c>
      <c r="X58" s="11">
        <v>1.0808</v>
      </c>
      <c r="Y58" s="11">
        <v>2.1631999999999998</v>
      </c>
      <c r="Z58" s="11">
        <v>5.6636000000000006</v>
      </c>
      <c r="AA58" s="11">
        <v>6.7619999999999996</v>
      </c>
      <c r="AB58" s="11">
        <v>3.774</v>
      </c>
      <c r="AC58" s="11">
        <v>3.25</v>
      </c>
      <c r="AD58" s="11">
        <v>3.2517999999999998</v>
      </c>
      <c r="AE58" s="11">
        <v>5.1604000000000001</v>
      </c>
      <c r="AF58" s="11"/>
      <c r="AG58" s="11">
        <f t="shared" si="13"/>
        <v>22.125</v>
      </c>
      <c r="AH58" s="16">
        <f t="shared" si="7"/>
        <v>3.9338363636363636</v>
      </c>
    </row>
    <row r="59" spans="1:34" x14ac:dyDescent="0.25">
      <c r="A59" t="s">
        <v>196</v>
      </c>
      <c r="B59" s="11" t="s">
        <v>194</v>
      </c>
      <c r="C59" s="11" t="s">
        <v>45</v>
      </c>
      <c r="D59" s="11"/>
      <c r="E59" s="11">
        <v>600</v>
      </c>
      <c r="F59" s="11">
        <v>194</v>
      </c>
      <c r="G59" s="11">
        <v>411</v>
      </c>
      <c r="H59" s="6">
        <v>0.1</v>
      </c>
      <c r="I59" s="11">
        <v>731</v>
      </c>
      <c r="J59" s="11" t="s">
        <v>195</v>
      </c>
      <c r="K59" s="11"/>
      <c r="L59" s="11">
        <v>132</v>
      </c>
      <c r="M59" s="11">
        <f t="shared" si="9"/>
        <v>62</v>
      </c>
      <c r="N59" s="11"/>
      <c r="O59" s="11"/>
      <c r="P59" s="11"/>
      <c r="Q59" s="11"/>
      <c r="R59" s="11">
        <f t="shared" si="10"/>
        <v>38.799999999999997</v>
      </c>
      <c r="S59" s="4">
        <f t="shared" si="15"/>
        <v>15.799999999999955</v>
      </c>
      <c r="T59" s="11">
        <f t="shared" si="11"/>
        <v>11</v>
      </c>
      <c r="U59" s="11">
        <f t="shared" si="12"/>
        <v>10.592783505154641</v>
      </c>
      <c r="V59" s="11">
        <v>36</v>
      </c>
      <c r="W59" s="11">
        <v>32.6</v>
      </c>
      <c r="X59" s="11">
        <v>50.2</v>
      </c>
      <c r="Y59" s="11">
        <v>53</v>
      </c>
      <c r="Z59" s="11">
        <v>35.6</v>
      </c>
      <c r="AA59" s="11">
        <v>34</v>
      </c>
      <c r="AB59" s="11">
        <v>33</v>
      </c>
      <c r="AC59" s="11">
        <v>26.2</v>
      </c>
      <c r="AD59" s="11">
        <v>19.600000000000001</v>
      </c>
      <c r="AE59" s="11">
        <v>33.4</v>
      </c>
      <c r="AF59" s="11"/>
      <c r="AG59" s="11">
        <f t="shared" si="13"/>
        <v>1.5799999999999956</v>
      </c>
      <c r="AH59" s="16">
        <f t="shared" si="7"/>
        <v>3.5672727272727274</v>
      </c>
    </row>
    <row r="60" spans="1:34" x14ac:dyDescent="0.25">
      <c r="A60" t="s">
        <v>199</v>
      </c>
      <c r="B60" s="11" t="s">
        <v>197</v>
      </c>
      <c r="C60" s="11" t="s">
        <v>45</v>
      </c>
      <c r="D60" s="11">
        <v>1</v>
      </c>
      <c r="E60" s="11">
        <v>40</v>
      </c>
      <c r="F60" s="11">
        <v>38</v>
      </c>
      <c r="G60" s="11">
        <v>4</v>
      </c>
      <c r="H60" s="6">
        <v>0.4</v>
      </c>
      <c r="I60" s="11">
        <v>50</v>
      </c>
      <c r="J60" s="11" t="s">
        <v>198</v>
      </c>
      <c r="K60" s="11"/>
      <c r="L60" s="11">
        <v>37</v>
      </c>
      <c r="M60" s="11">
        <f t="shared" si="9"/>
        <v>1</v>
      </c>
      <c r="N60" s="11"/>
      <c r="O60" s="11"/>
      <c r="P60" s="11"/>
      <c r="Q60" s="11">
        <v>32.599999999999987</v>
      </c>
      <c r="R60" s="11">
        <f t="shared" si="10"/>
        <v>7.6</v>
      </c>
      <c r="S60" s="4">
        <f t="shared" si="15"/>
        <v>47.000000000000007</v>
      </c>
      <c r="T60" s="11">
        <f t="shared" si="11"/>
        <v>11</v>
      </c>
      <c r="U60" s="11">
        <f t="shared" si="12"/>
        <v>4.8157894736842088</v>
      </c>
      <c r="V60" s="11">
        <v>4.8</v>
      </c>
      <c r="W60" s="11">
        <v>3.6</v>
      </c>
      <c r="X60" s="11">
        <v>3</v>
      </c>
      <c r="Y60" s="11">
        <v>2.2000000000000002</v>
      </c>
      <c r="Z60" s="11">
        <v>5.2</v>
      </c>
      <c r="AA60" s="11">
        <v>5.4</v>
      </c>
      <c r="AB60" s="11">
        <v>4.2</v>
      </c>
      <c r="AC60" s="11">
        <v>4.4000000000000004</v>
      </c>
      <c r="AD60" s="11">
        <v>6.6</v>
      </c>
      <c r="AE60" s="11">
        <v>4</v>
      </c>
      <c r="AF60" s="11"/>
      <c r="AG60" s="11">
        <f t="shared" si="13"/>
        <v>18.800000000000004</v>
      </c>
      <c r="AH60" s="16">
        <f t="shared" si="7"/>
        <v>1.8545454545454547</v>
      </c>
    </row>
    <row r="61" spans="1:34" x14ac:dyDescent="0.25">
      <c r="A61" t="s">
        <v>202</v>
      </c>
      <c r="B61" s="11" t="s">
        <v>200</v>
      </c>
      <c r="C61" s="11" t="s">
        <v>35</v>
      </c>
      <c r="D61" s="11"/>
      <c r="E61" s="11">
        <v>41.276000000000003</v>
      </c>
      <c r="F61" s="11">
        <v>15.305999999999999</v>
      </c>
      <c r="G61" s="11">
        <v>25.97</v>
      </c>
      <c r="H61" s="6">
        <v>1</v>
      </c>
      <c r="I61" s="11">
        <v>40</v>
      </c>
      <c r="J61" s="11" t="s">
        <v>201</v>
      </c>
      <c r="K61" s="11"/>
      <c r="L61" s="11">
        <v>16.7</v>
      </c>
      <c r="M61" s="11">
        <f t="shared" si="9"/>
        <v>-1.3940000000000001</v>
      </c>
      <c r="N61" s="11"/>
      <c r="O61" s="11"/>
      <c r="P61" s="11"/>
      <c r="Q61" s="11"/>
      <c r="R61" s="11">
        <f t="shared" si="10"/>
        <v>3.0611999999999999</v>
      </c>
      <c r="S61" s="4">
        <f t="shared" si="15"/>
        <v>7.7032000000000025</v>
      </c>
      <c r="T61" s="11">
        <f t="shared" si="11"/>
        <v>11</v>
      </c>
      <c r="U61" s="11">
        <f t="shared" si="12"/>
        <v>8.4836012021429497</v>
      </c>
      <c r="V61" s="11">
        <v>0.83219999999999994</v>
      </c>
      <c r="W61" s="11">
        <v>0</v>
      </c>
      <c r="X61" s="11">
        <v>0</v>
      </c>
      <c r="Y61" s="11">
        <v>0</v>
      </c>
      <c r="Z61" s="11">
        <v>3.2136</v>
      </c>
      <c r="AA61" s="11">
        <v>3.2136</v>
      </c>
      <c r="AB61" s="11">
        <v>1.5266</v>
      </c>
      <c r="AC61" s="11">
        <v>2.9758</v>
      </c>
      <c r="AD61" s="11">
        <v>3.5434000000000001</v>
      </c>
      <c r="AE61" s="11">
        <v>2.2618</v>
      </c>
      <c r="AF61" s="11"/>
      <c r="AG61" s="11">
        <f t="shared" si="13"/>
        <v>7.7032000000000025</v>
      </c>
      <c r="AH61" s="16">
        <f t="shared" si="7"/>
        <v>1.8752909090909091</v>
      </c>
    </row>
    <row r="62" spans="1:34" x14ac:dyDescent="0.25">
      <c r="A62" t="s">
        <v>205</v>
      </c>
      <c r="B62" s="11" t="s">
        <v>203</v>
      </c>
      <c r="C62" s="11" t="s">
        <v>35</v>
      </c>
      <c r="D62" s="11">
        <v>80.212999999999994</v>
      </c>
      <c r="E62" s="11">
        <v>106.764</v>
      </c>
      <c r="F62" s="11">
        <v>45.725000000000001</v>
      </c>
      <c r="G62" s="11">
        <v>145.29400000000001</v>
      </c>
      <c r="H62" s="6">
        <v>1</v>
      </c>
      <c r="I62" s="11">
        <v>40</v>
      </c>
      <c r="J62" s="11" t="s">
        <v>204</v>
      </c>
      <c r="K62" s="11"/>
      <c r="L62" s="11">
        <v>41.8</v>
      </c>
      <c r="M62" s="11">
        <f t="shared" si="9"/>
        <v>3.9250000000000043</v>
      </c>
      <c r="N62" s="11"/>
      <c r="O62" s="11"/>
      <c r="P62" s="11"/>
      <c r="Q62" s="11"/>
      <c r="R62" s="11">
        <f t="shared" si="10"/>
        <v>9.1449999999999996</v>
      </c>
      <c r="S62" s="4"/>
      <c r="T62" s="11">
        <f t="shared" si="11"/>
        <v>15.887807545106618</v>
      </c>
      <c r="U62" s="11">
        <f t="shared" si="12"/>
        <v>15.887807545106618</v>
      </c>
      <c r="V62" s="11">
        <v>8.0937999999999999</v>
      </c>
      <c r="W62" s="11">
        <v>4.8628</v>
      </c>
      <c r="X62" s="11">
        <v>0</v>
      </c>
      <c r="Y62" s="11">
        <v>1.8466</v>
      </c>
      <c r="Z62" s="11">
        <v>17.136600000000001</v>
      </c>
      <c r="AA62" s="11">
        <v>19.513000000000002</v>
      </c>
      <c r="AB62" s="11">
        <v>-6.1999999999999998E-3</v>
      </c>
      <c r="AC62" s="11">
        <v>10.728199999999999</v>
      </c>
      <c r="AD62" s="11">
        <v>2.1617999999999999</v>
      </c>
      <c r="AE62" s="11">
        <v>3.5118</v>
      </c>
      <c r="AF62" s="11"/>
      <c r="AG62" s="11">
        <f t="shared" si="13"/>
        <v>0</v>
      </c>
      <c r="AH62" s="16">
        <f t="shared" si="7"/>
        <v>6.9993999999999996</v>
      </c>
    </row>
    <row r="63" spans="1:34" x14ac:dyDescent="0.25">
      <c r="A63" t="s">
        <v>208</v>
      </c>
      <c r="B63" s="11" t="s">
        <v>206</v>
      </c>
      <c r="C63" s="11" t="s">
        <v>45</v>
      </c>
      <c r="D63" s="11">
        <v>385</v>
      </c>
      <c r="E63" s="11">
        <v>855</v>
      </c>
      <c r="F63" s="11">
        <v>563</v>
      </c>
      <c r="G63" s="11">
        <v>715</v>
      </c>
      <c r="H63" s="6">
        <v>0.4</v>
      </c>
      <c r="I63" s="11">
        <v>40</v>
      </c>
      <c r="J63" s="11" t="s">
        <v>207</v>
      </c>
      <c r="K63" s="11"/>
      <c r="L63" s="11">
        <v>518</v>
      </c>
      <c r="M63" s="11">
        <f t="shared" si="9"/>
        <v>45</v>
      </c>
      <c r="N63" s="11"/>
      <c r="O63" s="11"/>
      <c r="P63" s="11"/>
      <c r="Q63" s="11">
        <v>122.8400000000001</v>
      </c>
      <c r="R63" s="11">
        <f t="shared" si="10"/>
        <v>112.6</v>
      </c>
      <c r="S63" s="4">
        <f>11*R63-Q63-P63-G63</f>
        <v>400.75999999999976</v>
      </c>
      <c r="T63" s="11">
        <f t="shared" si="11"/>
        <v>11</v>
      </c>
      <c r="U63" s="11">
        <f t="shared" si="12"/>
        <v>7.4408525754884565</v>
      </c>
      <c r="V63" s="11">
        <v>85.6</v>
      </c>
      <c r="W63" s="11">
        <v>71.599999999999994</v>
      </c>
      <c r="X63" s="11">
        <v>109.6</v>
      </c>
      <c r="Y63" s="11">
        <v>96.8</v>
      </c>
      <c r="Z63" s="11">
        <v>28.4</v>
      </c>
      <c r="AA63" s="11">
        <v>40</v>
      </c>
      <c r="AB63" s="11">
        <v>106.4</v>
      </c>
      <c r="AC63" s="11">
        <v>50.4</v>
      </c>
      <c r="AD63" s="11">
        <v>89</v>
      </c>
      <c r="AE63" s="11">
        <v>75.8</v>
      </c>
      <c r="AF63" s="11"/>
      <c r="AG63" s="11">
        <f t="shared" si="13"/>
        <v>160.30399999999992</v>
      </c>
      <c r="AH63" s="16">
        <f t="shared" si="7"/>
        <v>31.498181818181816</v>
      </c>
    </row>
    <row r="64" spans="1:34" x14ac:dyDescent="0.25">
      <c r="A64" t="s">
        <v>211</v>
      </c>
      <c r="B64" s="11" t="s">
        <v>209</v>
      </c>
      <c r="C64" s="11" t="s">
        <v>45</v>
      </c>
      <c r="D64" s="11">
        <v>11</v>
      </c>
      <c r="E64" s="11">
        <v>916</v>
      </c>
      <c r="F64" s="11">
        <v>362</v>
      </c>
      <c r="G64" s="11">
        <v>578</v>
      </c>
      <c r="H64" s="6">
        <v>0.4</v>
      </c>
      <c r="I64" s="11">
        <v>40</v>
      </c>
      <c r="J64" s="11" t="s">
        <v>210</v>
      </c>
      <c r="K64" s="11"/>
      <c r="L64" s="11">
        <v>345</v>
      </c>
      <c r="M64" s="11">
        <f t="shared" si="9"/>
        <v>17</v>
      </c>
      <c r="N64" s="11"/>
      <c r="O64" s="11"/>
      <c r="P64" s="11"/>
      <c r="Q64" s="11"/>
      <c r="R64" s="11">
        <f t="shared" si="10"/>
        <v>72.400000000000006</v>
      </c>
      <c r="S64" s="4">
        <f>11*R64-Q64-P64-G64</f>
        <v>218.40000000000009</v>
      </c>
      <c r="T64" s="11">
        <f t="shared" si="11"/>
        <v>11</v>
      </c>
      <c r="U64" s="11">
        <f t="shared" si="12"/>
        <v>7.9834254143646399</v>
      </c>
      <c r="V64" s="11">
        <v>47.8</v>
      </c>
      <c r="W64" s="11">
        <v>37.4</v>
      </c>
      <c r="X64" s="11">
        <v>71.599999999999994</v>
      </c>
      <c r="Y64" s="11">
        <v>76.599999999999994</v>
      </c>
      <c r="Z64" s="11">
        <v>54.2</v>
      </c>
      <c r="AA64" s="11">
        <v>24</v>
      </c>
      <c r="AB64" s="11">
        <v>59.8</v>
      </c>
      <c r="AC64" s="11">
        <v>28.2</v>
      </c>
      <c r="AD64" s="11">
        <v>41</v>
      </c>
      <c r="AE64" s="11">
        <v>67.8</v>
      </c>
      <c r="AF64" s="11"/>
      <c r="AG64" s="11">
        <f t="shared" si="13"/>
        <v>87.360000000000042</v>
      </c>
      <c r="AH64" s="16">
        <f t="shared" si="7"/>
        <v>21.12</v>
      </c>
    </row>
    <row r="65" spans="1:34" x14ac:dyDescent="0.25">
      <c r="A65" t="s">
        <v>214</v>
      </c>
      <c r="B65" s="11" t="s">
        <v>212</v>
      </c>
      <c r="C65" s="11" t="s">
        <v>35</v>
      </c>
      <c r="D65" s="11">
        <v>38.308999999999997</v>
      </c>
      <c r="E65" s="11">
        <v>204.666</v>
      </c>
      <c r="F65" s="11">
        <v>201.12899999999999</v>
      </c>
      <c r="G65" s="11">
        <v>40.917000000000002</v>
      </c>
      <c r="H65" s="6">
        <v>1</v>
      </c>
      <c r="I65" s="11">
        <v>40</v>
      </c>
      <c r="J65" s="11" t="s">
        <v>213</v>
      </c>
      <c r="K65" s="11"/>
      <c r="L65" s="11">
        <v>174.3</v>
      </c>
      <c r="M65" s="11">
        <f t="shared" si="9"/>
        <v>26.828999999999979</v>
      </c>
      <c r="N65" s="11"/>
      <c r="O65" s="11"/>
      <c r="P65" s="11"/>
      <c r="Q65" s="11">
        <v>203.45</v>
      </c>
      <c r="R65" s="11">
        <f t="shared" si="10"/>
        <v>40.2258</v>
      </c>
      <c r="S65" s="4">
        <f>11*R65-Q65-P65-G65</f>
        <v>198.11679999999998</v>
      </c>
      <c r="T65" s="11">
        <f t="shared" si="11"/>
        <v>11</v>
      </c>
      <c r="U65" s="11">
        <f t="shared" si="12"/>
        <v>6.0748822894759087</v>
      </c>
      <c r="V65" s="11">
        <v>30.734999999999999</v>
      </c>
      <c r="W65" s="11">
        <v>15.739000000000001</v>
      </c>
      <c r="X65" s="11">
        <v>10.629</v>
      </c>
      <c r="Y65" s="11">
        <v>20.083200000000001</v>
      </c>
      <c r="Z65" s="11">
        <v>31.709599999999998</v>
      </c>
      <c r="AA65" s="11">
        <v>30.7652</v>
      </c>
      <c r="AB65" s="11">
        <v>27.3794</v>
      </c>
      <c r="AC65" s="11">
        <v>29.851400000000002</v>
      </c>
      <c r="AD65" s="11">
        <v>27.0808</v>
      </c>
      <c r="AE65" s="11">
        <v>20.95</v>
      </c>
      <c r="AF65" s="11"/>
      <c r="AG65" s="11">
        <f t="shared" si="13"/>
        <v>198.11679999999998</v>
      </c>
      <c r="AH65" s="16">
        <f t="shared" si="7"/>
        <v>25.922581818181822</v>
      </c>
    </row>
    <row r="66" spans="1:34" x14ac:dyDescent="0.25">
      <c r="A66" t="s">
        <v>217</v>
      </c>
      <c r="B66" s="11" t="s">
        <v>215</v>
      </c>
      <c r="C66" s="11" t="s">
        <v>35</v>
      </c>
      <c r="D66" s="11">
        <v>30.065000000000001</v>
      </c>
      <c r="E66" s="11">
        <v>353.67700000000002</v>
      </c>
      <c r="F66" s="11">
        <v>184.65100000000001</v>
      </c>
      <c r="G66" s="11">
        <v>206.185</v>
      </c>
      <c r="H66" s="6">
        <v>1</v>
      </c>
      <c r="I66" s="11">
        <v>40</v>
      </c>
      <c r="J66" s="11" t="s">
        <v>216</v>
      </c>
      <c r="K66" s="11"/>
      <c r="L66" s="11">
        <v>151.5</v>
      </c>
      <c r="M66" s="11">
        <f t="shared" si="9"/>
        <v>33.15100000000001</v>
      </c>
      <c r="N66" s="11"/>
      <c r="O66" s="11"/>
      <c r="P66" s="11"/>
      <c r="Q66" s="11">
        <v>14.46888000000007</v>
      </c>
      <c r="R66" s="11">
        <f t="shared" si="10"/>
        <v>36.930199999999999</v>
      </c>
      <c r="S66" s="4">
        <f>11*R66-Q66-P66-G66</f>
        <v>185.57831999999991</v>
      </c>
      <c r="T66" s="11">
        <f t="shared" si="11"/>
        <v>11</v>
      </c>
      <c r="U66" s="11">
        <f t="shared" si="12"/>
        <v>5.9748899274848251</v>
      </c>
      <c r="V66" s="11">
        <v>26.832999999999998</v>
      </c>
      <c r="W66" s="11">
        <v>11.881</v>
      </c>
      <c r="X66" s="11">
        <v>23.1356</v>
      </c>
      <c r="Y66" s="11">
        <v>31.2576</v>
      </c>
      <c r="Z66" s="11">
        <v>30.326599999999999</v>
      </c>
      <c r="AA66" s="11">
        <v>27.802</v>
      </c>
      <c r="AB66" s="11">
        <v>26.757999999999999</v>
      </c>
      <c r="AC66" s="11">
        <v>25.724399999999999</v>
      </c>
      <c r="AD66" s="11">
        <v>24.2698</v>
      </c>
      <c r="AE66" s="11">
        <v>23.049399999999999</v>
      </c>
      <c r="AF66" s="11"/>
      <c r="AG66" s="11">
        <f t="shared" si="13"/>
        <v>185.57831999999991</v>
      </c>
      <c r="AH66" s="16">
        <f t="shared" si="7"/>
        <v>26.178872727272729</v>
      </c>
    </row>
    <row r="67" spans="1:34" x14ac:dyDescent="0.25">
      <c r="A67" t="s">
        <v>220</v>
      </c>
      <c r="B67" s="11" t="s">
        <v>218</v>
      </c>
      <c r="C67" s="11" t="s">
        <v>35</v>
      </c>
      <c r="D67" s="11">
        <v>147.63999999999999</v>
      </c>
      <c r="E67" s="11">
        <v>1174.712</v>
      </c>
      <c r="F67" s="11">
        <v>404.59899999999999</v>
      </c>
      <c r="G67" s="11">
        <v>940.79499999999996</v>
      </c>
      <c r="H67" s="6">
        <v>1</v>
      </c>
      <c r="I67" s="11">
        <v>40</v>
      </c>
      <c r="J67" s="11" t="s">
        <v>219</v>
      </c>
      <c r="K67" s="11"/>
      <c r="L67" s="11">
        <v>331.3</v>
      </c>
      <c r="M67" s="11">
        <f t="shared" si="9"/>
        <v>73.298999999999978</v>
      </c>
      <c r="N67" s="11"/>
      <c r="O67" s="11"/>
      <c r="P67" s="11"/>
      <c r="Q67" s="11"/>
      <c r="R67" s="11">
        <f t="shared" si="10"/>
        <v>80.919799999999995</v>
      </c>
      <c r="S67" s="4"/>
      <c r="T67" s="11">
        <f t="shared" si="11"/>
        <v>11.626264523639456</v>
      </c>
      <c r="U67" s="11">
        <f t="shared" si="12"/>
        <v>11.626264523639456</v>
      </c>
      <c r="V67" s="11">
        <v>73.772799999999989</v>
      </c>
      <c r="W67" s="11">
        <v>73.477000000000004</v>
      </c>
      <c r="X67" s="11">
        <v>111.7908</v>
      </c>
      <c r="Y67" s="11">
        <v>92.128999999999991</v>
      </c>
      <c r="Z67" s="11">
        <v>74.011400000000009</v>
      </c>
      <c r="AA67" s="11">
        <v>96.486999999999995</v>
      </c>
      <c r="AB67" s="11">
        <v>88.301000000000002</v>
      </c>
      <c r="AC67" s="11">
        <v>78.686999999999998</v>
      </c>
      <c r="AD67" s="11">
        <v>85.581600000000009</v>
      </c>
      <c r="AE67" s="11">
        <v>81.859200000000001</v>
      </c>
      <c r="AF67" s="11"/>
      <c r="AG67" s="11">
        <f t="shared" si="13"/>
        <v>0</v>
      </c>
      <c r="AH67" s="16">
        <f t="shared" si="7"/>
        <v>85.183327272727269</v>
      </c>
    </row>
    <row r="68" spans="1:34" x14ac:dyDescent="0.25">
      <c r="A68" t="s">
        <v>223</v>
      </c>
      <c r="B68" s="11" t="s">
        <v>221</v>
      </c>
      <c r="C68" s="11" t="s">
        <v>35</v>
      </c>
      <c r="D68" s="11">
        <v>13.725</v>
      </c>
      <c r="E68" s="11">
        <v>369.803</v>
      </c>
      <c r="F68" s="11">
        <v>163.63300000000001</v>
      </c>
      <c r="G68" s="11">
        <v>218.982</v>
      </c>
      <c r="H68" s="6">
        <v>1</v>
      </c>
      <c r="I68" s="11">
        <v>40</v>
      </c>
      <c r="J68" s="11" t="s">
        <v>222</v>
      </c>
      <c r="K68" s="11"/>
      <c r="L68" s="11">
        <v>138.80000000000001</v>
      </c>
      <c r="M68" s="11">
        <f t="shared" si="9"/>
        <v>24.832999999999998</v>
      </c>
      <c r="N68" s="11"/>
      <c r="O68" s="11"/>
      <c r="P68" s="11"/>
      <c r="Q68" s="11"/>
      <c r="R68" s="11">
        <f t="shared" si="10"/>
        <v>32.726600000000005</v>
      </c>
      <c r="S68" s="4">
        <f>11*R68-Q68-P68-G68</f>
        <v>141.01060000000004</v>
      </c>
      <c r="T68" s="11">
        <f t="shared" si="11"/>
        <v>11</v>
      </c>
      <c r="U68" s="11">
        <f t="shared" si="12"/>
        <v>6.6912542091142972</v>
      </c>
      <c r="V68" s="11">
        <v>26.318200000000001</v>
      </c>
      <c r="W68" s="11">
        <v>15.6272</v>
      </c>
      <c r="X68" s="11">
        <v>17.955400000000001</v>
      </c>
      <c r="Y68" s="11">
        <v>33.378999999999998</v>
      </c>
      <c r="Z68" s="11">
        <v>41.163799999999988</v>
      </c>
      <c r="AA68" s="11">
        <v>30.2788</v>
      </c>
      <c r="AB68" s="11">
        <v>22.077200000000001</v>
      </c>
      <c r="AC68" s="11">
        <v>26.0336</v>
      </c>
      <c r="AD68" s="11">
        <v>22.261199999999999</v>
      </c>
      <c r="AE68" s="11">
        <v>28.153199999999998</v>
      </c>
      <c r="AF68" s="11"/>
      <c r="AG68" s="11">
        <f t="shared" si="13"/>
        <v>141.01060000000004</v>
      </c>
      <c r="AH68" s="16">
        <f t="shared" si="7"/>
        <v>26.906745454545455</v>
      </c>
    </row>
    <row r="69" spans="1:34" x14ac:dyDescent="0.25">
      <c r="A69" t="s">
        <v>226</v>
      </c>
      <c r="B69" s="11" t="s">
        <v>224</v>
      </c>
      <c r="C69" s="11" t="s">
        <v>45</v>
      </c>
      <c r="D69" s="11">
        <v>28</v>
      </c>
      <c r="E69" s="11">
        <v>24</v>
      </c>
      <c r="F69" s="11">
        <v>27</v>
      </c>
      <c r="G69" s="11">
        <v>25</v>
      </c>
      <c r="H69" s="6">
        <v>0.6</v>
      </c>
      <c r="I69" s="11">
        <v>70</v>
      </c>
      <c r="J69" s="11" t="s">
        <v>225</v>
      </c>
      <c r="K69" s="11"/>
      <c r="L69" s="11">
        <v>24</v>
      </c>
      <c r="M69" s="11">
        <f t="shared" si="9"/>
        <v>3</v>
      </c>
      <c r="N69" s="11"/>
      <c r="O69" s="11"/>
      <c r="P69" s="11"/>
      <c r="Q69" s="11"/>
      <c r="R69" s="11">
        <f t="shared" si="10"/>
        <v>5.4</v>
      </c>
      <c r="S69" s="4">
        <f>11*R69-Q69-P69-G69</f>
        <v>34.400000000000006</v>
      </c>
      <c r="T69" s="11">
        <f t="shared" si="11"/>
        <v>11</v>
      </c>
      <c r="U69" s="11">
        <f t="shared" si="12"/>
        <v>4.6296296296296298</v>
      </c>
      <c r="V69" s="11">
        <v>2</v>
      </c>
      <c r="W69" s="11">
        <v>1.8</v>
      </c>
      <c r="X69" s="11">
        <v>2.8</v>
      </c>
      <c r="Y69" s="11">
        <v>2.2000000000000002</v>
      </c>
      <c r="Z69" s="11">
        <v>2</v>
      </c>
      <c r="AA69" s="11">
        <v>3</v>
      </c>
      <c r="AB69" s="11">
        <v>4.8</v>
      </c>
      <c r="AC69" s="11">
        <v>2.8</v>
      </c>
      <c r="AD69" s="11">
        <v>3.2</v>
      </c>
      <c r="AE69" s="11">
        <v>5</v>
      </c>
      <c r="AF69" s="11"/>
      <c r="AG69" s="11">
        <f t="shared" si="13"/>
        <v>20.640000000000004</v>
      </c>
      <c r="AH69" s="16">
        <f t="shared" si="7"/>
        <v>1.9090909090909089</v>
      </c>
    </row>
    <row r="70" spans="1:34" x14ac:dyDescent="0.25">
      <c r="A70" t="s">
        <v>229</v>
      </c>
      <c r="B70" s="11" t="s">
        <v>227</v>
      </c>
      <c r="C70" s="11" t="s">
        <v>35</v>
      </c>
      <c r="D70" s="11">
        <v>176.72200000000001</v>
      </c>
      <c r="E70" s="11">
        <v>271.12200000000001</v>
      </c>
      <c r="F70" s="11">
        <v>243.17599999999999</v>
      </c>
      <c r="G70" s="11">
        <v>239.136</v>
      </c>
      <c r="H70" s="6">
        <v>1</v>
      </c>
      <c r="I70" s="11">
        <v>30</v>
      </c>
      <c r="J70" s="11" t="s">
        <v>228</v>
      </c>
      <c r="K70" s="11"/>
      <c r="L70" s="11">
        <v>357.75</v>
      </c>
      <c r="M70" s="11">
        <f t="shared" ref="M70:M101" si="16">F70-L70</f>
        <v>-114.57400000000001</v>
      </c>
      <c r="N70" s="11"/>
      <c r="O70" s="11"/>
      <c r="P70" s="11">
        <v>613.61255999999992</v>
      </c>
      <c r="Q70" s="11">
        <v>116.77908000000021</v>
      </c>
      <c r="R70" s="11">
        <f t="shared" ref="R70:R101" si="17">F70/5</f>
        <v>48.635199999999998</v>
      </c>
      <c r="S70" s="4"/>
      <c r="T70" s="11">
        <f t="shared" ref="T70:T101" si="18">(G70+P70+Q70+S70)/R70</f>
        <v>19.934690100996814</v>
      </c>
      <c r="U70" s="11">
        <f t="shared" ref="U70:U101" si="19">(G70+P70+Q70)/R70</f>
        <v>19.934690100996814</v>
      </c>
      <c r="V70" s="11">
        <v>81.170600000000007</v>
      </c>
      <c r="W70" s="11">
        <v>85.153199999999998</v>
      </c>
      <c r="X70" s="11">
        <v>45.728400000000001</v>
      </c>
      <c r="Y70" s="11">
        <v>6.1534000000000004</v>
      </c>
      <c r="Z70" s="11">
        <v>39.178400000000003</v>
      </c>
      <c r="AA70" s="11">
        <v>76.381600000000006</v>
      </c>
      <c r="AB70" s="11">
        <v>39.561799999999998</v>
      </c>
      <c r="AC70" s="11">
        <v>37.741399999999999</v>
      </c>
      <c r="AD70" s="11">
        <v>33.580399999999997</v>
      </c>
      <c r="AE70" s="11">
        <v>16.098800000000001</v>
      </c>
      <c r="AF70" s="11"/>
      <c r="AG70" s="11">
        <f t="shared" ref="AG70:AG92" si="20">H70*S70</f>
        <v>0</v>
      </c>
      <c r="AH70" s="16">
        <f t="shared" si="7"/>
        <v>46.307563636363632</v>
      </c>
    </row>
    <row r="71" spans="1:34" x14ac:dyDescent="0.25">
      <c r="A71" t="s">
        <v>232</v>
      </c>
      <c r="B71" s="11" t="s">
        <v>230</v>
      </c>
      <c r="C71" s="11" t="s">
        <v>45</v>
      </c>
      <c r="D71" s="11">
        <v>3</v>
      </c>
      <c r="E71" s="11">
        <v>192</v>
      </c>
      <c r="F71" s="11">
        <v>59</v>
      </c>
      <c r="G71" s="11">
        <v>136</v>
      </c>
      <c r="H71" s="6">
        <v>0.6</v>
      </c>
      <c r="I71" s="11">
        <v>60</v>
      </c>
      <c r="J71" s="11" t="s">
        <v>231</v>
      </c>
      <c r="K71" s="11"/>
      <c r="L71" s="11">
        <v>50</v>
      </c>
      <c r="M71" s="11">
        <f t="shared" si="16"/>
        <v>9</v>
      </c>
      <c r="N71" s="11"/>
      <c r="O71" s="11"/>
      <c r="P71" s="11"/>
      <c r="Q71" s="11"/>
      <c r="R71" s="11">
        <f t="shared" si="17"/>
        <v>11.8</v>
      </c>
      <c r="S71" s="4"/>
      <c r="T71" s="11">
        <f t="shared" si="18"/>
        <v>11.525423728813559</v>
      </c>
      <c r="U71" s="11">
        <f t="shared" si="19"/>
        <v>11.525423728813559</v>
      </c>
      <c r="V71" s="11">
        <v>3.8</v>
      </c>
      <c r="W71" s="11">
        <v>3.8</v>
      </c>
      <c r="X71" s="11">
        <v>12.6</v>
      </c>
      <c r="Y71" s="11">
        <v>15.2</v>
      </c>
      <c r="Z71" s="11">
        <v>13.6</v>
      </c>
      <c r="AA71" s="11">
        <v>12.6</v>
      </c>
      <c r="AB71" s="11">
        <v>14.2</v>
      </c>
      <c r="AC71" s="11">
        <v>5.8</v>
      </c>
      <c r="AD71" s="11">
        <v>16.600000000000001</v>
      </c>
      <c r="AE71" s="11">
        <v>10</v>
      </c>
      <c r="AF71" s="11"/>
      <c r="AG71" s="11">
        <f t="shared" si="20"/>
        <v>0</v>
      </c>
      <c r="AH71" s="16">
        <f t="shared" ref="AH71:AH92" si="21">(R71+SUM(V71:AE71))/11*H71</f>
        <v>6.545454545454545</v>
      </c>
    </row>
    <row r="72" spans="1:34" x14ac:dyDescent="0.25">
      <c r="A72" t="s">
        <v>235</v>
      </c>
      <c r="B72" s="11" t="s">
        <v>233</v>
      </c>
      <c r="C72" s="11" t="s">
        <v>45</v>
      </c>
      <c r="D72" s="11">
        <v>173</v>
      </c>
      <c r="E72" s="11">
        <v>192</v>
      </c>
      <c r="F72" s="11">
        <v>127</v>
      </c>
      <c r="G72" s="11">
        <v>244</v>
      </c>
      <c r="H72" s="6">
        <v>0.4</v>
      </c>
      <c r="I72" s="11">
        <v>90</v>
      </c>
      <c r="J72" s="11" t="s">
        <v>234</v>
      </c>
      <c r="K72" s="11"/>
      <c r="L72" s="11">
        <v>115</v>
      </c>
      <c r="M72" s="11">
        <f t="shared" si="16"/>
        <v>12</v>
      </c>
      <c r="N72" s="11"/>
      <c r="O72" s="11"/>
      <c r="P72" s="11"/>
      <c r="Q72" s="11"/>
      <c r="R72" s="11">
        <f t="shared" si="17"/>
        <v>25.4</v>
      </c>
      <c r="S72" s="4">
        <f>11*R72-Q72-P72-G72</f>
        <v>35.399999999999977</v>
      </c>
      <c r="T72" s="11">
        <f t="shared" si="18"/>
        <v>11</v>
      </c>
      <c r="U72" s="11">
        <f t="shared" si="19"/>
        <v>9.6062992125984259</v>
      </c>
      <c r="V72" s="11">
        <v>19.2</v>
      </c>
      <c r="W72" s="11">
        <v>19.600000000000001</v>
      </c>
      <c r="X72" s="11">
        <v>29.2</v>
      </c>
      <c r="Y72" s="11">
        <v>21</v>
      </c>
      <c r="Z72" s="11">
        <v>5.2</v>
      </c>
      <c r="AA72" s="11">
        <v>7.6</v>
      </c>
      <c r="AB72" s="11">
        <v>17.2</v>
      </c>
      <c r="AC72" s="11">
        <v>7</v>
      </c>
      <c r="AD72" s="11">
        <v>15.8</v>
      </c>
      <c r="AE72" s="11">
        <v>14.8</v>
      </c>
      <c r="AF72" s="11"/>
      <c r="AG72" s="11">
        <f t="shared" si="20"/>
        <v>14.159999999999991</v>
      </c>
      <c r="AH72" s="16">
        <f t="shared" si="21"/>
        <v>6.6181818181818191</v>
      </c>
    </row>
    <row r="73" spans="1:34" x14ac:dyDescent="0.25">
      <c r="A73" t="s">
        <v>238</v>
      </c>
      <c r="B73" s="11" t="s">
        <v>236</v>
      </c>
      <c r="C73" s="11" t="s">
        <v>45</v>
      </c>
      <c r="D73" s="11">
        <v>45</v>
      </c>
      <c r="E73" s="11">
        <v>400</v>
      </c>
      <c r="F73" s="11">
        <v>74</v>
      </c>
      <c r="G73" s="11">
        <v>376</v>
      </c>
      <c r="H73" s="6">
        <v>0.33</v>
      </c>
      <c r="I73" s="11">
        <v>60</v>
      </c>
      <c r="J73" s="11" t="s">
        <v>237</v>
      </c>
      <c r="K73" s="11"/>
      <c r="L73" s="11">
        <v>89</v>
      </c>
      <c r="M73" s="11">
        <f t="shared" si="16"/>
        <v>-15</v>
      </c>
      <c r="N73" s="11"/>
      <c r="O73" s="11"/>
      <c r="P73" s="11"/>
      <c r="Q73" s="11"/>
      <c r="R73" s="11">
        <f t="shared" si="17"/>
        <v>14.8</v>
      </c>
      <c r="S73" s="4"/>
      <c r="T73" s="11">
        <f t="shared" si="18"/>
        <v>25.405405405405403</v>
      </c>
      <c r="U73" s="11">
        <f t="shared" si="19"/>
        <v>25.405405405405403</v>
      </c>
      <c r="V73" s="11">
        <v>21</v>
      </c>
      <c r="W73" s="11">
        <v>30.8</v>
      </c>
      <c r="X73" s="11">
        <v>40.200000000000003</v>
      </c>
      <c r="Y73" s="11">
        <v>28.2</v>
      </c>
      <c r="Z73" s="11">
        <v>8</v>
      </c>
      <c r="AA73" s="11">
        <v>14</v>
      </c>
      <c r="AB73" s="11">
        <v>18.399999999999999</v>
      </c>
      <c r="AC73" s="11">
        <v>12.4</v>
      </c>
      <c r="AD73" s="11">
        <v>21.6</v>
      </c>
      <c r="AE73" s="11">
        <v>21</v>
      </c>
      <c r="AF73" s="11"/>
      <c r="AG73" s="11">
        <f t="shared" si="20"/>
        <v>0</v>
      </c>
      <c r="AH73" s="16">
        <f t="shared" si="21"/>
        <v>6.9119999999999999</v>
      </c>
    </row>
    <row r="74" spans="1:34" x14ac:dyDescent="0.25">
      <c r="A74" t="s">
        <v>241</v>
      </c>
      <c r="B74" s="11" t="s">
        <v>239</v>
      </c>
      <c r="C74" s="11" t="s">
        <v>45</v>
      </c>
      <c r="D74" s="11">
        <v>106</v>
      </c>
      <c r="E74" s="11">
        <v>80</v>
      </c>
      <c r="F74" s="11">
        <v>104</v>
      </c>
      <c r="G74" s="11">
        <v>82</v>
      </c>
      <c r="H74" s="6">
        <v>0.35</v>
      </c>
      <c r="I74" s="11">
        <v>90</v>
      </c>
      <c r="J74" s="11" t="s">
        <v>240</v>
      </c>
      <c r="K74" s="11"/>
      <c r="L74" s="11">
        <v>101</v>
      </c>
      <c r="M74" s="11">
        <f t="shared" si="16"/>
        <v>3</v>
      </c>
      <c r="N74" s="11"/>
      <c r="O74" s="11"/>
      <c r="P74" s="11">
        <v>26.199999999999989</v>
      </c>
      <c r="Q74" s="11">
        <v>129.4</v>
      </c>
      <c r="R74" s="11">
        <f t="shared" si="17"/>
        <v>20.8</v>
      </c>
      <c r="S74" s="4"/>
      <c r="T74" s="11">
        <f t="shared" si="18"/>
        <v>11.423076923076922</v>
      </c>
      <c r="U74" s="11">
        <f t="shared" si="19"/>
        <v>11.423076923076922</v>
      </c>
      <c r="V74" s="11">
        <v>21.8</v>
      </c>
      <c r="W74" s="11">
        <v>18.2</v>
      </c>
      <c r="X74" s="11">
        <v>15</v>
      </c>
      <c r="Y74" s="11">
        <v>7.4</v>
      </c>
      <c r="Z74" s="11">
        <v>9</v>
      </c>
      <c r="AA74" s="11">
        <v>16.2</v>
      </c>
      <c r="AB74" s="11">
        <v>9</v>
      </c>
      <c r="AC74" s="11">
        <v>5.8</v>
      </c>
      <c r="AD74" s="11">
        <v>14</v>
      </c>
      <c r="AE74" s="11">
        <v>15.2</v>
      </c>
      <c r="AF74" s="11"/>
      <c r="AG74" s="11">
        <f t="shared" si="20"/>
        <v>0</v>
      </c>
      <c r="AH74" s="16">
        <f t="shared" si="21"/>
        <v>4.8490909090909087</v>
      </c>
    </row>
    <row r="75" spans="1:34" x14ac:dyDescent="0.25">
      <c r="A75" t="s">
        <v>244</v>
      </c>
      <c r="B75" s="11" t="s">
        <v>242</v>
      </c>
      <c r="C75" s="11" t="s">
        <v>45</v>
      </c>
      <c r="D75" s="11">
        <v>58</v>
      </c>
      <c r="E75" s="11">
        <v>530</v>
      </c>
      <c r="F75" s="11">
        <v>154</v>
      </c>
      <c r="G75" s="11">
        <v>440</v>
      </c>
      <c r="H75" s="6">
        <v>0.37</v>
      </c>
      <c r="I75" s="11">
        <v>50</v>
      </c>
      <c r="J75" s="11" t="s">
        <v>243</v>
      </c>
      <c r="K75" s="11"/>
      <c r="L75" s="11">
        <v>148</v>
      </c>
      <c r="M75" s="11">
        <f t="shared" si="16"/>
        <v>6</v>
      </c>
      <c r="N75" s="11"/>
      <c r="O75" s="11"/>
      <c r="P75" s="11"/>
      <c r="Q75" s="11"/>
      <c r="R75" s="11">
        <f t="shared" si="17"/>
        <v>30.8</v>
      </c>
      <c r="S75" s="4"/>
      <c r="T75" s="11">
        <f t="shared" si="18"/>
        <v>14.285714285714285</v>
      </c>
      <c r="U75" s="11">
        <f t="shared" si="19"/>
        <v>14.285714285714285</v>
      </c>
      <c r="V75" s="11">
        <v>26.4</v>
      </c>
      <c r="W75" s="11">
        <v>18.2</v>
      </c>
      <c r="X75" s="11">
        <v>32.4</v>
      </c>
      <c r="Y75" s="11">
        <v>44</v>
      </c>
      <c r="Z75" s="11">
        <v>41.8</v>
      </c>
      <c r="AA75" s="11">
        <v>34</v>
      </c>
      <c r="AB75" s="11">
        <v>22.4</v>
      </c>
      <c r="AC75" s="11">
        <v>41.6</v>
      </c>
      <c r="AD75" s="11">
        <v>29.4</v>
      </c>
      <c r="AE75" s="11">
        <v>38.799999999999997</v>
      </c>
      <c r="AF75" s="11"/>
      <c r="AG75" s="11">
        <f t="shared" si="20"/>
        <v>0</v>
      </c>
      <c r="AH75" s="16">
        <f t="shared" si="21"/>
        <v>12.102363636363636</v>
      </c>
    </row>
    <row r="76" spans="1:34" x14ac:dyDescent="0.25">
      <c r="A76" t="s">
        <v>247</v>
      </c>
      <c r="B76" s="11" t="s">
        <v>245</v>
      </c>
      <c r="C76" s="11" t="s">
        <v>45</v>
      </c>
      <c r="D76" s="11"/>
      <c r="E76" s="11">
        <v>156</v>
      </c>
      <c r="F76" s="11">
        <v>38</v>
      </c>
      <c r="G76" s="11">
        <v>118</v>
      </c>
      <c r="H76" s="6">
        <v>0.33</v>
      </c>
      <c r="I76" s="11">
        <v>40</v>
      </c>
      <c r="J76" s="11" t="s">
        <v>246</v>
      </c>
      <c r="K76" s="11"/>
      <c r="L76" s="11">
        <v>38</v>
      </c>
      <c r="M76" s="11">
        <f t="shared" si="16"/>
        <v>0</v>
      </c>
      <c r="N76" s="11"/>
      <c r="O76" s="11"/>
      <c r="P76" s="11"/>
      <c r="Q76" s="11"/>
      <c r="R76" s="11">
        <f t="shared" si="17"/>
        <v>7.6</v>
      </c>
      <c r="S76" s="4"/>
      <c r="T76" s="11">
        <f t="shared" si="18"/>
        <v>15.526315789473685</v>
      </c>
      <c r="U76" s="11">
        <f t="shared" si="19"/>
        <v>15.526315789473685</v>
      </c>
      <c r="V76" s="11">
        <v>6</v>
      </c>
      <c r="W76" s="11">
        <v>0.8</v>
      </c>
      <c r="X76" s="11">
        <v>7.4</v>
      </c>
      <c r="Y76" s="11">
        <v>11.2</v>
      </c>
      <c r="Z76" s="11">
        <v>12.2</v>
      </c>
      <c r="AA76" s="11">
        <v>8.1999999999999993</v>
      </c>
      <c r="AB76" s="11">
        <v>1</v>
      </c>
      <c r="AC76" s="11">
        <v>11.6</v>
      </c>
      <c r="AD76" s="11">
        <v>9.1999999999999993</v>
      </c>
      <c r="AE76" s="11">
        <v>10.8</v>
      </c>
      <c r="AF76" s="11"/>
      <c r="AG76" s="11">
        <f t="shared" si="20"/>
        <v>0</v>
      </c>
      <c r="AH76" s="16">
        <f t="shared" si="21"/>
        <v>2.5799999999999996</v>
      </c>
    </row>
    <row r="77" spans="1:34" x14ac:dyDescent="0.25">
      <c r="A77" t="s">
        <v>250</v>
      </c>
      <c r="B77" s="11" t="s">
        <v>248</v>
      </c>
      <c r="C77" s="11" t="s">
        <v>45</v>
      </c>
      <c r="D77" s="11">
        <v>22</v>
      </c>
      <c r="E77" s="11">
        <v>114</v>
      </c>
      <c r="F77" s="11">
        <v>21</v>
      </c>
      <c r="G77" s="11">
        <v>114</v>
      </c>
      <c r="H77" s="6">
        <v>0.4</v>
      </c>
      <c r="I77" s="11">
        <v>55</v>
      </c>
      <c r="J77" s="11" t="s">
        <v>249</v>
      </c>
      <c r="K77" s="11"/>
      <c r="L77" s="11">
        <v>96</v>
      </c>
      <c r="M77" s="11">
        <f t="shared" si="16"/>
        <v>-75</v>
      </c>
      <c r="N77" s="11"/>
      <c r="O77" s="11"/>
      <c r="P77" s="11">
        <v>117.6</v>
      </c>
      <c r="Q77" s="11"/>
      <c r="R77" s="11">
        <f t="shared" si="17"/>
        <v>4.2</v>
      </c>
      <c r="S77" s="4"/>
      <c r="T77" s="11">
        <f t="shared" si="18"/>
        <v>55.142857142857139</v>
      </c>
      <c r="U77" s="11">
        <f t="shared" si="19"/>
        <v>55.142857142857139</v>
      </c>
      <c r="V77" s="11">
        <v>14.8</v>
      </c>
      <c r="W77" s="11">
        <v>22.6</v>
      </c>
      <c r="X77" s="11">
        <v>18</v>
      </c>
      <c r="Y77" s="11">
        <v>12.6</v>
      </c>
      <c r="Z77" s="11">
        <v>8.1999999999999993</v>
      </c>
      <c r="AA77" s="11">
        <v>11.4</v>
      </c>
      <c r="AB77" s="11">
        <v>16.2</v>
      </c>
      <c r="AC77" s="11">
        <v>8.4</v>
      </c>
      <c r="AD77" s="11">
        <v>13.4</v>
      </c>
      <c r="AE77" s="11">
        <v>18.600000000000001</v>
      </c>
      <c r="AF77" s="11"/>
      <c r="AG77" s="11">
        <f t="shared" si="20"/>
        <v>0</v>
      </c>
      <c r="AH77" s="16">
        <f t="shared" si="21"/>
        <v>5.3963636363636374</v>
      </c>
    </row>
    <row r="78" spans="1:34" x14ac:dyDescent="0.25">
      <c r="A78" t="s">
        <v>253</v>
      </c>
      <c r="B78" s="11" t="s">
        <v>251</v>
      </c>
      <c r="C78" s="11" t="s">
        <v>45</v>
      </c>
      <c r="D78" s="11">
        <v>23</v>
      </c>
      <c r="E78" s="11"/>
      <c r="F78" s="11">
        <v>24</v>
      </c>
      <c r="G78" s="11">
        <v>2</v>
      </c>
      <c r="H78" s="6">
        <v>0.35</v>
      </c>
      <c r="I78" s="11">
        <v>40</v>
      </c>
      <c r="J78" s="11" t="s">
        <v>252</v>
      </c>
      <c r="K78" s="11"/>
      <c r="L78" s="11">
        <v>25</v>
      </c>
      <c r="M78" s="11">
        <f t="shared" si="16"/>
        <v>-1</v>
      </c>
      <c r="N78" s="11"/>
      <c r="O78" s="11"/>
      <c r="P78" s="11">
        <v>34.799999999999997</v>
      </c>
      <c r="Q78" s="11">
        <v>60.000000000000007</v>
      </c>
      <c r="R78" s="11">
        <f t="shared" si="17"/>
        <v>4.8</v>
      </c>
      <c r="S78" s="4"/>
      <c r="T78" s="11">
        <f t="shared" si="18"/>
        <v>20.166666666666671</v>
      </c>
      <c r="U78" s="11">
        <f t="shared" si="19"/>
        <v>20.166666666666671</v>
      </c>
      <c r="V78" s="11">
        <v>8.4</v>
      </c>
      <c r="W78" s="11">
        <v>6.2</v>
      </c>
      <c r="X78" s="11">
        <v>4.5999999999999996</v>
      </c>
      <c r="Y78" s="11">
        <v>7</v>
      </c>
      <c r="Z78" s="11">
        <v>11.8</v>
      </c>
      <c r="AA78" s="11">
        <v>13</v>
      </c>
      <c r="AB78" s="11">
        <v>0.6</v>
      </c>
      <c r="AC78" s="11">
        <v>5.8</v>
      </c>
      <c r="AD78" s="11">
        <v>5.4</v>
      </c>
      <c r="AE78" s="11">
        <v>2.8</v>
      </c>
      <c r="AF78" s="11"/>
      <c r="AG78" s="11">
        <f t="shared" si="20"/>
        <v>0</v>
      </c>
      <c r="AH78" s="16">
        <f t="shared" si="21"/>
        <v>2.2399999999999998</v>
      </c>
    </row>
    <row r="79" spans="1:34" x14ac:dyDescent="0.25">
      <c r="A79" t="s">
        <v>256</v>
      </c>
      <c r="B79" s="11" t="s">
        <v>254</v>
      </c>
      <c r="C79" s="11" t="s">
        <v>45</v>
      </c>
      <c r="D79" s="11">
        <v>-4</v>
      </c>
      <c r="E79" s="11">
        <v>138</v>
      </c>
      <c r="F79" s="11">
        <v>20</v>
      </c>
      <c r="G79" s="11">
        <v>117</v>
      </c>
      <c r="H79" s="6">
        <v>0.35</v>
      </c>
      <c r="I79" s="11">
        <v>45</v>
      </c>
      <c r="J79" s="11" t="s">
        <v>255</v>
      </c>
      <c r="K79" s="11"/>
      <c r="L79" s="11">
        <v>17</v>
      </c>
      <c r="M79" s="11">
        <f t="shared" si="16"/>
        <v>3</v>
      </c>
      <c r="N79" s="11"/>
      <c r="O79" s="11"/>
      <c r="P79" s="11"/>
      <c r="Q79" s="11"/>
      <c r="R79" s="11">
        <f t="shared" si="17"/>
        <v>4</v>
      </c>
      <c r="S79" s="4"/>
      <c r="T79" s="11">
        <f t="shared" si="18"/>
        <v>29.25</v>
      </c>
      <c r="U79" s="11">
        <f t="shared" si="19"/>
        <v>29.25</v>
      </c>
      <c r="V79" s="11">
        <v>2.6</v>
      </c>
      <c r="W79" s="11">
        <v>1.2</v>
      </c>
      <c r="X79" s="11">
        <v>0</v>
      </c>
      <c r="Y79" s="11">
        <v>6</v>
      </c>
      <c r="Z79" s="11">
        <v>13.2</v>
      </c>
      <c r="AA79" s="11">
        <v>11.8</v>
      </c>
      <c r="AB79" s="11">
        <v>4</v>
      </c>
      <c r="AC79" s="11">
        <v>-2.2000000000000002</v>
      </c>
      <c r="AD79" s="11">
        <v>10.8</v>
      </c>
      <c r="AE79" s="11">
        <v>8.6</v>
      </c>
      <c r="AF79" s="11"/>
      <c r="AG79" s="11">
        <f t="shared" si="20"/>
        <v>0</v>
      </c>
      <c r="AH79" s="16">
        <f t="shared" si="21"/>
        <v>1.9090909090909087</v>
      </c>
    </row>
    <row r="80" spans="1:34" x14ac:dyDescent="0.25">
      <c r="A80" t="s">
        <v>259</v>
      </c>
      <c r="B80" s="11" t="s">
        <v>257</v>
      </c>
      <c r="C80" s="11" t="s">
        <v>45</v>
      </c>
      <c r="D80" s="11">
        <v>2</v>
      </c>
      <c r="E80" s="11">
        <v>160</v>
      </c>
      <c r="F80" s="11">
        <v>72</v>
      </c>
      <c r="G80" s="11">
        <v>90</v>
      </c>
      <c r="H80" s="6">
        <v>0.4</v>
      </c>
      <c r="I80" s="11">
        <v>55</v>
      </c>
      <c r="J80" s="11" t="s">
        <v>258</v>
      </c>
      <c r="K80" s="11"/>
      <c r="L80" s="11">
        <v>92</v>
      </c>
      <c r="M80" s="11">
        <f t="shared" si="16"/>
        <v>-20</v>
      </c>
      <c r="N80" s="11"/>
      <c r="O80" s="11"/>
      <c r="P80" s="11">
        <v>8</v>
      </c>
      <c r="Q80" s="11">
        <v>88.399999999999977</v>
      </c>
      <c r="R80" s="11">
        <f t="shared" si="17"/>
        <v>14.4</v>
      </c>
      <c r="S80" s="4"/>
      <c r="T80" s="11">
        <f t="shared" si="18"/>
        <v>12.944444444444443</v>
      </c>
      <c r="U80" s="11">
        <f t="shared" si="19"/>
        <v>12.944444444444443</v>
      </c>
      <c r="V80" s="11">
        <v>16.2</v>
      </c>
      <c r="W80" s="11">
        <v>14.4</v>
      </c>
      <c r="X80" s="11">
        <v>13.8</v>
      </c>
      <c r="Y80" s="11">
        <v>10.6</v>
      </c>
      <c r="Z80" s="11">
        <v>13.8</v>
      </c>
      <c r="AA80" s="11">
        <v>12.8</v>
      </c>
      <c r="AB80" s="11">
        <v>11.4</v>
      </c>
      <c r="AC80" s="11">
        <v>6.6</v>
      </c>
      <c r="AD80" s="11">
        <v>11.8</v>
      </c>
      <c r="AE80" s="11">
        <v>17.600000000000001</v>
      </c>
      <c r="AF80" s="11"/>
      <c r="AG80" s="11">
        <f t="shared" si="20"/>
        <v>0</v>
      </c>
      <c r="AH80" s="16">
        <f t="shared" si="21"/>
        <v>5.2145454545454548</v>
      </c>
    </row>
    <row r="81" spans="1:34" x14ac:dyDescent="0.25">
      <c r="A81" t="s">
        <v>262</v>
      </c>
      <c r="B81" s="11" t="s">
        <v>260</v>
      </c>
      <c r="C81" s="11" t="s">
        <v>35</v>
      </c>
      <c r="D81" s="11"/>
      <c r="E81" s="11">
        <v>45.962000000000003</v>
      </c>
      <c r="F81" s="11">
        <v>7.2380000000000004</v>
      </c>
      <c r="G81" s="11">
        <v>38.723999999999997</v>
      </c>
      <c r="H81" s="6">
        <v>1</v>
      </c>
      <c r="I81" s="11">
        <v>55</v>
      </c>
      <c r="J81" s="11" t="s">
        <v>261</v>
      </c>
      <c r="K81" s="11"/>
      <c r="L81" s="11">
        <v>5.8</v>
      </c>
      <c r="M81" s="11">
        <f t="shared" si="16"/>
        <v>1.4380000000000006</v>
      </c>
      <c r="N81" s="11"/>
      <c r="O81" s="11"/>
      <c r="P81" s="11"/>
      <c r="Q81" s="11"/>
      <c r="R81" s="11">
        <f t="shared" si="17"/>
        <v>1.4476</v>
      </c>
      <c r="S81" s="4"/>
      <c r="T81" s="11">
        <f t="shared" si="18"/>
        <v>26.750483558994194</v>
      </c>
      <c r="U81" s="11">
        <f t="shared" si="19"/>
        <v>26.750483558994194</v>
      </c>
      <c r="V81" s="11">
        <v>0.86639999999999995</v>
      </c>
      <c r="W81" s="11">
        <v>0.28920000000000001</v>
      </c>
      <c r="X81" s="11">
        <v>0.57919999999999994</v>
      </c>
      <c r="Y81" s="11">
        <v>2.3048000000000002</v>
      </c>
      <c r="Z81" s="11">
        <v>1.7256</v>
      </c>
      <c r="AA81" s="11">
        <v>2.31</v>
      </c>
      <c r="AB81" s="11">
        <v>2.3452000000000002</v>
      </c>
      <c r="AC81" s="11">
        <v>1.4443999999999999</v>
      </c>
      <c r="AD81" s="11">
        <v>2.5912000000000002</v>
      </c>
      <c r="AE81" s="11">
        <v>3.7688000000000001</v>
      </c>
      <c r="AF81" s="11"/>
      <c r="AG81" s="11">
        <f t="shared" si="20"/>
        <v>0</v>
      </c>
      <c r="AH81" s="16">
        <f t="shared" si="21"/>
        <v>1.7884000000000002</v>
      </c>
    </row>
    <row r="82" spans="1:34" x14ac:dyDescent="0.25">
      <c r="A82" t="s">
        <v>265</v>
      </c>
      <c r="B82" s="11" t="s">
        <v>263</v>
      </c>
      <c r="C82" s="11" t="s">
        <v>35</v>
      </c>
      <c r="D82" s="11">
        <v>42.81</v>
      </c>
      <c r="E82" s="11">
        <v>712.94799999999998</v>
      </c>
      <c r="F82" s="11">
        <v>346.214</v>
      </c>
      <c r="G82" s="11">
        <v>420.11</v>
      </c>
      <c r="H82" s="6">
        <v>1</v>
      </c>
      <c r="I82" s="11">
        <v>60</v>
      </c>
      <c r="J82" s="11" t="s">
        <v>264</v>
      </c>
      <c r="K82" s="11"/>
      <c r="L82" s="11">
        <v>311.12</v>
      </c>
      <c r="M82" s="11">
        <f t="shared" si="16"/>
        <v>35.093999999999994</v>
      </c>
      <c r="N82" s="11"/>
      <c r="O82" s="11"/>
      <c r="P82" s="11"/>
      <c r="Q82" s="11">
        <v>18.634907999999999</v>
      </c>
      <c r="R82" s="11">
        <f t="shared" si="17"/>
        <v>69.242800000000003</v>
      </c>
      <c r="S82" s="4">
        <f t="shared" ref="S82:S87" si="22">11*R82-Q82-P82-G82</f>
        <v>322.92589199999998</v>
      </c>
      <c r="T82" s="11">
        <f t="shared" si="18"/>
        <v>11</v>
      </c>
      <c r="U82" s="11">
        <f t="shared" si="19"/>
        <v>6.3363253363526608</v>
      </c>
      <c r="V82" s="11">
        <v>51.0944</v>
      </c>
      <c r="W82" s="11">
        <v>33.292000000000002</v>
      </c>
      <c r="X82" s="11">
        <v>50.997199999999999</v>
      </c>
      <c r="Y82" s="11">
        <v>63.35</v>
      </c>
      <c r="Z82" s="11">
        <v>57.907600000000002</v>
      </c>
      <c r="AA82" s="11">
        <v>54.795200000000001</v>
      </c>
      <c r="AB82" s="11">
        <v>50.4236</v>
      </c>
      <c r="AC82" s="11">
        <v>37.101199999999999</v>
      </c>
      <c r="AD82" s="11">
        <v>60.118399999999987</v>
      </c>
      <c r="AE82" s="11">
        <v>40.016800000000003</v>
      </c>
      <c r="AF82" s="11"/>
      <c r="AG82" s="11">
        <f t="shared" si="20"/>
        <v>322.92589199999998</v>
      </c>
      <c r="AH82" s="16">
        <f t="shared" si="21"/>
        <v>51.667200000000008</v>
      </c>
    </row>
    <row r="83" spans="1:34" x14ac:dyDescent="0.25">
      <c r="A83" t="s">
        <v>268</v>
      </c>
      <c r="B83" s="11" t="s">
        <v>266</v>
      </c>
      <c r="C83" s="11" t="s">
        <v>35</v>
      </c>
      <c r="D83" s="11">
        <v>407.01799999999997</v>
      </c>
      <c r="E83" s="11">
        <v>2709.8380000000002</v>
      </c>
      <c r="F83" s="11">
        <v>1999.15</v>
      </c>
      <c r="G83" s="11">
        <v>1080.4580000000001</v>
      </c>
      <c r="H83" s="6">
        <v>1</v>
      </c>
      <c r="I83" s="11">
        <v>60</v>
      </c>
      <c r="J83" s="11" t="s">
        <v>267</v>
      </c>
      <c r="K83" s="11"/>
      <c r="L83" s="11">
        <v>1829.5630000000001</v>
      </c>
      <c r="M83" s="11">
        <f t="shared" si="16"/>
        <v>169.58699999999999</v>
      </c>
      <c r="N83" s="11"/>
      <c r="O83" s="11"/>
      <c r="P83" s="11">
        <v>823.6847919199995</v>
      </c>
      <c r="Q83" s="11">
        <v>668.16195999999991</v>
      </c>
      <c r="R83" s="11">
        <f t="shared" si="17"/>
        <v>399.83000000000004</v>
      </c>
      <c r="S83" s="4">
        <f t="shared" si="22"/>
        <v>1825.8252480800006</v>
      </c>
      <c r="T83" s="11">
        <f t="shared" si="18"/>
        <v>11</v>
      </c>
      <c r="U83" s="11">
        <f t="shared" si="19"/>
        <v>6.4334961156491488</v>
      </c>
      <c r="V83" s="11">
        <v>296.8424</v>
      </c>
      <c r="W83" s="11">
        <v>287.976</v>
      </c>
      <c r="X83" s="11">
        <v>270.93779999999998</v>
      </c>
      <c r="Y83" s="11">
        <v>197.911</v>
      </c>
      <c r="Z83" s="11">
        <v>281.72179999999997</v>
      </c>
      <c r="AA83" s="11">
        <v>365.83620000000002</v>
      </c>
      <c r="AB83" s="11">
        <v>364.94260000000003</v>
      </c>
      <c r="AC83" s="11">
        <v>298.39519999999999</v>
      </c>
      <c r="AD83" s="11">
        <v>305.68599999999998</v>
      </c>
      <c r="AE83" s="11">
        <v>315.7912</v>
      </c>
      <c r="AF83" s="11"/>
      <c r="AG83" s="11">
        <f t="shared" si="20"/>
        <v>1825.8252480800006</v>
      </c>
      <c r="AH83" s="16">
        <f t="shared" si="21"/>
        <v>307.80638181818182</v>
      </c>
    </row>
    <row r="84" spans="1:34" x14ac:dyDescent="0.25">
      <c r="A84" t="s">
        <v>271</v>
      </c>
      <c r="B84" s="11" t="s">
        <v>269</v>
      </c>
      <c r="C84" s="11" t="s">
        <v>35</v>
      </c>
      <c r="D84" s="11">
        <v>430.37299999999999</v>
      </c>
      <c r="E84" s="11">
        <v>4120.1459999999997</v>
      </c>
      <c r="F84" s="11">
        <v>2046.3109999999999</v>
      </c>
      <c r="G84" s="11">
        <v>2427.6260000000002</v>
      </c>
      <c r="H84" s="6">
        <v>1</v>
      </c>
      <c r="I84" s="11">
        <v>60</v>
      </c>
      <c r="J84" s="11" t="s">
        <v>270</v>
      </c>
      <c r="K84" s="11"/>
      <c r="L84" s="11">
        <v>1881.05</v>
      </c>
      <c r="M84" s="11">
        <f t="shared" si="16"/>
        <v>165.26099999999997</v>
      </c>
      <c r="N84" s="11"/>
      <c r="O84" s="11"/>
      <c r="P84" s="11">
        <v>254.10316464000061</v>
      </c>
      <c r="Q84" s="11">
        <v>192.67155999999969</v>
      </c>
      <c r="R84" s="11">
        <f t="shared" si="17"/>
        <v>409.26220000000001</v>
      </c>
      <c r="S84" s="4">
        <f t="shared" si="22"/>
        <v>1627.4834753599998</v>
      </c>
      <c r="T84" s="11">
        <f t="shared" si="18"/>
        <v>11</v>
      </c>
      <c r="U84" s="11">
        <f t="shared" si="19"/>
        <v>7.0233721185098466</v>
      </c>
      <c r="V84" s="11">
        <v>319.29379999999998</v>
      </c>
      <c r="W84" s="11">
        <v>349.4932</v>
      </c>
      <c r="X84" s="11">
        <v>374.82220000000001</v>
      </c>
      <c r="Y84" s="11">
        <v>291.64859999999999</v>
      </c>
      <c r="Z84" s="11">
        <v>348.50799999999998</v>
      </c>
      <c r="AA84" s="11">
        <v>351.85340000000002</v>
      </c>
      <c r="AB84" s="11">
        <v>259.17039999999997</v>
      </c>
      <c r="AC84" s="11">
        <v>199.94980000000001</v>
      </c>
      <c r="AD84" s="11">
        <v>215.18979999999999</v>
      </c>
      <c r="AE84" s="11">
        <v>195.42420000000001</v>
      </c>
      <c r="AF84" s="11"/>
      <c r="AG84" s="11">
        <f t="shared" si="20"/>
        <v>1627.4834753599998</v>
      </c>
      <c r="AH84" s="16">
        <f t="shared" si="21"/>
        <v>301.32869090909094</v>
      </c>
    </row>
    <row r="85" spans="1:34" x14ac:dyDescent="0.25">
      <c r="A85" t="s">
        <v>274</v>
      </c>
      <c r="B85" s="11" t="s">
        <v>272</v>
      </c>
      <c r="C85" s="11" t="s">
        <v>35</v>
      </c>
      <c r="D85" s="11">
        <v>655.88199999999995</v>
      </c>
      <c r="E85" s="11">
        <v>6216.3490000000002</v>
      </c>
      <c r="F85" s="11">
        <v>2895.6390000000001</v>
      </c>
      <c r="G85" s="11">
        <v>4071.375</v>
      </c>
      <c r="H85" s="6">
        <v>1</v>
      </c>
      <c r="I85" s="11">
        <v>60</v>
      </c>
      <c r="J85" s="11" t="s">
        <v>273</v>
      </c>
      <c r="K85" s="11"/>
      <c r="L85" s="11">
        <v>2580.5160000000001</v>
      </c>
      <c r="M85" s="11">
        <f t="shared" si="16"/>
        <v>315.12300000000005</v>
      </c>
      <c r="N85" s="11"/>
      <c r="O85" s="11"/>
      <c r="P85" s="11"/>
      <c r="Q85" s="11">
        <v>306.3101059200003</v>
      </c>
      <c r="R85" s="11">
        <f t="shared" si="17"/>
        <v>579.12779999999998</v>
      </c>
      <c r="S85" s="4">
        <f t="shared" si="22"/>
        <v>1992.7206940799988</v>
      </c>
      <c r="T85" s="11">
        <f t="shared" si="18"/>
        <v>10.999999999999998</v>
      </c>
      <c r="U85" s="11">
        <f t="shared" si="19"/>
        <v>7.559100264086787</v>
      </c>
      <c r="V85" s="11">
        <v>471.89260000000002</v>
      </c>
      <c r="W85" s="11">
        <v>469.8184</v>
      </c>
      <c r="X85" s="11">
        <v>607.09460000000001</v>
      </c>
      <c r="Y85" s="11">
        <v>618.89179999999999</v>
      </c>
      <c r="Z85" s="11">
        <v>622.35180000000003</v>
      </c>
      <c r="AA85" s="11">
        <v>606.17020000000002</v>
      </c>
      <c r="AB85" s="11">
        <v>528.50659999999993</v>
      </c>
      <c r="AC85" s="11">
        <v>517.31659999999999</v>
      </c>
      <c r="AD85" s="11">
        <v>479.43520000000001</v>
      </c>
      <c r="AE85" s="11">
        <v>457.28120000000001</v>
      </c>
      <c r="AF85" s="11"/>
      <c r="AG85" s="11">
        <f t="shared" si="20"/>
        <v>1992.7206940799988</v>
      </c>
      <c r="AH85" s="16">
        <f t="shared" si="21"/>
        <v>541.6260727272728</v>
      </c>
    </row>
    <row r="86" spans="1:34" x14ac:dyDescent="0.25">
      <c r="A86" t="s">
        <v>277</v>
      </c>
      <c r="B86" s="11" t="s">
        <v>275</v>
      </c>
      <c r="C86" s="11" t="s">
        <v>45</v>
      </c>
      <c r="D86" s="11">
        <v>-1</v>
      </c>
      <c r="E86" s="11">
        <v>216</v>
      </c>
      <c r="F86" s="11">
        <v>162</v>
      </c>
      <c r="G86" s="11">
        <v>45</v>
      </c>
      <c r="H86" s="6">
        <v>0.3</v>
      </c>
      <c r="I86" s="11">
        <v>40</v>
      </c>
      <c r="J86" s="11" t="s">
        <v>276</v>
      </c>
      <c r="K86" s="11"/>
      <c r="L86" s="11">
        <v>169</v>
      </c>
      <c r="M86" s="11">
        <f t="shared" si="16"/>
        <v>-7</v>
      </c>
      <c r="N86" s="11"/>
      <c r="O86" s="11"/>
      <c r="P86" s="11"/>
      <c r="Q86" s="11">
        <v>196.2</v>
      </c>
      <c r="R86" s="11">
        <f t="shared" si="17"/>
        <v>32.4</v>
      </c>
      <c r="S86" s="4">
        <f t="shared" si="22"/>
        <v>115.19999999999999</v>
      </c>
      <c r="T86" s="11">
        <f t="shared" si="18"/>
        <v>11</v>
      </c>
      <c r="U86" s="11">
        <f t="shared" si="19"/>
        <v>7.4444444444444446</v>
      </c>
      <c r="V86" s="11">
        <v>26.6</v>
      </c>
      <c r="W86" s="11">
        <v>8</v>
      </c>
      <c r="X86" s="11">
        <v>5</v>
      </c>
      <c r="Y86" s="11">
        <v>21</v>
      </c>
      <c r="Z86" s="11">
        <v>27.8</v>
      </c>
      <c r="AA86" s="11">
        <v>22.8</v>
      </c>
      <c r="AB86" s="11">
        <v>24</v>
      </c>
      <c r="AC86" s="11">
        <v>24.4</v>
      </c>
      <c r="AD86" s="11">
        <v>24</v>
      </c>
      <c r="AE86" s="11">
        <v>29.6</v>
      </c>
      <c r="AF86" s="11"/>
      <c r="AG86" s="11">
        <f t="shared" si="20"/>
        <v>34.559999999999995</v>
      </c>
      <c r="AH86" s="16">
        <f t="shared" si="21"/>
        <v>6.6981818181818182</v>
      </c>
    </row>
    <row r="87" spans="1:34" x14ac:dyDescent="0.25">
      <c r="A87" t="s">
        <v>280</v>
      </c>
      <c r="B87" s="11" t="s">
        <v>278</v>
      </c>
      <c r="C87" s="11" t="s">
        <v>45</v>
      </c>
      <c r="D87" s="11">
        <v>65</v>
      </c>
      <c r="E87" s="11">
        <v>72</v>
      </c>
      <c r="F87" s="11">
        <v>75</v>
      </c>
      <c r="G87" s="11">
        <v>67</v>
      </c>
      <c r="H87" s="6">
        <v>7.0000000000000007E-2</v>
      </c>
      <c r="I87" s="11">
        <v>90</v>
      </c>
      <c r="J87" s="11" t="s">
        <v>279</v>
      </c>
      <c r="K87" s="11"/>
      <c r="L87" s="11">
        <v>70</v>
      </c>
      <c r="M87" s="11">
        <f t="shared" si="16"/>
        <v>5</v>
      </c>
      <c r="N87" s="11"/>
      <c r="O87" s="11"/>
      <c r="P87" s="11"/>
      <c r="Q87" s="11">
        <v>20.199999999999989</v>
      </c>
      <c r="R87" s="11">
        <f t="shared" si="17"/>
        <v>15</v>
      </c>
      <c r="S87" s="4">
        <f t="shared" si="22"/>
        <v>77.800000000000011</v>
      </c>
      <c r="T87" s="11">
        <f t="shared" si="18"/>
        <v>11</v>
      </c>
      <c r="U87" s="11">
        <f t="shared" si="19"/>
        <v>5.8133333333333326</v>
      </c>
      <c r="V87" s="11">
        <v>10</v>
      </c>
      <c r="W87" s="11">
        <v>9.1999999999999993</v>
      </c>
      <c r="X87" s="11">
        <v>11.4</v>
      </c>
      <c r="Y87" s="11">
        <v>6.8</v>
      </c>
      <c r="Z87" s="11">
        <v>7.6</v>
      </c>
      <c r="AA87" s="11">
        <v>13.6</v>
      </c>
      <c r="AB87" s="11">
        <v>8.4</v>
      </c>
      <c r="AC87" s="11">
        <v>7.6</v>
      </c>
      <c r="AD87" s="11">
        <v>9.1999999999999993</v>
      </c>
      <c r="AE87" s="11">
        <v>17.600000000000001</v>
      </c>
      <c r="AF87" s="11"/>
      <c r="AG87" s="11">
        <f t="shared" si="20"/>
        <v>5.4460000000000015</v>
      </c>
      <c r="AH87" s="16">
        <f t="shared" si="21"/>
        <v>0.74072727272727279</v>
      </c>
    </row>
    <row r="88" spans="1:34" x14ac:dyDescent="0.25">
      <c r="A88" t="s">
        <v>282</v>
      </c>
      <c r="B88" s="11" t="s">
        <v>281</v>
      </c>
      <c r="C88" s="11" t="s">
        <v>45</v>
      </c>
      <c r="D88" s="11">
        <v>45</v>
      </c>
      <c r="E88" s="11"/>
      <c r="F88" s="11">
        <v>52</v>
      </c>
      <c r="G88" s="11">
        <v>-2</v>
      </c>
      <c r="H88" s="6">
        <v>7.0000000000000007E-2</v>
      </c>
      <c r="I88" s="11">
        <v>90</v>
      </c>
      <c r="J88" s="11"/>
      <c r="K88" s="11"/>
      <c r="L88" s="11">
        <v>53</v>
      </c>
      <c r="M88" s="11">
        <f t="shared" si="16"/>
        <v>-1</v>
      </c>
      <c r="N88" s="11"/>
      <c r="O88" s="11"/>
      <c r="P88" s="11"/>
      <c r="Q88" s="11"/>
      <c r="R88" s="11">
        <f t="shared" si="17"/>
        <v>10.4</v>
      </c>
      <c r="S88" s="4">
        <f>7*R88-Q88-P88-G88</f>
        <v>74.8</v>
      </c>
      <c r="T88" s="11">
        <f t="shared" si="18"/>
        <v>6.9999999999999991</v>
      </c>
      <c r="U88" s="11">
        <f t="shared" si="19"/>
        <v>-0.19230769230769229</v>
      </c>
      <c r="V88" s="11">
        <v>9.8000000000000007</v>
      </c>
      <c r="W88" s="11">
        <v>10</v>
      </c>
      <c r="X88" s="11">
        <v>12.4</v>
      </c>
      <c r="Y88" s="11">
        <v>6.6</v>
      </c>
      <c r="Z88" s="11">
        <v>1.8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/>
      <c r="AG88" s="11">
        <f t="shared" si="20"/>
        <v>5.2360000000000007</v>
      </c>
      <c r="AH88" s="16">
        <f t="shared" si="21"/>
        <v>0.32454545454545458</v>
      </c>
    </row>
    <row r="89" spans="1:34" x14ac:dyDescent="0.25">
      <c r="A89" t="s">
        <v>285</v>
      </c>
      <c r="B89" s="11" t="s">
        <v>283</v>
      </c>
      <c r="C89" s="11" t="s">
        <v>45</v>
      </c>
      <c r="D89" s="11"/>
      <c r="E89" s="11">
        <v>162</v>
      </c>
      <c r="F89" s="11">
        <v>42</v>
      </c>
      <c r="G89" s="11">
        <v>117</v>
      </c>
      <c r="H89" s="6">
        <v>7.0000000000000007E-2</v>
      </c>
      <c r="I89" s="11">
        <v>90</v>
      </c>
      <c r="J89" s="11" t="s">
        <v>284</v>
      </c>
      <c r="K89" s="11"/>
      <c r="L89" s="11">
        <v>45</v>
      </c>
      <c r="M89" s="11">
        <f t="shared" si="16"/>
        <v>-3</v>
      </c>
      <c r="N89" s="11"/>
      <c r="O89" s="11"/>
      <c r="P89" s="11"/>
      <c r="Q89" s="11"/>
      <c r="R89" s="11">
        <f t="shared" si="17"/>
        <v>8.4</v>
      </c>
      <c r="S89" s="4"/>
      <c r="T89" s="11">
        <f t="shared" si="18"/>
        <v>13.928571428571429</v>
      </c>
      <c r="U89" s="11">
        <f t="shared" si="19"/>
        <v>13.928571428571429</v>
      </c>
      <c r="V89" s="11">
        <v>4.2</v>
      </c>
      <c r="W89" s="11">
        <v>5</v>
      </c>
      <c r="X89" s="11">
        <v>12.4</v>
      </c>
      <c r="Y89" s="11">
        <v>9</v>
      </c>
      <c r="Z89" s="11">
        <v>4.5999999999999996</v>
      </c>
      <c r="AA89" s="11">
        <v>7.2</v>
      </c>
      <c r="AB89" s="11">
        <v>6.8</v>
      </c>
      <c r="AC89" s="11">
        <v>7.4</v>
      </c>
      <c r="AD89" s="11">
        <v>7.6</v>
      </c>
      <c r="AE89" s="11">
        <v>11.6</v>
      </c>
      <c r="AF89" s="11"/>
      <c r="AG89" s="11">
        <f t="shared" si="20"/>
        <v>0</v>
      </c>
      <c r="AH89" s="16">
        <f t="shared" si="21"/>
        <v>0.53581818181818186</v>
      </c>
    </row>
    <row r="90" spans="1:34" x14ac:dyDescent="0.25">
      <c r="A90" t="s">
        <v>288</v>
      </c>
      <c r="B90" s="11" t="s">
        <v>286</v>
      </c>
      <c r="C90" s="11" t="s">
        <v>45</v>
      </c>
      <c r="D90" s="11">
        <v>25</v>
      </c>
      <c r="E90" s="11">
        <v>234</v>
      </c>
      <c r="F90" s="11">
        <v>46</v>
      </c>
      <c r="G90" s="11">
        <v>214</v>
      </c>
      <c r="H90" s="6">
        <v>0.05</v>
      </c>
      <c r="I90" s="11">
        <v>90</v>
      </c>
      <c r="J90" s="11" t="s">
        <v>287</v>
      </c>
      <c r="K90" s="11"/>
      <c r="L90" s="11">
        <v>66</v>
      </c>
      <c r="M90" s="11">
        <f t="shared" si="16"/>
        <v>-20</v>
      </c>
      <c r="N90" s="11"/>
      <c r="O90" s="11"/>
      <c r="P90" s="11"/>
      <c r="Q90" s="11"/>
      <c r="R90" s="11">
        <f t="shared" si="17"/>
        <v>9.1999999999999993</v>
      </c>
      <c r="S90" s="4"/>
      <c r="T90" s="11">
        <f t="shared" si="18"/>
        <v>23.260869565217394</v>
      </c>
      <c r="U90" s="11">
        <f t="shared" si="19"/>
        <v>23.260869565217394</v>
      </c>
      <c r="V90" s="11">
        <v>8.8000000000000007</v>
      </c>
      <c r="W90" s="11">
        <v>15.2</v>
      </c>
      <c r="X90" s="11">
        <v>20.2</v>
      </c>
      <c r="Y90" s="11">
        <v>10</v>
      </c>
      <c r="Z90" s="11">
        <v>3.6</v>
      </c>
      <c r="AA90" s="11">
        <v>5.4</v>
      </c>
      <c r="AB90" s="11">
        <v>10.4</v>
      </c>
      <c r="AC90" s="11">
        <v>6</v>
      </c>
      <c r="AD90" s="11">
        <v>9.4</v>
      </c>
      <c r="AE90" s="11">
        <v>10.6</v>
      </c>
      <c r="AF90" s="11"/>
      <c r="AG90" s="11">
        <f t="shared" si="20"/>
        <v>0</v>
      </c>
      <c r="AH90" s="16">
        <f t="shared" si="21"/>
        <v>0.49454545454545462</v>
      </c>
    </row>
    <row r="91" spans="1:34" x14ac:dyDescent="0.25">
      <c r="A91" t="s">
        <v>292</v>
      </c>
      <c r="B91" s="8" t="s">
        <v>289</v>
      </c>
      <c r="C91" s="8" t="s">
        <v>45</v>
      </c>
      <c r="D91" s="8">
        <v>1</v>
      </c>
      <c r="E91" s="8"/>
      <c r="F91" s="8">
        <v>-2</v>
      </c>
      <c r="G91" s="8">
        <v>1</v>
      </c>
      <c r="H91" s="9">
        <v>5.5E-2</v>
      </c>
      <c r="I91" s="8"/>
      <c r="J91" s="8" t="s">
        <v>290</v>
      </c>
      <c r="K91" s="8"/>
      <c r="L91" s="8">
        <v>38</v>
      </c>
      <c r="M91" s="8">
        <f t="shared" si="16"/>
        <v>-40</v>
      </c>
      <c r="N91" s="8"/>
      <c r="O91" s="8"/>
      <c r="P91" s="8"/>
      <c r="Q91" s="8"/>
      <c r="R91" s="8">
        <f t="shared" si="17"/>
        <v>-0.4</v>
      </c>
      <c r="S91" s="10"/>
      <c r="T91" s="8">
        <f t="shared" si="18"/>
        <v>-2.5</v>
      </c>
      <c r="U91" s="8">
        <f t="shared" si="19"/>
        <v>-2.5</v>
      </c>
      <c r="V91" s="8">
        <v>-0.4</v>
      </c>
      <c r="W91" s="8">
        <v>-1</v>
      </c>
      <c r="X91" s="8">
        <v>2</v>
      </c>
      <c r="Y91" s="8">
        <v>6.4</v>
      </c>
      <c r="Z91" s="8">
        <v>11</v>
      </c>
      <c r="AA91" s="8">
        <v>12.8</v>
      </c>
      <c r="AB91" s="8">
        <v>7</v>
      </c>
      <c r="AC91" s="8">
        <v>11</v>
      </c>
      <c r="AD91" s="8">
        <v>11.8</v>
      </c>
      <c r="AE91" s="8">
        <v>12.6</v>
      </c>
      <c r="AF91" s="8" t="s">
        <v>291</v>
      </c>
      <c r="AG91" s="8">
        <f t="shared" si="20"/>
        <v>0</v>
      </c>
      <c r="AH91" s="16">
        <f t="shared" si="21"/>
        <v>0.36399999999999988</v>
      </c>
    </row>
    <row r="92" spans="1:34" x14ac:dyDescent="0.25">
      <c r="A92" t="s">
        <v>295</v>
      </c>
      <c r="B92" s="8" t="s">
        <v>293</v>
      </c>
      <c r="C92" s="8" t="s">
        <v>45</v>
      </c>
      <c r="D92" s="8"/>
      <c r="E92" s="8">
        <v>54</v>
      </c>
      <c r="F92" s="8">
        <v>55</v>
      </c>
      <c r="G92" s="8"/>
      <c r="H92" s="9">
        <v>5.5E-2</v>
      </c>
      <c r="I92" s="8"/>
      <c r="J92" s="8" t="s">
        <v>294</v>
      </c>
      <c r="K92" s="8"/>
      <c r="L92" s="8">
        <v>57</v>
      </c>
      <c r="M92" s="8">
        <f t="shared" si="16"/>
        <v>-2</v>
      </c>
      <c r="N92" s="8"/>
      <c r="O92" s="8"/>
      <c r="P92" s="8"/>
      <c r="Q92" s="8"/>
      <c r="R92" s="8">
        <f t="shared" si="17"/>
        <v>11</v>
      </c>
      <c r="S92" s="10"/>
      <c r="T92" s="8">
        <f t="shared" si="18"/>
        <v>0</v>
      </c>
      <c r="U92" s="8">
        <f t="shared" si="19"/>
        <v>0</v>
      </c>
      <c r="V92" s="8">
        <v>10</v>
      </c>
      <c r="W92" s="8">
        <v>7.8</v>
      </c>
      <c r="X92" s="8">
        <v>12.6</v>
      </c>
      <c r="Y92" s="8">
        <v>9.4</v>
      </c>
      <c r="Z92" s="8">
        <v>9.4</v>
      </c>
      <c r="AA92" s="8">
        <v>7.8</v>
      </c>
      <c r="AB92" s="8">
        <v>0.8</v>
      </c>
      <c r="AC92" s="8">
        <v>11.2</v>
      </c>
      <c r="AD92" s="8">
        <v>7.4</v>
      </c>
      <c r="AE92" s="8">
        <v>10.8</v>
      </c>
      <c r="AF92" s="8" t="s">
        <v>291</v>
      </c>
      <c r="AG92" s="8">
        <f t="shared" si="20"/>
        <v>0</v>
      </c>
      <c r="AH92" s="16">
        <f t="shared" si="21"/>
        <v>0.49099999999999994</v>
      </c>
    </row>
    <row r="93" spans="1:34" hidden="1" x14ac:dyDescent="0.25">
      <c r="B93" s="12" t="s">
        <v>296</v>
      </c>
      <c r="C93" s="12" t="s">
        <v>35</v>
      </c>
      <c r="D93" s="12">
        <v>123.334</v>
      </c>
      <c r="E93" s="12"/>
      <c r="F93" s="12">
        <v>36.817</v>
      </c>
      <c r="G93" s="12">
        <v>100.93300000000001</v>
      </c>
      <c r="H93" s="13">
        <v>0</v>
      </c>
      <c r="I93" s="12"/>
      <c r="J93" s="12" t="s">
        <v>297</v>
      </c>
      <c r="K93" s="12"/>
      <c r="L93" s="12">
        <v>17.600000000000001</v>
      </c>
      <c r="M93" s="12">
        <f t="shared" si="16"/>
        <v>19.216999999999999</v>
      </c>
      <c r="N93" s="12"/>
      <c r="O93" s="12"/>
      <c r="P93" s="12"/>
      <c r="Q93" s="12"/>
      <c r="R93" s="12">
        <f t="shared" si="17"/>
        <v>7.3634000000000004</v>
      </c>
      <c r="S93" s="14"/>
      <c r="T93" s="12">
        <f t="shared" si="18"/>
        <v>13.70739060759975</v>
      </c>
      <c r="U93" s="12">
        <f t="shared" si="19"/>
        <v>13.70739060759975</v>
      </c>
      <c r="V93" s="12">
        <v>8.003400000000001</v>
      </c>
      <c r="W93" s="12">
        <v>10.226000000000001</v>
      </c>
      <c r="X93" s="12">
        <v>11.8124</v>
      </c>
      <c r="Y93" s="12">
        <v>7.6684000000000001</v>
      </c>
      <c r="Z93" s="12">
        <v>0.9608000000000001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 t="s">
        <v>298</v>
      </c>
      <c r="AG93" s="12"/>
      <c r="AH93"/>
    </row>
    <row r="94" spans="1:34" x14ac:dyDescent="0.25">
      <c r="A94" t="s">
        <v>301</v>
      </c>
      <c r="B94" s="11" t="s">
        <v>299</v>
      </c>
      <c r="C94" s="11" t="s">
        <v>45</v>
      </c>
      <c r="D94" s="11"/>
      <c r="E94" s="11">
        <v>180</v>
      </c>
      <c r="F94" s="11">
        <v>86</v>
      </c>
      <c r="G94" s="11">
        <v>92</v>
      </c>
      <c r="H94" s="6">
        <v>0.08</v>
      </c>
      <c r="I94" s="11">
        <v>45</v>
      </c>
      <c r="J94" s="11" t="s">
        <v>300</v>
      </c>
      <c r="K94" s="11"/>
      <c r="L94" s="11">
        <v>82</v>
      </c>
      <c r="M94" s="11">
        <f t="shared" si="16"/>
        <v>4</v>
      </c>
      <c r="N94" s="11"/>
      <c r="O94" s="11"/>
      <c r="P94" s="11"/>
      <c r="Q94" s="11"/>
      <c r="R94" s="11">
        <f t="shared" si="17"/>
        <v>17.2</v>
      </c>
      <c r="S94" s="4">
        <f>11*R94-Q94-P94-G94</f>
        <v>97.199999999999989</v>
      </c>
      <c r="T94" s="11">
        <f t="shared" si="18"/>
        <v>11</v>
      </c>
      <c r="U94" s="11">
        <f t="shared" si="19"/>
        <v>5.3488372093023262</v>
      </c>
      <c r="V94" s="11">
        <v>7.4</v>
      </c>
      <c r="W94" s="11">
        <v>1</v>
      </c>
      <c r="X94" s="11">
        <v>8.8000000000000007</v>
      </c>
      <c r="Y94" s="11">
        <v>14.2</v>
      </c>
      <c r="Z94" s="11">
        <v>14.6</v>
      </c>
      <c r="AA94" s="11">
        <v>11.6</v>
      </c>
      <c r="AB94" s="11">
        <v>6.2</v>
      </c>
      <c r="AC94" s="11">
        <v>13.2</v>
      </c>
      <c r="AD94" s="11">
        <v>10.8</v>
      </c>
      <c r="AE94" s="11">
        <v>7.8</v>
      </c>
      <c r="AF94" s="11"/>
      <c r="AG94" s="11">
        <f t="shared" ref="AG94:AG112" si="23">H94*S94</f>
        <v>7.7759999999999989</v>
      </c>
      <c r="AH94" s="16">
        <f t="shared" ref="AH94:AH112" si="24">(R94+SUM(V94:AE94))/11*H94</f>
        <v>0.82036363636363629</v>
      </c>
    </row>
    <row r="95" spans="1:34" x14ac:dyDescent="0.25">
      <c r="A95" t="s">
        <v>304</v>
      </c>
      <c r="B95" s="11" t="s">
        <v>302</v>
      </c>
      <c r="C95" s="11" t="s">
        <v>45</v>
      </c>
      <c r="D95" s="11">
        <v>71</v>
      </c>
      <c r="E95" s="11">
        <v>134</v>
      </c>
      <c r="F95" s="11">
        <v>110</v>
      </c>
      <c r="G95" s="11">
        <v>98</v>
      </c>
      <c r="H95" s="6">
        <v>0.08</v>
      </c>
      <c r="I95" s="11">
        <v>45</v>
      </c>
      <c r="J95" s="11" t="s">
        <v>303</v>
      </c>
      <c r="K95" s="11"/>
      <c r="L95" s="11">
        <v>101</v>
      </c>
      <c r="M95" s="11">
        <f t="shared" si="16"/>
        <v>9</v>
      </c>
      <c r="N95" s="11"/>
      <c r="O95" s="11"/>
      <c r="P95" s="11"/>
      <c r="Q95" s="11">
        <v>85.600000000000023</v>
      </c>
      <c r="R95" s="11">
        <f t="shared" si="17"/>
        <v>22</v>
      </c>
      <c r="S95" s="4">
        <f>11*R95-Q95-P95-G95</f>
        <v>58.399999999999977</v>
      </c>
      <c r="T95" s="11">
        <f t="shared" si="18"/>
        <v>11</v>
      </c>
      <c r="U95" s="11">
        <f t="shared" si="19"/>
        <v>8.3454545454545457</v>
      </c>
      <c r="V95" s="11">
        <v>19</v>
      </c>
      <c r="W95" s="11">
        <v>16.2</v>
      </c>
      <c r="X95" s="11">
        <v>17.2</v>
      </c>
      <c r="Y95" s="11">
        <v>13.8</v>
      </c>
      <c r="Z95" s="11">
        <v>19</v>
      </c>
      <c r="AA95" s="11">
        <v>20.8</v>
      </c>
      <c r="AB95" s="11">
        <v>6.4</v>
      </c>
      <c r="AC95" s="11">
        <v>16</v>
      </c>
      <c r="AD95" s="11">
        <v>10.6</v>
      </c>
      <c r="AE95" s="11">
        <v>11.2</v>
      </c>
      <c r="AF95" s="11"/>
      <c r="AG95" s="11">
        <f t="shared" si="23"/>
        <v>4.6719999999999979</v>
      </c>
      <c r="AH95" s="16">
        <f t="shared" si="24"/>
        <v>1.2523636363636363</v>
      </c>
    </row>
    <row r="96" spans="1:34" x14ac:dyDescent="0.25">
      <c r="A96" t="s">
        <v>307</v>
      </c>
      <c r="B96" s="11" t="s">
        <v>305</v>
      </c>
      <c r="C96" s="11" t="s">
        <v>35</v>
      </c>
      <c r="D96" s="11">
        <v>146.92699999999999</v>
      </c>
      <c r="E96" s="11">
        <v>478.10500000000002</v>
      </c>
      <c r="F96" s="11">
        <v>244.19200000000001</v>
      </c>
      <c r="G96" s="11">
        <v>420.06400000000002</v>
      </c>
      <c r="H96" s="6">
        <v>1</v>
      </c>
      <c r="I96" s="11">
        <v>40</v>
      </c>
      <c r="J96" s="11" t="s">
        <v>306</v>
      </c>
      <c r="K96" s="11"/>
      <c r="L96" s="11">
        <v>201.08</v>
      </c>
      <c r="M96" s="11">
        <f t="shared" si="16"/>
        <v>43.111999999999995</v>
      </c>
      <c r="N96" s="11"/>
      <c r="O96" s="11"/>
      <c r="P96" s="11"/>
      <c r="Q96" s="11">
        <v>25.44159999999988</v>
      </c>
      <c r="R96" s="11">
        <f t="shared" si="17"/>
        <v>48.8384</v>
      </c>
      <c r="S96" s="4">
        <f>11*R96-Q96-P96-G96</f>
        <v>91.716800000000092</v>
      </c>
      <c r="T96" s="11">
        <f t="shared" si="18"/>
        <v>11</v>
      </c>
      <c r="U96" s="11">
        <f t="shared" si="19"/>
        <v>9.1220351199056466</v>
      </c>
      <c r="V96" s="11">
        <v>44.055</v>
      </c>
      <c r="W96" s="11">
        <v>44.2652</v>
      </c>
      <c r="X96" s="11">
        <v>54.242199999999997</v>
      </c>
      <c r="Y96" s="11">
        <v>42.4114</v>
      </c>
      <c r="Z96" s="11">
        <v>28.562200000000001</v>
      </c>
      <c r="AA96" s="11">
        <v>39.197200000000002</v>
      </c>
      <c r="AB96" s="11">
        <v>41.034799999999997</v>
      </c>
      <c r="AC96" s="11">
        <v>31.838200000000001</v>
      </c>
      <c r="AD96" s="11">
        <v>26.247199999999999</v>
      </c>
      <c r="AE96" s="11">
        <v>33.325800000000001</v>
      </c>
      <c r="AF96" s="11"/>
      <c r="AG96" s="11">
        <f t="shared" si="23"/>
        <v>91.716800000000092</v>
      </c>
      <c r="AH96" s="16">
        <f t="shared" si="24"/>
        <v>39.45614545454545</v>
      </c>
    </row>
    <row r="97" spans="1:34" x14ac:dyDescent="0.25">
      <c r="A97" t="s">
        <v>310</v>
      </c>
      <c r="B97" s="11" t="s">
        <v>308</v>
      </c>
      <c r="C97" s="11" t="s">
        <v>35</v>
      </c>
      <c r="D97" s="11">
        <v>74.900000000000006</v>
      </c>
      <c r="E97" s="11">
        <v>571.12599999999998</v>
      </c>
      <c r="F97" s="11">
        <v>281.60300000000001</v>
      </c>
      <c r="G97" s="11">
        <v>393.99599999999998</v>
      </c>
      <c r="H97" s="6">
        <v>1</v>
      </c>
      <c r="I97" s="11">
        <v>40</v>
      </c>
      <c r="J97" s="11" t="s">
        <v>309</v>
      </c>
      <c r="K97" s="11"/>
      <c r="L97" s="11">
        <v>242.29</v>
      </c>
      <c r="M97" s="11">
        <f t="shared" si="16"/>
        <v>39.313000000000017</v>
      </c>
      <c r="N97" s="11"/>
      <c r="O97" s="11"/>
      <c r="P97" s="11"/>
      <c r="Q97" s="11">
        <v>60.93685552000008</v>
      </c>
      <c r="R97" s="11">
        <f t="shared" si="17"/>
        <v>56.320599999999999</v>
      </c>
      <c r="S97" s="4">
        <f>11*R97-Q97-P97-G97</f>
        <v>164.59374447999994</v>
      </c>
      <c r="T97" s="11">
        <f t="shared" si="18"/>
        <v>11</v>
      </c>
      <c r="U97" s="11">
        <f t="shared" si="19"/>
        <v>8.0775569777310636</v>
      </c>
      <c r="V97" s="11">
        <v>47.069200000000002</v>
      </c>
      <c r="W97" s="11">
        <v>42.101199999999999</v>
      </c>
      <c r="X97" s="11">
        <v>53.484000000000002</v>
      </c>
      <c r="Y97" s="11">
        <v>58.659000000000013</v>
      </c>
      <c r="Z97" s="11">
        <v>62.764200000000002</v>
      </c>
      <c r="AA97" s="11">
        <v>61.113199999999992</v>
      </c>
      <c r="AB97" s="11">
        <v>41.221800000000002</v>
      </c>
      <c r="AC97" s="11">
        <v>20.991399999999999</v>
      </c>
      <c r="AD97" s="11">
        <v>18.970800000000001</v>
      </c>
      <c r="AE97" s="11">
        <v>0</v>
      </c>
      <c r="AF97" s="11"/>
      <c r="AG97" s="11">
        <f t="shared" si="23"/>
        <v>164.59374447999994</v>
      </c>
      <c r="AH97" s="16">
        <f t="shared" si="24"/>
        <v>42.063218181818179</v>
      </c>
    </row>
    <row r="98" spans="1:34" x14ac:dyDescent="0.25">
      <c r="A98" t="s">
        <v>313</v>
      </c>
      <c r="B98" s="11" t="s">
        <v>311</v>
      </c>
      <c r="C98" s="11" t="s">
        <v>35</v>
      </c>
      <c r="D98" s="11">
        <v>84.438999999999993</v>
      </c>
      <c r="E98" s="11">
        <v>547.76700000000005</v>
      </c>
      <c r="F98" s="11">
        <v>352.86599999999999</v>
      </c>
      <c r="G98" s="11">
        <v>304.642</v>
      </c>
      <c r="H98" s="6">
        <v>1</v>
      </c>
      <c r="I98" s="11">
        <v>40</v>
      </c>
      <c r="J98" s="11" t="s">
        <v>312</v>
      </c>
      <c r="K98" s="11"/>
      <c r="L98" s="11">
        <v>319.89</v>
      </c>
      <c r="M98" s="11">
        <f t="shared" si="16"/>
        <v>32.975999999999999</v>
      </c>
      <c r="N98" s="11"/>
      <c r="O98" s="11"/>
      <c r="P98" s="11"/>
      <c r="Q98" s="11">
        <v>308.42167999999998</v>
      </c>
      <c r="R98" s="11">
        <f t="shared" si="17"/>
        <v>70.5732</v>
      </c>
      <c r="S98" s="4">
        <f>11*R98-Q98-P98-G98</f>
        <v>163.24152000000004</v>
      </c>
      <c r="T98" s="11">
        <f t="shared" si="18"/>
        <v>11</v>
      </c>
      <c r="U98" s="11">
        <f t="shared" si="19"/>
        <v>8.6869191137712338</v>
      </c>
      <c r="V98" s="11">
        <v>62.651200000000003</v>
      </c>
      <c r="W98" s="11">
        <v>44.876600000000003</v>
      </c>
      <c r="X98" s="11">
        <v>53.498600000000003</v>
      </c>
      <c r="Y98" s="11">
        <v>56.879600000000003</v>
      </c>
      <c r="Z98" s="11">
        <v>47.910400000000003</v>
      </c>
      <c r="AA98" s="11">
        <v>60.2986</v>
      </c>
      <c r="AB98" s="11">
        <v>44.475000000000001</v>
      </c>
      <c r="AC98" s="11">
        <v>43.321599999999997</v>
      </c>
      <c r="AD98" s="11">
        <v>38.055599999999998</v>
      </c>
      <c r="AE98" s="11">
        <v>38.472799999999999</v>
      </c>
      <c r="AF98" s="11"/>
      <c r="AG98" s="11">
        <f t="shared" si="23"/>
        <v>163.24152000000004</v>
      </c>
      <c r="AH98" s="16">
        <f t="shared" si="24"/>
        <v>51.001200000000011</v>
      </c>
    </row>
    <row r="99" spans="1:34" x14ac:dyDescent="0.25">
      <c r="A99" t="s">
        <v>316</v>
      </c>
      <c r="B99" s="11" t="s">
        <v>314</v>
      </c>
      <c r="C99" s="11" t="s">
        <v>45</v>
      </c>
      <c r="D99" s="11"/>
      <c r="E99" s="11">
        <v>312</v>
      </c>
      <c r="F99" s="11">
        <v>194</v>
      </c>
      <c r="G99" s="11">
        <v>101</v>
      </c>
      <c r="H99" s="6">
        <v>0.28000000000000003</v>
      </c>
      <c r="I99" s="11">
        <v>40</v>
      </c>
      <c r="J99" s="11" t="s">
        <v>315</v>
      </c>
      <c r="K99" s="11"/>
      <c r="L99" s="11">
        <v>203</v>
      </c>
      <c r="M99" s="11">
        <f t="shared" si="16"/>
        <v>-9</v>
      </c>
      <c r="N99" s="11"/>
      <c r="O99" s="11"/>
      <c r="P99" s="11"/>
      <c r="Q99" s="11"/>
      <c r="R99" s="11">
        <f t="shared" si="17"/>
        <v>38.799999999999997</v>
      </c>
      <c r="S99" s="4">
        <f>10*R99-Q99-P99-G99</f>
        <v>287</v>
      </c>
      <c r="T99" s="11">
        <f t="shared" si="18"/>
        <v>10</v>
      </c>
      <c r="U99" s="11">
        <f t="shared" si="19"/>
        <v>2.6030927835051547</v>
      </c>
      <c r="V99" s="11">
        <v>14.8</v>
      </c>
      <c r="W99" s="11">
        <v>-2.6</v>
      </c>
      <c r="X99" s="11">
        <v>-1.8</v>
      </c>
      <c r="Y99" s="11">
        <v>10.4</v>
      </c>
      <c r="Z99" s="11">
        <v>23</v>
      </c>
      <c r="AA99" s="11">
        <v>12</v>
      </c>
      <c r="AB99" s="11">
        <v>46.2</v>
      </c>
      <c r="AC99" s="11">
        <v>35.4</v>
      </c>
      <c r="AD99" s="11">
        <v>47.4</v>
      </c>
      <c r="AE99" s="11">
        <v>51.4</v>
      </c>
      <c r="AF99" s="11"/>
      <c r="AG99" s="11">
        <f t="shared" si="23"/>
        <v>80.360000000000014</v>
      </c>
      <c r="AH99" s="16">
        <f t="shared" si="24"/>
        <v>7.0000000000000009</v>
      </c>
    </row>
    <row r="100" spans="1:34" x14ac:dyDescent="0.25">
      <c r="A100" t="s">
        <v>318</v>
      </c>
      <c r="B100" s="11" t="s">
        <v>317</v>
      </c>
      <c r="C100" s="11" t="s">
        <v>45</v>
      </c>
      <c r="D100" s="11">
        <v>6</v>
      </c>
      <c r="E100" s="11">
        <v>480</v>
      </c>
      <c r="F100" s="11">
        <v>64</v>
      </c>
      <c r="G100" s="11">
        <v>434</v>
      </c>
      <c r="H100" s="6">
        <v>0.28000000000000003</v>
      </c>
      <c r="I100" s="11">
        <v>40</v>
      </c>
      <c r="J100" s="11"/>
      <c r="K100" s="11"/>
      <c r="L100" s="11">
        <v>80</v>
      </c>
      <c r="M100" s="11">
        <f t="shared" si="16"/>
        <v>-16</v>
      </c>
      <c r="N100" s="11"/>
      <c r="O100" s="11"/>
      <c r="P100" s="11"/>
      <c r="Q100" s="11"/>
      <c r="R100" s="11">
        <f t="shared" si="17"/>
        <v>12.8</v>
      </c>
      <c r="S100" s="4"/>
      <c r="T100" s="11">
        <f t="shared" si="18"/>
        <v>33.90625</v>
      </c>
      <c r="U100" s="11">
        <f t="shared" si="19"/>
        <v>33.90625</v>
      </c>
      <c r="V100" s="11">
        <v>8.6</v>
      </c>
      <c r="W100" s="11">
        <v>24</v>
      </c>
      <c r="X100" s="11">
        <v>42.6</v>
      </c>
      <c r="Y100" s="11">
        <v>28.8</v>
      </c>
      <c r="Z100" s="11">
        <v>4.2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/>
      <c r="AG100" s="11">
        <f t="shared" si="23"/>
        <v>0</v>
      </c>
      <c r="AH100" s="16">
        <f t="shared" si="24"/>
        <v>3.08</v>
      </c>
    </row>
    <row r="101" spans="1:34" x14ac:dyDescent="0.25">
      <c r="A101" t="s">
        <v>321</v>
      </c>
      <c r="B101" s="11" t="s">
        <v>319</v>
      </c>
      <c r="C101" s="11" t="s">
        <v>45</v>
      </c>
      <c r="D101" s="11">
        <v>121</v>
      </c>
      <c r="E101" s="11">
        <v>397</v>
      </c>
      <c r="F101" s="11">
        <v>195</v>
      </c>
      <c r="G101" s="11">
        <v>326</v>
      </c>
      <c r="H101" s="6">
        <v>0.28000000000000003</v>
      </c>
      <c r="I101" s="11">
        <v>40</v>
      </c>
      <c r="J101" s="11" t="s">
        <v>320</v>
      </c>
      <c r="K101" s="11"/>
      <c r="L101" s="11">
        <v>192</v>
      </c>
      <c r="M101" s="11">
        <f t="shared" si="16"/>
        <v>3</v>
      </c>
      <c r="N101" s="11"/>
      <c r="O101" s="11"/>
      <c r="P101" s="11"/>
      <c r="Q101" s="11"/>
      <c r="R101" s="11">
        <f t="shared" si="17"/>
        <v>39</v>
      </c>
      <c r="S101" s="4">
        <f>11*R101-Q101-P101-G101</f>
        <v>103</v>
      </c>
      <c r="T101" s="11">
        <f t="shared" si="18"/>
        <v>11</v>
      </c>
      <c r="U101" s="11">
        <f t="shared" si="19"/>
        <v>8.3589743589743595</v>
      </c>
      <c r="V101" s="11">
        <v>32.200000000000003</v>
      </c>
      <c r="W101" s="11">
        <v>27.6</v>
      </c>
      <c r="X101" s="11">
        <v>42.8</v>
      </c>
      <c r="Y101" s="11">
        <v>38.6</v>
      </c>
      <c r="Z101" s="11">
        <v>32.6</v>
      </c>
      <c r="AA101" s="11">
        <v>34.200000000000003</v>
      </c>
      <c r="AB101" s="11">
        <v>36.799999999999997</v>
      </c>
      <c r="AC101" s="11">
        <v>29</v>
      </c>
      <c r="AD101" s="11">
        <v>35.799999999999997</v>
      </c>
      <c r="AE101" s="11">
        <v>39.799999999999997</v>
      </c>
      <c r="AF101" s="11"/>
      <c r="AG101" s="11">
        <f t="shared" si="23"/>
        <v>28.840000000000003</v>
      </c>
      <c r="AH101" s="16">
        <f t="shared" si="24"/>
        <v>9.8865454545454572</v>
      </c>
    </row>
    <row r="102" spans="1:34" x14ac:dyDescent="0.25">
      <c r="A102" t="s">
        <v>324</v>
      </c>
      <c r="B102" s="11" t="s">
        <v>322</v>
      </c>
      <c r="C102" s="11" t="s">
        <v>35</v>
      </c>
      <c r="D102" s="11">
        <v>32.802</v>
      </c>
      <c r="E102" s="11">
        <v>315.02300000000002</v>
      </c>
      <c r="F102" s="11">
        <v>95.926000000000002</v>
      </c>
      <c r="G102" s="11">
        <v>263.99700000000001</v>
      </c>
      <c r="H102" s="6">
        <v>1</v>
      </c>
      <c r="I102" s="11">
        <v>60</v>
      </c>
      <c r="J102" s="11" t="s">
        <v>323</v>
      </c>
      <c r="K102" s="11"/>
      <c r="L102" s="11">
        <v>84.7</v>
      </c>
      <c r="M102" s="11">
        <f t="shared" ref="M102:M112" si="25">F102-L102</f>
        <v>11.225999999999999</v>
      </c>
      <c r="N102" s="11"/>
      <c r="O102" s="11"/>
      <c r="P102" s="11"/>
      <c r="Q102" s="11"/>
      <c r="R102" s="11">
        <f t="shared" ref="R102:R112" si="26">F102/5</f>
        <v>19.185200000000002</v>
      </c>
      <c r="S102" s="4"/>
      <c r="T102" s="11">
        <f t="shared" ref="T102:T112" si="27">(G102+P102+Q102+S102)/R102</f>
        <v>13.760450764130683</v>
      </c>
      <c r="U102" s="11">
        <f t="shared" ref="U102:U112" si="28">(G102+P102+Q102)/R102</f>
        <v>13.760450764130683</v>
      </c>
      <c r="V102" s="11">
        <v>9.5001999999999995</v>
      </c>
      <c r="W102" s="11">
        <v>4.1302000000000003</v>
      </c>
      <c r="X102" s="11">
        <v>29.898199999999999</v>
      </c>
      <c r="Y102" s="11">
        <v>29.849799999999998</v>
      </c>
      <c r="Z102" s="11">
        <v>3.4443999999999999</v>
      </c>
      <c r="AA102" s="11">
        <v>3.4984000000000002</v>
      </c>
      <c r="AB102" s="11">
        <v>23.016400000000001</v>
      </c>
      <c r="AC102" s="11">
        <v>18.604199999999999</v>
      </c>
      <c r="AD102" s="11">
        <v>18.595199999999998</v>
      </c>
      <c r="AE102" s="11">
        <v>22.053999999999998</v>
      </c>
      <c r="AF102" s="11"/>
      <c r="AG102" s="11">
        <f t="shared" si="23"/>
        <v>0</v>
      </c>
      <c r="AH102" s="16">
        <f t="shared" si="24"/>
        <v>16.525109090909094</v>
      </c>
    </row>
    <row r="103" spans="1:34" x14ac:dyDescent="0.25">
      <c r="A103" t="s">
        <v>327</v>
      </c>
      <c r="B103" s="11" t="s">
        <v>325</v>
      </c>
      <c r="C103" s="11" t="s">
        <v>35</v>
      </c>
      <c r="D103" s="11">
        <v>90</v>
      </c>
      <c r="E103" s="11">
        <v>119.877</v>
      </c>
      <c r="F103" s="11">
        <v>78.209999999999994</v>
      </c>
      <c r="G103" s="11">
        <v>117.82899999999999</v>
      </c>
      <c r="H103" s="6">
        <v>1</v>
      </c>
      <c r="I103" s="11">
        <v>50</v>
      </c>
      <c r="J103" s="11" t="s">
        <v>326</v>
      </c>
      <c r="K103" s="11"/>
      <c r="L103" s="11">
        <v>92.05</v>
      </c>
      <c r="M103" s="11">
        <f t="shared" si="25"/>
        <v>-13.840000000000003</v>
      </c>
      <c r="N103" s="11"/>
      <c r="O103" s="11"/>
      <c r="P103" s="11"/>
      <c r="Q103" s="11">
        <v>7.0870000000000184</v>
      </c>
      <c r="R103" s="11">
        <f t="shared" si="26"/>
        <v>15.641999999999999</v>
      </c>
      <c r="S103" s="4">
        <f>11*R103-Q103-P103-G103</f>
        <v>47.145999999999972</v>
      </c>
      <c r="T103" s="11">
        <f t="shared" si="27"/>
        <v>11</v>
      </c>
      <c r="U103" s="11">
        <f t="shared" si="28"/>
        <v>7.9859353023909998</v>
      </c>
      <c r="V103" s="11">
        <v>12.287000000000001</v>
      </c>
      <c r="W103" s="11">
        <v>4.1159999999999997</v>
      </c>
      <c r="X103" s="11">
        <v>7.7904</v>
      </c>
      <c r="Y103" s="11">
        <v>13.495799999999999</v>
      </c>
      <c r="Z103" s="11">
        <v>18.490400000000001</v>
      </c>
      <c r="AA103" s="11">
        <v>21.981000000000002</v>
      </c>
      <c r="AB103" s="11">
        <v>8.9923999999999999</v>
      </c>
      <c r="AC103" s="11">
        <v>14.0106</v>
      </c>
      <c r="AD103" s="11">
        <v>17.496600000000001</v>
      </c>
      <c r="AE103" s="11">
        <v>13.942</v>
      </c>
      <c r="AF103" s="11"/>
      <c r="AG103" s="11">
        <f t="shared" si="23"/>
        <v>47.145999999999972</v>
      </c>
      <c r="AH103" s="16">
        <f t="shared" si="24"/>
        <v>13.476745454545455</v>
      </c>
    </row>
    <row r="104" spans="1:34" x14ac:dyDescent="0.25">
      <c r="A104" t="s">
        <v>329</v>
      </c>
      <c r="B104" s="11" t="s">
        <v>328</v>
      </c>
      <c r="C104" s="11" t="s">
        <v>35</v>
      </c>
      <c r="D104" s="11"/>
      <c r="E104" s="11">
        <v>151.79</v>
      </c>
      <c r="F104" s="11">
        <v>105.892</v>
      </c>
      <c r="G104" s="11">
        <v>45.04</v>
      </c>
      <c r="H104" s="6">
        <v>1</v>
      </c>
      <c r="I104" s="11">
        <v>60</v>
      </c>
      <c r="J104" s="11"/>
      <c r="K104" s="11"/>
      <c r="L104" s="11">
        <v>90.4</v>
      </c>
      <c r="M104" s="11">
        <f t="shared" si="25"/>
        <v>15.49199999999999</v>
      </c>
      <c r="N104" s="11"/>
      <c r="O104" s="11"/>
      <c r="P104" s="11"/>
      <c r="Q104" s="11">
        <v>15.557999999999989</v>
      </c>
      <c r="R104" s="11">
        <f t="shared" si="26"/>
        <v>21.1784</v>
      </c>
      <c r="S104" s="4">
        <f>10*R104-Q104-P104-G104</f>
        <v>151.18600000000001</v>
      </c>
      <c r="T104" s="11">
        <f t="shared" si="27"/>
        <v>10</v>
      </c>
      <c r="U104" s="11">
        <f t="shared" si="28"/>
        <v>2.8613115249499481</v>
      </c>
      <c r="V104" s="11">
        <v>9.8439999999999994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12.7134</v>
      </c>
      <c r="AC104" s="11">
        <v>23.990600000000001</v>
      </c>
      <c r="AD104" s="11">
        <v>11.8384</v>
      </c>
      <c r="AE104" s="11">
        <v>0</v>
      </c>
      <c r="AF104" s="11"/>
      <c r="AG104" s="11">
        <f t="shared" si="23"/>
        <v>151.18600000000001</v>
      </c>
      <c r="AH104" s="16">
        <f t="shared" si="24"/>
        <v>7.2331636363636367</v>
      </c>
    </row>
    <row r="105" spans="1:34" x14ac:dyDescent="0.25">
      <c r="A105" t="s">
        <v>332</v>
      </c>
      <c r="B105" s="11" t="s">
        <v>330</v>
      </c>
      <c r="C105" s="11" t="s">
        <v>35</v>
      </c>
      <c r="D105" s="11">
        <v>91.811000000000007</v>
      </c>
      <c r="E105" s="11">
        <v>207.65799999999999</v>
      </c>
      <c r="F105" s="11">
        <v>191.65100000000001</v>
      </c>
      <c r="G105" s="11">
        <v>144.34800000000001</v>
      </c>
      <c r="H105" s="6">
        <v>1</v>
      </c>
      <c r="I105" s="11">
        <v>60</v>
      </c>
      <c r="J105" s="11" t="s">
        <v>331</v>
      </c>
      <c r="K105" s="11"/>
      <c r="L105" s="11">
        <v>139.55000000000001</v>
      </c>
      <c r="M105" s="11">
        <f t="shared" si="25"/>
        <v>52.100999999999999</v>
      </c>
      <c r="N105" s="11"/>
      <c r="O105" s="11"/>
      <c r="P105" s="11">
        <v>122.09180000000001</v>
      </c>
      <c r="Q105" s="11">
        <v>101.50279999999999</v>
      </c>
      <c r="R105" s="11">
        <f t="shared" si="26"/>
        <v>38.330200000000005</v>
      </c>
      <c r="S105" s="4">
        <f>11*R105-Q105-P105-G105</f>
        <v>53.68960000000007</v>
      </c>
      <c r="T105" s="11">
        <f t="shared" si="27"/>
        <v>10.999999999999998</v>
      </c>
      <c r="U105" s="11">
        <f t="shared" si="28"/>
        <v>9.5992872460879397</v>
      </c>
      <c r="V105" s="11">
        <v>36.979799999999997</v>
      </c>
      <c r="W105" s="11">
        <v>37.952800000000003</v>
      </c>
      <c r="X105" s="11">
        <v>20.715</v>
      </c>
      <c r="Y105" s="11">
        <v>10.0794</v>
      </c>
      <c r="Z105" s="11">
        <v>31.320399999999999</v>
      </c>
      <c r="AA105" s="11">
        <v>42.749200000000002</v>
      </c>
      <c r="AB105" s="11">
        <v>29.668399999999998</v>
      </c>
      <c r="AC105" s="11">
        <v>23.665400000000002</v>
      </c>
      <c r="AD105" s="11">
        <v>8.9771999999999998</v>
      </c>
      <c r="AE105" s="11">
        <v>0</v>
      </c>
      <c r="AF105" s="11"/>
      <c r="AG105" s="11">
        <f t="shared" si="23"/>
        <v>53.68960000000007</v>
      </c>
      <c r="AH105" s="16">
        <f t="shared" si="24"/>
        <v>25.494345454545456</v>
      </c>
    </row>
    <row r="106" spans="1:34" x14ac:dyDescent="0.25">
      <c r="A106" t="s">
        <v>335</v>
      </c>
      <c r="B106" s="11" t="s">
        <v>333</v>
      </c>
      <c r="C106" s="11" t="s">
        <v>35</v>
      </c>
      <c r="D106" s="11">
        <v>24.715</v>
      </c>
      <c r="E106" s="11">
        <v>171.02099999999999</v>
      </c>
      <c r="F106" s="11">
        <v>47.512999999999998</v>
      </c>
      <c r="G106" s="11">
        <v>135.52699999999999</v>
      </c>
      <c r="H106" s="6">
        <v>1</v>
      </c>
      <c r="I106" s="11">
        <v>60</v>
      </c>
      <c r="J106" s="11" t="s">
        <v>334</v>
      </c>
      <c r="K106" s="11"/>
      <c r="L106" s="11">
        <v>58.113</v>
      </c>
      <c r="M106" s="11">
        <f t="shared" si="25"/>
        <v>-10.600000000000001</v>
      </c>
      <c r="N106" s="11"/>
      <c r="O106" s="11"/>
      <c r="P106" s="11"/>
      <c r="Q106" s="11"/>
      <c r="R106" s="11">
        <f t="shared" si="26"/>
        <v>9.5025999999999993</v>
      </c>
      <c r="S106" s="4"/>
      <c r="T106" s="11">
        <f t="shared" si="27"/>
        <v>14.262096689327132</v>
      </c>
      <c r="U106" s="11">
        <f t="shared" si="28"/>
        <v>14.262096689327132</v>
      </c>
      <c r="V106" s="11">
        <v>9.9976000000000003</v>
      </c>
      <c r="W106" s="11">
        <v>8.3857999999999997</v>
      </c>
      <c r="X106" s="11">
        <v>12.8756</v>
      </c>
      <c r="Y106" s="11">
        <v>14.671799999999999</v>
      </c>
      <c r="Z106" s="11">
        <v>8.1275999999999993</v>
      </c>
      <c r="AA106" s="11">
        <v>5.9496000000000002</v>
      </c>
      <c r="AB106" s="11">
        <v>7.8940000000000001</v>
      </c>
      <c r="AC106" s="11">
        <v>7.8569999999999993</v>
      </c>
      <c r="AD106" s="11">
        <v>4.05</v>
      </c>
      <c r="AE106" s="11">
        <v>4.8860000000000001</v>
      </c>
      <c r="AF106" s="11"/>
      <c r="AG106" s="11">
        <f t="shared" si="23"/>
        <v>0</v>
      </c>
      <c r="AH106" s="16">
        <f t="shared" si="24"/>
        <v>8.5634181818181805</v>
      </c>
    </row>
    <row r="107" spans="1:34" x14ac:dyDescent="0.25">
      <c r="A107" t="s">
        <v>337</v>
      </c>
      <c r="B107" s="11" t="s">
        <v>336</v>
      </c>
      <c r="C107" s="11" t="s">
        <v>35</v>
      </c>
      <c r="D107" s="11">
        <v>1671.317</v>
      </c>
      <c r="E107" s="11">
        <v>703.27800000000002</v>
      </c>
      <c r="F107" s="11">
        <v>717.71299999999997</v>
      </c>
      <c r="G107" s="11">
        <v>1638.366</v>
      </c>
      <c r="H107" s="6">
        <v>1</v>
      </c>
      <c r="I107" s="11">
        <v>60</v>
      </c>
      <c r="J107" s="11"/>
      <c r="K107" s="11"/>
      <c r="L107" s="11">
        <v>727.02800000000002</v>
      </c>
      <c r="M107" s="11">
        <f t="shared" si="25"/>
        <v>-9.3150000000000546</v>
      </c>
      <c r="N107" s="11"/>
      <c r="O107" s="11"/>
      <c r="P107" s="11"/>
      <c r="Q107" s="11"/>
      <c r="R107" s="11">
        <f t="shared" si="26"/>
        <v>143.54259999999999</v>
      </c>
      <c r="S107" s="4"/>
      <c r="T107" s="11">
        <f t="shared" si="27"/>
        <v>11.413796322485451</v>
      </c>
      <c r="U107" s="11">
        <f t="shared" si="28"/>
        <v>11.413796322485451</v>
      </c>
      <c r="V107" s="11">
        <v>73.318599999999989</v>
      </c>
      <c r="W107" s="11">
        <v>37.800199999999997</v>
      </c>
      <c r="X107" s="11">
        <v>16.512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5" t="s">
        <v>353</v>
      </c>
      <c r="AG107" s="11">
        <f t="shared" si="23"/>
        <v>0</v>
      </c>
      <c r="AH107" s="16">
        <f t="shared" si="24"/>
        <v>24.652127272727274</v>
      </c>
    </row>
    <row r="108" spans="1:34" x14ac:dyDescent="0.25">
      <c r="A108" t="s">
        <v>340</v>
      </c>
      <c r="B108" s="11" t="s">
        <v>338</v>
      </c>
      <c r="C108" s="11" t="s">
        <v>45</v>
      </c>
      <c r="D108" s="11">
        <v>2</v>
      </c>
      <c r="E108" s="11">
        <v>576</v>
      </c>
      <c r="F108" s="11">
        <v>222</v>
      </c>
      <c r="G108" s="11">
        <v>370</v>
      </c>
      <c r="H108" s="6">
        <v>0.3</v>
      </c>
      <c r="I108" s="11">
        <v>40</v>
      </c>
      <c r="J108" s="11" t="s">
        <v>339</v>
      </c>
      <c r="K108" s="11"/>
      <c r="L108" s="11">
        <v>208</v>
      </c>
      <c r="M108" s="11">
        <f t="shared" si="25"/>
        <v>14</v>
      </c>
      <c r="N108" s="11"/>
      <c r="O108" s="11"/>
      <c r="P108" s="11"/>
      <c r="Q108" s="11">
        <v>15.00000000000006</v>
      </c>
      <c r="R108" s="11">
        <f t="shared" si="26"/>
        <v>44.4</v>
      </c>
      <c r="S108" s="4">
        <f>11*R108-Q108-P108-G108</f>
        <v>103.39999999999992</v>
      </c>
      <c r="T108" s="11">
        <f t="shared" si="27"/>
        <v>11</v>
      </c>
      <c r="U108" s="11">
        <f t="shared" si="28"/>
        <v>8.6711711711711725</v>
      </c>
      <c r="V108" s="11">
        <v>39</v>
      </c>
      <c r="W108" s="11">
        <v>37.200000000000003</v>
      </c>
      <c r="X108" s="11">
        <v>48.4</v>
      </c>
      <c r="Y108" s="11">
        <v>47.6</v>
      </c>
      <c r="Z108" s="11">
        <v>37.4</v>
      </c>
      <c r="AA108" s="11">
        <v>29</v>
      </c>
      <c r="AB108" s="11">
        <v>50.2</v>
      </c>
      <c r="AC108" s="11">
        <v>31.6</v>
      </c>
      <c r="AD108" s="11">
        <v>36.200000000000003</v>
      </c>
      <c r="AE108" s="11">
        <v>36.6</v>
      </c>
      <c r="AF108" s="11"/>
      <c r="AG108" s="11">
        <f t="shared" si="23"/>
        <v>31.019999999999975</v>
      </c>
      <c r="AH108" s="16">
        <f t="shared" si="24"/>
        <v>11.934545454545454</v>
      </c>
    </row>
    <row r="109" spans="1:34" x14ac:dyDescent="0.25">
      <c r="A109" t="s">
        <v>343</v>
      </c>
      <c r="B109" s="11" t="s">
        <v>341</v>
      </c>
      <c r="C109" s="11" t="s">
        <v>45</v>
      </c>
      <c r="D109" s="11"/>
      <c r="E109" s="11">
        <v>5</v>
      </c>
      <c r="F109" s="11">
        <v>-3</v>
      </c>
      <c r="G109" s="11">
        <v>5</v>
      </c>
      <c r="H109" s="6">
        <v>0.3</v>
      </c>
      <c r="I109" s="11">
        <v>40</v>
      </c>
      <c r="J109" s="11" t="s">
        <v>342</v>
      </c>
      <c r="K109" s="11"/>
      <c r="L109" s="11">
        <v>6</v>
      </c>
      <c r="M109" s="11">
        <f t="shared" si="25"/>
        <v>-9</v>
      </c>
      <c r="N109" s="11"/>
      <c r="O109" s="11"/>
      <c r="P109" s="11">
        <v>80</v>
      </c>
      <c r="Q109" s="11"/>
      <c r="R109" s="11">
        <f t="shared" si="26"/>
        <v>-0.6</v>
      </c>
      <c r="S109" s="4"/>
      <c r="T109" s="11">
        <f t="shared" si="27"/>
        <v>-141.66666666666669</v>
      </c>
      <c r="U109" s="11">
        <f t="shared" si="28"/>
        <v>-141.66666666666669</v>
      </c>
      <c r="V109" s="11">
        <v>-1.2</v>
      </c>
      <c r="W109" s="11">
        <v>-3.6</v>
      </c>
      <c r="X109" s="11">
        <v>-6.6</v>
      </c>
      <c r="Y109" s="11">
        <v>4.4000000000000004</v>
      </c>
      <c r="Z109" s="11">
        <v>6.8</v>
      </c>
      <c r="AA109" s="11">
        <v>2.8</v>
      </c>
      <c r="AB109" s="11">
        <v>20.399999999999999</v>
      </c>
      <c r="AC109" s="11">
        <v>27.2</v>
      </c>
      <c r="AD109" s="11">
        <v>29</v>
      </c>
      <c r="AE109" s="11">
        <v>15.2</v>
      </c>
      <c r="AF109" s="11"/>
      <c r="AG109" s="11">
        <f t="shared" si="23"/>
        <v>0</v>
      </c>
      <c r="AH109" s="16">
        <f t="shared" si="24"/>
        <v>2.5581818181818186</v>
      </c>
    </row>
    <row r="110" spans="1:34" x14ac:dyDescent="0.25">
      <c r="A110" t="s">
        <v>346</v>
      </c>
      <c r="B110" s="11" t="s">
        <v>344</v>
      </c>
      <c r="C110" s="11" t="s">
        <v>35</v>
      </c>
      <c r="D110" s="11"/>
      <c r="E110" s="11">
        <v>32.558</v>
      </c>
      <c r="F110" s="11">
        <v>12.166</v>
      </c>
      <c r="G110" s="11">
        <v>20.391999999999999</v>
      </c>
      <c r="H110" s="6">
        <v>1</v>
      </c>
      <c r="I110" s="11">
        <v>50</v>
      </c>
      <c r="J110" s="11" t="s">
        <v>345</v>
      </c>
      <c r="K110" s="11"/>
      <c r="L110" s="11">
        <v>11.6</v>
      </c>
      <c r="M110" s="11">
        <f t="shared" si="25"/>
        <v>0.56600000000000072</v>
      </c>
      <c r="N110" s="11"/>
      <c r="O110" s="11"/>
      <c r="P110" s="11"/>
      <c r="Q110" s="11"/>
      <c r="R110" s="11">
        <f t="shared" si="26"/>
        <v>2.4332000000000003</v>
      </c>
      <c r="S110" s="4">
        <f>11*R110-Q110-P110-G110</f>
        <v>6.3732000000000042</v>
      </c>
      <c r="T110" s="11">
        <f t="shared" si="27"/>
        <v>11</v>
      </c>
      <c r="U110" s="11">
        <f t="shared" si="28"/>
        <v>8.3807331908597718</v>
      </c>
      <c r="V110" s="11">
        <v>1.623</v>
      </c>
      <c r="W110" s="11">
        <v>0</v>
      </c>
      <c r="X110" s="11">
        <v>0</v>
      </c>
      <c r="Y110" s="11">
        <v>-4.7E-2</v>
      </c>
      <c r="Z110" s="11">
        <v>2.073</v>
      </c>
      <c r="AA110" s="11">
        <v>2.12</v>
      </c>
      <c r="AB110" s="11">
        <v>3.0232000000000001</v>
      </c>
      <c r="AC110" s="11">
        <v>2.4927999999999999</v>
      </c>
      <c r="AD110" s="11">
        <v>1.1104000000000001</v>
      </c>
      <c r="AE110" s="11">
        <v>3.3012000000000001</v>
      </c>
      <c r="AF110" s="11"/>
      <c r="AG110" s="11">
        <f t="shared" si="23"/>
        <v>6.3732000000000042</v>
      </c>
      <c r="AH110" s="16">
        <f t="shared" si="24"/>
        <v>1.6481636363636363</v>
      </c>
    </row>
    <row r="111" spans="1:34" x14ac:dyDescent="0.25">
      <c r="A111" t="s">
        <v>349</v>
      </c>
      <c r="B111" s="11" t="s">
        <v>347</v>
      </c>
      <c r="C111" s="11" t="s">
        <v>45</v>
      </c>
      <c r="D111" s="11">
        <v>6</v>
      </c>
      <c r="E111" s="11">
        <v>262</v>
      </c>
      <c r="F111" s="11">
        <v>213</v>
      </c>
      <c r="G111" s="11">
        <v>60</v>
      </c>
      <c r="H111" s="6">
        <v>0.3</v>
      </c>
      <c r="I111" s="11">
        <v>40</v>
      </c>
      <c r="J111" s="11" t="s">
        <v>348</v>
      </c>
      <c r="K111" s="11"/>
      <c r="L111" s="11">
        <v>206</v>
      </c>
      <c r="M111" s="11">
        <f t="shared" si="25"/>
        <v>7</v>
      </c>
      <c r="N111" s="11"/>
      <c r="O111" s="11"/>
      <c r="P111" s="11"/>
      <c r="Q111" s="11">
        <v>132.32000000000011</v>
      </c>
      <c r="R111" s="11">
        <f t="shared" si="26"/>
        <v>42.6</v>
      </c>
      <c r="S111" s="4">
        <f>11*R111-Q111-P111-G111</f>
        <v>276.27999999999992</v>
      </c>
      <c r="T111" s="11">
        <f t="shared" si="27"/>
        <v>11</v>
      </c>
      <c r="U111" s="11">
        <f t="shared" si="28"/>
        <v>4.5145539906103309</v>
      </c>
      <c r="V111" s="11">
        <v>23.8</v>
      </c>
      <c r="W111" s="11">
        <v>8</v>
      </c>
      <c r="X111" s="11">
        <v>18.8</v>
      </c>
      <c r="Y111" s="11">
        <v>20.399999999999999</v>
      </c>
      <c r="Z111" s="11">
        <v>20.399999999999999</v>
      </c>
      <c r="AA111" s="11">
        <v>16.600000000000001</v>
      </c>
      <c r="AB111" s="11">
        <v>16</v>
      </c>
      <c r="AC111" s="11">
        <v>15.4</v>
      </c>
      <c r="AD111" s="11">
        <v>18.399999999999999</v>
      </c>
      <c r="AE111" s="11">
        <v>17.399999999999999</v>
      </c>
      <c r="AF111" s="11"/>
      <c r="AG111" s="11">
        <f t="shared" si="23"/>
        <v>82.883999999999972</v>
      </c>
      <c r="AH111" s="16">
        <f t="shared" si="24"/>
        <v>5.94</v>
      </c>
    </row>
    <row r="112" spans="1:34" x14ac:dyDescent="0.25">
      <c r="A112" t="s">
        <v>352</v>
      </c>
      <c r="B112" s="11" t="s">
        <v>350</v>
      </c>
      <c r="C112" s="11" t="s">
        <v>45</v>
      </c>
      <c r="D112" s="11">
        <v>3</v>
      </c>
      <c r="E112" s="11">
        <v>165</v>
      </c>
      <c r="F112" s="11">
        <v>18</v>
      </c>
      <c r="G112" s="11">
        <v>150</v>
      </c>
      <c r="H112" s="6">
        <v>0.12</v>
      </c>
      <c r="I112" s="11">
        <v>45</v>
      </c>
      <c r="J112" s="11" t="s">
        <v>351</v>
      </c>
      <c r="K112" s="11"/>
      <c r="L112" s="11">
        <v>18</v>
      </c>
      <c r="M112" s="11">
        <f t="shared" si="25"/>
        <v>0</v>
      </c>
      <c r="N112" s="11"/>
      <c r="O112" s="11"/>
      <c r="P112" s="11"/>
      <c r="Q112" s="11"/>
      <c r="R112" s="11">
        <f t="shared" si="26"/>
        <v>3.6</v>
      </c>
      <c r="S112" s="4"/>
      <c r="T112" s="11">
        <f t="shared" si="27"/>
        <v>41.666666666666664</v>
      </c>
      <c r="U112" s="11">
        <f t="shared" si="28"/>
        <v>41.666666666666664</v>
      </c>
      <c r="V112" s="11">
        <v>3.2</v>
      </c>
      <c r="W112" s="11">
        <v>6.2</v>
      </c>
      <c r="X112" s="11">
        <v>12.2</v>
      </c>
      <c r="Y112" s="11">
        <v>7.6</v>
      </c>
      <c r="Z112" s="11">
        <v>0.4</v>
      </c>
      <c r="AA112" s="11">
        <v>1.8</v>
      </c>
      <c r="AB112" s="11">
        <v>7.6</v>
      </c>
      <c r="AC112" s="11">
        <v>2.8</v>
      </c>
      <c r="AD112" s="11">
        <v>5</v>
      </c>
      <c r="AE112" s="11">
        <v>10</v>
      </c>
      <c r="AF112" s="11"/>
      <c r="AG112" s="11">
        <f t="shared" si="23"/>
        <v>0</v>
      </c>
      <c r="AH112" s="16">
        <f t="shared" si="24"/>
        <v>0.65890909090909089</v>
      </c>
    </row>
    <row r="113" spans="2:33" x14ac:dyDescent="0.25">
      <c r="B113" s="11"/>
      <c r="C113" s="11"/>
      <c r="D113" s="11"/>
      <c r="E113" s="11"/>
      <c r="F113" s="11"/>
      <c r="G113" s="11"/>
      <c r="H113" s="6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spans="2:33" x14ac:dyDescent="0.25">
      <c r="B114" s="11"/>
      <c r="C114" s="11"/>
      <c r="D114" s="11"/>
      <c r="E114" s="11"/>
      <c r="F114" s="11"/>
      <c r="G114" s="11"/>
      <c r="H114" s="6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spans="2:33" x14ac:dyDescent="0.25">
      <c r="B115" s="11"/>
      <c r="C115" s="11"/>
      <c r="D115" s="11"/>
      <c r="E115" s="11"/>
      <c r="F115" s="11"/>
      <c r="G115" s="11"/>
      <c r="H115" s="6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spans="2:33" x14ac:dyDescent="0.25">
      <c r="B116" s="11"/>
      <c r="C116" s="11"/>
      <c r="D116" s="11"/>
      <c r="E116" s="11"/>
      <c r="F116" s="11"/>
      <c r="G116" s="11"/>
      <c r="H116" s="6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spans="2:33" x14ac:dyDescent="0.25">
      <c r="B117" s="11"/>
      <c r="C117" s="11"/>
      <c r="D117" s="11"/>
      <c r="E117" s="11"/>
      <c r="F117" s="11"/>
      <c r="G117" s="11"/>
      <c r="H117" s="6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spans="2:33" x14ac:dyDescent="0.25">
      <c r="B118" s="11"/>
      <c r="C118" s="11"/>
      <c r="D118" s="11"/>
      <c r="E118" s="11"/>
      <c r="F118" s="11"/>
      <c r="G118" s="11"/>
      <c r="H118" s="6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spans="2:33" x14ac:dyDescent="0.25">
      <c r="B119" s="11"/>
      <c r="C119" s="11"/>
      <c r="D119" s="11"/>
      <c r="E119" s="11"/>
      <c r="F119" s="11"/>
      <c r="G119" s="11"/>
      <c r="H119" s="6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spans="2:33" x14ac:dyDescent="0.25">
      <c r="B120" s="11"/>
      <c r="C120" s="11"/>
      <c r="D120" s="11"/>
      <c r="E120" s="11"/>
      <c r="F120" s="11"/>
      <c r="G120" s="11"/>
      <c r="H120" s="6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spans="2:33" x14ac:dyDescent="0.25">
      <c r="B121" s="11"/>
      <c r="C121" s="11"/>
      <c r="D121" s="11"/>
      <c r="E121" s="11"/>
      <c r="F121" s="11"/>
      <c r="G121" s="11"/>
      <c r="H121" s="6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spans="2:33" x14ac:dyDescent="0.25">
      <c r="B122" s="11"/>
      <c r="C122" s="11"/>
      <c r="D122" s="11"/>
      <c r="E122" s="11"/>
      <c r="F122" s="11"/>
      <c r="G122" s="11"/>
      <c r="H122" s="6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spans="2:33" x14ac:dyDescent="0.25">
      <c r="B123" s="11"/>
      <c r="C123" s="11"/>
      <c r="D123" s="11"/>
      <c r="E123" s="11"/>
      <c r="F123" s="11"/>
      <c r="G123" s="11"/>
      <c r="H123" s="6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spans="2:33" x14ac:dyDescent="0.25">
      <c r="B124" s="11"/>
      <c r="C124" s="11"/>
      <c r="D124" s="11"/>
      <c r="E124" s="11"/>
      <c r="F124" s="11"/>
      <c r="G124" s="11"/>
      <c r="H124" s="6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spans="2:33" x14ac:dyDescent="0.25">
      <c r="B125" s="11"/>
      <c r="C125" s="11"/>
      <c r="D125" s="11"/>
      <c r="E125" s="11"/>
      <c r="F125" s="11"/>
      <c r="G125" s="11"/>
      <c r="H125" s="6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spans="2:33" x14ac:dyDescent="0.25">
      <c r="B126" s="11"/>
      <c r="C126" s="11"/>
      <c r="D126" s="11"/>
      <c r="E126" s="11"/>
      <c r="F126" s="11"/>
      <c r="G126" s="11"/>
      <c r="H126" s="6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spans="2:33" x14ac:dyDescent="0.25">
      <c r="B127" s="11"/>
      <c r="C127" s="11"/>
      <c r="D127" s="11"/>
      <c r="E127" s="11"/>
      <c r="F127" s="11"/>
      <c r="G127" s="11"/>
      <c r="H127" s="6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spans="2:33" x14ac:dyDescent="0.25">
      <c r="B128" s="11"/>
      <c r="C128" s="11"/>
      <c r="D128" s="11"/>
      <c r="E128" s="11"/>
      <c r="F128" s="11"/>
      <c r="G128" s="11"/>
      <c r="H128" s="6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spans="2:33" x14ac:dyDescent="0.25">
      <c r="B129" s="11"/>
      <c r="C129" s="11"/>
      <c r="D129" s="11"/>
      <c r="E129" s="11"/>
      <c r="F129" s="11"/>
      <c r="G129" s="11"/>
      <c r="H129" s="6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spans="2:33" x14ac:dyDescent="0.25">
      <c r="B130" s="11"/>
      <c r="C130" s="11"/>
      <c r="D130" s="11"/>
      <c r="E130" s="11"/>
      <c r="F130" s="11"/>
      <c r="G130" s="11"/>
      <c r="H130" s="6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spans="2:33" x14ac:dyDescent="0.25">
      <c r="B131" s="11"/>
      <c r="C131" s="11"/>
      <c r="D131" s="11"/>
      <c r="E131" s="11"/>
      <c r="F131" s="11"/>
      <c r="G131" s="11"/>
      <c r="H131" s="6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spans="2:33" x14ac:dyDescent="0.25">
      <c r="B132" s="11"/>
      <c r="C132" s="11"/>
      <c r="D132" s="11"/>
      <c r="E132" s="11"/>
      <c r="F132" s="11"/>
      <c r="G132" s="11"/>
      <c r="H132" s="6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spans="2:33" x14ac:dyDescent="0.25">
      <c r="B133" s="11"/>
      <c r="C133" s="11"/>
      <c r="D133" s="11"/>
      <c r="E133" s="11"/>
      <c r="F133" s="11"/>
      <c r="G133" s="11"/>
      <c r="H133" s="6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spans="2:33" x14ac:dyDescent="0.25">
      <c r="B134" s="11"/>
      <c r="C134" s="11"/>
      <c r="D134" s="11"/>
      <c r="E134" s="11"/>
      <c r="F134" s="11"/>
      <c r="G134" s="11"/>
      <c r="H134" s="6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spans="2:33" x14ac:dyDescent="0.25">
      <c r="B135" s="11"/>
      <c r="C135" s="11"/>
      <c r="D135" s="11"/>
      <c r="E135" s="11"/>
      <c r="F135" s="11"/>
      <c r="G135" s="11"/>
      <c r="H135" s="6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spans="2:33" x14ac:dyDescent="0.25">
      <c r="B136" s="11"/>
      <c r="C136" s="11"/>
      <c r="D136" s="11"/>
      <c r="E136" s="11"/>
      <c r="F136" s="11"/>
      <c r="G136" s="11"/>
      <c r="H136" s="6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spans="2:33" x14ac:dyDescent="0.25">
      <c r="B137" s="11"/>
      <c r="C137" s="11"/>
      <c r="D137" s="11"/>
      <c r="E137" s="11"/>
      <c r="F137" s="11"/>
      <c r="G137" s="11"/>
      <c r="H137" s="6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spans="2:33" x14ac:dyDescent="0.25">
      <c r="B138" s="11"/>
      <c r="C138" s="11"/>
      <c r="D138" s="11"/>
      <c r="E138" s="11"/>
      <c r="F138" s="11"/>
      <c r="G138" s="11"/>
      <c r="H138" s="6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spans="2:33" x14ac:dyDescent="0.25">
      <c r="B139" s="11"/>
      <c r="C139" s="11"/>
      <c r="D139" s="11"/>
      <c r="E139" s="11"/>
      <c r="F139" s="11"/>
      <c r="G139" s="11"/>
      <c r="H139" s="6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spans="2:33" x14ac:dyDescent="0.25">
      <c r="B140" s="11"/>
      <c r="C140" s="11"/>
      <c r="D140" s="11"/>
      <c r="E140" s="11"/>
      <c r="F140" s="11"/>
      <c r="G140" s="11"/>
      <c r="H140" s="6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spans="2:33" x14ac:dyDescent="0.25">
      <c r="B141" s="11"/>
      <c r="C141" s="11"/>
      <c r="D141" s="11"/>
      <c r="E141" s="11"/>
      <c r="F141" s="11"/>
      <c r="G141" s="11"/>
      <c r="H141" s="6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spans="2:33" x14ac:dyDescent="0.25">
      <c r="B142" s="11"/>
      <c r="C142" s="11"/>
      <c r="D142" s="11"/>
      <c r="E142" s="11"/>
      <c r="F142" s="11"/>
      <c r="G142" s="11"/>
      <c r="H142" s="6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spans="2:33" x14ac:dyDescent="0.25">
      <c r="B143" s="11"/>
      <c r="C143" s="11"/>
      <c r="D143" s="11"/>
      <c r="E143" s="11"/>
      <c r="F143" s="11"/>
      <c r="G143" s="11"/>
      <c r="H143" s="6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spans="2:33" x14ac:dyDescent="0.25">
      <c r="B144" s="11"/>
      <c r="C144" s="11"/>
      <c r="D144" s="11"/>
      <c r="E144" s="11"/>
      <c r="F144" s="11"/>
      <c r="G144" s="11"/>
      <c r="H144" s="6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spans="2:33" x14ac:dyDescent="0.25">
      <c r="B145" s="11"/>
      <c r="C145" s="11"/>
      <c r="D145" s="11"/>
      <c r="E145" s="11"/>
      <c r="F145" s="11"/>
      <c r="G145" s="11"/>
      <c r="H145" s="6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spans="2:33" x14ac:dyDescent="0.25">
      <c r="B146" s="11"/>
      <c r="C146" s="11"/>
      <c r="D146" s="11"/>
      <c r="E146" s="11"/>
      <c r="F146" s="11"/>
      <c r="G146" s="11"/>
      <c r="H146" s="6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spans="2:33" x14ac:dyDescent="0.25">
      <c r="B147" s="11"/>
      <c r="C147" s="11"/>
      <c r="D147" s="11"/>
      <c r="E147" s="11"/>
      <c r="F147" s="11"/>
      <c r="G147" s="11"/>
      <c r="H147" s="6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spans="2:33" x14ac:dyDescent="0.25">
      <c r="B148" s="11"/>
      <c r="C148" s="11"/>
      <c r="D148" s="11"/>
      <c r="E148" s="11"/>
      <c r="F148" s="11"/>
      <c r="G148" s="11"/>
      <c r="H148" s="6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spans="2:33" x14ac:dyDescent="0.25">
      <c r="B149" s="11"/>
      <c r="C149" s="11"/>
      <c r="D149" s="11"/>
      <c r="E149" s="11"/>
      <c r="F149" s="11"/>
      <c r="G149" s="11"/>
      <c r="H149" s="6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spans="2:33" x14ac:dyDescent="0.25">
      <c r="B150" s="11"/>
      <c r="C150" s="11"/>
      <c r="D150" s="11"/>
      <c r="E150" s="11"/>
      <c r="F150" s="11"/>
      <c r="G150" s="11"/>
      <c r="H150" s="6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spans="2:33" x14ac:dyDescent="0.25">
      <c r="B151" s="11"/>
      <c r="C151" s="11"/>
      <c r="D151" s="11"/>
      <c r="E151" s="11"/>
      <c r="F151" s="11"/>
      <c r="G151" s="11"/>
      <c r="H151" s="6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spans="2:33" x14ac:dyDescent="0.25">
      <c r="B152" s="11"/>
      <c r="C152" s="11"/>
      <c r="D152" s="11"/>
      <c r="E152" s="11"/>
      <c r="F152" s="11"/>
      <c r="G152" s="11"/>
      <c r="H152" s="6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spans="2:33" x14ac:dyDescent="0.25">
      <c r="B153" s="11"/>
      <c r="C153" s="11"/>
      <c r="D153" s="11"/>
      <c r="E153" s="11"/>
      <c r="F153" s="11"/>
      <c r="G153" s="11"/>
      <c r="H153" s="6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spans="2:33" x14ac:dyDescent="0.25">
      <c r="B154" s="11"/>
      <c r="C154" s="11"/>
      <c r="D154" s="11"/>
      <c r="E154" s="11"/>
      <c r="F154" s="11"/>
      <c r="G154" s="11"/>
      <c r="H154" s="6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spans="2:33" x14ac:dyDescent="0.25">
      <c r="B155" s="11"/>
      <c r="C155" s="11"/>
      <c r="D155" s="11"/>
      <c r="E155" s="11"/>
      <c r="F155" s="11"/>
      <c r="G155" s="11"/>
      <c r="H155" s="6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spans="2:33" x14ac:dyDescent="0.25">
      <c r="B156" s="11"/>
      <c r="C156" s="11"/>
      <c r="D156" s="11"/>
      <c r="E156" s="11"/>
      <c r="F156" s="11"/>
      <c r="G156" s="11"/>
      <c r="H156" s="6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spans="2:33" x14ac:dyDescent="0.25">
      <c r="B157" s="11"/>
      <c r="C157" s="11"/>
      <c r="D157" s="11"/>
      <c r="E157" s="11"/>
      <c r="F157" s="11"/>
      <c r="G157" s="11"/>
      <c r="H157" s="6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spans="2:33" x14ac:dyDescent="0.25">
      <c r="B158" s="11"/>
      <c r="C158" s="11"/>
      <c r="D158" s="11"/>
      <c r="E158" s="11"/>
      <c r="F158" s="11"/>
      <c r="G158" s="11"/>
      <c r="H158" s="6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spans="2:33" x14ac:dyDescent="0.25">
      <c r="B159" s="11"/>
      <c r="C159" s="11"/>
      <c r="D159" s="11"/>
      <c r="E159" s="11"/>
      <c r="F159" s="11"/>
      <c r="G159" s="11"/>
      <c r="H159" s="6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spans="2:33" x14ac:dyDescent="0.25">
      <c r="B160" s="11"/>
      <c r="C160" s="11"/>
      <c r="D160" s="11"/>
      <c r="E160" s="11"/>
      <c r="F160" s="11"/>
      <c r="G160" s="11"/>
      <c r="H160" s="6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spans="2:33" x14ac:dyDescent="0.25">
      <c r="B161" s="11"/>
      <c r="C161" s="11"/>
      <c r="D161" s="11"/>
      <c r="E161" s="11"/>
      <c r="F161" s="11"/>
      <c r="G161" s="11"/>
      <c r="H161" s="6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spans="2:33" x14ac:dyDescent="0.25">
      <c r="B162" s="11"/>
      <c r="C162" s="11"/>
      <c r="D162" s="11"/>
      <c r="E162" s="11"/>
      <c r="F162" s="11"/>
      <c r="G162" s="11"/>
      <c r="H162" s="6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spans="2:33" x14ac:dyDescent="0.25">
      <c r="B163" s="11"/>
      <c r="C163" s="11"/>
      <c r="D163" s="11"/>
      <c r="E163" s="11"/>
      <c r="F163" s="11"/>
      <c r="G163" s="11"/>
      <c r="H163" s="6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spans="2:33" x14ac:dyDescent="0.25">
      <c r="B164" s="11"/>
      <c r="C164" s="11"/>
      <c r="D164" s="11"/>
      <c r="E164" s="11"/>
      <c r="F164" s="11"/>
      <c r="G164" s="11"/>
      <c r="H164" s="6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spans="2:33" x14ac:dyDescent="0.25">
      <c r="B165" s="11"/>
      <c r="C165" s="11"/>
      <c r="D165" s="11"/>
      <c r="E165" s="11"/>
      <c r="F165" s="11"/>
      <c r="G165" s="11"/>
      <c r="H165" s="6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spans="2:33" x14ac:dyDescent="0.25">
      <c r="B166" s="11"/>
      <c r="C166" s="11"/>
      <c r="D166" s="11"/>
      <c r="E166" s="11"/>
      <c r="F166" s="11"/>
      <c r="G166" s="11"/>
      <c r="H166" s="6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spans="2:33" x14ac:dyDescent="0.25">
      <c r="B167" s="11"/>
      <c r="C167" s="11"/>
      <c r="D167" s="11"/>
      <c r="E167" s="11"/>
      <c r="F167" s="11"/>
      <c r="G167" s="11"/>
      <c r="H167" s="6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spans="2:33" x14ac:dyDescent="0.25">
      <c r="B168" s="11"/>
      <c r="C168" s="11"/>
      <c r="D168" s="11"/>
      <c r="E168" s="11"/>
      <c r="F168" s="11"/>
      <c r="G168" s="11"/>
      <c r="H168" s="6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spans="2:33" x14ac:dyDescent="0.25">
      <c r="B169" s="11"/>
      <c r="C169" s="11"/>
      <c r="D169" s="11"/>
      <c r="E169" s="11"/>
      <c r="F169" s="11"/>
      <c r="G169" s="11"/>
      <c r="H169" s="6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spans="2:33" x14ac:dyDescent="0.25">
      <c r="B170" s="11"/>
      <c r="C170" s="11"/>
      <c r="D170" s="11"/>
      <c r="E170" s="11"/>
      <c r="F170" s="11"/>
      <c r="G170" s="11"/>
      <c r="H170" s="6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spans="2:33" x14ac:dyDescent="0.25">
      <c r="B171" s="11"/>
      <c r="C171" s="11"/>
      <c r="D171" s="11"/>
      <c r="E171" s="11"/>
      <c r="F171" s="11"/>
      <c r="G171" s="11"/>
      <c r="H171" s="6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spans="2:33" x14ac:dyDescent="0.25">
      <c r="B172" s="11"/>
      <c r="C172" s="11"/>
      <c r="D172" s="11"/>
      <c r="E172" s="11"/>
      <c r="F172" s="11"/>
      <c r="G172" s="11"/>
      <c r="H172" s="6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spans="2:33" x14ac:dyDescent="0.25">
      <c r="B173" s="11"/>
      <c r="C173" s="11"/>
      <c r="D173" s="11"/>
      <c r="E173" s="11"/>
      <c r="F173" s="11"/>
      <c r="G173" s="11"/>
      <c r="H173" s="6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spans="2:33" x14ac:dyDescent="0.25">
      <c r="B174" s="11"/>
      <c r="C174" s="11"/>
      <c r="D174" s="11"/>
      <c r="E174" s="11"/>
      <c r="F174" s="11"/>
      <c r="G174" s="11"/>
      <c r="H174" s="6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spans="2:33" x14ac:dyDescent="0.25">
      <c r="B175" s="11"/>
      <c r="C175" s="11"/>
      <c r="D175" s="11"/>
      <c r="E175" s="11"/>
      <c r="F175" s="11"/>
      <c r="G175" s="11"/>
      <c r="H175" s="6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spans="2:33" x14ac:dyDescent="0.25">
      <c r="B176" s="11"/>
      <c r="C176" s="11"/>
      <c r="D176" s="11"/>
      <c r="E176" s="11"/>
      <c r="F176" s="11"/>
      <c r="G176" s="11"/>
      <c r="H176" s="6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spans="2:33" x14ac:dyDescent="0.25">
      <c r="B177" s="11"/>
      <c r="C177" s="11"/>
      <c r="D177" s="11"/>
      <c r="E177" s="11"/>
      <c r="F177" s="11"/>
      <c r="G177" s="11"/>
      <c r="H177" s="6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spans="2:33" x14ac:dyDescent="0.25">
      <c r="B178" s="11"/>
      <c r="C178" s="11"/>
      <c r="D178" s="11"/>
      <c r="E178" s="11"/>
      <c r="F178" s="11"/>
      <c r="G178" s="11"/>
      <c r="H178" s="6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spans="2:33" x14ac:dyDescent="0.25">
      <c r="B179" s="11"/>
      <c r="C179" s="11"/>
      <c r="D179" s="11"/>
      <c r="E179" s="11"/>
      <c r="F179" s="11"/>
      <c r="G179" s="11"/>
      <c r="H179" s="6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spans="2:33" x14ac:dyDescent="0.25">
      <c r="B180" s="11"/>
      <c r="C180" s="11"/>
      <c r="D180" s="11"/>
      <c r="E180" s="11"/>
      <c r="F180" s="11"/>
      <c r="G180" s="11"/>
      <c r="H180" s="6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spans="2:33" x14ac:dyDescent="0.25">
      <c r="B181" s="11"/>
      <c r="C181" s="11"/>
      <c r="D181" s="11"/>
      <c r="E181" s="11"/>
      <c r="F181" s="11"/>
      <c r="G181" s="11"/>
      <c r="H181" s="6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spans="2:33" x14ac:dyDescent="0.25">
      <c r="B182" s="11"/>
      <c r="C182" s="11"/>
      <c r="D182" s="11"/>
      <c r="E182" s="11"/>
      <c r="F182" s="11"/>
      <c r="G182" s="11"/>
      <c r="H182" s="6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spans="2:33" x14ac:dyDescent="0.25">
      <c r="B183" s="11"/>
      <c r="C183" s="11"/>
      <c r="D183" s="11"/>
      <c r="E183" s="11"/>
      <c r="F183" s="11"/>
      <c r="G183" s="11"/>
      <c r="H183" s="6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spans="2:33" x14ac:dyDescent="0.25">
      <c r="B184" s="11"/>
      <c r="C184" s="11"/>
      <c r="D184" s="11"/>
      <c r="E184" s="11"/>
      <c r="F184" s="11"/>
      <c r="G184" s="11"/>
      <c r="H184" s="6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spans="2:33" x14ac:dyDescent="0.25">
      <c r="B185" s="11"/>
      <c r="C185" s="11"/>
      <c r="D185" s="11"/>
      <c r="E185" s="11"/>
      <c r="F185" s="11"/>
      <c r="G185" s="11"/>
      <c r="H185" s="6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spans="2:33" x14ac:dyDescent="0.25">
      <c r="B186" s="11"/>
      <c r="C186" s="11"/>
      <c r="D186" s="11"/>
      <c r="E186" s="11"/>
      <c r="F186" s="11"/>
      <c r="G186" s="11"/>
      <c r="H186" s="6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spans="2:33" x14ac:dyDescent="0.25">
      <c r="B187" s="11"/>
      <c r="C187" s="11"/>
      <c r="D187" s="11"/>
      <c r="E187" s="11"/>
      <c r="F187" s="11"/>
      <c r="G187" s="11"/>
      <c r="H187" s="6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spans="2:33" x14ac:dyDescent="0.25">
      <c r="B188" s="11"/>
      <c r="C188" s="11"/>
      <c r="D188" s="11"/>
      <c r="E188" s="11"/>
      <c r="F188" s="11"/>
      <c r="G188" s="11"/>
      <c r="H188" s="6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spans="2:33" x14ac:dyDescent="0.25">
      <c r="B189" s="11"/>
      <c r="C189" s="11"/>
      <c r="D189" s="11"/>
      <c r="E189" s="11"/>
      <c r="F189" s="11"/>
      <c r="G189" s="11"/>
      <c r="H189" s="6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spans="2:33" x14ac:dyDescent="0.25">
      <c r="B190" s="11"/>
      <c r="C190" s="11"/>
      <c r="D190" s="11"/>
      <c r="E190" s="11"/>
      <c r="F190" s="11"/>
      <c r="G190" s="11"/>
      <c r="H190" s="6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spans="2:33" x14ac:dyDescent="0.25">
      <c r="B191" s="11"/>
      <c r="C191" s="11"/>
      <c r="D191" s="11"/>
      <c r="E191" s="11"/>
      <c r="F191" s="11"/>
      <c r="G191" s="11"/>
      <c r="H191" s="6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spans="2:33" x14ac:dyDescent="0.25">
      <c r="B192" s="11"/>
      <c r="C192" s="11"/>
      <c r="D192" s="11"/>
      <c r="E192" s="11"/>
      <c r="F192" s="11"/>
      <c r="G192" s="11"/>
      <c r="H192" s="6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spans="2:33" x14ac:dyDescent="0.25">
      <c r="B193" s="11"/>
      <c r="C193" s="11"/>
      <c r="D193" s="11"/>
      <c r="E193" s="11"/>
      <c r="F193" s="11"/>
      <c r="G193" s="11"/>
      <c r="H193" s="6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spans="2:33" x14ac:dyDescent="0.25">
      <c r="B194" s="11"/>
      <c r="C194" s="11"/>
      <c r="D194" s="11"/>
      <c r="E194" s="11"/>
      <c r="F194" s="11"/>
      <c r="G194" s="11"/>
      <c r="H194" s="6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spans="2:33" x14ac:dyDescent="0.25">
      <c r="B195" s="11"/>
      <c r="C195" s="11"/>
      <c r="D195" s="11"/>
      <c r="E195" s="11"/>
      <c r="F195" s="11"/>
      <c r="G195" s="11"/>
      <c r="H195" s="6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spans="2:33" x14ac:dyDescent="0.25">
      <c r="B196" s="11"/>
      <c r="C196" s="11"/>
      <c r="D196" s="11"/>
      <c r="E196" s="11"/>
      <c r="F196" s="11"/>
      <c r="G196" s="11"/>
      <c r="H196" s="6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spans="2:33" x14ac:dyDescent="0.25">
      <c r="B197" s="11"/>
      <c r="C197" s="11"/>
      <c r="D197" s="11"/>
      <c r="E197" s="11"/>
      <c r="F197" s="11"/>
      <c r="G197" s="11"/>
      <c r="H197" s="6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spans="2:33" x14ac:dyDescent="0.25">
      <c r="B198" s="11"/>
      <c r="C198" s="11"/>
      <c r="D198" s="11"/>
      <c r="E198" s="11"/>
      <c r="F198" s="11"/>
      <c r="G198" s="11"/>
      <c r="H198" s="6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spans="2:33" x14ac:dyDescent="0.25">
      <c r="B199" s="11"/>
      <c r="C199" s="11"/>
      <c r="D199" s="11"/>
      <c r="E199" s="11"/>
      <c r="F199" s="11"/>
      <c r="G199" s="11"/>
      <c r="H199" s="6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spans="2:33" x14ac:dyDescent="0.25">
      <c r="B200" s="11"/>
      <c r="C200" s="11"/>
      <c r="D200" s="11"/>
      <c r="E200" s="11"/>
      <c r="F200" s="11"/>
      <c r="G200" s="11"/>
      <c r="H200" s="6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spans="2:33" x14ac:dyDescent="0.25">
      <c r="B201" s="11"/>
      <c r="C201" s="11"/>
      <c r="D201" s="11"/>
      <c r="E201" s="11"/>
      <c r="F201" s="11"/>
      <c r="G201" s="11"/>
      <c r="H201" s="6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spans="2:33" x14ac:dyDescent="0.25">
      <c r="B202" s="11"/>
      <c r="C202" s="11"/>
      <c r="D202" s="11"/>
      <c r="E202" s="11"/>
      <c r="F202" s="11"/>
      <c r="G202" s="11"/>
      <c r="H202" s="6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spans="2:33" x14ac:dyDescent="0.25">
      <c r="B203" s="11"/>
      <c r="C203" s="11"/>
      <c r="D203" s="11"/>
      <c r="E203" s="11"/>
      <c r="F203" s="11"/>
      <c r="G203" s="11"/>
      <c r="H203" s="6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spans="2:33" x14ac:dyDescent="0.25">
      <c r="B204" s="11"/>
      <c r="C204" s="11"/>
      <c r="D204" s="11"/>
      <c r="E204" s="11"/>
      <c r="F204" s="11"/>
      <c r="G204" s="11"/>
      <c r="H204" s="6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spans="2:33" x14ac:dyDescent="0.25">
      <c r="B205" s="11"/>
      <c r="C205" s="11"/>
      <c r="D205" s="11"/>
      <c r="E205" s="11"/>
      <c r="F205" s="11"/>
      <c r="G205" s="11"/>
      <c r="H205" s="6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spans="2:33" x14ac:dyDescent="0.25">
      <c r="B206" s="11"/>
      <c r="C206" s="11"/>
      <c r="D206" s="11"/>
      <c r="E206" s="11"/>
      <c r="F206" s="11"/>
      <c r="G206" s="11"/>
      <c r="H206" s="6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spans="2:33" x14ac:dyDescent="0.25">
      <c r="B207" s="11"/>
      <c r="C207" s="11"/>
      <c r="D207" s="11"/>
      <c r="E207" s="11"/>
      <c r="F207" s="11"/>
      <c r="G207" s="11"/>
      <c r="H207" s="6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spans="2:33" x14ac:dyDescent="0.25">
      <c r="B208" s="11"/>
      <c r="C208" s="11"/>
      <c r="D208" s="11"/>
      <c r="E208" s="11"/>
      <c r="F208" s="11"/>
      <c r="G208" s="11"/>
      <c r="H208" s="6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spans="2:33" x14ac:dyDescent="0.25">
      <c r="B209" s="11"/>
      <c r="C209" s="11"/>
      <c r="D209" s="11"/>
      <c r="E209" s="11"/>
      <c r="F209" s="11"/>
      <c r="G209" s="11"/>
      <c r="H209" s="6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spans="2:33" x14ac:dyDescent="0.25">
      <c r="B210" s="11"/>
      <c r="C210" s="11"/>
      <c r="D210" s="11"/>
      <c r="E210" s="11"/>
      <c r="F210" s="11"/>
      <c r="G210" s="11"/>
      <c r="H210" s="6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spans="2:33" x14ac:dyDescent="0.25">
      <c r="B211" s="11"/>
      <c r="C211" s="11"/>
      <c r="D211" s="11"/>
      <c r="E211" s="11"/>
      <c r="F211" s="11"/>
      <c r="G211" s="11"/>
      <c r="H211" s="6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spans="2:33" x14ac:dyDescent="0.25">
      <c r="B212" s="11"/>
      <c r="C212" s="11"/>
      <c r="D212" s="11"/>
      <c r="E212" s="11"/>
      <c r="F212" s="11"/>
      <c r="G212" s="11"/>
      <c r="H212" s="6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spans="2:33" x14ac:dyDescent="0.25">
      <c r="B213" s="11"/>
      <c r="C213" s="11"/>
      <c r="D213" s="11"/>
      <c r="E213" s="11"/>
      <c r="F213" s="11"/>
      <c r="G213" s="11"/>
      <c r="H213" s="6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spans="2:33" x14ac:dyDescent="0.25">
      <c r="B214" s="11"/>
      <c r="C214" s="11"/>
      <c r="D214" s="11"/>
      <c r="E214" s="11"/>
      <c r="F214" s="11"/>
      <c r="G214" s="11"/>
      <c r="H214" s="6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spans="2:33" x14ac:dyDescent="0.25">
      <c r="B215" s="11"/>
      <c r="C215" s="11"/>
      <c r="D215" s="11"/>
      <c r="E215" s="11"/>
      <c r="F215" s="11"/>
      <c r="G215" s="11"/>
      <c r="H215" s="6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spans="2:33" x14ac:dyDescent="0.25">
      <c r="B216" s="11"/>
      <c r="C216" s="11"/>
      <c r="D216" s="11"/>
      <c r="E216" s="11"/>
      <c r="F216" s="11"/>
      <c r="G216" s="11"/>
      <c r="H216" s="6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spans="2:33" x14ac:dyDescent="0.25">
      <c r="B217" s="11"/>
      <c r="C217" s="11"/>
      <c r="D217" s="11"/>
      <c r="E217" s="11"/>
      <c r="F217" s="11"/>
      <c r="G217" s="11"/>
      <c r="H217" s="6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spans="2:33" x14ac:dyDescent="0.25">
      <c r="B218" s="11"/>
      <c r="C218" s="11"/>
      <c r="D218" s="11"/>
      <c r="E218" s="11"/>
      <c r="F218" s="11"/>
      <c r="G218" s="11"/>
      <c r="H218" s="6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spans="2:33" x14ac:dyDescent="0.25">
      <c r="B219" s="11"/>
      <c r="C219" s="11"/>
      <c r="D219" s="11"/>
      <c r="E219" s="11"/>
      <c r="F219" s="11"/>
      <c r="G219" s="11"/>
      <c r="H219" s="6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spans="2:33" x14ac:dyDescent="0.25">
      <c r="B220" s="11"/>
      <c r="C220" s="11"/>
      <c r="D220" s="11"/>
      <c r="E220" s="11"/>
      <c r="F220" s="11"/>
      <c r="G220" s="11"/>
      <c r="H220" s="6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spans="2:33" x14ac:dyDescent="0.25">
      <c r="B221" s="11"/>
      <c r="C221" s="11"/>
      <c r="D221" s="11"/>
      <c r="E221" s="11"/>
      <c r="F221" s="11"/>
      <c r="G221" s="11"/>
      <c r="H221" s="6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spans="2:33" x14ac:dyDescent="0.25">
      <c r="B222" s="11"/>
      <c r="C222" s="11"/>
      <c r="D222" s="11"/>
      <c r="E222" s="11"/>
      <c r="F222" s="11"/>
      <c r="G222" s="11"/>
      <c r="H222" s="6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spans="2:33" x14ac:dyDescent="0.25">
      <c r="B223" s="11"/>
      <c r="C223" s="11"/>
      <c r="D223" s="11"/>
      <c r="E223" s="11"/>
      <c r="F223" s="11"/>
      <c r="G223" s="11"/>
      <c r="H223" s="6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spans="2:33" x14ac:dyDescent="0.25">
      <c r="B224" s="11"/>
      <c r="C224" s="11"/>
      <c r="D224" s="11"/>
      <c r="E224" s="11"/>
      <c r="F224" s="11"/>
      <c r="G224" s="11"/>
      <c r="H224" s="6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spans="2:33" x14ac:dyDescent="0.25">
      <c r="B225" s="11"/>
      <c r="C225" s="11"/>
      <c r="D225" s="11"/>
      <c r="E225" s="11"/>
      <c r="F225" s="11"/>
      <c r="G225" s="11"/>
      <c r="H225" s="6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spans="2:33" x14ac:dyDescent="0.25">
      <c r="B226" s="11"/>
      <c r="C226" s="11"/>
      <c r="D226" s="11"/>
      <c r="E226" s="11"/>
      <c r="F226" s="11"/>
      <c r="G226" s="11"/>
      <c r="H226" s="6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spans="2:33" x14ac:dyDescent="0.25">
      <c r="B227" s="11"/>
      <c r="C227" s="11"/>
      <c r="D227" s="11"/>
      <c r="E227" s="11"/>
      <c r="F227" s="11"/>
      <c r="G227" s="11"/>
      <c r="H227" s="6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spans="2:33" x14ac:dyDescent="0.25">
      <c r="B228" s="11"/>
      <c r="C228" s="11"/>
      <c r="D228" s="11"/>
      <c r="E228" s="11"/>
      <c r="F228" s="11"/>
      <c r="G228" s="11"/>
      <c r="H228" s="6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spans="2:33" x14ac:dyDescent="0.25">
      <c r="B229" s="11"/>
      <c r="C229" s="11"/>
      <c r="D229" s="11"/>
      <c r="E229" s="11"/>
      <c r="F229" s="11"/>
      <c r="G229" s="11"/>
      <c r="H229" s="6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spans="2:33" x14ac:dyDescent="0.25">
      <c r="B230" s="11"/>
      <c r="C230" s="11"/>
      <c r="D230" s="11"/>
      <c r="E230" s="11"/>
      <c r="F230" s="11"/>
      <c r="G230" s="11"/>
      <c r="H230" s="6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spans="2:33" x14ac:dyDescent="0.25">
      <c r="B231" s="11"/>
      <c r="C231" s="11"/>
      <c r="D231" s="11"/>
      <c r="E231" s="11"/>
      <c r="F231" s="11"/>
      <c r="G231" s="11"/>
      <c r="H231" s="6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spans="2:33" x14ac:dyDescent="0.25">
      <c r="B232" s="11"/>
      <c r="C232" s="11"/>
      <c r="D232" s="11"/>
      <c r="E232" s="11"/>
      <c r="F232" s="11"/>
      <c r="G232" s="11"/>
      <c r="H232" s="6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spans="2:33" x14ac:dyDescent="0.25">
      <c r="B233" s="11"/>
      <c r="C233" s="11"/>
      <c r="D233" s="11"/>
      <c r="E233" s="11"/>
      <c r="F233" s="11"/>
      <c r="G233" s="11"/>
      <c r="H233" s="6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spans="2:33" x14ac:dyDescent="0.25">
      <c r="B234" s="11"/>
      <c r="C234" s="11"/>
      <c r="D234" s="11"/>
      <c r="E234" s="11"/>
      <c r="F234" s="11"/>
      <c r="G234" s="11"/>
      <c r="H234" s="6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spans="2:33" x14ac:dyDescent="0.25">
      <c r="B235" s="11"/>
      <c r="C235" s="11"/>
      <c r="D235" s="11"/>
      <c r="E235" s="11"/>
      <c r="F235" s="11"/>
      <c r="G235" s="11"/>
      <c r="H235" s="6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spans="2:33" x14ac:dyDescent="0.25">
      <c r="B236" s="11"/>
      <c r="C236" s="11"/>
      <c r="D236" s="11"/>
      <c r="E236" s="11"/>
      <c r="F236" s="11"/>
      <c r="G236" s="11"/>
      <c r="H236" s="6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spans="2:33" x14ac:dyDescent="0.25">
      <c r="B237" s="11"/>
      <c r="C237" s="11"/>
      <c r="D237" s="11"/>
      <c r="E237" s="11"/>
      <c r="F237" s="11"/>
      <c r="G237" s="11"/>
      <c r="H237" s="6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spans="2:33" x14ac:dyDescent="0.25">
      <c r="B238" s="11"/>
      <c r="C238" s="11"/>
      <c r="D238" s="11"/>
      <c r="E238" s="11"/>
      <c r="F238" s="11"/>
      <c r="G238" s="11"/>
      <c r="H238" s="6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spans="2:33" x14ac:dyDescent="0.25">
      <c r="B239" s="11"/>
      <c r="C239" s="11"/>
      <c r="D239" s="11"/>
      <c r="E239" s="11"/>
      <c r="F239" s="11"/>
      <c r="G239" s="11"/>
      <c r="H239" s="6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spans="2:33" x14ac:dyDescent="0.25">
      <c r="B240" s="11"/>
      <c r="C240" s="11"/>
      <c r="D240" s="11"/>
      <c r="E240" s="11"/>
      <c r="F240" s="11"/>
      <c r="G240" s="11"/>
      <c r="H240" s="6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spans="2:33" x14ac:dyDescent="0.25">
      <c r="B241" s="11"/>
      <c r="C241" s="11"/>
      <c r="D241" s="11"/>
      <c r="E241" s="11"/>
      <c r="F241" s="11"/>
      <c r="G241" s="11"/>
      <c r="H241" s="6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spans="2:33" x14ac:dyDescent="0.25">
      <c r="B242" s="11"/>
      <c r="C242" s="11"/>
      <c r="D242" s="11"/>
      <c r="E242" s="11"/>
      <c r="F242" s="11"/>
      <c r="G242" s="11"/>
      <c r="H242" s="6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spans="2:33" x14ac:dyDescent="0.25">
      <c r="B243" s="11"/>
      <c r="C243" s="11"/>
      <c r="D243" s="11"/>
      <c r="E243" s="11"/>
      <c r="F243" s="11"/>
      <c r="G243" s="11"/>
      <c r="H243" s="6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spans="2:33" x14ac:dyDescent="0.25">
      <c r="B244" s="11"/>
      <c r="C244" s="11"/>
      <c r="D244" s="11"/>
      <c r="E244" s="11"/>
      <c r="F244" s="11"/>
      <c r="G244" s="11"/>
      <c r="H244" s="6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spans="2:33" x14ac:dyDescent="0.25">
      <c r="B245" s="11"/>
      <c r="C245" s="11"/>
      <c r="D245" s="11"/>
      <c r="E245" s="11"/>
      <c r="F245" s="11"/>
      <c r="G245" s="11"/>
      <c r="H245" s="6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spans="2:33" x14ac:dyDescent="0.25">
      <c r="B246" s="11"/>
      <c r="C246" s="11"/>
      <c r="D246" s="11"/>
      <c r="E246" s="11"/>
      <c r="F246" s="11"/>
      <c r="G246" s="11"/>
      <c r="H246" s="6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spans="2:33" x14ac:dyDescent="0.25">
      <c r="B247" s="11"/>
      <c r="C247" s="11"/>
      <c r="D247" s="11"/>
      <c r="E247" s="11"/>
      <c r="F247" s="11"/>
      <c r="G247" s="11"/>
      <c r="H247" s="6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spans="2:33" x14ac:dyDescent="0.25">
      <c r="B248" s="11"/>
      <c r="C248" s="11"/>
      <c r="D248" s="11"/>
      <c r="E248" s="11"/>
      <c r="F248" s="11"/>
      <c r="G248" s="11"/>
      <c r="H248" s="6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spans="2:33" x14ac:dyDescent="0.25">
      <c r="B249" s="11"/>
      <c r="C249" s="11"/>
      <c r="D249" s="11"/>
      <c r="E249" s="11"/>
      <c r="F249" s="11"/>
      <c r="G249" s="11"/>
      <c r="H249" s="6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spans="2:33" x14ac:dyDescent="0.25">
      <c r="B250" s="11"/>
      <c r="C250" s="11"/>
      <c r="D250" s="11"/>
      <c r="E250" s="11"/>
      <c r="F250" s="11"/>
      <c r="G250" s="11"/>
      <c r="H250" s="6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spans="2:33" x14ac:dyDescent="0.25">
      <c r="B251" s="11"/>
      <c r="C251" s="11"/>
      <c r="D251" s="11"/>
      <c r="E251" s="11"/>
      <c r="F251" s="11"/>
      <c r="G251" s="11"/>
      <c r="H251" s="6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spans="2:33" x14ac:dyDescent="0.25">
      <c r="B252" s="11"/>
      <c r="C252" s="11"/>
      <c r="D252" s="11"/>
      <c r="E252" s="11"/>
      <c r="F252" s="11"/>
      <c r="G252" s="11"/>
      <c r="H252" s="6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spans="2:33" x14ac:dyDescent="0.25">
      <c r="B253" s="11"/>
      <c r="C253" s="11"/>
      <c r="D253" s="11"/>
      <c r="E253" s="11"/>
      <c r="F253" s="11"/>
      <c r="G253" s="11"/>
      <c r="H253" s="6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spans="2:33" x14ac:dyDescent="0.25">
      <c r="B254" s="11"/>
      <c r="C254" s="11"/>
      <c r="D254" s="11"/>
      <c r="E254" s="11"/>
      <c r="F254" s="11"/>
      <c r="G254" s="11"/>
      <c r="H254" s="6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spans="2:33" x14ac:dyDescent="0.25">
      <c r="B255" s="11"/>
      <c r="C255" s="11"/>
      <c r="D255" s="11"/>
      <c r="E255" s="11"/>
      <c r="F255" s="11"/>
      <c r="G255" s="11"/>
      <c r="H255" s="6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spans="2:33" x14ac:dyDescent="0.25">
      <c r="B256" s="11"/>
      <c r="C256" s="11"/>
      <c r="D256" s="11"/>
      <c r="E256" s="11"/>
      <c r="F256" s="11"/>
      <c r="G256" s="11"/>
      <c r="H256" s="6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spans="2:33" x14ac:dyDescent="0.25">
      <c r="B257" s="11"/>
      <c r="C257" s="11"/>
      <c r="D257" s="11"/>
      <c r="E257" s="11"/>
      <c r="F257" s="11"/>
      <c r="G257" s="11"/>
      <c r="H257" s="6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spans="2:33" x14ac:dyDescent="0.25">
      <c r="B258" s="11"/>
      <c r="C258" s="11"/>
      <c r="D258" s="11"/>
      <c r="E258" s="11"/>
      <c r="F258" s="11"/>
      <c r="G258" s="11"/>
      <c r="H258" s="6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spans="2:33" x14ac:dyDescent="0.25">
      <c r="B259" s="11"/>
      <c r="C259" s="11"/>
      <c r="D259" s="11"/>
      <c r="E259" s="11"/>
      <c r="F259" s="11"/>
      <c r="G259" s="11"/>
      <c r="H259" s="6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spans="2:33" x14ac:dyDescent="0.25">
      <c r="B260" s="11"/>
      <c r="C260" s="11"/>
      <c r="D260" s="11"/>
      <c r="E260" s="11"/>
      <c r="F260" s="11"/>
      <c r="G260" s="11"/>
      <c r="H260" s="6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spans="2:33" x14ac:dyDescent="0.25">
      <c r="B261" s="11"/>
      <c r="C261" s="11"/>
      <c r="D261" s="11"/>
      <c r="E261" s="11"/>
      <c r="F261" s="11"/>
      <c r="G261" s="11"/>
      <c r="H261" s="6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spans="2:33" x14ac:dyDescent="0.25">
      <c r="B262" s="11"/>
      <c r="C262" s="11"/>
      <c r="D262" s="11"/>
      <c r="E262" s="11"/>
      <c r="F262" s="11"/>
      <c r="G262" s="11"/>
      <c r="H262" s="6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spans="2:33" x14ac:dyDescent="0.25">
      <c r="B263" s="11"/>
      <c r="C263" s="11"/>
      <c r="D263" s="11"/>
      <c r="E263" s="11"/>
      <c r="F263" s="11"/>
      <c r="G263" s="11"/>
      <c r="H263" s="6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spans="2:33" x14ac:dyDescent="0.25">
      <c r="B264" s="11"/>
      <c r="C264" s="11"/>
      <c r="D264" s="11"/>
      <c r="E264" s="11"/>
      <c r="F264" s="11"/>
      <c r="G264" s="11"/>
      <c r="H264" s="6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spans="2:33" x14ac:dyDescent="0.25">
      <c r="B265" s="11"/>
      <c r="C265" s="11"/>
      <c r="D265" s="11"/>
      <c r="E265" s="11"/>
      <c r="F265" s="11"/>
      <c r="G265" s="11"/>
      <c r="H265" s="6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spans="2:33" x14ac:dyDescent="0.25">
      <c r="B266" s="11"/>
      <c r="C266" s="11"/>
      <c r="D266" s="11"/>
      <c r="E266" s="11"/>
      <c r="F266" s="11"/>
      <c r="G266" s="11"/>
      <c r="H266" s="6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spans="2:33" x14ac:dyDescent="0.25">
      <c r="B267" s="11"/>
      <c r="C267" s="11"/>
      <c r="D267" s="11"/>
      <c r="E267" s="11"/>
      <c r="F267" s="11"/>
      <c r="G267" s="11"/>
      <c r="H267" s="6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spans="2:33" x14ac:dyDescent="0.25">
      <c r="B268" s="11"/>
      <c r="C268" s="11"/>
      <c r="D268" s="11"/>
      <c r="E268" s="11"/>
      <c r="F268" s="11"/>
      <c r="G268" s="11"/>
      <c r="H268" s="6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spans="2:33" x14ac:dyDescent="0.25">
      <c r="B269" s="11"/>
      <c r="C269" s="11"/>
      <c r="D269" s="11"/>
      <c r="E269" s="11"/>
      <c r="F269" s="11"/>
      <c r="G269" s="11"/>
      <c r="H269" s="6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spans="2:33" x14ac:dyDescent="0.25">
      <c r="B270" s="11"/>
      <c r="C270" s="11"/>
      <c r="D270" s="11"/>
      <c r="E270" s="11"/>
      <c r="F270" s="11"/>
      <c r="G270" s="11"/>
      <c r="H270" s="6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spans="2:33" x14ac:dyDescent="0.25">
      <c r="B271" s="11"/>
      <c r="C271" s="11"/>
      <c r="D271" s="11"/>
      <c r="E271" s="11"/>
      <c r="F271" s="11"/>
      <c r="G271" s="11"/>
      <c r="H271" s="6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spans="2:33" x14ac:dyDescent="0.25">
      <c r="B272" s="11"/>
      <c r="C272" s="11"/>
      <c r="D272" s="11"/>
      <c r="E272" s="11"/>
      <c r="F272" s="11"/>
      <c r="G272" s="11"/>
      <c r="H272" s="6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spans="2:33" x14ac:dyDescent="0.25">
      <c r="B273" s="11"/>
      <c r="C273" s="11"/>
      <c r="D273" s="11"/>
      <c r="E273" s="11"/>
      <c r="F273" s="11"/>
      <c r="G273" s="11"/>
      <c r="H273" s="6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spans="2:33" x14ac:dyDescent="0.25">
      <c r="B274" s="11"/>
      <c r="C274" s="11"/>
      <c r="D274" s="11"/>
      <c r="E274" s="11"/>
      <c r="F274" s="11"/>
      <c r="G274" s="11"/>
      <c r="H274" s="6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spans="2:33" x14ac:dyDescent="0.25">
      <c r="B275" s="11"/>
      <c r="C275" s="11"/>
      <c r="D275" s="11"/>
      <c r="E275" s="11"/>
      <c r="F275" s="11"/>
      <c r="G275" s="11"/>
      <c r="H275" s="6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spans="2:33" x14ac:dyDescent="0.25">
      <c r="B276" s="11"/>
      <c r="C276" s="11"/>
      <c r="D276" s="11"/>
      <c r="E276" s="11"/>
      <c r="F276" s="11"/>
      <c r="G276" s="11"/>
      <c r="H276" s="6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spans="2:33" x14ac:dyDescent="0.25">
      <c r="B277" s="11"/>
      <c r="C277" s="11"/>
      <c r="D277" s="11"/>
      <c r="E277" s="11"/>
      <c r="F277" s="11"/>
      <c r="G277" s="11"/>
      <c r="H277" s="6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spans="2:33" x14ac:dyDescent="0.25">
      <c r="B278" s="11"/>
      <c r="C278" s="11"/>
      <c r="D278" s="11"/>
      <c r="E278" s="11"/>
      <c r="F278" s="11"/>
      <c r="G278" s="11"/>
      <c r="H278" s="6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spans="2:33" x14ac:dyDescent="0.25">
      <c r="B279" s="11"/>
      <c r="C279" s="11"/>
      <c r="D279" s="11"/>
      <c r="E279" s="11"/>
      <c r="F279" s="11"/>
      <c r="G279" s="11"/>
      <c r="H279" s="6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spans="2:33" x14ac:dyDescent="0.25">
      <c r="B280" s="11"/>
      <c r="C280" s="11"/>
      <c r="D280" s="11"/>
      <c r="E280" s="11"/>
      <c r="F280" s="11"/>
      <c r="G280" s="11"/>
      <c r="H280" s="6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spans="2:33" x14ac:dyDescent="0.25">
      <c r="B281" s="11"/>
      <c r="C281" s="11"/>
      <c r="D281" s="11"/>
      <c r="E281" s="11"/>
      <c r="F281" s="11"/>
      <c r="G281" s="11"/>
      <c r="H281" s="6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spans="2:33" x14ac:dyDescent="0.25">
      <c r="B282" s="11"/>
      <c r="C282" s="11"/>
      <c r="D282" s="11"/>
      <c r="E282" s="11"/>
      <c r="F282" s="11"/>
      <c r="G282" s="11"/>
      <c r="H282" s="6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spans="2:33" x14ac:dyDescent="0.25">
      <c r="B283" s="11"/>
      <c r="C283" s="11"/>
      <c r="D283" s="11"/>
      <c r="E283" s="11"/>
      <c r="F283" s="11"/>
      <c r="G283" s="11"/>
      <c r="H283" s="6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spans="2:33" x14ac:dyDescent="0.25">
      <c r="B284" s="11"/>
      <c r="C284" s="11"/>
      <c r="D284" s="11"/>
      <c r="E284" s="11"/>
      <c r="F284" s="11"/>
      <c r="G284" s="11"/>
      <c r="H284" s="6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spans="2:33" x14ac:dyDescent="0.25">
      <c r="B285" s="11"/>
      <c r="C285" s="11"/>
      <c r="D285" s="11"/>
      <c r="E285" s="11"/>
      <c r="F285" s="11"/>
      <c r="G285" s="11"/>
      <c r="H285" s="6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spans="2:33" x14ac:dyDescent="0.25">
      <c r="B286" s="11"/>
      <c r="C286" s="11"/>
      <c r="D286" s="11"/>
      <c r="E286" s="11"/>
      <c r="F286" s="11"/>
      <c r="G286" s="11"/>
      <c r="H286" s="6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spans="2:33" x14ac:dyDescent="0.25">
      <c r="B287" s="11"/>
      <c r="C287" s="11"/>
      <c r="D287" s="11"/>
      <c r="E287" s="11"/>
      <c r="F287" s="11"/>
      <c r="G287" s="11"/>
      <c r="H287" s="6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spans="2:33" x14ac:dyDescent="0.25">
      <c r="B288" s="11"/>
      <c r="C288" s="11"/>
      <c r="D288" s="11"/>
      <c r="E288" s="11"/>
      <c r="F288" s="11"/>
      <c r="G288" s="11"/>
      <c r="H288" s="6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spans="2:33" x14ac:dyDescent="0.25">
      <c r="B289" s="11"/>
      <c r="C289" s="11"/>
      <c r="D289" s="11"/>
      <c r="E289" s="11"/>
      <c r="F289" s="11"/>
      <c r="G289" s="11"/>
      <c r="H289" s="6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spans="2:33" x14ac:dyDescent="0.25">
      <c r="B290" s="11"/>
      <c r="C290" s="11"/>
      <c r="D290" s="11"/>
      <c r="E290" s="11"/>
      <c r="F290" s="11"/>
      <c r="G290" s="11"/>
      <c r="H290" s="6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spans="2:33" x14ac:dyDescent="0.25">
      <c r="B291" s="11"/>
      <c r="C291" s="11"/>
      <c r="D291" s="11"/>
      <c r="E291" s="11"/>
      <c r="F291" s="11"/>
      <c r="G291" s="11"/>
      <c r="H291" s="6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spans="2:33" x14ac:dyDescent="0.25">
      <c r="B292" s="11"/>
      <c r="C292" s="11"/>
      <c r="D292" s="11"/>
      <c r="E292" s="11"/>
      <c r="F292" s="11"/>
      <c r="G292" s="11"/>
      <c r="H292" s="6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spans="2:33" x14ac:dyDescent="0.25">
      <c r="B293" s="11"/>
      <c r="C293" s="11"/>
      <c r="D293" s="11"/>
      <c r="E293" s="11"/>
      <c r="F293" s="11"/>
      <c r="G293" s="11"/>
      <c r="H293" s="6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spans="2:33" x14ac:dyDescent="0.25">
      <c r="B294" s="11"/>
      <c r="C294" s="11"/>
      <c r="D294" s="11"/>
      <c r="E294" s="11"/>
      <c r="F294" s="11"/>
      <c r="G294" s="11"/>
      <c r="H294" s="6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spans="2:33" x14ac:dyDescent="0.25">
      <c r="B295" s="11"/>
      <c r="C295" s="11"/>
      <c r="D295" s="11"/>
      <c r="E295" s="11"/>
      <c r="F295" s="11"/>
      <c r="G295" s="11"/>
      <c r="H295" s="6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spans="2:33" x14ac:dyDescent="0.25">
      <c r="B296" s="11"/>
      <c r="C296" s="11"/>
      <c r="D296" s="11"/>
      <c r="E296" s="11"/>
      <c r="F296" s="11"/>
      <c r="G296" s="11"/>
      <c r="H296" s="6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spans="2:33" x14ac:dyDescent="0.25">
      <c r="B297" s="11"/>
      <c r="C297" s="11"/>
      <c r="D297" s="11"/>
      <c r="E297" s="11"/>
      <c r="F297" s="11"/>
      <c r="G297" s="11"/>
      <c r="H297" s="6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spans="2:33" x14ac:dyDescent="0.25">
      <c r="B298" s="11"/>
      <c r="C298" s="11"/>
      <c r="D298" s="11"/>
      <c r="E298" s="11"/>
      <c r="F298" s="11"/>
      <c r="G298" s="11"/>
      <c r="H298" s="6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spans="2:33" x14ac:dyDescent="0.25">
      <c r="B299" s="11"/>
      <c r="C299" s="11"/>
      <c r="D299" s="11"/>
      <c r="E299" s="11"/>
      <c r="F299" s="11"/>
      <c r="G299" s="11"/>
      <c r="H299" s="6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spans="2:33" x14ac:dyDescent="0.25">
      <c r="B300" s="11"/>
      <c r="C300" s="11"/>
      <c r="D300" s="11"/>
      <c r="E300" s="11"/>
      <c r="F300" s="11"/>
      <c r="G300" s="11"/>
      <c r="H300" s="6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spans="2:33" x14ac:dyDescent="0.25">
      <c r="B301" s="11"/>
      <c r="C301" s="11"/>
      <c r="D301" s="11"/>
      <c r="E301" s="11"/>
      <c r="F301" s="11"/>
      <c r="G301" s="11"/>
      <c r="H301" s="6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spans="2:33" x14ac:dyDescent="0.25">
      <c r="B302" s="11"/>
      <c r="C302" s="11"/>
      <c r="D302" s="11"/>
      <c r="E302" s="11"/>
      <c r="F302" s="11"/>
      <c r="G302" s="11"/>
      <c r="H302" s="6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spans="2:33" x14ac:dyDescent="0.25">
      <c r="B303" s="11"/>
      <c r="C303" s="11"/>
      <c r="D303" s="11"/>
      <c r="E303" s="11"/>
      <c r="F303" s="11"/>
      <c r="G303" s="11"/>
      <c r="H303" s="6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spans="2:33" x14ac:dyDescent="0.25">
      <c r="B304" s="11"/>
      <c r="C304" s="11"/>
      <c r="D304" s="11"/>
      <c r="E304" s="11"/>
      <c r="F304" s="11"/>
      <c r="G304" s="11"/>
      <c r="H304" s="6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spans="2:33" x14ac:dyDescent="0.25">
      <c r="B305" s="11"/>
      <c r="C305" s="11"/>
      <c r="D305" s="11"/>
      <c r="E305" s="11"/>
      <c r="F305" s="11"/>
      <c r="G305" s="11"/>
      <c r="H305" s="6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spans="2:33" x14ac:dyDescent="0.25">
      <c r="B306" s="11"/>
      <c r="C306" s="11"/>
      <c r="D306" s="11"/>
      <c r="E306" s="11"/>
      <c r="F306" s="11"/>
      <c r="G306" s="11"/>
      <c r="H306" s="6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spans="2:33" x14ac:dyDescent="0.25">
      <c r="B307" s="11"/>
      <c r="C307" s="11"/>
      <c r="D307" s="11"/>
      <c r="E307" s="11"/>
      <c r="F307" s="11"/>
      <c r="G307" s="11"/>
      <c r="H307" s="6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spans="2:33" x14ac:dyDescent="0.25">
      <c r="B308" s="11"/>
      <c r="C308" s="11"/>
      <c r="D308" s="11"/>
      <c r="E308" s="11"/>
      <c r="F308" s="11"/>
      <c r="G308" s="11"/>
      <c r="H308" s="6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spans="2:33" x14ac:dyDescent="0.25">
      <c r="B309" s="11"/>
      <c r="C309" s="11"/>
      <c r="D309" s="11"/>
      <c r="E309" s="11"/>
      <c r="F309" s="11"/>
      <c r="G309" s="11"/>
      <c r="H309" s="6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spans="2:33" x14ac:dyDescent="0.25">
      <c r="B310" s="11"/>
      <c r="C310" s="11"/>
      <c r="D310" s="11"/>
      <c r="E310" s="11"/>
      <c r="F310" s="11"/>
      <c r="G310" s="11"/>
      <c r="H310" s="6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spans="2:33" x14ac:dyDescent="0.25">
      <c r="B311" s="11"/>
      <c r="C311" s="11"/>
      <c r="D311" s="11"/>
      <c r="E311" s="11"/>
      <c r="F311" s="11"/>
      <c r="G311" s="11"/>
      <c r="H311" s="6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spans="2:33" x14ac:dyDescent="0.25">
      <c r="B312" s="11"/>
      <c r="C312" s="11"/>
      <c r="D312" s="11"/>
      <c r="E312" s="11"/>
      <c r="F312" s="11"/>
      <c r="G312" s="11"/>
      <c r="H312" s="6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spans="2:33" x14ac:dyDescent="0.25">
      <c r="B313" s="11"/>
      <c r="C313" s="11"/>
      <c r="D313" s="11"/>
      <c r="E313" s="11"/>
      <c r="F313" s="11"/>
      <c r="G313" s="11"/>
      <c r="H313" s="6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spans="2:33" x14ac:dyDescent="0.25">
      <c r="B314" s="11"/>
      <c r="C314" s="11"/>
      <c r="D314" s="11"/>
      <c r="E314" s="11"/>
      <c r="F314" s="11"/>
      <c r="G314" s="11"/>
      <c r="H314" s="6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spans="2:33" x14ac:dyDescent="0.25">
      <c r="B315" s="11"/>
      <c r="C315" s="11"/>
      <c r="D315" s="11"/>
      <c r="E315" s="11"/>
      <c r="F315" s="11"/>
      <c r="G315" s="11"/>
      <c r="H315" s="6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spans="2:33" x14ac:dyDescent="0.25">
      <c r="B316" s="11"/>
      <c r="C316" s="11"/>
      <c r="D316" s="11"/>
      <c r="E316" s="11"/>
      <c r="F316" s="11"/>
      <c r="G316" s="11"/>
      <c r="H316" s="6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spans="2:33" x14ac:dyDescent="0.25">
      <c r="B317" s="11"/>
      <c r="C317" s="11"/>
      <c r="D317" s="11"/>
      <c r="E317" s="11"/>
      <c r="F317" s="11"/>
      <c r="G317" s="11"/>
      <c r="H317" s="6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spans="2:33" x14ac:dyDescent="0.25">
      <c r="B318" s="11"/>
      <c r="C318" s="11"/>
      <c r="D318" s="11"/>
      <c r="E318" s="11"/>
      <c r="F318" s="11"/>
      <c r="G318" s="11"/>
      <c r="H318" s="6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spans="2:33" x14ac:dyDescent="0.25">
      <c r="B319" s="11"/>
      <c r="C319" s="11"/>
      <c r="D319" s="11"/>
      <c r="E319" s="11"/>
      <c r="F319" s="11"/>
      <c r="G319" s="11"/>
      <c r="H319" s="6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spans="2:33" x14ac:dyDescent="0.25">
      <c r="B320" s="11"/>
      <c r="C320" s="11"/>
      <c r="D320" s="11"/>
      <c r="E320" s="11"/>
      <c r="F320" s="11"/>
      <c r="G320" s="11"/>
      <c r="H320" s="6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spans="2:33" x14ac:dyDescent="0.25">
      <c r="B321" s="11"/>
      <c r="C321" s="11"/>
      <c r="D321" s="11"/>
      <c r="E321" s="11"/>
      <c r="F321" s="11"/>
      <c r="G321" s="11"/>
      <c r="H321" s="6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spans="2:33" x14ac:dyDescent="0.25">
      <c r="B322" s="11"/>
      <c r="C322" s="11"/>
      <c r="D322" s="11"/>
      <c r="E322" s="11"/>
      <c r="F322" s="11"/>
      <c r="G322" s="11"/>
      <c r="H322" s="6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spans="2:33" x14ac:dyDescent="0.25">
      <c r="B323" s="11"/>
      <c r="C323" s="11"/>
      <c r="D323" s="11"/>
      <c r="E323" s="11"/>
      <c r="F323" s="11"/>
      <c r="G323" s="11"/>
      <c r="H323" s="6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spans="2:33" x14ac:dyDescent="0.25">
      <c r="B324" s="11"/>
      <c r="C324" s="11"/>
      <c r="D324" s="11"/>
      <c r="E324" s="11"/>
      <c r="F324" s="11"/>
      <c r="G324" s="11"/>
      <c r="H324" s="6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spans="2:33" x14ac:dyDescent="0.25">
      <c r="B325" s="11"/>
      <c r="C325" s="11"/>
      <c r="D325" s="11"/>
      <c r="E325" s="11"/>
      <c r="F325" s="11"/>
      <c r="G325" s="11"/>
      <c r="H325" s="6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spans="2:33" x14ac:dyDescent="0.25">
      <c r="B326" s="11"/>
      <c r="C326" s="11"/>
      <c r="D326" s="11"/>
      <c r="E326" s="11"/>
      <c r="F326" s="11"/>
      <c r="G326" s="11"/>
      <c r="H326" s="6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spans="2:33" x14ac:dyDescent="0.25">
      <c r="B327" s="11"/>
      <c r="C327" s="11"/>
      <c r="D327" s="11"/>
      <c r="E327" s="11"/>
      <c r="F327" s="11"/>
      <c r="G327" s="11"/>
      <c r="H327" s="6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spans="2:33" x14ac:dyDescent="0.25">
      <c r="B328" s="11"/>
      <c r="C328" s="11"/>
      <c r="D328" s="11"/>
      <c r="E328" s="11"/>
      <c r="F328" s="11"/>
      <c r="G328" s="11"/>
      <c r="H328" s="6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spans="2:33" x14ac:dyDescent="0.25">
      <c r="B329" s="11"/>
      <c r="C329" s="11"/>
      <c r="D329" s="11"/>
      <c r="E329" s="11"/>
      <c r="F329" s="11"/>
      <c r="G329" s="11"/>
      <c r="H329" s="6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spans="2:33" x14ac:dyDescent="0.25">
      <c r="B330" s="11"/>
      <c r="C330" s="11"/>
      <c r="D330" s="11"/>
      <c r="E330" s="11"/>
      <c r="F330" s="11"/>
      <c r="G330" s="11"/>
      <c r="H330" s="6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spans="2:33" x14ac:dyDescent="0.25">
      <c r="B331" s="11"/>
      <c r="C331" s="11"/>
      <c r="D331" s="11"/>
      <c r="E331" s="11"/>
      <c r="F331" s="11"/>
      <c r="G331" s="11"/>
      <c r="H331" s="6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spans="2:33" x14ac:dyDescent="0.25">
      <c r="B332" s="11"/>
      <c r="C332" s="11"/>
      <c r="D332" s="11"/>
      <c r="E332" s="11"/>
      <c r="F332" s="11"/>
      <c r="G332" s="11"/>
      <c r="H332" s="6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spans="2:33" x14ac:dyDescent="0.25">
      <c r="B333" s="11"/>
      <c r="C333" s="11"/>
      <c r="D333" s="11"/>
      <c r="E333" s="11"/>
      <c r="F333" s="11"/>
      <c r="G333" s="11"/>
      <c r="H333" s="6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spans="2:33" x14ac:dyDescent="0.25">
      <c r="B334" s="11"/>
      <c r="C334" s="11"/>
      <c r="D334" s="11"/>
      <c r="E334" s="11"/>
      <c r="F334" s="11"/>
      <c r="G334" s="11"/>
      <c r="H334" s="6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spans="2:33" x14ac:dyDescent="0.25">
      <c r="B335" s="11"/>
      <c r="C335" s="11"/>
      <c r="D335" s="11"/>
      <c r="E335" s="11"/>
      <c r="F335" s="11"/>
      <c r="G335" s="11"/>
      <c r="H335" s="6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spans="2:33" x14ac:dyDescent="0.25">
      <c r="B336" s="11"/>
      <c r="C336" s="11"/>
      <c r="D336" s="11"/>
      <c r="E336" s="11"/>
      <c r="F336" s="11"/>
      <c r="G336" s="11"/>
      <c r="H336" s="6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spans="2:33" x14ac:dyDescent="0.25">
      <c r="B337" s="11"/>
      <c r="C337" s="11"/>
      <c r="D337" s="11"/>
      <c r="E337" s="11"/>
      <c r="F337" s="11"/>
      <c r="G337" s="11"/>
      <c r="H337" s="6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spans="2:33" x14ac:dyDescent="0.25">
      <c r="B338" s="11"/>
      <c r="C338" s="11"/>
      <c r="D338" s="11"/>
      <c r="E338" s="11"/>
      <c r="F338" s="11"/>
      <c r="G338" s="11"/>
      <c r="H338" s="6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spans="2:33" x14ac:dyDescent="0.25">
      <c r="B339" s="11"/>
      <c r="C339" s="11"/>
      <c r="D339" s="11"/>
      <c r="E339" s="11"/>
      <c r="F339" s="11"/>
      <c r="G339" s="11"/>
      <c r="H339" s="6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spans="2:33" x14ac:dyDescent="0.25">
      <c r="B340" s="11"/>
      <c r="C340" s="11"/>
      <c r="D340" s="11"/>
      <c r="E340" s="11"/>
      <c r="F340" s="11"/>
      <c r="G340" s="11"/>
      <c r="H340" s="6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spans="2:33" x14ac:dyDescent="0.25">
      <c r="B341" s="11"/>
      <c r="C341" s="11"/>
      <c r="D341" s="11"/>
      <c r="E341" s="11"/>
      <c r="F341" s="11"/>
      <c r="G341" s="11"/>
      <c r="H341" s="6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spans="2:33" x14ac:dyDescent="0.25">
      <c r="B342" s="11"/>
      <c r="C342" s="11"/>
      <c r="D342" s="11"/>
      <c r="E342" s="11"/>
      <c r="F342" s="11"/>
      <c r="G342" s="11"/>
      <c r="H342" s="6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spans="2:33" x14ac:dyDescent="0.25">
      <c r="B343" s="11"/>
      <c r="C343" s="11"/>
      <c r="D343" s="11"/>
      <c r="E343" s="11"/>
      <c r="F343" s="11"/>
      <c r="G343" s="11"/>
      <c r="H343" s="6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spans="2:33" x14ac:dyDescent="0.25">
      <c r="B344" s="11"/>
      <c r="C344" s="11"/>
      <c r="D344" s="11"/>
      <c r="E344" s="11"/>
      <c r="F344" s="11"/>
      <c r="G344" s="11"/>
      <c r="H344" s="6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spans="2:33" x14ac:dyDescent="0.25">
      <c r="B345" s="11"/>
      <c r="C345" s="11"/>
      <c r="D345" s="11"/>
      <c r="E345" s="11"/>
      <c r="F345" s="11"/>
      <c r="G345" s="11"/>
      <c r="H345" s="6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spans="2:33" x14ac:dyDescent="0.25">
      <c r="B346" s="11"/>
      <c r="C346" s="11"/>
      <c r="D346" s="11"/>
      <c r="E346" s="11"/>
      <c r="F346" s="11"/>
      <c r="G346" s="11"/>
      <c r="H346" s="6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spans="2:33" x14ac:dyDescent="0.25">
      <c r="B347" s="11"/>
      <c r="C347" s="11"/>
      <c r="D347" s="11"/>
      <c r="E347" s="11"/>
      <c r="F347" s="11"/>
      <c r="G347" s="11"/>
      <c r="H347" s="6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spans="2:33" x14ac:dyDescent="0.25">
      <c r="B348" s="11"/>
      <c r="C348" s="11"/>
      <c r="D348" s="11"/>
      <c r="E348" s="11"/>
      <c r="F348" s="11"/>
      <c r="G348" s="11"/>
      <c r="H348" s="6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spans="2:33" x14ac:dyDescent="0.25">
      <c r="B349" s="11"/>
      <c r="C349" s="11"/>
      <c r="D349" s="11"/>
      <c r="E349" s="11"/>
      <c r="F349" s="11"/>
      <c r="G349" s="11"/>
      <c r="H349" s="6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spans="2:33" x14ac:dyDescent="0.25">
      <c r="B350" s="11"/>
      <c r="C350" s="11"/>
      <c r="D350" s="11"/>
      <c r="E350" s="11"/>
      <c r="F350" s="11"/>
      <c r="G350" s="11"/>
      <c r="H350" s="6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spans="2:33" x14ac:dyDescent="0.25">
      <c r="B351" s="11"/>
      <c r="C351" s="11"/>
      <c r="D351" s="11"/>
      <c r="E351" s="11"/>
      <c r="F351" s="11"/>
      <c r="G351" s="11"/>
      <c r="H351" s="6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spans="2:33" x14ac:dyDescent="0.25">
      <c r="B352" s="11"/>
      <c r="C352" s="11"/>
      <c r="D352" s="11"/>
      <c r="E352" s="11"/>
      <c r="F352" s="11"/>
      <c r="G352" s="11"/>
      <c r="H352" s="6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spans="2:33" x14ac:dyDescent="0.25">
      <c r="B353" s="11"/>
      <c r="C353" s="11"/>
      <c r="D353" s="11"/>
      <c r="E353" s="11"/>
      <c r="F353" s="11"/>
      <c r="G353" s="11"/>
      <c r="H353" s="6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spans="2:33" x14ac:dyDescent="0.25">
      <c r="B354" s="11"/>
      <c r="C354" s="11"/>
      <c r="D354" s="11"/>
      <c r="E354" s="11"/>
      <c r="F354" s="11"/>
      <c r="G354" s="11"/>
      <c r="H354" s="6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spans="2:33" x14ac:dyDescent="0.25">
      <c r="B355" s="11"/>
      <c r="C355" s="11"/>
      <c r="D355" s="11"/>
      <c r="E355" s="11"/>
      <c r="F355" s="11"/>
      <c r="G355" s="11"/>
      <c r="H355" s="6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spans="2:33" x14ac:dyDescent="0.25">
      <c r="B356" s="11"/>
      <c r="C356" s="11"/>
      <c r="D356" s="11"/>
      <c r="E356" s="11"/>
      <c r="F356" s="11"/>
      <c r="G356" s="11"/>
      <c r="H356" s="6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spans="2:33" x14ac:dyDescent="0.25">
      <c r="B357" s="11"/>
      <c r="C357" s="11"/>
      <c r="D357" s="11"/>
      <c r="E357" s="11"/>
      <c r="F357" s="11"/>
      <c r="G357" s="11"/>
      <c r="H357" s="6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spans="2:33" x14ac:dyDescent="0.25">
      <c r="B358" s="11"/>
      <c r="C358" s="11"/>
      <c r="D358" s="11"/>
      <c r="E358" s="11"/>
      <c r="F358" s="11"/>
      <c r="G358" s="11"/>
      <c r="H358" s="6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spans="2:33" x14ac:dyDescent="0.25">
      <c r="B359" s="11"/>
      <c r="C359" s="11"/>
      <c r="D359" s="11"/>
      <c r="E359" s="11"/>
      <c r="F359" s="11"/>
      <c r="G359" s="11"/>
      <c r="H359" s="6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spans="2:33" x14ac:dyDescent="0.25">
      <c r="B360" s="11"/>
      <c r="C360" s="11"/>
      <c r="D360" s="11"/>
      <c r="E360" s="11"/>
      <c r="F360" s="11"/>
      <c r="G360" s="11"/>
      <c r="H360" s="6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spans="2:33" x14ac:dyDescent="0.25">
      <c r="B361" s="11"/>
      <c r="C361" s="11"/>
      <c r="D361" s="11"/>
      <c r="E361" s="11"/>
      <c r="F361" s="11"/>
      <c r="G361" s="11"/>
      <c r="H361" s="6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spans="2:33" x14ac:dyDescent="0.25">
      <c r="B362" s="11"/>
      <c r="C362" s="11"/>
      <c r="D362" s="11"/>
      <c r="E362" s="11"/>
      <c r="F362" s="11"/>
      <c r="G362" s="11"/>
      <c r="H362" s="6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spans="2:33" x14ac:dyDescent="0.25">
      <c r="B363" s="11"/>
      <c r="C363" s="11"/>
      <c r="D363" s="11"/>
      <c r="E363" s="11"/>
      <c r="F363" s="11"/>
      <c r="G363" s="11"/>
      <c r="H363" s="6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spans="2:33" x14ac:dyDescent="0.25">
      <c r="B364" s="11"/>
      <c r="C364" s="11"/>
      <c r="D364" s="11"/>
      <c r="E364" s="11"/>
      <c r="F364" s="11"/>
      <c r="G364" s="11"/>
      <c r="H364" s="6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spans="2:33" x14ac:dyDescent="0.25">
      <c r="B365" s="11"/>
      <c r="C365" s="11"/>
      <c r="D365" s="11"/>
      <c r="E365" s="11"/>
      <c r="F365" s="11"/>
      <c r="G365" s="11"/>
      <c r="H365" s="6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spans="2:33" x14ac:dyDescent="0.25">
      <c r="B366" s="11"/>
      <c r="C366" s="11"/>
      <c r="D366" s="11"/>
      <c r="E366" s="11"/>
      <c r="F366" s="11"/>
      <c r="G366" s="11"/>
      <c r="H366" s="6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spans="2:33" x14ac:dyDescent="0.25">
      <c r="B367" s="11"/>
      <c r="C367" s="11"/>
      <c r="D367" s="11"/>
      <c r="E367" s="11"/>
      <c r="F367" s="11"/>
      <c r="G367" s="11"/>
      <c r="H367" s="6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spans="2:33" x14ac:dyDescent="0.25">
      <c r="B368" s="11"/>
      <c r="C368" s="11"/>
      <c r="D368" s="11"/>
      <c r="E368" s="11"/>
      <c r="F368" s="11"/>
      <c r="G368" s="11"/>
      <c r="H368" s="6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spans="2:33" x14ac:dyDescent="0.25">
      <c r="B369" s="11"/>
      <c r="C369" s="11"/>
      <c r="D369" s="11"/>
      <c r="E369" s="11"/>
      <c r="F369" s="11"/>
      <c r="G369" s="11"/>
      <c r="H369" s="6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spans="2:33" x14ac:dyDescent="0.25">
      <c r="B370" s="11"/>
      <c r="C370" s="11"/>
      <c r="D370" s="11"/>
      <c r="E370" s="11"/>
      <c r="F370" s="11"/>
      <c r="G370" s="11"/>
      <c r="H370" s="6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spans="2:33" x14ac:dyDescent="0.25">
      <c r="B371" s="11"/>
      <c r="C371" s="11"/>
      <c r="D371" s="11"/>
      <c r="E371" s="11"/>
      <c r="F371" s="11"/>
      <c r="G371" s="11"/>
      <c r="H371" s="6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spans="2:33" x14ac:dyDescent="0.25">
      <c r="B372" s="11"/>
      <c r="C372" s="11"/>
      <c r="D372" s="11"/>
      <c r="E372" s="11"/>
      <c r="F372" s="11"/>
      <c r="G372" s="11"/>
      <c r="H372" s="6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spans="2:33" x14ac:dyDescent="0.25">
      <c r="B373" s="11"/>
      <c r="C373" s="11"/>
      <c r="D373" s="11"/>
      <c r="E373" s="11"/>
      <c r="F373" s="11"/>
      <c r="G373" s="11"/>
      <c r="H373" s="6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spans="2:33" x14ac:dyDescent="0.25">
      <c r="B374" s="11"/>
      <c r="C374" s="11"/>
      <c r="D374" s="11"/>
      <c r="E374" s="11"/>
      <c r="F374" s="11"/>
      <c r="G374" s="11"/>
      <c r="H374" s="6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spans="2:33" x14ac:dyDescent="0.25">
      <c r="B375" s="11"/>
      <c r="C375" s="11"/>
      <c r="D375" s="11"/>
      <c r="E375" s="11"/>
      <c r="F375" s="11"/>
      <c r="G375" s="11"/>
      <c r="H375" s="6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spans="2:33" x14ac:dyDescent="0.25">
      <c r="B376" s="11"/>
      <c r="C376" s="11"/>
      <c r="D376" s="11"/>
      <c r="E376" s="11"/>
      <c r="F376" s="11"/>
      <c r="G376" s="11"/>
      <c r="H376" s="6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spans="2:33" x14ac:dyDescent="0.25">
      <c r="B377" s="11"/>
      <c r="C377" s="11"/>
      <c r="D377" s="11"/>
      <c r="E377" s="11"/>
      <c r="F377" s="11"/>
      <c r="G377" s="11"/>
      <c r="H377" s="6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spans="2:33" x14ac:dyDescent="0.25">
      <c r="B378" s="11"/>
      <c r="C378" s="11"/>
      <c r="D378" s="11"/>
      <c r="E378" s="11"/>
      <c r="F378" s="11"/>
      <c r="G378" s="11"/>
      <c r="H378" s="6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spans="2:33" x14ac:dyDescent="0.25">
      <c r="B379" s="11"/>
      <c r="C379" s="11"/>
      <c r="D379" s="11"/>
      <c r="E379" s="11"/>
      <c r="F379" s="11"/>
      <c r="G379" s="11"/>
      <c r="H379" s="6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spans="2:33" x14ac:dyDescent="0.25">
      <c r="B380" s="11"/>
      <c r="C380" s="11"/>
      <c r="D380" s="11"/>
      <c r="E380" s="11"/>
      <c r="F380" s="11"/>
      <c r="G380" s="11"/>
      <c r="H380" s="6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spans="2:33" x14ac:dyDescent="0.25">
      <c r="B381" s="11"/>
      <c r="C381" s="11"/>
      <c r="D381" s="11"/>
      <c r="E381" s="11"/>
      <c r="F381" s="11"/>
      <c r="G381" s="11"/>
      <c r="H381" s="6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spans="2:33" x14ac:dyDescent="0.25">
      <c r="B382" s="11"/>
      <c r="C382" s="11"/>
      <c r="D382" s="11"/>
      <c r="E382" s="11"/>
      <c r="F382" s="11"/>
      <c r="G382" s="11"/>
      <c r="H382" s="6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spans="2:33" x14ac:dyDescent="0.25">
      <c r="B383" s="11"/>
      <c r="C383" s="11"/>
      <c r="D383" s="11"/>
      <c r="E383" s="11"/>
      <c r="F383" s="11"/>
      <c r="G383" s="11"/>
      <c r="H383" s="6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spans="2:33" x14ac:dyDescent="0.25">
      <c r="B384" s="11"/>
      <c r="C384" s="11"/>
      <c r="D384" s="11"/>
      <c r="E384" s="11"/>
      <c r="F384" s="11"/>
      <c r="G384" s="11"/>
      <c r="H384" s="6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spans="2:33" x14ac:dyDescent="0.25">
      <c r="B385" s="11"/>
      <c r="C385" s="11"/>
      <c r="D385" s="11"/>
      <c r="E385" s="11"/>
      <c r="F385" s="11"/>
      <c r="G385" s="11"/>
      <c r="H385" s="6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spans="2:33" x14ac:dyDescent="0.25">
      <c r="B386" s="11"/>
      <c r="C386" s="11"/>
      <c r="D386" s="11"/>
      <c r="E386" s="11"/>
      <c r="F386" s="11"/>
      <c r="G386" s="11"/>
      <c r="H386" s="6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spans="2:33" x14ac:dyDescent="0.25">
      <c r="B387" s="11"/>
      <c r="C387" s="11"/>
      <c r="D387" s="11"/>
      <c r="E387" s="11"/>
      <c r="F387" s="11"/>
      <c r="G387" s="11"/>
      <c r="H387" s="6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spans="2:33" x14ac:dyDescent="0.25">
      <c r="B388" s="11"/>
      <c r="C388" s="11"/>
      <c r="D388" s="11"/>
      <c r="E388" s="11"/>
      <c r="F388" s="11"/>
      <c r="G388" s="11"/>
      <c r="H388" s="6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spans="2:33" x14ac:dyDescent="0.25">
      <c r="B389" s="11"/>
      <c r="C389" s="11"/>
      <c r="D389" s="11"/>
      <c r="E389" s="11"/>
      <c r="F389" s="11"/>
      <c r="G389" s="11"/>
      <c r="H389" s="6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spans="2:33" x14ac:dyDescent="0.25">
      <c r="B390" s="11"/>
      <c r="C390" s="11"/>
      <c r="D390" s="11"/>
      <c r="E390" s="11"/>
      <c r="F390" s="11"/>
      <c r="G390" s="11"/>
      <c r="H390" s="6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spans="2:33" x14ac:dyDescent="0.25">
      <c r="B391" s="11"/>
      <c r="C391" s="11"/>
      <c r="D391" s="11"/>
      <c r="E391" s="11"/>
      <c r="F391" s="11"/>
      <c r="G391" s="11"/>
      <c r="H391" s="6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spans="2:33" x14ac:dyDescent="0.25">
      <c r="B392" s="11"/>
      <c r="C392" s="11"/>
      <c r="D392" s="11"/>
      <c r="E392" s="11"/>
      <c r="F392" s="11"/>
      <c r="G392" s="11"/>
      <c r="H392" s="6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spans="2:33" x14ac:dyDescent="0.25">
      <c r="B393" s="11"/>
      <c r="C393" s="11"/>
      <c r="D393" s="11"/>
      <c r="E393" s="11"/>
      <c r="F393" s="11"/>
      <c r="G393" s="11"/>
      <c r="H393" s="6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spans="2:33" x14ac:dyDescent="0.25">
      <c r="B394" s="11"/>
      <c r="C394" s="11"/>
      <c r="D394" s="11"/>
      <c r="E394" s="11"/>
      <c r="F394" s="11"/>
      <c r="G394" s="11"/>
      <c r="H394" s="6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spans="2:33" x14ac:dyDescent="0.25">
      <c r="B395" s="11"/>
      <c r="C395" s="11"/>
      <c r="D395" s="11"/>
      <c r="E395" s="11"/>
      <c r="F395" s="11"/>
      <c r="G395" s="11"/>
      <c r="H395" s="6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spans="2:33" x14ac:dyDescent="0.25">
      <c r="B396" s="11"/>
      <c r="C396" s="11"/>
      <c r="D396" s="11"/>
      <c r="E396" s="11"/>
      <c r="F396" s="11"/>
      <c r="G396" s="11"/>
      <c r="H396" s="6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spans="2:33" x14ac:dyDescent="0.25">
      <c r="B397" s="11"/>
      <c r="C397" s="11"/>
      <c r="D397" s="11"/>
      <c r="E397" s="11"/>
      <c r="F397" s="11"/>
      <c r="G397" s="11"/>
      <c r="H397" s="6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spans="2:33" x14ac:dyDescent="0.25">
      <c r="B398" s="11"/>
      <c r="C398" s="11"/>
      <c r="D398" s="11"/>
      <c r="E398" s="11"/>
      <c r="F398" s="11"/>
      <c r="G398" s="11"/>
      <c r="H398" s="6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spans="2:33" x14ac:dyDescent="0.25">
      <c r="B399" s="11"/>
      <c r="C399" s="11"/>
      <c r="D399" s="11"/>
      <c r="E399" s="11"/>
      <c r="F399" s="11"/>
      <c r="G399" s="11"/>
      <c r="H399" s="6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spans="2:33" x14ac:dyDescent="0.25">
      <c r="B400" s="11"/>
      <c r="C400" s="11"/>
      <c r="D400" s="11"/>
      <c r="E400" s="11"/>
      <c r="F400" s="11"/>
      <c r="G400" s="11"/>
      <c r="H400" s="6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spans="2:33" x14ac:dyDescent="0.25">
      <c r="B401" s="11"/>
      <c r="C401" s="11"/>
      <c r="D401" s="11"/>
      <c r="E401" s="11"/>
      <c r="F401" s="11"/>
      <c r="G401" s="11"/>
      <c r="H401" s="6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spans="2:33" x14ac:dyDescent="0.25">
      <c r="B402" s="11"/>
      <c r="C402" s="11"/>
      <c r="D402" s="11"/>
      <c r="E402" s="11"/>
      <c r="F402" s="11"/>
      <c r="G402" s="11"/>
      <c r="H402" s="6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spans="2:33" x14ac:dyDescent="0.25">
      <c r="B403" s="11"/>
      <c r="C403" s="11"/>
      <c r="D403" s="11"/>
      <c r="E403" s="11"/>
      <c r="F403" s="11"/>
      <c r="G403" s="11"/>
      <c r="H403" s="6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spans="2:33" x14ac:dyDescent="0.25">
      <c r="B404" s="11"/>
      <c r="C404" s="11"/>
      <c r="D404" s="11"/>
      <c r="E404" s="11"/>
      <c r="F404" s="11"/>
      <c r="G404" s="11"/>
      <c r="H404" s="6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spans="2:33" x14ac:dyDescent="0.25">
      <c r="B405" s="11"/>
      <c r="C405" s="11"/>
      <c r="D405" s="11"/>
      <c r="E405" s="11"/>
      <c r="F405" s="11"/>
      <c r="G405" s="11"/>
      <c r="H405" s="6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spans="2:33" x14ac:dyDescent="0.25">
      <c r="B406" s="11"/>
      <c r="C406" s="11"/>
      <c r="D406" s="11"/>
      <c r="E406" s="11"/>
      <c r="F406" s="11"/>
      <c r="G406" s="11"/>
      <c r="H406" s="6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spans="2:33" x14ac:dyDescent="0.25">
      <c r="B407" s="11"/>
      <c r="C407" s="11"/>
      <c r="D407" s="11"/>
      <c r="E407" s="11"/>
      <c r="F407" s="11"/>
      <c r="G407" s="11"/>
      <c r="H407" s="6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spans="2:33" x14ac:dyDescent="0.25">
      <c r="B408" s="11"/>
      <c r="C408" s="11"/>
      <c r="D408" s="11"/>
      <c r="E408" s="11"/>
      <c r="F408" s="11"/>
      <c r="G408" s="11"/>
      <c r="H408" s="6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spans="2:33" x14ac:dyDescent="0.25">
      <c r="B409" s="11"/>
      <c r="C409" s="11"/>
      <c r="D409" s="11"/>
      <c r="E409" s="11"/>
      <c r="F409" s="11"/>
      <c r="G409" s="11"/>
      <c r="H409" s="6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spans="2:33" x14ac:dyDescent="0.25">
      <c r="B410" s="11"/>
      <c r="C410" s="11"/>
      <c r="D410" s="11"/>
      <c r="E410" s="11"/>
      <c r="F410" s="11"/>
      <c r="G410" s="11"/>
      <c r="H410" s="6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spans="2:33" x14ac:dyDescent="0.25">
      <c r="B411" s="11"/>
      <c r="C411" s="11"/>
      <c r="D411" s="11"/>
      <c r="E411" s="11"/>
      <c r="F411" s="11"/>
      <c r="G411" s="11"/>
      <c r="H411" s="6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spans="2:33" x14ac:dyDescent="0.25">
      <c r="B412" s="11"/>
      <c r="C412" s="11"/>
      <c r="D412" s="11"/>
      <c r="E412" s="11"/>
      <c r="F412" s="11"/>
      <c r="G412" s="11"/>
      <c r="H412" s="6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spans="2:33" x14ac:dyDescent="0.25">
      <c r="B413" s="11"/>
      <c r="C413" s="11"/>
      <c r="D413" s="11"/>
      <c r="E413" s="11"/>
      <c r="F413" s="11"/>
      <c r="G413" s="11"/>
      <c r="H413" s="6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spans="2:33" x14ac:dyDescent="0.25">
      <c r="B414" s="11"/>
      <c r="C414" s="11"/>
      <c r="D414" s="11"/>
      <c r="E414" s="11"/>
      <c r="F414" s="11"/>
      <c r="G414" s="11"/>
      <c r="H414" s="6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spans="2:33" x14ac:dyDescent="0.25">
      <c r="B415" s="11"/>
      <c r="C415" s="11"/>
      <c r="D415" s="11"/>
      <c r="E415" s="11"/>
      <c r="F415" s="11"/>
      <c r="G415" s="11"/>
      <c r="H415" s="6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spans="2:33" x14ac:dyDescent="0.25">
      <c r="B416" s="11"/>
      <c r="C416" s="11"/>
      <c r="D416" s="11"/>
      <c r="E416" s="11"/>
      <c r="F416" s="11"/>
      <c r="G416" s="11"/>
      <c r="H416" s="6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spans="2:33" x14ac:dyDescent="0.25">
      <c r="B417" s="11"/>
      <c r="C417" s="11"/>
      <c r="D417" s="11"/>
      <c r="E417" s="11"/>
      <c r="F417" s="11"/>
      <c r="G417" s="11"/>
      <c r="H417" s="6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spans="2:33" x14ac:dyDescent="0.25">
      <c r="B418" s="11"/>
      <c r="C418" s="11"/>
      <c r="D418" s="11"/>
      <c r="E418" s="11"/>
      <c r="F418" s="11"/>
      <c r="G418" s="11"/>
      <c r="H418" s="6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spans="2:33" x14ac:dyDescent="0.25">
      <c r="B419" s="11"/>
      <c r="C419" s="11"/>
      <c r="D419" s="11"/>
      <c r="E419" s="11"/>
      <c r="F419" s="11"/>
      <c r="G419" s="11"/>
      <c r="H419" s="6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spans="2:33" x14ac:dyDescent="0.25">
      <c r="B420" s="11"/>
      <c r="C420" s="11"/>
      <c r="D420" s="11"/>
      <c r="E420" s="11"/>
      <c r="F420" s="11"/>
      <c r="G420" s="11"/>
      <c r="H420" s="6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spans="2:33" x14ac:dyDescent="0.25">
      <c r="B421" s="11"/>
      <c r="C421" s="11"/>
      <c r="D421" s="11"/>
      <c r="E421" s="11"/>
      <c r="F421" s="11"/>
      <c r="G421" s="11"/>
      <c r="H421" s="6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spans="2:33" x14ac:dyDescent="0.25">
      <c r="B422" s="11"/>
      <c r="C422" s="11"/>
      <c r="D422" s="11"/>
      <c r="E422" s="11"/>
      <c r="F422" s="11"/>
      <c r="G422" s="11"/>
      <c r="H422" s="6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spans="2:33" x14ac:dyDescent="0.25">
      <c r="B423" s="11"/>
      <c r="C423" s="11"/>
      <c r="D423" s="11"/>
      <c r="E423" s="11"/>
      <c r="F423" s="11"/>
      <c r="G423" s="11"/>
      <c r="H423" s="6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spans="2:33" x14ac:dyDescent="0.25">
      <c r="B424" s="11"/>
      <c r="C424" s="11"/>
      <c r="D424" s="11"/>
      <c r="E424" s="11"/>
      <c r="F424" s="11"/>
      <c r="G424" s="11"/>
      <c r="H424" s="6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spans="2:33" x14ac:dyDescent="0.25">
      <c r="B425" s="11"/>
      <c r="C425" s="11"/>
      <c r="D425" s="11"/>
      <c r="E425" s="11"/>
      <c r="F425" s="11"/>
      <c r="G425" s="11"/>
      <c r="H425" s="6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spans="2:33" x14ac:dyDescent="0.25">
      <c r="B426" s="11"/>
      <c r="C426" s="11"/>
      <c r="D426" s="11"/>
      <c r="E426" s="11"/>
      <c r="F426" s="11"/>
      <c r="G426" s="11"/>
      <c r="H426" s="6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spans="2:33" x14ac:dyDescent="0.25">
      <c r="B427" s="11"/>
      <c r="C427" s="11"/>
      <c r="D427" s="11"/>
      <c r="E427" s="11"/>
      <c r="F427" s="11"/>
      <c r="G427" s="11"/>
      <c r="H427" s="6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spans="2:33" x14ac:dyDescent="0.25">
      <c r="B428" s="11"/>
      <c r="C428" s="11"/>
      <c r="D428" s="11"/>
      <c r="E428" s="11"/>
      <c r="F428" s="11"/>
      <c r="G428" s="11"/>
      <c r="H428" s="6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spans="2:33" x14ac:dyDescent="0.25">
      <c r="B429" s="11"/>
      <c r="C429" s="11"/>
      <c r="D429" s="11"/>
      <c r="E429" s="11"/>
      <c r="F429" s="11"/>
      <c r="G429" s="11"/>
      <c r="H429" s="6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spans="2:33" x14ac:dyDescent="0.25">
      <c r="B430" s="11"/>
      <c r="C430" s="11"/>
      <c r="D430" s="11"/>
      <c r="E430" s="11"/>
      <c r="F430" s="11"/>
      <c r="G430" s="11"/>
      <c r="H430" s="6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spans="2:33" x14ac:dyDescent="0.25">
      <c r="B431" s="11"/>
      <c r="C431" s="11"/>
      <c r="D431" s="11"/>
      <c r="E431" s="11"/>
      <c r="F431" s="11"/>
      <c r="G431" s="11"/>
      <c r="H431" s="6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spans="2:33" x14ac:dyDescent="0.25">
      <c r="B432" s="11"/>
      <c r="C432" s="11"/>
      <c r="D432" s="11"/>
      <c r="E432" s="11"/>
      <c r="F432" s="11"/>
      <c r="G432" s="11"/>
      <c r="H432" s="6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spans="2:33" x14ac:dyDescent="0.25">
      <c r="B433" s="11"/>
      <c r="C433" s="11"/>
      <c r="D433" s="11"/>
      <c r="E433" s="11"/>
      <c r="F433" s="11"/>
      <c r="G433" s="11"/>
      <c r="H433" s="6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spans="2:33" x14ac:dyDescent="0.25">
      <c r="B434" s="11"/>
      <c r="C434" s="11"/>
      <c r="D434" s="11"/>
      <c r="E434" s="11"/>
      <c r="F434" s="11"/>
      <c r="G434" s="11"/>
      <c r="H434" s="6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spans="2:33" x14ac:dyDescent="0.25">
      <c r="B435" s="11"/>
      <c r="C435" s="11"/>
      <c r="D435" s="11"/>
      <c r="E435" s="11"/>
      <c r="F435" s="11"/>
      <c r="G435" s="11"/>
      <c r="H435" s="6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spans="2:33" x14ac:dyDescent="0.25">
      <c r="B436" s="11"/>
      <c r="C436" s="11"/>
      <c r="D436" s="11"/>
      <c r="E436" s="11"/>
      <c r="F436" s="11"/>
      <c r="G436" s="11"/>
      <c r="H436" s="6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spans="2:33" x14ac:dyDescent="0.25">
      <c r="B437" s="11"/>
      <c r="C437" s="11"/>
      <c r="D437" s="11"/>
      <c r="E437" s="11"/>
      <c r="F437" s="11"/>
      <c r="G437" s="11"/>
      <c r="H437" s="6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spans="2:33" x14ac:dyDescent="0.25">
      <c r="B438" s="11"/>
      <c r="C438" s="11"/>
      <c r="D438" s="11"/>
      <c r="E438" s="11"/>
      <c r="F438" s="11"/>
      <c r="G438" s="11"/>
      <c r="H438" s="6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spans="2:33" x14ac:dyDescent="0.25">
      <c r="B439" s="11"/>
      <c r="C439" s="11"/>
      <c r="D439" s="11"/>
      <c r="E439" s="11"/>
      <c r="F439" s="11"/>
      <c r="G439" s="11"/>
      <c r="H439" s="6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spans="2:33" x14ac:dyDescent="0.25">
      <c r="B440" s="11"/>
      <c r="C440" s="11"/>
      <c r="D440" s="11"/>
      <c r="E440" s="11"/>
      <c r="F440" s="11"/>
      <c r="G440" s="11"/>
      <c r="H440" s="6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spans="2:33" x14ac:dyDescent="0.25">
      <c r="B441" s="11"/>
      <c r="C441" s="11"/>
      <c r="D441" s="11"/>
      <c r="E441" s="11"/>
      <c r="F441" s="11"/>
      <c r="G441" s="11"/>
      <c r="H441" s="6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spans="2:33" x14ac:dyDescent="0.25">
      <c r="B442" s="11"/>
      <c r="C442" s="11"/>
      <c r="D442" s="11"/>
      <c r="E442" s="11"/>
      <c r="F442" s="11"/>
      <c r="G442" s="11"/>
      <c r="H442" s="6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spans="2:33" x14ac:dyDescent="0.25">
      <c r="B443" s="11"/>
      <c r="C443" s="11"/>
      <c r="D443" s="11"/>
      <c r="E443" s="11"/>
      <c r="F443" s="11"/>
      <c r="G443" s="11"/>
      <c r="H443" s="6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spans="2:33" x14ac:dyDescent="0.25">
      <c r="B444" s="11"/>
      <c r="C444" s="11"/>
      <c r="D444" s="11"/>
      <c r="E444" s="11"/>
      <c r="F444" s="11"/>
      <c r="G444" s="11"/>
      <c r="H444" s="6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spans="2:33" x14ac:dyDescent="0.25">
      <c r="B445" s="11"/>
      <c r="C445" s="11"/>
      <c r="D445" s="11"/>
      <c r="E445" s="11"/>
      <c r="F445" s="11"/>
      <c r="G445" s="11"/>
      <c r="H445" s="6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spans="2:33" x14ac:dyDescent="0.25">
      <c r="B446" s="11"/>
      <c r="C446" s="11"/>
      <c r="D446" s="11"/>
      <c r="E446" s="11"/>
      <c r="F446" s="11"/>
      <c r="G446" s="11"/>
      <c r="H446" s="6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spans="2:33" x14ac:dyDescent="0.25">
      <c r="B447" s="11"/>
      <c r="C447" s="11"/>
      <c r="D447" s="11"/>
      <c r="E447" s="11"/>
      <c r="F447" s="11"/>
      <c r="G447" s="11"/>
      <c r="H447" s="6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spans="2:33" x14ac:dyDescent="0.25">
      <c r="B448" s="11"/>
      <c r="C448" s="11"/>
      <c r="D448" s="11"/>
      <c r="E448" s="11"/>
      <c r="F448" s="11"/>
      <c r="G448" s="11"/>
      <c r="H448" s="6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spans="2:33" x14ac:dyDescent="0.25">
      <c r="B449" s="11"/>
      <c r="C449" s="11"/>
      <c r="D449" s="11"/>
      <c r="E449" s="11"/>
      <c r="F449" s="11"/>
      <c r="G449" s="11"/>
      <c r="H449" s="6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spans="2:33" x14ac:dyDescent="0.25">
      <c r="B450" s="11"/>
      <c r="C450" s="11"/>
      <c r="D450" s="11"/>
      <c r="E450" s="11"/>
      <c r="F450" s="11"/>
      <c r="G450" s="11"/>
      <c r="H450" s="6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spans="2:33" x14ac:dyDescent="0.25">
      <c r="B451" s="11"/>
      <c r="C451" s="11"/>
      <c r="D451" s="11"/>
      <c r="E451" s="11"/>
      <c r="F451" s="11"/>
      <c r="G451" s="11"/>
      <c r="H451" s="6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spans="2:33" x14ac:dyDescent="0.25">
      <c r="B452" s="11"/>
      <c r="C452" s="11"/>
      <c r="D452" s="11"/>
      <c r="E452" s="11"/>
      <c r="F452" s="11"/>
      <c r="G452" s="11"/>
      <c r="H452" s="6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spans="2:33" x14ac:dyDescent="0.25">
      <c r="B453" s="11"/>
      <c r="C453" s="11"/>
      <c r="D453" s="11"/>
      <c r="E453" s="11"/>
      <c r="F453" s="11"/>
      <c r="G453" s="11"/>
      <c r="H453" s="6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spans="2:33" x14ac:dyDescent="0.25">
      <c r="B454" s="11"/>
      <c r="C454" s="11"/>
      <c r="D454" s="11"/>
      <c r="E454" s="11"/>
      <c r="F454" s="11"/>
      <c r="G454" s="11"/>
      <c r="H454" s="6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spans="2:33" x14ac:dyDescent="0.25">
      <c r="B455" s="11"/>
      <c r="C455" s="11"/>
      <c r="D455" s="11"/>
      <c r="E455" s="11"/>
      <c r="F455" s="11"/>
      <c r="G455" s="11"/>
      <c r="H455" s="6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spans="2:33" x14ac:dyDescent="0.25">
      <c r="B456" s="11"/>
      <c r="C456" s="11"/>
      <c r="D456" s="11"/>
      <c r="E456" s="11"/>
      <c r="F456" s="11"/>
      <c r="G456" s="11"/>
      <c r="H456" s="6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spans="2:33" x14ac:dyDescent="0.25">
      <c r="B457" s="11"/>
      <c r="C457" s="11"/>
      <c r="D457" s="11"/>
      <c r="E457" s="11"/>
      <c r="F457" s="11"/>
      <c r="G457" s="11"/>
      <c r="H457" s="6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spans="2:33" x14ac:dyDescent="0.25">
      <c r="B458" s="11"/>
      <c r="C458" s="11"/>
      <c r="D458" s="11"/>
      <c r="E458" s="11"/>
      <c r="F458" s="11"/>
      <c r="G458" s="11"/>
      <c r="H458" s="6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spans="2:33" x14ac:dyDescent="0.25">
      <c r="B459" s="11"/>
      <c r="C459" s="11"/>
      <c r="D459" s="11"/>
      <c r="E459" s="11"/>
      <c r="F459" s="11"/>
      <c r="G459" s="11"/>
      <c r="H459" s="6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spans="2:33" x14ac:dyDescent="0.25">
      <c r="B460" s="11"/>
      <c r="C460" s="11"/>
      <c r="D460" s="11"/>
      <c r="E460" s="11"/>
      <c r="F460" s="11"/>
      <c r="G460" s="11"/>
      <c r="H460" s="6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spans="2:33" x14ac:dyDescent="0.25">
      <c r="B461" s="11"/>
      <c r="C461" s="11"/>
      <c r="D461" s="11"/>
      <c r="E461" s="11"/>
      <c r="F461" s="11"/>
      <c r="G461" s="11"/>
      <c r="H461" s="6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spans="2:33" x14ac:dyDescent="0.25">
      <c r="B462" s="11"/>
      <c r="C462" s="11"/>
      <c r="D462" s="11"/>
      <c r="E462" s="11"/>
      <c r="F462" s="11"/>
      <c r="G462" s="11"/>
      <c r="H462" s="6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spans="2:33" x14ac:dyDescent="0.25">
      <c r="B463" s="11"/>
      <c r="C463" s="11"/>
      <c r="D463" s="11"/>
      <c r="E463" s="11"/>
      <c r="F463" s="11"/>
      <c r="G463" s="11"/>
      <c r="H463" s="6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spans="2:33" x14ac:dyDescent="0.25">
      <c r="B464" s="11"/>
      <c r="C464" s="11"/>
      <c r="D464" s="11"/>
      <c r="E464" s="11"/>
      <c r="F464" s="11"/>
      <c r="G464" s="11"/>
      <c r="H464" s="6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spans="2:33" x14ac:dyDescent="0.25">
      <c r="B465" s="11"/>
      <c r="C465" s="11"/>
      <c r="D465" s="11"/>
      <c r="E465" s="11"/>
      <c r="F465" s="11"/>
      <c r="G465" s="11"/>
      <c r="H465" s="6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spans="2:33" x14ac:dyDescent="0.25">
      <c r="B466" s="11"/>
      <c r="C466" s="11"/>
      <c r="D466" s="11"/>
      <c r="E466" s="11"/>
      <c r="F466" s="11"/>
      <c r="G466" s="11"/>
      <c r="H466" s="6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spans="2:33" x14ac:dyDescent="0.25">
      <c r="B467" s="11"/>
      <c r="C467" s="11"/>
      <c r="D467" s="11"/>
      <c r="E467" s="11"/>
      <c r="F467" s="11"/>
      <c r="G467" s="11"/>
      <c r="H467" s="6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spans="2:33" x14ac:dyDescent="0.25">
      <c r="B468" s="11"/>
      <c r="C468" s="11"/>
      <c r="D468" s="11"/>
      <c r="E468" s="11"/>
      <c r="F468" s="11"/>
      <c r="G468" s="11"/>
      <c r="H468" s="6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spans="2:33" x14ac:dyDescent="0.25">
      <c r="B469" s="11"/>
      <c r="C469" s="11"/>
      <c r="D469" s="11"/>
      <c r="E469" s="11"/>
      <c r="F469" s="11"/>
      <c r="G469" s="11"/>
      <c r="H469" s="6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spans="2:33" x14ac:dyDescent="0.25">
      <c r="B470" s="11"/>
      <c r="C470" s="11"/>
      <c r="D470" s="11"/>
      <c r="E470" s="11"/>
      <c r="F470" s="11"/>
      <c r="G470" s="11"/>
      <c r="H470" s="6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spans="2:33" x14ac:dyDescent="0.25">
      <c r="B471" s="11"/>
      <c r="C471" s="11"/>
      <c r="D471" s="11"/>
      <c r="E471" s="11"/>
      <c r="F471" s="11"/>
      <c r="G471" s="11"/>
      <c r="H471" s="6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spans="2:33" x14ac:dyDescent="0.25">
      <c r="B472" s="11"/>
      <c r="C472" s="11"/>
      <c r="D472" s="11"/>
      <c r="E472" s="11"/>
      <c r="F472" s="11"/>
      <c r="G472" s="11"/>
      <c r="H472" s="6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spans="2:33" x14ac:dyDescent="0.25">
      <c r="B473" s="11"/>
      <c r="C473" s="11"/>
      <c r="D473" s="11"/>
      <c r="E473" s="11"/>
      <c r="F473" s="11"/>
      <c r="G473" s="11"/>
      <c r="H473" s="6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spans="2:33" x14ac:dyDescent="0.25">
      <c r="B474" s="11"/>
      <c r="C474" s="11"/>
      <c r="D474" s="11"/>
      <c r="E474" s="11"/>
      <c r="F474" s="11"/>
      <c r="G474" s="11"/>
      <c r="H474" s="6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spans="2:33" x14ac:dyDescent="0.25">
      <c r="B475" s="11"/>
      <c r="C475" s="11"/>
      <c r="D475" s="11"/>
      <c r="E475" s="11"/>
      <c r="F475" s="11"/>
      <c r="G475" s="11"/>
      <c r="H475" s="6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spans="2:33" x14ac:dyDescent="0.25">
      <c r="B476" s="11"/>
      <c r="C476" s="11"/>
      <c r="D476" s="11"/>
      <c r="E476" s="11"/>
      <c r="F476" s="11"/>
      <c r="G476" s="11"/>
      <c r="H476" s="6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spans="2:33" x14ac:dyDescent="0.25">
      <c r="B477" s="11"/>
      <c r="C477" s="11"/>
      <c r="D477" s="11"/>
      <c r="E477" s="11"/>
      <c r="F477" s="11"/>
      <c r="G477" s="11"/>
      <c r="H477" s="6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spans="2:33" x14ac:dyDescent="0.25">
      <c r="B478" s="11"/>
      <c r="C478" s="11"/>
      <c r="D478" s="11"/>
      <c r="E478" s="11"/>
      <c r="F478" s="11"/>
      <c r="G478" s="11"/>
      <c r="H478" s="6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spans="2:33" x14ac:dyDescent="0.25">
      <c r="B479" s="11"/>
      <c r="C479" s="11"/>
      <c r="D479" s="11"/>
      <c r="E479" s="11"/>
      <c r="F479" s="11"/>
      <c r="G479" s="11"/>
      <c r="H479" s="6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spans="2:33" x14ac:dyDescent="0.25">
      <c r="B480" s="11"/>
      <c r="C480" s="11"/>
      <c r="D480" s="11"/>
      <c r="E480" s="11"/>
      <c r="F480" s="11"/>
      <c r="G480" s="11"/>
      <c r="H480" s="6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spans="2:33" x14ac:dyDescent="0.25">
      <c r="B481" s="11"/>
      <c r="C481" s="11"/>
      <c r="D481" s="11"/>
      <c r="E481" s="11"/>
      <c r="F481" s="11"/>
      <c r="G481" s="11"/>
      <c r="H481" s="6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spans="2:33" x14ac:dyDescent="0.25">
      <c r="B482" s="11"/>
      <c r="C482" s="11"/>
      <c r="D482" s="11"/>
      <c r="E482" s="11"/>
      <c r="F482" s="11"/>
      <c r="G482" s="11"/>
      <c r="H482" s="6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spans="2:33" x14ac:dyDescent="0.25">
      <c r="B483" s="11"/>
      <c r="C483" s="11"/>
      <c r="D483" s="11"/>
      <c r="E483" s="11"/>
      <c r="F483" s="11"/>
      <c r="G483" s="11"/>
      <c r="H483" s="6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spans="2:33" x14ac:dyDescent="0.25">
      <c r="B484" s="11"/>
      <c r="C484" s="11"/>
      <c r="D484" s="11"/>
      <c r="E484" s="11"/>
      <c r="F484" s="11"/>
      <c r="G484" s="11"/>
      <c r="H484" s="6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spans="2:33" x14ac:dyDescent="0.25">
      <c r="B485" s="11"/>
      <c r="C485" s="11"/>
      <c r="D485" s="11"/>
      <c r="E485" s="11"/>
      <c r="F485" s="11"/>
      <c r="G485" s="11"/>
      <c r="H485" s="6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spans="2:33" x14ac:dyDescent="0.25">
      <c r="B486" s="11"/>
      <c r="C486" s="11"/>
      <c r="D486" s="11"/>
      <c r="E486" s="11"/>
      <c r="F486" s="11"/>
      <c r="G486" s="11"/>
      <c r="H486" s="6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spans="2:33" x14ac:dyDescent="0.25">
      <c r="B487" s="11"/>
      <c r="C487" s="11"/>
      <c r="D487" s="11"/>
      <c r="E487" s="11"/>
      <c r="F487" s="11"/>
      <c r="G487" s="11"/>
      <c r="H487" s="6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spans="2:33" x14ac:dyDescent="0.25">
      <c r="B488" s="11"/>
      <c r="C488" s="11"/>
      <c r="D488" s="11"/>
      <c r="E488" s="11"/>
      <c r="F488" s="11"/>
      <c r="G488" s="11"/>
      <c r="H488" s="6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spans="2:33" x14ac:dyDescent="0.25">
      <c r="B489" s="11"/>
      <c r="C489" s="11"/>
      <c r="D489" s="11"/>
      <c r="E489" s="11"/>
      <c r="F489" s="11"/>
      <c r="G489" s="11"/>
      <c r="H489" s="6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spans="2:33" x14ac:dyDescent="0.25">
      <c r="B490" s="11"/>
      <c r="C490" s="11"/>
      <c r="D490" s="11"/>
      <c r="E490" s="11"/>
      <c r="F490" s="11"/>
      <c r="G490" s="11"/>
      <c r="H490" s="6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spans="2:33" x14ac:dyDescent="0.25">
      <c r="B491" s="11"/>
      <c r="C491" s="11"/>
      <c r="D491" s="11"/>
      <c r="E491" s="11"/>
      <c r="F491" s="11"/>
      <c r="G491" s="11"/>
      <c r="H491" s="6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spans="2:33" x14ac:dyDescent="0.25">
      <c r="B492" s="11"/>
      <c r="C492" s="11"/>
      <c r="D492" s="11"/>
      <c r="E492" s="11"/>
      <c r="F492" s="11"/>
      <c r="G492" s="11"/>
      <c r="H492" s="6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spans="2:33" x14ac:dyDescent="0.25">
      <c r="B493" s="11"/>
      <c r="C493" s="11"/>
      <c r="D493" s="11"/>
      <c r="E493" s="11"/>
      <c r="F493" s="11"/>
      <c r="G493" s="11"/>
      <c r="H493" s="6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spans="2:33" x14ac:dyDescent="0.25">
      <c r="B494" s="11"/>
      <c r="C494" s="11"/>
      <c r="D494" s="11"/>
      <c r="E494" s="11"/>
      <c r="F494" s="11"/>
      <c r="G494" s="11"/>
      <c r="H494" s="6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spans="2:33" x14ac:dyDescent="0.25">
      <c r="B495" s="11"/>
      <c r="C495" s="11"/>
      <c r="D495" s="11"/>
      <c r="E495" s="11"/>
      <c r="F495" s="11"/>
      <c r="G495" s="11"/>
      <c r="H495" s="6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spans="2:33" x14ac:dyDescent="0.25">
      <c r="B496" s="11"/>
      <c r="C496" s="11"/>
      <c r="D496" s="11"/>
      <c r="E496" s="11"/>
      <c r="F496" s="11"/>
      <c r="G496" s="11"/>
      <c r="H496" s="6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spans="2:33" x14ac:dyDescent="0.25">
      <c r="B497" s="11"/>
      <c r="C497" s="11"/>
      <c r="D497" s="11"/>
      <c r="E497" s="11"/>
      <c r="F497" s="11"/>
      <c r="G497" s="11"/>
      <c r="H497" s="6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spans="2:33" x14ac:dyDescent="0.25">
      <c r="B498" s="11"/>
      <c r="C498" s="11"/>
      <c r="D498" s="11"/>
      <c r="E498" s="11"/>
      <c r="F498" s="11"/>
      <c r="G498" s="11"/>
      <c r="H498" s="6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</sheetData>
  <autoFilter ref="A3:AG112" xr:uid="{6D9CE037-9641-4DCE-95A2-BFAB2688E779}">
    <filterColumn colId="0">
      <customFilters>
        <customFilter operator="notEqual" val=" "/>
      </customFilters>
    </filterColumn>
  </autoFilter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2026-07-14T11:56:58Z</dcterms:created>
  <dcterms:modified xsi:type="dcterms:W3CDTF">2026-07-14T13:02:24Z</dcterms:modified>
</cp:coreProperties>
</file>