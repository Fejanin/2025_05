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600DD010-F9D6-46C8-BC70-ACE0B087AFA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O453" i="2"/>
  <c r="BM453" i="2"/>
  <c r="Y453" i="2"/>
  <c r="BP453" i="2" s="1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Y252" i="2" s="1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Z104" i="2" s="1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Y451" i="2" l="1"/>
  <c r="Y399" i="2"/>
  <c r="Y33" i="2"/>
  <c r="Z261" i="2"/>
  <c r="Z262" i="2" s="1"/>
  <c r="Z77" i="2"/>
  <c r="BN77" i="2"/>
  <c r="Z184" i="2"/>
  <c r="BN184" i="2"/>
  <c r="Z185" i="2"/>
  <c r="BN185" i="2"/>
  <c r="Z219" i="2"/>
  <c r="Z363" i="2"/>
  <c r="Z440" i="2"/>
  <c r="X565" i="2"/>
  <c r="X568" i="2"/>
  <c r="Z31" i="2"/>
  <c r="BN31" i="2"/>
  <c r="BP38" i="2"/>
  <c r="Z233" i="2"/>
  <c r="BN233" i="2"/>
  <c r="Z293" i="2"/>
  <c r="BN293" i="2"/>
  <c r="Z295" i="2"/>
  <c r="BP389" i="2"/>
  <c r="Z417" i="2"/>
  <c r="Z466" i="2"/>
  <c r="BN466" i="2"/>
  <c r="Z486" i="2"/>
  <c r="BN486" i="2"/>
  <c r="Z48" i="2"/>
  <c r="Y112" i="2"/>
  <c r="BP173" i="2"/>
  <c r="Z190" i="2"/>
  <c r="Z230" i="2"/>
  <c r="Z241" i="2"/>
  <c r="Z277" i="2"/>
  <c r="Z318" i="2"/>
  <c r="Z319" i="2" s="1"/>
  <c r="Z374" i="2"/>
  <c r="BN374" i="2"/>
  <c r="BP379" i="2"/>
  <c r="Z404" i="2"/>
  <c r="Z415" i="2"/>
  <c r="Z442" i="2"/>
  <c r="BN442" i="2"/>
  <c r="Z465" i="2"/>
  <c r="Z532" i="2"/>
  <c r="BN41" i="2"/>
  <c r="Y82" i="2"/>
  <c r="BP80" i="2"/>
  <c r="Z86" i="2"/>
  <c r="BN86" i="2"/>
  <c r="Z93" i="2"/>
  <c r="BN93" i="2"/>
  <c r="BP98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BN187" i="2"/>
  <c r="Z191" i="2"/>
  <c r="BN191" i="2"/>
  <c r="BN192" i="2"/>
  <c r="BN194" i="2"/>
  <c r="Z199" i="2"/>
  <c r="BN199" i="2"/>
  <c r="Z205" i="2"/>
  <c r="Z206" i="2" s="1"/>
  <c r="Z221" i="2"/>
  <c r="Z231" i="2"/>
  <c r="Z240" i="2"/>
  <c r="BN240" i="2"/>
  <c r="BN266" i="2"/>
  <c r="Y299" i="2"/>
  <c r="BN292" i="2"/>
  <c r="BN298" i="2"/>
  <c r="BN313" i="2"/>
  <c r="BP333" i="2"/>
  <c r="BN336" i="2"/>
  <c r="Z337" i="2"/>
  <c r="BN343" i="2"/>
  <c r="Z349" i="2"/>
  <c r="BN351" i="2"/>
  <c r="Z353" i="2"/>
  <c r="Y366" i="2"/>
  <c r="Y387" i="2"/>
  <c r="BN384" i="2"/>
  <c r="Z396" i="2"/>
  <c r="Z397" i="2"/>
  <c r="BN397" i="2"/>
  <c r="BP422" i="2"/>
  <c r="Z436" i="2"/>
  <c r="BN436" i="2"/>
  <c r="BN443" i="2"/>
  <c r="BN454" i="2"/>
  <c r="BN460" i="2"/>
  <c r="Y462" i="2"/>
  <c r="BP465" i="2"/>
  <c r="Y467" i="2"/>
  <c r="Z474" i="2"/>
  <c r="BN474" i="2"/>
  <c r="Z476" i="2"/>
  <c r="BN502" i="2"/>
  <c r="BN510" i="2"/>
  <c r="Z512" i="2"/>
  <c r="BN512" i="2"/>
  <c r="BN516" i="2"/>
  <c r="Z521" i="2"/>
  <c r="BN521" i="2"/>
  <c r="Z28" i="2"/>
  <c r="BN28" i="2"/>
  <c r="BP50" i="2"/>
  <c r="Y100" i="2"/>
  <c r="Y136" i="2"/>
  <c r="Y179" i="2"/>
  <c r="BN218" i="2"/>
  <c r="Z242" i="2"/>
  <c r="BN250" i="2"/>
  <c r="Z251" i="2"/>
  <c r="Z326" i="2"/>
  <c r="BN326" i="2"/>
  <c r="Z327" i="2"/>
  <c r="BN327" i="2"/>
  <c r="Z328" i="2"/>
  <c r="BN372" i="2"/>
  <c r="BN382" i="2"/>
  <c r="BN392" i="2"/>
  <c r="Y394" i="2"/>
  <c r="BP396" i="2"/>
  <c r="BN410" i="2"/>
  <c r="BN416" i="2"/>
  <c r="BN429" i="2"/>
  <c r="Y432" i="2"/>
  <c r="BN455" i="2"/>
  <c r="BN503" i="2"/>
  <c r="BN515" i="2"/>
  <c r="BN530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45" i="2" l="1"/>
  <c r="Z456" i="2"/>
  <c r="Z32" i="2"/>
  <c r="Z386" i="2"/>
  <c r="Z174" i="2"/>
  <c r="Z120" i="2"/>
  <c r="Z444" i="2"/>
  <c r="Z399" i="2"/>
  <c r="Z147" i="2"/>
  <c r="Z142" i="2"/>
  <c r="Z418" i="2"/>
  <c r="Z431" i="2"/>
  <c r="X567" i="2"/>
  <c r="Z467" i="2"/>
  <c r="Z557" i="2"/>
  <c r="Z534" i="2"/>
  <c r="Z493" i="2"/>
  <c r="Z273" i="2"/>
  <c r="Z366" i="2"/>
  <c r="Z406" i="2"/>
  <c r="Z354" i="2"/>
  <c r="Z338" i="2"/>
  <c r="Z131" i="2"/>
  <c r="Z90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<sst xmlns="http://schemas.openxmlformats.org/spreadsheetml/2006/main" count="4365" uniqueCount="909">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</sst>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74"/>
  <sheetViews>
    <sheetView showGridLines="0" tabSelected="1" topLeftCell="A543" zoomScaleNormal="100" zoomScaleSheetLayoutView="100" workbookViewId="0">
      <selection activeCell="X570" sqref="X5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/>
      <c r="I5" s="1013"/>
      <c r="J5" s="1013"/>
      <c r="K5" s="1013"/>
      <c r="L5" s="1013"/>
      <c r="M5" s="1013"/>
      <c r="N5" s="72"/>
      <c r="P5" s="27" t="s">
        <v>4</v>
      </c>
      <c r="Q5" s="1015">
        <v>46271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Воскресенье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0.375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9</v>
      </c>
      <c r="Y27" s="55">
        <f>IFERROR(IF(X27="",0,CEILING((X27/$H27),1)*$H27),"")</f>
        <v>9</v>
      </c>
      <c r="Z27" s="41">
        <f>IFERROR(IF(Y27=0,"",ROUNDUP(Y27/H27,0)*0.00651),"")</f>
        <v>3.2550000000000003E-2</v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15.9</v>
      </c>
      <c r="BN27" s="78">
        <f>IFERROR(Y27*I27/H27,"0")</f>
        <v>15.9</v>
      </c>
      <c r="BO27" s="78">
        <f>IFERROR(1/J27*(X27/H27),"0")</f>
        <v>2.7472527472527476E-2</v>
      </c>
      <c r="BP27" s="78">
        <f>IFERROR(1/J27*(Y27/H27),"0")</f>
        <v>2.7472527472527476E-2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9</v>
      </c>
      <c r="Y29" s="55">
        <f>IFERROR(IF(X29="",0,CEILING((X29/$H29),1)*$H29),"")</f>
        <v>9</v>
      </c>
      <c r="Z29" s="41">
        <f>IFERROR(IF(Y29=0,"",ROUNDUP(Y29/H29,0)*0.00651),"")</f>
        <v>3.2550000000000003E-2</v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15.9</v>
      </c>
      <c r="BN29" s="78">
        <f>IFERROR(Y29*I29/H29,"0")</f>
        <v>15.9</v>
      </c>
      <c r="BO29" s="78">
        <f>IFERROR(1/J29*(X29/H29),"0")</f>
        <v>2.7472527472527476E-2</v>
      </c>
      <c r="BP29" s="78">
        <f>IFERROR(1/J29*(Y29/H29),"0")</f>
        <v>2.7472527472527476E-2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10</v>
      </c>
      <c r="Y32" s="43">
        <f>IFERROR(Y27/H27,"0")+IFERROR(Y28/H28,"0")+IFERROR(Y29/H29,"0")+IFERROR(Y30/H30,"0")+IFERROR(Y31/H31,"0")</f>
        <v>10</v>
      </c>
      <c r="Z32" s="43">
        <f>IFERROR(IF(Z27="",0,Z27),"0")+IFERROR(IF(Z28="",0,Z28),"0")+IFERROR(IF(Z29="",0,Z29),"0")+IFERROR(IF(Z30="",0,Z30),"0")+IFERROR(IF(Z31="",0,Z31),"0")</f>
        <v>6.5100000000000005E-2</v>
      </c>
      <c r="AA32" s="67"/>
      <c r="AB32" s="67"/>
      <c r="AC32" s="67"/>
    </row>
    <row r="33" spans="1:68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18</v>
      </c>
      <c r="Y33" s="43">
        <f>IFERROR(SUM(Y27:Y31),"0")</f>
        <v>18</v>
      </c>
      <c r="Z33" s="42"/>
      <c r="AA33" s="67"/>
      <c r="AB33" s="67"/>
      <c r="AC33" s="67"/>
    </row>
    <row r="34" spans="1:68" ht="27.75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45</v>
      </c>
      <c r="Y60" s="55">
        <f t="shared" si="0"/>
        <v>45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46.900000000000006</v>
      </c>
      <c r="BN60" s="78">
        <f t="shared" si="2"/>
        <v>46.900000000000006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10</v>
      </c>
      <c r="Y61" s="43">
        <f>IFERROR(Y55/H55,"0")+IFERROR(Y56/H56,"0")+IFERROR(Y57/H57,"0")+IFERROR(Y58/H58,"0")+IFERROR(Y59/H59,"0")+IFERROR(Y60/H60,"0")</f>
        <v>10</v>
      </c>
      <c r="Z61" s="43">
        <f>IFERROR(IF(Z55="",0,Z55),"0")+IFERROR(IF(Z56="",0,Z56),"0")+IFERROR(IF(Z57="",0,Z57),"0")+IFERROR(IF(Z58="",0,Z58),"0")+IFERROR(IF(Z59="",0,Z59),"0")+IFERROR(IF(Z60="",0,Z60),"0")</f>
        <v>9.0200000000000002E-2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45</v>
      </c>
      <c r="Y62" s="43">
        <f>IFERROR(SUM(Y55:Y60),"0")</f>
        <v>45</v>
      </c>
      <c r="Z62" s="42"/>
      <c r="AA62" s="67"/>
      <c r="AB62" s="67"/>
      <c r="AC62" s="67"/>
    </row>
    <row r="63" spans="1:68" ht="14.25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60</v>
      </c>
      <c r="Y64" s="55">
        <f>IFERROR(IF(X64="",0,CEILING((X64/$H64),1)*$H64),"")</f>
        <v>64.800000000000011</v>
      </c>
      <c r="Z64" s="41">
        <f>IFERROR(IF(Y64=0,"",ROUNDUP(Y64/H64,0)*0.01898),"")</f>
        <v>0.11388000000000001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62.277777777777779</v>
      </c>
      <c r="BN64" s="78">
        <f>IFERROR(Y64*I64/H64,"0")</f>
        <v>67.260000000000005</v>
      </c>
      <c r="BO64" s="78">
        <f>IFERROR(1/J64*(X64/H64),"0")</f>
        <v>8.6805555555555552E-2</v>
      </c>
      <c r="BP64" s="78">
        <f>IFERROR(1/J64*(Y64/H64),"0")</f>
        <v>9.3750000000000014E-2</v>
      </c>
    </row>
    <row r="65" spans="1:68" ht="16.5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5.5555555555555554</v>
      </c>
      <c r="Y68" s="43">
        <f>IFERROR(Y64/H64,"0")+IFERROR(Y65/H65,"0")+IFERROR(Y66/H66,"0")+IFERROR(Y67/H67,"0")</f>
        <v>6.0000000000000009</v>
      </c>
      <c r="Z68" s="43">
        <f>IFERROR(IF(Z64="",0,Z64),"0")+IFERROR(IF(Z65="",0,Z65),"0")+IFERROR(IF(Z66="",0,Z66),"0")+IFERROR(IF(Z67="",0,Z67),"0")</f>
        <v>0.11388000000000001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60</v>
      </c>
      <c r="Y69" s="43">
        <f>IFERROR(SUM(Y64:Y67),"0")</f>
        <v>64.800000000000011</v>
      </c>
      <c r="Z69" s="42"/>
      <c r="AA69" s="67"/>
      <c r="AB69" s="67"/>
      <c r="AC69" s="67"/>
    </row>
    <row r="70" spans="1:68" ht="14.25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300</v>
      </c>
      <c r="Y123" s="55">
        <f t="shared" ref="Y123:Y130" si="15">IFERROR(IF(X123="",0,CEILING((X123/$H123),1)*$H123),"")</f>
        <v>307.8</v>
      </c>
      <c r="Z123" s="41">
        <f>IFERROR(IF(Y123=0,"",ROUNDUP(Y123/H123,0)*0.01898),"")</f>
        <v>0.72123999999999999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318.07407407407402</v>
      </c>
      <c r="BN123" s="78">
        <f t="shared" ref="BN123:BN130" si="17">IFERROR(Y123*I123/H123,"0")</f>
        <v>326.34399999999999</v>
      </c>
      <c r="BO123" s="78">
        <f t="shared" ref="BO123:BO130" si="18">IFERROR(1/J123*(X123/H123),"0")</f>
        <v>0.57870370370370372</v>
      </c>
      <c r="BP123" s="78">
        <f t="shared" ref="BP123:BP130" si="19">IFERROR(1/J123*(Y123/H123),"0")</f>
        <v>0.59375</v>
      </c>
    </row>
    <row r="124" spans="1:68" ht="27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45</v>
      </c>
      <c r="Y127" s="55">
        <f t="shared" si="15"/>
        <v>45.900000000000006</v>
      </c>
      <c r="Z127" s="41">
        <f t="shared" si="20"/>
        <v>0.11067</v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49.199999999999996</v>
      </c>
      <c r="BN127" s="78">
        <f t="shared" si="17"/>
        <v>50.183999999999997</v>
      </c>
      <c r="BO127" s="78">
        <f t="shared" si="18"/>
        <v>9.1575091575091569E-2</v>
      </c>
      <c r="BP127" s="78">
        <f t="shared" si="19"/>
        <v>9.3406593406593408E-2</v>
      </c>
    </row>
    <row r="128" spans="1:68" ht="27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53.703703703703702</v>
      </c>
      <c r="Y131" s="43">
        <f>IFERROR(Y123/H123,"0")+IFERROR(Y124/H124,"0")+IFERROR(Y125/H125,"0")+IFERROR(Y126/H126,"0")+IFERROR(Y127/H127,"0")+IFERROR(Y128/H128,"0")+IFERROR(Y129/H129,"0")+IFERROR(Y130/H130,"0")</f>
        <v>55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0.83191000000000004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345</v>
      </c>
      <c r="Y132" s="43">
        <f>IFERROR(SUM(Y123:Y130),"0")</f>
        <v>353.70000000000005</v>
      </c>
      <c r="Z132" s="42"/>
      <c r="AA132" s="67"/>
      <c r="AB132" s="67"/>
      <c r="AC132" s="67"/>
    </row>
    <row r="133" spans="1:68" ht="14.25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12</v>
      </c>
      <c r="Y140" s="55">
        <f>IFERROR(IF(X140="",0,CEILING((X140/$H140),1)*$H140),"")</f>
        <v>12.8</v>
      </c>
      <c r="Z140" s="41">
        <f>IFERROR(IF(Y140=0,"",ROUNDUP(Y140/H140,0)*0.00651),"")</f>
        <v>2.6040000000000001E-2</v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12.675000000000001</v>
      </c>
      <c r="BN140" s="78">
        <f>IFERROR(Y140*I140/H140,"0")</f>
        <v>13.52</v>
      </c>
      <c r="BO140" s="78">
        <f>IFERROR(1/J140*(X140/H140),"0")</f>
        <v>2.0604395604395608E-2</v>
      </c>
      <c r="BP140" s="78">
        <f>IFERROR(1/J140*(Y140/H140),"0")</f>
        <v>2.197802197802198E-2</v>
      </c>
    </row>
    <row r="141" spans="1:68" ht="27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3.75</v>
      </c>
      <c r="Y142" s="43">
        <f>IFERROR(Y140/H140,"0")+IFERROR(Y141/H141,"0")</f>
        <v>4</v>
      </c>
      <c r="Z142" s="43">
        <f>IFERROR(IF(Z140="",0,Z140),"0")+IFERROR(IF(Z141="",0,Z141),"0")</f>
        <v>2.6040000000000001E-2</v>
      </c>
      <c r="AA142" s="67"/>
      <c r="AB142" s="67"/>
      <c r="AC142" s="67"/>
    </row>
    <row r="143" spans="1:68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12</v>
      </c>
      <c r="Y143" s="43">
        <f>IFERROR(SUM(Y140:Y141),"0")</f>
        <v>12.8</v>
      </c>
      <c r="Z143" s="42"/>
      <c r="AA143" s="67"/>
      <c r="AB143" s="67"/>
      <c r="AC143" s="67"/>
    </row>
    <row r="144" spans="1:68" ht="14.25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10.5</v>
      </c>
      <c r="Y145" s="55">
        <f>IFERROR(IF(X145="",0,CEILING((X145/$H145),1)*$H145),"")</f>
        <v>11.2</v>
      </c>
      <c r="Z145" s="41">
        <f>IFERROR(IF(Y145=0,"",ROUNDUP(Y145/H145,0)*0.00651),"")</f>
        <v>2.6040000000000001E-2</v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11.505000000000001</v>
      </c>
      <c r="BN145" s="78">
        <f>IFERROR(Y145*I145/H145,"0")</f>
        <v>12.271999999999998</v>
      </c>
      <c r="BO145" s="78">
        <f>IFERROR(1/J145*(X145/H145),"0")</f>
        <v>2.0604395604395608E-2</v>
      </c>
      <c r="BP145" s="78">
        <f>IFERROR(1/J145*(Y145/H145),"0")</f>
        <v>2.197802197802198E-2</v>
      </c>
    </row>
    <row r="146" spans="1:68" ht="27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3.7500000000000004</v>
      </c>
      <c r="Y147" s="43">
        <f>IFERROR(Y145/H145,"0")+IFERROR(Y146/H146,"0")</f>
        <v>4</v>
      </c>
      <c r="Z147" s="43">
        <f>IFERROR(IF(Z145="",0,Z145),"0")+IFERROR(IF(Z146="",0,Z146),"0")</f>
        <v>2.6040000000000001E-2</v>
      </c>
      <c r="AA147" s="67"/>
      <c r="AB147" s="67"/>
      <c r="AC147" s="67"/>
    </row>
    <row r="148" spans="1:68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10.5</v>
      </c>
      <c r="Y148" s="43">
        <f>IFERROR(SUM(Y145:Y146),"0")</f>
        <v>11.2</v>
      </c>
      <c r="Z148" s="42"/>
      <c r="AA148" s="67"/>
      <c r="AB148" s="67"/>
      <c r="AC148" s="67"/>
    </row>
    <row r="149" spans="1:68" ht="14.25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20</v>
      </c>
      <c r="Y171" s="55">
        <f>IFERROR(IF(X171="",0,CEILING((X171/$H171),1)*$H171),"")</f>
        <v>24</v>
      </c>
      <c r="Z171" s="41">
        <f>IFERROR(IF(Y171=0,"",ROUNDUP(Y171/H171,0)*0.01196),"")</f>
        <v>4.7840000000000001E-2</v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21.166666666666668</v>
      </c>
      <c r="BN171" s="78">
        <f>IFERROR(Y171*I171/H171,"0")</f>
        <v>25.399999999999995</v>
      </c>
      <c r="BO171" s="78">
        <f>IFERROR(1/J171*(X171/H171),"0")</f>
        <v>3.2051282051282055E-2</v>
      </c>
      <c r="BP171" s="78">
        <f>IFERROR(1/J171*(Y171/H171),"0")</f>
        <v>3.8461538461538464E-2</v>
      </c>
    </row>
    <row r="172" spans="1:68" ht="27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3.3333333333333335</v>
      </c>
      <c r="Y174" s="43">
        <f>IFERROR(Y171/H171,"0")+IFERROR(Y172/H172,"0")+IFERROR(Y173/H173,"0")</f>
        <v>4</v>
      </c>
      <c r="Z174" s="43">
        <f>IFERROR(IF(Z171="",0,Z171),"0")+IFERROR(IF(Z172="",0,Z172),"0")+IFERROR(IF(Z173="",0,Z173),"0")</f>
        <v>4.7840000000000001E-2</v>
      </c>
      <c r="AA174" s="67"/>
      <c r="AB174" s="67"/>
      <c r="AC174" s="67"/>
    </row>
    <row r="175" spans="1:68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20</v>
      </c>
      <c r="Y175" s="43">
        <f>IFERROR(SUM(Y171:Y173),"0")</f>
        <v>24</v>
      </c>
      <c r="Z175" s="42"/>
      <c r="AA175" s="67"/>
      <c r="AB175" s="67"/>
      <c r="AC175" s="67"/>
    </row>
    <row r="176" spans="1:68" ht="14.25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30</v>
      </c>
      <c r="Y182" s="55">
        <f t="shared" ref="Y182:Y195" si="27">IFERROR(IF(X182="",0,CEILING((X182/$H182),1)*$H182),"")</f>
        <v>31.5</v>
      </c>
      <c r="Z182" s="41">
        <f t="shared" ref="Z182:Z187" si="28">IFERROR(IF(Y182=0,"",ROUNDUP(Y182/H182,0)*0.00902),"")</f>
        <v>8.1180000000000002E-2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31.62857142857143</v>
      </c>
      <c r="BN182" s="78">
        <f t="shared" ref="BN182:BN195" si="30">IFERROR(Y182*I182/H182,"0")</f>
        <v>33.21</v>
      </c>
      <c r="BO182" s="78">
        <f t="shared" ref="BO182:BO195" si="31">IFERROR(1/J182*(X182/H182),"0")</f>
        <v>6.4935064935064929E-2</v>
      </c>
      <c r="BP182" s="78">
        <f t="shared" ref="BP182:BP195" si="32">IFERROR(1/J182*(Y182/H182),"0")</f>
        <v>6.8181818181818177E-2</v>
      </c>
    </row>
    <row r="183" spans="1:68" ht="27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20</v>
      </c>
      <c r="Y184" s="55">
        <f t="shared" si="27"/>
        <v>21</v>
      </c>
      <c r="Z184" s="41">
        <f t="shared" si="28"/>
        <v>5.4120000000000001E-2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21.085714285714285</v>
      </c>
      <c r="BN184" s="78">
        <f t="shared" si="30"/>
        <v>22.139999999999997</v>
      </c>
      <c r="BO184" s="78">
        <f t="shared" si="31"/>
        <v>4.3290043290043295E-2</v>
      </c>
      <c r="BP184" s="78">
        <f t="shared" si="32"/>
        <v>4.5454545454545456E-2</v>
      </c>
    </row>
    <row r="185" spans="1:68" ht="27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40</v>
      </c>
      <c r="Y186" s="55">
        <f t="shared" si="27"/>
        <v>42</v>
      </c>
      <c r="Z186" s="41">
        <f t="shared" si="28"/>
        <v>0.10824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42.171428571428571</v>
      </c>
      <c r="BN186" s="78">
        <f t="shared" si="30"/>
        <v>44.279999999999994</v>
      </c>
      <c r="BO186" s="78">
        <f t="shared" si="31"/>
        <v>8.658008658008659E-2</v>
      </c>
      <c r="BP186" s="78">
        <f t="shared" si="32"/>
        <v>9.0909090909090912E-2</v>
      </c>
    </row>
    <row r="187" spans="1:68" ht="27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1.8</v>
      </c>
      <c r="Y191" s="55">
        <f t="shared" si="27"/>
        <v>1.8</v>
      </c>
      <c r="Z191" s="41">
        <f>IFERROR(IF(Y191=0,"",ROUNDUP(Y191/H191,0)*0.00417),"")</f>
        <v>8.3400000000000002E-3</v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2.2200000000000002</v>
      </c>
      <c r="BN191" s="78">
        <f t="shared" si="30"/>
        <v>2.2200000000000002</v>
      </c>
      <c r="BO191" s="78">
        <f t="shared" si="31"/>
        <v>5.9523809523809521E-3</v>
      </c>
      <c r="BP191" s="78">
        <f t="shared" si="32"/>
        <v>5.9523809523809521E-3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27.714285714285715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29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0.25187999999999999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91.8</v>
      </c>
      <c r="Y197" s="43">
        <f>IFERROR(SUM(Y182:Y195),"0")</f>
        <v>96.3</v>
      </c>
      <c r="Z197" s="42"/>
      <c r="AA197" s="67"/>
      <c r="AB197" s="67"/>
      <c r="AC197" s="67"/>
    </row>
    <row r="198" spans="1:68" ht="14.25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1.05</v>
      </c>
      <c r="Y255" s="55">
        <f>IFERROR(IF(X255="",0,CEILING((X255/$H255),1)*$H255),"")</f>
        <v>1.26</v>
      </c>
      <c r="Z255" s="41">
        <f>IFERROR(IF(Y255=0,"",ROUNDUP(Y255/H255,0)*0.0059),"")</f>
        <v>5.8999999999999999E-3</v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1.2083333333333333</v>
      </c>
      <c r="BN255" s="78">
        <f>IFERROR(Y255*I255/H255,"0")</f>
        <v>1.45</v>
      </c>
      <c r="BO255" s="78">
        <f>IFERROR(1/J255*(X255/H255),"0")</f>
        <v>3.8580246913580245E-3</v>
      </c>
      <c r="BP255" s="78">
        <f>IFERROR(1/J255*(Y255/H255),"0")</f>
        <v>4.6296296296296294E-3</v>
      </c>
    </row>
    <row r="256" spans="1:68" ht="27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0.83333333333333337</v>
      </c>
      <c r="Y258" s="43">
        <f>IFERROR(Y255/H255,"0")+IFERROR(Y256/H256,"0")+IFERROR(Y257/H257,"0")</f>
        <v>1</v>
      </c>
      <c r="Z258" s="43">
        <f>IFERROR(IF(Z255="",0,Z255),"0")+IFERROR(IF(Z256="",0,Z256),"0")+IFERROR(IF(Z257="",0,Z257),"0")</f>
        <v>5.8999999999999999E-3</v>
      </c>
      <c r="AA258" s="67"/>
      <c r="AB258" s="67"/>
      <c r="AC258" s="67"/>
    </row>
    <row r="259" spans="1:68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1.05</v>
      </c>
      <c r="Y259" s="43">
        <f>IFERROR(SUM(Y255:Y257),"0")</f>
        <v>1.26</v>
      </c>
      <c r="Z259" s="42"/>
      <c r="AA259" s="67"/>
      <c r="AB259" s="67"/>
      <c r="AC259" s="67"/>
    </row>
    <row r="260" spans="1:68" ht="14.25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150</v>
      </c>
      <c r="Y276" s="55">
        <f t="shared" ref="Y276:Y283" si="45">IFERROR(IF(X276="",0,CEILING((X276/$H276),1)*$H276),"")</f>
        <v>151.20000000000002</v>
      </c>
      <c r="Z276" s="41">
        <f>IFERROR(IF(Y276=0,"",ROUNDUP(Y276/H276,0)*0.00902),"")</f>
        <v>0.25256000000000001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155.27777777777777</v>
      </c>
      <c r="BN276" s="78">
        <f t="shared" ref="BN276:BN283" si="47">IFERROR(Y276*I276/H276,"0")</f>
        <v>156.52000000000001</v>
      </c>
      <c r="BO276" s="78">
        <f t="shared" ref="BO276:BO283" si="48">IFERROR(1/J276*(X276/H276),"0")</f>
        <v>0.21043771043771042</v>
      </c>
      <c r="BP276" s="78">
        <f t="shared" ref="BP276:BP283" si="49">IFERROR(1/J276*(Y276/H276),"0")</f>
        <v>0.21212121212121213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150</v>
      </c>
      <c r="Y277" s="55">
        <f t="shared" si="45"/>
        <v>151.20000000000002</v>
      </c>
      <c r="Z277" s="41">
        <f>IFERROR(IF(Y277=0,"",ROUNDUP(Y277/H277,0)*0.00902),"")</f>
        <v>0.25256000000000001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155.27777777777777</v>
      </c>
      <c r="BN277" s="78">
        <f t="shared" si="47"/>
        <v>156.52000000000001</v>
      </c>
      <c r="BO277" s="78">
        <f t="shared" si="48"/>
        <v>0.21043771043771042</v>
      </c>
      <c r="BP277" s="78">
        <f t="shared" si="49"/>
        <v>0.21212121212121213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150</v>
      </c>
      <c r="Y278" s="55">
        <f t="shared" si="45"/>
        <v>151.20000000000002</v>
      </c>
      <c r="Z278" s="41">
        <f>IFERROR(IF(Y278=0,"",ROUNDUP(Y278/H278,0)*0.00902),"")</f>
        <v>0.25256000000000001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155.27777777777777</v>
      </c>
      <c r="BN278" s="78">
        <f t="shared" si="47"/>
        <v>156.52000000000001</v>
      </c>
      <c r="BO278" s="78">
        <f t="shared" si="48"/>
        <v>0.21043771043771042</v>
      </c>
      <c r="BP278" s="78">
        <f t="shared" si="49"/>
        <v>0.21212121212121213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180</v>
      </c>
      <c r="Y279" s="55">
        <f t="shared" si="45"/>
        <v>183.60000000000002</v>
      </c>
      <c r="Z279" s="41">
        <f>IFERROR(IF(Y279=0,"",ROUNDUP(Y279/H279,0)*0.00902),"")</f>
        <v>0.30668000000000001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186.33333333333331</v>
      </c>
      <c r="BN279" s="78">
        <f t="shared" si="47"/>
        <v>190.06</v>
      </c>
      <c r="BO279" s="78">
        <f t="shared" si="48"/>
        <v>0.25252525252525249</v>
      </c>
      <c r="BP279" s="78">
        <f t="shared" si="49"/>
        <v>0.25757575757575757</v>
      </c>
    </row>
    <row r="280" spans="1:68" ht="27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30</v>
      </c>
      <c r="Y281" s="55">
        <f t="shared" si="45"/>
        <v>30.6</v>
      </c>
      <c r="Z281" s="41">
        <f>IFERROR(IF(Y281=0,"",ROUNDUP(Y281/H281,0)*0.00502),"")</f>
        <v>8.5339999999999999E-2</v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31.666666666666664</v>
      </c>
      <c r="BN281" s="78">
        <f t="shared" si="47"/>
        <v>32.299999999999997</v>
      </c>
      <c r="BO281" s="78">
        <f t="shared" si="48"/>
        <v>7.122507122507124E-2</v>
      </c>
      <c r="BP281" s="78">
        <f t="shared" si="49"/>
        <v>7.2649572649572655E-2</v>
      </c>
    </row>
    <row r="282" spans="1:68" ht="27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30</v>
      </c>
      <c r="Y282" s="55">
        <f t="shared" si="45"/>
        <v>30.6</v>
      </c>
      <c r="Z282" s="41">
        <f>IFERROR(IF(Y282=0,"",ROUNDUP(Y282/H282,0)*0.00502),"")</f>
        <v>8.5339999999999999E-2</v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31.666666666666664</v>
      </c>
      <c r="BN282" s="78">
        <f t="shared" si="47"/>
        <v>32.299999999999997</v>
      </c>
      <c r="BO282" s="78">
        <f t="shared" si="48"/>
        <v>7.122507122507124E-2</v>
      </c>
      <c r="BP282" s="78">
        <f t="shared" si="49"/>
        <v>7.2649572649572655E-2</v>
      </c>
    </row>
    <row r="283" spans="1:68" ht="27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30</v>
      </c>
      <c r="Y283" s="55">
        <f t="shared" si="45"/>
        <v>30.6</v>
      </c>
      <c r="Z283" s="41">
        <f>IFERROR(IF(Y283=0,"",ROUNDUP(Y283/H283,0)*0.00502),"")</f>
        <v>8.5339999999999999E-2</v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31.666666666666664</v>
      </c>
      <c r="BN283" s="78">
        <f t="shared" si="47"/>
        <v>32.299999999999997</v>
      </c>
      <c r="BO283" s="78">
        <f t="shared" si="48"/>
        <v>7.122507122507124E-2</v>
      </c>
      <c r="BP283" s="78">
        <f t="shared" si="49"/>
        <v>7.2649572649572655E-2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166.66666666666663</v>
      </c>
      <c r="Y284" s="43">
        <f>IFERROR(Y276/H276,"0")+IFERROR(Y277/H277,"0")+IFERROR(Y278/H278,"0")+IFERROR(Y279/H279,"0")+IFERROR(Y280/H280,"0")+IFERROR(Y281/H281,"0")+IFERROR(Y282/H282,"0")+IFERROR(Y283/H283,"0")</f>
        <v>169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1.3203799999999999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720</v>
      </c>
      <c r="Y285" s="43">
        <f>IFERROR(SUM(Y276:Y283),"0")</f>
        <v>729.00000000000011</v>
      </c>
      <c r="Z285" s="42"/>
      <c r="AA285" s="67"/>
      <c r="AB285" s="67"/>
      <c r="AC285" s="67"/>
    </row>
    <row r="286" spans="1:68" ht="14.25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20</v>
      </c>
      <c r="Y289" s="55">
        <f t="shared" si="50"/>
        <v>26.099999999999998</v>
      </c>
      <c r="Z289" s="41">
        <f>IFERROR(IF(Y289=0,"",ROUNDUP(Y289/H289,0)*0.01898),"")</f>
        <v>5.6940000000000004E-2</v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21.135632183908051</v>
      </c>
      <c r="BN289" s="78">
        <f t="shared" si="52"/>
        <v>27.582000000000004</v>
      </c>
      <c r="BO289" s="78">
        <f t="shared" si="53"/>
        <v>3.5919540229885062E-2</v>
      </c>
      <c r="BP289" s="78">
        <f t="shared" si="54"/>
        <v>4.6875E-2</v>
      </c>
    </row>
    <row r="290" spans="1:68" ht="27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16</v>
      </c>
      <c r="Y290" s="55">
        <f t="shared" si="50"/>
        <v>16.8</v>
      </c>
      <c r="Z290" s="41">
        <f>IFERROR(IF(Y290=0,"",ROUNDUP(Y290/H290,0)*0.00651),"")</f>
        <v>4.5569999999999999E-2</v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17.8</v>
      </c>
      <c r="BN290" s="78">
        <f t="shared" si="52"/>
        <v>18.690000000000001</v>
      </c>
      <c r="BO290" s="78">
        <f t="shared" si="53"/>
        <v>3.6630036630036632E-2</v>
      </c>
      <c r="BP290" s="78">
        <f t="shared" si="54"/>
        <v>3.8461538461538471E-2</v>
      </c>
    </row>
    <row r="291" spans="1:68" ht="27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32</v>
      </c>
      <c r="Y293" s="55">
        <f t="shared" si="50"/>
        <v>33.6</v>
      </c>
      <c r="Z293" s="41">
        <f>IFERROR(IF(Y293=0,"",ROUNDUP(Y293/H293,0)*0.00651),"")</f>
        <v>9.1139999999999999E-2</v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35.360000000000007</v>
      </c>
      <c r="BN293" s="78">
        <f t="shared" si="52"/>
        <v>37.128000000000007</v>
      </c>
      <c r="BO293" s="78">
        <f t="shared" si="53"/>
        <v>7.3260073260073263E-2</v>
      </c>
      <c r="BP293" s="78">
        <f t="shared" si="54"/>
        <v>7.6923076923076941E-2</v>
      </c>
    </row>
    <row r="294" spans="1:68" ht="27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12</v>
      </c>
      <c r="Y295" s="55">
        <f t="shared" si="50"/>
        <v>12</v>
      </c>
      <c r="Z295" s="41">
        <f>IFERROR(IF(Y295=0,"",ROUNDUP(Y295/H295,0)*0.00651),"")</f>
        <v>3.2550000000000003E-2</v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13.260000000000002</v>
      </c>
      <c r="BN295" s="78">
        <f t="shared" si="52"/>
        <v>13.260000000000002</v>
      </c>
      <c r="BO295" s="78">
        <f t="shared" si="53"/>
        <v>2.7472527472527476E-2</v>
      </c>
      <c r="BP295" s="78">
        <f t="shared" si="54"/>
        <v>2.7472527472527476E-2</v>
      </c>
    </row>
    <row r="296" spans="1:68" ht="27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8</v>
      </c>
      <c r="Y296" s="55">
        <f t="shared" si="50"/>
        <v>9.6</v>
      </c>
      <c r="Z296" s="41">
        <f>IFERROR(IF(Y296=0,"",ROUNDUP(Y296/H296,0)*0.00651),"")</f>
        <v>2.6040000000000001E-2</v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8.8400000000000016</v>
      </c>
      <c r="BN296" s="78">
        <f t="shared" si="52"/>
        <v>10.608000000000001</v>
      </c>
      <c r="BO296" s="78">
        <f t="shared" si="53"/>
        <v>1.8315018315018316E-2</v>
      </c>
      <c r="BP296" s="78">
        <f t="shared" si="54"/>
        <v>2.197802197802198E-2</v>
      </c>
    </row>
    <row r="297" spans="1:68" ht="27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8</v>
      </c>
      <c r="Y297" s="55">
        <f t="shared" si="50"/>
        <v>9.6</v>
      </c>
      <c r="Z297" s="41">
        <f>IFERROR(IF(Y297=0,"",ROUNDUP(Y297/H297,0)*0.00651),"")</f>
        <v>2.6040000000000001E-2</v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8.86</v>
      </c>
      <c r="BN297" s="78">
        <f t="shared" si="52"/>
        <v>10.632</v>
      </c>
      <c r="BO297" s="78">
        <f t="shared" si="53"/>
        <v>1.8315018315018316E-2</v>
      </c>
      <c r="BP297" s="78">
        <f t="shared" si="54"/>
        <v>2.197802197802198E-2</v>
      </c>
    </row>
    <row r="298" spans="1:68" ht="27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33.96551724137931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37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0.27827999999999997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96</v>
      </c>
      <c r="Y300" s="43">
        <f>IFERROR(SUM(Y287:Y298),"0")</f>
        <v>107.69999999999999</v>
      </c>
      <c r="Z300" s="42"/>
      <c r="AA300" s="67"/>
      <c r="AB300" s="67"/>
      <c r="AC300" s="67"/>
    </row>
    <row r="301" spans="1:68" ht="14.25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12</v>
      </c>
      <c r="Y303" s="55">
        <f>IFERROR(IF(X303="",0,CEILING((X303/$H303),1)*$H303),"")</f>
        <v>12</v>
      </c>
      <c r="Z303" s="41">
        <f>IFERROR(IF(Y303=0,"",ROUNDUP(Y303/H303,0)*0.00651),"")</f>
        <v>3.2550000000000003E-2</v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13.260000000000002</v>
      </c>
      <c r="BN303" s="78">
        <f>IFERROR(Y303*I303/H303,"0")</f>
        <v>13.260000000000002</v>
      </c>
      <c r="BO303" s="78">
        <f>IFERROR(1/J303*(X303/H303),"0")</f>
        <v>2.7472527472527476E-2</v>
      </c>
      <c r="BP303" s="78">
        <f>IFERROR(1/J303*(Y303/H303),"0")</f>
        <v>2.7472527472527476E-2</v>
      </c>
    </row>
    <row r="304" spans="1:68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5</v>
      </c>
      <c r="Y304" s="43">
        <f>IFERROR(Y302/H302,"0")+IFERROR(Y303/H303,"0")</f>
        <v>5</v>
      </c>
      <c r="Z304" s="43">
        <f>IFERROR(IF(Z302="",0,Z302),"0")+IFERROR(IF(Z303="",0,Z303),"0")</f>
        <v>3.2550000000000003E-2</v>
      </c>
      <c r="AA304" s="67"/>
      <c r="AB304" s="67"/>
      <c r="AC304" s="67"/>
    </row>
    <row r="305" spans="1:68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12</v>
      </c>
      <c r="Y305" s="43">
        <f>IFERROR(SUM(Y302:Y303),"0")</f>
        <v>12</v>
      </c>
      <c r="Z305" s="42"/>
      <c r="AA305" s="67"/>
      <c r="AB305" s="67"/>
      <c r="AC305" s="67"/>
    </row>
    <row r="306" spans="1:68" ht="16.5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3.6</v>
      </c>
      <c r="Y322" s="55">
        <f>IFERROR(IF(X322="",0,CEILING((X322/$H322),1)*$H322),"")</f>
        <v>3.6</v>
      </c>
      <c r="Z322" s="41">
        <f>IFERROR(IF(Y322=0,"",ROUNDUP(Y322/H322,0)*0.0059),"")</f>
        <v>1.18E-2</v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3.95</v>
      </c>
      <c r="BN322" s="78">
        <f>IFERROR(Y322*I322/H322,"0")</f>
        <v>3.95</v>
      </c>
      <c r="BO322" s="78">
        <f>IFERROR(1/J322*(X322/H322),"0")</f>
        <v>9.2592592592592587E-3</v>
      </c>
      <c r="BP322" s="78">
        <f>IFERROR(1/J322*(Y322/H322),"0")</f>
        <v>9.2592592592592587E-3</v>
      </c>
    </row>
    <row r="323" spans="1:68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2</v>
      </c>
      <c r="Y323" s="43">
        <f>IFERROR(Y322/H322,"0")</f>
        <v>2</v>
      </c>
      <c r="Z323" s="43">
        <f>IFERROR(IF(Z322="",0,Z322),"0")</f>
        <v>1.18E-2</v>
      </c>
      <c r="AA323" s="67"/>
      <c r="AB323" s="67"/>
      <c r="AC323" s="67"/>
    </row>
    <row r="324" spans="1:68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3.6</v>
      </c>
      <c r="Y324" s="43">
        <f>IFERROR(SUM(Y322:Y322),"0")</f>
        <v>3.6</v>
      </c>
      <c r="Z324" s="42"/>
      <c r="AA324" s="67"/>
      <c r="AB324" s="67"/>
      <c r="AC324" s="67"/>
    </row>
    <row r="325" spans="1:68" ht="14.25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3.6</v>
      </c>
      <c r="Y327" s="55">
        <f>IFERROR(IF(X327="",0,CEILING((X327/$H327),1)*$H327),"")</f>
        <v>3.6</v>
      </c>
      <c r="Z327" s="41">
        <f>IFERROR(IF(Y327=0,"",ROUNDUP(Y327/H327,0)*0.0059),"")</f>
        <v>1.18E-2</v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3.95</v>
      </c>
      <c r="BN327" s="78">
        <f>IFERROR(Y327*I327/H327,"0")</f>
        <v>3.95</v>
      </c>
      <c r="BO327" s="78">
        <f>IFERROR(1/J327*(X327/H327),"0")</f>
        <v>9.2592592592592587E-3</v>
      </c>
      <c r="BP327" s="78">
        <f>IFERROR(1/J327*(Y327/H327),"0")</f>
        <v>9.2592592592592587E-3</v>
      </c>
    </row>
    <row r="328" spans="1:68" ht="27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2</v>
      </c>
      <c r="Y329" s="43">
        <f>IFERROR(Y326/H326,"0")+IFERROR(Y327/H327,"0")+IFERROR(Y328/H328,"0")</f>
        <v>2</v>
      </c>
      <c r="Z329" s="43">
        <f>IFERROR(IF(Z326="",0,Z326),"0")+IFERROR(IF(Z327="",0,Z327),"0")+IFERROR(IF(Z328="",0,Z328),"0")</f>
        <v>1.18E-2</v>
      </c>
      <c r="AA329" s="67"/>
      <c r="AB329" s="67"/>
      <c r="AC329" s="67"/>
    </row>
    <row r="330" spans="1:68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3.6</v>
      </c>
      <c r="Y330" s="43">
        <f>IFERROR(SUM(Y326:Y328),"0")</f>
        <v>3.6</v>
      </c>
      <c r="Z330" s="42"/>
      <c r="AA330" s="67"/>
      <c r="AB330" s="67"/>
      <c r="AC330" s="67"/>
    </row>
    <row r="331" spans="1:68" ht="16.5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20</v>
      </c>
      <c r="Y344" s="55">
        <f>IFERROR(IF(X344="",0,CEILING((X344/$H344),1)*$H344),"")</f>
        <v>21.599999999999998</v>
      </c>
      <c r="Z344" s="41">
        <f>IFERROR(IF(Y344=0,"",ROUNDUP(Y344/H344,0)*0.00651),"")</f>
        <v>5.8590000000000003E-2</v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21.5</v>
      </c>
      <c r="BN344" s="78">
        <f>IFERROR(Y344*I344/H344,"0")</f>
        <v>23.22</v>
      </c>
      <c r="BO344" s="78">
        <f>IFERROR(1/J344*(X344/H344),"0")</f>
        <v>4.5787545787545791E-2</v>
      </c>
      <c r="BP344" s="78">
        <f>IFERROR(1/J344*(Y344/H344),"0")</f>
        <v>4.9450549450549455E-2</v>
      </c>
    </row>
    <row r="345" spans="1:68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8.3333333333333339</v>
      </c>
      <c r="Y345" s="43">
        <f>IFERROR(Y342/H342,"0")+IFERROR(Y343/H343,"0")+IFERROR(Y344/H344,"0")</f>
        <v>9</v>
      </c>
      <c r="Z345" s="43">
        <f>IFERROR(IF(Z342="",0,Z342),"0")+IFERROR(IF(Z343="",0,Z343),"0")+IFERROR(IF(Z344="",0,Z344),"0")</f>
        <v>5.8590000000000003E-2</v>
      </c>
      <c r="AA345" s="67"/>
      <c r="AB345" s="67"/>
      <c r="AC345" s="67"/>
    </row>
    <row r="346" spans="1:68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20</v>
      </c>
      <c r="Y346" s="43">
        <f>IFERROR(SUM(Y342:Y344),"0")</f>
        <v>21.599999999999998</v>
      </c>
      <c r="Z346" s="42"/>
      <c r="AA346" s="67"/>
      <c r="AB346" s="67"/>
      <c r="AC346" s="67"/>
    </row>
    <row r="347" spans="1:68" ht="16.5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15</v>
      </c>
      <c r="Y364" s="55">
        <f>IFERROR(IF(X364="",0,CEILING((X364/$H364),1)*$H364),"")</f>
        <v>15.6</v>
      </c>
      <c r="Z364" s="41">
        <f>IFERROR(IF(Y364=0,"",ROUNDUP(Y364/H364,0)*0.01898),"")</f>
        <v>3.7960000000000001E-2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15.78846153846154</v>
      </c>
      <c r="BN364" s="78">
        <f>IFERROR(Y364*I364/H364,"0")</f>
        <v>16.420000000000002</v>
      </c>
      <c r="BO364" s="78">
        <f>IFERROR(1/J364*(X364/H364),"0")</f>
        <v>3.0048076923076924E-2</v>
      </c>
      <c r="BP364" s="78">
        <f>IFERROR(1/J364*(Y364/H364),"0")</f>
        <v>3.125E-2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1.9230769230769231</v>
      </c>
      <c r="Y366" s="43">
        <f>IFERROR(Y363/H363,"0")+IFERROR(Y364/H364,"0")+IFERROR(Y365/H365,"0")</f>
        <v>2</v>
      </c>
      <c r="Z366" s="43">
        <f>IFERROR(IF(Z363="",0,Z363),"0")+IFERROR(IF(Z364="",0,Z364),"0")+IFERROR(IF(Z365="",0,Z365),"0")</f>
        <v>3.7960000000000001E-2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15</v>
      </c>
      <c r="Y367" s="43">
        <f>IFERROR(SUM(Y363:Y365),"0")</f>
        <v>15.6</v>
      </c>
      <c r="Z367" s="42"/>
      <c r="AA367" s="67"/>
      <c r="AB367" s="67"/>
      <c r="AC367" s="67"/>
    </row>
    <row r="368" spans="1:68" ht="16.5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14</v>
      </c>
      <c r="Y382" s="55">
        <f t="shared" si="65"/>
        <v>14.700000000000001</v>
      </c>
      <c r="Z382" s="41">
        <f>IFERROR(IF(Y382=0,"",ROUNDUP(Y382/H382,0)*0.00502),"")</f>
        <v>3.5140000000000005E-2</v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14.866666666666665</v>
      </c>
      <c r="BN382" s="78">
        <f t="shared" si="67"/>
        <v>15.61</v>
      </c>
      <c r="BO382" s="78">
        <f t="shared" si="68"/>
        <v>2.8490028490028491E-2</v>
      </c>
      <c r="BP382" s="78">
        <f t="shared" si="69"/>
        <v>2.9914529914529919E-2</v>
      </c>
    </row>
    <row r="383" spans="1:68" ht="27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15</v>
      </c>
      <c r="Y385" s="55">
        <f t="shared" si="65"/>
        <v>16.2</v>
      </c>
      <c r="Z385" s="41">
        <f>IFERROR(IF(Y385=0,"",ROUNDUP(Y385/H385,0)*0.00651),"")</f>
        <v>5.8590000000000003E-2</v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16.900000000000002</v>
      </c>
      <c r="BN385" s="78">
        <f t="shared" si="67"/>
        <v>18.251999999999999</v>
      </c>
      <c r="BO385" s="78">
        <f t="shared" si="68"/>
        <v>4.5787545787545791E-2</v>
      </c>
      <c r="BP385" s="78">
        <f t="shared" si="69"/>
        <v>4.9450549450549455E-2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15</v>
      </c>
      <c r="Y386" s="43">
        <f>IFERROR(Y379/H379,"0")+IFERROR(Y380/H380,"0")+IFERROR(Y381/H381,"0")+IFERROR(Y382/H382,"0")+IFERROR(Y383/H383,"0")+IFERROR(Y384/H384,"0")+IFERROR(Y385/H385,"0")</f>
        <v>16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9.3730000000000008E-2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29</v>
      </c>
      <c r="Y387" s="43">
        <f>IFERROR(SUM(Y379:Y385),"0")</f>
        <v>30.9</v>
      </c>
      <c r="Z387" s="42"/>
      <c r="AA387" s="67"/>
      <c r="AB387" s="67"/>
      <c r="AC387" s="67"/>
    </row>
    <row r="388" spans="1:68" ht="14.25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80</v>
      </c>
      <c r="Y397" s="55">
        <f>IFERROR(IF(X397="",0,CEILING((X397/$H397),1)*$H397),"")</f>
        <v>85.8</v>
      </c>
      <c r="Z397" s="41">
        <f>IFERROR(IF(Y397=0,"",ROUNDUP(Y397/H397,0)*0.01898),"")</f>
        <v>0.20877999999999999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85.066666666666663</v>
      </c>
      <c r="BN397" s="78">
        <f>IFERROR(Y397*I397/H397,"0")</f>
        <v>91.234000000000009</v>
      </c>
      <c r="BO397" s="78">
        <f>IFERROR(1/J397*(X397/H397),"0")</f>
        <v>0.16025641025641027</v>
      </c>
      <c r="BP397" s="78">
        <f>IFERROR(1/J397*(Y397/H397),"0")</f>
        <v>0.171875</v>
      </c>
    </row>
    <row r="398" spans="1:68" ht="27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10.256410256410257</v>
      </c>
      <c r="Y399" s="43">
        <f>IFERROR(Y396/H396,"0")+IFERROR(Y397/H397,"0")+IFERROR(Y398/H398,"0")</f>
        <v>11</v>
      </c>
      <c r="Z399" s="43">
        <f>IFERROR(IF(Z396="",0,Z396),"0")+IFERROR(IF(Z397="",0,Z397),"0")+IFERROR(IF(Z398="",0,Z398),"0")</f>
        <v>0.20877999999999999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80</v>
      </c>
      <c r="Y400" s="43">
        <f>IFERROR(SUM(Y396:Y398),"0")</f>
        <v>85.8</v>
      </c>
      <c r="Z400" s="42"/>
      <c r="AA400" s="67"/>
      <c r="AB400" s="67"/>
      <c r="AC400" s="67"/>
    </row>
    <row r="401" spans="1:68" ht="14.25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30</v>
      </c>
      <c r="Y428" s="55">
        <f>IFERROR(IF(X428="",0,CEILING((X428/$H428),1)*$H428),"")</f>
        <v>32.4</v>
      </c>
      <c r="Z428" s="41">
        <f>IFERROR(IF(Y428=0,"",ROUNDUP(Y428/H428,0)*0.01898),"")</f>
        <v>7.5920000000000001E-2</v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31.829629629629629</v>
      </c>
      <c r="BN428" s="78">
        <f>IFERROR(Y428*I428/H428,"0")</f>
        <v>34.375999999999998</v>
      </c>
      <c r="BO428" s="78">
        <f>IFERROR(1/J428*(X428/H428),"0")</f>
        <v>5.7870370370370371E-2</v>
      </c>
      <c r="BP428" s="78">
        <f>IFERROR(1/J428*(Y428/H428),"0")</f>
        <v>6.25E-2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3.7037037037037037</v>
      </c>
      <c r="Y431" s="43">
        <f>IFERROR(Y428/H428,"0")+IFERROR(Y429/H429,"0")+IFERROR(Y430/H430,"0")</f>
        <v>4</v>
      </c>
      <c r="Z431" s="43">
        <f>IFERROR(IF(Z428="",0,Z428),"0")+IFERROR(IF(Z429="",0,Z429),"0")+IFERROR(IF(Z430="",0,Z430),"0")</f>
        <v>7.5920000000000001E-2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30</v>
      </c>
      <c r="Y432" s="43">
        <f>IFERROR(SUM(Y428:Y430),"0")</f>
        <v>32.4</v>
      </c>
      <c r="Z432" s="42"/>
      <c r="AA432" s="67"/>
      <c r="AB432" s="67"/>
      <c r="AC432" s="67"/>
    </row>
    <row r="433" spans="1:68" ht="27.75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15</v>
      </c>
      <c r="Y436" s="55">
        <f t="shared" ref="Y436:Y443" si="70">IFERROR(IF(X436="",0,CEILING((X436/$H436),1)*$H436),"")</f>
        <v>15</v>
      </c>
      <c r="Z436" s="41">
        <f>IFERROR(IF(Y436=0,"",ROUNDUP(Y436/H436,0)*0.02175),"")</f>
        <v>2.1749999999999999E-2</v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15.47</v>
      </c>
      <c r="BN436" s="78">
        <f t="shared" ref="BN436:BN443" si="72">IFERROR(Y436*I436/H436,"0")</f>
        <v>15.47</v>
      </c>
      <c r="BO436" s="78">
        <f t="shared" ref="BO436:BO443" si="73">IFERROR(1/J436*(X436/H436),"0")</f>
        <v>2.0833333333333332E-2</v>
      </c>
      <c r="BP436" s="78">
        <f t="shared" ref="BP436:BP443" si="74">IFERROR(1/J436*(Y436/H436),"0")</f>
        <v>2.0833333333333332E-2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500</v>
      </c>
      <c r="Y438" s="55">
        <f t="shared" si="70"/>
        <v>510</v>
      </c>
      <c r="Z438" s="41">
        <f>IFERROR(IF(Y438=0,"",ROUNDUP(Y438/H438,0)*0.02175),"")</f>
        <v>0.73949999999999994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515.66666666666663</v>
      </c>
      <c r="BN438" s="78">
        <f t="shared" si="72"/>
        <v>525.98</v>
      </c>
      <c r="BO438" s="78">
        <f t="shared" si="73"/>
        <v>0.69444444444444442</v>
      </c>
      <c r="BP438" s="78">
        <f t="shared" si="74"/>
        <v>0.70833333333333326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600</v>
      </c>
      <c r="Y439" s="55">
        <f t="shared" si="70"/>
        <v>600</v>
      </c>
      <c r="Z439" s="41">
        <f>IFERROR(IF(Y439=0,"",ROUNDUP(Y439/H439,0)*0.02175),"")</f>
        <v>0.86999999999999988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618.79999999999995</v>
      </c>
      <c r="BN439" s="78">
        <f t="shared" si="72"/>
        <v>618.79999999999995</v>
      </c>
      <c r="BO439" s="78">
        <f t="shared" si="73"/>
        <v>0.83333333333333326</v>
      </c>
      <c r="BP439" s="78">
        <f t="shared" si="74"/>
        <v>0.83333333333333326</v>
      </c>
    </row>
    <row r="440" spans="1:68" ht="27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74.333333333333343</v>
      </c>
      <c r="Y444" s="43">
        <f>IFERROR(Y436/H436,"0")+IFERROR(Y437/H437,"0")+IFERROR(Y438/H438,"0")+IFERROR(Y439/H439,"0")+IFERROR(Y440/H440,"0")+IFERROR(Y441/H441,"0")+IFERROR(Y442/H442,"0")+IFERROR(Y443/H443,"0")</f>
        <v>75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1.6312499999999999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1115</v>
      </c>
      <c r="Y445" s="43">
        <f>IFERROR(SUM(Y436:Y443),"0")</f>
        <v>1125</v>
      </c>
      <c r="Z445" s="42"/>
      <c r="AA445" s="67"/>
      <c r="AB445" s="67"/>
      <c r="AC445" s="67"/>
    </row>
    <row r="446" spans="1:68" ht="14.25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500</v>
      </c>
      <c r="Y447" s="55">
        <f>IFERROR(IF(X447="",0,CEILING((X447/$H447),1)*$H447),"")</f>
        <v>510</v>
      </c>
      <c r="Z447" s="41">
        <f>IFERROR(IF(Y447=0,"",ROUNDUP(Y447/H447,0)*0.02175),"")</f>
        <v>0.73949999999999994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515.66666666666663</v>
      </c>
      <c r="BN447" s="78">
        <f>IFERROR(Y447*I447/H447,"0")</f>
        <v>525.98</v>
      </c>
      <c r="BO447" s="78">
        <f>IFERROR(1/J447*(X447/H447),"0")</f>
        <v>0.69444444444444442</v>
      </c>
      <c r="BP447" s="78">
        <f>IFERROR(1/J447*(Y447/H447),"0")</f>
        <v>0.70833333333333326</v>
      </c>
    </row>
    <row r="448" spans="1:68" ht="27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20</v>
      </c>
      <c r="Y448" s="55">
        <f>IFERROR(IF(X448="",0,CEILING((X448/$H448),1)*$H448),"")</f>
        <v>30</v>
      </c>
      <c r="Z448" s="41">
        <f>IFERROR(IF(Y448=0,"",ROUNDUP(Y448/H448,0)*0.02175),"")</f>
        <v>4.3499999999999997E-2</v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20.626666666666669</v>
      </c>
      <c r="BN448" s="78">
        <f>IFERROR(Y448*I448/H448,"0")</f>
        <v>30.94</v>
      </c>
      <c r="BO448" s="78">
        <f>IFERROR(1/J448*(X448/H448),"0")</f>
        <v>2.7777777777777776E-2</v>
      </c>
      <c r="BP448" s="78">
        <f>IFERROR(1/J448*(Y448/H448),"0")</f>
        <v>4.1666666666666664E-2</v>
      </c>
    </row>
    <row r="449" spans="1:68" ht="27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34.666666666666671</v>
      </c>
      <c r="Y450" s="43">
        <f>IFERROR(Y447/H447,"0")+IFERROR(Y448/H448,"0")+IFERROR(Y449/H449,"0")</f>
        <v>36</v>
      </c>
      <c r="Z450" s="43">
        <f>IFERROR(IF(Z447="",0,Z447),"0")+IFERROR(IF(Z448="",0,Z448),"0")+IFERROR(IF(Z449="",0,Z449),"0")</f>
        <v>0.78299999999999992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520</v>
      </c>
      <c r="Y451" s="43">
        <f>IFERROR(SUM(Y447:Y449),"0")</f>
        <v>540</v>
      </c>
      <c r="Z451" s="42"/>
      <c r="AA451" s="67"/>
      <c r="AB451" s="67"/>
      <c r="AC451" s="67"/>
    </row>
    <row r="452" spans="1:68" ht="14.25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150</v>
      </c>
      <c r="Y454" s="55">
        <f>IFERROR(IF(X454="",0,CEILING((X454/$H454),1)*$H454),"")</f>
        <v>153</v>
      </c>
      <c r="Z454" s="41">
        <f>IFERROR(IF(Y454=0,"",ROUNDUP(Y454/H454,0)*0.01898),"")</f>
        <v>0.32266</v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158.23333333333332</v>
      </c>
      <c r="BN454" s="78">
        <f>IFERROR(Y454*I454/H454,"0")</f>
        <v>161.398</v>
      </c>
      <c r="BO454" s="78">
        <f>IFERROR(1/J454*(X454/H454),"0")</f>
        <v>0.26041666666666669</v>
      </c>
      <c r="BP454" s="78">
        <f>IFERROR(1/J454*(Y454/H454),"0")</f>
        <v>0.265625</v>
      </c>
    </row>
    <row r="455" spans="1:68" ht="27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16.666666666666668</v>
      </c>
      <c r="Y456" s="43">
        <f>IFERROR(Y453/H453,"0")+IFERROR(Y454/H454,"0")+IFERROR(Y455/H455,"0")</f>
        <v>17</v>
      </c>
      <c r="Z456" s="43">
        <f>IFERROR(IF(Z453="",0,Z453),"0")+IFERROR(IF(Z454="",0,Z454),"0")+IFERROR(IF(Z455="",0,Z455),"0")</f>
        <v>0.32266</v>
      </c>
      <c r="AA456" s="67"/>
      <c r="AB456" s="67"/>
      <c r="AC456" s="67"/>
    </row>
    <row r="457" spans="1:68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150</v>
      </c>
      <c r="Y457" s="43">
        <f>IFERROR(SUM(Y453:Y455),"0")</f>
        <v>153</v>
      </c>
      <c r="Z457" s="42"/>
      <c r="AA457" s="67"/>
      <c r="AB457" s="67"/>
      <c r="AC457" s="67"/>
    </row>
    <row r="458" spans="1:68" ht="14.25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80</v>
      </c>
      <c r="Y474" s="55">
        <f>IFERROR(IF(X474="",0,CEILING((X474/$H474),1)*$H474),"")</f>
        <v>81</v>
      </c>
      <c r="Z474" s="41">
        <f>IFERROR(IF(Y474=0,"",ROUNDUP(Y474/H474,0)*0.01898),"")</f>
        <v>0.17082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84.391111111111115</v>
      </c>
      <c r="BN474" s="78">
        <f>IFERROR(Y474*I474/H474,"0")</f>
        <v>85.445999999999998</v>
      </c>
      <c r="BO474" s="78">
        <f>IFERROR(1/J474*(X474/H474),"0")</f>
        <v>0.1388888888888889</v>
      </c>
      <c r="BP474" s="78">
        <f>IFERROR(1/J474*(Y474/H474),"0")</f>
        <v>0.140625</v>
      </c>
    </row>
    <row r="475" spans="1:68" ht="27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8.8888888888888893</v>
      </c>
      <c r="Y477" s="43">
        <f>IFERROR(Y474/H474,"0")+IFERROR(Y475/H475,"0")+IFERROR(Y476/H476,"0")</f>
        <v>9</v>
      </c>
      <c r="Z477" s="43">
        <f>IFERROR(IF(Z474="",0,Z474),"0")+IFERROR(IF(Z475="",0,Z475),"0")+IFERROR(IF(Z476="",0,Z476),"0")</f>
        <v>0.17082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80</v>
      </c>
      <c r="Y478" s="43">
        <f>IFERROR(SUM(Y474:Y476),"0")</f>
        <v>81</v>
      </c>
      <c r="Z478" s="42"/>
      <c r="AA478" s="67"/>
      <c r="AB478" s="67"/>
      <c r="AC478" s="67"/>
    </row>
    <row r="479" spans="1:68" ht="27.75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15</v>
      </c>
      <c r="Y483" s="55">
        <f t="shared" si="75"/>
        <v>16.200000000000003</v>
      </c>
      <c r="Z483" s="41">
        <f>IFERROR(IF(Y483=0,"",ROUNDUP(Y483/H483,0)*0.00902),"")</f>
        <v>2.7060000000000001E-2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15.527777777777775</v>
      </c>
      <c r="BN483" s="78">
        <f t="shared" si="77"/>
        <v>16.77</v>
      </c>
      <c r="BO483" s="78">
        <f t="shared" si="78"/>
        <v>2.1043771043771045E-2</v>
      </c>
      <c r="BP483" s="78">
        <f t="shared" si="79"/>
        <v>2.2727272727272731E-2</v>
      </c>
    </row>
    <row r="484" spans="1:68" ht="27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10.5</v>
      </c>
      <c r="Y487" s="55">
        <f t="shared" si="75"/>
        <v>10.5</v>
      </c>
      <c r="Z487" s="41">
        <f>IFERROR(IF(Y487=0,"",ROUNDUP(Y487/H487,0)*0.00502),"")</f>
        <v>2.5100000000000001E-2</v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11.149999999999999</v>
      </c>
      <c r="BN487" s="78">
        <f t="shared" si="77"/>
        <v>11.149999999999999</v>
      </c>
      <c r="BO487" s="78">
        <f t="shared" si="78"/>
        <v>2.1367521367521368E-2</v>
      </c>
      <c r="BP487" s="78">
        <f t="shared" si="79"/>
        <v>2.1367521367521368E-2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7.7777777777777777</v>
      </c>
      <c r="Y488" s="43">
        <f>IFERROR(Y482/H482,"0")+IFERROR(Y483/H483,"0")+IFERROR(Y484/H484,"0")+IFERROR(Y485/H485,"0")+IFERROR(Y486/H486,"0")+IFERROR(Y487/H487,"0")</f>
        <v>8</v>
      </c>
      <c r="Z488" s="43">
        <f>IFERROR(IF(Z482="",0,Z482),"0")+IFERROR(IF(Z483="",0,Z483),"0")+IFERROR(IF(Z484="",0,Z484),"0")+IFERROR(IF(Z485="",0,Z485),"0")+IFERROR(IF(Z486="",0,Z486),"0")+IFERROR(IF(Z487="",0,Z487),"0")</f>
        <v>5.2159999999999998E-2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25.5</v>
      </c>
      <c r="Y489" s="43">
        <f>IFERROR(SUM(Y482:Y487),"0")</f>
        <v>26.700000000000003</v>
      </c>
      <c r="Z489" s="42"/>
      <c r="AA489" s="67"/>
      <c r="AB489" s="67"/>
      <c r="AC489" s="67"/>
    </row>
    <row r="490" spans="1:68" ht="14.25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30</v>
      </c>
      <c r="Y501" s="55">
        <f>IFERROR(IF(X501="",0,CEILING((X501/$H501),1)*$H501),"")</f>
        <v>32.400000000000006</v>
      </c>
      <c r="Z501" s="41">
        <f>IFERROR(IF(Y501=0,"",ROUNDUP(Y501/H501,0)*0.00902),"")</f>
        <v>5.4120000000000001E-2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31.05555555555555</v>
      </c>
      <c r="BN501" s="78">
        <f>IFERROR(Y501*I501/H501,"0")</f>
        <v>33.54</v>
      </c>
      <c r="BO501" s="78">
        <f>IFERROR(1/J501*(X501/H501),"0")</f>
        <v>4.208754208754209E-2</v>
      </c>
      <c r="BP501" s="78">
        <f>IFERROR(1/J501*(Y501/H501),"0")</f>
        <v>4.5454545454545463E-2</v>
      </c>
    </row>
    <row r="502" spans="1:68" ht="27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5.5555555555555554</v>
      </c>
      <c r="Y504" s="43">
        <f>IFERROR(Y501/H501,"0")+IFERROR(Y502/H502,"0")+IFERROR(Y503/H503,"0")</f>
        <v>6.0000000000000009</v>
      </c>
      <c r="Z504" s="43">
        <f>IFERROR(IF(Z501="",0,Z501),"0")+IFERROR(IF(Z502="",0,Z502),"0")+IFERROR(IF(Z503="",0,Z503),"0")</f>
        <v>5.4120000000000001E-2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30</v>
      </c>
      <c r="Y505" s="43">
        <f>IFERROR(SUM(Y501:Y503),"0")</f>
        <v>32.400000000000006</v>
      </c>
      <c r="Z505" s="42"/>
      <c r="AA505" s="67"/>
      <c r="AB505" s="67"/>
      <c r="AC505" s="67"/>
    </row>
    <row r="506" spans="1:68" ht="27.75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30</v>
      </c>
      <c r="Y511" s="55">
        <f t="shared" si="80"/>
        <v>31.68</v>
      </c>
      <c r="Z511" s="41">
        <f t="shared" si="81"/>
        <v>7.1760000000000004E-2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31.988636363636363</v>
      </c>
      <c r="BN511" s="78">
        <f t="shared" si="83"/>
        <v>33.779999999999994</v>
      </c>
      <c r="BO511" s="78">
        <f t="shared" si="84"/>
        <v>5.4632867132867136E-2</v>
      </c>
      <c r="BP511" s="78">
        <f t="shared" si="85"/>
        <v>5.7692307692307696E-2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150</v>
      </c>
      <c r="Y514" s="55">
        <f t="shared" si="80"/>
        <v>153.12</v>
      </c>
      <c r="Z514" s="41">
        <f t="shared" si="81"/>
        <v>0.34683999999999998</v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159.94318181818181</v>
      </c>
      <c r="BN514" s="78">
        <f t="shared" si="83"/>
        <v>163.26999999999998</v>
      </c>
      <c r="BO514" s="78">
        <f t="shared" si="84"/>
        <v>0.27316433566433568</v>
      </c>
      <c r="BP514" s="78">
        <f t="shared" si="85"/>
        <v>0.27884615384615385</v>
      </c>
    </row>
    <row r="515" spans="1:68" ht="27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9</v>
      </c>
      <c r="Y517" s="55">
        <f t="shared" si="80"/>
        <v>9.6</v>
      </c>
      <c r="Z517" s="41">
        <f>IFERROR(IF(Y517=0,"",ROUNDUP(Y517/H517,0)*0.00902),"")</f>
        <v>1.804E-2</v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12.956250000000001</v>
      </c>
      <c r="BN517" s="78">
        <f t="shared" si="83"/>
        <v>13.82</v>
      </c>
      <c r="BO517" s="78">
        <f t="shared" si="84"/>
        <v>1.4204545454545456E-2</v>
      </c>
      <c r="BP517" s="78">
        <f t="shared" si="85"/>
        <v>1.5151515151515152E-2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35.965909090909086</v>
      </c>
      <c r="Y518" s="43">
        <f>IFERROR(Y509/H509,"0")+IFERROR(Y510/H510,"0")+IFERROR(Y511/H511,"0")+IFERROR(Y512/H512,"0")+IFERROR(Y513/H513,"0")+IFERROR(Y514/H514,"0")+IFERROR(Y515/H515,"0")+IFERROR(Y516/H516,"0")+IFERROR(Y517/H517,"0")</f>
        <v>37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0.43663999999999997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189</v>
      </c>
      <c r="Y519" s="43">
        <f>IFERROR(SUM(Y509:Y517),"0")</f>
        <v>194.4</v>
      </c>
      <c r="Z519" s="42"/>
      <c r="AA519" s="67"/>
      <c r="AB519" s="67"/>
      <c r="AC519" s="67"/>
    </row>
    <row r="520" spans="1:68" ht="14.25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40</v>
      </c>
      <c r="Y528" s="55">
        <f t="shared" si="86"/>
        <v>42.24</v>
      </c>
      <c r="Z528" s="41">
        <f>IFERROR(IF(Y528=0,"",ROUNDUP(Y528/H528,0)*0.01196),"")</f>
        <v>9.5680000000000001E-2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42.651515151515149</v>
      </c>
      <c r="BN528" s="78">
        <f t="shared" si="88"/>
        <v>45.04</v>
      </c>
      <c r="BO528" s="78">
        <f t="shared" si="89"/>
        <v>7.2843822843822847E-2</v>
      </c>
      <c r="BP528" s="78">
        <f t="shared" si="90"/>
        <v>7.6923076923076927E-2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7.5757575757575752</v>
      </c>
      <c r="Y534" s="43">
        <f>IFERROR(Y527/H527,"0")+IFERROR(Y528/H528,"0")+IFERROR(Y529/H529,"0")+IFERROR(Y530/H530,"0")+IFERROR(Y531/H531,"0")+IFERROR(Y532/H532,"0")+IFERROR(Y533/H533,"0")</f>
        <v>8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9.5680000000000001E-2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40</v>
      </c>
      <c r="Y535" s="43">
        <f>IFERROR(SUM(Y527:Y533),"0")</f>
        <v>42.24</v>
      </c>
      <c r="Z535" s="42"/>
      <c r="AA535" s="67"/>
      <c r="AB535" s="67"/>
      <c r="AC535" s="67"/>
    </row>
    <row r="536" spans="1:68" ht="27.75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40</v>
      </c>
      <c r="Y547" s="55">
        <f>IFERROR(IF(X547="",0,CEILING((X547/$H547),1)*$H547),"")</f>
        <v>42</v>
      </c>
      <c r="Z547" s="41">
        <f>IFERROR(IF(Y547=0,"",ROUNDUP(Y547/H547,0)*0.00902),"")</f>
        <v>9.0200000000000002E-2</v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42.38095238095238</v>
      </c>
      <c r="BN547" s="78">
        <f>IFERROR(Y547*I547/H547,"0")</f>
        <v>44.5</v>
      </c>
      <c r="BO547" s="78">
        <f>IFERROR(1/J547*(X547/H547),"0")</f>
        <v>7.2150072150072145E-2</v>
      </c>
      <c r="BP547" s="78">
        <f>IFERROR(1/J547*(Y547/H547),"0")</f>
        <v>7.575757575757576E-2</v>
      </c>
    </row>
    <row r="548" spans="1:68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9.5238095238095237</v>
      </c>
      <c r="Y548" s="43">
        <f>IFERROR(Y547/H547,"0")</f>
        <v>10</v>
      </c>
      <c r="Z548" s="43">
        <f>IFERROR(IF(Z547="",0,Z547),"0")</f>
        <v>9.0200000000000002E-2</v>
      </c>
      <c r="AA548" s="67"/>
      <c r="AB548" s="67"/>
      <c r="AC548" s="67"/>
    </row>
    <row r="549" spans="1:68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40</v>
      </c>
      <c r="Y549" s="43">
        <f>IFERROR(SUM(Y547:Y547),"0")</f>
        <v>42</v>
      </c>
      <c r="Z549" s="42"/>
      <c r="AA549" s="67"/>
      <c r="AB549" s="67"/>
      <c r="AC549" s="67"/>
    </row>
    <row r="550" spans="1:68" ht="14.25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1000</v>
      </c>
      <c r="Y551" s="55">
        <f>IFERROR(IF(X551="",0,CEILING((X551/$H551),1)*$H551),"")</f>
        <v>1008</v>
      </c>
      <c r="Z551" s="41">
        <f>IFERROR(IF(Y551=0,"",ROUNDUP(Y551/H551,0)*0.01898),"")</f>
        <v>2.1257600000000001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1054.8888888888889</v>
      </c>
      <c r="BN551" s="78">
        <f>IFERROR(Y551*I551/H551,"0")</f>
        <v>1063.328</v>
      </c>
      <c r="BO551" s="78">
        <f>IFERROR(1/J551*(X551/H551),"0")</f>
        <v>1.7361111111111112</v>
      </c>
      <c r="BP551" s="78">
        <f>IFERROR(1/J551*(Y551/H551),"0")</f>
        <v>1.75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111.11111111111111</v>
      </c>
      <c r="Y552" s="43">
        <f>IFERROR(Y551/H551,"0")</f>
        <v>112</v>
      </c>
      <c r="Z552" s="43">
        <f>IFERROR(IF(Z551="",0,Z551),"0")</f>
        <v>2.1257600000000001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1000</v>
      </c>
      <c r="Y553" s="43">
        <f>IFERROR(SUM(Y551:Y551),"0")</f>
        <v>1008</v>
      </c>
      <c r="Z553" s="42"/>
      <c r="AA553" s="67"/>
      <c r="AB553" s="67"/>
      <c r="AC553" s="67"/>
    </row>
    <row r="554" spans="1:68" ht="14.25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4802.0499999999993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4914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5042.843491870517</v>
      </c>
      <c r="Y565" s="43">
        <f>IFERROR(SUM(BN22:BN561),"0")</f>
        <v>5160.884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8</v>
      </c>
      <c r="Y566" s="44">
        <f>ROUNDUP(SUM(BP22:BP561),0)</f>
        <v>9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5242.843491870517</v>
      </c>
      <c r="Y567" s="43">
        <f>GrossWeightTotalR+PalletQtyTotalR*25</f>
        <v>5385.884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679.55439595525809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698</v>
      </c>
      <c r="Z568" s="42"/>
      <c r="AA568" s="67"/>
      <c r="AB568" s="67"/>
      <c r="AC568" s="67"/>
    </row>
    <row r="569" spans="1:68" ht="14.25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9.3508700000000005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18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109.80000000000001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353.70000000000005</v>
      </c>
      <c r="H574" s="52">
        <f>IFERROR(Y140*1,"0")+IFERROR(Y141*1,"0")+IFERROR(Y145*1,"0")+IFERROR(Y146*1,"0")+IFERROR(Y150*1,"0")+IFERROR(Y151*1,"0")</f>
        <v>24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120.3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1.26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848.70000000000016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7.2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21.599999999999998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15.6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116.69999999999999</v>
      </c>
      <c r="U574" s="52">
        <f>IFERROR(Y422*1,"0")+IFERROR(Y423*1,"0")</f>
        <v>0</v>
      </c>
      <c r="V574" s="52">
        <f>IFERROR(Y428*1,"0")+IFERROR(Y429*1,"0")+IFERROR(Y430*1,"0")</f>
        <v>32.4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1818</v>
      </c>
      <c r="X574" s="52">
        <f>IFERROR(Y465*1,"0")+IFERROR(Y466*1,"0")+IFERROR(Y470*1,"0")+IFERROR(Y474*1,"0")+IFERROR(Y475*1,"0")+IFERROR(Y476*1,"0")</f>
        <v>81</v>
      </c>
      <c r="Y574" s="52">
        <f>IFERROR(Y482*1,"0")+IFERROR(Y483*1,"0")+IFERROR(Y484*1,"0")+IFERROR(Y485*1,"0")+IFERROR(Y486*1,"0")+IFERROR(Y487*1,"0")+IFERROR(Y491*1,"0")+IFERROR(Y492*1,"0")</f>
        <v>26.700000000000003</v>
      </c>
      <c r="Z574" s="52">
        <f>IFERROR(Y497*1,"0")+IFERROR(Y501*1,"0")+IFERROR(Y502*1,"0")+IFERROR(Y503*1,"0")</f>
        <v>32.400000000000006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236.64000000000001</v>
      </c>
      <c r="AB574" s="52">
        <f>IFERROR(Y539*1,"0")+IFERROR(Y543*1,"0")+IFERROR(Y547*1,"0")+IFERROR(Y551*1,"0")+IFERROR(Y555*1,"0")+IFERROR(Y556*1,"0")</f>
        <v>1050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2026-09-10T11:23:54Z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