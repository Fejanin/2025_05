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A8BDDFCB-6F74-4136-BB83-2B8459B45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R38" i="1"/>
  <c r="Q7" i="1"/>
  <c r="Q8" i="1"/>
  <c r="Q9" i="1"/>
  <c r="Q10" i="1"/>
  <c r="Q11" i="1"/>
  <c r="V11" i="1" s="1"/>
  <c r="Q12" i="1"/>
  <c r="AG12" i="1" s="1"/>
  <c r="Q13" i="1"/>
  <c r="Q14" i="1"/>
  <c r="R14" i="1" s="1"/>
  <c r="AG14" i="1" s="1"/>
  <c r="Q15" i="1"/>
  <c r="R15" i="1" s="1"/>
  <c r="Q16" i="1"/>
  <c r="R16" i="1" s="1"/>
  <c r="AG16" i="1" s="1"/>
  <c r="Q17" i="1"/>
  <c r="R17" i="1" s="1"/>
  <c r="Q18" i="1"/>
  <c r="V18" i="1" s="1"/>
  <c r="Q19" i="1"/>
  <c r="Q20" i="1"/>
  <c r="Q21" i="1"/>
  <c r="Q22" i="1"/>
  <c r="Q23" i="1"/>
  <c r="Q24" i="1"/>
  <c r="Q25" i="1"/>
  <c r="Q26" i="1"/>
  <c r="Q27" i="1"/>
  <c r="R27" i="1" s="1"/>
  <c r="Q28" i="1"/>
  <c r="V28" i="1" s="1"/>
  <c r="Q29" i="1"/>
  <c r="Q30" i="1"/>
  <c r="AG30" i="1" s="1"/>
  <c r="Q31" i="1"/>
  <c r="Q32" i="1"/>
  <c r="R32" i="1" s="1"/>
  <c r="AG32" i="1" s="1"/>
  <c r="Q33" i="1"/>
  <c r="R33" i="1" s="1"/>
  <c r="Q34" i="1"/>
  <c r="R34" i="1" s="1"/>
  <c r="AG34" i="1" s="1"/>
  <c r="Q35" i="1"/>
  <c r="Q36" i="1"/>
  <c r="V36" i="1" s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R50" i="1" s="1"/>
  <c r="Q51" i="1"/>
  <c r="V51" i="1" s="1"/>
  <c r="Q52" i="1"/>
  <c r="AG52" i="1" s="1"/>
  <c r="Q53" i="1"/>
  <c r="Q54" i="1"/>
  <c r="AG54" i="1" s="1"/>
  <c r="Q55" i="1"/>
  <c r="Q56" i="1"/>
  <c r="R56" i="1" s="1"/>
  <c r="AG56" i="1" s="1"/>
  <c r="Q57" i="1"/>
  <c r="Q58" i="1"/>
  <c r="R58" i="1" s="1"/>
  <c r="AG58" i="1" s="1"/>
  <c r="Q59" i="1"/>
  <c r="Q60" i="1"/>
  <c r="AG60" i="1" s="1"/>
  <c r="Q61" i="1"/>
  <c r="Q62" i="1"/>
  <c r="AG62" i="1" s="1"/>
  <c r="Q63" i="1"/>
  <c r="V63" i="1" s="1"/>
  <c r="Q64" i="1"/>
  <c r="V64" i="1" s="1"/>
  <c r="Q65" i="1"/>
  <c r="Q66" i="1"/>
  <c r="V66" i="1" s="1"/>
  <c r="Q67" i="1"/>
  <c r="V67" i="1" s="1"/>
  <c r="Q68" i="1"/>
  <c r="V68" i="1" s="1"/>
  <c r="Q69" i="1"/>
  <c r="Q70" i="1"/>
  <c r="Q71" i="1"/>
  <c r="Q72" i="1"/>
  <c r="R72" i="1" s="1"/>
  <c r="Q73" i="1"/>
  <c r="Q74" i="1"/>
  <c r="R74" i="1" s="1"/>
  <c r="Q75" i="1"/>
  <c r="Q76" i="1"/>
  <c r="V76" i="1" s="1"/>
  <c r="Q77" i="1"/>
  <c r="Q78" i="1"/>
  <c r="AG78" i="1" s="1"/>
  <c r="Q79" i="1"/>
  <c r="Q80" i="1"/>
  <c r="AG80" i="1" s="1"/>
  <c r="Q81" i="1"/>
  <c r="Q82" i="1"/>
  <c r="AG82" i="1" s="1"/>
  <c r="Q83" i="1"/>
  <c r="Q84" i="1"/>
  <c r="AG84" i="1" s="1"/>
  <c r="Q85" i="1"/>
  <c r="R85" i="1" s="1"/>
  <c r="Q86" i="1"/>
  <c r="AG86" i="1" s="1"/>
  <c r="Q87" i="1"/>
  <c r="Q88" i="1"/>
  <c r="R88" i="1" s="1"/>
  <c r="AG88" i="1" s="1"/>
  <c r="Q89" i="1"/>
  <c r="Q90" i="1"/>
  <c r="AG90" i="1" s="1"/>
  <c r="Q91" i="1"/>
  <c r="Q92" i="1"/>
  <c r="AG92" i="1" s="1"/>
  <c r="Q93" i="1"/>
  <c r="Q6" i="1"/>
  <c r="W6" i="1" s="1"/>
  <c r="U5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AG93" i="1" l="1"/>
  <c r="V91" i="1"/>
  <c r="AG91" i="1"/>
  <c r="V89" i="1"/>
  <c r="AG89" i="1"/>
  <c r="R87" i="1"/>
  <c r="AG87" i="1" s="1"/>
  <c r="V85" i="1"/>
  <c r="AG85" i="1"/>
  <c r="V83" i="1"/>
  <c r="AG83" i="1"/>
  <c r="V81" i="1"/>
  <c r="AG81" i="1"/>
  <c r="R79" i="1"/>
  <c r="AG79" i="1" s="1"/>
  <c r="V77" i="1"/>
  <c r="AG77" i="1"/>
  <c r="V75" i="1"/>
  <c r="AG75" i="1"/>
  <c r="R73" i="1"/>
  <c r="AG73" i="1" s="1"/>
  <c r="V71" i="1"/>
  <c r="AG71" i="1"/>
  <c r="R69" i="1"/>
  <c r="AG69" i="1" s="1"/>
  <c r="R65" i="1"/>
  <c r="AG65" i="1" s="1"/>
  <c r="R61" i="1"/>
  <c r="AG61" i="1" s="1"/>
  <c r="R59" i="1"/>
  <c r="AG59" i="1" s="1"/>
  <c r="R57" i="1"/>
  <c r="AG57" i="1" s="1"/>
  <c r="V55" i="1"/>
  <c r="AG55" i="1"/>
  <c r="R53" i="1"/>
  <c r="AG53" i="1" s="1"/>
  <c r="V49" i="1"/>
  <c r="AG49" i="1"/>
  <c r="R47" i="1"/>
  <c r="AG47" i="1" s="1"/>
  <c r="V45" i="1"/>
  <c r="AG45" i="1"/>
  <c r="V43" i="1"/>
  <c r="AG43" i="1"/>
  <c r="R41" i="1"/>
  <c r="AG41" i="1" s="1"/>
  <c r="R39" i="1"/>
  <c r="AG39" i="1" s="1"/>
  <c r="R35" i="1"/>
  <c r="AG35" i="1" s="1"/>
  <c r="AG33" i="1"/>
  <c r="R31" i="1"/>
  <c r="AG31" i="1" s="1"/>
  <c r="R29" i="1"/>
  <c r="AG29" i="1" s="1"/>
  <c r="AG17" i="1"/>
  <c r="V15" i="1"/>
  <c r="AG15" i="1"/>
  <c r="AG13" i="1"/>
  <c r="AG9" i="1"/>
  <c r="AG19" i="1"/>
  <c r="AG23" i="1"/>
  <c r="AG27" i="1"/>
  <c r="AG37" i="1"/>
  <c r="R7" i="1"/>
  <c r="AG7" i="1" s="1"/>
  <c r="R21" i="1"/>
  <c r="AG21" i="1" s="1"/>
  <c r="R25" i="1"/>
  <c r="AG25" i="1" s="1"/>
  <c r="V6" i="1"/>
  <c r="R8" i="1"/>
  <c r="AG8" i="1" s="1"/>
  <c r="AG10" i="1"/>
  <c r="AG20" i="1"/>
  <c r="R22" i="1"/>
  <c r="AG22" i="1" s="1"/>
  <c r="AG24" i="1"/>
  <c r="AG26" i="1"/>
  <c r="AG38" i="1"/>
  <c r="AG40" i="1"/>
  <c r="AG42" i="1"/>
  <c r="AG44" i="1"/>
  <c r="AG46" i="1"/>
  <c r="AG48" i="1"/>
  <c r="AG50" i="1"/>
  <c r="AG70" i="1"/>
  <c r="AG72" i="1"/>
  <c r="AG74" i="1"/>
  <c r="V92" i="1"/>
  <c r="V90" i="1"/>
  <c r="V88" i="1"/>
  <c r="V86" i="1"/>
  <c r="V84" i="1"/>
  <c r="V82" i="1"/>
  <c r="V80" i="1"/>
  <c r="V78" i="1"/>
  <c r="V62" i="1"/>
  <c r="V60" i="1"/>
  <c r="V58" i="1"/>
  <c r="V56" i="1"/>
  <c r="V54" i="1"/>
  <c r="V52" i="1"/>
  <c r="V34" i="1"/>
  <c r="V32" i="1"/>
  <c r="V30" i="1"/>
  <c r="V16" i="1"/>
  <c r="V14" i="1"/>
  <c r="V12" i="1"/>
  <c r="W85" i="1"/>
  <c r="W69" i="1"/>
  <c r="W53" i="1"/>
  <c r="W37" i="1"/>
  <c r="W21" i="1"/>
  <c r="W93" i="1"/>
  <c r="W77" i="1"/>
  <c r="W61" i="1"/>
  <c r="W45" i="1"/>
  <c r="W29" i="1"/>
  <c r="W13" i="1"/>
  <c r="W89" i="1"/>
  <c r="W81" i="1"/>
  <c r="W73" i="1"/>
  <c r="W65" i="1"/>
  <c r="W57" i="1"/>
  <c r="W49" i="1"/>
  <c r="W41" i="1"/>
  <c r="W33" i="1"/>
  <c r="W25" i="1"/>
  <c r="W17" i="1"/>
  <c r="W9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92" i="1"/>
  <c r="Q5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L5" i="1"/>
  <c r="V39" i="1" l="1"/>
  <c r="V41" i="1"/>
  <c r="V47" i="1"/>
  <c r="V53" i="1"/>
  <c r="V57" i="1"/>
  <c r="V59" i="1"/>
  <c r="V61" i="1"/>
  <c r="V65" i="1"/>
  <c r="V69" i="1"/>
  <c r="V73" i="1"/>
  <c r="V79" i="1"/>
  <c r="V87" i="1"/>
  <c r="V93" i="1"/>
  <c r="V25" i="1"/>
  <c r="V13" i="1"/>
  <c r="V17" i="1"/>
  <c r="AG6" i="1"/>
  <c r="AG5" i="1" s="1"/>
  <c r="R5" i="1"/>
  <c r="V10" i="1"/>
  <c r="V22" i="1"/>
  <c r="V26" i="1"/>
  <c r="V40" i="1"/>
  <c r="V44" i="1"/>
  <c r="V48" i="1"/>
  <c r="V70" i="1"/>
  <c r="V74" i="1"/>
  <c r="V9" i="1"/>
  <c r="V21" i="1"/>
  <c r="V37" i="1"/>
  <c r="V8" i="1"/>
  <c r="V20" i="1"/>
  <c r="V24" i="1"/>
  <c r="V38" i="1"/>
  <c r="V42" i="1"/>
  <c r="V46" i="1"/>
  <c r="V50" i="1"/>
  <c r="V72" i="1"/>
  <c r="V7" i="1"/>
  <c r="V19" i="1"/>
  <c r="V23" i="1"/>
  <c r="V27" i="1"/>
  <c r="V29" i="1"/>
  <c r="V31" i="1"/>
  <c r="V33" i="1"/>
  <c r="V35" i="1"/>
</calcChain>
</file>

<file path=xl/sharedStrings.xml><?xml version="1.0" encoding="utf-8"?>
<sst xmlns="http://schemas.openxmlformats.org/spreadsheetml/2006/main" count="350" uniqueCount="140">
  <si>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</si>
  <si>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</si>
  <si>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</si>
  <si>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</si>
  <si>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</si>
  <si>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</si>
  <si>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</si>
  <si>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</si>
  <si>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</si>
  <si>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</si>
  <si>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</si>
  <si>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</si>
  <si>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</si>
  <si>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</si>
  <si>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</si>
  <si>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</si>
  <si>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</si>
  <si>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</si>
  <si>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</si>
  <si>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</si>
  <si>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</si>
  <si>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</si>
  <si>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</si>
  <si>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</si>
  <si>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</si>
  <si>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</si>
  <si>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</si>
  <si>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</si>
  <si>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</si>
  <si>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</si>
  <si>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</si>
  <si>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</si>
  <si>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</si>
  <si>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</si>
  <si>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</si>
  <si>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</si>
  <si>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</si>
  <si>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</si>
  <si>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</si>
  <si>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</si>
  <si>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</si>
  <si>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</si>
  <si>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</si>
  <si>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</si>
  <si>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</si>
  <si>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</si>
  <si>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</si>
  <si>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</si>
  <si>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</si>
  <si>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</si>
  <si>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</si>
  <si>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</si>
  <si>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</si>
  <si>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</si>
  <si>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</si>
  <si>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</si>
  <si>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</si>
  <si>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</si>
  <si>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</si>
  <si>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</si>
  <si>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</si>
  <si>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</si>
  <si>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</si>
  <si>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</si>
  <si>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</si>
  <si>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</si>
  <si>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</si>
  <si>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</si>
  <si>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</si>
  <si>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</si>
  <si>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</si>
  <si>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ВНИМАНИЕ / матрица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</si>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</sst>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3.710937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138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9965.2849999999999</v>
      </c>
      <c r="F5" s="4">
        <f>SUM(F6:F500)</f>
        <v>9685.3269999999993</v>
      </c>
      <c r="G5" s="8"/>
      <c r="H5" s="1"/>
      <c r="I5" s="1"/>
      <c r="J5" s="1"/>
      <c r="K5" s="4">
        <f t="shared" ref="K5:U5" si="0">SUM(K6:K500)</f>
        <v>10165.182000000003</v>
      </c>
      <c r="L5" s="4">
        <f t="shared" si="0"/>
        <v>-199.89699999999991</v>
      </c>
      <c r="M5" s="4">
        <f t="shared" si="0"/>
        <v>0</v>
      </c>
      <c r="N5" s="4">
        <f t="shared" si="0"/>
        <v>0</v>
      </c>
      <c r="O5" s="4">
        <f t="shared" si="0"/>
        <v>4534.8841400000028</v>
      </c>
      <c r="P5" s="4">
        <f t="shared" si="0"/>
        <v>6279.7625200000011</v>
      </c>
      <c r="Q5" s="4">
        <f t="shared" si="0"/>
        <v>1993.057</v>
      </c>
      <c r="R5" s="4">
        <f t="shared" si="0"/>
        <v>3213.8405199999984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2114.4464000000003</v>
      </c>
      <c r="Y5" s="4">
        <f t="shared" si="1"/>
        <v>1799.5075999999999</v>
      </c>
      <c r="Z5" s="4">
        <f t="shared" si="1"/>
        <v>2010.1679999999994</v>
      </c>
      <c r="AA5" s="4">
        <f t="shared" si="1"/>
        <v>2157.7519999999995</v>
      </c>
      <c r="AB5" s="4">
        <f t="shared" si="1"/>
        <v>2079.1080000000002</v>
      </c>
      <c r="AC5" s="4">
        <f t="shared" si="1"/>
        <v>2096.7653999999993</v>
      </c>
      <c r="AD5" s="4">
        <f t="shared" si="1"/>
        <v>1962.1700000000005</v>
      </c>
      <c r="AE5" s="4">
        <f t="shared" si="1"/>
        <v>2015.9528</v>
      </c>
      <c r="AF5" s="1"/>
      <c r="AG5" s="4">
        <f>SUM(AG6:AG500)</f>
        <v>2411.4481199999982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59.39</v>
      </c>
      <c r="D6" s="1">
        <v>47.326000000000001</v>
      </c>
      <c r="E6" s="1">
        <v>70.253</v>
      </c>
      <c r="F6" s="1">
        <v>30.062000000000001</v>
      </c>
      <c r="G6" s="8">
        <v>1</v>
      </c>
      <c r="H6" s="1">
        <v>50</v>
      </c>
      <c r="I6" s="1" t="s">
        <v>37</v>
      </c>
      <c r="J6" s="1"/>
      <c r="K6" s="1">
        <v>71.849999999999994</v>
      </c>
      <c r="L6" s="1">
        <f t="shared" ref="L6:L37" si="2">E6-K6</f>
        <v>-1.5969999999999942</v>
      </c>
      <c r="M6" s="1"/>
      <c r="N6" s="1"/>
      <c r="O6" s="1">
        <v>83.626400000000004</v>
      </c>
      <c r="P6" s="1">
        <v>75.619199999999978</v>
      </c>
      <c r="Q6" s="1">
        <f>E6/5</f>
        <v>14.050599999999999</v>
      </c>
      <c r="R6" s="5"/>
      <c r="S6" s="5"/>
      <c r="T6" s="1"/>
      <c r="U6" s="1"/>
      <c r="V6" s="1">
        <f>(F6+O6+P6+R6)/Q6</f>
        <v>13.473275162626507</v>
      </c>
      <c r="W6" s="1">
        <f>(F6+O6+P6)/Q6</f>
        <v>13.473275162626507</v>
      </c>
      <c r="X6" s="1">
        <v>18.291599999999999</v>
      </c>
      <c r="Y6" s="1">
        <v>15.7</v>
      </c>
      <c r="Z6" s="1">
        <v>13.016</v>
      </c>
      <c r="AA6" s="1">
        <v>15.3188</v>
      </c>
      <c r="AB6" s="1">
        <v>15.3352</v>
      </c>
      <c r="AC6" s="1">
        <v>13.241199999999999</v>
      </c>
      <c r="AD6" s="1">
        <v>18.474399999999999</v>
      </c>
      <c r="AE6" s="1">
        <v>22.165199999999999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174.958</v>
      </c>
      <c r="D7" s="1">
        <v>202.31399999999999</v>
      </c>
      <c r="E7" s="1">
        <v>147.91300000000001</v>
      </c>
      <c r="F7" s="1">
        <v>146.304</v>
      </c>
      <c r="G7" s="8">
        <v>1</v>
      </c>
      <c r="H7" s="1">
        <v>45</v>
      </c>
      <c r="I7" s="1" t="s">
        <v>37</v>
      </c>
      <c r="J7" s="1"/>
      <c r="K7" s="1">
        <v>147.32</v>
      </c>
      <c r="L7" s="1">
        <f t="shared" si="2"/>
        <v>0.59300000000001774</v>
      </c>
      <c r="M7" s="1"/>
      <c r="N7" s="1"/>
      <c r="O7" s="1">
        <v>0</v>
      </c>
      <c r="P7" s="1">
        <v>11.27760000000006</v>
      </c>
      <c r="Q7" s="1">
        <f t="shared" ref="Q7:Q70" si="3">E7/5</f>
        <v>29.582600000000003</v>
      </c>
      <c r="R7" s="5">
        <f t="shared" ref="R7:R8" si="4">11*Q7-P7-O7-F7</f>
        <v>167.82699999999997</v>
      </c>
      <c r="S7" s="5"/>
      <c r="T7" s="1"/>
      <c r="U7" s="1"/>
      <c r="V7" s="1">
        <f t="shared" ref="V7:V70" si="5">(F7+O7+P7+R7)/Q7</f>
        <v>11</v>
      </c>
      <c r="W7" s="1">
        <f t="shared" ref="W7:W70" si="6">(F7+O7+P7)/Q7</f>
        <v>5.3268340172939519</v>
      </c>
      <c r="X7" s="1">
        <v>21.573</v>
      </c>
      <c r="Y7" s="1">
        <v>19.4986</v>
      </c>
      <c r="Z7" s="1">
        <v>29.548999999999989</v>
      </c>
      <c r="AA7" s="1">
        <v>30.4298</v>
      </c>
      <c r="AB7" s="1">
        <v>33.033200000000001</v>
      </c>
      <c r="AC7" s="1">
        <v>35.073</v>
      </c>
      <c r="AD7" s="1">
        <v>28.8398</v>
      </c>
      <c r="AE7" s="1">
        <v>28.616800000000001</v>
      </c>
      <c r="AF7" s="1" t="s">
        <v>39</v>
      </c>
      <c r="AG7" s="1">
        <f>G7*R7</f>
        <v>167.82699999999997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46.176000000000002</v>
      </c>
      <c r="D8" s="1">
        <v>144.345</v>
      </c>
      <c r="E8" s="1">
        <v>108.105</v>
      </c>
      <c r="F8" s="1">
        <v>69.451999999999998</v>
      </c>
      <c r="G8" s="8">
        <v>1</v>
      </c>
      <c r="H8" s="1">
        <v>45</v>
      </c>
      <c r="I8" s="1" t="s">
        <v>37</v>
      </c>
      <c r="J8" s="1"/>
      <c r="K8" s="1">
        <v>109.91200000000001</v>
      </c>
      <c r="L8" s="1">
        <f t="shared" si="2"/>
        <v>-1.8070000000000022</v>
      </c>
      <c r="M8" s="1"/>
      <c r="N8" s="1"/>
      <c r="O8" s="1">
        <v>33.888199999999991</v>
      </c>
      <c r="P8" s="1">
        <v>95.771800000000013</v>
      </c>
      <c r="Q8" s="1">
        <f t="shared" si="3"/>
        <v>21.621000000000002</v>
      </c>
      <c r="R8" s="5">
        <f t="shared" si="4"/>
        <v>38.719000000000023</v>
      </c>
      <c r="S8" s="5"/>
      <c r="T8" s="1"/>
      <c r="U8" s="1"/>
      <c r="V8" s="1">
        <f t="shared" si="5"/>
        <v>11</v>
      </c>
      <c r="W8" s="1">
        <f t="shared" si="6"/>
        <v>9.2091947643494745</v>
      </c>
      <c r="X8" s="1">
        <v>22.559000000000001</v>
      </c>
      <c r="Y8" s="1">
        <v>18.7668</v>
      </c>
      <c r="Z8" s="1">
        <v>18.908999999999999</v>
      </c>
      <c r="AA8" s="1">
        <v>24.2136</v>
      </c>
      <c r="AB8" s="1">
        <v>16.2166</v>
      </c>
      <c r="AC8" s="1">
        <v>17.152200000000001</v>
      </c>
      <c r="AD8" s="1">
        <v>25.320799999999998</v>
      </c>
      <c r="AE8" s="1">
        <v>27.835999999999999</v>
      </c>
      <c r="AF8" s="1"/>
      <c r="AG8" s="1">
        <f>G8*R8</f>
        <v>38.719000000000023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227</v>
      </c>
      <c r="D9" s="1">
        <v>319</v>
      </c>
      <c r="E9" s="1">
        <v>231</v>
      </c>
      <c r="F9" s="1">
        <v>107</v>
      </c>
      <c r="G9" s="8">
        <v>0.45</v>
      </c>
      <c r="H9" s="1">
        <v>45</v>
      </c>
      <c r="I9" s="1" t="s">
        <v>37</v>
      </c>
      <c r="J9" s="1"/>
      <c r="K9" s="1">
        <v>234</v>
      </c>
      <c r="L9" s="1">
        <f t="shared" si="2"/>
        <v>-3</v>
      </c>
      <c r="M9" s="1"/>
      <c r="N9" s="1"/>
      <c r="O9" s="1">
        <v>82.62</v>
      </c>
      <c r="P9" s="1">
        <v>345.9</v>
      </c>
      <c r="Q9" s="1">
        <f t="shared" si="3"/>
        <v>46.2</v>
      </c>
      <c r="R9" s="5"/>
      <c r="S9" s="5"/>
      <c r="T9" s="1"/>
      <c r="U9" s="1"/>
      <c r="V9" s="1">
        <f t="shared" si="5"/>
        <v>11.59134199134199</v>
      </c>
      <c r="W9" s="1">
        <f t="shared" si="6"/>
        <v>11.59134199134199</v>
      </c>
      <c r="X9" s="1">
        <v>59.2</v>
      </c>
      <c r="Y9" s="1">
        <v>30.6</v>
      </c>
      <c r="Z9" s="1">
        <v>25.2</v>
      </c>
      <c r="AA9" s="1">
        <v>45.2</v>
      </c>
      <c r="AB9" s="1">
        <v>45.4</v>
      </c>
      <c r="AC9" s="1">
        <v>44.8</v>
      </c>
      <c r="AD9" s="1">
        <v>32.200000000000003</v>
      </c>
      <c r="AE9" s="1">
        <v>32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340</v>
      </c>
      <c r="D10" s="1">
        <v>6</v>
      </c>
      <c r="E10" s="1">
        <v>238</v>
      </c>
      <c r="F10" s="1">
        <v>102</v>
      </c>
      <c r="G10" s="8">
        <v>0.45</v>
      </c>
      <c r="H10" s="1">
        <v>45</v>
      </c>
      <c r="I10" s="1" t="s">
        <v>37</v>
      </c>
      <c r="J10" s="1"/>
      <c r="K10" s="1">
        <v>240</v>
      </c>
      <c r="L10" s="1">
        <f t="shared" si="2"/>
        <v>-2</v>
      </c>
      <c r="M10" s="1"/>
      <c r="N10" s="1"/>
      <c r="O10" s="1">
        <v>82.08</v>
      </c>
      <c r="P10" s="1">
        <v>369.55999999999989</v>
      </c>
      <c r="Q10" s="1">
        <f t="shared" si="3"/>
        <v>47.6</v>
      </c>
      <c r="R10" s="5"/>
      <c r="S10" s="5"/>
      <c r="T10" s="1"/>
      <c r="U10" s="1"/>
      <c r="V10" s="1">
        <f t="shared" si="5"/>
        <v>11.631092436974788</v>
      </c>
      <c r="W10" s="1">
        <f t="shared" si="6"/>
        <v>11.631092436974788</v>
      </c>
      <c r="X10" s="1">
        <v>63.4</v>
      </c>
      <c r="Y10" s="1">
        <v>30.4</v>
      </c>
      <c r="Z10" s="1">
        <v>16.8</v>
      </c>
      <c r="AA10" s="1">
        <v>36.200000000000003</v>
      </c>
      <c r="AB10" s="1">
        <v>52</v>
      </c>
      <c r="AC10" s="1">
        <v>53</v>
      </c>
      <c r="AD10" s="1">
        <v>31.2</v>
      </c>
      <c r="AE10" s="1">
        <v>26.6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>
        <v>0</v>
      </c>
      <c r="Q11" s="12">
        <f t="shared" si="3"/>
        <v>0</v>
      </c>
      <c r="R11" s="14"/>
      <c r="S11" s="14"/>
      <c r="T11" s="12"/>
      <c r="U11" s="12"/>
      <c r="V11" s="12" t="e">
        <f t="shared" si="5"/>
        <v>#DIV/0!</v>
      </c>
      <c r="W11" s="12" t="e">
        <f t="shared" si="6"/>
        <v>#DIV/0!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 t="s">
        <v>45</v>
      </c>
      <c r="AG11" s="12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28</v>
      </c>
      <c r="D12" s="1">
        <v>42</v>
      </c>
      <c r="E12" s="1">
        <v>10</v>
      </c>
      <c r="F12" s="1">
        <v>41</v>
      </c>
      <c r="G12" s="8">
        <v>0.3</v>
      </c>
      <c r="H12" s="1">
        <v>40</v>
      </c>
      <c r="I12" s="1" t="s">
        <v>37</v>
      </c>
      <c r="J12" s="1"/>
      <c r="K12" s="1">
        <v>11</v>
      </c>
      <c r="L12" s="1">
        <f t="shared" si="2"/>
        <v>-1</v>
      </c>
      <c r="M12" s="1"/>
      <c r="N12" s="1"/>
      <c r="O12" s="1">
        <v>0</v>
      </c>
      <c r="P12" s="1">
        <v>0</v>
      </c>
      <c r="Q12" s="1">
        <f t="shared" si="3"/>
        <v>2</v>
      </c>
      <c r="R12" s="5"/>
      <c r="S12" s="5"/>
      <c r="T12" s="1"/>
      <c r="U12" s="1"/>
      <c r="V12" s="1">
        <f t="shared" si="5"/>
        <v>20.5</v>
      </c>
      <c r="W12" s="1">
        <f t="shared" si="6"/>
        <v>20.5</v>
      </c>
      <c r="X12" s="1">
        <v>3.2</v>
      </c>
      <c r="Y12" s="1">
        <v>3.4</v>
      </c>
      <c r="Z12" s="1">
        <v>4</v>
      </c>
      <c r="AA12" s="1">
        <v>5.6</v>
      </c>
      <c r="AB12" s="1">
        <v>5.4</v>
      </c>
      <c r="AC12" s="1">
        <v>3.2</v>
      </c>
      <c r="AD12" s="1">
        <v>2.4</v>
      </c>
      <c r="AE12" s="1">
        <v>4.4000000000000004</v>
      </c>
      <c r="AF12" s="1"/>
      <c r="AG12" s="1">
        <f t="shared" ref="AG12:AG17" si="7"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88</v>
      </c>
      <c r="D13" s="1">
        <v>103</v>
      </c>
      <c r="E13" s="1">
        <v>17</v>
      </c>
      <c r="F13" s="1">
        <v>102</v>
      </c>
      <c r="G13" s="8">
        <v>0.17</v>
      </c>
      <c r="H13" s="1">
        <v>180</v>
      </c>
      <c r="I13" s="1" t="s">
        <v>37</v>
      </c>
      <c r="J13" s="1"/>
      <c r="K13" s="1">
        <v>17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3.4</v>
      </c>
      <c r="R13" s="5"/>
      <c r="S13" s="5"/>
      <c r="T13" s="1"/>
      <c r="U13" s="1"/>
      <c r="V13" s="1">
        <f t="shared" si="5"/>
        <v>30</v>
      </c>
      <c r="W13" s="1">
        <f t="shared" si="6"/>
        <v>30</v>
      </c>
      <c r="X13" s="1">
        <v>2.8</v>
      </c>
      <c r="Y13" s="1">
        <v>2</v>
      </c>
      <c r="Z13" s="1">
        <v>6</v>
      </c>
      <c r="AA13" s="1">
        <v>8.6</v>
      </c>
      <c r="AB13" s="1">
        <v>9</v>
      </c>
      <c r="AC13" s="1">
        <v>6.8</v>
      </c>
      <c r="AD13" s="1">
        <v>2.2000000000000002</v>
      </c>
      <c r="AE13" s="1">
        <v>6.2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6" t="s">
        <v>48</v>
      </c>
      <c r="B14" s="16" t="s">
        <v>36</v>
      </c>
      <c r="C14" s="16">
        <v>100.11799999999999</v>
      </c>
      <c r="D14" s="16">
        <v>165.37</v>
      </c>
      <c r="E14" s="16">
        <v>161.423</v>
      </c>
      <c r="F14" s="16">
        <v>89.727999999999994</v>
      </c>
      <c r="G14" s="17">
        <v>1</v>
      </c>
      <c r="H14" s="16">
        <v>55</v>
      </c>
      <c r="I14" s="16" t="s">
        <v>37</v>
      </c>
      <c r="J14" s="16"/>
      <c r="K14" s="16">
        <v>159.44999999999999</v>
      </c>
      <c r="L14" s="16">
        <f t="shared" si="2"/>
        <v>1.9730000000000132</v>
      </c>
      <c r="M14" s="16"/>
      <c r="N14" s="16"/>
      <c r="O14" s="16">
        <v>163.57123999999999</v>
      </c>
      <c r="P14" s="16">
        <v>67.048559999999966</v>
      </c>
      <c r="Q14" s="16">
        <f t="shared" si="3"/>
        <v>32.284599999999998</v>
      </c>
      <c r="R14" s="18">
        <f>12*Q14-P14-O14-F14</f>
        <v>67.067400000000035</v>
      </c>
      <c r="S14" s="18"/>
      <c r="T14" s="16"/>
      <c r="U14" s="16"/>
      <c r="V14" s="16">
        <f t="shared" si="5"/>
        <v>12</v>
      </c>
      <c r="W14" s="16">
        <f t="shared" si="6"/>
        <v>9.9226194532377665</v>
      </c>
      <c r="X14" s="16">
        <v>32.743000000000002</v>
      </c>
      <c r="Y14" s="16">
        <v>28.039200000000001</v>
      </c>
      <c r="Z14" s="16">
        <v>29.833000000000009</v>
      </c>
      <c r="AA14" s="16">
        <v>28.7682</v>
      </c>
      <c r="AB14" s="16">
        <v>29.721399999999999</v>
      </c>
      <c r="AC14" s="16">
        <v>32.180999999999997</v>
      </c>
      <c r="AD14" s="16">
        <v>32.1584</v>
      </c>
      <c r="AE14" s="16">
        <v>35.527999999999999</v>
      </c>
      <c r="AF14" s="16" t="s">
        <v>49</v>
      </c>
      <c r="AG14" s="16">
        <f t="shared" si="7"/>
        <v>67.067400000000035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6" t="s">
        <v>50</v>
      </c>
      <c r="B15" s="16" t="s">
        <v>36</v>
      </c>
      <c r="C15" s="16">
        <v>390.77199999999999</v>
      </c>
      <c r="D15" s="16">
        <v>727.10699999999997</v>
      </c>
      <c r="E15" s="16">
        <v>548.75900000000001</v>
      </c>
      <c r="F15" s="16">
        <v>486.68299999999999</v>
      </c>
      <c r="G15" s="17">
        <v>1</v>
      </c>
      <c r="H15" s="16">
        <v>50</v>
      </c>
      <c r="I15" s="16" t="s">
        <v>37</v>
      </c>
      <c r="J15" s="16"/>
      <c r="K15" s="16">
        <v>553</v>
      </c>
      <c r="L15" s="16">
        <f t="shared" si="2"/>
        <v>-4.2409999999999854</v>
      </c>
      <c r="M15" s="16"/>
      <c r="N15" s="16"/>
      <c r="O15" s="16">
        <v>744.63940000000093</v>
      </c>
      <c r="P15" s="16">
        <v>0</v>
      </c>
      <c r="Q15" s="16">
        <f t="shared" si="3"/>
        <v>109.7518</v>
      </c>
      <c r="R15" s="18">
        <f>12*Q15-P15-O15-F15</f>
        <v>85.699199999999109</v>
      </c>
      <c r="S15" s="18"/>
      <c r="T15" s="16"/>
      <c r="U15" s="16"/>
      <c r="V15" s="16">
        <f t="shared" si="5"/>
        <v>12</v>
      </c>
      <c r="W15" s="16">
        <f t="shared" si="6"/>
        <v>11.219154492227014</v>
      </c>
      <c r="X15" s="16">
        <v>114.9332</v>
      </c>
      <c r="Y15" s="16">
        <v>120.468</v>
      </c>
      <c r="Z15" s="16">
        <v>120.5817999999999</v>
      </c>
      <c r="AA15" s="16">
        <v>119.04640000000001</v>
      </c>
      <c r="AB15" s="16">
        <v>126.0252</v>
      </c>
      <c r="AC15" s="16">
        <v>127.1422</v>
      </c>
      <c r="AD15" s="16">
        <v>127.61960000000001</v>
      </c>
      <c r="AE15" s="16">
        <v>131.41499999999999</v>
      </c>
      <c r="AF15" s="16" t="s">
        <v>51</v>
      </c>
      <c r="AG15" s="16">
        <f t="shared" si="7"/>
        <v>85.699199999999109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172.22300000000001</v>
      </c>
      <c r="D16" s="1">
        <v>8.7919999999999998</v>
      </c>
      <c r="E16" s="1">
        <v>129.57400000000001</v>
      </c>
      <c r="F16" s="1">
        <v>42.604999999999997</v>
      </c>
      <c r="G16" s="8">
        <v>1</v>
      </c>
      <c r="H16" s="1">
        <v>60</v>
      </c>
      <c r="I16" s="1" t="s">
        <v>37</v>
      </c>
      <c r="J16" s="1"/>
      <c r="K16" s="1">
        <v>125.9</v>
      </c>
      <c r="L16" s="1">
        <f t="shared" si="2"/>
        <v>3.6740000000000066</v>
      </c>
      <c r="M16" s="1"/>
      <c r="N16" s="1"/>
      <c r="O16" s="1">
        <v>22.003999999999959</v>
      </c>
      <c r="P16" s="1">
        <v>132.96</v>
      </c>
      <c r="Q16" s="1">
        <f t="shared" si="3"/>
        <v>25.914800000000003</v>
      </c>
      <c r="R16" s="5">
        <f t="shared" ref="R16" si="8">11*Q16-P16-O16-F16</f>
        <v>87.493800000000078</v>
      </c>
      <c r="S16" s="5"/>
      <c r="T16" s="1"/>
      <c r="U16" s="1"/>
      <c r="V16" s="1">
        <f t="shared" si="5"/>
        <v>11</v>
      </c>
      <c r="W16" s="1">
        <f t="shared" si="6"/>
        <v>7.6237902665658206</v>
      </c>
      <c r="X16" s="1">
        <v>21.98</v>
      </c>
      <c r="Y16" s="1">
        <v>17.495000000000001</v>
      </c>
      <c r="Z16" s="1">
        <v>17.176400000000001</v>
      </c>
      <c r="AA16" s="1">
        <v>19.824000000000002</v>
      </c>
      <c r="AB16" s="1">
        <v>26.962</v>
      </c>
      <c r="AC16" s="1">
        <v>26.436599999999999</v>
      </c>
      <c r="AD16" s="1">
        <v>18.712800000000001</v>
      </c>
      <c r="AE16" s="1">
        <v>23.261399999999998</v>
      </c>
      <c r="AF16" s="1"/>
      <c r="AG16" s="1">
        <f t="shared" si="7"/>
        <v>87.493800000000078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9" t="s">
        <v>53</v>
      </c>
      <c r="B17" s="19" t="s">
        <v>36</v>
      </c>
      <c r="C17" s="19">
        <v>543.23199999999997</v>
      </c>
      <c r="D17" s="19">
        <v>369.02800000000002</v>
      </c>
      <c r="E17" s="19">
        <v>470.13900000000001</v>
      </c>
      <c r="F17" s="19">
        <v>270.435</v>
      </c>
      <c r="G17" s="20">
        <v>1</v>
      </c>
      <c r="H17" s="19">
        <v>60</v>
      </c>
      <c r="I17" s="19" t="s">
        <v>37</v>
      </c>
      <c r="J17" s="19"/>
      <c r="K17" s="19">
        <v>475.5</v>
      </c>
      <c r="L17" s="19">
        <f t="shared" si="2"/>
        <v>-5.36099999999999</v>
      </c>
      <c r="M17" s="19"/>
      <c r="N17" s="19"/>
      <c r="O17" s="19">
        <v>0</v>
      </c>
      <c r="P17" s="19">
        <v>342.27812</v>
      </c>
      <c r="Q17" s="19">
        <f t="shared" si="3"/>
        <v>94.027799999999999</v>
      </c>
      <c r="R17" s="21">
        <f>9*Q17-P17-O17-F17</f>
        <v>233.53707999999995</v>
      </c>
      <c r="S17" s="21"/>
      <c r="T17" s="19"/>
      <c r="U17" s="19"/>
      <c r="V17" s="19">
        <f t="shared" si="5"/>
        <v>9</v>
      </c>
      <c r="W17" s="19">
        <f t="shared" si="6"/>
        <v>6.5162975205205269</v>
      </c>
      <c r="X17" s="19">
        <v>87.619200000000006</v>
      </c>
      <c r="Y17" s="19">
        <v>69.215000000000003</v>
      </c>
      <c r="Z17" s="19">
        <v>78.350200000000001</v>
      </c>
      <c r="AA17" s="19">
        <v>96.427999999999997</v>
      </c>
      <c r="AB17" s="19">
        <v>101.5228</v>
      </c>
      <c r="AC17" s="19">
        <v>93.814800000000005</v>
      </c>
      <c r="AD17" s="19">
        <v>89.904200000000003</v>
      </c>
      <c r="AE17" s="19">
        <v>94.1036</v>
      </c>
      <c r="AF17" s="19" t="s">
        <v>54</v>
      </c>
      <c r="AG17" s="19">
        <f t="shared" si="7"/>
        <v>233.53707999999995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2" t="s">
        <v>55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>
        <v>0</v>
      </c>
      <c r="Q18" s="12">
        <f t="shared" si="3"/>
        <v>0</v>
      </c>
      <c r="R18" s="14"/>
      <c r="S18" s="14"/>
      <c r="T18" s="12"/>
      <c r="U18" s="12"/>
      <c r="V18" s="12" t="e">
        <f t="shared" si="5"/>
        <v>#DIV/0!</v>
      </c>
      <c r="W18" s="12" t="e">
        <f t="shared" si="6"/>
        <v>#DIV/0!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 t="s">
        <v>45</v>
      </c>
      <c r="AG18" s="1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21.734000000000002</v>
      </c>
      <c r="D19" s="1"/>
      <c r="E19" s="1">
        <v>1.849</v>
      </c>
      <c r="F19" s="1">
        <v>19.8</v>
      </c>
      <c r="G19" s="8">
        <v>1</v>
      </c>
      <c r="H19" s="1">
        <v>180</v>
      </c>
      <c r="I19" s="1" t="s">
        <v>37</v>
      </c>
      <c r="J19" s="1"/>
      <c r="K19" s="1">
        <v>1.9</v>
      </c>
      <c r="L19" s="1">
        <f t="shared" si="2"/>
        <v>-5.0999999999999934E-2</v>
      </c>
      <c r="M19" s="1"/>
      <c r="N19" s="1"/>
      <c r="O19" s="1">
        <v>0</v>
      </c>
      <c r="P19" s="1">
        <v>0</v>
      </c>
      <c r="Q19" s="1">
        <f t="shared" si="3"/>
        <v>0.36980000000000002</v>
      </c>
      <c r="R19" s="5"/>
      <c r="S19" s="5"/>
      <c r="T19" s="1"/>
      <c r="U19" s="1"/>
      <c r="V19" s="1">
        <f t="shared" si="5"/>
        <v>53.542455381287184</v>
      </c>
      <c r="W19" s="1">
        <f t="shared" si="6"/>
        <v>53.542455381287184</v>
      </c>
      <c r="X19" s="1">
        <v>0.45140000000000002</v>
      </c>
      <c r="Y19" s="1">
        <v>0.23039999999999999</v>
      </c>
      <c r="Z19" s="1">
        <v>0.37919999999999998</v>
      </c>
      <c r="AA19" s="1">
        <v>0.98619999999999997</v>
      </c>
      <c r="AB19" s="1">
        <v>1.6794</v>
      </c>
      <c r="AC19" s="1">
        <v>1.8996</v>
      </c>
      <c r="AD19" s="1">
        <v>1.2704</v>
      </c>
      <c r="AE19" s="1">
        <v>0.44319999999999998</v>
      </c>
      <c r="AF19" s="23" t="s">
        <v>112</v>
      </c>
      <c r="AG19" s="1">
        <f t="shared" ref="AG19:AG27" si="9"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6" t="s">
        <v>57</v>
      </c>
      <c r="B20" s="16" t="s">
        <v>36</v>
      </c>
      <c r="C20" s="16">
        <v>242.61699999999999</v>
      </c>
      <c r="D20" s="16">
        <v>161.732</v>
      </c>
      <c r="E20" s="16">
        <v>216.602</v>
      </c>
      <c r="F20" s="16">
        <v>97.378</v>
      </c>
      <c r="G20" s="17">
        <v>1</v>
      </c>
      <c r="H20" s="16">
        <v>60</v>
      </c>
      <c r="I20" s="16" t="s">
        <v>37</v>
      </c>
      <c r="J20" s="16"/>
      <c r="K20" s="16">
        <v>207.58</v>
      </c>
      <c r="L20" s="16">
        <f t="shared" si="2"/>
        <v>9.0219999999999914</v>
      </c>
      <c r="M20" s="16"/>
      <c r="N20" s="16"/>
      <c r="O20" s="16">
        <v>447.80314000000021</v>
      </c>
      <c r="P20" s="16">
        <v>4.5075400000000059</v>
      </c>
      <c r="Q20" s="16">
        <f t="shared" si="3"/>
        <v>43.320399999999999</v>
      </c>
      <c r="R20" s="18"/>
      <c r="S20" s="18"/>
      <c r="T20" s="16"/>
      <c r="U20" s="16"/>
      <c r="V20" s="16">
        <f t="shared" si="5"/>
        <v>12.688910536375477</v>
      </c>
      <c r="W20" s="16">
        <f t="shared" si="6"/>
        <v>12.688910536375477</v>
      </c>
      <c r="X20" s="16">
        <v>53.018600000000013</v>
      </c>
      <c r="Y20" s="16">
        <v>51.977800000000002</v>
      </c>
      <c r="Z20" s="16">
        <v>43.801400000000001</v>
      </c>
      <c r="AA20" s="16">
        <v>44.6462</v>
      </c>
      <c r="AB20" s="16">
        <v>56.032400000000003</v>
      </c>
      <c r="AC20" s="16">
        <v>57.409799999999997</v>
      </c>
      <c r="AD20" s="16">
        <v>49.843600000000002</v>
      </c>
      <c r="AE20" s="16">
        <v>56.702400000000011</v>
      </c>
      <c r="AF20" s="16" t="s">
        <v>51</v>
      </c>
      <c r="AG20" s="16">
        <f t="shared" si="9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73.691999999999993</v>
      </c>
      <c r="D21" s="1">
        <v>38.286000000000001</v>
      </c>
      <c r="E21" s="1">
        <v>67.350999999999999</v>
      </c>
      <c r="F21" s="1">
        <v>39.186</v>
      </c>
      <c r="G21" s="8">
        <v>1</v>
      </c>
      <c r="H21" s="1">
        <v>60</v>
      </c>
      <c r="I21" s="1" t="s">
        <v>37</v>
      </c>
      <c r="J21" s="1"/>
      <c r="K21" s="1">
        <v>66.3</v>
      </c>
      <c r="L21" s="1">
        <f t="shared" si="2"/>
        <v>1.0510000000000019</v>
      </c>
      <c r="M21" s="1"/>
      <c r="N21" s="1"/>
      <c r="O21" s="1">
        <v>50.302600000000012</v>
      </c>
      <c r="P21" s="1">
        <v>52.792800000000042</v>
      </c>
      <c r="Q21" s="1">
        <f t="shared" si="3"/>
        <v>13.4702</v>
      </c>
      <c r="R21" s="5">
        <f t="shared" ref="R21:R25" si="10">11*Q21-P21-O21-F21</f>
        <v>5.890799999999949</v>
      </c>
      <c r="S21" s="5"/>
      <c r="T21" s="1"/>
      <c r="U21" s="1"/>
      <c r="V21" s="1">
        <f t="shared" si="5"/>
        <v>11.000000000000002</v>
      </c>
      <c r="W21" s="1">
        <f t="shared" si="6"/>
        <v>10.562679099048275</v>
      </c>
      <c r="X21" s="1">
        <v>15.0868</v>
      </c>
      <c r="Y21" s="1">
        <v>13.862</v>
      </c>
      <c r="Z21" s="1">
        <v>12.879799999999999</v>
      </c>
      <c r="AA21" s="1">
        <v>11.687200000000001</v>
      </c>
      <c r="AB21" s="1">
        <v>16.045200000000001</v>
      </c>
      <c r="AC21" s="1">
        <v>17.405000000000001</v>
      </c>
      <c r="AD21" s="1">
        <v>16.519600000000001</v>
      </c>
      <c r="AE21" s="1">
        <v>14.0962</v>
      </c>
      <c r="AF21" s="1"/>
      <c r="AG21" s="1">
        <f t="shared" si="9"/>
        <v>5.890799999999949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82.594999999999999</v>
      </c>
      <c r="D22" s="1">
        <v>70.012</v>
      </c>
      <c r="E22" s="1">
        <v>46.542999999999999</v>
      </c>
      <c r="F22" s="1">
        <v>49.807000000000002</v>
      </c>
      <c r="G22" s="8">
        <v>1</v>
      </c>
      <c r="H22" s="1">
        <v>60</v>
      </c>
      <c r="I22" s="1" t="s">
        <v>37</v>
      </c>
      <c r="J22" s="1"/>
      <c r="K22" s="1">
        <v>51.65</v>
      </c>
      <c r="L22" s="1">
        <f t="shared" si="2"/>
        <v>-5.1069999999999993</v>
      </c>
      <c r="M22" s="1"/>
      <c r="N22" s="1"/>
      <c r="O22" s="1">
        <v>0</v>
      </c>
      <c r="P22" s="1">
        <v>45.558999999999997</v>
      </c>
      <c r="Q22" s="1">
        <f t="shared" si="3"/>
        <v>9.3086000000000002</v>
      </c>
      <c r="R22" s="5">
        <f t="shared" si="10"/>
        <v>7.0285999999999973</v>
      </c>
      <c r="S22" s="5"/>
      <c r="T22" s="1"/>
      <c r="U22" s="1"/>
      <c r="V22" s="1">
        <f t="shared" si="5"/>
        <v>11</v>
      </c>
      <c r="W22" s="1">
        <f t="shared" si="6"/>
        <v>10.244934791483145</v>
      </c>
      <c r="X22" s="1">
        <v>11.257</v>
      </c>
      <c r="Y22" s="1">
        <v>8.6269999999999989</v>
      </c>
      <c r="Z22" s="1">
        <v>10.557</v>
      </c>
      <c r="AA22" s="1">
        <v>12.6678</v>
      </c>
      <c r="AB22" s="1">
        <v>14.7956</v>
      </c>
      <c r="AC22" s="1">
        <v>17.083600000000001</v>
      </c>
      <c r="AD22" s="1">
        <v>11.301600000000001</v>
      </c>
      <c r="AE22" s="1">
        <v>10.438599999999999</v>
      </c>
      <c r="AF22" s="1"/>
      <c r="AG22" s="1">
        <f t="shared" si="9"/>
        <v>7.0285999999999973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25.614000000000001</v>
      </c>
      <c r="D23" s="1"/>
      <c r="E23" s="1">
        <v>2.9079999999999999</v>
      </c>
      <c r="F23" s="1">
        <v>21.5</v>
      </c>
      <c r="G23" s="8">
        <v>1</v>
      </c>
      <c r="H23" s="1">
        <v>180</v>
      </c>
      <c r="I23" s="1" t="s">
        <v>37</v>
      </c>
      <c r="J23" s="1"/>
      <c r="K23" s="1">
        <v>3</v>
      </c>
      <c r="L23" s="1">
        <f t="shared" si="2"/>
        <v>-9.2000000000000082E-2</v>
      </c>
      <c r="M23" s="1"/>
      <c r="N23" s="1"/>
      <c r="O23" s="1">
        <v>0</v>
      </c>
      <c r="P23" s="1">
        <v>0</v>
      </c>
      <c r="Q23" s="1">
        <f t="shared" si="3"/>
        <v>0.58160000000000001</v>
      </c>
      <c r="R23" s="5"/>
      <c r="S23" s="5"/>
      <c r="T23" s="1"/>
      <c r="U23" s="1"/>
      <c r="V23" s="1">
        <f t="shared" si="5"/>
        <v>36.966987620357635</v>
      </c>
      <c r="W23" s="1">
        <f t="shared" si="6"/>
        <v>36.966987620357635</v>
      </c>
      <c r="X23" s="1">
        <v>0.6492</v>
      </c>
      <c r="Y23" s="1">
        <v>0.36559999999999998</v>
      </c>
      <c r="Z23" s="1">
        <v>0.46160000000000001</v>
      </c>
      <c r="AA23" s="1">
        <v>1.1206</v>
      </c>
      <c r="AB23" s="1">
        <v>2.0129999999999999</v>
      </c>
      <c r="AC23" s="1">
        <v>2.3795999999999999</v>
      </c>
      <c r="AD23" s="1">
        <v>1.18</v>
      </c>
      <c r="AE23" s="1">
        <v>0</v>
      </c>
      <c r="AF23" s="23" t="s">
        <v>112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6" t="s">
        <v>61</v>
      </c>
      <c r="B24" s="16" t="s">
        <v>36</v>
      </c>
      <c r="C24" s="16">
        <v>104.01300000000001</v>
      </c>
      <c r="D24" s="16">
        <v>81.525000000000006</v>
      </c>
      <c r="E24" s="16">
        <v>104.214</v>
      </c>
      <c r="F24" s="16">
        <v>56.387999999999998</v>
      </c>
      <c r="G24" s="17">
        <v>1</v>
      </c>
      <c r="H24" s="16">
        <v>60</v>
      </c>
      <c r="I24" s="16" t="s">
        <v>37</v>
      </c>
      <c r="J24" s="16"/>
      <c r="K24" s="16">
        <v>104.55</v>
      </c>
      <c r="L24" s="16">
        <f t="shared" si="2"/>
        <v>-0.33599999999999852</v>
      </c>
      <c r="M24" s="16"/>
      <c r="N24" s="16"/>
      <c r="O24" s="16">
        <v>150.58131999999989</v>
      </c>
      <c r="P24" s="16">
        <v>79.414680000000061</v>
      </c>
      <c r="Q24" s="16">
        <f t="shared" si="3"/>
        <v>20.8428</v>
      </c>
      <c r="R24" s="18"/>
      <c r="S24" s="18"/>
      <c r="T24" s="16"/>
      <c r="U24" s="16"/>
      <c r="V24" s="16">
        <f t="shared" si="5"/>
        <v>13.740188458364516</v>
      </c>
      <c r="W24" s="16">
        <f t="shared" si="6"/>
        <v>13.740188458364516</v>
      </c>
      <c r="X24" s="16">
        <v>26.642199999999999</v>
      </c>
      <c r="Y24" s="16">
        <v>20.907599999999999</v>
      </c>
      <c r="Z24" s="16">
        <v>20.986800000000009</v>
      </c>
      <c r="AA24" s="16">
        <v>20.292400000000001</v>
      </c>
      <c r="AB24" s="16">
        <v>25.158000000000001</v>
      </c>
      <c r="AC24" s="16">
        <v>27.267399999999999</v>
      </c>
      <c r="AD24" s="16">
        <v>21.134399999999999</v>
      </c>
      <c r="AE24" s="16">
        <v>24.1112</v>
      </c>
      <c r="AF24" s="16" t="s">
        <v>51</v>
      </c>
      <c r="AG24" s="16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36</v>
      </c>
      <c r="C25" s="1">
        <v>65.525000000000006</v>
      </c>
      <c r="D25" s="1">
        <v>2.77</v>
      </c>
      <c r="E25" s="1">
        <v>27.411999999999999</v>
      </c>
      <c r="F25" s="1">
        <v>37.497</v>
      </c>
      <c r="G25" s="8">
        <v>1</v>
      </c>
      <c r="H25" s="1">
        <v>30</v>
      </c>
      <c r="I25" s="1" t="s">
        <v>37</v>
      </c>
      <c r="J25" s="1"/>
      <c r="K25" s="1">
        <v>29.5</v>
      </c>
      <c r="L25" s="1">
        <f t="shared" si="2"/>
        <v>-2.088000000000001</v>
      </c>
      <c r="M25" s="1"/>
      <c r="N25" s="1"/>
      <c r="O25" s="1">
        <v>0</v>
      </c>
      <c r="P25" s="1">
        <v>16.044599999999999</v>
      </c>
      <c r="Q25" s="1">
        <f t="shared" si="3"/>
        <v>5.4824000000000002</v>
      </c>
      <c r="R25" s="5">
        <f t="shared" si="10"/>
        <v>6.7648000000000081</v>
      </c>
      <c r="S25" s="5"/>
      <c r="T25" s="1"/>
      <c r="U25" s="1"/>
      <c r="V25" s="1">
        <f t="shared" si="5"/>
        <v>11.000000000000002</v>
      </c>
      <c r="W25" s="1">
        <f t="shared" si="6"/>
        <v>9.7660878447395305</v>
      </c>
      <c r="X25" s="1">
        <v>5.5915999999999997</v>
      </c>
      <c r="Y25" s="1">
        <v>5.5404</v>
      </c>
      <c r="Z25" s="1">
        <v>5.6115999999999984</v>
      </c>
      <c r="AA25" s="1">
        <v>6.2154000000000007</v>
      </c>
      <c r="AB25" s="1">
        <v>7.8840000000000003</v>
      </c>
      <c r="AC25" s="1">
        <v>6.9458000000000002</v>
      </c>
      <c r="AD25" s="1">
        <v>5.4878</v>
      </c>
      <c r="AE25" s="1">
        <v>5.8516000000000021</v>
      </c>
      <c r="AF25" s="1"/>
      <c r="AG25" s="1">
        <f t="shared" si="9"/>
        <v>6.7648000000000081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149.01599999999999</v>
      </c>
      <c r="D26" s="1">
        <v>170.55500000000001</v>
      </c>
      <c r="E26" s="1">
        <v>104.629</v>
      </c>
      <c r="F26" s="1">
        <v>123.51600000000001</v>
      </c>
      <c r="G26" s="8">
        <v>1</v>
      </c>
      <c r="H26" s="1">
        <v>30</v>
      </c>
      <c r="I26" s="1" t="s">
        <v>37</v>
      </c>
      <c r="J26" s="1"/>
      <c r="K26" s="1">
        <v>100.3</v>
      </c>
      <c r="L26" s="1">
        <f t="shared" si="2"/>
        <v>4.3290000000000077</v>
      </c>
      <c r="M26" s="1"/>
      <c r="N26" s="1"/>
      <c r="O26" s="1">
        <v>0</v>
      </c>
      <c r="P26" s="1">
        <v>161.31180000000001</v>
      </c>
      <c r="Q26" s="1">
        <f t="shared" si="3"/>
        <v>20.925800000000002</v>
      </c>
      <c r="R26" s="5"/>
      <c r="S26" s="5"/>
      <c r="T26" s="1"/>
      <c r="U26" s="1"/>
      <c r="V26" s="1">
        <f t="shared" si="5"/>
        <v>13.611321908839805</v>
      </c>
      <c r="W26" s="1">
        <f t="shared" si="6"/>
        <v>13.611321908839805</v>
      </c>
      <c r="X26" s="1">
        <v>30.049800000000001</v>
      </c>
      <c r="Y26" s="1">
        <v>18.779800000000002</v>
      </c>
      <c r="Z26" s="1">
        <v>19.456600000000002</v>
      </c>
      <c r="AA26" s="1">
        <v>31.578399999999998</v>
      </c>
      <c r="AB26" s="1">
        <v>29.481999999999999</v>
      </c>
      <c r="AC26" s="1">
        <v>28.1312</v>
      </c>
      <c r="AD26" s="1">
        <v>21.404800000000002</v>
      </c>
      <c r="AE26" s="1">
        <v>15.86999999999999</v>
      </c>
      <c r="AF26" s="1"/>
      <c r="AG26" s="1">
        <f t="shared" si="9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6" t="s">
        <v>64</v>
      </c>
      <c r="B27" s="16" t="s">
        <v>36</v>
      </c>
      <c r="C27" s="16">
        <v>-0.98399999999999999</v>
      </c>
      <c r="D27" s="16">
        <v>116.48399999999999</v>
      </c>
      <c r="E27" s="16">
        <v>53.384</v>
      </c>
      <c r="F27" s="16">
        <v>55.805</v>
      </c>
      <c r="G27" s="17">
        <v>1</v>
      </c>
      <c r="H27" s="16">
        <v>30</v>
      </c>
      <c r="I27" s="16" t="s">
        <v>37</v>
      </c>
      <c r="J27" s="16"/>
      <c r="K27" s="16">
        <v>55.1</v>
      </c>
      <c r="L27" s="16">
        <f t="shared" si="2"/>
        <v>-1.7160000000000011</v>
      </c>
      <c r="M27" s="16"/>
      <c r="N27" s="16"/>
      <c r="O27" s="16">
        <v>44.284599999999998</v>
      </c>
      <c r="P27" s="16">
        <v>5.9154000000000053</v>
      </c>
      <c r="Q27" s="16">
        <f t="shared" si="3"/>
        <v>10.6768</v>
      </c>
      <c r="R27" s="18">
        <f>12*Q27-P27-O27-F27</f>
        <v>22.116599999999998</v>
      </c>
      <c r="S27" s="18"/>
      <c r="T27" s="16"/>
      <c r="U27" s="16"/>
      <c r="V27" s="16">
        <f t="shared" si="5"/>
        <v>12</v>
      </c>
      <c r="W27" s="16">
        <f t="shared" si="6"/>
        <v>9.9285366401918171</v>
      </c>
      <c r="X27" s="16">
        <v>10.892200000000001</v>
      </c>
      <c r="Y27" s="16">
        <v>12.2668</v>
      </c>
      <c r="Z27" s="16">
        <v>12.766999999999999</v>
      </c>
      <c r="AA27" s="16">
        <v>11.3786</v>
      </c>
      <c r="AB27" s="16">
        <v>3.9923999999999999</v>
      </c>
      <c r="AC27" s="16">
        <v>2.1976</v>
      </c>
      <c r="AD27" s="16">
        <v>10.579599999999999</v>
      </c>
      <c r="AE27" s="16">
        <v>11.886200000000001</v>
      </c>
      <c r="AF27" s="16" t="s">
        <v>51</v>
      </c>
      <c r="AG27" s="16">
        <f t="shared" si="9"/>
        <v>22.116599999999998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2" t="s">
        <v>65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>
        <v>0</v>
      </c>
      <c r="Q28" s="12">
        <f t="shared" si="3"/>
        <v>0</v>
      </c>
      <c r="R28" s="14"/>
      <c r="S28" s="14"/>
      <c r="T28" s="12"/>
      <c r="U28" s="12"/>
      <c r="V28" s="12" t="e">
        <f t="shared" si="5"/>
        <v>#DIV/0!</v>
      </c>
      <c r="W28" s="12" t="e">
        <f t="shared" si="6"/>
        <v>#DIV/0!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 t="s">
        <v>45</v>
      </c>
      <c r="AG28" s="12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53.85</v>
      </c>
      <c r="D29" s="1">
        <v>106.175</v>
      </c>
      <c r="E29" s="1">
        <v>83.591999999999999</v>
      </c>
      <c r="F29" s="1">
        <v>67.897999999999996</v>
      </c>
      <c r="G29" s="8">
        <v>1</v>
      </c>
      <c r="H29" s="1">
        <v>40</v>
      </c>
      <c r="I29" s="1" t="s">
        <v>37</v>
      </c>
      <c r="J29" s="1"/>
      <c r="K29" s="1">
        <v>75.7</v>
      </c>
      <c r="L29" s="1">
        <f t="shared" si="2"/>
        <v>7.8919999999999959</v>
      </c>
      <c r="M29" s="1"/>
      <c r="N29" s="1"/>
      <c r="O29" s="1">
        <v>4</v>
      </c>
      <c r="P29" s="1">
        <v>27.019000000000009</v>
      </c>
      <c r="Q29" s="1">
        <f t="shared" si="3"/>
        <v>16.718399999999999</v>
      </c>
      <c r="R29" s="5">
        <f t="shared" ref="R29:R35" si="11">11*Q29-P29-O29-F29</f>
        <v>84.985399999999998</v>
      </c>
      <c r="S29" s="5"/>
      <c r="T29" s="1"/>
      <c r="U29" s="1"/>
      <c r="V29" s="1">
        <f t="shared" si="5"/>
        <v>11</v>
      </c>
      <c r="W29" s="1">
        <f t="shared" si="6"/>
        <v>5.9166547037994075</v>
      </c>
      <c r="X29" s="1">
        <v>12.044</v>
      </c>
      <c r="Y29" s="1">
        <v>11.8088</v>
      </c>
      <c r="Z29" s="1">
        <v>15.055999999999999</v>
      </c>
      <c r="AA29" s="1">
        <v>16.366599999999998</v>
      </c>
      <c r="AB29" s="1">
        <v>13.398999999999999</v>
      </c>
      <c r="AC29" s="1">
        <v>12.2164</v>
      </c>
      <c r="AD29" s="1">
        <v>13.1312</v>
      </c>
      <c r="AE29" s="1">
        <v>14.7814</v>
      </c>
      <c r="AF29" s="1"/>
      <c r="AG29" s="1">
        <f t="shared" ref="AG29:AG35" si="12">G29*R29</f>
        <v>84.985399999999998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21.378</v>
      </c>
      <c r="D30" s="1">
        <v>0.23400000000000001</v>
      </c>
      <c r="E30" s="1">
        <v>15.786</v>
      </c>
      <c r="F30" s="1">
        <v>5.8259999999999996</v>
      </c>
      <c r="G30" s="8">
        <v>1</v>
      </c>
      <c r="H30" s="1">
        <v>30</v>
      </c>
      <c r="I30" s="1" t="s">
        <v>37</v>
      </c>
      <c r="J30" s="1"/>
      <c r="K30" s="1">
        <v>14.8</v>
      </c>
      <c r="L30" s="1">
        <f t="shared" si="2"/>
        <v>0.98599999999999888</v>
      </c>
      <c r="M30" s="1"/>
      <c r="N30" s="1"/>
      <c r="O30" s="1">
        <v>22.965199999999999</v>
      </c>
      <c r="P30" s="1">
        <v>8.2675999999999981</v>
      </c>
      <c r="Q30" s="1">
        <f t="shared" si="3"/>
        <v>3.1572</v>
      </c>
      <c r="R30" s="5"/>
      <c r="S30" s="5"/>
      <c r="T30" s="1"/>
      <c r="U30" s="1"/>
      <c r="V30" s="1">
        <f t="shared" si="5"/>
        <v>11.737868997846192</v>
      </c>
      <c r="W30" s="1">
        <f t="shared" si="6"/>
        <v>11.737868997846192</v>
      </c>
      <c r="X30" s="1">
        <v>4.2728000000000002</v>
      </c>
      <c r="Y30" s="1">
        <v>4.0312000000000001</v>
      </c>
      <c r="Z30" s="1">
        <v>2.6916000000000002</v>
      </c>
      <c r="AA30" s="1">
        <v>1.8255999999999999</v>
      </c>
      <c r="AB30" s="1">
        <v>1.5908</v>
      </c>
      <c r="AC30" s="1">
        <v>3.9198</v>
      </c>
      <c r="AD30" s="1">
        <v>4.6215999999999999</v>
      </c>
      <c r="AE30" s="1">
        <v>3.5295999999999998</v>
      </c>
      <c r="AF30" s="1"/>
      <c r="AG30" s="1">
        <f t="shared" si="12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63.036000000000001</v>
      </c>
      <c r="D31" s="1">
        <v>52.686999999999998</v>
      </c>
      <c r="E31" s="1">
        <v>64.015000000000001</v>
      </c>
      <c r="F31" s="1">
        <v>26.402999999999999</v>
      </c>
      <c r="G31" s="8">
        <v>1</v>
      </c>
      <c r="H31" s="1">
        <v>50</v>
      </c>
      <c r="I31" s="1" t="s">
        <v>37</v>
      </c>
      <c r="J31" s="1"/>
      <c r="K31" s="1">
        <v>59.4</v>
      </c>
      <c r="L31" s="1">
        <f t="shared" si="2"/>
        <v>4.615000000000002</v>
      </c>
      <c r="M31" s="1"/>
      <c r="N31" s="1"/>
      <c r="O31" s="1">
        <v>0</v>
      </c>
      <c r="P31" s="1">
        <v>74.243599999999986</v>
      </c>
      <c r="Q31" s="1">
        <f t="shared" si="3"/>
        <v>12.803000000000001</v>
      </c>
      <c r="R31" s="5">
        <f t="shared" si="11"/>
        <v>40.186400000000013</v>
      </c>
      <c r="S31" s="5"/>
      <c r="T31" s="1"/>
      <c r="U31" s="1"/>
      <c r="V31" s="1">
        <f t="shared" si="5"/>
        <v>11</v>
      </c>
      <c r="W31" s="1">
        <f t="shared" si="6"/>
        <v>7.8611731625400276</v>
      </c>
      <c r="X31" s="1">
        <v>11.672599999999999</v>
      </c>
      <c r="Y31" s="1">
        <v>6.0197999999999992</v>
      </c>
      <c r="Z31" s="1">
        <v>7.2697999999999983</v>
      </c>
      <c r="AA31" s="1">
        <v>10.722200000000001</v>
      </c>
      <c r="AB31" s="1">
        <v>11.0764</v>
      </c>
      <c r="AC31" s="1">
        <v>12.5464</v>
      </c>
      <c r="AD31" s="1">
        <v>9.4626000000000001</v>
      </c>
      <c r="AE31" s="1">
        <v>10.176</v>
      </c>
      <c r="AF31" s="1"/>
      <c r="AG31" s="1">
        <f t="shared" si="12"/>
        <v>40.186400000000013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36</v>
      </c>
      <c r="C32" s="1">
        <v>64.667000000000002</v>
      </c>
      <c r="D32" s="1">
        <v>67.555000000000007</v>
      </c>
      <c r="E32" s="1">
        <v>44.462000000000003</v>
      </c>
      <c r="F32" s="1">
        <v>56.363999999999997</v>
      </c>
      <c r="G32" s="8">
        <v>1</v>
      </c>
      <c r="H32" s="1">
        <v>50</v>
      </c>
      <c r="I32" s="1" t="s">
        <v>37</v>
      </c>
      <c r="J32" s="1"/>
      <c r="K32" s="1">
        <v>38.6</v>
      </c>
      <c r="L32" s="1">
        <f t="shared" si="2"/>
        <v>5.8620000000000019</v>
      </c>
      <c r="M32" s="1"/>
      <c r="N32" s="1"/>
      <c r="O32" s="1">
        <v>0</v>
      </c>
      <c r="P32" s="1">
        <v>16.190999999999999</v>
      </c>
      <c r="Q32" s="1">
        <f t="shared" si="3"/>
        <v>8.8924000000000003</v>
      </c>
      <c r="R32" s="5">
        <f t="shared" si="11"/>
        <v>25.261400000000002</v>
      </c>
      <c r="S32" s="5"/>
      <c r="T32" s="1"/>
      <c r="U32" s="1"/>
      <c r="V32" s="1">
        <f t="shared" si="5"/>
        <v>10.999999999999998</v>
      </c>
      <c r="W32" s="1">
        <f t="shared" si="6"/>
        <v>8.1592146102289593</v>
      </c>
      <c r="X32" s="1">
        <v>7.7769999999999992</v>
      </c>
      <c r="Y32" s="1">
        <v>3.7850000000000001</v>
      </c>
      <c r="Z32" s="1">
        <v>5.7416000000000054</v>
      </c>
      <c r="AA32" s="1">
        <v>10.2318</v>
      </c>
      <c r="AB32" s="1">
        <v>10.2294</v>
      </c>
      <c r="AC32" s="1">
        <v>5.1984000000000004</v>
      </c>
      <c r="AD32" s="1">
        <v>4.8450000000000006</v>
      </c>
      <c r="AE32" s="1">
        <v>8.2422000000000004</v>
      </c>
      <c r="AF32" s="1"/>
      <c r="AG32" s="1">
        <f t="shared" si="12"/>
        <v>25.261400000000002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6" t="s">
        <v>70</v>
      </c>
      <c r="B33" s="16" t="s">
        <v>42</v>
      </c>
      <c r="C33" s="16">
        <v>351</v>
      </c>
      <c r="D33" s="16">
        <v>434</v>
      </c>
      <c r="E33" s="16">
        <v>363</v>
      </c>
      <c r="F33" s="16">
        <v>285</v>
      </c>
      <c r="G33" s="17">
        <v>0.4</v>
      </c>
      <c r="H33" s="16">
        <v>45</v>
      </c>
      <c r="I33" s="11" t="s">
        <v>71</v>
      </c>
      <c r="J33" s="16"/>
      <c r="K33" s="16">
        <v>360</v>
      </c>
      <c r="L33" s="16">
        <f t="shared" si="2"/>
        <v>3</v>
      </c>
      <c r="M33" s="16"/>
      <c r="N33" s="16"/>
      <c r="O33" s="16">
        <v>0</v>
      </c>
      <c r="P33" s="16">
        <v>388.75999999999988</v>
      </c>
      <c r="Q33" s="16">
        <f t="shared" si="3"/>
        <v>72.599999999999994</v>
      </c>
      <c r="R33" s="18">
        <f>12*Q33-P33-O33-F33</f>
        <v>197.44000000000005</v>
      </c>
      <c r="S33" s="18"/>
      <c r="T33" s="16"/>
      <c r="U33" s="16"/>
      <c r="V33" s="16">
        <f t="shared" si="5"/>
        <v>12</v>
      </c>
      <c r="W33" s="16">
        <f t="shared" si="6"/>
        <v>9.2804407713498609</v>
      </c>
      <c r="X33" s="16">
        <v>68.599999999999994</v>
      </c>
      <c r="Y33" s="16">
        <v>47.6</v>
      </c>
      <c r="Z33" s="16">
        <v>52.6</v>
      </c>
      <c r="AA33" s="16">
        <v>77</v>
      </c>
      <c r="AB33" s="16">
        <v>73</v>
      </c>
      <c r="AC33" s="16">
        <v>71</v>
      </c>
      <c r="AD33" s="16">
        <v>54.6</v>
      </c>
      <c r="AE33" s="16">
        <v>54.4</v>
      </c>
      <c r="AF33" s="16" t="s">
        <v>72</v>
      </c>
      <c r="AG33" s="16">
        <f t="shared" si="12"/>
        <v>78.976000000000028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215</v>
      </c>
      <c r="D34" s="1">
        <v>367</v>
      </c>
      <c r="E34" s="1">
        <v>216</v>
      </c>
      <c r="F34" s="1">
        <v>287</v>
      </c>
      <c r="G34" s="8">
        <v>0.45</v>
      </c>
      <c r="H34" s="1">
        <v>50</v>
      </c>
      <c r="I34" s="1" t="s">
        <v>37</v>
      </c>
      <c r="J34" s="1"/>
      <c r="K34" s="1">
        <v>216</v>
      </c>
      <c r="L34" s="1">
        <f t="shared" si="2"/>
        <v>0</v>
      </c>
      <c r="M34" s="1"/>
      <c r="N34" s="1"/>
      <c r="O34" s="1">
        <v>0</v>
      </c>
      <c r="P34" s="1">
        <v>182.92</v>
      </c>
      <c r="Q34" s="1">
        <f t="shared" si="3"/>
        <v>43.2</v>
      </c>
      <c r="R34" s="5">
        <f t="shared" si="11"/>
        <v>5.2800000000000864</v>
      </c>
      <c r="S34" s="5"/>
      <c r="T34" s="1"/>
      <c r="U34" s="1"/>
      <c r="V34" s="1">
        <f t="shared" si="5"/>
        <v>11</v>
      </c>
      <c r="W34" s="1">
        <f t="shared" si="6"/>
        <v>10.877777777777776</v>
      </c>
      <c r="X34" s="1">
        <v>53.2</v>
      </c>
      <c r="Y34" s="1">
        <v>35.6</v>
      </c>
      <c r="Z34" s="1">
        <v>43.8</v>
      </c>
      <c r="AA34" s="1">
        <v>63.2</v>
      </c>
      <c r="AB34" s="1">
        <v>54.4</v>
      </c>
      <c r="AC34" s="1">
        <v>49.4</v>
      </c>
      <c r="AD34" s="1">
        <v>40.799999999999997</v>
      </c>
      <c r="AE34" s="1">
        <v>35</v>
      </c>
      <c r="AF34" s="1" t="s">
        <v>39</v>
      </c>
      <c r="AG34" s="1">
        <f t="shared" si="12"/>
        <v>2.376000000000039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302</v>
      </c>
      <c r="D35" s="1">
        <v>463</v>
      </c>
      <c r="E35" s="1">
        <v>352</v>
      </c>
      <c r="F35" s="1">
        <v>349</v>
      </c>
      <c r="G35" s="8">
        <v>0.4</v>
      </c>
      <c r="H35" s="1">
        <v>45</v>
      </c>
      <c r="I35" s="1" t="s">
        <v>37</v>
      </c>
      <c r="J35" s="1"/>
      <c r="K35" s="1">
        <v>348</v>
      </c>
      <c r="L35" s="1">
        <f t="shared" si="2"/>
        <v>4</v>
      </c>
      <c r="M35" s="1"/>
      <c r="N35" s="1"/>
      <c r="O35" s="1">
        <v>0</v>
      </c>
      <c r="P35" s="1">
        <v>173.92</v>
      </c>
      <c r="Q35" s="1">
        <f t="shared" si="3"/>
        <v>70.400000000000006</v>
      </c>
      <c r="R35" s="5">
        <f t="shared" si="11"/>
        <v>251.48000000000013</v>
      </c>
      <c r="S35" s="5"/>
      <c r="T35" s="1"/>
      <c r="U35" s="1"/>
      <c r="V35" s="1">
        <f t="shared" si="5"/>
        <v>11</v>
      </c>
      <c r="W35" s="1">
        <f t="shared" si="6"/>
        <v>7.4278409090909081</v>
      </c>
      <c r="X35" s="1">
        <v>60.2</v>
      </c>
      <c r="Y35" s="1">
        <v>45</v>
      </c>
      <c r="Z35" s="1">
        <v>67</v>
      </c>
      <c r="AA35" s="1">
        <v>58.8</v>
      </c>
      <c r="AB35" s="1">
        <v>60.2</v>
      </c>
      <c r="AC35" s="1">
        <v>74.2</v>
      </c>
      <c r="AD35" s="1">
        <v>60.6</v>
      </c>
      <c r="AE35" s="1">
        <v>63.2</v>
      </c>
      <c r="AF35" s="1"/>
      <c r="AG35" s="1">
        <f t="shared" si="12"/>
        <v>100.59200000000006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2" t="s">
        <v>75</v>
      </c>
      <c r="B36" s="12" t="s">
        <v>36</v>
      </c>
      <c r="C36" s="12"/>
      <c r="D36" s="12"/>
      <c r="E36" s="12"/>
      <c r="F36" s="12"/>
      <c r="G36" s="13">
        <v>0</v>
      </c>
      <c r="H36" s="12">
        <v>45</v>
      </c>
      <c r="I36" s="12" t="s">
        <v>37</v>
      </c>
      <c r="J36" s="12"/>
      <c r="K36" s="12"/>
      <c r="L36" s="12">
        <f t="shared" si="2"/>
        <v>0</v>
      </c>
      <c r="M36" s="12"/>
      <c r="N36" s="12"/>
      <c r="O36" s="12">
        <v>0</v>
      </c>
      <c r="P36" s="12">
        <v>0</v>
      </c>
      <c r="Q36" s="12">
        <f t="shared" si="3"/>
        <v>0</v>
      </c>
      <c r="R36" s="14"/>
      <c r="S36" s="14"/>
      <c r="T36" s="12"/>
      <c r="U36" s="12"/>
      <c r="V36" s="12" t="e">
        <f t="shared" si="5"/>
        <v>#DIV/0!</v>
      </c>
      <c r="W36" s="12" t="e">
        <f t="shared" si="6"/>
        <v>#DIV/0!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 t="s">
        <v>45</v>
      </c>
      <c r="AG36" s="1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42</v>
      </c>
      <c r="C37" s="1">
        <v>62</v>
      </c>
      <c r="D37" s="1">
        <v>80</v>
      </c>
      <c r="E37" s="1">
        <v>23</v>
      </c>
      <c r="F37" s="1">
        <v>104</v>
      </c>
      <c r="G37" s="8">
        <v>0.1</v>
      </c>
      <c r="H37" s="1">
        <v>730</v>
      </c>
      <c r="I37" s="1" t="s">
        <v>37</v>
      </c>
      <c r="J37" s="1"/>
      <c r="K37" s="1">
        <v>23</v>
      </c>
      <c r="L37" s="1">
        <f t="shared" si="2"/>
        <v>0</v>
      </c>
      <c r="M37" s="1"/>
      <c r="N37" s="1"/>
      <c r="O37" s="1">
        <v>4.5999999999999943</v>
      </c>
      <c r="P37" s="1">
        <v>0</v>
      </c>
      <c r="Q37" s="1">
        <f t="shared" si="3"/>
        <v>4.5999999999999996</v>
      </c>
      <c r="R37" s="5"/>
      <c r="S37" s="5"/>
      <c r="T37" s="1"/>
      <c r="U37" s="1"/>
      <c r="V37" s="1">
        <f t="shared" si="5"/>
        <v>23.608695652173914</v>
      </c>
      <c r="W37" s="1">
        <f t="shared" si="6"/>
        <v>23.608695652173914</v>
      </c>
      <c r="X37" s="1">
        <v>8.4</v>
      </c>
      <c r="Y37" s="1">
        <v>12</v>
      </c>
      <c r="Z37" s="1">
        <v>14.4</v>
      </c>
      <c r="AA37" s="1">
        <v>7.8</v>
      </c>
      <c r="AB37" s="1">
        <v>4.2</v>
      </c>
      <c r="AC37" s="1">
        <v>4.5999999999999996</v>
      </c>
      <c r="AD37" s="1">
        <v>12</v>
      </c>
      <c r="AE37" s="1">
        <v>11.6</v>
      </c>
      <c r="AF37" s="23" t="s">
        <v>112</v>
      </c>
      <c r="AG37" s="1">
        <f t="shared" ref="AG37:AG50" si="13"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103</v>
      </c>
      <c r="D38" s="1">
        <v>98</v>
      </c>
      <c r="E38" s="1">
        <v>156</v>
      </c>
      <c r="F38" s="1">
        <v>36</v>
      </c>
      <c r="G38" s="8">
        <v>0.35</v>
      </c>
      <c r="H38" s="1">
        <v>40</v>
      </c>
      <c r="I38" s="1" t="s">
        <v>37</v>
      </c>
      <c r="J38" s="1"/>
      <c r="K38" s="1">
        <v>167</v>
      </c>
      <c r="L38" s="1">
        <f t="shared" ref="L38:L69" si="14">E38-K38</f>
        <v>-11</v>
      </c>
      <c r="M38" s="1"/>
      <c r="N38" s="1"/>
      <c r="O38" s="1">
        <v>13.80000000000001</v>
      </c>
      <c r="P38" s="1">
        <v>121</v>
      </c>
      <c r="Q38" s="1">
        <f t="shared" si="3"/>
        <v>31.2</v>
      </c>
      <c r="R38" s="5">
        <f>10*Q38-P38-O38-F38</f>
        <v>141.19999999999999</v>
      </c>
      <c r="S38" s="5"/>
      <c r="T38" s="1"/>
      <c r="U38" s="1"/>
      <c r="V38" s="1">
        <f t="shared" si="5"/>
        <v>10</v>
      </c>
      <c r="W38" s="1">
        <f t="shared" si="6"/>
        <v>5.4743589743589745</v>
      </c>
      <c r="X38" s="1">
        <v>21.6</v>
      </c>
      <c r="Y38" s="1">
        <v>18.600000000000001</v>
      </c>
      <c r="Z38" s="1">
        <v>20.6</v>
      </c>
      <c r="AA38" s="1">
        <v>9</v>
      </c>
      <c r="AB38" s="1">
        <v>14.4</v>
      </c>
      <c r="AC38" s="1">
        <v>22.2</v>
      </c>
      <c r="AD38" s="1">
        <v>17.399999999999999</v>
      </c>
      <c r="AE38" s="1">
        <v>13.6</v>
      </c>
      <c r="AF38" s="1" t="s">
        <v>39</v>
      </c>
      <c r="AG38" s="1">
        <f t="shared" si="13"/>
        <v>49.419999999999995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36</v>
      </c>
      <c r="C39" s="1">
        <v>73.343999999999994</v>
      </c>
      <c r="D39" s="1">
        <v>112.827</v>
      </c>
      <c r="E39" s="1">
        <v>107.68</v>
      </c>
      <c r="F39" s="1">
        <v>69.099999999999994</v>
      </c>
      <c r="G39" s="8">
        <v>1</v>
      </c>
      <c r="H39" s="1">
        <v>40</v>
      </c>
      <c r="I39" s="1" t="s">
        <v>37</v>
      </c>
      <c r="J39" s="1"/>
      <c r="K39" s="1">
        <v>119</v>
      </c>
      <c r="L39" s="1">
        <f t="shared" si="14"/>
        <v>-11.319999999999993</v>
      </c>
      <c r="M39" s="1"/>
      <c r="N39" s="1"/>
      <c r="O39" s="1">
        <v>21.726800000000029</v>
      </c>
      <c r="P39" s="1">
        <v>109.20359999999999</v>
      </c>
      <c r="Q39" s="1">
        <f t="shared" si="3"/>
        <v>21.536000000000001</v>
      </c>
      <c r="R39" s="5">
        <f t="shared" ref="R39:R47" si="15">11*Q39-P39-O39-F39</f>
        <v>36.865600000000001</v>
      </c>
      <c r="S39" s="5"/>
      <c r="T39" s="1"/>
      <c r="U39" s="1"/>
      <c r="V39" s="1">
        <f t="shared" si="5"/>
        <v>11</v>
      </c>
      <c r="W39" s="1">
        <f t="shared" si="6"/>
        <v>9.2881872213967309</v>
      </c>
      <c r="X39" s="1">
        <v>20.802800000000001</v>
      </c>
      <c r="Y39" s="1">
        <v>17.1602</v>
      </c>
      <c r="Z39" s="1">
        <v>18.885200000000001</v>
      </c>
      <c r="AA39" s="1">
        <v>17.299600000000002</v>
      </c>
      <c r="AB39" s="1">
        <v>18.368400000000001</v>
      </c>
      <c r="AC39" s="1">
        <v>19.9344</v>
      </c>
      <c r="AD39" s="1">
        <v>21.980599999999999</v>
      </c>
      <c r="AE39" s="1">
        <v>22.3672</v>
      </c>
      <c r="AF39" s="1"/>
      <c r="AG39" s="1">
        <f t="shared" si="13"/>
        <v>36.865600000000001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42</v>
      </c>
      <c r="C40" s="1"/>
      <c r="D40" s="1">
        <v>367</v>
      </c>
      <c r="E40" s="1">
        <v>109</v>
      </c>
      <c r="F40" s="1">
        <v>241</v>
      </c>
      <c r="G40" s="8">
        <v>0.4</v>
      </c>
      <c r="H40" s="1">
        <v>40</v>
      </c>
      <c r="I40" s="1" t="s">
        <v>37</v>
      </c>
      <c r="J40" s="1"/>
      <c r="K40" s="1">
        <v>114</v>
      </c>
      <c r="L40" s="1">
        <f t="shared" si="14"/>
        <v>-5</v>
      </c>
      <c r="M40" s="1"/>
      <c r="N40" s="1"/>
      <c r="O40" s="1">
        <v>0</v>
      </c>
      <c r="P40" s="1">
        <v>0</v>
      </c>
      <c r="Q40" s="1">
        <f t="shared" si="3"/>
        <v>21.8</v>
      </c>
      <c r="R40" s="5"/>
      <c r="S40" s="5"/>
      <c r="T40" s="1"/>
      <c r="U40" s="1"/>
      <c r="V40" s="1">
        <f t="shared" si="5"/>
        <v>11.055045871559633</v>
      </c>
      <c r="W40" s="1">
        <f t="shared" si="6"/>
        <v>11.055045871559633</v>
      </c>
      <c r="X40" s="1">
        <v>15</v>
      </c>
      <c r="Y40" s="1">
        <v>8.1999999999999993</v>
      </c>
      <c r="Z40" s="1">
        <v>33.200000000000003</v>
      </c>
      <c r="AA40" s="1">
        <v>35.6</v>
      </c>
      <c r="AB40" s="1">
        <v>13</v>
      </c>
      <c r="AC40" s="1">
        <v>18.399999999999999</v>
      </c>
      <c r="AD40" s="1">
        <v>22.6</v>
      </c>
      <c r="AE40" s="1">
        <v>23.2</v>
      </c>
      <c r="AF40" s="1"/>
      <c r="AG40" s="1">
        <f t="shared" si="1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>
        <v>327</v>
      </c>
      <c r="D41" s="1">
        <v>228</v>
      </c>
      <c r="E41" s="1">
        <v>246</v>
      </c>
      <c r="F41" s="1">
        <v>296</v>
      </c>
      <c r="G41" s="8">
        <v>0.4</v>
      </c>
      <c r="H41" s="1">
        <v>45</v>
      </c>
      <c r="I41" s="1" t="s">
        <v>37</v>
      </c>
      <c r="J41" s="1"/>
      <c r="K41" s="1">
        <v>246</v>
      </c>
      <c r="L41" s="1">
        <f t="shared" si="14"/>
        <v>0</v>
      </c>
      <c r="M41" s="1"/>
      <c r="N41" s="1"/>
      <c r="O41" s="1">
        <v>0</v>
      </c>
      <c r="P41" s="1">
        <v>27.600000000000051</v>
      </c>
      <c r="Q41" s="1">
        <f t="shared" si="3"/>
        <v>49.2</v>
      </c>
      <c r="R41" s="5">
        <f t="shared" si="15"/>
        <v>217.60000000000002</v>
      </c>
      <c r="S41" s="5"/>
      <c r="T41" s="1"/>
      <c r="U41" s="1"/>
      <c r="V41" s="1">
        <f t="shared" si="5"/>
        <v>11</v>
      </c>
      <c r="W41" s="1">
        <f t="shared" si="6"/>
        <v>6.5772357723577235</v>
      </c>
      <c r="X41" s="1">
        <v>38.200000000000003</v>
      </c>
      <c r="Y41" s="1">
        <v>30</v>
      </c>
      <c r="Z41" s="1">
        <v>51.2</v>
      </c>
      <c r="AA41" s="1">
        <v>38.799999999999997</v>
      </c>
      <c r="AB41" s="1">
        <v>48.6</v>
      </c>
      <c r="AC41" s="1">
        <v>67.400000000000006</v>
      </c>
      <c r="AD41" s="1">
        <v>47.2</v>
      </c>
      <c r="AE41" s="1">
        <v>40.6</v>
      </c>
      <c r="AF41" s="1"/>
      <c r="AG41" s="1">
        <f t="shared" si="13"/>
        <v>87.04000000000002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36</v>
      </c>
      <c r="C42" s="1">
        <v>-1.7999999999999999E-2</v>
      </c>
      <c r="D42" s="1">
        <v>268.40199999999999</v>
      </c>
      <c r="E42" s="1">
        <v>56.771999999999998</v>
      </c>
      <c r="F42" s="1">
        <v>204.36199999999999</v>
      </c>
      <c r="G42" s="8">
        <v>1</v>
      </c>
      <c r="H42" s="1">
        <v>40</v>
      </c>
      <c r="I42" s="1" t="s">
        <v>37</v>
      </c>
      <c r="J42" s="1"/>
      <c r="K42" s="1">
        <v>67.5</v>
      </c>
      <c r="L42" s="1">
        <f t="shared" si="14"/>
        <v>-10.728000000000002</v>
      </c>
      <c r="M42" s="1"/>
      <c r="N42" s="1"/>
      <c r="O42" s="1">
        <v>0</v>
      </c>
      <c r="P42" s="1">
        <v>0</v>
      </c>
      <c r="Q42" s="1">
        <f t="shared" si="3"/>
        <v>11.3544</v>
      </c>
      <c r="R42" s="5"/>
      <c r="S42" s="5"/>
      <c r="T42" s="1"/>
      <c r="U42" s="1"/>
      <c r="V42" s="1">
        <f t="shared" si="5"/>
        <v>17.998485168745155</v>
      </c>
      <c r="W42" s="1">
        <f t="shared" si="6"/>
        <v>17.998485168745155</v>
      </c>
      <c r="X42" s="1">
        <v>8.9922000000000004</v>
      </c>
      <c r="Y42" s="1">
        <v>21.472999999999999</v>
      </c>
      <c r="Z42" s="1">
        <v>27.3536</v>
      </c>
      <c r="AA42" s="1">
        <v>12.85</v>
      </c>
      <c r="AB42" s="1">
        <v>11.731400000000001</v>
      </c>
      <c r="AC42" s="1">
        <v>15.381399999999999</v>
      </c>
      <c r="AD42" s="1">
        <v>18.983599999999999</v>
      </c>
      <c r="AE42" s="1">
        <v>18.662600000000001</v>
      </c>
      <c r="AF42" s="1"/>
      <c r="AG42" s="1">
        <f t="shared" si="13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6" t="s">
        <v>82</v>
      </c>
      <c r="B43" s="16" t="s">
        <v>42</v>
      </c>
      <c r="C43" s="16">
        <v>84</v>
      </c>
      <c r="D43" s="16">
        <v>272</v>
      </c>
      <c r="E43" s="16">
        <v>127</v>
      </c>
      <c r="F43" s="16">
        <v>195</v>
      </c>
      <c r="G43" s="17">
        <v>0.35</v>
      </c>
      <c r="H43" s="16">
        <v>40</v>
      </c>
      <c r="I43" s="16" t="s">
        <v>37</v>
      </c>
      <c r="J43" s="16"/>
      <c r="K43" s="16">
        <v>128</v>
      </c>
      <c r="L43" s="16">
        <f t="shared" si="14"/>
        <v>-1</v>
      </c>
      <c r="M43" s="16"/>
      <c r="N43" s="16"/>
      <c r="O43" s="16">
        <v>88.799999999999926</v>
      </c>
      <c r="P43" s="16">
        <v>127.2000000000001</v>
      </c>
      <c r="Q43" s="16">
        <f t="shared" si="3"/>
        <v>25.4</v>
      </c>
      <c r="R43" s="18"/>
      <c r="S43" s="18"/>
      <c r="T43" s="16"/>
      <c r="U43" s="16"/>
      <c r="V43" s="16">
        <f t="shared" si="5"/>
        <v>16.181102362204726</v>
      </c>
      <c r="W43" s="16">
        <f t="shared" si="6"/>
        <v>16.181102362204726</v>
      </c>
      <c r="X43" s="16">
        <v>35.200000000000003</v>
      </c>
      <c r="Y43" s="16">
        <v>29.4</v>
      </c>
      <c r="Z43" s="16">
        <v>36</v>
      </c>
      <c r="AA43" s="16">
        <v>23.6</v>
      </c>
      <c r="AB43" s="16">
        <v>10</v>
      </c>
      <c r="AC43" s="16">
        <v>28.4</v>
      </c>
      <c r="AD43" s="16">
        <v>38.6</v>
      </c>
      <c r="AE43" s="16">
        <v>31.8</v>
      </c>
      <c r="AF43" s="16" t="s">
        <v>51</v>
      </c>
      <c r="AG43" s="16">
        <f t="shared" si="1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42</v>
      </c>
      <c r="C44" s="1">
        <v>242</v>
      </c>
      <c r="D44" s="1">
        <v>460</v>
      </c>
      <c r="E44" s="1">
        <v>326</v>
      </c>
      <c r="F44" s="1">
        <v>337</v>
      </c>
      <c r="G44" s="8">
        <v>0.4</v>
      </c>
      <c r="H44" s="1">
        <v>40</v>
      </c>
      <c r="I44" s="11" t="s">
        <v>71</v>
      </c>
      <c r="J44" s="1"/>
      <c r="K44" s="1">
        <v>339</v>
      </c>
      <c r="L44" s="1">
        <f t="shared" si="14"/>
        <v>-13</v>
      </c>
      <c r="M44" s="1"/>
      <c r="N44" s="1"/>
      <c r="O44" s="1">
        <v>71.999999999999943</v>
      </c>
      <c r="P44" s="1">
        <v>397.84000000000009</v>
      </c>
      <c r="Q44" s="1">
        <f t="shared" si="3"/>
        <v>65.2</v>
      </c>
      <c r="R44" s="5"/>
      <c r="S44" s="5"/>
      <c r="T44" s="1"/>
      <c r="U44" s="1"/>
      <c r="V44" s="1">
        <f t="shared" si="5"/>
        <v>12.374846625766871</v>
      </c>
      <c r="W44" s="1">
        <f t="shared" si="6"/>
        <v>12.374846625766871</v>
      </c>
      <c r="X44" s="1">
        <v>86.4</v>
      </c>
      <c r="Y44" s="1">
        <v>66.8</v>
      </c>
      <c r="Z44" s="1">
        <v>73</v>
      </c>
      <c r="AA44" s="1">
        <v>86.8</v>
      </c>
      <c r="AB44" s="1">
        <v>85.8</v>
      </c>
      <c r="AC44" s="1">
        <v>84.2</v>
      </c>
      <c r="AD44" s="1">
        <v>64.8</v>
      </c>
      <c r="AE44" s="1">
        <v>69</v>
      </c>
      <c r="AF44" s="1" t="s">
        <v>39</v>
      </c>
      <c r="AG44" s="1">
        <f t="shared" si="1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36</v>
      </c>
      <c r="C45" s="1">
        <v>48.566000000000003</v>
      </c>
      <c r="D45" s="1">
        <v>55.8</v>
      </c>
      <c r="E45" s="1">
        <v>21.664000000000001</v>
      </c>
      <c r="F45" s="1">
        <v>49.021999999999998</v>
      </c>
      <c r="G45" s="8">
        <v>1</v>
      </c>
      <c r="H45" s="1">
        <v>50</v>
      </c>
      <c r="I45" s="1" t="s">
        <v>37</v>
      </c>
      <c r="J45" s="1"/>
      <c r="K45" s="1">
        <v>21.65</v>
      </c>
      <c r="L45" s="1">
        <f t="shared" si="14"/>
        <v>1.4000000000002899E-2</v>
      </c>
      <c r="M45" s="1"/>
      <c r="N45" s="1"/>
      <c r="O45" s="1">
        <v>0</v>
      </c>
      <c r="P45" s="1">
        <v>0</v>
      </c>
      <c r="Q45" s="1">
        <f t="shared" si="3"/>
        <v>4.3328000000000007</v>
      </c>
      <c r="R45" s="5"/>
      <c r="S45" s="5"/>
      <c r="T45" s="1"/>
      <c r="U45" s="1"/>
      <c r="V45" s="1">
        <f t="shared" si="5"/>
        <v>11.31416174298375</v>
      </c>
      <c r="W45" s="1">
        <f t="shared" si="6"/>
        <v>11.31416174298375</v>
      </c>
      <c r="X45" s="1">
        <v>4.0591999999999997</v>
      </c>
      <c r="Y45" s="1">
        <v>3.6831999999999998</v>
      </c>
      <c r="Z45" s="1">
        <v>5.0399999999999991</v>
      </c>
      <c r="AA45" s="1">
        <v>6.9871999999999996</v>
      </c>
      <c r="AB45" s="1">
        <v>6.1712000000000007</v>
      </c>
      <c r="AC45" s="1">
        <v>5.6820000000000004</v>
      </c>
      <c r="AD45" s="1">
        <v>6.5018000000000002</v>
      </c>
      <c r="AE45" s="1">
        <v>5.9756</v>
      </c>
      <c r="AF45" s="1"/>
      <c r="AG45" s="1">
        <f t="shared" si="1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36</v>
      </c>
      <c r="C46" s="1">
        <v>45.851999999999997</v>
      </c>
      <c r="D46" s="1">
        <v>117.02500000000001</v>
      </c>
      <c r="E46" s="1">
        <v>79.484999999999999</v>
      </c>
      <c r="F46" s="1">
        <v>68.533000000000001</v>
      </c>
      <c r="G46" s="8">
        <v>1</v>
      </c>
      <c r="H46" s="1">
        <v>50</v>
      </c>
      <c r="I46" s="1" t="s">
        <v>37</v>
      </c>
      <c r="J46" s="1"/>
      <c r="K46" s="1">
        <v>80.55</v>
      </c>
      <c r="L46" s="1">
        <f t="shared" si="14"/>
        <v>-1.0649999999999977</v>
      </c>
      <c r="M46" s="1"/>
      <c r="N46" s="1"/>
      <c r="O46" s="1">
        <v>129.99758000000011</v>
      </c>
      <c r="P46" s="1">
        <v>0</v>
      </c>
      <c r="Q46" s="1">
        <f t="shared" si="3"/>
        <v>15.897</v>
      </c>
      <c r="R46" s="5"/>
      <c r="S46" s="5"/>
      <c r="T46" s="1"/>
      <c r="U46" s="1"/>
      <c r="V46" s="1">
        <f t="shared" si="5"/>
        <v>12.488556331383286</v>
      </c>
      <c r="W46" s="1">
        <f t="shared" si="6"/>
        <v>12.488556331383286</v>
      </c>
      <c r="X46" s="1">
        <v>17.9482</v>
      </c>
      <c r="Y46" s="1">
        <v>19.529399999999999</v>
      </c>
      <c r="Z46" s="1">
        <v>17.616</v>
      </c>
      <c r="AA46" s="1">
        <v>16.870799999999999</v>
      </c>
      <c r="AB46" s="1">
        <v>17.052600000000002</v>
      </c>
      <c r="AC46" s="1">
        <v>14.9108</v>
      </c>
      <c r="AD46" s="1">
        <v>15.051399999999999</v>
      </c>
      <c r="AE46" s="1">
        <v>18.7942</v>
      </c>
      <c r="AF46" s="1"/>
      <c r="AG46" s="1">
        <f t="shared" si="13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36</v>
      </c>
      <c r="C47" s="1">
        <v>63.453000000000003</v>
      </c>
      <c r="D47" s="1">
        <v>157.215</v>
      </c>
      <c r="E47" s="1">
        <v>129.00299999999999</v>
      </c>
      <c r="F47" s="1">
        <v>74.808999999999997</v>
      </c>
      <c r="G47" s="8">
        <v>1</v>
      </c>
      <c r="H47" s="1">
        <v>40</v>
      </c>
      <c r="I47" s="1" t="s">
        <v>37</v>
      </c>
      <c r="J47" s="1"/>
      <c r="K47" s="1">
        <v>113.4</v>
      </c>
      <c r="L47" s="1">
        <f t="shared" si="14"/>
        <v>15.60299999999998</v>
      </c>
      <c r="M47" s="1"/>
      <c r="N47" s="1"/>
      <c r="O47" s="1">
        <v>34.284600000000353</v>
      </c>
      <c r="P47" s="1">
        <v>84.145599999999973</v>
      </c>
      <c r="Q47" s="1">
        <f t="shared" si="3"/>
        <v>25.800599999999996</v>
      </c>
      <c r="R47" s="5">
        <f t="shared" si="15"/>
        <v>90.567399999999623</v>
      </c>
      <c r="S47" s="5"/>
      <c r="T47" s="1"/>
      <c r="U47" s="1"/>
      <c r="V47" s="1">
        <f t="shared" si="5"/>
        <v>11</v>
      </c>
      <c r="W47" s="1">
        <f t="shared" si="6"/>
        <v>7.489717293396291</v>
      </c>
      <c r="X47" s="1">
        <v>21.863</v>
      </c>
      <c r="Y47" s="1">
        <v>20.099</v>
      </c>
      <c r="Z47" s="1">
        <v>24.689399999999981</v>
      </c>
      <c r="AA47" s="1">
        <v>25.1538</v>
      </c>
      <c r="AB47" s="1">
        <v>23.4162</v>
      </c>
      <c r="AC47" s="1">
        <v>18.690200000000001</v>
      </c>
      <c r="AD47" s="1">
        <v>15.2502</v>
      </c>
      <c r="AE47" s="1">
        <v>22.256199999999989</v>
      </c>
      <c r="AF47" s="1"/>
      <c r="AG47" s="1">
        <f t="shared" si="13"/>
        <v>90.567399999999623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42</v>
      </c>
      <c r="C48" s="1">
        <v>7</v>
      </c>
      <c r="D48" s="1">
        <v>345</v>
      </c>
      <c r="E48" s="1">
        <v>140</v>
      </c>
      <c r="F48" s="1">
        <v>187</v>
      </c>
      <c r="G48" s="8">
        <v>0.45</v>
      </c>
      <c r="H48" s="1">
        <v>50</v>
      </c>
      <c r="I48" s="1" t="s">
        <v>37</v>
      </c>
      <c r="J48" s="1"/>
      <c r="K48" s="1">
        <v>177</v>
      </c>
      <c r="L48" s="1">
        <f t="shared" si="14"/>
        <v>-37</v>
      </c>
      <c r="M48" s="1"/>
      <c r="N48" s="1"/>
      <c r="O48" s="1">
        <v>244.3000000000001</v>
      </c>
      <c r="P48" s="1">
        <v>0</v>
      </c>
      <c r="Q48" s="1">
        <f t="shared" si="3"/>
        <v>28</v>
      </c>
      <c r="R48" s="5"/>
      <c r="S48" s="5"/>
      <c r="T48" s="1"/>
      <c r="U48" s="1"/>
      <c r="V48" s="1">
        <f t="shared" si="5"/>
        <v>15.40357142857143</v>
      </c>
      <c r="W48" s="1">
        <f t="shared" si="6"/>
        <v>15.40357142857143</v>
      </c>
      <c r="X48" s="1">
        <v>34.6</v>
      </c>
      <c r="Y48" s="1">
        <v>43</v>
      </c>
      <c r="Z48" s="1">
        <v>40.799999999999997</v>
      </c>
      <c r="AA48" s="1">
        <v>37</v>
      </c>
      <c r="AB48" s="1">
        <v>29.6</v>
      </c>
      <c r="AC48" s="1">
        <v>27.6</v>
      </c>
      <c r="AD48" s="1">
        <v>27.4</v>
      </c>
      <c r="AE48" s="1">
        <v>30</v>
      </c>
      <c r="AF48" s="1"/>
      <c r="AG48" s="1">
        <f t="shared" si="13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42</v>
      </c>
      <c r="C49" s="1">
        <v>61</v>
      </c>
      <c r="D49" s="1">
        <v>59</v>
      </c>
      <c r="E49" s="1">
        <v>60</v>
      </c>
      <c r="F49" s="1">
        <v>34</v>
      </c>
      <c r="G49" s="8">
        <v>0.4</v>
      </c>
      <c r="H49" s="1">
        <v>40</v>
      </c>
      <c r="I49" s="1" t="s">
        <v>37</v>
      </c>
      <c r="J49" s="1"/>
      <c r="K49" s="1">
        <v>80</v>
      </c>
      <c r="L49" s="1">
        <f t="shared" si="14"/>
        <v>-20</v>
      </c>
      <c r="M49" s="1"/>
      <c r="N49" s="1"/>
      <c r="O49" s="1">
        <v>142.19999999999999</v>
      </c>
      <c r="P49" s="1">
        <v>33.800000000000011</v>
      </c>
      <c r="Q49" s="1">
        <f t="shared" si="3"/>
        <v>12</v>
      </c>
      <c r="R49" s="5"/>
      <c r="S49" s="5"/>
      <c r="T49" s="1"/>
      <c r="U49" s="1"/>
      <c r="V49" s="1">
        <f t="shared" si="5"/>
        <v>17.5</v>
      </c>
      <c r="W49" s="1">
        <f t="shared" si="6"/>
        <v>17.5</v>
      </c>
      <c r="X49" s="1">
        <v>22.2</v>
      </c>
      <c r="Y49" s="1">
        <v>24.8</v>
      </c>
      <c r="Z49" s="1">
        <v>16.2</v>
      </c>
      <c r="AA49" s="1">
        <v>18</v>
      </c>
      <c r="AB49" s="1">
        <v>20.2</v>
      </c>
      <c r="AC49" s="1">
        <v>26.8</v>
      </c>
      <c r="AD49" s="1">
        <v>23.8</v>
      </c>
      <c r="AE49" s="1">
        <v>19.2</v>
      </c>
      <c r="AF49" s="1"/>
      <c r="AG49" s="1">
        <f t="shared" si="13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6" t="s">
        <v>89</v>
      </c>
      <c r="B50" s="16" t="s">
        <v>42</v>
      </c>
      <c r="C50" s="16"/>
      <c r="D50" s="16">
        <v>218</v>
      </c>
      <c r="E50" s="16">
        <v>52</v>
      </c>
      <c r="F50" s="16">
        <v>117</v>
      </c>
      <c r="G50" s="17">
        <v>0.4</v>
      </c>
      <c r="H50" s="16">
        <v>40</v>
      </c>
      <c r="I50" s="16" t="s">
        <v>37</v>
      </c>
      <c r="J50" s="16"/>
      <c r="K50" s="16">
        <v>92</v>
      </c>
      <c r="L50" s="16">
        <f t="shared" si="14"/>
        <v>-40</v>
      </c>
      <c r="M50" s="16"/>
      <c r="N50" s="16"/>
      <c r="O50" s="16">
        <v>0</v>
      </c>
      <c r="P50" s="16">
        <v>0</v>
      </c>
      <c r="Q50" s="16">
        <f t="shared" si="3"/>
        <v>10.4</v>
      </c>
      <c r="R50" s="18">
        <f>12*Q50-P50-O50-F50</f>
        <v>7.8000000000000114</v>
      </c>
      <c r="S50" s="18"/>
      <c r="T50" s="16"/>
      <c r="U50" s="16"/>
      <c r="V50" s="16">
        <f t="shared" si="5"/>
        <v>12</v>
      </c>
      <c r="W50" s="16">
        <f t="shared" si="6"/>
        <v>11.25</v>
      </c>
      <c r="X50" s="16">
        <v>11.8</v>
      </c>
      <c r="Y50" s="16">
        <v>8.8000000000000007</v>
      </c>
      <c r="Z50" s="16">
        <v>21.8</v>
      </c>
      <c r="AA50" s="16">
        <v>27.8</v>
      </c>
      <c r="AB50" s="16">
        <v>13.4</v>
      </c>
      <c r="AC50" s="16">
        <v>17.600000000000001</v>
      </c>
      <c r="AD50" s="16">
        <v>20</v>
      </c>
      <c r="AE50" s="16">
        <v>21.4</v>
      </c>
      <c r="AF50" s="16" t="s">
        <v>90</v>
      </c>
      <c r="AG50" s="16">
        <f t="shared" si="13"/>
        <v>3.1200000000000045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91</v>
      </c>
      <c r="B51" s="12" t="s">
        <v>36</v>
      </c>
      <c r="C51" s="12"/>
      <c r="D51" s="12"/>
      <c r="E51" s="12"/>
      <c r="F51" s="12"/>
      <c r="G51" s="13">
        <v>0</v>
      </c>
      <c r="H51" s="12">
        <v>50</v>
      </c>
      <c r="I51" s="12" t="s">
        <v>37</v>
      </c>
      <c r="J51" s="12"/>
      <c r="K51" s="12"/>
      <c r="L51" s="12">
        <f t="shared" si="14"/>
        <v>0</v>
      </c>
      <c r="M51" s="12"/>
      <c r="N51" s="12"/>
      <c r="O51" s="12">
        <v>0</v>
      </c>
      <c r="P51" s="12">
        <v>0</v>
      </c>
      <c r="Q51" s="12">
        <f t="shared" si="3"/>
        <v>0</v>
      </c>
      <c r="R51" s="14"/>
      <c r="S51" s="14"/>
      <c r="T51" s="12"/>
      <c r="U51" s="12"/>
      <c r="V51" s="12" t="e">
        <f t="shared" si="5"/>
        <v>#DIV/0!</v>
      </c>
      <c r="W51" s="12" t="e">
        <f t="shared" si="6"/>
        <v>#DIV/0!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45</v>
      </c>
      <c r="AG51" s="1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42</v>
      </c>
      <c r="C52" s="1">
        <v>65</v>
      </c>
      <c r="D52" s="1">
        <v>80</v>
      </c>
      <c r="E52" s="1">
        <v>18</v>
      </c>
      <c r="F52" s="1">
        <v>115</v>
      </c>
      <c r="G52" s="8">
        <v>0.1</v>
      </c>
      <c r="H52" s="1">
        <v>730</v>
      </c>
      <c r="I52" s="1" t="s">
        <v>37</v>
      </c>
      <c r="J52" s="1"/>
      <c r="K52" s="1">
        <v>18</v>
      </c>
      <c r="L52" s="1">
        <f t="shared" si="14"/>
        <v>0</v>
      </c>
      <c r="M52" s="1"/>
      <c r="N52" s="1"/>
      <c r="O52" s="1">
        <v>3.8000000000000109</v>
      </c>
      <c r="P52" s="1">
        <v>0</v>
      </c>
      <c r="Q52" s="1">
        <f t="shared" si="3"/>
        <v>3.6</v>
      </c>
      <c r="R52" s="5"/>
      <c r="S52" s="5"/>
      <c r="T52" s="1"/>
      <c r="U52" s="1"/>
      <c r="V52" s="1">
        <f t="shared" si="5"/>
        <v>33</v>
      </c>
      <c r="W52" s="1">
        <f t="shared" si="6"/>
        <v>33</v>
      </c>
      <c r="X52" s="1">
        <v>7.4</v>
      </c>
      <c r="Y52" s="1">
        <v>11.8</v>
      </c>
      <c r="Z52" s="1">
        <v>14</v>
      </c>
      <c r="AA52" s="1">
        <v>7.4</v>
      </c>
      <c r="AB52" s="1">
        <v>4</v>
      </c>
      <c r="AC52" s="1">
        <v>4.2</v>
      </c>
      <c r="AD52" s="1">
        <v>12</v>
      </c>
      <c r="AE52" s="1">
        <v>11.8</v>
      </c>
      <c r="AF52" s="23" t="s">
        <v>112</v>
      </c>
      <c r="AG52" s="1">
        <f t="shared" ref="AG52:AG62" si="16"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93</v>
      </c>
      <c r="B53" s="1" t="s">
        <v>36</v>
      </c>
      <c r="C53" s="1">
        <v>101.19799999999999</v>
      </c>
      <c r="D53" s="1">
        <v>87.135000000000005</v>
      </c>
      <c r="E53" s="1">
        <v>74.724000000000004</v>
      </c>
      <c r="F53" s="1">
        <v>76.323999999999998</v>
      </c>
      <c r="G53" s="8">
        <v>1</v>
      </c>
      <c r="H53" s="1">
        <v>50</v>
      </c>
      <c r="I53" s="1" t="s">
        <v>37</v>
      </c>
      <c r="J53" s="1"/>
      <c r="K53" s="1">
        <v>76.95</v>
      </c>
      <c r="L53" s="1">
        <f t="shared" si="14"/>
        <v>-2.2259999999999991</v>
      </c>
      <c r="M53" s="1"/>
      <c r="N53" s="1"/>
      <c r="O53" s="1">
        <v>0</v>
      </c>
      <c r="P53" s="1">
        <v>74.903199999999984</v>
      </c>
      <c r="Q53" s="1">
        <f t="shared" si="3"/>
        <v>14.944800000000001</v>
      </c>
      <c r="R53" s="5">
        <f t="shared" ref="R53:R61" si="17">11*Q53-P53-O53-F53</f>
        <v>13.16560000000004</v>
      </c>
      <c r="S53" s="5"/>
      <c r="T53" s="1"/>
      <c r="U53" s="1"/>
      <c r="V53" s="1">
        <f t="shared" si="5"/>
        <v>11.000000000000002</v>
      </c>
      <c r="W53" s="1">
        <f t="shared" si="6"/>
        <v>10.119051442642256</v>
      </c>
      <c r="X53" s="1">
        <v>15.5802</v>
      </c>
      <c r="Y53" s="1">
        <v>11.888199999999999</v>
      </c>
      <c r="Z53" s="1">
        <v>14.346399999999999</v>
      </c>
      <c r="AA53" s="1">
        <v>18.052399999999999</v>
      </c>
      <c r="AB53" s="1">
        <v>17.920400000000001</v>
      </c>
      <c r="AC53" s="1">
        <v>15.7896</v>
      </c>
      <c r="AD53" s="1">
        <v>13.662800000000001</v>
      </c>
      <c r="AE53" s="1">
        <v>14.8088</v>
      </c>
      <c r="AF53" s="1"/>
      <c r="AG53" s="1">
        <f t="shared" si="16"/>
        <v>13.16560000000004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36</v>
      </c>
      <c r="C54" s="1">
        <v>20.306000000000001</v>
      </c>
      <c r="D54" s="1">
        <v>10.952</v>
      </c>
      <c r="E54" s="1">
        <v>10.787000000000001</v>
      </c>
      <c r="F54" s="1">
        <v>17.666</v>
      </c>
      <c r="G54" s="8">
        <v>1</v>
      </c>
      <c r="H54" s="1">
        <v>50</v>
      </c>
      <c r="I54" s="1" t="s">
        <v>37</v>
      </c>
      <c r="J54" s="1"/>
      <c r="K54" s="1">
        <v>10.85</v>
      </c>
      <c r="L54" s="1">
        <f t="shared" si="14"/>
        <v>-6.2999999999998835E-2</v>
      </c>
      <c r="M54" s="1"/>
      <c r="N54" s="1"/>
      <c r="O54" s="1">
        <v>14.043799999999999</v>
      </c>
      <c r="P54" s="1">
        <v>4.9670000000000023</v>
      </c>
      <c r="Q54" s="1">
        <f t="shared" si="3"/>
        <v>2.1574</v>
      </c>
      <c r="R54" s="5"/>
      <c r="S54" s="5"/>
      <c r="T54" s="1"/>
      <c r="U54" s="1"/>
      <c r="V54" s="1">
        <f t="shared" si="5"/>
        <v>17.000463520904795</v>
      </c>
      <c r="W54" s="1">
        <f t="shared" si="6"/>
        <v>17.000463520904795</v>
      </c>
      <c r="X54" s="1">
        <v>3.5124</v>
      </c>
      <c r="Y54" s="1">
        <v>3.7964000000000002</v>
      </c>
      <c r="Z54" s="1">
        <v>3.5356000000000001</v>
      </c>
      <c r="AA54" s="1">
        <v>2.99</v>
      </c>
      <c r="AB54" s="1">
        <v>3.5270000000000001</v>
      </c>
      <c r="AC54" s="1">
        <v>3.5253999999999999</v>
      </c>
      <c r="AD54" s="1">
        <v>4.4649999999999999</v>
      </c>
      <c r="AE54" s="1">
        <v>5.3662000000000001</v>
      </c>
      <c r="AF54" s="1"/>
      <c r="AG54" s="1">
        <f t="shared" si="1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42</v>
      </c>
      <c r="C55" s="1">
        <v>64</v>
      </c>
      <c r="D55" s="1">
        <v>62</v>
      </c>
      <c r="E55" s="1">
        <v>20</v>
      </c>
      <c r="F55" s="1">
        <v>95</v>
      </c>
      <c r="G55" s="8">
        <v>0.1</v>
      </c>
      <c r="H55" s="1">
        <v>730</v>
      </c>
      <c r="I55" s="1" t="s">
        <v>37</v>
      </c>
      <c r="J55" s="1"/>
      <c r="K55" s="1">
        <v>20</v>
      </c>
      <c r="L55" s="1">
        <f t="shared" si="14"/>
        <v>0</v>
      </c>
      <c r="M55" s="1"/>
      <c r="N55" s="1"/>
      <c r="O55" s="1">
        <v>16.200000000000021</v>
      </c>
      <c r="P55" s="1">
        <v>0</v>
      </c>
      <c r="Q55" s="1">
        <f t="shared" si="3"/>
        <v>4</v>
      </c>
      <c r="R55" s="5"/>
      <c r="S55" s="5"/>
      <c r="T55" s="1"/>
      <c r="U55" s="1"/>
      <c r="V55" s="1">
        <f t="shared" si="5"/>
        <v>27.800000000000004</v>
      </c>
      <c r="W55" s="1">
        <f t="shared" si="6"/>
        <v>27.800000000000004</v>
      </c>
      <c r="X55" s="1">
        <v>7.6</v>
      </c>
      <c r="Y55" s="1">
        <v>11.8</v>
      </c>
      <c r="Z55" s="1">
        <v>13.6</v>
      </c>
      <c r="AA55" s="1">
        <v>7</v>
      </c>
      <c r="AB55" s="1">
        <v>3.6</v>
      </c>
      <c r="AC55" s="1">
        <v>3.6</v>
      </c>
      <c r="AD55" s="1">
        <v>12</v>
      </c>
      <c r="AE55" s="1">
        <v>12</v>
      </c>
      <c r="AF55" s="23" t="s">
        <v>112</v>
      </c>
      <c r="AG55" s="1">
        <f t="shared" si="16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96</v>
      </c>
      <c r="B56" s="1" t="s">
        <v>42</v>
      </c>
      <c r="C56" s="1">
        <v>73</v>
      </c>
      <c r="D56" s="1">
        <v>170</v>
      </c>
      <c r="E56" s="1">
        <v>137</v>
      </c>
      <c r="F56" s="1">
        <v>76</v>
      </c>
      <c r="G56" s="8">
        <v>0.4</v>
      </c>
      <c r="H56" s="1">
        <v>50</v>
      </c>
      <c r="I56" s="1" t="s">
        <v>37</v>
      </c>
      <c r="J56" s="1"/>
      <c r="K56" s="1">
        <v>147</v>
      </c>
      <c r="L56" s="1">
        <f t="shared" si="14"/>
        <v>-10</v>
      </c>
      <c r="M56" s="1"/>
      <c r="N56" s="1"/>
      <c r="O56" s="1">
        <v>0</v>
      </c>
      <c r="P56" s="1">
        <v>199</v>
      </c>
      <c r="Q56" s="1">
        <f t="shared" si="3"/>
        <v>27.4</v>
      </c>
      <c r="R56" s="5">
        <f t="shared" si="17"/>
        <v>26.399999999999977</v>
      </c>
      <c r="S56" s="5"/>
      <c r="T56" s="1"/>
      <c r="U56" s="1"/>
      <c r="V56" s="1">
        <f t="shared" si="5"/>
        <v>11</v>
      </c>
      <c r="W56" s="1">
        <f t="shared" si="6"/>
        <v>10.036496350364963</v>
      </c>
      <c r="X56" s="1">
        <v>33.200000000000003</v>
      </c>
      <c r="Y56" s="1">
        <v>17.600000000000001</v>
      </c>
      <c r="Z56" s="1">
        <v>18</v>
      </c>
      <c r="AA56" s="1">
        <v>27</v>
      </c>
      <c r="AB56" s="1">
        <v>22</v>
      </c>
      <c r="AC56" s="1">
        <v>13.6</v>
      </c>
      <c r="AD56" s="1">
        <v>17.8</v>
      </c>
      <c r="AE56" s="1">
        <v>18.600000000000001</v>
      </c>
      <c r="AF56" s="1"/>
      <c r="AG56" s="1">
        <f t="shared" si="16"/>
        <v>10.559999999999992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42</v>
      </c>
      <c r="C57" s="1">
        <v>374</v>
      </c>
      <c r="D57" s="1">
        <v>449</v>
      </c>
      <c r="E57" s="1">
        <v>492</v>
      </c>
      <c r="F57" s="1">
        <v>278</v>
      </c>
      <c r="G57" s="8">
        <v>0.4</v>
      </c>
      <c r="H57" s="1">
        <v>40</v>
      </c>
      <c r="I57" s="1" t="s">
        <v>37</v>
      </c>
      <c r="J57" s="1"/>
      <c r="K57" s="1">
        <v>498</v>
      </c>
      <c r="L57" s="1">
        <f t="shared" si="14"/>
        <v>-6</v>
      </c>
      <c r="M57" s="1"/>
      <c r="N57" s="1"/>
      <c r="O57" s="1">
        <v>43.599999999999618</v>
      </c>
      <c r="P57" s="1">
        <v>600.08000000000027</v>
      </c>
      <c r="Q57" s="1">
        <f t="shared" si="3"/>
        <v>98.4</v>
      </c>
      <c r="R57" s="5">
        <f t="shared" si="17"/>
        <v>160.7200000000002</v>
      </c>
      <c r="S57" s="5"/>
      <c r="T57" s="1"/>
      <c r="U57" s="1"/>
      <c r="V57" s="1">
        <f t="shared" si="5"/>
        <v>11</v>
      </c>
      <c r="W57" s="1">
        <f t="shared" si="6"/>
        <v>9.3666666666666636</v>
      </c>
      <c r="X57" s="1">
        <v>110.8</v>
      </c>
      <c r="Y57" s="1">
        <v>72.2</v>
      </c>
      <c r="Z57" s="1">
        <v>76.2</v>
      </c>
      <c r="AA57" s="1">
        <v>100.2</v>
      </c>
      <c r="AB57" s="1">
        <v>92.6</v>
      </c>
      <c r="AC57" s="1">
        <v>90.2</v>
      </c>
      <c r="AD57" s="1">
        <v>78.2</v>
      </c>
      <c r="AE57" s="1">
        <v>76.599999999999994</v>
      </c>
      <c r="AF57" s="1"/>
      <c r="AG57" s="1">
        <f t="shared" si="16"/>
        <v>64.288000000000082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42</v>
      </c>
      <c r="C58" s="1"/>
      <c r="D58" s="1">
        <v>946</v>
      </c>
      <c r="E58" s="1">
        <v>295</v>
      </c>
      <c r="F58" s="1">
        <v>579</v>
      </c>
      <c r="G58" s="8">
        <v>0.4</v>
      </c>
      <c r="H58" s="1">
        <v>40</v>
      </c>
      <c r="I58" s="1" t="s">
        <v>37</v>
      </c>
      <c r="J58" s="1"/>
      <c r="K58" s="1">
        <v>325</v>
      </c>
      <c r="L58" s="1">
        <f t="shared" si="14"/>
        <v>-30</v>
      </c>
      <c r="M58" s="1"/>
      <c r="N58" s="1"/>
      <c r="O58" s="1">
        <v>0</v>
      </c>
      <c r="P58" s="1">
        <v>0</v>
      </c>
      <c r="Q58" s="1">
        <f t="shared" si="3"/>
        <v>59</v>
      </c>
      <c r="R58" s="5">
        <f t="shared" si="17"/>
        <v>70</v>
      </c>
      <c r="S58" s="5"/>
      <c r="T58" s="1"/>
      <c r="U58" s="1"/>
      <c r="V58" s="1">
        <f t="shared" si="5"/>
        <v>11</v>
      </c>
      <c r="W58" s="1">
        <f t="shared" si="6"/>
        <v>9.8135593220338979</v>
      </c>
      <c r="X58" s="1">
        <v>63.2</v>
      </c>
      <c r="Y58" s="1">
        <v>74.599999999999994</v>
      </c>
      <c r="Z58" s="1">
        <v>97.8</v>
      </c>
      <c r="AA58" s="1">
        <v>98.8</v>
      </c>
      <c r="AB58" s="1">
        <v>62.8</v>
      </c>
      <c r="AC58" s="1">
        <v>62.4</v>
      </c>
      <c r="AD58" s="1">
        <v>83.6</v>
      </c>
      <c r="AE58" s="1">
        <v>82.8</v>
      </c>
      <c r="AF58" s="1" t="s">
        <v>39</v>
      </c>
      <c r="AG58" s="1">
        <f t="shared" si="16"/>
        <v>28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36</v>
      </c>
      <c r="C59" s="1">
        <v>330.07400000000001</v>
      </c>
      <c r="D59" s="1">
        <v>12.781000000000001</v>
      </c>
      <c r="E59" s="1">
        <v>216.22499999999999</v>
      </c>
      <c r="F59" s="1">
        <v>116.73699999999999</v>
      </c>
      <c r="G59" s="8">
        <v>1</v>
      </c>
      <c r="H59" s="1">
        <v>40</v>
      </c>
      <c r="I59" s="1" t="s">
        <v>37</v>
      </c>
      <c r="J59" s="1"/>
      <c r="K59" s="1">
        <v>201.8</v>
      </c>
      <c r="L59" s="1">
        <f t="shared" si="14"/>
        <v>14.424999999999983</v>
      </c>
      <c r="M59" s="1"/>
      <c r="N59" s="1"/>
      <c r="O59" s="1">
        <v>21.571399999999979</v>
      </c>
      <c r="P59" s="1">
        <v>242.26512</v>
      </c>
      <c r="Q59" s="1">
        <f t="shared" si="3"/>
        <v>43.244999999999997</v>
      </c>
      <c r="R59" s="5">
        <f t="shared" si="17"/>
        <v>95.12148000000002</v>
      </c>
      <c r="S59" s="5"/>
      <c r="T59" s="1"/>
      <c r="U59" s="1"/>
      <c r="V59" s="1">
        <f t="shared" si="5"/>
        <v>11</v>
      </c>
      <c r="W59" s="1">
        <f t="shared" si="6"/>
        <v>8.8004051335414495</v>
      </c>
      <c r="X59" s="1">
        <v>45.656199999999998</v>
      </c>
      <c r="Y59" s="1">
        <v>30.4864</v>
      </c>
      <c r="Z59" s="1">
        <v>28.660800000000009</v>
      </c>
      <c r="AA59" s="1">
        <v>39.4024</v>
      </c>
      <c r="AB59" s="1">
        <v>50.415199999999999</v>
      </c>
      <c r="AC59" s="1">
        <v>54.758000000000003</v>
      </c>
      <c r="AD59" s="1">
        <v>43.797199999999997</v>
      </c>
      <c r="AE59" s="1">
        <v>38.337600000000002</v>
      </c>
      <c r="AF59" s="1"/>
      <c r="AG59" s="1">
        <f t="shared" si="16"/>
        <v>95.12148000000002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36</v>
      </c>
      <c r="C60" s="1">
        <v>108.788</v>
      </c>
      <c r="D60" s="1">
        <v>262.06700000000001</v>
      </c>
      <c r="E60" s="1">
        <v>128.078</v>
      </c>
      <c r="F60" s="1">
        <v>231.01400000000001</v>
      </c>
      <c r="G60" s="8">
        <v>1</v>
      </c>
      <c r="H60" s="1">
        <v>40</v>
      </c>
      <c r="I60" s="1" t="s">
        <v>37</v>
      </c>
      <c r="J60" s="1"/>
      <c r="K60" s="1">
        <v>118.9</v>
      </c>
      <c r="L60" s="1">
        <f t="shared" si="14"/>
        <v>9.1779999999999973</v>
      </c>
      <c r="M60" s="1"/>
      <c r="N60" s="1"/>
      <c r="O60" s="1">
        <v>200.16740000000021</v>
      </c>
      <c r="P60" s="1">
        <v>0</v>
      </c>
      <c r="Q60" s="1">
        <f t="shared" si="3"/>
        <v>25.615600000000001</v>
      </c>
      <c r="R60" s="5"/>
      <c r="S60" s="5"/>
      <c r="T60" s="1"/>
      <c r="U60" s="1"/>
      <c r="V60" s="1">
        <f t="shared" si="5"/>
        <v>16.832765970736592</v>
      </c>
      <c r="W60" s="1">
        <f t="shared" si="6"/>
        <v>16.832765970736592</v>
      </c>
      <c r="X60" s="1">
        <v>39.555799999999998</v>
      </c>
      <c r="Y60" s="1">
        <v>50.257599999999996</v>
      </c>
      <c r="Z60" s="1">
        <v>44.892399999999988</v>
      </c>
      <c r="AA60" s="1">
        <v>22.825800000000001</v>
      </c>
      <c r="AB60" s="1">
        <v>21.3782</v>
      </c>
      <c r="AC60" s="1">
        <v>44.105200000000004</v>
      </c>
      <c r="AD60" s="1">
        <v>47.383000000000003</v>
      </c>
      <c r="AE60" s="1">
        <v>33.712800000000001</v>
      </c>
      <c r="AF60" s="1"/>
      <c r="AG60" s="1">
        <f t="shared" si="1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36</v>
      </c>
      <c r="C61" s="1">
        <v>76.537999999999997</v>
      </c>
      <c r="D61" s="1">
        <v>278.96199999999999</v>
      </c>
      <c r="E61" s="1">
        <v>176.22800000000001</v>
      </c>
      <c r="F61" s="1">
        <v>157.38900000000001</v>
      </c>
      <c r="G61" s="8">
        <v>1</v>
      </c>
      <c r="H61" s="1">
        <v>40</v>
      </c>
      <c r="I61" s="1" t="s">
        <v>37</v>
      </c>
      <c r="J61" s="1"/>
      <c r="K61" s="1">
        <v>165.3</v>
      </c>
      <c r="L61" s="1">
        <f t="shared" si="14"/>
        <v>10.927999999999997</v>
      </c>
      <c r="M61" s="1"/>
      <c r="N61" s="1"/>
      <c r="O61" s="1">
        <v>30.956199999999981</v>
      </c>
      <c r="P61" s="1">
        <v>140.22139999999999</v>
      </c>
      <c r="Q61" s="1">
        <f t="shared" si="3"/>
        <v>35.245600000000003</v>
      </c>
      <c r="R61" s="5">
        <f t="shared" si="17"/>
        <v>59.135000000000048</v>
      </c>
      <c r="S61" s="5"/>
      <c r="T61" s="1"/>
      <c r="U61" s="1"/>
      <c r="V61" s="1">
        <f t="shared" si="5"/>
        <v>11</v>
      </c>
      <c r="W61" s="1">
        <f t="shared" si="6"/>
        <v>9.3222019202396886</v>
      </c>
      <c r="X61" s="1">
        <v>38.787599999999998</v>
      </c>
      <c r="Y61" s="1">
        <v>32.651799999999987</v>
      </c>
      <c r="Z61" s="1">
        <v>31.87159999999999</v>
      </c>
      <c r="AA61" s="1">
        <v>45.578800000000001</v>
      </c>
      <c r="AB61" s="1">
        <v>33.8232</v>
      </c>
      <c r="AC61" s="1">
        <v>19.617999999999999</v>
      </c>
      <c r="AD61" s="1">
        <v>33.081200000000003</v>
      </c>
      <c r="AE61" s="1">
        <v>47.334000000000003</v>
      </c>
      <c r="AF61" s="1"/>
      <c r="AG61" s="1">
        <f t="shared" si="16"/>
        <v>59.135000000000048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36</v>
      </c>
      <c r="C62" s="1">
        <v>14.724</v>
      </c>
      <c r="D62" s="1">
        <v>91.144999999999996</v>
      </c>
      <c r="E62" s="1">
        <v>31.041</v>
      </c>
      <c r="F62" s="1">
        <v>69.543999999999997</v>
      </c>
      <c r="G62" s="8">
        <v>1</v>
      </c>
      <c r="H62" s="1">
        <v>30</v>
      </c>
      <c r="I62" s="1" t="s">
        <v>37</v>
      </c>
      <c r="J62" s="1"/>
      <c r="K62" s="1">
        <v>32.299999999999997</v>
      </c>
      <c r="L62" s="1">
        <f t="shared" si="14"/>
        <v>-1.2589999999999968</v>
      </c>
      <c r="M62" s="1"/>
      <c r="N62" s="1"/>
      <c r="O62" s="1">
        <v>0</v>
      </c>
      <c r="P62" s="1">
        <v>11.232200000000031</v>
      </c>
      <c r="Q62" s="1">
        <f t="shared" si="3"/>
        <v>6.2081999999999997</v>
      </c>
      <c r="R62" s="5"/>
      <c r="S62" s="5"/>
      <c r="T62" s="1"/>
      <c r="U62" s="1"/>
      <c r="V62" s="1">
        <f t="shared" si="5"/>
        <v>13.011210979027743</v>
      </c>
      <c r="W62" s="1">
        <f t="shared" si="6"/>
        <v>13.011210979027743</v>
      </c>
      <c r="X62" s="1">
        <v>7.9861999999999993</v>
      </c>
      <c r="Y62" s="1">
        <v>7.9828000000000001</v>
      </c>
      <c r="Z62" s="1">
        <v>10.439</v>
      </c>
      <c r="AA62" s="1">
        <v>10.736000000000001</v>
      </c>
      <c r="AB62" s="1">
        <v>7.5481999999999996</v>
      </c>
      <c r="AC62" s="1">
        <v>8.1402000000000001</v>
      </c>
      <c r="AD62" s="1">
        <v>8.9674000000000014</v>
      </c>
      <c r="AE62" s="1">
        <v>8.8281999999999989</v>
      </c>
      <c r="AF62" s="1"/>
      <c r="AG62" s="1">
        <f t="shared" si="1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2" t="s">
        <v>103</v>
      </c>
      <c r="B63" s="12" t="s">
        <v>42</v>
      </c>
      <c r="C63" s="12"/>
      <c r="D63" s="12"/>
      <c r="E63" s="12"/>
      <c r="F63" s="12"/>
      <c r="G63" s="13">
        <v>0</v>
      </c>
      <c r="H63" s="12">
        <v>60</v>
      </c>
      <c r="I63" s="12" t="s">
        <v>37</v>
      </c>
      <c r="J63" s="12"/>
      <c r="K63" s="12"/>
      <c r="L63" s="12">
        <f t="shared" si="14"/>
        <v>0</v>
      </c>
      <c r="M63" s="12"/>
      <c r="N63" s="12"/>
      <c r="O63" s="12">
        <v>0</v>
      </c>
      <c r="P63" s="12">
        <v>0</v>
      </c>
      <c r="Q63" s="12">
        <f t="shared" si="3"/>
        <v>0</v>
      </c>
      <c r="R63" s="14"/>
      <c r="S63" s="14"/>
      <c r="T63" s="12"/>
      <c r="U63" s="12"/>
      <c r="V63" s="12" t="e">
        <f t="shared" si="5"/>
        <v>#DIV/0!</v>
      </c>
      <c r="W63" s="12" t="e">
        <f t="shared" si="6"/>
        <v>#DIV/0!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 t="s">
        <v>45</v>
      </c>
      <c r="AG63" s="1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2" t="s">
        <v>104</v>
      </c>
      <c r="B64" s="12" t="s">
        <v>42</v>
      </c>
      <c r="C64" s="12"/>
      <c r="D64" s="12"/>
      <c r="E64" s="12"/>
      <c r="F64" s="12"/>
      <c r="G64" s="13">
        <v>0</v>
      </c>
      <c r="H64" s="12">
        <v>50</v>
      </c>
      <c r="I64" s="12" t="s">
        <v>37</v>
      </c>
      <c r="J64" s="12"/>
      <c r="K64" s="12"/>
      <c r="L64" s="12">
        <f t="shared" si="14"/>
        <v>0</v>
      </c>
      <c r="M64" s="12"/>
      <c r="N64" s="12"/>
      <c r="O64" s="12">
        <v>0</v>
      </c>
      <c r="P64" s="12">
        <v>0</v>
      </c>
      <c r="Q64" s="12">
        <f t="shared" si="3"/>
        <v>0</v>
      </c>
      <c r="R64" s="14"/>
      <c r="S64" s="14"/>
      <c r="T64" s="12"/>
      <c r="U64" s="12"/>
      <c r="V64" s="12" t="e">
        <f t="shared" si="5"/>
        <v>#DIV/0!</v>
      </c>
      <c r="W64" s="12" t="e">
        <f t="shared" si="6"/>
        <v>#DIV/0!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 t="s">
        <v>45</v>
      </c>
      <c r="AG64" s="1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42</v>
      </c>
      <c r="C65" s="1">
        <v>222</v>
      </c>
      <c r="D65" s="1">
        <v>230</v>
      </c>
      <c r="E65" s="1">
        <v>196</v>
      </c>
      <c r="F65" s="1">
        <v>202</v>
      </c>
      <c r="G65" s="8">
        <v>0.37</v>
      </c>
      <c r="H65" s="1">
        <v>50</v>
      </c>
      <c r="I65" s="1" t="s">
        <v>37</v>
      </c>
      <c r="J65" s="1"/>
      <c r="K65" s="1">
        <v>197</v>
      </c>
      <c r="L65" s="1">
        <f t="shared" si="14"/>
        <v>-1</v>
      </c>
      <c r="M65" s="1"/>
      <c r="N65" s="1"/>
      <c r="O65" s="1">
        <v>0</v>
      </c>
      <c r="P65" s="1">
        <v>199.32000000000011</v>
      </c>
      <c r="Q65" s="1">
        <f t="shared" si="3"/>
        <v>39.200000000000003</v>
      </c>
      <c r="R65" s="5">
        <f>11*Q65-P65-O65-F65</f>
        <v>29.879999999999939</v>
      </c>
      <c r="S65" s="5"/>
      <c r="T65" s="1"/>
      <c r="U65" s="1"/>
      <c r="V65" s="1">
        <f t="shared" si="5"/>
        <v>11</v>
      </c>
      <c r="W65" s="1">
        <f t="shared" si="6"/>
        <v>10.237755102040818</v>
      </c>
      <c r="X65" s="1">
        <v>42.2</v>
      </c>
      <c r="Y65" s="1">
        <v>24</v>
      </c>
      <c r="Z65" s="1">
        <v>33.4</v>
      </c>
      <c r="AA65" s="1">
        <v>44.6</v>
      </c>
      <c r="AB65" s="1">
        <v>43.6</v>
      </c>
      <c r="AC65" s="1">
        <v>34.4</v>
      </c>
      <c r="AD65" s="1">
        <v>23.4</v>
      </c>
      <c r="AE65" s="1">
        <v>24.2</v>
      </c>
      <c r="AF65" s="1" t="s">
        <v>39</v>
      </c>
      <c r="AG65" s="1">
        <f>G65*R65</f>
        <v>11.055599999999977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2" t="s">
        <v>106</v>
      </c>
      <c r="B66" s="12" t="s">
        <v>42</v>
      </c>
      <c r="C66" s="12"/>
      <c r="D66" s="12"/>
      <c r="E66" s="12"/>
      <c r="F66" s="12"/>
      <c r="G66" s="13">
        <v>0</v>
      </c>
      <c r="H66" s="12">
        <v>30</v>
      </c>
      <c r="I66" s="12" t="s">
        <v>37</v>
      </c>
      <c r="J66" s="12"/>
      <c r="K66" s="12"/>
      <c r="L66" s="12">
        <f t="shared" si="14"/>
        <v>0</v>
      </c>
      <c r="M66" s="12"/>
      <c r="N66" s="12"/>
      <c r="O66" s="12">
        <v>0</v>
      </c>
      <c r="P66" s="12">
        <v>0</v>
      </c>
      <c r="Q66" s="12">
        <f t="shared" si="3"/>
        <v>0</v>
      </c>
      <c r="R66" s="14"/>
      <c r="S66" s="14"/>
      <c r="T66" s="12"/>
      <c r="U66" s="12"/>
      <c r="V66" s="12" t="e">
        <f t="shared" si="5"/>
        <v>#DIV/0!</v>
      </c>
      <c r="W66" s="12" t="e">
        <f t="shared" si="6"/>
        <v>#DIV/0!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 t="s">
        <v>45</v>
      </c>
      <c r="AG66" s="1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2" t="s">
        <v>107</v>
      </c>
      <c r="B67" s="12" t="s">
        <v>42</v>
      </c>
      <c r="C67" s="12"/>
      <c r="D67" s="12"/>
      <c r="E67" s="12"/>
      <c r="F67" s="12"/>
      <c r="G67" s="13">
        <v>0</v>
      </c>
      <c r="H67" s="12">
        <v>55</v>
      </c>
      <c r="I67" s="12" t="s">
        <v>37</v>
      </c>
      <c r="J67" s="12"/>
      <c r="K67" s="12"/>
      <c r="L67" s="12">
        <f t="shared" si="14"/>
        <v>0</v>
      </c>
      <c r="M67" s="12"/>
      <c r="N67" s="12"/>
      <c r="O67" s="12">
        <v>0</v>
      </c>
      <c r="P67" s="12">
        <v>0</v>
      </c>
      <c r="Q67" s="12">
        <f t="shared" si="3"/>
        <v>0</v>
      </c>
      <c r="R67" s="14"/>
      <c r="S67" s="14"/>
      <c r="T67" s="12"/>
      <c r="U67" s="12"/>
      <c r="V67" s="12" t="e">
        <f t="shared" si="5"/>
        <v>#DIV/0!</v>
      </c>
      <c r="W67" s="12" t="e">
        <f t="shared" si="6"/>
        <v>#DIV/0!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 t="s">
        <v>45</v>
      </c>
      <c r="AG67" s="1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2" t="s">
        <v>108</v>
      </c>
      <c r="B68" s="12" t="s">
        <v>42</v>
      </c>
      <c r="C68" s="12"/>
      <c r="D68" s="12"/>
      <c r="E68" s="12"/>
      <c r="F68" s="12"/>
      <c r="G68" s="13">
        <v>0</v>
      </c>
      <c r="H68" s="12">
        <v>40</v>
      </c>
      <c r="I68" s="12" t="s">
        <v>37</v>
      </c>
      <c r="J68" s="12"/>
      <c r="K68" s="12"/>
      <c r="L68" s="12">
        <f t="shared" si="14"/>
        <v>0</v>
      </c>
      <c r="M68" s="12"/>
      <c r="N68" s="12"/>
      <c r="O68" s="12">
        <v>0</v>
      </c>
      <c r="P68" s="12">
        <v>0</v>
      </c>
      <c r="Q68" s="12">
        <f t="shared" si="3"/>
        <v>0</v>
      </c>
      <c r="R68" s="14"/>
      <c r="S68" s="14"/>
      <c r="T68" s="12"/>
      <c r="U68" s="12"/>
      <c r="V68" s="12" t="e">
        <f t="shared" si="5"/>
        <v>#DIV/0!</v>
      </c>
      <c r="W68" s="12" t="e">
        <f t="shared" si="6"/>
        <v>#DIV/0!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 t="s">
        <v>45</v>
      </c>
      <c r="AG68" s="1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109</v>
      </c>
      <c r="B69" s="1" t="s">
        <v>42</v>
      </c>
      <c r="C69" s="1">
        <v>139</v>
      </c>
      <c r="D69" s="1">
        <v>89</v>
      </c>
      <c r="E69" s="1">
        <v>121</v>
      </c>
      <c r="F69" s="1">
        <v>80</v>
      </c>
      <c r="G69" s="8">
        <v>0.4</v>
      </c>
      <c r="H69" s="1">
        <v>50</v>
      </c>
      <c r="I69" s="1" t="s">
        <v>37</v>
      </c>
      <c r="J69" s="1"/>
      <c r="K69" s="1">
        <v>125</v>
      </c>
      <c r="L69" s="1">
        <f t="shared" si="14"/>
        <v>-4</v>
      </c>
      <c r="M69" s="1"/>
      <c r="N69" s="1"/>
      <c r="O69" s="1">
        <v>0</v>
      </c>
      <c r="P69" s="1">
        <v>143</v>
      </c>
      <c r="Q69" s="1">
        <f t="shared" si="3"/>
        <v>24.2</v>
      </c>
      <c r="R69" s="5">
        <f t="shared" ref="R69:R73" si="18">11*Q69-P69-O69-F69</f>
        <v>43.199999999999989</v>
      </c>
      <c r="S69" s="5"/>
      <c r="T69" s="1"/>
      <c r="U69" s="1"/>
      <c r="V69" s="1">
        <f t="shared" si="5"/>
        <v>11</v>
      </c>
      <c r="W69" s="1">
        <f t="shared" si="6"/>
        <v>9.2148760330578519</v>
      </c>
      <c r="X69" s="1">
        <v>24</v>
      </c>
      <c r="Y69" s="1">
        <v>9.4</v>
      </c>
      <c r="Z69" s="1">
        <v>9.1999999999999993</v>
      </c>
      <c r="AA69" s="1">
        <v>22.2</v>
      </c>
      <c r="AB69" s="1">
        <v>21</v>
      </c>
      <c r="AC69" s="1">
        <v>16.2</v>
      </c>
      <c r="AD69" s="1">
        <v>13.4</v>
      </c>
      <c r="AE69" s="1">
        <v>14.4</v>
      </c>
      <c r="AF69" s="1"/>
      <c r="AG69" s="1">
        <f t="shared" ref="AG69:AG75" si="19">G69*R69</f>
        <v>17.279999999999998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110</v>
      </c>
      <c r="B70" s="1" t="s">
        <v>42</v>
      </c>
      <c r="C70" s="1">
        <v>10</v>
      </c>
      <c r="D70" s="1">
        <v>100</v>
      </c>
      <c r="E70" s="1">
        <v>33</v>
      </c>
      <c r="F70" s="1">
        <v>60</v>
      </c>
      <c r="G70" s="8">
        <v>0.4</v>
      </c>
      <c r="H70" s="1">
        <v>55</v>
      </c>
      <c r="I70" s="1" t="s">
        <v>37</v>
      </c>
      <c r="J70" s="1"/>
      <c r="K70" s="1">
        <v>84</v>
      </c>
      <c r="L70" s="1">
        <f t="shared" ref="L70:L93" si="20">E70-K70</f>
        <v>-51</v>
      </c>
      <c r="M70" s="1"/>
      <c r="N70" s="1"/>
      <c r="O70" s="1">
        <v>52.799999999999983</v>
      </c>
      <c r="P70" s="1">
        <v>12.400000000000009</v>
      </c>
      <c r="Q70" s="1">
        <f t="shared" si="3"/>
        <v>6.6</v>
      </c>
      <c r="R70" s="5"/>
      <c r="S70" s="5"/>
      <c r="T70" s="1"/>
      <c r="U70" s="1"/>
      <c r="V70" s="1">
        <f t="shared" si="5"/>
        <v>18.969696969696969</v>
      </c>
      <c r="W70" s="1">
        <f t="shared" si="6"/>
        <v>18.969696969696969</v>
      </c>
      <c r="X70" s="1">
        <v>12.6</v>
      </c>
      <c r="Y70" s="1">
        <v>14.2</v>
      </c>
      <c r="Z70" s="1">
        <v>12.6</v>
      </c>
      <c r="AA70" s="1">
        <v>8.8000000000000007</v>
      </c>
      <c r="AB70" s="1">
        <v>9.8000000000000007</v>
      </c>
      <c r="AC70" s="1">
        <v>8.1999999999999993</v>
      </c>
      <c r="AD70" s="1">
        <v>11</v>
      </c>
      <c r="AE70" s="1">
        <v>10</v>
      </c>
      <c r="AF70" s="1"/>
      <c r="AG70" s="1">
        <f t="shared" si="19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111</v>
      </c>
      <c r="B71" s="1" t="s">
        <v>36</v>
      </c>
      <c r="C71" s="1">
        <v>18.5</v>
      </c>
      <c r="D71" s="1">
        <v>37.35</v>
      </c>
      <c r="E71" s="1">
        <v>5.8079999999999998</v>
      </c>
      <c r="F71" s="1">
        <v>34.456000000000003</v>
      </c>
      <c r="G71" s="8">
        <v>1</v>
      </c>
      <c r="H71" s="1">
        <v>55</v>
      </c>
      <c r="I71" s="1" t="s">
        <v>37</v>
      </c>
      <c r="J71" s="1"/>
      <c r="K71" s="1">
        <v>7.3</v>
      </c>
      <c r="L71" s="1">
        <f t="shared" si="20"/>
        <v>-1.492</v>
      </c>
      <c r="M71" s="1"/>
      <c r="N71" s="1"/>
      <c r="O71" s="1">
        <v>0</v>
      </c>
      <c r="P71" s="1">
        <v>0</v>
      </c>
      <c r="Q71" s="1">
        <f t="shared" ref="Q71:Q93" si="21">E71/5</f>
        <v>1.1616</v>
      </c>
      <c r="R71" s="5"/>
      <c r="S71" s="5"/>
      <c r="T71" s="1"/>
      <c r="U71" s="1"/>
      <c r="V71" s="1">
        <f t="shared" ref="V71:V93" si="22">(F71+O71+P71+R71)/Q71</f>
        <v>29.662534435261712</v>
      </c>
      <c r="W71" s="1">
        <f t="shared" ref="W71:W93" si="23">(F71+O71+P71)/Q71</f>
        <v>29.662534435261712</v>
      </c>
      <c r="X71" s="1">
        <v>1.7436</v>
      </c>
      <c r="Y71" s="1">
        <v>1.1608000000000001</v>
      </c>
      <c r="Z71" s="1">
        <v>2.5948000000000002</v>
      </c>
      <c r="AA71" s="1">
        <v>3.4481999999999999</v>
      </c>
      <c r="AB71" s="1">
        <v>1.4434</v>
      </c>
      <c r="AC71" s="1">
        <v>6.0000000000000001E-3</v>
      </c>
      <c r="AD71" s="1">
        <v>1.159</v>
      </c>
      <c r="AE71" s="1">
        <v>2.0276000000000001</v>
      </c>
      <c r="AF71" s="24" t="s">
        <v>139</v>
      </c>
      <c r="AG71" s="1">
        <f t="shared" si="19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113</v>
      </c>
      <c r="B72" s="16" t="s">
        <v>36</v>
      </c>
      <c r="C72" s="16">
        <v>62.292000000000002</v>
      </c>
      <c r="D72" s="16">
        <v>148.44999999999999</v>
      </c>
      <c r="E72" s="16">
        <v>101.857</v>
      </c>
      <c r="F72" s="16">
        <v>83.823999999999998</v>
      </c>
      <c r="G72" s="17">
        <v>1</v>
      </c>
      <c r="H72" s="16">
        <v>60</v>
      </c>
      <c r="I72" s="16" t="s">
        <v>37</v>
      </c>
      <c r="J72" s="16"/>
      <c r="K72" s="16">
        <v>100.05</v>
      </c>
      <c r="L72" s="16">
        <f t="shared" si="20"/>
        <v>1.8070000000000022</v>
      </c>
      <c r="M72" s="16"/>
      <c r="N72" s="16"/>
      <c r="O72" s="16">
        <v>21.224399999999971</v>
      </c>
      <c r="P72" s="16">
        <v>64.054600000000022</v>
      </c>
      <c r="Q72" s="16">
        <f t="shared" si="21"/>
        <v>20.371400000000001</v>
      </c>
      <c r="R72" s="18">
        <f>12*Q72-P72-O72-F72</f>
        <v>75.353800000000021</v>
      </c>
      <c r="S72" s="18"/>
      <c r="T72" s="16"/>
      <c r="U72" s="16"/>
      <c r="V72" s="16">
        <f t="shared" si="22"/>
        <v>12.000000000000002</v>
      </c>
      <c r="W72" s="16">
        <f t="shared" si="23"/>
        <v>8.3010004221604792</v>
      </c>
      <c r="X72" s="16">
        <v>17.998799999999999</v>
      </c>
      <c r="Y72" s="16">
        <v>16.499600000000001</v>
      </c>
      <c r="Z72" s="16">
        <v>21.256</v>
      </c>
      <c r="AA72" s="16">
        <v>19.2364</v>
      </c>
      <c r="AB72" s="16">
        <v>18.079599999999999</v>
      </c>
      <c r="AC72" s="16">
        <v>21.828800000000001</v>
      </c>
      <c r="AD72" s="16">
        <v>20.291599999999999</v>
      </c>
      <c r="AE72" s="16">
        <v>18.436199999999999</v>
      </c>
      <c r="AF72" s="16" t="s">
        <v>51</v>
      </c>
      <c r="AG72" s="16">
        <f t="shared" si="19"/>
        <v>75.353800000000021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36</v>
      </c>
      <c r="C73" s="1">
        <v>347.76499999999999</v>
      </c>
      <c r="D73" s="1">
        <v>317.875</v>
      </c>
      <c r="E73" s="1">
        <v>410.79500000000002</v>
      </c>
      <c r="F73" s="1">
        <v>220.89400000000001</v>
      </c>
      <c r="G73" s="8">
        <v>1</v>
      </c>
      <c r="H73" s="1">
        <v>60</v>
      </c>
      <c r="I73" s="11" t="s">
        <v>71</v>
      </c>
      <c r="J73" s="1"/>
      <c r="K73" s="1">
        <v>411.5</v>
      </c>
      <c r="L73" s="1">
        <f t="shared" si="20"/>
        <v>-0.70499999999998408</v>
      </c>
      <c r="M73" s="1"/>
      <c r="N73" s="1"/>
      <c r="O73" s="1">
        <v>186.95439999999999</v>
      </c>
      <c r="P73" s="1">
        <v>302.22915999999998</v>
      </c>
      <c r="Q73" s="1">
        <f t="shared" si="21"/>
        <v>82.159000000000006</v>
      </c>
      <c r="R73" s="5">
        <f t="shared" si="18"/>
        <v>193.67144000000008</v>
      </c>
      <c r="S73" s="5"/>
      <c r="T73" s="1"/>
      <c r="U73" s="1"/>
      <c r="V73" s="1">
        <f t="shared" si="22"/>
        <v>11</v>
      </c>
      <c r="W73" s="1">
        <f t="shared" si="23"/>
        <v>8.6427239864165806</v>
      </c>
      <c r="X73" s="1">
        <v>76.8476</v>
      </c>
      <c r="Y73" s="1">
        <v>71.112400000000008</v>
      </c>
      <c r="Z73" s="1">
        <v>74.072999999999951</v>
      </c>
      <c r="AA73" s="1">
        <v>85.027799999999999</v>
      </c>
      <c r="AB73" s="1">
        <v>84.899799999999999</v>
      </c>
      <c r="AC73" s="1">
        <v>77.022799999999989</v>
      </c>
      <c r="AD73" s="1">
        <v>67.620800000000003</v>
      </c>
      <c r="AE73" s="1">
        <v>75.157399999999967</v>
      </c>
      <c r="AF73" s="1"/>
      <c r="AG73" s="1">
        <f t="shared" si="19"/>
        <v>193.67144000000008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115</v>
      </c>
      <c r="B74" s="16" t="s">
        <v>36</v>
      </c>
      <c r="C74" s="16">
        <v>499.52199999999999</v>
      </c>
      <c r="D74" s="16">
        <v>507.66800000000001</v>
      </c>
      <c r="E74" s="16">
        <v>410.11799999999999</v>
      </c>
      <c r="F74" s="16">
        <v>405.827</v>
      </c>
      <c r="G74" s="17">
        <v>1</v>
      </c>
      <c r="H74" s="16">
        <v>60</v>
      </c>
      <c r="I74" s="16" t="s">
        <v>37</v>
      </c>
      <c r="J74" s="16"/>
      <c r="K74" s="16">
        <v>417</v>
      </c>
      <c r="L74" s="16">
        <f t="shared" si="20"/>
        <v>-6.882000000000005</v>
      </c>
      <c r="M74" s="16"/>
      <c r="N74" s="16"/>
      <c r="O74" s="16">
        <v>177.88193999999999</v>
      </c>
      <c r="P74" s="16">
        <v>9.6862600000009138</v>
      </c>
      <c r="Q74" s="16">
        <f t="shared" si="21"/>
        <v>82.023600000000002</v>
      </c>
      <c r="R74" s="18">
        <f t="shared" ref="R74" si="24">12*Q74-P74-O74-F74</f>
        <v>390.88799999999924</v>
      </c>
      <c r="S74" s="18"/>
      <c r="T74" s="16"/>
      <c r="U74" s="16"/>
      <c r="V74" s="16">
        <f t="shared" si="22"/>
        <v>12</v>
      </c>
      <c r="W74" s="16">
        <f t="shared" si="23"/>
        <v>7.2344447207876854</v>
      </c>
      <c r="X74" s="16">
        <v>60.2134</v>
      </c>
      <c r="Y74" s="16">
        <v>65.882199999999997</v>
      </c>
      <c r="Z74" s="16">
        <v>85.724599999999924</v>
      </c>
      <c r="AA74" s="16">
        <v>80.677599999999998</v>
      </c>
      <c r="AB74" s="16">
        <v>86.200999999999993</v>
      </c>
      <c r="AC74" s="16">
        <v>99.637</v>
      </c>
      <c r="AD74" s="16">
        <v>86.599800000000002</v>
      </c>
      <c r="AE74" s="16">
        <v>81.673399999999944</v>
      </c>
      <c r="AF74" s="16" t="s">
        <v>51</v>
      </c>
      <c r="AG74" s="16">
        <f t="shared" si="19"/>
        <v>390.88799999999924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116</v>
      </c>
      <c r="B75" s="16" t="s">
        <v>36</v>
      </c>
      <c r="C75" s="16">
        <v>502.166</v>
      </c>
      <c r="D75" s="16">
        <v>842.29200000000003</v>
      </c>
      <c r="E75" s="16">
        <v>614.36900000000003</v>
      </c>
      <c r="F75" s="16">
        <v>638.34</v>
      </c>
      <c r="G75" s="17">
        <v>1</v>
      </c>
      <c r="H75" s="16">
        <v>60</v>
      </c>
      <c r="I75" s="16" t="s">
        <v>37</v>
      </c>
      <c r="J75" s="16"/>
      <c r="K75" s="16">
        <v>613.4</v>
      </c>
      <c r="L75" s="16">
        <f t="shared" si="20"/>
        <v>0.96900000000005093</v>
      </c>
      <c r="M75" s="16"/>
      <c r="N75" s="16"/>
      <c r="O75" s="16">
        <v>856.2633200000007</v>
      </c>
      <c r="P75" s="16">
        <v>0</v>
      </c>
      <c r="Q75" s="16">
        <f t="shared" si="21"/>
        <v>122.8738</v>
      </c>
      <c r="R75" s="18"/>
      <c r="S75" s="18"/>
      <c r="T75" s="16"/>
      <c r="U75" s="16"/>
      <c r="V75" s="16">
        <f t="shared" si="22"/>
        <v>12.163726685428468</v>
      </c>
      <c r="W75" s="16">
        <f t="shared" si="23"/>
        <v>12.163726685428468</v>
      </c>
      <c r="X75" s="16">
        <v>134.9042</v>
      </c>
      <c r="Y75" s="16">
        <v>141.7336</v>
      </c>
      <c r="Z75" s="16">
        <v>141.79799999999989</v>
      </c>
      <c r="AA75" s="16">
        <v>139.25800000000001</v>
      </c>
      <c r="AB75" s="16">
        <v>147.53460000000001</v>
      </c>
      <c r="AC75" s="16">
        <v>139.56319999999999</v>
      </c>
      <c r="AD75" s="16">
        <v>136.7936</v>
      </c>
      <c r="AE75" s="16">
        <v>155.36839999999989</v>
      </c>
      <c r="AF75" s="16" t="s">
        <v>51</v>
      </c>
      <c r="AG75" s="16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2" t="s">
        <v>117</v>
      </c>
      <c r="B76" s="12" t="s">
        <v>36</v>
      </c>
      <c r="C76" s="12"/>
      <c r="D76" s="12"/>
      <c r="E76" s="12"/>
      <c r="F76" s="12"/>
      <c r="G76" s="13">
        <v>0</v>
      </c>
      <c r="H76" s="12">
        <v>60</v>
      </c>
      <c r="I76" s="12" t="s">
        <v>37</v>
      </c>
      <c r="J76" s="12"/>
      <c r="K76" s="12"/>
      <c r="L76" s="12">
        <f t="shared" si="20"/>
        <v>0</v>
      </c>
      <c r="M76" s="12"/>
      <c r="N76" s="12"/>
      <c r="O76" s="12">
        <v>0</v>
      </c>
      <c r="P76" s="12">
        <v>0</v>
      </c>
      <c r="Q76" s="12">
        <f t="shared" si="21"/>
        <v>0</v>
      </c>
      <c r="R76" s="14"/>
      <c r="S76" s="14"/>
      <c r="T76" s="12"/>
      <c r="U76" s="12"/>
      <c r="V76" s="12" t="e">
        <f t="shared" si="22"/>
        <v>#DIV/0!</v>
      </c>
      <c r="W76" s="12" t="e">
        <f t="shared" si="23"/>
        <v>#DIV/0!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 t="s">
        <v>45</v>
      </c>
      <c r="AG76" s="1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42</v>
      </c>
      <c r="C77" s="1">
        <v>27</v>
      </c>
      <c r="D77" s="1">
        <v>93</v>
      </c>
      <c r="E77" s="1">
        <v>53</v>
      </c>
      <c r="F77" s="1">
        <v>42</v>
      </c>
      <c r="G77" s="8">
        <v>0.3</v>
      </c>
      <c r="H77" s="1">
        <v>40</v>
      </c>
      <c r="I77" s="1" t="s">
        <v>37</v>
      </c>
      <c r="J77" s="1"/>
      <c r="K77" s="1">
        <v>60</v>
      </c>
      <c r="L77" s="1">
        <f t="shared" si="20"/>
        <v>-7</v>
      </c>
      <c r="M77" s="1"/>
      <c r="N77" s="1"/>
      <c r="O77" s="1">
        <v>62.800000000000011</v>
      </c>
      <c r="P77" s="1">
        <v>35</v>
      </c>
      <c r="Q77" s="1">
        <f t="shared" si="21"/>
        <v>10.6</v>
      </c>
      <c r="R77" s="5"/>
      <c r="S77" s="5"/>
      <c r="T77" s="1"/>
      <c r="U77" s="1"/>
      <c r="V77" s="1">
        <f t="shared" si="22"/>
        <v>13.188679245283021</v>
      </c>
      <c r="W77" s="1">
        <f t="shared" si="23"/>
        <v>13.188679245283021</v>
      </c>
      <c r="X77" s="1">
        <v>14</v>
      </c>
      <c r="Y77" s="1">
        <v>13.8</v>
      </c>
      <c r="Z77" s="1">
        <v>12</v>
      </c>
      <c r="AA77" s="1">
        <v>13</v>
      </c>
      <c r="AB77" s="1">
        <v>11.2</v>
      </c>
      <c r="AC77" s="1">
        <v>8.4</v>
      </c>
      <c r="AD77" s="1">
        <v>11.4</v>
      </c>
      <c r="AE77" s="1">
        <v>8.8000000000000007</v>
      </c>
      <c r="AF77" s="1"/>
      <c r="AG77" s="1">
        <f t="shared" ref="AG77:AG93" si="25">G77*R77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42</v>
      </c>
      <c r="C78" s="1">
        <v>75</v>
      </c>
      <c r="D78" s="1">
        <v>1</v>
      </c>
      <c r="E78" s="1">
        <v>28</v>
      </c>
      <c r="F78" s="1">
        <v>47</v>
      </c>
      <c r="G78" s="8">
        <v>7.0000000000000007E-2</v>
      </c>
      <c r="H78" s="1">
        <v>90</v>
      </c>
      <c r="I78" s="1" t="s">
        <v>37</v>
      </c>
      <c r="J78" s="1"/>
      <c r="K78" s="1">
        <v>28</v>
      </c>
      <c r="L78" s="1">
        <f t="shared" si="20"/>
        <v>0</v>
      </c>
      <c r="M78" s="1"/>
      <c r="N78" s="1"/>
      <c r="O78" s="1">
        <v>0</v>
      </c>
      <c r="P78" s="1">
        <v>14.8</v>
      </c>
      <c r="Q78" s="1">
        <f t="shared" si="21"/>
        <v>5.6</v>
      </c>
      <c r="R78" s="5"/>
      <c r="S78" s="5"/>
      <c r="T78" s="1"/>
      <c r="U78" s="1"/>
      <c r="V78" s="1">
        <f t="shared" si="22"/>
        <v>11.035714285714286</v>
      </c>
      <c r="W78" s="1">
        <f t="shared" si="23"/>
        <v>11.035714285714286</v>
      </c>
      <c r="X78" s="1">
        <v>5.8</v>
      </c>
      <c r="Y78" s="1">
        <v>5.8</v>
      </c>
      <c r="Z78" s="1">
        <v>6</v>
      </c>
      <c r="AA78" s="1">
        <v>7</v>
      </c>
      <c r="AB78" s="1">
        <v>9.4</v>
      </c>
      <c r="AC78" s="1">
        <v>4.5999999999999996</v>
      </c>
      <c r="AD78" s="1">
        <v>1.6</v>
      </c>
      <c r="AE78" s="1">
        <v>8.4</v>
      </c>
      <c r="AF78" s="1"/>
      <c r="AG78" s="1">
        <f t="shared" si="2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42</v>
      </c>
      <c r="C79" s="1">
        <v>62</v>
      </c>
      <c r="D79" s="1"/>
      <c r="E79" s="1">
        <v>28</v>
      </c>
      <c r="F79" s="1">
        <v>31</v>
      </c>
      <c r="G79" s="8">
        <v>7.0000000000000007E-2</v>
      </c>
      <c r="H79" s="1">
        <v>90</v>
      </c>
      <c r="I79" s="1" t="s">
        <v>37</v>
      </c>
      <c r="J79" s="1"/>
      <c r="K79" s="1">
        <v>28</v>
      </c>
      <c r="L79" s="1">
        <f t="shared" si="20"/>
        <v>0</v>
      </c>
      <c r="M79" s="1"/>
      <c r="N79" s="1"/>
      <c r="O79" s="1">
        <v>0</v>
      </c>
      <c r="P79" s="1">
        <v>26.599999999999991</v>
      </c>
      <c r="Q79" s="1">
        <f t="shared" si="21"/>
        <v>5.6</v>
      </c>
      <c r="R79" s="5">
        <f t="shared" ref="R79:R88" si="26">11*Q79-P79-O79-F79</f>
        <v>4</v>
      </c>
      <c r="S79" s="5"/>
      <c r="T79" s="1"/>
      <c r="U79" s="1"/>
      <c r="V79" s="1">
        <f t="shared" si="22"/>
        <v>11</v>
      </c>
      <c r="W79" s="1">
        <f t="shared" si="23"/>
        <v>10.285714285714285</v>
      </c>
      <c r="X79" s="1">
        <v>5.6</v>
      </c>
      <c r="Y79" s="1">
        <v>5.4</v>
      </c>
      <c r="Z79" s="1">
        <v>6</v>
      </c>
      <c r="AA79" s="1">
        <v>7.6</v>
      </c>
      <c r="AB79" s="1">
        <v>8.8000000000000007</v>
      </c>
      <c r="AC79" s="1">
        <v>3.4</v>
      </c>
      <c r="AD79" s="1">
        <v>0</v>
      </c>
      <c r="AE79" s="1">
        <v>0</v>
      </c>
      <c r="AF79" s="1"/>
      <c r="AG79" s="1">
        <f t="shared" si="25"/>
        <v>0.28000000000000003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42</v>
      </c>
      <c r="C80" s="1">
        <v>51</v>
      </c>
      <c r="D80" s="1">
        <v>20</v>
      </c>
      <c r="E80" s="1">
        <v>26</v>
      </c>
      <c r="F80" s="1">
        <v>45</v>
      </c>
      <c r="G80" s="8">
        <v>7.0000000000000007E-2</v>
      </c>
      <c r="H80" s="1">
        <v>90</v>
      </c>
      <c r="I80" s="1" t="s">
        <v>37</v>
      </c>
      <c r="J80" s="1"/>
      <c r="K80" s="1">
        <v>26</v>
      </c>
      <c r="L80" s="1">
        <f t="shared" si="20"/>
        <v>0</v>
      </c>
      <c r="M80" s="1"/>
      <c r="N80" s="1"/>
      <c r="O80" s="1">
        <v>0</v>
      </c>
      <c r="P80" s="1">
        <v>21</v>
      </c>
      <c r="Q80" s="1">
        <f t="shared" si="21"/>
        <v>5.2</v>
      </c>
      <c r="R80" s="5"/>
      <c r="S80" s="5"/>
      <c r="T80" s="1"/>
      <c r="U80" s="1"/>
      <c r="V80" s="1">
        <f t="shared" si="22"/>
        <v>12.692307692307692</v>
      </c>
      <c r="W80" s="1">
        <f t="shared" si="23"/>
        <v>12.692307692307692</v>
      </c>
      <c r="X80" s="1">
        <v>5</v>
      </c>
      <c r="Y80" s="1">
        <v>5.2</v>
      </c>
      <c r="Z80" s="1">
        <v>6</v>
      </c>
      <c r="AA80" s="1">
        <v>2.2000000000000002</v>
      </c>
      <c r="AB80" s="1">
        <v>3.8</v>
      </c>
      <c r="AC80" s="1">
        <v>3.8</v>
      </c>
      <c r="AD80" s="1">
        <v>7</v>
      </c>
      <c r="AE80" s="1">
        <v>7.2</v>
      </c>
      <c r="AF80" s="1"/>
      <c r="AG80" s="1">
        <f t="shared" si="25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122</v>
      </c>
      <c r="B81" s="1" t="s">
        <v>42</v>
      </c>
      <c r="C81" s="1">
        <v>71</v>
      </c>
      <c r="D81" s="1">
        <v>2</v>
      </c>
      <c r="E81" s="1">
        <v>41</v>
      </c>
      <c r="F81" s="1">
        <v>30</v>
      </c>
      <c r="G81" s="8">
        <v>0.05</v>
      </c>
      <c r="H81" s="1">
        <v>90</v>
      </c>
      <c r="I81" s="1" t="s">
        <v>37</v>
      </c>
      <c r="J81" s="1"/>
      <c r="K81" s="1">
        <v>41</v>
      </c>
      <c r="L81" s="1">
        <f t="shared" si="20"/>
        <v>0</v>
      </c>
      <c r="M81" s="1"/>
      <c r="N81" s="1"/>
      <c r="O81" s="1">
        <v>26.800000000000011</v>
      </c>
      <c r="P81" s="1">
        <v>43.400000000000013</v>
      </c>
      <c r="Q81" s="1">
        <f t="shared" si="21"/>
        <v>8.1999999999999993</v>
      </c>
      <c r="R81" s="5"/>
      <c r="S81" s="5"/>
      <c r="T81" s="1"/>
      <c r="U81" s="1"/>
      <c r="V81" s="1">
        <f t="shared" si="22"/>
        <v>12.219512195121954</v>
      </c>
      <c r="W81" s="1">
        <f t="shared" si="23"/>
        <v>12.219512195121954</v>
      </c>
      <c r="X81" s="1">
        <v>10.4</v>
      </c>
      <c r="Y81" s="1">
        <v>9</v>
      </c>
      <c r="Z81" s="1">
        <v>9.1999999999999993</v>
      </c>
      <c r="AA81" s="1">
        <v>5</v>
      </c>
      <c r="AB81" s="1">
        <v>0</v>
      </c>
      <c r="AC81" s="1">
        <v>0.2</v>
      </c>
      <c r="AD81" s="1">
        <v>10.4</v>
      </c>
      <c r="AE81" s="1">
        <v>10.199999999999999</v>
      </c>
      <c r="AF81" s="1"/>
      <c r="AG81" s="1">
        <f t="shared" si="2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123</v>
      </c>
      <c r="B82" s="1" t="s">
        <v>42</v>
      </c>
      <c r="C82" s="1">
        <v>31</v>
      </c>
      <c r="D82" s="1">
        <v>72</v>
      </c>
      <c r="E82" s="1">
        <v>33</v>
      </c>
      <c r="F82" s="1">
        <v>67</v>
      </c>
      <c r="G82" s="8">
        <v>0.05</v>
      </c>
      <c r="H82" s="1">
        <v>90</v>
      </c>
      <c r="I82" s="1" t="s">
        <v>37</v>
      </c>
      <c r="J82" s="1"/>
      <c r="K82" s="1">
        <v>33</v>
      </c>
      <c r="L82" s="1">
        <f t="shared" si="20"/>
        <v>0</v>
      </c>
      <c r="M82" s="1"/>
      <c r="N82" s="1"/>
      <c r="O82" s="1">
        <v>0</v>
      </c>
      <c r="P82" s="1">
        <v>22.399999999999991</v>
      </c>
      <c r="Q82" s="1">
        <f t="shared" si="21"/>
        <v>6.6</v>
      </c>
      <c r="R82" s="5"/>
      <c r="S82" s="5"/>
      <c r="T82" s="1"/>
      <c r="U82" s="1"/>
      <c r="V82" s="1">
        <f t="shared" si="22"/>
        <v>13.545454545454545</v>
      </c>
      <c r="W82" s="1">
        <f t="shared" si="23"/>
        <v>13.545454545454545</v>
      </c>
      <c r="X82" s="1">
        <v>7.2</v>
      </c>
      <c r="Y82" s="1">
        <v>7.6</v>
      </c>
      <c r="Z82" s="1">
        <v>8.8000000000000007</v>
      </c>
      <c r="AA82" s="1">
        <v>3.8</v>
      </c>
      <c r="AB82" s="1">
        <v>0</v>
      </c>
      <c r="AC82" s="1">
        <v>0</v>
      </c>
      <c r="AD82" s="1">
        <v>0</v>
      </c>
      <c r="AE82" s="1">
        <v>0</v>
      </c>
      <c r="AF82" s="1" t="s">
        <v>124</v>
      </c>
      <c r="AG82" s="1">
        <f t="shared" si="25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42</v>
      </c>
      <c r="C83" s="1">
        <v>87</v>
      </c>
      <c r="D83" s="1">
        <v>54</v>
      </c>
      <c r="E83" s="1">
        <v>38</v>
      </c>
      <c r="F83" s="1">
        <v>101</v>
      </c>
      <c r="G83" s="8">
        <v>5.5E-2</v>
      </c>
      <c r="H83" s="1">
        <v>90</v>
      </c>
      <c r="I83" s="1" t="s">
        <v>37</v>
      </c>
      <c r="J83" s="1"/>
      <c r="K83" s="1">
        <v>40</v>
      </c>
      <c r="L83" s="1">
        <f t="shared" si="20"/>
        <v>-2</v>
      </c>
      <c r="M83" s="1"/>
      <c r="N83" s="1"/>
      <c r="O83" s="1">
        <v>0</v>
      </c>
      <c r="P83" s="1">
        <v>0</v>
      </c>
      <c r="Q83" s="1">
        <f t="shared" si="21"/>
        <v>7.6</v>
      </c>
      <c r="R83" s="5"/>
      <c r="S83" s="5"/>
      <c r="T83" s="1"/>
      <c r="U83" s="1"/>
      <c r="V83" s="1">
        <f t="shared" si="22"/>
        <v>13.289473684210527</v>
      </c>
      <c r="W83" s="1">
        <f t="shared" si="23"/>
        <v>13.289473684210527</v>
      </c>
      <c r="X83" s="1">
        <v>9.1999999999999993</v>
      </c>
      <c r="Y83" s="1">
        <v>7.8</v>
      </c>
      <c r="Z83" s="1">
        <v>11.8</v>
      </c>
      <c r="AA83" s="1">
        <v>13.6</v>
      </c>
      <c r="AB83" s="1">
        <v>13.4</v>
      </c>
      <c r="AC83" s="1">
        <v>7.2</v>
      </c>
      <c r="AD83" s="1">
        <v>2.2000000000000002</v>
      </c>
      <c r="AE83" s="1">
        <v>9.1999999999999993</v>
      </c>
      <c r="AF83" s="1"/>
      <c r="AG83" s="1">
        <f t="shared" si="2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126</v>
      </c>
      <c r="B84" s="1" t="s">
        <v>42</v>
      </c>
      <c r="C84" s="1">
        <v>24</v>
      </c>
      <c r="D84" s="1">
        <v>1</v>
      </c>
      <c r="E84" s="1">
        <v>7</v>
      </c>
      <c r="F84" s="1">
        <v>17</v>
      </c>
      <c r="G84" s="8">
        <v>0.05</v>
      </c>
      <c r="H84" s="1">
        <v>120</v>
      </c>
      <c r="I84" s="1" t="s">
        <v>37</v>
      </c>
      <c r="J84" s="1"/>
      <c r="K84" s="1">
        <v>10</v>
      </c>
      <c r="L84" s="1">
        <f t="shared" si="20"/>
        <v>-3</v>
      </c>
      <c r="M84" s="1"/>
      <c r="N84" s="1"/>
      <c r="O84" s="1">
        <v>0</v>
      </c>
      <c r="P84" s="1">
        <v>0</v>
      </c>
      <c r="Q84" s="1">
        <f t="shared" si="21"/>
        <v>1.4</v>
      </c>
      <c r="R84" s="5"/>
      <c r="S84" s="5"/>
      <c r="T84" s="1"/>
      <c r="U84" s="1"/>
      <c r="V84" s="1">
        <f t="shared" si="22"/>
        <v>12.142857142857144</v>
      </c>
      <c r="W84" s="1">
        <f t="shared" si="23"/>
        <v>12.142857142857144</v>
      </c>
      <c r="X84" s="1">
        <v>1.4</v>
      </c>
      <c r="Y84" s="1">
        <v>0</v>
      </c>
      <c r="Z84" s="1">
        <v>1</v>
      </c>
      <c r="AA84" s="1">
        <v>1.4</v>
      </c>
      <c r="AB84" s="1">
        <v>1.4</v>
      </c>
      <c r="AC84" s="1">
        <v>2.8</v>
      </c>
      <c r="AD84" s="1">
        <v>2.8</v>
      </c>
      <c r="AE84" s="1">
        <v>0</v>
      </c>
      <c r="AF84" s="22"/>
      <c r="AG84" s="1">
        <f t="shared" si="25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6" t="s">
        <v>127</v>
      </c>
      <c r="B85" s="16" t="s">
        <v>36</v>
      </c>
      <c r="C85" s="16">
        <v>218.92400000000001</v>
      </c>
      <c r="D85" s="16">
        <v>664.85400000000004</v>
      </c>
      <c r="E85" s="16">
        <v>372.92700000000002</v>
      </c>
      <c r="F85" s="16">
        <v>467.4</v>
      </c>
      <c r="G85" s="17">
        <v>1</v>
      </c>
      <c r="H85" s="16">
        <v>40</v>
      </c>
      <c r="I85" s="16" t="s">
        <v>37</v>
      </c>
      <c r="J85" s="16"/>
      <c r="K85" s="16">
        <v>339.6</v>
      </c>
      <c r="L85" s="16">
        <f t="shared" si="20"/>
        <v>33.326999999999998</v>
      </c>
      <c r="M85" s="16"/>
      <c r="N85" s="16"/>
      <c r="O85" s="16">
        <v>131.74620000000019</v>
      </c>
      <c r="P85" s="16">
        <v>215.78387999999981</v>
      </c>
      <c r="Q85" s="16">
        <f t="shared" si="21"/>
        <v>74.585400000000007</v>
      </c>
      <c r="R85" s="18">
        <f>12*Q85-P85-O85-F85</f>
        <v>80.094720000000166</v>
      </c>
      <c r="S85" s="18"/>
      <c r="T85" s="16"/>
      <c r="U85" s="16"/>
      <c r="V85" s="16">
        <f t="shared" si="22"/>
        <v>12</v>
      </c>
      <c r="W85" s="16">
        <f t="shared" si="23"/>
        <v>10.926134069134172</v>
      </c>
      <c r="X85" s="16">
        <v>82.077799999999996</v>
      </c>
      <c r="Y85" s="16">
        <v>77.893799999999999</v>
      </c>
      <c r="Z85" s="16">
        <v>96.660600000000002</v>
      </c>
      <c r="AA85" s="16">
        <v>88.575199999999995</v>
      </c>
      <c r="AB85" s="16">
        <v>83.124800000000008</v>
      </c>
      <c r="AC85" s="16">
        <v>92.994200000000006</v>
      </c>
      <c r="AD85" s="16">
        <v>78.938999999999993</v>
      </c>
      <c r="AE85" s="16">
        <v>76.275400000000005</v>
      </c>
      <c r="AF85" s="16" t="s">
        <v>51</v>
      </c>
      <c r="AG85" s="16">
        <f t="shared" si="25"/>
        <v>80.094720000000166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1" t="s">
        <v>128</v>
      </c>
      <c r="B86" s="1" t="s">
        <v>36</v>
      </c>
      <c r="C86" s="1">
        <v>57.9</v>
      </c>
      <c r="D86" s="1">
        <v>1E-3</v>
      </c>
      <c r="E86" s="1">
        <v>36.042999999999999</v>
      </c>
      <c r="F86" s="1">
        <v>20.8</v>
      </c>
      <c r="G86" s="8">
        <v>1</v>
      </c>
      <c r="H86" s="1">
        <v>60</v>
      </c>
      <c r="I86" s="1" t="s">
        <v>37</v>
      </c>
      <c r="J86" s="1"/>
      <c r="K86" s="1">
        <v>40.270000000000003</v>
      </c>
      <c r="L86" s="1">
        <f t="shared" si="20"/>
        <v>-4.2270000000000039</v>
      </c>
      <c r="M86" s="1"/>
      <c r="N86" s="1"/>
      <c r="O86" s="1">
        <v>0</v>
      </c>
      <c r="P86" s="1">
        <v>0</v>
      </c>
      <c r="Q86" s="1">
        <f t="shared" si="21"/>
        <v>7.2085999999999997</v>
      </c>
      <c r="R86" s="15">
        <v>4</v>
      </c>
      <c r="S86" s="5"/>
      <c r="T86" s="1"/>
      <c r="U86" s="1"/>
      <c r="V86" s="1">
        <f t="shared" si="22"/>
        <v>3.440335155231252</v>
      </c>
      <c r="W86" s="1">
        <f t="shared" si="23"/>
        <v>2.8854423882584692</v>
      </c>
      <c r="X86" s="1">
        <v>1.2392000000000001</v>
      </c>
      <c r="Y86" s="1">
        <v>3.6387999999999998</v>
      </c>
      <c r="Z86" s="1">
        <v>6.4842000000000004</v>
      </c>
      <c r="AA86" s="1">
        <v>6.1074000000000002</v>
      </c>
      <c r="AB86" s="1">
        <v>6.8992000000000004</v>
      </c>
      <c r="AC86" s="1">
        <v>6.8947999999999992</v>
      </c>
      <c r="AD86" s="1">
        <v>4.3186</v>
      </c>
      <c r="AE86" s="1">
        <v>7.9062000000000001</v>
      </c>
      <c r="AF86" s="11" t="s">
        <v>129</v>
      </c>
      <c r="AG86" s="1">
        <f t="shared" si="25"/>
        <v>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42</v>
      </c>
      <c r="C87" s="1">
        <v>88</v>
      </c>
      <c r="D87" s="1">
        <v>75</v>
      </c>
      <c r="E87" s="1">
        <v>147</v>
      </c>
      <c r="F87" s="1"/>
      <c r="G87" s="8">
        <v>0.3</v>
      </c>
      <c r="H87" s="1">
        <v>40</v>
      </c>
      <c r="I87" s="1" t="s">
        <v>37</v>
      </c>
      <c r="J87" s="1"/>
      <c r="K87" s="1">
        <v>151</v>
      </c>
      <c r="L87" s="1">
        <f t="shared" si="20"/>
        <v>-4</v>
      </c>
      <c r="M87" s="1"/>
      <c r="N87" s="1"/>
      <c r="O87" s="1">
        <v>0</v>
      </c>
      <c r="P87" s="1">
        <v>205</v>
      </c>
      <c r="Q87" s="1">
        <f t="shared" si="21"/>
        <v>29.4</v>
      </c>
      <c r="R87" s="5">
        <f t="shared" si="26"/>
        <v>118.39999999999998</v>
      </c>
      <c r="S87" s="5"/>
      <c r="T87" s="1"/>
      <c r="U87" s="1"/>
      <c r="V87" s="1">
        <f t="shared" si="22"/>
        <v>11</v>
      </c>
      <c r="W87" s="1">
        <f t="shared" si="23"/>
        <v>6.9727891156462585</v>
      </c>
      <c r="X87" s="1">
        <v>32</v>
      </c>
      <c r="Y87" s="1">
        <v>10.6</v>
      </c>
      <c r="Z87" s="1">
        <v>8.6</v>
      </c>
      <c r="AA87" s="1">
        <v>19.2</v>
      </c>
      <c r="AB87" s="1">
        <v>18.399999999999999</v>
      </c>
      <c r="AC87" s="1">
        <v>13.2</v>
      </c>
      <c r="AD87" s="1">
        <v>14.2</v>
      </c>
      <c r="AE87" s="1">
        <v>15.2</v>
      </c>
      <c r="AF87" s="1"/>
      <c r="AG87" s="1">
        <f t="shared" si="25"/>
        <v>35.519999999999989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42</v>
      </c>
      <c r="C88" s="1">
        <v>39</v>
      </c>
      <c r="D88" s="1">
        <v>78</v>
      </c>
      <c r="E88" s="1">
        <v>65</v>
      </c>
      <c r="F88" s="1">
        <v>27</v>
      </c>
      <c r="G88" s="8">
        <v>0.3</v>
      </c>
      <c r="H88" s="1">
        <v>40</v>
      </c>
      <c r="I88" s="1" t="s">
        <v>37</v>
      </c>
      <c r="J88" s="1"/>
      <c r="K88" s="1">
        <v>75</v>
      </c>
      <c r="L88" s="1">
        <f t="shared" si="20"/>
        <v>-10</v>
      </c>
      <c r="M88" s="1"/>
      <c r="N88" s="1"/>
      <c r="O88" s="1">
        <v>0</v>
      </c>
      <c r="P88" s="1">
        <v>91</v>
      </c>
      <c r="Q88" s="1">
        <f t="shared" si="21"/>
        <v>13</v>
      </c>
      <c r="R88" s="5">
        <f t="shared" si="26"/>
        <v>25</v>
      </c>
      <c r="S88" s="5"/>
      <c r="T88" s="1"/>
      <c r="U88" s="1"/>
      <c r="V88" s="1">
        <f t="shared" si="22"/>
        <v>11</v>
      </c>
      <c r="W88" s="1">
        <f t="shared" si="23"/>
        <v>9.0769230769230766</v>
      </c>
      <c r="X88" s="1">
        <v>14</v>
      </c>
      <c r="Y88" s="1">
        <v>7.8</v>
      </c>
      <c r="Z88" s="1">
        <v>8.4</v>
      </c>
      <c r="AA88" s="1">
        <v>12.2</v>
      </c>
      <c r="AB88" s="1">
        <v>10.199999999999999</v>
      </c>
      <c r="AC88" s="1">
        <v>8.1999999999999993</v>
      </c>
      <c r="AD88" s="1">
        <v>7.2</v>
      </c>
      <c r="AE88" s="1">
        <v>8.4</v>
      </c>
      <c r="AF88" s="1" t="s">
        <v>132</v>
      </c>
      <c r="AG88" s="1">
        <f t="shared" si="25"/>
        <v>7.5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133</v>
      </c>
      <c r="B89" s="1" t="s">
        <v>36</v>
      </c>
      <c r="C89" s="1">
        <v>34.5</v>
      </c>
      <c r="D89" s="1">
        <v>1.351</v>
      </c>
      <c r="E89" s="1">
        <v>5.6369999999999996</v>
      </c>
      <c r="F89" s="1">
        <v>25.849</v>
      </c>
      <c r="G89" s="8">
        <v>1</v>
      </c>
      <c r="H89" s="1">
        <v>45</v>
      </c>
      <c r="I89" s="1" t="s">
        <v>37</v>
      </c>
      <c r="J89" s="1"/>
      <c r="K89" s="1">
        <v>10.1</v>
      </c>
      <c r="L89" s="1">
        <f t="shared" si="20"/>
        <v>-4.4630000000000001</v>
      </c>
      <c r="M89" s="1"/>
      <c r="N89" s="1"/>
      <c r="O89" s="1">
        <v>0</v>
      </c>
      <c r="P89" s="1">
        <v>0</v>
      </c>
      <c r="Q89" s="1">
        <f t="shared" si="21"/>
        <v>1.1274</v>
      </c>
      <c r="R89" s="5"/>
      <c r="S89" s="5"/>
      <c r="T89" s="1"/>
      <c r="U89" s="1"/>
      <c r="V89" s="1">
        <f t="shared" si="22"/>
        <v>22.927975873691683</v>
      </c>
      <c r="W89" s="1">
        <f t="shared" si="23"/>
        <v>22.927975873691683</v>
      </c>
      <c r="X89" s="1">
        <v>1.6526000000000001</v>
      </c>
      <c r="Y89" s="1">
        <v>0.80800000000000005</v>
      </c>
      <c r="Z89" s="1">
        <v>1.625</v>
      </c>
      <c r="AA89" s="1">
        <v>1.6352</v>
      </c>
      <c r="AB89" s="1">
        <v>2.4860000000000002</v>
      </c>
      <c r="AC89" s="1">
        <v>3.0322</v>
      </c>
      <c r="AD89" s="1">
        <v>2.7351999999999999</v>
      </c>
      <c r="AE89" s="1">
        <v>2.7284000000000002</v>
      </c>
      <c r="AF89" s="24" t="s">
        <v>139</v>
      </c>
      <c r="AG89" s="1">
        <f t="shared" si="25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134</v>
      </c>
      <c r="B90" s="1" t="s">
        <v>36</v>
      </c>
      <c r="C90" s="1">
        <v>22.916</v>
      </c>
      <c r="D90" s="1">
        <v>1.4999999999999999E-2</v>
      </c>
      <c r="E90" s="1">
        <v>8.1310000000000002</v>
      </c>
      <c r="F90" s="1">
        <v>14.8</v>
      </c>
      <c r="G90" s="8">
        <v>1</v>
      </c>
      <c r="H90" s="1">
        <v>50</v>
      </c>
      <c r="I90" s="1" t="s">
        <v>37</v>
      </c>
      <c r="J90" s="1"/>
      <c r="K90" s="1">
        <v>8.4499999999999993</v>
      </c>
      <c r="L90" s="1">
        <f t="shared" si="20"/>
        <v>-0.31899999999999906</v>
      </c>
      <c r="M90" s="1"/>
      <c r="N90" s="1"/>
      <c r="O90" s="1">
        <v>4</v>
      </c>
      <c r="P90" s="1">
        <v>11.148199999999999</v>
      </c>
      <c r="Q90" s="1">
        <f t="shared" si="21"/>
        <v>1.6262000000000001</v>
      </c>
      <c r="R90" s="5"/>
      <c r="S90" s="5"/>
      <c r="T90" s="1"/>
      <c r="U90" s="1"/>
      <c r="V90" s="1">
        <f t="shared" si="22"/>
        <v>18.416061984995693</v>
      </c>
      <c r="W90" s="1">
        <f t="shared" si="23"/>
        <v>18.416061984995693</v>
      </c>
      <c r="X90" s="1">
        <v>2.7212000000000001</v>
      </c>
      <c r="Y90" s="1">
        <v>2.1856</v>
      </c>
      <c r="Z90" s="1">
        <v>1.3464</v>
      </c>
      <c r="AA90" s="1">
        <v>1.8915999999999999</v>
      </c>
      <c r="AB90" s="1">
        <v>1.8935999999999999</v>
      </c>
      <c r="AC90" s="1">
        <v>1.6095999999999999</v>
      </c>
      <c r="AD90" s="1">
        <v>3.7759999999999998</v>
      </c>
      <c r="AE90" s="1">
        <v>4.0817999999999994</v>
      </c>
      <c r="AF90" s="1"/>
      <c r="AG90" s="1">
        <f t="shared" si="25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135</v>
      </c>
      <c r="B91" s="1" t="s">
        <v>42</v>
      </c>
      <c r="C91" s="1">
        <v>66</v>
      </c>
      <c r="D91" s="1">
        <v>92</v>
      </c>
      <c r="E91" s="1">
        <v>31</v>
      </c>
      <c r="F91" s="1">
        <v>87</v>
      </c>
      <c r="G91" s="8">
        <v>0.3</v>
      </c>
      <c r="H91" s="1">
        <v>40</v>
      </c>
      <c r="I91" s="1" t="s">
        <v>37</v>
      </c>
      <c r="J91" s="1"/>
      <c r="K91" s="1">
        <v>32</v>
      </c>
      <c r="L91" s="1">
        <f t="shared" si="20"/>
        <v>-1</v>
      </c>
      <c r="M91" s="1"/>
      <c r="N91" s="1"/>
      <c r="O91" s="1">
        <v>0</v>
      </c>
      <c r="P91" s="1">
        <v>0</v>
      </c>
      <c r="Q91" s="1">
        <f t="shared" si="21"/>
        <v>6.2</v>
      </c>
      <c r="R91" s="5"/>
      <c r="S91" s="5"/>
      <c r="T91" s="1"/>
      <c r="U91" s="1"/>
      <c r="V91" s="1">
        <f t="shared" si="22"/>
        <v>14.032258064516128</v>
      </c>
      <c r="W91" s="1">
        <f t="shared" si="23"/>
        <v>14.032258064516128</v>
      </c>
      <c r="X91" s="1">
        <v>6.4</v>
      </c>
      <c r="Y91" s="1">
        <v>3.6</v>
      </c>
      <c r="Z91" s="1">
        <v>5.6</v>
      </c>
      <c r="AA91" s="1">
        <v>12.2</v>
      </c>
      <c r="AB91" s="1">
        <v>10.6</v>
      </c>
      <c r="AC91" s="1">
        <v>6.6</v>
      </c>
      <c r="AD91" s="1">
        <v>5.4</v>
      </c>
      <c r="AE91" s="1">
        <v>5.2</v>
      </c>
      <c r="AF91" s="1"/>
      <c r="AG91" s="1">
        <f t="shared" si="25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136</v>
      </c>
      <c r="B92" s="1" t="s">
        <v>42</v>
      </c>
      <c r="C92" s="1">
        <v>58</v>
      </c>
      <c r="D92" s="1">
        <v>47</v>
      </c>
      <c r="E92" s="1">
        <v>24</v>
      </c>
      <c r="F92" s="1">
        <v>47</v>
      </c>
      <c r="G92" s="8">
        <v>0.12</v>
      </c>
      <c r="H92" s="1">
        <v>45</v>
      </c>
      <c r="I92" s="1" t="s">
        <v>37</v>
      </c>
      <c r="J92" s="1"/>
      <c r="K92" s="1">
        <v>28</v>
      </c>
      <c r="L92" s="1">
        <f t="shared" si="20"/>
        <v>-4</v>
      </c>
      <c r="M92" s="1"/>
      <c r="N92" s="1"/>
      <c r="O92" s="1">
        <v>0</v>
      </c>
      <c r="P92" s="1">
        <v>12.2</v>
      </c>
      <c r="Q92" s="1">
        <f t="shared" si="21"/>
        <v>4.8</v>
      </c>
      <c r="R92" s="5"/>
      <c r="S92" s="5"/>
      <c r="T92" s="1"/>
      <c r="U92" s="1"/>
      <c r="V92" s="1">
        <f t="shared" si="22"/>
        <v>12.333333333333334</v>
      </c>
      <c r="W92" s="1">
        <f t="shared" si="23"/>
        <v>12.333333333333334</v>
      </c>
      <c r="X92" s="1">
        <v>5.2</v>
      </c>
      <c r="Y92" s="1">
        <v>3.8</v>
      </c>
      <c r="Z92" s="1">
        <v>5.4</v>
      </c>
      <c r="AA92" s="1">
        <v>7.2</v>
      </c>
      <c r="AB92" s="1">
        <v>7.8</v>
      </c>
      <c r="AC92" s="1">
        <v>3.2</v>
      </c>
      <c r="AD92" s="1">
        <v>7.6</v>
      </c>
      <c r="AE92" s="1">
        <v>11.6</v>
      </c>
      <c r="AF92" s="1"/>
      <c r="AG92" s="1">
        <f t="shared" si="25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137</v>
      </c>
      <c r="B93" s="1" t="s">
        <v>36</v>
      </c>
      <c r="C93" s="1"/>
      <c r="D93" s="1"/>
      <c r="E93" s="1"/>
      <c r="F93" s="1"/>
      <c r="G93" s="8">
        <v>1</v>
      </c>
      <c r="H93" s="1">
        <v>180</v>
      </c>
      <c r="I93" s="1" t="s">
        <v>37</v>
      </c>
      <c r="J93" s="1"/>
      <c r="K93" s="1"/>
      <c r="L93" s="1">
        <f t="shared" si="20"/>
        <v>0</v>
      </c>
      <c r="M93" s="1"/>
      <c r="N93" s="1"/>
      <c r="O93" s="1"/>
      <c r="P93" s="11"/>
      <c r="Q93" s="1">
        <f t="shared" si="21"/>
        <v>0</v>
      </c>
      <c r="R93" s="15">
        <v>4</v>
      </c>
      <c r="S93" s="5"/>
      <c r="T93" s="1"/>
      <c r="U93" s="1"/>
      <c r="V93" s="1" t="e">
        <f t="shared" si="22"/>
        <v>#DIV/0!</v>
      </c>
      <c r="W93" s="1" t="e">
        <f t="shared" si="23"/>
        <v>#DIV/0!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1" t="s">
        <v>129</v>
      </c>
      <c r="AG93" s="1">
        <f t="shared" si="25"/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3" xr:uid="{8F455ADD-8B8D-4190-8094-FEC8FB089FA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2025-11-04T11:25:35Z</dcterms:created>
  <dcterms:modified xsi:type="dcterms:W3CDTF">2025-11-04T11:42:12Z</dcterms:modified>
</cp:coreProperties>
</file>