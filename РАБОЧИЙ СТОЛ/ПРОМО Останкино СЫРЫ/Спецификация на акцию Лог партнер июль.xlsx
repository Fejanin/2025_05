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altair.strelets\docs\ХОЛДИНГ\ОСТАНКИНО МОЛОКО\22. Симбирева\Симбирева\Договора\Спецификации\Промо июль\"/>
    </mc:Choice>
  </mc:AlternateContent>
  <xr:revisionPtr revIDLastSave="0" documentId="8_{ADC90E3B-67B6-4E4D-8371-70F5ED6E61F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Table 1" sheetId="1" r:id="rId1"/>
  </sheets>
  <definedNames>
    <definedName name="_xlnm.Print_Titles" localSheetId="0">'Table 1'!$9:$9</definedName>
  </definedNames>
  <calcPr calcId="181029"/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10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1" i="1"/>
</calcChain>
</file>

<file path=xl/sharedStrings.xml><?xml version="1.0" encoding="utf-8"?>
<sst xmlns="http://schemas.openxmlformats.org/spreadsheetml/2006/main" count="135" uniqueCount="84">
  <si>
    <t>Регулярная без НДС</t>
  </si>
  <si>
    <t>Регулярная с НДС</t>
  </si>
  <si>
    <r>
      <rPr>
        <b/>
        <sz val="11"/>
        <color rgb="FF2A2626"/>
        <rFont val="Times New Roman"/>
        <family val="1"/>
        <charset val="204"/>
      </rPr>
      <t>Спецификация на акцию</t>
    </r>
  </si>
  <si>
    <r>
      <rPr>
        <sz val="10"/>
        <color rgb="FF2A2626"/>
        <rFont val="Times New Roman"/>
        <family val="1"/>
        <charset val="204"/>
      </rPr>
      <t>№ п/п</t>
    </r>
  </si>
  <si>
    <r>
      <rPr>
        <sz val="10"/>
        <color rgb="FF2A2626"/>
        <rFont val="Times New Roman"/>
        <family val="1"/>
        <charset val="204"/>
      </rPr>
      <t>Артикул</t>
    </r>
  </si>
  <si>
    <r>
      <rPr>
        <sz val="10"/>
        <color rgb="FF2A2626"/>
        <rFont val="Times New Roman"/>
        <family val="1"/>
        <charset val="204"/>
      </rPr>
      <t>Наименование</t>
    </r>
  </si>
  <si>
    <r>
      <rPr>
        <sz val="10"/>
        <color rgb="FF2A2626"/>
        <rFont val="Times New Roman"/>
        <family val="1"/>
        <charset val="204"/>
      </rPr>
      <t>НДС</t>
    </r>
  </si>
  <si>
    <r>
      <rPr>
        <sz val="10"/>
        <color rgb="FF2A2626"/>
        <rFont val="Times New Roman"/>
        <family val="1"/>
        <charset val="204"/>
      </rPr>
      <t>%
скидки</t>
    </r>
  </si>
  <si>
    <r>
      <rPr>
        <sz val="10"/>
        <color rgb="FF2A2626"/>
        <rFont val="Times New Roman"/>
        <family val="1"/>
        <charset val="204"/>
      </rPr>
      <t>Промо
без НДС</t>
    </r>
  </si>
  <si>
    <r>
      <rPr>
        <sz val="10"/>
        <color rgb="FF2A2626"/>
        <rFont val="Times New Roman"/>
        <family val="1"/>
        <charset val="204"/>
      </rPr>
      <t>Промо с НДС</t>
    </r>
  </si>
  <si>
    <r>
      <rPr>
        <sz val="10"/>
        <color rgb="FF2A2626"/>
        <rFont val="Times New Roman"/>
        <family val="1"/>
        <charset val="204"/>
      </rPr>
      <t>Период скидки</t>
    </r>
  </si>
  <si>
    <r>
      <rPr>
        <sz val="10"/>
        <color rgb="FF2A2626"/>
        <rFont val="Times New Roman"/>
        <family val="1"/>
        <charset val="204"/>
      </rPr>
      <t>Сыр ПАПА МОЖЕТ
"Папин завтрак" 45% 180г Славяна</t>
    </r>
  </si>
  <si>
    <r>
      <rPr>
        <sz val="10"/>
        <color rgb="FF2A2626"/>
        <rFont val="Times New Roman"/>
        <family val="1"/>
        <charset val="204"/>
      </rPr>
      <t>Сыр "Пармезан" (срок созревания 3 мес) м.д.ж. в с.в. 40% фас в газ.среда 180 г ОСТАНКИНО</t>
    </r>
  </si>
  <si>
    <r>
      <rPr>
        <sz val="10"/>
        <color rgb="FF282626"/>
        <rFont val="Times New Roman"/>
        <family val="1"/>
        <charset val="204"/>
      </rPr>
      <t>Сыр твердый "Пармезан"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с массовой долей жира в пересчете на сухое вещество 35%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цилиндр 1/4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прозрачная</t>
    </r>
  </si>
  <si>
    <r>
      <rPr>
        <sz val="10"/>
        <color rgb="FF282626"/>
        <rFont val="Times New Roman"/>
        <family val="1"/>
        <charset val="204"/>
      </rPr>
      <t>Сыр плавленый Сливочный ж.45% 180г ТМ Папа может (16шт)</t>
    </r>
  </si>
  <si>
    <r>
      <rPr>
        <sz val="10"/>
        <color rgb="FF282626"/>
        <rFont val="Times New Roman"/>
        <family val="1"/>
        <charset val="204"/>
      </rPr>
      <t>Плавленый Сыр 45% "С грибами" СТМ "ПапаМожет" 180гр</t>
    </r>
  </si>
  <si>
    <r>
      <rPr>
        <sz val="10"/>
        <color rgb="FF282626"/>
        <rFont val="Times New Roman"/>
        <family val="1"/>
        <charset val="204"/>
      </rPr>
      <t>Плавленый сыр "Шоколадный" 30% 180 гр ТМ "ПАПА МОЖЕТ"</t>
    </r>
  </si>
  <si>
    <r>
      <rPr>
        <sz val="10"/>
        <color rgb="FF2A2626"/>
        <rFont val="Times New Roman"/>
        <family val="1"/>
        <charset val="204"/>
      </rPr>
      <t>Плавленый Сыр колбасный копченый 40% СТМ "ПапаМожет"  400гр</t>
    </r>
  </si>
  <si>
    <r>
      <rPr>
        <sz val="10"/>
        <color rgb="FF2A2626"/>
        <rFont val="Times New Roman"/>
        <family val="1"/>
        <charset val="204"/>
      </rPr>
      <t>Творожный Сыр 60% Сливочный  СТМ "ПапаМожет"- 140гр</t>
    </r>
  </si>
  <si>
    <r>
      <rPr>
        <sz val="10"/>
        <color rgb="FF2A2626"/>
        <rFont val="Times New Roman"/>
        <family val="1"/>
        <charset val="204"/>
      </rPr>
      <t xml:space="preserve">Творожный Сыр 60 % С </t>
    </r>
    <r>
      <rPr>
        <sz val="10"/>
        <color rgb="FF494849"/>
        <rFont val="Times New Roman"/>
        <family val="1"/>
        <charset val="204"/>
      </rPr>
      <t>з</t>
    </r>
    <r>
      <rPr>
        <sz val="10"/>
        <color rgb="FF2A2626"/>
        <rFont val="Times New Roman"/>
        <family val="1"/>
        <charset val="204"/>
      </rPr>
      <t>еленью СТМ "ПапаМожет-" 140гр</t>
    </r>
  </si>
  <si>
    <r>
      <rPr>
        <sz val="10"/>
        <color rgb="FF2A2626"/>
        <rFont val="Times New Roman"/>
        <family val="1"/>
        <charset val="204"/>
      </rPr>
      <t>Сыр Скаморца свежий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8шт ТМ Папа Может</t>
    </r>
  </si>
  <si>
    <r>
      <rPr>
        <sz val="10"/>
        <color rgb="FF2A2626"/>
        <rFont val="Times New Roman"/>
        <family val="1"/>
        <charset val="204"/>
      </rPr>
      <t>Сыр Чечил свежий 45%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6шт ТМ Папа Может</t>
    </r>
  </si>
  <si>
    <r>
      <rPr>
        <sz val="10"/>
        <color rgb="FF2A2626"/>
        <rFont val="Times New Roman"/>
        <family val="1"/>
        <charset val="204"/>
      </rPr>
      <t>Сыр Чечил копченый 43%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6шт ТМ Папа Может</t>
    </r>
  </si>
  <si>
    <r>
      <rPr>
        <sz val="10"/>
        <color rgb="FF2A2626"/>
        <rFont val="Times New Roman"/>
        <family val="1"/>
        <charset val="204"/>
      </rPr>
      <t>Сыр Перлини 40% 1ООгр (8шт)</t>
    </r>
  </si>
  <si>
    <r>
      <rPr>
        <sz val="10"/>
        <color rgb="FF2A2626"/>
        <rFont val="Times New Roman"/>
        <family val="1"/>
        <charset val="204"/>
      </rPr>
      <t>Сыр Перлини копченый 40% lООгр (8шт)</t>
    </r>
  </si>
  <si>
    <r>
      <rPr>
        <sz val="10"/>
        <color rgb="FF2A2626"/>
        <rFont val="Times New Roman"/>
        <family val="1"/>
        <charset val="204"/>
      </rPr>
      <t>Сыр Перлини со вкусом Васаби 40% lООгр (8шт)</t>
    </r>
  </si>
  <si>
    <r>
      <rPr>
        <sz val="10"/>
        <color rgb="FF2A2626"/>
        <rFont val="Times New Roman"/>
        <family val="1"/>
        <charset val="204"/>
      </rPr>
      <t>Сыр Косичка сырная 45%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8шт ТМ Папа Может</t>
    </r>
  </si>
  <si>
    <r>
      <rPr>
        <sz val="10"/>
        <color rgb="FF2A2626"/>
        <rFont val="Times New Roman"/>
        <family val="1"/>
        <charset val="204"/>
      </rPr>
      <t>Продукт По-Российски Классический с ЗМЖ 50% 200г Коровина</t>
    </r>
  </si>
  <si>
    <r>
      <rPr>
        <sz val="10"/>
        <color rgb="FF2A2626"/>
        <rFont val="Times New Roman"/>
        <family val="1"/>
        <charset val="204"/>
      </rPr>
      <t>Продукт По-Российски Классический с ЗМЖ 50% блок  Коровина</t>
    </r>
  </si>
  <si>
    <r>
      <rPr>
        <sz val="10"/>
        <color rgb="FF2A2626"/>
        <rFont val="Times New Roman"/>
        <family val="1"/>
        <charset val="204"/>
      </rPr>
      <t>Продукт белково-жировой Сметанковый 50% 200г фасовка ТМ Коровина</t>
    </r>
  </si>
  <si>
    <r>
      <rPr>
        <sz val="10"/>
        <color rgb="FF2A2626"/>
        <rFont val="Times New Roman"/>
        <family val="1"/>
        <charset val="204"/>
      </rPr>
      <t>Продукт белково-жировой Сметанковый 50% вес ТМ Коровино</t>
    </r>
  </si>
  <si>
    <r>
      <rPr>
        <sz val="10"/>
        <color rgb="FF2A2626"/>
        <rFont val="Times New Roman"/>
        <family val="1"/>
        <charset val="204"/>
      </rPr>
      <t>783К798</t>
    </r>
  </si>
  <si>
    <r>
      <rPr>
        <sz val="10"/>
        <color rgb="FF2A2626"/>
        <rFont val="Times New Roman"/>
        <family val="1"/>
        <charset val="204"/>
      </rPr>
      <t>783К811</t>
    </r>
  </si>
  <si>
    <r>
      <rPr>
        <sz val="10"/>
        <color rgb="FF2A2626"/>
        <rFont val="Times New Roman"/>
        <family val="1"/>
        <charset val="204"/>
      </rPr>
      <t>Сыч</t>
    </r>
    <r>
      <rPr>
        <sz val="10"/>
        <color rgb="FF484648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Прод  Коровина Российский Оригин  50% вес  (5 кг брус) СЗМЖ</t>
    </r>
  </si>
  <si>
    <r>
      <rPr>
        <sz val="10"/>
        <color rgb="FF2A2626"/>
        <rFont val="Times New Roman"/>
        <family val="1"/>
        <charset val="204"/>
      </rPr>
      <t>783К825</t>
    </r>
  </si>
  <si>
    <r>
      <rPr>
        <sz val="10"/>
        <color rgb="FF2A2626"/>
        <rFont val="Times New Roman"/>
        <family val="1"/>
        <charset val="204"/>
      </rPr>
      <t>Сыч</t>
    </r>
    <r>
      <rPr>
        <sz val="10"/>
        <color rgb="FF484648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Прод  Коровина Тильзитер  Оригин  50% вес  (5 кг брус) СЗМЖ</t>
    </r>
  </si>
  <si>
    <r>
      <rPr>
        <sz val="10"/>
        <color rgb="FF2A2626"/>
        <rFont val="Times New Roman"/>
        <family val="1"/>
        <charset val="204"/>
      </rPr>
      <t>Продукт с Сыром колбасный копченый 40% СТМ "Коровина" 400гр</t>
    </r>
  </si>
  <si>
    <r>
      <rPr>
        <sz val="10"/>
        <color rgb="FF2A2626"/>
        <rFont val="Times New Roman"/>
        <family val="1"/>
        <charset val="204"/>
      </rPr>
      <t xml:space="preserve">Спред растительно- сливочный </t>
    </r>
    <r>
      <rPr>
        <sz val="10"/>
        <color rgb="FF484648"/>
        <rFont val="Times New Roman"/>
        <family val="1"/>
        <charset val="204"/>
      </rPr>
      <t>«</t>
    </r>
    <r>
      <rPr>
        <sz val="10"/>
        <color rgb="FF2A2626"/>
        <rFont val="Times New Roman"/>
        <family val="1"/>
        <charset val="204"/>
      </rPr>
      <t>Сливочный вкус</t>
    </r>
    <r>
      <rPr>
        <sz val="10"/>
        <color rgb="FF484648"/>
        <rFont val="Times New Roman"/>
        <family val="1"/>
        <charset val="204"/>
      </rPr>
      <t xml:space="preserve">» </t>
    </r>
    <r>
      <rPr>
        <sz val="10"/>
        <color rgb="FF2A2626"/>
        <rFont val="Times New Roman"/>
        <family val="1"/>
        <charset val="204"/>
      </rPr>
      <t>72</t>
    </r>
    <r>
      <rPr>
        <sz val="10"/>
        <color rgb="FF484648"/>
        <rFont val="Times New Roman"/>
        <family val="1"/>
        <charset val="204"/>
      </rPr>
      <t>,</t>
    </r>
    <r>
      <rPr>
        <sz val="10"/>
        <color rgb="FF2A2626"/>
        <rFont val="Times New Roman"/>
        <family val="1"/>
        <charset val="204"/>
      </rPr>
      <t>5% 180гр</t>
    </r>
  </si>
  <si>
    <r>
      <rPr>
        <sz val="10"/>
        <color rgb="FF2A2626"/>
        <rFont val="Times New Roman"/>
        <family val="1"/>
        <charset val="204"/>
      </rPr>
      <t xml:space="preserve">Спред растительно- сливочный </t>
    </r>
    <r>
      <rPr>
        <sz val="10"/>
        <color rgb="FF484648"/>
        <rFont val="Times New Roman"/>
        <family val="1"/>
        <charset val="204"/>
      </rPr>
      <t>«</t>
    </r>
    <r>
      <rPr>
        <sz val="10"/>
        <color rgb="FF2A2626"/>
        <rFont val="Times New Roman"/>
        <family val="1"/>
        <charset val="204"/>
      </rPr>
      <t>Сливочный вкус</t>
    </r>
    <r>
      <rPr>
        <sz val="10"/>
        <color rgb="FF484648"/>
        <rFont val="Times New Roman"/>
        <family val="1"/>
        <charset val="204"/>
      </rPr>
      <t xml:space="preserve">» </t>
    </r>
    <r>
      <rPr>
        <sz val="10"/>
        <color rgb="FF2A2626"/>
        <rFont val="Times New Roman"/>
        <family val="1"/>
        <charset val="204"/>
      </rPr>
      <t>82</t>
    </r>
    <r>
      <rPr>
        <sz val="10"/>
        <color rgb="FF484648"/>
        <rFont val="Times New Roman"/>
        <family val="1"/>
        <charset val="204"/>
      </rPr>
      <t>,</t>
    </r>
    <r>
      <rPr>
        <sz val="10"/>
        <color rgb="FF2A2626"/>
        <rFont val="Times New Roman"/>
        <family val="1"/>
        <charset val="204"/>
      </rPr>
      <t>5% 180гр</t>
    </r>
  </si>
  <si>
    <r>
      <rPr>
        <sz val="10"/>
        <color rgb="FF2A2626"/>
        <rFont val="Times New Roman"/>
        <family val="1"/>
        <charset val="204"/>
      </rPr>
      <t>Сырный продукт Моцарелла 45% (батоны) 1</t>
    </r>
    <r>
      <rPr>
        <sz val="10"/>
        <color rgb="FF484648"/>
        <rFont val="Times New Roman"/>
        <family val="1"/>
        <charset val="204"/>
      </rPr>
      <t>,</t>
    </r>
    <r>
      <rPr>
        <sz val="10"/>
        <color rgb="FF2A2626"/>
        <rFont val="Times New Roman"/>
        <family val="1"/>
        <charset val="204"/>
      </rPr>
      <t>Окг ТМ "КОРОВИНО"</t>
    </r>
  </si>
  <si>
    <r>
      <rPr>
        <sz val="10"/>
        <color rgb="FF2A2628"/>
        <rFont val="Times New Roman"/>
        <family val="1"/>
        <charset val="204"/>
      </rPr>
      <t xml:space="preserve">Майонезный соус провансаль деликатесный с массовой долей жира 25%ТМ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Коровина</t>
    </r>
    <r>
      <rPr>
        <sz val="10"/>
        <color rgb="FF464446"/>
        <rFont val="Times New Roman"/>
        <family val="1"/>
        <charset val="204"/>
      </rPr>
      <t>»</t>
    </r>
  </si>
  <si>
    <t xml:space="preserve">  м.п.                         (подпись)</t>
  </si>
  <si>
    <r>
      <rPr>
        <b/>
        <sz val="10"/>
        <color rgb="FF2A2628"/>
        <rFont val="Times New Roman"/>
        <family val="1"/>
        <charset val="204"/>
      </rPr>
      <t>Поставщик</t>
    </r>
  </si>
  <si>
    <r>
      <rPr>
        <sz val="10"/>
        <color rgb="FF2A2628"/>
        <rFont val="Times New Roman"/>
        <family val="1"/>
        <charset val="204"/>
      </rPr>
      <t xml:space="preserve">ООО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Останкино молоко</t>
    </r>
    <r>
      <rPr>
        <sz val="10"/>
        <color rgb="FF464446"/>
        <rFont val="Times New Roman"/>
        <family val="1"/>
        <charset val="204"/>
      </rPr>
      <t>»</t>
    </r>
  </si>
  <si>
    <t>(Ф.И.О.)</t>
  </si>
  <si>
    <t>/Симбирева О.А./</t>
  </si>
  <si>
    <t>Покупатель</t>
  </si>
  <si>
    <t xml:space="preserve">  м.п.                              (подпись)</t>
  </si>
  <si>
    <t>Сыч/Прод 20% Коровино
Российский 50% 200г
сзмж</t>
  </si>
  <si>
    <r>
      <rPr>
        <sz val="10"/>
        <color rgb="FF2A2626"/>
        <rFont val="Times New Roman"/>
        <family val="1"/>
        <charset val="204"/>
      </rPr>
      <t>Масло сливочное ПАПА МОЖЕТ 82.5%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фас. В фольгу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180гр</t>
    </r>
  </si>
  <si>
    <r>
      <rPr>
        <sz val="10"/>
        <color rgb="FF2A2628"/>
        <rFont val="Times New Roman"/>
        <family val="1"/>
        <charset val="204"/>
      </rPr>
      <t xml:space="preserve">Майонез провансаль классический с массовой долей жира 67% 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ПАПА МОЖЕТ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A2628"/>
        <rFont val="Times New Roman"/>
        <family val="1"/>
        <charset val="204"/>
      </rPr>
      <t>372г дой-пак с дозатором</t>
    </r>
  </si>
  <si>
    <r>
      <rPr>
        <sz val="10"/>
        <color rgb="FF2A2628"/>
        <rFont val="Times New Roman"/>
        <family val="1"/>
        <charset val="204"/>
      </rPr>
      <t xml:space="preserve">Майонез провансаль классический с массовой долей жира 67% 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ПАПА МОЖЕТ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A2628"/>
        <rFont val="Times New Roman"/>
        <family val="1"/>
        <charset val="204"/>
      </rPr>
      <t>744г дой-пак с дозатором</t>
    </r>
  </si>
  <si>
    <r>
      <rPr>
        <sz val="10"/>
        <color rgb="FF2A2628"/>
        <rFont val="Times New Roman"/>
        <family val="1"/>
        <charset val="204"/>
      </rPr>
      <t xml:space="preserve">Майонез провансаль классический оливковый с массовой долей жира 67%ТМ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ПАПА МОЖЕТ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A2628"/>
        <rFont val="Times New Roman"/>
        <family val="1"/>
        <charset val="204"/>
      </rPr>
      <t>372г дой-пак с дозатором</t>
    </r>
  </si>
  <si>
    <r>
      <rPr>
        <sz val="10"/>
        <color rgb="FF2A2628"/>
        <rFont val="Times New Roman"/>
        <family val="1"/>
        <charset val="204"/>
      </rPr>
      <t>Майоне</t>
    </r>
    <r>
      <rPr>
        <sz val="10"/>
        <color rgb="FF464446"/>
        <rFont val="Times New Roman"/>
        <family val="1"/>
        <charset val="204"/>
      </rPr>
      <t xml:space="preserve">з </t>
    </r>
    <r>
      <rPr>
        <sz val="10"/>
        <color rgb="FF2A2628"/>
        <rFont val="Times New Roman"/>
        <family val="1"/>
        <charset val="204"/>
      </rPr>
      <t xml:space="preserve">провансаль классический оливковый с массовой долей жира 67%ТМ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A2628"/>
        <rFont val="Times New Roman"/>
        <family val="1"/>
        <charset val="204"/>
      </rPr>
      <t>ПАПА МОЖЕТ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A2628"/>
        <rFont val="Times New Roman"/>
        <family val="1"/>
        <charset val="204"/>
      </rPr>
      <t>744г дой-пак с дозатором</t>
    </r>
  </si>
  <si>
    <r>
      <rPr>
        <sz val="10"/>
        <color rgb="FF2A2626"/>
        <rFont val="Times New Roman"/>
        <family val="1"/>
        <charset val="204"/>
      </rPr>
      <t>Сыр ПАПА МОЖЕТ "Голландский традиционный"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180 г</t>
    </r>
  </si>
  <si>
    <r>
      <rPr>
        <sz val="10"/>
        <color rgb="FF2A2626"/>
        <rFont val="Times New Roman"/>
        <family val="1"/>
        <charset val="204"/>
      </rPr>
      <t>Сыр ПАПА МОЖЕТ "Гауда Голд"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полимерная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 г</t>
    </r>
  </si>
  <si>
    <r>
      <rPr>
        <sz val="10"/>
        <color rgb="FF2A2626"/>
        <rFont val="Times New Roman"/>
        <family val="1"/>
        <charset val="204"/>
      </rPr>
      <t>Сыр ПАПА МОЖЕТ "Тильзитер"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полимерная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газовая среда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 г</t>
    </r>
  </si>
  <si>
    <r>
      <rPr>
        <sz val="10"/>
        <color rgb="FF282626"/>
        <rFont val="Times New Roman"/>
        <family val="1"/>
        <charset val="204"/>
      </rPr>
      <t>Сыр полутвердый "Сметанковый"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с массовой долей жира в пересчете на сухое вещество 50%</t>
    </r>
    <r>
      <rPr>
        <sz val="10"/>
        <color rgb="FF464446"/>
        <rFont val="Times New Roman"/>
        <family val="1"/>
        <charset val="204"/>
      </rPr>
      <t xml:space="preserve">,  </t>
    </r>
    <r>
      <rPr>
        <sz val="10"/>
        <color rgb="FF282626"/>
        <rFont val="Times New Roman"/>
        <family val="1"/>
        <charset val="204"/>
      </rPr>
      <t>брус из блока 1</t>
    </r>
    <r>
      <rPr>
        <sz val="10"/>
        <color rgb="FF464446"/>
        <rFont val="Times New Roman"/>
        <family val="1"/>
        <charset val="204"/>
      </rPr>
      <t>/</t>
    </r>
    <r>
      <rPr>
        <sz val="10"/>
        <color rgb="FF282626"/>
        <rFont val="Times New Roman"/>
        <family val="1"/>
        <charset val="204"/>
      </rPr>
      <t>5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желтая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короб складной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ТМ "Папа может</t>
    </r>
  </si>
  <si>
    <r>
      <rPr>
        <sz val="10"/>
        <color rgb="FF282626"/>
        <rFont val="Times New Roman"/>
        <family val="1"/>
        <charset val="204"/>
      </rPr>
      <t>Сыр полутвердый "Тильзитер" с массовой долей жира в пересчете на сухое вещество 45%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брус из блока 1</t>
    </r>
    <r>
      <rPr>
        <sz val="10"/>
        <color rgb="FF464446"/>
        <rFont val="Times New Roman"/>
        <family val="1"/>
        <charset val="204"/>
      </rPr>
      <t>/</t>
    </r>
    <r>
      <rPr>
        <sz val="10"/>
        <color rgb="FF282626"/>
        <rFont val="Times New Roman"/>
        <family val="1"/>
        <charset val="204"/>
      </rPr>
      <t>5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желтая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короб складной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весовой</t>
    </r>
  </si>
  <si>
    <t>Плавленый Сыр 45% "С ветчиной"  СТМ "ПапаМожет" 180гр</t>
  </si>
  <si>
    <t>Творожный Сыр 60 % С маринованными огурчиками и укропом СТМ "ПапаМожет"  140гр</t>
  </si>
  <si>
    <r>
      <rPr>
        <sz val="10"/>
        <color rgb="FF2A2626"/>
        <rFont val="Times New Roman"/>
        <family val="1"/>
        <charset val="204"/>
      </rPr>
      <t>Сыр Боккончини копченый 40%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8шт ТМ Папа Может</t>
    </r>
  </si>
  <si>
    <r>
      <rPr>
        <sz val="10"/>
        <color rgb="FF2A2626"/>
        <rFont val="Times New Roman"/>
        <family val="1"/>
        <charset val="204"/>
      </rPr>
      <t>Сыр Косичка сырная копченая 43% 100г</t>
    </r>
    <r>
      <rPr>
        <sz val="10"/>
        <color rgb="FF494849"/>
        <rFont val="Times New Roman"/>
        <family val="1"/>
        <charset val="204"/>
      </rPr>
      <t>/</t>
    </r>
    <r>
      <rPr>
        <sz val="10"/>
        <color rgb="FF2A2626"/>
        <rFont val="Times New Roman"/>
        <family val="1"/>
        <charset val="204"/>
      </rPr>
      <t>8шт ТМ Папа Может</t>
    </r>
  </si>
  <si>
    <r>
      <rPr>
        <sz val="10"/>
        <color rgb="FF2A2626"/>
        <rFont val="Times New Roman"/>
        <family val="1"/>
        <charset val="204"/>
      </rPr>
      <t>Масло сливочное ПАПА МОЖЕТ 72.5%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фас. В Фольгу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180гр</t>
    </r>
  </si>
  <si>
    <t>Приложение № 1</t>
  </si>
  <si>
    <r>
      <t xml:space="preserve">                   </t>
    </r>
    <r>
      <rPr>
        <sz val="9.5"/>
        <color rgb="FF2A2628"/>
        <rFont val="Times New Roman"/>
        <family val="1"/>
      </rPr>
      <t xml:space="preserve">Настоящая Спецификация действует с даты ее подписания (указана в правом верхнем углу Спецификации) и является неотъемлемой частью Договора поставки. Спецификация оформлена в двух экземплярах, по одному для каждой из Сторон. </t>
    </r>
  </si>
  <si>
    <t>Сыр полутвердый "Купеческий с ароматом топленого молока", с массовой долей жира в пересчете на сухое вещество 50%, брус из блока 1/5, пленка желтая, короб складной ТМ Папа может</t>
  </si>
  <si>
    <t>783К801</t>
  </si>
  <si>
    <t>Сыч/Прод 20% Коровино Тильзитер  50% 200г сзмж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</si>
  <si>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</si>
  <si>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r>
      <rPr>
        <sz val="10"/>
        <color rgb="FF2A2626"/>
        <rFont val="Times New Roman"/>
        <family val="1"/>
        <charset val="204"/>
      </rPr>
      <t>Сыр ПАПА МОЖЕТ ''Российский традиционный"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180 г</t>
    </r>
  </si>
  <si>
    <r>
      <rPr>
        <sz val="10"/>
        <color rgb="FF2A2626"/>
        <rFont val="Times New Roman"/>
        <family val="1"/>
        <charset val="204"/>
      </rPr>
      <t>Сыр ПАПА МОЖЕТ ''Министерский'' фасованный массовая доля жира в сухом веществе 45 %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пленка полимерная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газовая среда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180 г</t>
    </r>
  </si>
  <si>
    <r>
      <rPr>
        <sz val="10"/>
        <color rgb="FF2A2626"/>
        <rFont val="Times New Roman"/>
        <family val="1"/>
        <charset val="204"/>
      </rPr>
      <t>Сыр ПАПА МОЖЕТ "Папин завтрак" ж. 45% газ.среда</t>
    </r>
    <r>
      <rPr>
        <sz val="10"/>
        <color rgb="FF464646"/>
        <rFont val="Times New Roman"/>
        <family val="1"/>
        <charset val="204"/>
      </rPr>
      <t xml:space="preserve">, </t>
    </r>
    <r>
      <rPr>
        <sz val="10"/>
        <color rgb="FF2A2626"/>
        <rFont val="Times New Roman"/>
        <family val="1"/>
        <charset val="204"/>
      </rPr>
      <t>400 гр (8 шт)</t>
    </r>
  </si>
  <si>
    <r>
      <rPr>
        <sz val="10"/>
        <color rgb="FF282626"/>
        <rFont val="Times New Roman"/>
        <family val="1"/>
        <charset val="204"/>
      </rPr>
      <t xml:space="preserve">Сыр 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82626"/>
        <rFont val="Times New Roman"/>
        <family val="1"/>
        <charset val="204"/>
      </rPr>
      <t>Алтайский Gold</t>
    </r>
    <r>
      <rPr>
        <sz val="10"/>
        <color rgb="FF464446"/>
        <rFont val="Times New Roman"/>
        <family val="1"/>
        <charset val="204"/>
      </rPr>
      <t xml:space="preserve">» </t>
    </r>
    <r>
      <rPr>
        <sz val="10"/>
        <color rgb="FF282626"/>
        <rFont val="Times New Roman"/>
        <family val="1"/>
        <charset val="204"/>
      </rPr>
      <t>(</t>
    </r>
    <r>
      <rPr>
        <sz val="10"/>
        <color rgb="FF464446"/>
        <rFont val="Times New Roman"/>
        <family val="1"/>
        <charset val="204"/>
      </rPr>
      <t>«</t>
    </r>
    <r>
      <rPr>
        <sz val="10"/>
        <color rgb="FF282626"/>
        <rFont val="Times New Roman"/>
        <family val="1"/>
        <charset val="204"/>
      </rPr>
      <t>Алтайский Золотой</t>
    </r>
    <r>
      <rPr>
        <sz val="10"/>
        <color rgb="FF464446"/>
        <rFont val="Times New Roman"/>
        <family val="1"/>
        <charset val="204"/>
      </rPr>
      <t>»</t>
    </r>
    <r>
      <rPr>
        <sz val="10"/>
        <color rgb="FF282626"/>
        <rFont val="Times New Roman"/>
        <family val="1"/>
        <charset val="204"/>
      </rPr>
      <t>) с м.д.ж. в сухом веществе 50%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ТМ "Останкино" цилиндр 1</t>
    </r>
    <r>
      <rPr>
        <sz val="10"/>
        <color rgb="FF464446"/>
        <rFont val="Times New Roman"/>
        <family val="1"/>
        <charset val="204"/>
      </rPr>
      <t>,</t>
    </r>
    <r>
      <rPr>
        <sz val="10"/>
        <color rgb="FF282626"/>
        <rFont val="Times New Roman"/>
        <family val="1"/>
        <charset val="204"/>
      </rPr>
      <t>5 кг</t>
    </r>
  </si>
  <si>
    <r>
      <rPr>
        <sz val="10"/>
        <color rgb="FF282626"/>
        <rFont val="Times New Roman"/>
        <family val="1"/>
        <charset val="204"/>
      </rPr>
      <t>Сыр полутвердый Российский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цилиндр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1/4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с логотипом ЮКМП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массовая доля жира в сухом веществе 50%</t>
    </r>
  </si>
  <si>
    <r>
      <rPr>
        <sz val="10"/>
        <color rgb="FF282626"/>
        <rFont val="Times New Roman"/>
        <family val="1"/>
        <charset val="204"/>
      </rPr>
      <t>Сыр полутвердый "Гауда"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с массовой долей жира в пересчете на сухое вещество 45%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бр</t>
    </r>
    <r>
      <rPr>
        <sz val="10"/>
        <color rgb="FF464446"/>
        <rFont val="Times New Roman"/>
        <family val="1"/>
        <charset val="204"/>
      </rPr>
      <t>у</t>
    </r>
    <r>
      <rPr>
        <sz val="10"/>
        <color rgb="FF282626"/>
        <rFont val="Times New Roman"/>
        <family val="1"/>
        <charset val="204"/>
      </rPr>
      <t>с из блока 1</t>
    </r>
    <r>
      <rPr>
        <sz val="10"/>
        <color rgb="FF464446"/>
        <rFont val="Times New Roman"/>
        <family val="1"/>
        <charset val="204"/>
      </rPr>
      <t>/</t>
    </r>
    <r>
      <rPr>
        <sz val="10"/>
        <color rgb="FF282626"/>
        <rFont val="Times New Roman"/>
        <family val="1"/>
        <charset val="204"/>
      </rPr>
      <t>5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желтая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короб складной ТМ Папа может</t>
    </r>
  </si>
  <si>
    <t>«01» июля 2026 г.</t>
  </si>
  <si>
    <t>01.07.2026-31.07.2026</t>
  </si>
  <si>
    <t>18.06.2026-31.07.2026</t>
  </si>
  <si>
    <t>ООО "Логистический Партнер"</t>
  </si>
  <si>
    <t>/ Химич А.В./</t>
  </si>
  <si>
    <t xml:space="preserve">                      ООО "Логистический Партнер", именуемое в дальнейшем «Покупатель», с одной стороны, и ООО «Останкино молоко», именуемое в дальнейшем «Поставщик», с другой стороны, вместе именуемые «Стороны», согласовали настоящую Спецификацию к Договору поставки от «14» апреля 2023 г № Ом-пр-072/2023 (далее – «Договор поставки»).</t>
  </si>
  <si>
    <t>№Ом-пр-072/2023</t>
  </si>
  <si>
    <t>к Договору поставки от «14» апреля 2023г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</si>
</sst>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0"/>
      <color rgb="FF000000"/>
      <name val="Times New Roman"/>
      <charset val="204"/>
    </font>
    <font>
      <sz val="9.5"/>
      <name val="Times New Roman"/>
      <family val="1"/>
      <charset val="204"/>
    </font>
    <font>
      <sz val="9.5"/>
      <color rgb="FF2A2628"/>
      <name val="Times New Roman"/>
      <family val="1"/>
    </font>
    <font>
      <sz val="8"/>
      <name val="Times New Roman"/>
      <family val="1"/>
      <charset val="204"/>
    </font>
    <font>
      <sz val="9.5"/>
      <name val="Times New Roman"/>
      <family val="1"/>
    </font>
    <font>
      <b/>
      <sz val="11"/>
      <name val="Times New Roman"/>
      <family val="1"/>
      <charset val="204"/>
    </font>
    <font>
      <b/>
      <sz val="11"/>
      <color rgb="FF2A2626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2A262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464646"/>
      <name val="Times New Roman"/>
      <family val="1"/>
      <charset val="204"/>
    </font>
    <font>
      <sz val="10"/>
      <color rgb="FF282626"/>
      <name val="Times New Roman"/>
      <family val="1"/>
      <charset val="204"/>
    </font>
    <font>
      <sz val="10"/>
      <color rgb="FF464446"/>
      <name val="Times New Roman"/>
      <family val="1"/>
      <charset val="204"/>
    </font>
    <font>
      <sz val="10"/>
      <color rgb="FF494849"/>
      <name val="Times New Roman"/>
      <family val="1"/>
      <charset val="204"/>
    </font>
    <font>
      <sz val="10"/>
      <color rgb="FF484648"/>
      <name val="Times New Roman"/>
      <family val="1"/>
      <charset val="204"/>
    </font>
    <font>
      <sz val="10"/>
      <color rgb="FF2A2628"/>
      <name val="Times New Roman"/>
      <family val="1"/>
      <charset val="204"/>
    </font>
    <font>
      <sz val="9.5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2A2628"/>
      <name val="Times New Roman"/>
      <family val="1"/>
      <charset val="204"/>
    </font>
    <font>
      <b/>
      <sz val="9.5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2" fontId="8" fillId="0" borderId="1" xfId="0" applyNumberFormat="1" applyFont="1" applyBorder="1" applyAlignment="1">
      <alignment horizontal="center" vertical="center" shrinkToFit="1"/>
    </xf>
    <xf numFmtId="9" fontId="8" fillId="0" borderId="1" xfId="0" applyNumberFormat="1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9" fontId="11" fillId="0" borderId="1" xfId="0" applyNumberFormat="1" applyFont="1" applyBorder="1" applyAlignment="1">
      <alignment horizontal="center" vertical="center" shrinkToFit="1"/>
    </xf>
    <xf numFmtId="2" fontId="12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2" fontId="15" fillId="0" borderId="1" xfId="0" applyNumberFormat="1" applyFont="1" applyBorder="1" applyAlignment="1">
      <alignment horizontal="center" vertical="center" shrinkToFit="1"/>
    </xf>
    <xf numFmtId="9" fontId="15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2" fontId="11" fillId="0" borderId="2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view="pageLayout" topLeftCell="A52" zoomScaleNormal="100" zoomScaleSheetLayoutView="90" workbookViewId="0">
      <selection activeCell="I10" sqref="I10"/>
    </sheetView>
  </sheetViews>
  <sheetFormatPr defaultColWidth="9.33203125" defaultRowHeight="12.75" x14ac:dyDescent="0.2"/>
  <cols>
    <col min="1" max="1" width="4.33203125" style="2" customWidth="1"/>
    <col min="2" max="2" width="10.5" style="2" customWidth="1"/>
    <col min="3" max="3" width="28" style="2" customWidth="1"/>
    <col min="4" max="4" width="13.5" style="2" customWidth="1"/>
    <col min="5" max="5" width="13.1640625" style="2" customWidth="1"/>
    <col min="6" max="6" width="6.6640625" style="2" customWidth="1"/>
    <col min="7" max="7" width="7.5" style="2" customWidth="1"/>
    <col min="8" max="8" width="9.33203125" style="2" customWidth="1"/>
    <col min="9" max="9" width="8.33203125" style="2" customWidth="1"/>
    <col min="10" max="10" width="11.5" style="2" customWidth="1"/>
    <col min="11" max="16384" width="9.33203125" style="2"/>
  </cols>
  <sheetData>
    <row r="1" spans="1:12" x14ac:dyDescent="0.2">
      <c r="I1" s="53" t="s">
        <v>64</v>
      </c>
      <c r="J1" s="53"/>
    </row>
    <row r="2" spans="1:12" x14ac:dyDescent="0.2">
      <c r="F2" s="56" t="s">
        <v>83</v>
      </c>
      <c r="G2" s="57"/>
      <c r="H2" s="57"/>
      <c r="I2" s="57"/>
      <c r="J2" s="57"/>
      <c r="K2" s="1"/>
      <c r="L2" s="1"/>
    </row>
    <row r="3" spans="1:12" x14ac:dyDescent="0.2">
      <c r="H3" s="54" t="s">
        <v>82</v>
      </c>
      <c r="I3" s="54"/>
      <c r="J3" s="54"/>
    </row>
    <row r="4" spans="1:12" ht="3.75" customHeight="1" x14ac:dyDescent="0.2">
      <c r="I4" s="3"/>
      <c r="J4" s="3"/>
    </row>
    <row r="5" spans="1:12" ht="14.25" x14ac:dyDescent="0.2">
      <c r="A5" s="55" t="s">
        <v>2</v>
      </c>
      <c r="B5" s="55"/>
      <c r="C5" s="55"/>
      <c r="D5" s="55"/>
      <c r="E5" s="55"/>
      <c r="F5" s="55"/>
      <c r="G5" s="55"/>
      <c r="H5" s="55"/>
      <c r="I5" s="55"/>
      <c r="J5" s="55"/>
    </row>
    <row r="6" spans="1:12" x14ac:dyDescent="0.2">
      <c r="B6" s="1"/>
      <c r="I6" s="54" t="s">
        <v>76</v>
      </c>
      <c r="J6" s="54"/>
    </row>
    <row r="7" spans="1:12" ht="39.75" customHeight="1" x14ac:dyDescent="0.2">
      <c r="A7" s="40" t="s">
        <v>81</v>
      </c>
      <c r="B7" s="41"/>
      <c r="C7" s="41"/>
      <c r="D7" s="41"/>
      <c r="E7" s="41"/>
      <c r="F7" s="41"/>
      <c r="G7" s="41"/>
      <c r="H7" s="41"/>
      <c r="I7" s="41"/>
      <c r="J7" s="41"/>
    </row>
    <row r="8" spans="1:12" ht="7.5" customHeight="1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ht="38.25" customHeight="1" x14ac:dyDescent="0.2">
      <c r="A9" s="6" t="s">
        <v>3</v>
      </c>
      <c r="B9" s="6" t="s">
        <v>4</v>
      </c>
      <c r="C9" s="6" t="s">
        <v>5</v>
      </c>
      <c r="D9" s="7" t="s">
        <v>0</v>
      </c>
      <c r="E9" s="7" t="s">
        <v>1</v>
      </c>
      <c r="F9" s="6" t="s">
        <v>6</v>
      </c>
      <c r="G9" s="8" t="s">
        <v>7</v>
      </c>
      <c r="H9" s="8" t="s">
        <v>8</v>
      </c>
      <c r="I9" s="6" t="s">
        <v>9</v>
      </c>
      <c r="J9" s="6" t="s">
        <v>10</v>
      </c>
    </row>
    <row r="10" spans="1:12" ht="38.25" x14ac:dyDescent="0.2">
      <c r="A10" s="11">
        <v>1</v>
      </c>
      <c r="B10" s="11">
        <v>1018950</v>
      </c>
      <c r="C10" s="9" t="s">
        <v>63</v>
      </c>
      <c r="D10" s="12">
        <v>176</v>
      </c>
      <c r="E10" s="12">
        <v>203.28000000000003</v>
      </c>
      <c r="F10" s="13">
        <v>0.1</v>
      </c>
      <c r="G10" s="14">
        <f>1-I10/E10</f>
        <v>0.36048799685163335</v>
      </c>
      <c r="H10" s="12">
        <f>I10/(1+F10)</f>
        <v>118.18181818181817</v>
      </c>
      <c r="I10" s="12">
        <v>130</v>
      </c>
      <c r="J10" s="8" t="s">
        <v>77</v>
      </c>
    </row>
    <row r="11" spans="1:12" ht="38.25" x14ac:dyDescent="0.2">
      <c r="A11" s="11">
        <v>2</v>
      </c>
      <c r="B11" s="11">
        <v>1018967</v>
      </c>
      <c r="C11" s="9" t="s">
        <v>49</v>
      </c>
      <c r="D11" s="12">
        <v>196</v>
      </c>
      <c r="E11" s="12">
        <v>226.38000000000002</v>
      </c>
      <c r="F11" s="13">
        <v>0.1</v>
      </c>
      <c r="G11" s="14">
        <f t="shared" ref="G11:G19" si="0">1-I11/E11</f>
        <v>0.36831875607385822</v>
      </c>
      <c r="H11" s="12">
        <f t="shared" ref="H11:H61" si="1">I11/(1+F11)</f>
        <v>130</v>
      </c>
      <c r="I11" s="12">
        <v>143</v>
      </c>
      <c r="J11" s="8" t="s">
        <v>77</v>
      </c>
    </row>
    <row r="12" spans="1:12" ht="63.75" x14ac:dyDescent="0.2">
      <c r="A12" s="11">
        <v>3</v>
      </c>
      <c r="B12" s="19">
        <v>6948270</v>
      </c>
      <c r="C12" s="9" t="s">
        <v>50</v>
      </c>
      <c r="D12" s="20">
        <v>80.290000000000006</v>
      </c>
      <c r="E12" s="20">
        <v>97.953800000000001</v>
      </c>
      <c r="F12" s="21">
        <v>0.22</v>
      </c>
      <c r="G12" s="14">
        <f t="shared" si="0"/>
        <v>0.16664795036027191</v>
      </c>
      <c r="H12" s="12">
        <f t="shared" si="1"/>
        <v>66.909836065573771</v>
      </c>
      <c r="I12" s="20">
        <v>81.63</v>
      </c>
      <c r="J12" s="8" t="s">
        <v>77</v>
      </c>
    </row>
    <row r="13" spans="1:12" ht="63.75" x14ac:dyDescent="0.2">
      <c r="A13" s="11">
        <v>4</v>
      </c>
      <c r="B13" s="19">
        <v>6948287</v>
      </c>
      <c r="C13" s="9" t="s">
        <v>51</v>
      </c>
      <c r="D13" s="20">
        <v>157.51</v>
      </c>
      <c r="E13" s="20">
        <v>192.16219999999998</v>
      </c>
      <c r="F13" s="21">
        <v>0.22</v>
      </c>
      <c r="G13" s="14">
        <f t="shared" si="0"/>
        <v>0.19999875105509823</v>
      </c>
      <c r="H13" s="12">
        <f t="shared" si="1"/>
        <v>126.00819672131146</v>
      </c>
      <c r="I13" s="20">
        <v>153.72999999999999</v>
      </c>
      <c r="J13" s="8" t="s">
        <v>77</v>
      </c>
    </row>
    <row r="14" spans="1:12" ht="63.75" x14ac:dyDescent="0.2">
      <c r="A14" s="11">
        <v>5</v>
      </c>
      <c r="B14" s="19">
        <v>6948256</v>
      </c>
      <c r="C14" s="9" t="s">
        <v>52</v>
      </c>
      <c r="D14" s="20">
        <v>82.14</v>
      </c>
      <c r="E14" s="20">
        <v>100.21079999999999</v>
      </c>
      <c r="F14" s="21">
        <v>0.22</v>
      </c>
      <c r="G14" s="14">
        <f t="shared" si="0"/>
        <v>0.16665668770232334</v>
      </c>
      <c r="H14" s="12">
        <f t="shared" si="1"/>
        <v>68.450819672131146</v>
      </c>
      <c r="I14" s="20">
        <v>83.51</v>
      </c>
      <c r="J14" s="8" t="s">
        <v>77</v>
      </c>
    </row>
    <row r="15" spans="1:12" ht="63.75" x14ac:dyDescent="0.2">
      <c r="A15" s="11">
        <v>6</v>
      </c>
      <c r="B15" s="19">
        <v>6948263</v>
      </c>
      <c r="C15" s="9" t="s">
        <v>53</v>
      </c>
      <c r="D15" s="20">
        <v>161.09</v>
      </c>
      <c r="E15" s="20">
        <v>196.52979999999999</v>
      </c>
      <c r="F15" s="21">
        <v>0.22</v>
      </c>
      <c r="G15" s="14">
        <f t="shared" si="0"/>
        <v>0.20001953902156311</v>
      </c>
      <c r="H15" s="12">
        <f t="shared" si="1"/>
        <v>128.86885245901641</v>
      </c>
      <c r="I15" s="20">
        <v>157.22</v>
      </c>
      <c r="J15" s="8" t="s">
        <v>77</v>
      </c>
    </row>
    <row r="16" spans="1:12" ht="51" x14ac:dyDescent="0.2">
      <c r="A16" s="11">
        <v>7</v>
      </c>
      <c r="B16" s="19">
        <v>6948249</v>
      </c>
      <c r="C16" s="10" t="s">
        <v>40</v>
      </c>
      <c r="D16" s="20">
        <v>156.80000000000001</v>
      </c>
      <c r="E16" s="20">
        <v>191.29600000000002</v>
      </c>
      <c r="F16" s="21">
        <v>0.22</v>
      </c>
      <c r="G16" s="14">
        <f t="shared" si="0"/>
        <v>0.19998327199732369</v>
      </c>
      <c r="H16" s="12">
        <f t="shared" si="1"/>
        <v>125.44262295081967</v>
      </c>
      <c r="I16" s="20">
        <v>153.04</v>
      </c>
      <c r="J16" s="8" t="s">
        <v>77</v>
      </c>
    </row>
    <row r="17" spans="1:10" ht="76.5" x14ac:dyDescent="0.2">
      <c r="A17" s="11">
        <v>8</v>
      </c>
      <c r="B17" s="11">
        <v>5038435</v>
      </c>
      <c r="C17" s="9" t="s">
        <v>70</v>
      </c>
      <c r="D17" s="12">
        <v>148.26</v>
      </c>
      <c r="E17" s="12">
        <v>163.08600000000001</v>
      </c>
      <c r="F17" s="13">
        <v>0.1</v>
      </c>
      <c r="G17" s="14">
        <f t="shared" si="0"/>
        <v>0.29485056963810508</v>
      </c>
      <c r="H17" s="12">
        <f t="shared" si="1"/>
        <v>104.54545454545453</v>
      </c>
      <c r="I17" s="12">
        <v>115</v>
      </c>
      <c r="J17" s="8" t="s">
        <v>77</v>
      </c>
    </row>
    <row r="18" spans="1:10" ht="76.5" x14ac:dyDescent="0.2">
      <c r="A18" s="11">
        <v>9</v>
      </c>
      <c r="B18" s="11">
        <v>5038459</v>
      </c>
      <c r="C18" s="9" t="s">
        <v>54</v>
      </c>
      <c r="D18" s="12">
        <v>148.26</v>
      </c>
      <c r="E18" s="12">
        <v>163.08600000000001</v>
      </c>
      <c r="F18" s="13">
        <v>0.1</v>
      </c>
      <c r="G18" s="14">
        <f t="shared" si="0"/>
        <v>0.29485056963810508</v>
      </c>
      <c r="H18" s="12">
        <f t="shared" si="1"/>
        <v>104.54545454545453</v>
      </c>
      <c r="I18" s="12">
        <v>115</v>
      </c>
      <c r="J18" s="8" t="s">
        <v>77</v>
      </c>
    </row>
    <row r="19" spans="1:10" ht="63.75" x14ac:dyDescent="0.2">
      <c r="A19" s="11">
        <v>10</v>
      </c>
      <c r="B19" s="11">
        <v>5038411</v>
      </c>
      <c r="C19" s="9" t="s">
        <v>55</v>
      </c>
      <c r="D19" s="12">
        <v>148.26</v>
      </c>
      <c r="E19" s="12">
        <v>163.08600000000001</v>
      </c>
      <c r="F19" s="13">
        <v>0.1</v>
      </c>
      <c r="G19" s="14">
        <f t="shared" si="0"/>
        <v>0.29485056963810508</v>
      </c>
      <c r="H19" s="12">
        <f t="shared" si="1"/>
        <v>104.54545454545453</v>
      </c>
      <c r="I19" s="12">
        <v>115</v>
      </c>
      <c r="J19" s="8" t="s">
        <v>77</v>
      </c>
    </row>
    <row r="20" spans="1:10" ht="76.5" x14ac:dyDescent="0.2">
      <c r="A20" s="11">
        <v>11</v>
      </c>
      <c r="B20" s="11">
        <v>5038398</v>
      </c>
      <c r="C20" s="9" t="s">
        <v>56</v>
      </c>
      <c r="D20" s="12">
        <v>148.26</v>
      </c>
      <c r="E20" s="12">
        <v>163.08600000000001</v>
      </c>
      <c r="F20" s="13">
        <v>0.1</v>
      </c>
      <c r="G20" s="14">
        <f>1-I20/E20</f>
        <v>0.29485056963810508</v>
      </c>
      <c r="H20" s="12">
        <f t="shared" si="1"/>
        <v>104.54545454545453</v>
      </c>
      <c r="I20" s="12">
        <v>115</v>
      </c>
      <c r="J20" s="8" t="s">
        <v>77</v>
      </c>
    </row>
    <row r="21" spans="1:10" ht="76.5" x14ac:dyDescent="0.2">
      <c r="A21" s="11">
        <v>12</v>
      </c>
      <c r="B21" s="11">
        <v>5038831</v>
      </c>
      <c r="C21" s="9" t="s">
        <v>71</v>
      </c>
      <c r="D21" s="12">
        <v>148.26</v>
      </c>
      <c r="E21" s="12">
        <v>163.08600000000001</v>
      </c>
      <c r="F21" s="13">
        <v>0.1</v>
      </c>
      <c r="G21" s="14">
        <f t="shared" ref="G21:G30" si="2">1-I21/E21</f>
        <v>0.29485056963810508</v>
      </c>
      <c r="H21" s="12">
        <f t="shared" si="1"/>
        <v>104.54545454545453</v>
      </c>
      <c r="I21" s="12">
        <v>115</v>
      </c>
      <c r="J21" s="8" t="s">
        <v>77</v>
      </c>
    </row>
    <row r="22" spans="1:10" ht="38.25" x14ac:dyDescent="0.2">
      <c r="A22" s="11">
        <v>13</v>
      </c>
      <c r="B22" s="11">
        <v>5038855</v>
      </c>
      <c r="C22" s="9" t="s">
        <v>11</v>
      </c>
      <c r="D22" s="12">
        <v>148.26</v>
      </c>
      <c r="E22" s="12">
        <v>163.08600000000001</v>
      </c>
      <c r="F22" s="13">
        <v>0.1</v>
      </c>
      <c r="G22" s="14">
        <f t="shared" si="2"/>
        <v>0.29485056963810508</v>
      </c>
      <c r="H22" s="12">
        <f t="shared" si="1"/>
        <v>104.54545454545453</v>
      </c>
      <c r="I22" s="12">
        <v>115</v>
      </c>
      <c r="J22" s="8" t="s">
        <v>77</v>
      </c>
    </row>
    <row r="23" spans="1:10" ht="51" x14ac:dyDescent="0.2">
      <c r="A23" s="11">
        <v>14</v>
      </c>
      <c r="B23" s="11">
        <v>5034819</v>
      </c>
      <c r="C23" s="10" t="s">
        <v>12</v>
      </c>
      <c r="D23" s="12">
        <v>176.4</v>
      </c>
      <c r="E23" s="12">
        <v>194.04000000000002</v>
      </c>
      <c r="F23" s="13">
        <v>0.1</v>
      </c>
      <c r="G23" s="14">
        <f t="shared" si="2"/>
        <v>0.22696351267779846</v>
      </c>
      <c r="H23" s="12">
        <f t="shared" si="1"/>
        <v>136.36363636363635</v>
      </c>
      <c r="I23" s="12">
        <v>150</v>
      </c>
      <c r="J23" s="8" t="s">
        <v>77</v>
      </c>
    </row>
    <row r="24" spans="1:10" ht="38.25" x14ac:dyDescent="0.2">
      <c r="A24" s="11">
        <v>15</v>
      </c>
      <c r="B24" s="11">
        <v>5039647</v>
      </c>
      <c r="C24" s="9" t="s">
        <v>72</v>
      </c>
      <c r="D24" s="12">
        <v>333.81818181818176</v>
      </c>
      <c r="E24" s="12">
        <v>367.2</v>
      </c>
      <c r="F24" s="13">
        <v>0.1</v>
      </c>
      <c r="G24" s="14">
        <f t="shared" si="2"/>
        <v>0.31917211328976036</v>
      </c>
      <c r="H24" s="12">
        <f t="shared" si="1"/>
        <v>227.27272727272725</v>
      </c>
      <c r="I24" s="12">
        <v>250</v>
      </c>
      <c r="J24" s="8" t="s">
        <v>77</v>
      </c>
    </row>
    <row r="25" spans="1:10" ht="63.75" x14ac:dyDescent="0.2">
      <c r="A25" s="11">
        <v>16</v>
      </c>
      <c r="B25" s="15">
        <v>2981244</v>
      </c>
      <c r="C25" s="9" t="s">
        <v>73</v>
      </c>
      <c r="D25" s="16">
        <v>1117.2</v>
      </c>
      <c r="E25" s="16">
        <v>1228.92</v>
      </c>
      <c r="F25" s="17">
        <v>0.1</v>
      </c>
      <c r="G25" s="14">
        <f t="shared" si="2"/>
        <v>9.2617908407382266E-2</v>
      </c>
      <c r="H25" s="12">
        <f t="shared" si="1"/>
        <v>1013.7272727272725</v>
      </c>
      <c r="I25" s="16">
        <v>1115.0999999999999</v>
      </c>
      <c r="J25" s="8" t="s">
        <v>77</v>
      </c>
    </row>
    <row r="26" spans="1:10" ht="63.75" x14ac:dyDescent="0.2">
      <c r="A26" s="11">
        <v>17</v>
      </c>
      <c r="B26" s="15">
        <v>8786928</v>
      </c>
      <c r="C26" s="10" t="s">
        <v>13</v>
      </c>
      <c r="D26" s="16">
        <v>859.95</v>
      </c>
      <c r="E26" s="16">
        <v>945.94500000000016</v>
      </c>
      <c r="F26" s="17">
        <v>0.1</v>
      </c>
      <c r="G26" s="14">
        <f t="shared" si="2"/>
        <v>0.20714206428492155</v>
      </c>
      <c r="H26" s="12">
        <f t="shared" si="1"/>
        <v>681.81818181818176</v>
      </c>
      <c r="I26" s="16">
        <v>750</v>
      </c>
      <c r="J26" s="8" t="s">
        <v>77</v>
      </c>
    </row>
    <row r="27" spans="1:10" ht="63.75" x14ac:dyDescent="0.2">
      <c r="A27" s="11">
        <v>18</v>
      </c>
      <c r="B27" s="15">
        <v>8783323</v>
      </c>
      <c r="C27" s="9" t="s">
        <v>74</v>
      </c>
      <c r="D27" s="18">
        <v>672</v>
      </c>
      <c r="E27" s="16">
        <v>739.2</v>
      </c>
      <c r="F27" s="17">
        <v>0.1</v>
      </c>
      <c r="G27" s="14">
        <f t="shared" si="2"/>
        <v>0.25595238095238104</v>
      </c>
      <c r="H27" s="12">
        <f t="shared" si="1"/>
        <v>499.99999999999994</v>
      </c>
      <c r="I27" s="16">
        <v>550</v>
      </c>
      <c r="J27" s="8" t="s">
        <v>78</v>
      </c>
    </row>
    <row r="28" spans="1:10" ht="89.25" x14ac:dyDescent="0.2">
      <c r="A28" s="11">
        <v>19</v>
      </c>
      <c r="B28" s="15">
        <v>8785242</v>
      </c>
      <c r="C28" s="9" t="s">
        <v>75</v>
      </c>
      <c r="D28" s="18">
        <v>672</v>
      </c>
      <c r="E28" s="16">
        <v>739.2</v>
      </c>
      <c r="F28" s="17">
        <v>0.1</v>
      </c>
      <c r="G28" s="14">
        <f t="shared" si="2"/>
        <v>0.20860389610389618</v>
      </c>
      <c r="H28" s="12">
        <f t="shared" si="1"/>
        <v>531.81818181818176</v>
      </c>
      <c r="I28" s="16">
        <v>585</v>
      </c>
      <c r="J28" s="8" t="s">
        <v>77</v>
      </c>
    </row>
    <row r="29" spans="1:10" ht="76.5" x14ac:dyDescent="0.2">
      <c r="A29" s="11">
        <v>20</v>
      </c>
      <c r="B29" s="15">
        <v>8785259</v>
      </c>
      <c r="C29" s="9" t="s">
        <v>58</v>
      </c>
      <c r="D29" s="18">
        <v>672</v>
      </c>
      <c r="E29" s="16">
        <v>739.2</v>
      </c>
      <c r="F29" s="17">
        <v>0.1</v>
      </c>
      <c r="G29" s="14">
        <f t="shared" si="2"/>
        <v>0.20860389610389618</v>
      </c>
      <c r="H29" s="12">
        <f t="shared" si="1"/>
        <v>531.81818181818176</v>
      </c>
      <c r="I29" s="16">
        <v>585</v>
      </c>
      <c r="J29" s="8" t="s">
        <v>77</v>
      </c>
    </row>
    <row r="30" spans="1:10" ht="89.25" x14ac:dyDescent="0.2">
      <c r="A30" s="11">
        <v>21</v>
      </c>
      <c r="B30" s="15">
        <v>8785198</v>
      </c>
      <c r="C30" s="9" t="s">
        <v>57</v>
      </c>
      <c r="D30" s="18">
        <v>672</v>
      </c>
      <c r="E30" s="16">
        <v>739.2</v>
      </c>
      <c r="F30" s="17">
        <v>0.1</v>
      </c>
      <c r="G30" s="14">
        <f t="shared" si="2"/>
        <v>0.20860389610389618</v>
      </c>
      <c r="H30" s="12">
        <f t="shared" si="1"/>
        <v>531.81818181818176</v>
      </c>
      <c r="I30" s="16">
        <v>585</v>
      </c>
      <c r="J30" s="8" t="s">
        <v>77</v>
      </c>
    </row>
    <row r="31" spans="1:10" ht="114.75" x14ac:dyDescent="0.2">
      <c r="A31" s="11">
        <v>22</v>
      </c>
      <c r="B31" s="15">
        <v>8784931</v>
      </c>
      <c r="C31" s="10" t="s">
        <v>66</v>
      </c>
      <c r="D31" s="16">
        <v>672</v>
      </c>
      <c r="E31" s="16">
        <v>739.2</v>
      </c>
      <c r="F31" s="17">
        <v>0.1</v>
      </c>
      <c r="G31" s="14">
        <f>1-I31/E31</f>
        <v>0.20860389610389618</v>
      </c>
      <c r="H31" s="12">
        <f t="shared" si="1"/>
        <v>531.81818181818176</v>
      </c>
      <c r="I31" s="26">
        <v>585</v>
      </c>
      <c r="J31" s="8" t="s">
        <v>77</v>
      </c>
    </row>
    <row r="32" spans="1:10" ht="89.25" x14ac:dyDescent="0.2">
      <c r="A32" s="11">
        <v>23</v>
      </c>
      <c r="B32" s="15">
        <v>8785235</v>
      </c>
      <c r="C32" s="10" t="s">
        <v>69</v>
      </c>
      <c r="D32" s="16">
        <v>672</v>
      </c>
      <c r="E32" s="16">
        <v>739.2</v>
      </c>
      <c r="F32" s="17">
        <v>0.1</v>
      </c>
      <c r="G32" s="14">
        <f>1-I32/E32</f>
        <v>0.20860389610389618</v>
      </c>
      <c r="H32" s="12">
        <f t="shared" si="1"/>
        <v>531.81818181818176</v>
      </c>
      <c r="I32" s="26">
        <v>585</v>
      </c>
      <c r="J32" s="8" t="s">
        <v>77</v>
      </c>
    </row>
    <row r="33" spans="1:10" ht="38.25" x14ac:dyDescent="0.2">
      <c r="A33" s="11">
        <v>24</v>
      </c>
      <c r="B33" s="15">
        <v>9988681</v>
      </c>
      <c r="C33" s="10" t="s">
        <v>14</v>
      </c>
      <c r="D33" s="16">
        <v>110</v>
      </c>
      <c r="E33" s="16">
        <v>121.00000000000001</v>
      </c>
      <c r="F33" s="17">
        <v>0.1</v>
      </c>
      <c r="G33" s="17">
        <f>1-I33/E33</f>
        <v>6.3636363636363824E-2</v>
      </c>
      <c r="H33" s="12">
        <f t="shared" si="1"/>
        <v>102.99999999999999</v>
      </c>
      <c r="I33" s="16">
        <v>113.3</v>
      </c>
      <c r="J33" s="8" t="s">
        <v>77</v>
      </c>
    </row>
    <row r="34" spans="1:10" ht="38.25" x14ac:dyDescent="0.2">
      <c r="A34" s="11">
        <v>25</v>
      </c>
      <c r="B34" s="15">
        <v>9988438</v>
      </c>
      <c r="C34" s="23" t="s">
        <v>59</v>
      </c>
      <c r="D34" s="16">
        <v>110</v>
      </c>
      <c r="E34" s="16">
        <v>121.00000000000001</v>
      </c>
      <c r="F34" s="17">
        <v>0.1</v>
      </c>
      <c r="G34" s="17">
        <f t="shared" ref="G34:G53" si="3">1-I34/E34</f>
        <v>6.3636363636363824E-2</v>
      </c>
      <c r="H34" s="12">
        <f t="shared" si="1"/>
        <v>102.99999999999999</v>
      </c>
      <c r="I34" s="16">
        <v>113.3</v>
      </c>
      <c r="J34" s="8" t="s">
        <v>77</v>
      </c>
    </row>
    <row r="35" spans="1:10" ht="38.25" x14ac:dyDescent="0.2">
      <c r="A35" s="11">
        <v>26</v>
      </c>
      <c r="B35" s="15">
        <v>9988445</v>
      </c>
      <c r="C35" s="10" t="s">
        <v>15</v>
      </c>
      <c r="D35" s="16">
        <v>110</v>
      </c>
      <c r="E35" s="16">
        <v>121.00000000000001</v>
      </c>
      <c r="F35" s="17">
        <v>0.1</v>
      </c>
      <c r="G35" s="17">
        <f t="shared" si="3"/>
        <v>6.3636363636363824E-2</v>
      </c>
      <c r="H35" s="12">
        <f t="shared" si="1"/>
        <v>102.99999999999999</v>
      </c>
      <c r="I35" s="16">
        <v>113.3</v>
      </c>
      <c r="J35" s="8" t="s">
        <v>77</v>
      </c>
    </row>
    <row r="36" spans="1:10" ht="38.25" x14ac:dyDescent="0.2">
      <c r="A36" s="11">
        <v>27</v>
      </c>
      <c r="B36" s="15">
        <v>9988674</v>
      </c>
      <c r="C36" s="10" t="s">
        <v>16</v>
      </c>
      <c r="D36" s="16">
        <v>115.50000000000001</v>
      </c>
      <c r="E36" s="16">
        <v>127.05000000000003</v>
      </c>
      <c r="F36" s="17">
        <v>0.1</v>
      </c>
      <c r="G36" s="17">
        <f t="shared" si="3"/>
        <v>9.090909090909105E-2</v>
      </c>
      <c r="H36" s="12">
        <f t="shared" si="1"/>
        <v>104.99999999999999</v>
      </c>
      <c r="I36" s="16">
        <v>115.5</v>
      </c>
      <c r="J36" s="8" t="s">
        <v>77</v>
      </c>
    </row>
    <row r="37" spans="1:10" ht="38.25" x14ac:dyDescent="0.2">
      <c r="A37" s="11">
        <v>28</v>
      </c>
      <c r="B37" s="11">
        <v>9988452</v>
      </c>
      <c r="C37" s="10" t="s">
        <v>17</v>
      </c>
      <c r="D37" s="12">
        <v>227.27272727272725</v>
      </c>
      <c r="E37" s="12">
        <v>250</v>
      </c>
      <c r="F37" s="13">
        <v>0.1</v>
      </c>
      <c r="G37" s="17">
        <f t="shared" si="3"/>
        <v>0.22559999999999991</v>
      </c>
      <c r="H37" s="12">
        <f t="shared" si="1"/>
        <v>176</v>
      </c>
      <c r="I37" s="12">
        <v>193.60000000000002</v>
      </c>
      <c r="J37" s="8" t="s">
        <v>77</v>
      </c>
    </row>
    <row r="38" spans="1:10" ht="38.25" x14ac:dyDescent="0.2">
      <c r="A38" s="11">
        <v>29</v>
      </c>
      <c r="B38" s="11">
        <v>9988377</v>
      </c>
      <c r="C38" s="10" t="s">
        <v>18</v>
      </c>
      <c r="D38" s="12">
        <v>92.72727272727272</v>
      </c>
      <c r="E38" s="12">
        <v>102</v>
      </c>
      <c r="F38" s="13">
        <v>0.1</v>
      </c>
      <c r="G38" s="17">
        <f t="shared" si="3"/>
        <v>7.6862745098039253E-2</v>
      </c>
      <c r="H38" s="12">
        <f t="shared" si="1"/>
        <v>85.6</v>
      </c>
      <c r="I38" s="12">
        <v>94.16</v>
      </c>
      <c r="J38" s="8" t="s">
        <v>77</v>
      </c>
    </row>
    <row r="39" spans="1:10" ht="38.25" x14ac:dyDescent="0.2">
      <c r="A39" s="11">
        <v>30</v>
      </c>
      <c r="B39" s="11">
        <v>9988391</v>
      </c>
      <c r="C39" s="10" t="s">
        <v>19</v>
      </c>
      <c r="D39" s="12">
        <v>92.72727272727272</v>
      </c>
      <c r="E39" s="12">
        <v>102</v>
      </c>
      <c r="F39" s="13">
        <v>0.1</v>
      </c>
      <c r="G39" s="17">
        <f t="shared" si="3"/>
        <v>7.6862745098039253E-2</v>
      </c>
      <c r="H39" s="12">
        <f t="shared" si="1"/>
        <v>85.6</v>
      </c>
      <c r="I39" s="12">
        <v>94.16</v>
      </c>
      <c r="J39" s="8" t="s">
        <v>77</v>
      </c>
    </row>
    <row r="40" spans="1:10" ht="51" x14ac:dyDescent="0.2">
      <c r="A40" s="11">
        <v>31</v>
      </c>
      <c r="B40" s="11">
        <v>9988421</v>
      </c>
      <c r="C40" s="22" t="s">
        <v>60</v>
      </c>
      <c r="D40" s="12">
        <v>92.72727272727272</v>
      </c>
      <c r="E40" s="12">
        <v>102</v>
      </c>
      <c r="F40" s="13">
        <v>0.1</v>
      </c>
      <c r="G40" s="17">
        <f t="shared" si="3"/>
        <v>7.6862745098039253E-2</v>
      </c>
      <c r="H40" s="12">
        <f t="shared" si="1"/>
        <v>85.6</v>
      </c>
      <c r="I40" s="12">
        <v>94.16</v>
      </c>
      <c r="J40" s="8" t="s">
        <v>77</v>
      </c>
    </row>
    <row r="41" spans="1:10" ht="25.5" x14ac:dyDescent="0.2">
      <c r="A41" s="11">
        <v>32</v>
      </c>
      <c r="B41" s="11">
        <v>8444170</v>
      </c>
      <c r="C41" s="10" t="s">
        <v>20</v>
      </c>
      <c r="D41" s="12">
        <v>123.4990909090909</v>
      </c>
      <c r="E41" s="12">
        <v>135.84899999999999</v>
      </c>
      <c r="F41" s="13">
        <v>0.1</v>
      </c>
      <c r="G41" s="17">
        <f t="shared" si="3"/>
        <v>0.12218713424463923</v>
      </c>
      <c r="H41" s="12">
        <f t="shared" si="1"/>
        <v>108.40909090909091</v>
      </c>
      <c r="I41" s="12">
        <v>119.25</v>
      </c>
      <c r="J41" s="8" t="s">
        <v>77</v>
      </c>
    </row>
    <row r="42" spans="1:10" ht="38.25" x14ac:dyDescent="0.2">
      <c r="A42" s="11">
        <v>33</v>
      </c>
      <c r="B42" s="11">
        <v>8444163</v>
      </c>
      <c r="C42" s="9" t="s">
        <v>61</v>
      </c>
      <c r="D42" s="12">
        <v>123.4990909090909</v>
      </c>
      <c r="E42" s="12">
        <v>135.84899999999999</v>
      </c>
      <c r="F42" s="13">
        <v>0.1</v>
      </c>
      <c r="G42" s="17">
        <f t="shared" si="3"/>
        <v>8.1848228547872881E-2</v>
      </c>
      <c r="H42" s="12">
        <f t="shared" si="1"/>
        <v>113.39090909090909</v>
      </c>
      <c r="I42" s="12">
        <v>124.73</v>
      </c>
      <c r="J42" s="8" t="s">
        <v>77</v>
      </c>
    </row>
    <row r="43" spans="1:10" ht="25.5" x14ac:dyDescent="0.2">
      <c r="A43" s="11">
        <v>34</v>
      </c>
      <c r="B43" s="11">
        <v>8444194</v>
      </c>
      <c r="C43" s="10" t="s">
        <v>22</v>
      </c>
      <c r="D43" s="12">
        <v>123.4990909090909</v>
      </c>
      <c r="E43" s="12">
        <v>135.84899999999999</v>
      </c>
      <c r="F43" s="13">
        <v>0.1</v>
      </c>
      <c r="G43" s="17">
        <f t="shared" si="3"/>
        <v>3.1277374143350301E-2</v>
      </c>
      <c r="H43" s="12">
        <f t="shared" si="1"/>
        <v>119.63636363636363</v>
      </c>
      <c r="I43" s="12">
        <v>131.6</v>
      </c>
      <c r="J43" s="8" t="s">
        <v>77</v>
      </c>
    </row>
    <row r="44" spans="1:10" ht="25.5" x14ac:dyDescent="0.2">
      <c r="A44" s="11">
        <v>35</v>
      </c>
      <c r="B44" s="11">
        <v>8444187</v>
      </c>
      <c r="C44" s="10" t="s">
        <v>21</v>
      </c>
      <c r="D44" s="12">
        <v>123.4990909090909</v>
      </c>
      <c r="E44" s="12">
        <v>135.84899999999999</v>
      </c>
      <c r="F44" s="13">
        <v>0.1</v>
      </c>
      <c r="G44" s="17">
        <f t="shared" si="3"/>
        <v>8.206906197322017E-2</v>
      </c>
      <c r="H44" s="12">
        <f t="shared" si="1"/>
        <v>113.36363636363636</v>
      </c>
      <c r="I44" s="12">
        <v>124.7</v>
      </c>
      <c r="J44" s="8" t="s">
        <v>77</v>
      </c>
    </row>
    <row r="45" spans="1:10" ht="25.5" x14ac:dyDescent="0.2">
      <c r="A45" s="11">
        <v>36</v>
      </c>
      <c r="B45" s="11">
        <v>8444903</v>
      </c>
      <c r="C45" s="10" t="s">
        <v>23</v>
      </c>
      <c r="D45" s="12">
        <v>123.4990909090909</v>
      </c>
      <c r="E45" s="12">
        <v>135.84899999999999</v>
      </c>
      <c r="F45" s="13">
        <v>0.1</v>
      </c>
      <c r="G45" s="17">
        <f t="shared" si="3"/>
        <v>0.12218713424463923</v>
      </c>
      <c r="H45" s="12">
        <f t="shared" si="1"/>
        <v>108.40909090909091</v>
      </c>
      <c r="I45" s="12">
        <v>119.25</v>
      </c>
      <c r="J45" s="8" t="s">
        <v>77</v>
      </c>
    </row>
    <row r="46" spans="1:10" ht="25.5" x14ac:dyDescent="0.2">
      <c r="A46" s="11">
        <v>37</v>
      </c>
      <c r="B46" s="11">
        <v>8444910</v>
      </c>
      <c r="C46" s="10" t="s">
        <v>24</v>
      </c>
      <c r="D46" s="12">
        <v>123.4990909090909</v>
      </c>
      <c r="E46" s="12">
        <v>135.84899999999999</v>
      </c>
      <c r="F46" s="13">
        <v>0.1</v>
      </c>
      <c r="G46" s="17">
        <f t="shared" si="3"/>
        <v>8.1848228547872881E-2</v>
      </c>
      <c r="H46" s="12">
        <f t="shared" si="1"/>
        <v>113.39090909090909</v>
      </c>
      <c r="I46" s="12">
        <v>124.73</v>
      </c>
      <c r="J46" s="8" t="s">
        <v>77</v>
      </c>
    </row>
    <row r="47" spans="1:10" ht="25.5" x14ac:dyDescent="0.2">
      <c r="A47" s="11">
        <v>38</v>
      </c>
      <c r="B47" s="11">
        <v>8444927</v>
      </c>
      <c r="C47" s="10" t="s">
        <v>25</v>
      </c>
      <c r="D47" s="12">
        <v>123.4990909090909</v>
      </c>
      <c r="E47" s="12">
        <v>135.84899999999999</v>
      </c>
      <c r="F47" s="13">
        <v>0.1</v>
      </c>
      <c r="G47" s="17">
        <f t="shared" si="3"/>
        <v>9.5319067494055831E-2</v>
      </c>
      <c r="H47" s="12">
        <f t="shared" si="1"/>
        <v>111.72727272727272</v>
      </c>
      <c r="I47" s="12">
        <v>122.9</v>
      </c>
      <c r="J47" s="8" t="s">
        <v>77</v>
      </c>
    </row>
    <row r="48" spans="1:10" ht="25.5" x14ac:dyDescent="0.2">
      <c r="A48" s="11">
        <v>39</v>
      </c>
      <c r="B48" s="11">
        <v>8445160</v>
      </c>
      <c r="C48" s="10" t="s">
        <v>26</v>
      </c>
      <c r="D48" s="12">
        <v>144.36363636363637</v>
      </c>
      <c r="E48" s="12">
        <v>158.80000000000001</v>
      </c>
      <c r="F48" s="13">
        <v>0.1</v>
      </c>
      <c r="G48" s="17">
        <f t="shared" si="3"/>
        <v>0.14773299748110835</v>
      </c>
      <c r="H48" s="12">
        <f t="shared" si="1"/>
        <v>123.03636363636363</v>
      </c>
      <c r="I48" s="12">
        <v>135.34</v>
      </c>
      <c r="J48" s="8" t="s">
        <v>77</v>
      </c>
    </row>
    <row r="49" spans="1:10" ht="38.25" x14ac:dyDescent="0.2">
      <c r="A49" s="11">
        <v>40</v>
      </c>
      <c r="B49" s="11">
        <v>8445177</v>
      </c>
      <c r="C49" s="9" t="s">
        <v>62</v>
      </c>
      <c r="D49" s="12">
        <v>144.36363636363637</v>
      </c>
      <c r="E49" s="12">
        <v>158.80000000000001</v>
      </c>
      <c r="F49" s="13">
        <v>0.1</v>
      </c>
      <c r="G49" s="17">
        <f t="shared" si="3"/>
        <v>0.1035264483627204</v>
      </c>
      <c r="H49" s="12">
        <f t="shared" si="1"/>
        <v>129.41818181818181</v>
      </c>
      <c r="I49" s="12">
        <v>142.36000000000001</v>
      </c>
      <c r="J49" s="8" t="s">
        <v>77</v>
      </c>
    </row>
    <row r="50" spans="1:10" ht="38.25" x14ac:dyDescent="0.2">
      <c r="A50" s="11">
        <v>41</v>
      </c>
      <c r="B50" s="6" t="s">
        <v>31</v>
      </c>
      <c r="C50" s="22" t="s">
        <v>48</v>
      </c>
      <c r="D50" s="12">
        <v>104.07499999999999</v>
      </c>
      <c r="E50" s="12">
        <v>126.97149999999999</v>
      </c>
      <c r="F50" s="13">
        <v>0.22</v>
      </c>
      <c r="G50" s="17">
        <f t="shared" si="3"/>
        <v>0.2518006009222542</v>
      </c>
      <c r="H50" s="12">
        <f t="shared" si="1"/>
        <v>77.868852459016395</v>
      </c>
      <c r="I50" s="12">
        <v>95</v>
      </c>
      <c r="J50" s="8" t="s">
        <v>77</v>
      </c>
    </row>
    <row r="51" spans="1:10" ht="25.5" x14ac:dyDescent="0.2">
      <c r="A51" s="11">
        <v>42</v>
      </c>
      <c r="B51" s="6" t="s">
        <v>67</v>
      </c>
      <c r="C51" s="27" t="s">
        <v>68</v>
      </c>
      <c r="D51" s="28">
        <v>104.075</v>
      </c>
      <c r="E51" s="28">
        <v>126.97149999999999</v>
      </c>
      <c r="F51" s="29">
        <v>0.22</v>
      </c>
      <c r="G51" s="30">
        <v>0.13</v>
      </c>
      <c r="H51" s="12">
        <f t="shared" si="1"/>
        <v>77.868852459016395</v>
      </c>
      <c r="I51" s="31">
        <v>95</v>
      </c>
      <c r="J51" s="8" t="s">
        <v>77</v>
      </c>
    </row>
    <row r="52" spans="1:10" ht="38.25" x14ac:dyDescent="0.2">
      <c r="A52" s="11">
        <v>43</v>
      </c>
      <c r="B52" s="6" t="s">
        <v>32</v>
      </c>
      <c r="C52" s="10" t="s">
        <v>33</v>
      </c>
      <c r="D52" s="12">
        <v>492.66188524590154</v>
      </c>
      <c r="E52" s="12">
        <v>601.0474999999999</v>
      </c>
      <c r="F52" s="13">
        <v>0.22</v>
      </c>
      <c r="G52" s="17">
        <f t="shared" si="3"/>
        <v>0.28458233334303851</v>
      </c>
      <c r="H52" s="12">
        <f t="shared" si="1"/>
        <v>352.45901639344265</v>
      </c>
      <c r="I52" s="12">
        <v>430</v>
      </c>
      <c r="J52" s="8" t="s">
        <v>77</v>
      </c>
    </row>
    <row r="53" spans="1:10" ht="38.25" x14ac:dyDescent="0.2">
      <c r="A53" s="11">
        <v>44</v>
      </c>
      <c r="B53" s="6" t="s">
        <v>34</v>
      </c>
      <c r="C53" s="10" t="s">
        <v>35</v>
      </c>
      <c r="D53" s="12">
        <v>492.66188524590154</v>
      </c>
      <c r="E53" s="12">
        <v>601.0474999999999</v>
      </c>
      <c r="F53" s="13">
        <v>0.22</v>
      </c>
      <c r="G53" s="17">
        <f t="shared" si="3"/>
        <v>0.28458233334303851</v>
      </c>
      <c r="H53" s="12">
        <f t="shared" si="1"/>
        <v>352.45901639344265</v>
      </c>
      <c r="I53" s="12">
        <v>430</v>
      </c>
      <c r="J53" s="8" t="s">
        <v>77</v>
      </c>
    </row>
    <row r="54" spans="1:10" ht="38.25" x14ac:dyDescent="0.2">
      <c r="A54" s="11">
        <v>45</v>
      </c>
      <c r="B54" s="11">
        <v>7100108</v>
      </c>
      <c r="C54" s="10" t="s">
        <v>27</v>
      </c>
      <c r="D54" s="12">
        <v>99.550000000000011</v>
      </c>
      <c r="E54" s="12">
        <v>121.45100000000001</v>
      </c>
      <c r="F54" s="13">
        <v>0.22</v>
      </c>
      <c r="G54" s="14">
        <f>1-I54/E54</f>
        <v>0.1025187112498045</v>
      </c>
      <c r="H54" s="12">
        <f t="shared" si="1"/>
        <v>89.344262295081975</v>
      </c>
      <c r="I54" s="12">
        <v>109</v>
      </c>
      <c r="J54" s="8" t="s">
        <v>77</v>
      </c>
    </row>
    <row r="55" spans="1:10" ht="38.25" x14ac:dyDescent="0.2">
      <c r="A55" s="11">
        <v>46</v>
      </c>
      <c r="B55" s="11">
        <v>7100139</v>
      </c>
      <c r="C55" s="10" t="s">
        <v>28</v>
      </c>
      <c r="D55" s="12">
        <v>453.78899999999999</v>
      </c>
      <c r="E55" s="12">
        <v>553.62257999999997</v>
      </c>
      <c r="F55" s="13">
        <v>0.22</v>
      </c>
      <c r="G55" s="14">
        <f t="shared" ref="G55:G61" si="4">1-I55/E55</f>
        <v>0.11284326589424876</v>
      </c>
      <c r="H55" s="12">
        <f t="shared" si="1"/>
        <v>402.58196721311475</v>
      </c>
      <c r="I55" s="12">
        <v>491.15</v>
      </c>
      <c r="J55" s="8" t="s">
        <v>77</v>
      </c>
    </row>
    <row r="56" spans="1:10" ht="38.25" x14ac:dyDescent="0.2">
      <c r="A56" s="11">
        <v>47</v>
      </c>
      <c r="B56" s="11">
        <v>7100740</v>
      </c>
      <c r="C56" s="10" t="s">
        <v>29</v>
      </c>
      <c r="D56" s="12">
        <v>99.550000000000011</v>
      </c>
      <c r="E56" s="12">
        <v>121.45100000000001</v>
      </c>
      <c r="F56" s="13">
        <v>0.22</v>
      </c>
      <c r="G56" s="14">
        <f t="shared" si="4"/>
        <v>0.1025187112498045</v>
      </c>
      <c r="H56" s="12">
        <f t="shared" si="1"/>
        <v>89.344262295081975</v>
      </c>
      <c r="I56" s="12">
        <v>109</v>
      </c>
      <c r="J56" s="8" t="s">
        <v>77</v>
      </c>
    </row>
    <row r="57" spans="1:10" ht="38.25" x14ac:dyDescent="0.2">
      <c r="A57" s="11">
        <v>48</v>
      </c>
      <c r="B57" s="11">
        <v>7100726</v>
      </c>
      <c r="C57" s="10" t="s">
        <v>30</v>
      </c>
      <c r="D57" s="12">
        <v>453.78899999999999</v>
      </c>
      <c r="E57" s="12">
        <v>553.62257999999997</v>
      </c>
      <c r="F57" s="13">
        <v>0.22</v>
      </c>
      <c r="G57" s="14">
        <f t="shared" si="4"/>
        <v>0.11284326589424876</v>
      </c>
      <c r="H57" s="12">
        <f t="shared" si="1"/>
        <v>402.58196721311475</v>
      </c>
      <c r="I57" s="12">
        <v>491.15</v>
      </c>
      <c r="J57" s="8" t="s">
        <v>77</v>
      </c>
    </row>
    <row r="58" spans="1:10" ht="38.25" x14ac:dyDescent="0.2">
      <c r="A58" s="11">
        <v>49</v>
      </c>
      <c r="B58" s="11">
        <v>9988476</v>
      </c>
      <c r="C58" s="10" t="s">
        <v>36</v>
      </c>
      <c r="D58" s="12">
        <v>84.333333333333343</v>
      </c>
      <c r="E58" s="12">
        <v>102.88666666666667</v>
      </c>
      <c r="F58" s="13">
        <v>0.22</v>
      </c>
      <c r="G58" s="14">
        <f t="shared" si="4"/>
        <v>4.7495626255426693E-2</v>
      </c>
      <c r="H58" s="12">
        <f t="shared" si="1"/>
        <v>80.327868852459019</v>
      </c>
      <c r="I58" s="12">
        <v>98</v>
      </c>
      <c r="J58" s="8" t="s">
        <v>77</v>
      </c>
    </row>
    <row r="59" spans="1:10" ht="38.25" x14ac:dyDescent="0.2">
      <c r="A59" s="11">
        <v>50</v>
      </c>
      <c r="B59" s="11">
        <v>4421584</v>
      </c>
      <c r="C59" s="10" t="s">
        <v>37</v>
      </c>
      <c r="D59" s="12">
        <v>67.532786885245898</v>
      </c>
      <c r="E59" s="12">
        <v>82.39</v>
      </c>
      <c r="F59" s="13">
        <v>0.22</v>
      </c>
      <c r="G59" s="14">
        <f t="shared" si="4"/>
        <v>0.24748149047214474</v>
      </c>
      <c r="H59" s="12">
        <f t="shared" si="1"/>
        <v>50.819672131147541</v>
      </c>
      <c r="I59" s="12">
        <v>62</v>
      </c>
      <c r="J59" s="8" t="s">
        <v>77</v>
      </c>
    </row>
    <row r="60" spans="1:10" ht="38.25" x14ac:dyDescent="0.2">
      <c r="A60" s="11">
        <v>51</v>
      </c>
      <c r="B60" s="11">
        <v>4421577</v>
      </c>
      <c r="C60" s="10" t="s">
        <v>38</v>
      </c>
      <c r="D60" s="12">
        <v>74.549180327868854</v>
      </c>
      <c r="E60" s="12">
        <v>90.95</v>
      </c>
      <c r="F60" s="13">
        <v>0.22</v>
      </c>
      <c r="G60" s="14">
        <f t="shared" si="4"/>
        <v>0.24134139637163277</v>
      </c>
      <c r="H60" s="12">
        <f t="shared" si="1"/>
        <v>56.557377049180332</v>
      </c>
      <c r="I60" s="12">
        <v>69</v>
      </c>
      <c r="J60" s="8" t="s">
        <v>77</v>
      </c>
    </row>
    <row r="61" spans="1:10" ht="38.25" x14ac:dyDescent="0.2">
      <c r="A61" s="11">
        <v>52</v>
      </c>
      <c r="B61" s="11">
        <v>9985949</v>
      </c>
      <c r="C61" s="10" t="s">
        <v>39</v>
      </c>
      <c r="D61" s="12">
        <v>432.18</v>
      </c>
      <c r="E61" s="12">
        <v>527.25959999999998</v>
      </c>
      <c r="F61" s="13">
        <v>0.22</v>
      </c>
      <c r="G61" s="14">
        <f t="shared" si="4"/>
        <v>0.14653047568977406</v>
      </c>
      <c r="H61" s="12">
        <f t="shared" si="1"/>
        <v>368.85245901639342</v>
      </c>
      <c r="I61" s="12">
        <v>450</v>
      </c>
      <c r="J61" s="8" t="s">
        <v>77</v>
      </c>
    </row>
    <row r="62" spans="1:10" ht="41.25" customHeight="1" x14ac:dyDescent="0.2"/>
    <row r="63" spans="1:10" ht="41.25" customHeight="1" x14ac:dyDescent="0.2">
      <c r="A63" s="42" t="s">
        <v>65</v>
      </c>
      <c r="B63" s="42"/>
      <c r="C63" s="42"/>
      <c r="D63" s="42"/>
      <c r="E63" s="42"/>
      <c r="F63" s="42"/>
      <c r="G63" s="42"/>
      <c r="H63" s="42"/>
      <c r="I63" s="42"/>
      <c r="J63" s="42"/>
    </row>
    <row r="64" spans="1:10" ht="12.75" customHeight="1" x14ac:dyDescent="0.2">
      <c r="A64" s="36" t="s">
        <v>42</v>
      </c>
      <c r="B64" s="37"/>
      <c r="C64" s="37"/>
      <c r="D64" s="38"/>
      <c r="E64" s="50" t="s">
        <v>46</v>
      </c>
      <c r="F64" s="50"/>
      <c r="G64" s="50"/>
      <c r="H64" s="50"/>
      <c r="I64" s="50"/>
      <c r="J64" s="51"/>
    </row>
    <row r="65" spans="1:10" ht="15.75" customHeight="1" x14ac:dyDescent="0.2">
      <c r="A65" s="39" t="s">
        <v>43</v>
      </c>
      <c r="B65" s="32"/>
      <c r="C65" s="32"/>
      <c r="D65" s="33"/>
      <c r="E65" s="52" t="s">
        <v>79</v>
      </c>
      <c r="F65" s="52"/>
      <c r="G65" s="52"/>
      <c r="H65" s="52"/>
      <c r="I65" s="52"/>
      <c r="J65" s="58"/>
    </row>
    <row r="66" spans="1:10" ht="29.25" customHeight="1" x14ac:dyDescent="0.2">
      <c r="A66" s="46"/>
      <c r="B66" s="47"/>
      <c r="C66" s="48"/>
      <c r="D66" s="24" t="s">
        <v>45</v>
      </c>
      <c r="E66" s="32"/>
      <c r="F66" s="32"/>
      <c r="G66" s="32"/>
      <c r="H66" s="33"/>
      <c r="I66" s="49" t="s">
        <v>80</v>
      </c>
      <c r="J66" s="58"/>
    </row>
    <row r="67" spans="1:10" ht="12.75" customHeight="1" x14ac:dyDescent="0.2">
      <c r="A67" s="43" t="s">
        <v>41</v>
      </c>
      <c r="B67" s="44"/>
      <c r="C67" s="45"/>
      <c r="D67" s="25" t="s">
        <v>44</v>
      </c>
      <c r="E67" s="34" t="s">
        <v>47</v>
      </c>
      <c r="F67" s="34"/>
      <c r="G67" s="34"/>
      <c r="H67" s="35"/>
      <c r="I67" s="39" t="s">
        <v>44</v>
      </c>
      <c r="J67" s="33"/>
    </row>
  </sheetData>
  <mergeCells count="17">
    <mergeCell ref="I1:J1"/>
    <mergeCell ref="I6:J6"/>
    <mergeCell ref="A5:J5"/>
    <mergeCell ref="F2:J2"/>
    <mergeCell ref="H3:J3"/>
    <mergeCell ref="E66:H66"/>
    <mergeCell ref="E67:H67"/>
    <mergeCell ref="A64:D64"/>
    <mergeCell ref="A65:D65"/>
    <mergeCell ref="A7:J7"/>
    <mergeCell ref="A63:J63"/>
    <mergeCell ref="A67:C67"/>
    <mergeCell ref="I67:J67"/>
    <mergeCell ref="A66:C66"/>
    <mergeCell ref="I66:J66"/>
    <mergeCell ref="E64:J64"/>
    <mergeCell ref="E65:J65"/>
  </mergeCells>
  <phoneticPr fontId="3" type="noConversion"/>
  <pageMargins left="0.15748031496062992" right="3.937007874015748E-2" top="0.31496062992125984" bottom="0.669291338582677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Кузнецова Валерия</cp:lastModifiedBy>
  <cp:lastPrinted>2026-05-28T06:28:28Z</cp:lastPrinted>
  <dcterms:created xsi:type="dcterms:W3CDTF">2026-05-06T11:13:30Z</dcterms:created>
  <dcterms:modified xsi:type="dcterms:W3CDTF">2026-06-18T06:46:55Z</dcterms:modified>
</cp:coreProperties>
</file>