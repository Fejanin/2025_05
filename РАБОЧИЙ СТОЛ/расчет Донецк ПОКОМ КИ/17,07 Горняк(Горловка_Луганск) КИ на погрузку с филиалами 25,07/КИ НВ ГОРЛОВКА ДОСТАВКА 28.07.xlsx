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172.16.29.245\отдел логистики\Мельников А.В\Стародворье\НОВОЕ ВРЕМЯ\76-28.07.26_Г+Л\"/>
    </mc:Choice>
  </mc:AlternateContent>
  <xr:revisionPtr revIDLastSave="0" documentId="8_{1E410C06-6D5C-46A5-A5D0-849D4E0702EC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BN475" i="2" s="1"/>
  <c r="P475" i="2"/>
  <c r="X473" i="2"/>
  <c r="X472" i="2"/>
  <c r="BO471" i="2"/>
  <c r="BM471" i="2"/>
  <c r="Y471" i="2"/>
  <c r="Y473" i="2" s="1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BN438" i="2" s="1"/>
  <c r="P438" i="2"/>
  <c r="BO437" i="2"/>
  <c r="BM437" i="2"/>
  <c r="Y437" i="2"/>
  <c r="BN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BN415" i="2" s="1"/>
  <c r="P415" i="2"/>
  <c r="BO414" i="2"/>
  <c r="BM414" i="2"/>
  <c r="Y414" i="2"/>
  <c r="BP414" i="2" s="1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BP399" i="2" s="1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BP375" i="2" s="1"/>
  <c r="P375" i="2"/>
  <c r="X372" i="2"/>
  <c r="X371" i="2"/>
  <c r="BO370" i="2"/>
  <c r="BM370" i="2"/>
  <c r="Y370" i="2"/>
  <c r="Y372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BP356" i="2" s="1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BP350" i="2" s="1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BN331" i="2" s="1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BP315" i="2" s="1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BN299" i="2" s="1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BN291" i="2" s="1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BN280" i="2" s="1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BP264" i="2" s="1"/>
  <c r="P264" i="2"/>
  <c r="BO263" i="2"/>
  <c r="BM263" i="2"/>
  <c r="Y263" i="2"/>
  <c r="P263" i="2"/>
  <c r="BO262" i="2"/>
  <c r="BM262" i="2"/>
  <c r="Y262" i="2"/>
  <c r="BP262" i="2" s="1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BP253" i="2" s="1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Z236" i="2" s="1"/>
  <c r="P236" i="2"/>
  <c r="BO235" i="2"/>
  <c r="BM235" i="2"/>
  <c r="Y235" i="2"/>
  <c r="BP235" i="2" s="1"/>
  <c r="P235" i="2"/>
  <c r="X232" i="2"/>
  <c r="X231" i="2"/>
  <c r="BO230" i="2"/>
  <c r="BM230" i="2"/>
  <c r="Y230" i="2"/>
  <c r="BN230" i="2" s="1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N218" i="2" s="1"/>
  <c r="P218" i="2"/>
  <c r="BO217" i="2"/>
  <c r="BM217" i="2"/>
  <c r="Y217" i="2"/>
  <c r="BN217" i="2" s="1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BN206" i="2" s="1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Y193" i="2" s="1"/>
  <c r="P191" i="2"/>
  <c r="X189" i="2"/>
  <c r="X188" i="2"/>
  <c r="BO187" i="2"/>
  <c r="BM187" i="2"/>
  <c r="Y187" i="2"/>
  <c r="BP187" i="2" s="1"/>
  <c r="P187" i="2"/>
  <c r="BO186" i="2"/>
  <c r="BM186" i="2"/>
  <c r="Y186" i="2"/>
  <c r="P186" i="2"/>
  <c r="BO185" i="2"/>
  <c r="BM185" i="2"/>
  <c r="Y185" i="2"/>
  <c r="BP185" i="2" s="1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P176" i="2" s="1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X147" i="2"/>
  <c r="X146" i="2"/>
  <c r="BO145" i="2"/>
  <c r="BM145" i="2"/>
  <c r="Y145" i="2"/>
  <c r="BP145" i="2" s="1"/>
  <c r="P145" i="2"/>
  <c r="BO144" i="2"/>
  <c r="BM144" i="2"/>
  <c r="Y144" i="2"/>
  <c r="Y147" i="2" s="1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1" i="2"/>
  <c r="X130" i="2"/>
  <c r="BO129" i="2"/>
  <c r="BM129" i="2"/>
  <c r="Y129" i="2"/>
  <c r="BN129" i="2" s="1"/>
  <c r="P129" i="2"/>
  <c r="BO128" i="2"/>
  <c r="BM128" i="2"/>
  <c r="Y128" i="2"/>
  <c r="BP128" i="2" s="1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BN96" i="2" s="1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BP80" i="2" s="1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P62" i="2"/>
  <c r="X60" i="2"/>
  <c r="X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N55" i="2" s="1"/>
  <c r="P55" i="2"/>
  <c r="BO54" i="2"/>
  <c r="BM54" i="2"/>
  <c r="Y54" i="2"/>
  <c r="BP54" i="2" s="1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X46" i="2"/>
  <c r="X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Z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Z239" i="2" l="1"/>
  <c r="BN239" i="2"/>
  <c r="Z365" i="2"/>
  <c r="Z129" i="2"/>
  <c r="Z176" i="2"/>
  <c r="BN176" i="2"/>
  <c r="Z88" i="2"/>
  <c r="BN88" i="2"/>
  <c r="Z208" i="2"/>
  <c r="Z414" i="2"/>
  <c r="BP471" i="2"/>
  <c r="Z324" i="2"/>
  <c r="BN324" i="2"/>
  <c r="Z220" i="2"/>
  <c r="BN220" i="2"/>
  <c r="Y378" i="2"/>
  <c r="Y188" i="2"/>
  <c r="Y192" i="2"/>
  <c r="BP57" i="2"/>
  <c r="BN64" i="2"/>
  <c r="BP96" i="2"/>
  <c r="BN111" i="2"/>
  <c r="BN134" i="2"/>
  <c r="BN179" i="2"/>
  <c r="BN187" i="2"/>
  <c r="BN241" i="2"/>
  <c r="BP273" i="2"/>
  <c r="BP291" i="2"/>
  <c r="BN308" i="2"/>
  <c r="BN315" i="2"/>
  <c r="BN350" i="2"/>
  <c r="BN399" i="2"/>
  <c r="Z57" i="2"/>
  <c r="Z96" i="2"/>
  <c r="BN149" i="2"/>
  <c r="BN185" i="2"/>
  <c r="BN191" i="2"/>
  <c r="BP208" i="2"/>
  <c r="BN210" i="2"/>
  <c r="Z217" i="2"/>
  <c r="BP236" i="2"/>
  <c r="BN253" i="2"/>
  <c r="Z262" i="2"/>
  <c r="BN262" i="2"/>
  <c r="BN264" i="2"/>
  <c r="Z273" i="2"/>
  <c r="Z291" i="2"/>
  <c r="Y357" i="2"/>
  <c r="Z370" i="2"/>
  <c r="Z371" i="2" s="1"/>
  <c r="BN375" i="2"/>
  <c r="Z437" i="2"/>
  <c r="BP370" i="2"/>
  <c r="Y388" i="2"/>
  <c r="Z350" i="2"/>
  <c r="Z80" i="2"/>
  <c r="BN80" i="2"/>
  <c r="Z30" i="2"/>
  <c r="BP30" i="2"/>
  <c r="Z55" i="2"/>
  <c r="BP55" i="2"/>
  <c r="Z103" i="2"/>
  <c r="BP144" i="2"/>
  <c r="Y199" i="2"/>
  <c r="Z230" i="2"/>
  <c r="BP280" i="2"/>
  <c r="Z299" i="2"/>
  <c r="Z331" i="2"/>
  <c r="Z36" i="2"/>
  <c r="Z37" i="2" s="1"/>
  <c r="Z64" i="2"/>
  <c r="Z111" i="2"/>
  <c r="Z149" i="2"/>
  <c r="Z179" i="2"/>
  <c r="Z187" i="2"/>
  <c r="Z206" i="2"/>
  <c r="Z241" i="2"/>
  <c r="Y294" i="2"/>
  <c r="Z306" i="2"/>
  <c r="BN370" i="2"/>
  <c r="Y371" i="2"/>
  <c r="Z375" i="2"/>
  <c r="Z435" i="2"/>
  <c r="BP435" i="2"/>
  <c r="Z438" i="2"/>
  <c r="BN451" i="2"/>
  <c r="Z63" i="2"/>
  <c r="BP103" i="2"/>
  <c r="Y114" i="2"/>
  <c r="Z144" i="2"/>
  <c r="Z218" i="2"/>
  <c r="BP218" i="2"/>
  <c r="BP230" i="2"/>
  <c r="Z280" i="2"/>
  <c r="BP299" i="2"/>
  <c r="Z366" i="2"/>
  <c r="Z82" i="2"/>
  <c r="Z128" i="2"/>
  <c r="Z130" i="2" s="1"/>
  <c r="Z134" i="2"/>
  <c r="BN144" i="2"/>
  <c r="Z185" i="2"/>
  <c r="Z191" i="2"/>
  <c r="Z192" i="2" s="1"/>
  <c r="BP191" i="2"/>
  <c r="Z207" i="2"/>
  <c r="Z210" i="2"/>
  <c r="Y227" i="2"/>
  <c r="Z253" i="2"/>
  <c r="Z264" i="2"/>
  <c r="Z308" i="2"/>
  <c r="Z315" i="2"/>
  <c r="Z356" i="2"/>
  <c r="Z399" i="2"/>
  <c r="BP415" i="2"/>
  <c r="Z451" i="2"/>
  <c r="Y472" i="2"/>
  <c r="Z475" i="2"/>
  <c r="Z476" i="2" s="1"/>
  <c r="Z22" i="2"/>
  <c r="Z24" i="2" s="1"/>
  <c r="BN22" i="2"/>
  <c r="BP22" i="2"/>
  <c r="Y25" i="2"/>
  <c r="BP23" i="2"/>
  <c r="Z27" i="2"/>
  <c r="Z29" i="2"/>
  <c r="BN29" i="2"/>
  <c r="Z32" i="2"/>
  <c r="BN32" i="2"/>
  <c r="BP36" i="2"/>
  <c r="Z44" i="2"/>
  <c r="Z53" i="2"/>
  <c r="Z54" i="2"/>
  <c r="BN54" i="2"/>
  <c r="BP56" i="2"/>
  <c r="Y60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BP42" i="2"/>
  <c r="Y46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BN292" i="2"/>
  <c r="X492" i="2"/>
  <c r="BN109" i="2"/>
  <c r="A10" i="2"/>
  <c r="X488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F498" i="2"/>
  <c r="Y107" i="2"/>
  <c r="BP396" i="2"/>
  <c r="BN396" i="2"/>
  <c r="Z396" i="2"/>
  <c r="BP109" i="2"/>
  <c r="BN207" i="2"/>
  <c r="Y214" i="2"/>
  <c r="Z305" i="2"/>
  <c r="Z311" i="2"/>
  <c r="Z322" i="2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BP213" i="2"/>
  <c r="BP238" i="2"/>
  <c r="BP272" i="2"/>
  <c r="Y276" i="2"/>
  <c r="BP281" i="2"/>
  <c r="Z297" i="2"/>
  <c r="Z302" i="2" s="1"/>
  <c r="BN311" i="2"/>
  <c r="BP335" i="2"/>
  <c r="Y346" i="2"/>
  <c r="Y363" i="2"/>
  <c r="Y362" i="2"/>
  <c r="BP361" i="2"/>
  <c r="BN361" i="2"/>
  <c r="Z361" i="2"/>
  <c r="Y406" i="2"/>
  <c r="BP444" i="2"/>
  <c r="BN444" i="2"/>
  <c r="BN62" i="2"/>
  <c r="Y67" i="2"/>
  <c r="D498" i="2"/>
  <c r="Y59" i="2"/>
  <c r="BN73" i="2"/>
  <c r="Y130" i="2"/>
  <c r="H498" i="2"/>
  <c r="BP157" i="2"/>
  <c r="Y258" i="2"/>
  <c r="BP254" i="2"/>
  <c r="BN254" i="2"/>
  <c r="Z254" i="2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X489" i="2"/>
  <c r="Z152" i="2"/>
  <c r="BN174" i="2"/>
  <c r="BP197" i="2"/>
  <c r="Z197" i="2"/>
  <c r="Z198" i="2" s="1"/>
  <c r="Z249" i="2"/>
  <c r="Z250" i="2" s="1"/>
  <c r="BP297" i="2"/>
  <c r="Y312" i="2"/>
  <c r="Y333" i="2"/>
  <c r="BP328" i="2"/>
  <c r="BN328" i="2"/>
  <c r="BP398" i="2"/>
  <c r="BN398" i="2"/>
  <c r="V498" i="2"/>
  <c r="Z415" i="2"/>
  <c r="BP421" i="2"/>
  <c r="BN450" i="2"/>
  <c r="BP453" i="2"/>
  <c r="Z292" i="2"/>
  <c r="Y293" i="2"/>
  <c r="BP292" i="2"/>
  <c r="C498" i="2"/>
  <c r="BN236" i="2"/>
  <c r="Y243" i="2"/>
  <c r="O498" i="2"/>
  <c r="Y283" i="2"/>
  <c r="BP279" i="2"/>
  <c r="Y282" i="2"/>
  <c r="BN279" i="2"/>
  <c r="Z116" i="2"/>
  <c r="Y121" i="2"/>
  <c r="Y131" i="2"/>
  <c r="Y267" i="2"/>
  <c r="Z328" i="2"/>
  <c r="BN353" i="2"/>
  <c r="BN356" i="2"/>
  <c r="Z376" i="2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X490" i="2"/>
  <c r="Y45" i="2"/>
  <c r="BN53" i="2"/>
  <c r="BP74" i="2"/>
  <c r="Z74" i="2"/>
  <c r="Y83" i="2"/>
  <c r="Y33" i="2"/>
  <c r="BN42" i="2"/>
  <c r="Z56" i="2"/>
  <c r="BP93" i="2"/>
  <c r="Y159" i="2"/>
  <c r="BN197" i="2"/>
  <c r="Y242" i="2"/>
  <c r="BN249" i="2"/>
  <c r="BP286" i="2"/>
  <c r="P498" i="2"/>
  <c r="Z286" i="2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Y486" i="2"/>
  <c r="Z367" i="2" l="1"/>
  <c r="Z481" i="2"/>
  <c r="Z332" i="2"/>
  <c r="Z154" i="2"/>
  <c r="Z90" i="2"/>
  <c r="Z325" i="2"/>
  <c r="Z288" i="2"/>
  <c r="Z293" i="2"/>
  <c r="Z258" i="2"/>
  <c r="Z362" i="2"/>
  <c r="Z214" i="2"/>
  <c r="Z267" i="2"/>
  <c r="Z135" i="2"/>
  <c r="Z146" i="2"/>
  <c r="Z345" i="2"/>
  <c r="Z377" i="2"/>
  <c r="Z417" i="2"/>
  <c r="Z45" i="2"/>
  <c r="Z282" i="2"/>
  <c r="Z242" i="2"/>
  <c r="Z357" i="2"/>
  <c r="Z97" i="2"/>
  <c r="Z59" i="2"/>
  <c r="Z120" i="2"/>
  <c r="Z231" i="2"/>
  <c r="Z66" i="2"/>
  <c r="Z275" i="2"/>
  <c r="Z455" i="2"/>
  <c r="Y490" i="2"/>
  <c r="Y492" i="2"/>
  <c r="Z226" i="2"/>
  <c r="Y489" i="2"/>
  <c r="Y488" i="2"/>
  <c r="Z401" i="2"/>
  <c r="X491" i="2"/>
  <c r="Z106" i="2"/>
  <c r="Z33" i="2"/>
  <c r="Z77" i="2"/>
  <c r="Z113" i="2"/>
  <c r="Z406" i="2"/>
  <c r="Z312" i="2"/>
  <c r="Z182" i="2"/>
  <c r="Z439" i="2"/>
  <c r="Z464" i="2"/>
  <c r="Z338" i="2"/>
  <c r="Y491" i="2" l="1"/>
  <c r="Z493" i="2"/>
</calcChain>
</file>

<file path=xl/sharedStrings.xml><?xml version="1.0" encoding="utf-8"?>
<sst xmlns="http://schemas.openxmlformats.org/spreadsheetml/2006/main" count="3643" uniqueCount="787">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</sst>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zoomScale="80" zoomScaleNormal="80" zoomScaleSheetLayoutView="100" workbookViewId="0">
      <selection activeCell="A22" sqref="A22:XFD2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4" t="s">
        <v>26</v>
      </c>
      <c r="E1" s="554"/>
      <c r="F1" s="554"/>
      <c r="G1" s="14" t="s">
        <v>66</v>
      </c>
      <c r="H1" s="554" t="s">
        <v>46</v>
      </c>
      <c r="I1" s="554"/>
      <c r="J1" s="554"/>
      <c r="K1" s="554"/>
      <c r="L1" s="554"/>
      <c r="M1" s="554"/>
      <c r="N1" s="554"/>
      <c r="O1" s="554"/>
      <c r="P1" s="554"/>
      <c r="Q1" s="554"/>
      <c r="R1" s="555" t="s">
        <v>67</v>
      </c>
      <c r="S1" s="556"/>
      <c r="T1" s="5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7"/>
      <c r="Q3" s="557"/>
      <c r="R3" s="557"/>
      <c r="S3" s="557"/>
      <c r="T3" s="557"/>
      <c r="U3" s="557"/>
      <c r="V3" s="557"/>
      <c r="W3" s="5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8" t="s">
        <v>8</v>
      </c>
      <c r="B5" s="558"/>
      <c r="C5" s="558"/>
      <c r="D5" s="559"/>
      <c r="E5" s="559"/>
      <c r="F5" s="560" t="s">
        <v>14</v>
      </c>
      <c r="G5" s="560"/>
      <c r="H5" s="559"/>
      <c r="I5" s="559"/>
      <c r="J5" s="559"/>
      <c r="K5" s="559"/>
      <c r="L5" s="559"/>
      <c r="M5" s="559"/>
      <c r="N5" s="72"/>
      <c r="P5" s="27" t="s">
        <v>4</v>
      </c>
      <c r="Q5" s="561"/>
      <c r="R5" s="561"/>
      <c r="T5" s="562" t="s">
        <v>3</v>
      </c>
      <c r="U5" s="563"/>
      <c r="V5" s="564" t="s">
        <v>750</v>
      </c>
      <c r="W5" s="565"/>
      <c r="AB5" s="59"/>
      <c r="AC5" s="59"/>
      <c r="AD5" s="59"/>
      <c r="AE5" s="59"/>
    </row>
    <row r="6" spans="1:32" s="17" customFormat="1" ht="24" customHeight="1" x14ac:dyDescent="0.2">
      <c r="A6" s="558" t="s">
        <v>1</v>
      </c>
      <c r="B6" s="558"/>
      <c r="C6" s="558"/>
      <c r="D6" s="566"/>
      <c r="E6" s="566"/>
      <c r="F6" s="566"/>
      <c r="G6" s="566"/>
      <c r="H6" s="566"/>
      <c r="I6" s="566"/>
      <c r="J6" s="566"/>
      <c r="K6" s="566"/>
      <c r="L6" s="566"/>
      <c r="M6" s="566"/>
      <c r="N6" s="73"/>
      <c r="P6" s="27" t="s">
        <v>27</v>
      </c>
      <c r="Q6" s="567" t="str">
        <f>IF(Q5=0," ",CHOOSE(WEEKDAY(Q5,2),"Понедельник","Вторник","Среда","Четверг","Пятница","Суббота","Воскресенье"))</f>
        <v xml:space="preserve"> </v>
      </c>
      <c r="R6" s="567"/>
      <c r="T6" s="568" t="s">
        <v>5</v>
      </c>
      <c r="U6" s="569"/>
      <c r="V6" s="570" t="s">
        <v>69</v>
      </c>
      <c r="W6" s="5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6">
        <f>IFERROR(VLOOKUP(DeliveryAddress,Table,3,0),1)</f>
        <v>1</v>
      </c>
      <c r="E7" s="577"/>
      <c r="F7" s="577"/>
      <c r="G7" s="577"/>
      <c r="H7" s="577"/>
      <c r="I7" s="577"/>
      <c r="J7" s="577"/>
      <c r="K7" s="577"/>
      <c r="L7" s="577"/>
      <c r="M7" s="578"/>
      <c r="N7" s="74"/>
      <c r="P7" s="29"/>
      <c r="Q7" s="48"/>
      <c r="R7" s="48"/>
      <c r="T7" s="568"/>
      <c r="U7" s="569"/>
      <c r="V7" s="572"/>
      <c r="W7" s="573"/>
      <c r="AB7" s="59"/>
      <c r="AC7" s="59"/>
      <c r="AD7" s="59"/>
      <c r="AE7" s="59"/>
    </row>
    <row r="8" spans="1:32" s="17" customFormat="1" ht="25.5" customHeight="1" x14ac:dyDescent="0.2">
      <c r="A8" s="579" t="s">
        <v>57</v>
      </c>
      <c r="B8" s="579"/>
      <c r="C8" s="579"/>
      <c r="D8" s="580"/>
      <c r="E8" s="580"/>
      <c r="F8" s="580"/>
      <c r="G8" s="580"/>
      <c r="H8" s="580"/>
      <c r="I8" s="580"/>
      <c r="J8" s="580"/>
      <c r="K8" s="580"/>
      <c r="L8" s="580"/>
      <c r="M8" s="580"/>
      <c r="N8" s="75"/>
      <c r="P8" s="27" t="s">
        <v>11</v>
      </c>
      <c r="Q8" s="581"/>
      <c r="R8" s="581"/>
      <c r="T8" s="568"/>
      <c r="U8" s="569"/>
      <c r="V8" s="572"/>
      <c r="W8" s="573"/>
      <c r="AB8" s="59"/>
      <c r="AC8" s="59"/>
      <c r="AD8" s="59"/>
      <c r="AE8" s="59"/>
    </row>
    <row r="9" spans="1:32" s="17" customFormat="1" ht="39.950000000000003" customHeight="1" x14ac:dyDescent="0.2">
      <c r="A9" s="5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2"/>
      <c r="C9" s="582"/>
      <c r="D9" s="583" t="s">
        <v>45</v>
      </c>
      <c r="E9" s="584"/>
      <c r="F9" s="5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2"/>
      <c r="H9" s="585" t="str">
        <f>IF(AND($A$9="Тип доверенности/получателя при получении в адресе перегруза:",$D$9="Разовая доверенность"),"Введите ФИО","")</f>
        <v/>
      </c>
      <c r="I9" s="585"/>
      <c r="J9" s="5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5"/>
      <c r="L9" s="585"/>
      <c r="M9" s="585"/>
      <c r="N9" s="70"/>
      <c r="P9" s="31" t="s">
        <v>15</v>
      </c>
      <c r="Q9" s="586">
        <v>46231</v>
      </c>
      <c r="R9" s="586"/>
      <c r="T9" s="568"/>
      <c r="U9" s="569"/>
      <c r="V9" s="574"/>
      <c r="W9" s="5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2"/>
      <c r="C10" s="582"/>
      <c r="D10" s="583"/>
      <c r="E10" s="584"/>
      <c r="F10" s="5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2"/>
      <c r="H10" s="587" t="str">
        <f>IFERROR(VLOOKUP($D$10,Proxy,2,FALSE),"")</f>
        <v/>
      </c>
      <c r="I10" s="587"/>
      <c r="J10" s="587"/>
      <c r="K10" s="587"/>
      <c r="L10" s="587"/>
      <c r="M10" s="587"/>
      <c r="N10" s="71"/>
      <c r="P10" s="31" t="s">
        <v>32</v>
      </c>
      <c r="Q10" s="588">
        <v>0.54166666666666663</v>
      </c>
      <c r="R10" s="588"/>
      <c r="U10" s="29" t="s">
        <v>12</v>
      </c>
      <c r="V10" s="589" t="s">
        <v>70</v>
      </c>
      <c r="W10" s="5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1"/>
      <c r="R11" s="591"/>
      <c r="U11" s="29" t="s">
        <v>28</v>
      </c>
      <c r="V11" s="592" t="s">
        <v>54</v>
      </c>
      <c r="W11" s="5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3" t="s">
        <v>71</v>
      </c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93"/>
      <c r="N12" s="76"/>
      <c r="P12" s="27" t="s">
        <v>30</v>
      </c>
      <c r="Q12" s="581"/>
      <c r="R12" s="581"/>
      <c r="S12" s="28"/>
      <c r="T12"/>
      <c r="U12" s="29" t="s">
        <v>45</v>
      </c>
      <c r="V12" s="594"/>
      <c r="W12" s="594"/>
      <c r="X12"/>
      <c r="AB12" s="59"/>
      <c r="AC12" s="59"/>
      <c r="AD12" s="59"/>
      <c r="AE12" s="59"/>
    </row>
    <row r="13" spans="1:32" s="17" customFormat="1" ht="23.25" customHeight="1" x14ac:dyDescent="0.2">
      <c r="A13" s="593" t="s">
        <v>72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93"/>
      <c r="N13" s="76"/>
      <c r="O13" s="31"/>
      <c r="P13" s="31" t="s">
        <v>31</v>
      </c>
      <c r="Q13" s="592"/>
      <c r="R13" s="5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3" t="s">
        <v>73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5" t="s">
        <v>74</v>
      </c>
      <c r="B15" s="595"/>
      <c r="C15" s="595"/>
      <c r="D15" s="595"/>
      <c r="E15" s="595"/>
      <c r="F15" s="595"/>
      <c r="G15" s="595"/>
      <c r="H15" s="595"/>
      <c r="I15" s="595"/>
      <c r="J15" s="595"/>
      <c r="K15" s="595"/>
      <c r="L15" s="595"/>
      <c r="M15" s="595"/>
      <c r="N15" s="77"/>
      <c r="O15"/>
      <c r="P15" s="596" t="s">
        <v>60</v>
      </c>
      <c r="Q15" s="596"/>
      <c r="R15" s="596"/>
      <c r="S15" s="596"/>
      <c r="T15" s="5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7"/>
      <c r="Q16" s="597"/>
      <c r="R16" s="597"/>
      <c r="S16" s="597"/>
      <c r="T16" s="5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0" t="s">
        <v>58</v>
      </c>
      <c r="B17" s="600" t="s">
        <v>48</v>
      </c>
      <c r="C17" s="602" t="s">
        <v>47</v>
      </c>
      <c r="D17" s="604" t="s">
        <v>49</v>
      </c>
      <c r="E17" s="605"/>
      <c r="F17" s="600" t="s">
        <v>21</v>
      </c>
      <c r="G17" s="600" t="s">
        <v>24</v>
      </c>
      <c r="H17" s="600" t="s">
        <v>22</v>
      </c>
      <c r="I17" s="600" t="s">
        <v>23</v>
      </c>
      <c r="J17" s="600" t="s">
        <v>16</v>
      </c>
      <c r="K17" s="600" t="s">
        <v>65</v>
      </c>
      <c r="L17" s="600" t="s">
        <v>63</v>
      </c>
      <c r="M17" s="600" t="s">
        <v>2</v>
      </c>
      <c r="N17" s="600" t="s">
        <v>62</v>
      </c>
      <c r="O17" s="600" t="s">
        <v>25</v>
      </c>
      <c r="P17" s="604" t="s">
        <v>17</v>
      </c>
      <c r="Q17" s="608"/>
      <c r="R17" s="608"/>
      <c r="S17" s="608"/>
      <c r="T17" s="605"/>
      <c r="U17" s="598" t="s">
        <v>55</v>
      </c>
      <c r="V17" s="599"/>
      <c r="W17" s="600" t="s">
        <v>6</v>
      </c>
      <c r="X17" s="600" t="s">
        <v>41</v>
      </c>
      <c r="Y17" s="610" t="s">
        <v>53</v>
      </c>
      <c r="Z17" s="612" t="s">
        <v>18</v>
      </c>
      <c r="AA17" s="614" t="s">
        <v>59</v>
      </c>
      <c r="AB17" s="614" t="s">
        <v>19</v>
      </c>
      <c r="AC17" s="614" t="s">
        <v>64</v>
      </c>
      <c r="AD17" s="616" t="s">
        <v>56</v>
      </c>
      <c r="AE17" s="617"/>
      <c r="AF17" s="618"/>
      <c r="AG17" s="82"/>
      <c r="BD17" s="81" t="s">
        <v>61</v>
      </c>
    </row>
    <row r="18" spans="1:68" ht="14.25" customHeight="1" x14ac:dyDescent="0.2">
      <c r="A18" s="601"/>
      <c r="B18" s="601"/>
      <c r="C18" s="603"/>
      <c r="D18" s="606"/>
      <c r="E18" s="607"/>
      <c r="F18" s="601"/>
      <c r="G18" s="601"/>
      <c r="H18" s="601"/>
      <c r="I18" s="601"/>
      <c r="J18" s="601"/>
      <c r="K18" s="601"/>
      <c r="L18" s="601"/>
      <c r="M18" s="601"/>
      <c r="N18" s="601"/>
      <c r="O18" s="601"/>
      <c r="P18" s="606"/>
      <c r="Q18" s="609"/>
      <c r="R18" s="609"/>
      <c r="S18" s="609"/>
      <c r="T18" s="607"/>
      <c r="U18" s="83" t="s">
        <v>44</v>
      </c>
      <c r="V18" s="83" t="s">
        <v>43</v>
      </c>
      <c r="W18" s="601"/>
      <c r="X18" s="601"/>
      <c r="Y18" s="611"/>
      <c r="Z18" s="613"/>
      <c r="AA18" s="615"/>
      <c r="AB18" s="615"/>
      <c r="AC18" s="615"/>
      <c r="AD18" s="619"/>
      <c r="AE18" s="620"/>
      <c r="AF18" s="621"/>
      <c r="AG18" s="82"/>
      <c r="BD18" s="81"/>
    </row>
    <row r="19" spans="1:68" ht="27.75" customHeight="1" x14ac:dyDescent="0.2">
      <c r="A19" s="622" t="s">
        <v>75</v>
      </c>
      <c r="B19" s="622"/>
      <c r="C19" s="622"/>
      <c r="D19" s="622"/>
      <c r="E19" s="622"/>
      <c r="F19" s="622"/>
      <c r="G19" s="622"/>
      <c r="H19" s="622"/>
      <c r="I19" s="622"/>
      <c r="J19" s="622"/>
      <c r="K19" s="622"/>
      <c r="L19" s="622"/>
      <c r="M19" s="622"/>
      <c r="N19" s="622"/>
      <c r="O19" s="622"/>
      <c r="P19" s="622"/>
      <c r="Q19" s="622"/>
      <c r="R19" s="622"/>
      <c r="S19" s="622"/>
      <c r="T19" s="622"/>
      <c r="U19" s="622"/>
      <c r="V19" s="622"/>
      <c r="W19" s="622"/>
      <c r="X19" s="622"/>
      <c r="Y19" s="622"/>
      <c r="Z19" s="622"/>
      <c r="AA19" s="54"/>
      <c r="AB19" s="54"/>
      <c r="AC19" s="54"/>
    </row>
    <row r="20" spans="1:68" ht="16.5" customHeight="1" x14ac:dyDescent="0.25">
      <c r="A20" s="623" t="s">
        <v>75</v>
      </c>
      <c r="B20" s="623"/>
      <c r="C20" s="623"/>
      <c r="D20" s="623"/>
      <c r="E20" s="623"/>
      <c r="F20" s="623"/>
      <c r="G20" s="623"/>
      <c r="H20" s="623"/>
      <c r="I20" s="623"/>
      <c r="J20" s="623"/>
      <c r="K20" s="623"/>
      <c r="L20" s="623"/>
      <c r="M20" s="623"/>
      <c r="N20" s="623"/>
      <c r="O20" s="623"/>
      <c r="P20" s="623"/>
      <c r="Q20" s="623"/>
      <c r="R20" s="623"/>
      <c r="S20" s="623"/>
      <c r="T20" s="623"/>
      <c r="U20" s="623"/>
      <c r="V20" s="623"/>
      <c r="W20" s="623"/>
      <c r="X20" s="623"/>
      <c r="Y20" s="623"/>
      <c r="Z20" s="623"/>
      <c r="AA20" s="65"/>
      <c r="AB20" s="65"/>
      <c r="AC20" s="79"/>
    </row>
    <row r="21" spans="1:68" ht="14.25" customHeight="1" x14ac:dyDescent="0.25">
      <c r="A21" s="624" t="s">
        <v>76</v>
      </c>
      <c r="B21" s="624"/>
      <c r="C21" s="624"/>
      <c r="D21" s="624"/>
      <c r="E21" s="624"/>
      <c r="F21" s="624"/>
      <c r="G21" s="624"/>
      <c r="H21" s="624"/>
      <c r="I21" s="624"/>
      <c r="J21" s="624"/>
      <c r="K21" s="624"/>
      <c r="L21" s="624"/>
      <c r="M21" s="624"/>
      <c r="N21" s="624"/>
      <c r="O21" s="624"/>
      <c r="P21" s="624"/>
      <c r="Q21" s="624"/>
      <c r="R21" s="624"/>
      <c r="S21" s="624"/>
      <c r="T21" s="624"/>
      <c r="U21" s="624"/>
      <c r="V21" s="624"/>
      <c r="W21" s="624"/>
      <c r="X21" s="624"/>
      <c r="Y21" s="624"/>
      <c r="Z21" s="624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4301031446</v>
      </c>
      <c r="D22" s="625">
        <v>4680115887510</v>
      </c>
      <c r="E22" s="625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62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7"/>
      <c r="R22" s="627"/>
      <c r="S22" s="627"/>
      <c r="T22" s="628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82</v>
      </c>
      <c r="B23" s="63" t="s">
        <v>83</v>
      </c>
      <c r="C23" s="36">
        <v>4301031278</v>
      </c>
      <c r="D23" s="625">
        <v>4680115886643</v>
      </c>
      <c r="E23" s="625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85</v>
      </c>
      <c r="L23" s="37" t="s">
        <v>45</v>
      </c>
      <c r="M23" s="38" t="s">
        <v>80</v>
      </c>
      <c r="N23" s="38"/>
      <c r="O23" s="37">
        <v>40</v>
      </c>
      <c r="P23" s="62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7"/>
      <c r="R23" s="627"/>
      <c r="S23" s="627"/>
      <c r="T23" s="628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84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0" t="s">
        <v>40</v>
      </c>
      <c r="Q24" s="631"/>
      <c r="R24" s="631"/>
      <c r="S24" s="631"/>
      <c r="T24" s="631"/>
      <c r="U24" s="631"/>
      <c r="V24" s="6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3"/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4"/>
      <c r="P25" s="630" t="s">
        <v>40</v>
      </c>
      <c r="Q25" s="631"/>
      <c r="R25" s="631"/>
      <c r="S25" s="631"/>
      <c r="T25" s="631"/>
      <c r="U25" s="631"/>
      <c r="V25" s="6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4" t="s">
        <v>86</v>
      </c>
      <c r="B26" s="624"/>
      <c r="C26" s="624"/>
      <c r="D26" s="624"/>
      <c r="E26" s="624"/>
      <c r="F26" s="624"/>
      <c r="G26" s="624"/>
      <c r="H26" s="624"/>
      <c r="I26" s="624"/>
      <c r="J26" s="624"/>
      <c r="K26" s="624"/>
      <c r="L26" s="624"/>
      <c r="M26" s="624"/>
      <c r="N26" s="624"/>
      <c r="O26" s="624"/>
      <c r="P26" s="624"/>
      <c r="Q26" s="624"/>
      <c r="R26" s="624"/>
      <c r="S26" s="624"/>
      <c r="T26" s="624"/>
      <c r="U26" s="624"/>
      <c r="V26" s="624"/>
      <c r="W26" s="624"/>
      <c r="X26" s="624"/>
      <c r="Y26" s="624"/>
      <c r="Z26" s="624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25">
        <v>4680115885912</v>
      </c>
      <c r="E27" s="6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81</v>
      </c>
      <c r="L27" s="37" t="s">
        <v>45</v>
      </c>
      <c r="M27" s="38" t="s">
        <v>90</v>
      </c>
      <c r="N27" s="38"/>
      <c r="O27" s="37">
        <v>40</v>
      </c>
      <c r="P27" s="6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7"/>
      <c r="R27" s="627"/>
      <c r="S27" s="627"/>
      <c r="T27" s="628"/>
      <c r="U27" s="39" t="s">
        <v>45</v>
      </c>
      <c r="V27" s="39" t="s">
        <v>45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45</v>
      </c>
      <c r="AB27" s="69" t="s">
        <v>45</v>
      </c>
      <c r="AC27" s="90" t="s">
        <v>89</v>
      </c>
      <c r="AG27" s="78"/>
      <c r="AJ27" s="84" t="s">
        <v>45</v>
      </c>
      <c r="AK27" s="84">
        <v>0</v>
      </c>
      <c r="BB27" s="91" t="s">
        <v>66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4301051776</v>
      </c>
      <c r="D28" s="625">
        <v>4607091388237</v>
      </c>
      <c r="E28" s="6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81</v>
      </c>
      <c r="L28" s="37" t="s">
        <v>45</v>
      </c>
      <c r="M28" s="38" t="s">
        <v>90</v>
      </c>
      <c r="N28" s="38"/>
      <c r="O28" s="37">
        <v>40</v>
      </c>
      <c r="P28" s="6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7"/>
      <c r="R28" s="627"/>
      <c r="S28" s="627"/>
      <c r="T28" s="628"/>
      <c r="U28" s="39" t="s">
        <v>45</v>
      </c>
      <c r="V28" s="39" t="s">
        <v>45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45</v>
      </c>
      <c r="AB28" s="69" t="s">
        <v>45</v>
      </c>
      <c r="AC28" s="92" t="s">
        <v>89</v>
      </c>
      <c r="AG28" s="78"/>
      <c r="AJ28" s="84" t="s">
        <v>45</v>
      </c>
      <c r="AK28" s="84">
        <v>0</v>
      </c>
      <c r="BB28" s="93" t="s">
        <v>66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3" t="s">
        <v>93</v>
      </c>
      <c r="B29" s="63" t="s">
        <v>94</v>
      </c>
      <c r="C29" s="36">
        <v>4301052063</v>
      </c>
      <c r="D29" s="625">
        <v>4680115887350</v>
      </c>
      <c r="E29" s="6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81</v>
      </c>
      <c r="L29" s="37" t="s">
        <v>45</v>
      </c>
      <c r="M29" s="38" t="s">
        <v>96</v>
      </c>
      <c r="N29" s="38"/>
      <c r="O29" s="37">
        <v>40</v>
      </c>
      <c r="P29" s="6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7"/>
      <c r="R29" s="627"/>
      <c r="S29" s="627"/>
      <c r="T29" s="628"/>
      <c r="U29" s="39" t="s">
        <v>45</v>
      </c>
      <c r="V29" s="39" t="s">
        <v>45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45</v>
      </c>
      <c r="AB29" s="69" t="s">
        <v>45</v>
      </c>
      <c r="AC29" s="94" t="s">
        <v>95</v>
      </c>
      <c r="AG29" s="78"/>
      <c r="AJ29" s="84" t="s">
        <v>45</v>
      </c>
      <c r="AK29" s="84">
        <v>0</v>
      </c>
      <c r="BB29" s="95" t="s">
        <v>66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97</v>
      </c>
      <c r="B30" s="63" t="s">
        <v>98</v>
      </c>
      <c r="C30" s="36">
        <v>4301051863</v>
      </c>
      <c r="D30" s="625">
        <v>4680115885905</v>
      </c>
      <c r="E30" s="6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81</v>
      </c>
      <c r="L30" s="37" t="s">
        <v>45</v>
      </c>
      <c r="M30" s="38" t="s">
        <v>96</v>
      </c>
      <c r="N30" s="38"/>
      <c r="O30" s="37">
        <v>40</v>
      </c>
      <c r="P30" s="6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7"/>
      <c r="R30" s="627"/>
      <c r="S30" s="627"/>
      <c r="T30" s="628"/>
      <c r="U30" s="39" t="s">
        <v>45</v>
      </c>
      <c r="V30" s="39" t="s">
        <v>45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100</v>
      </c>
      <c r="B31" s="63" t="s">
        <v>101</v>
      </c>
      <c r="C31" s="36">
        <v>4301052078</v>
      </c>
      <c r="D31" s="625">
        <v>4680115887657</v>
      </c>
      <c r="E31" s="62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81</v>
      </c>
      <c r="L31" s="37" t="s">
        <v>45</v>
      </c>
      <c r="M31" s="38" t="s">
        <v>96</v>
      </c>
      <c r="N31" s="38"/>
      <c r="O31" s="37">
        <v>40</v>
      </c>
      <c r="P31" s="639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27"/>
      <c r="R31" s="627"/>
      <c r="S31" s="627"/>
      <c r="T31" s="628"/>
      <c r="U31" s="39" t="s">
        <v>45</v>
      </c>
      <c r="V31" s="39" t="s">
        <v>45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45</v>
      </c>
      <c r="AB31" s="69" t="s">
        <v>45</v>
      </c>
      <c r="AC31" s="98" t="s">
        <v>102</v>
      </c>
      <c r="AG31" s="78"/>
      <c r="AJ31" s="84" t="s">
        <v>45</v>
      </c>
      <c r="AK31" s="84">
        <v>0</v>
      </c>
      <c r="BB31" s="99" t="s">
        <v>66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103</v>
      </c>
      <c r="B32" s="63" t="s">
        <v>104</v>
      </c>
      <c r="C32" s="36">
        <v>4301052071</v>
      </c>
      <c r="D32" s="625">
        <v>4680115887619</v>
      </c>
      <c r="E32" s="625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81</v>
      </c>
      <c r="L32" s="37" t="s">
        <v>45</v>
      </c>
      <c r="M32" s="38" t="s">
        <v>90</v>
      </c>
      <c r="N32" s="38"/>
      <c r="O32" s="37">
        <v>40</v>
      </c>
      <c r="P32" s="64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27"/>
      <c r="R32" s="627"/>
      <c r="S32" s="627"/>
      <c r="T32" s="628"/>
      <c r="U32" s="39" t="s">
        <v>45</v>
      </c>
      <c r="V32" s="39" t="s">
        <v>45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45</v>
      </c>
      <c r="AB32" s="69" t="s">
        <v>45</v>
      </c>
      <c r="AC32" s="100" t="s">
        <v>105</v>
      </c>
      <c r="AG32" s="78"/>
      <c r="AJ32" s="84" t="s">
        <v>45</v>
      </c>
      <c r="AK32" s="84">
        <v>0</v>
      </c>
      <c r="BB32" s="101" t="s">
        <v>66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x14ac:dyDescent="0.2">
      <c r="A33" s="633"/>
      <c r="B33" s="633"/>
      <c r="C33" s="633"/>
      <c r="D33" s="633"/>
      <c r="E33" s="633"/>
      <c r="F33" s="633"/>
      <c r="G33" s="633"/>
      <c r="H33" s="633"/>
      <c r="I33" s="633"/>
      <c r="J33" s="633"/>
      <c r="K33" s="633"/>
      <c r="L33" s="633"/>
      <c r="M33" s="633"/>
      <c r="N33" s="633"/>
      <c r="O33" s="634"/>
      <c r="P33" s="630" t="s">
        <v>40</v>
      </c>
      <c r="Q33" s="631"/>
      <c r="R33" s="631"/>
      <c r="S33" s="631"/>
      <c r="T33" s="631"/>
      <c r="U33" s="631"/>
      <c r="V33" s="632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x14ac:dyDescent="0.2">
      <c r="A34" s="633"/>
      <c r="B34" s="633"/>
      <c r="C34" s="633"/>
      <c r="D34" s="633"/>
      <c r="E34" s="633"/>
      <c r="F34" s="633"/>
      <c r="G34" s="633"/>
      <c r="H34" s="633"/>
      <c r="I34" s="633"/>
      <c r="J34" s="633"/>
      <c r="K34" s="633"/>
      <c r="L34" s="633"/>
      <c r="M34" s="633"/>
      <c r="N34" s="633"/>
      <c r="O34" s="634"/>
      <c r="P34" s="630" t="s">
        <v>40</v>
      </c>
      <c r="Q34" s="631"/>
      <c r="R34" s="631"/>
      <c r="S34" s="631"/>
      <c r="T34" s="631"/>
      <c r="U34" s="631"/>
      <c r="V34" s="632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customHeight="1" x14ac:dyDescent="0.25">
      <c r="A35" s="624" t="s">
        <v>106</v>
      </c>
      <c r="B35" s="624"/>
      <c r="C35" s="624"/>
      <c r="D35" s="624"/>
      <c r="E35" s="624"/>
      <c r="F35" s="624"/>
      <c r="G35" s="624"/>
      <c r="H35" s="624"/>
      <c r="I35" s="624"/>
      <c r="J35" s="624"/>
      <c r="K35" s="624"/>
      <c r="L35" s="624"/>
      <c r="M35" s="624"/>
      <c r="N35" s="624"/>
      <c r="O35" s="624"/>
      <c r="P35" s="624"/>
      <c r="Q35" s="624"/>
      <c r="R35" s="624"/>
      <c r="S35" s="624"/>
      <c r="T35" s="624"/>
      <c r="U35" s="624"/>
      <c r="V35" s="624"/>
      <c r="W35" s="624"/>
      <c r="X35" s="624"/>
      <c r="Y35" s="624"/>
      <c r="Z35" s="624"/>
      <c r="AA35" s="66"/>
      <c r="AB35" s="66"/>
      <c r="AC35" s="80"/>
    </row>
    <row r="36" spans="1:68" ht="27" customHeight="1" x14ac:dyDescent="0.25">
      <c r="A36" s="63" t="s">
        <v>107</v>
      </c>
      <c r="B36" s="63" t="s">
        <v>108</v>
      </c>
      <c r="C36" s="36">
        <v>4301032013</v>
      </c>
      <c r="D36" s="625">
        <v>4607091388503</v>
      </c>
      <c r="E36" s="625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81</v>
      </c>
      <c r="L36" s="37" t="s">
        <v>45</v>
      </c>
      <c r="M36" s="38" t="s">
        <v>111</v>
      </c>
      <c r="N36" s="38"/>
      <c r="O36" s="37">
        <v>120</v>
      </c>
      <c r="P36" s="6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27"/>
      <c r="R36" s="627"/>
      <c r="S36" s="627"/>
      <c r="T36" s="628"/>
      <c r="U36" s="39" t="s">
        <v>45</v>
      </c>
      <c r="V36" s="39" t="s">
        <v>45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45</v>
      </c>
      <c r="AB36" s="69" t="s">
        <v>45</v>
      </c>
      <c r="AC36" s="102" t="s">
        <v>109</v>
      </c>
      <c r="AG36" s="78"/>
      <c r="AJ36" s="84" t="s">
        <v>45</v>
      </c>
      <c r="AK36" s="84">
        <v>0</v>
      </c>
      <c r="BB36" s="103" t="s">
        <v>110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x14ac:dyDescent="0.2">
      <c r="A37" s="633"/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4"/>
      <c r="P37" s="630" t="s">
        <v>40</v>
      </c>
      <c r="Q37" s="631"/>
      <c r="R37" s="631"/>
      <c r="S37" s="631"/>
      <c r="T37" s="631"/>
      <c r="U37" s="631"/>
      <c r="V37" s="632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x14ac:dyDescent="0.2">
      <c r="A38" s="633"/>
      <c r="B38" s="633"/>
      <c r="C38" s="633"/>
      <c r="D38" s="633"/>
      <c r="E38" s="633"/>
      <c r="F38" s="633"/>
      <c r="G38" s="633"/>
      <c r="H38" s="633"/>
      <c r="I38" s="633"/>
      <c r="J38" s="633"/>
      <c r="K38" s="633"/>
      <c r="L38" s="633"/>
      <c r="M38" s="633"/>
      <c r="N38" s="633"/>
      <c r="O38" s="634"/>
      <c r="P38" s="630" t="s">
        <v>40</v>
      </c>
      <c r="Q38" s="631"/>
      <c r="R38" s="631"/>
      <c r="S38" s="631"/>
      <c r="T38" s="631"/>
      <c r="U38" s="631"/>
      <c r="V38" s="632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customHeight="1" x14ac:dyDescent="0.2">
      <c r="A39" s="622" t="s">
        <v>112</v>
      </c>
      <c r="B39" s="622"/>
      <c r="C39" s="622"/>
      <c r="D39" s="622"/>
      <c r="E39" s="622"/>
      <c r="F39" s="622"/>
      <c r="G39" s="622"/>
      <c r="H39" s="622"/>
      <c r="I39" s="622"/>
      <c r="J39" s="622"/>
      <c r="K39" s="622"/>
      <c r="L39" s="622"/>
      <c r="M39" s="622"/>
      <c r="N39" s="622"/>
      <c r="O39" s="622"/>
      <c r="P39" s="622"/>
      <c r="Q39" s="622"/>
      <c r="R39" s="622"/>
      <c r="S39" s="622"/>
      <c r="T39" s="622"/>
      <c r="U39" s="622"/>
      <c r="V39" s="622"/>
      <c r="W39" s="622"/>
      <c r="X39" s="622"/>
      <c r="Y39" s="622"/>
      <c r="Z39" s="622"/>
      <c r="AA39" s="54"/>
      <c r="AB39" s="54"/>
      <c r="AC39" s="54"/>
    </row>
    <row r="40" spans="1:68" ht="16.5" customHeight="1" x14ac:dyDescent="0.25">
      <c r="A40" s="623" t="s">
        <v>113</v>
      </c>
      <c r="B40" s="623"/>
      <c r="C40" s="623"/>
      <c r="D40" s="623"/>
      <c r="E40" s="623"/>
      <c r="F40" s="623"/>
      <c r="G40" s="623"/>
      <c r="H40" s="623"/>
      <c r="I40" s="623"/>
      <c r="J40" s="623"/>
      <c r="K40" s="623"/>
      <c r="L40" s="623"/>
      <c r="M40" s="623"/>
      <c r="N40" s="623"/>
      <c r="O40" s="623"/>
      <c r="P40" s="623"/>
      <c r="Q40" s="623"/>
      <c r="R40" s="623"/>
      <c r="S40" s="623"/>
      <c r="T40" s="623"/>
      <c r="U40" s="623"/>
      <c r="V40" s="623"/>
      <c r="W40" s="623"/>
      <c r="X40" s="623"/>
      <c r="Y40" s="623"/>
      <c r="Z40" s="623"/>
      <c r="AA40" s="65"/>
      <c r="AB40" s="65"/>
      <c r="AC40" s="79"/>
    </row>
    <row r="41" spans="1:68" ht="14.25" customHeight="1" x14ac:dyDescent="0.25">
      <c r="A41" s="624" t="s">
        <v>114</v>
      </c>
      <c r="B41" s="624"/>
      <c r="C41" s="624"/>
      <c r="D41" s="624"/>
      <c r="E41" s="624"/>
      <c r="F41" s="624"/>
      <c r="G41" s="624"/>
      <c r="H41" s="624"/>
      <c r="I41" s="624"/>
      <c r="J41" s="624"/>
      <c r="K41" s="624"/>
      <c r="L41" s="624"/>
      <c r="M41" s="624"/>
      <c r="N41" s="624"/>
      <c r="O41" s="624"/>
      <c r="P41" s="624"/>
      <c r="Q41" s="624"/>
      <c r="R41" s="624"/>
      <c r="S41" s="624"/>
      <c r="T41" s="624"/>
      <c r="U41" s="624"/>
      <c r="V41" s="624"/>
      <c r="W41" s="624"/>
      <c r="X41" s="624"/>
      <c r="Y41" s="624"/>
      <c r="Z41" s="624"/>
      <c r="AA41" s="66"/>
      <c r="AB41" s="66"/>
      <c r="AC41" s="80"/>
    </row>
    <row r="42" spans="1:68" ht="16.5" customHeight="1" x14ac:dyDescent="0.25">
      <c r="A42" s="63" t="s">
        <v>115</v>
      </c>
      <c r="B42" s="63" t="s">
        <v>116</v>
      </c>
      <c r="C42" s="36">
        <v>4301011380</v>
      </c>
      <c r="D42" s="625">
        <v>4607091385670</v>
      </c>
      <c r="E42" s="625"/>
      <c r="F42" s="62">
        <v>1.35</v>
      </c>
      <c r="G42" s="37">
        <v>8</v>
      </c>
      <c r="H42" s="62">
        <v>10.8</v>
      </c>
      <c r="I42" s="62">
        <v>11.21</v>
      </c>
      <c r="J42" s="37">
        <v>64</v>
      </c>
      <c r="K42" s="37" t="s">
        <v>119</v>
      </c>
      <c r="L42" s="37" t="s">
        <v>45</v>
      </c>
      <c r="M42" s="38" t="s">
        <v>118</v>
      </c>
      <c r="N42" s="38"/>
      <c r="O42" s="37">
        <v>50</v>
      </c>
      <c r="P42" s="64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627"/>
      <c r="R42" s="627"/>
      <c r="S42" s="627"/>
      <c r="T42" s="628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IFERROR(IF(Y42=0,"",ROUNDUP(Y42/H42,0)*0.01898),"")</f>
        <v/>
      </c>
      <c r="AA42" s="68" t="s">
        <v>45</v>
      </c>
      <c r="AB42" s="69" t="s">
        <v>45</v>
      </c>
      <c r="AC42" s="104" t="s">
        <v>117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120</v>
      </c>
      <c r="B43" s="63" t="s">
        <v>121</v>
      </c>
      <c r="C43" s="36">
        <v>4301011565</v>
      </c>
      <c r="D43" s="625">
        <v>4680115882539</v>
      </c>
      <c r="E43" s="625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122</v>
      </c>
      <c r="L43" s="37" t="s">
        <v>45</v>
      </c>
      <c r="M43" s="38" t="s">
        <v>90</v>
      </c>
      <c r="N43" s="38"/>
      <c r="O43" s="37">
        <v>50</v>
      </c>
      <c r="P43" s="6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7"/>
      <c r="R43" s="627"/>
      <c r="S43" s="627"/>
      <c r="T43" s="628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117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123</v>
      </c>
      <c r="B44" s="63" t="s">
        <v>124</v>
      </c>
      <c r="C44" s="36">
        <v>4301011382</v>
      </c>
      <c r="D44" s="625">
        <v>4607091385687</v>
      </c>
      <c r="E44" s="625"/>
      <c r="F44" s="62">
        <v>0.4</v>
      </c>
      <c r="G44" s="37">
        <v>10</v>
      </c>
      <c r="H44" s="62">
        <v>4</v>
      </c>
      <c r="I44" s="62">
        <v>4.1900000000000004</v>
      </c>
      <c r="J44" s="37">
        <v>132</v>
      </c>
      <c r="K44" s="37" t="s">
        <v>122</v>
      </c>
      <c r="L44" s="37" t="s">
        <v>45</v>
      </c>
      <c r="M44" s="38" t="s">
        <v>90</v>
      </c>
      <c r="N44" s="38"/>
      <c r="O44" s="37">
        <v>50</v>
      </c>
      <c r="P44" s="64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627"/>
      <c r="R44" s="627"/>
      <c r="S44" s="627"/>
      <c r="T44" s="628"/>
      <c r="U44" s="39" t="s">
        <v>45</v>
      </c>
      <c r="V44" s="39" t="s">
        <v>45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IFERROR(IF(Y44=0,"",ROUNDUP(Y44/H44,0)*0.00902),"")</f>
        <v/>
      </c>
      <c r="AA44" s="68" t="s">
        <v>45</v>
      </c>
      <c r="AB44" s="69" t="s">
        <v>45</v>
      </c>
      <c r="AC44" s="108" t="s">
        <v>117</v>
      </c>
      <c r="AG44" s="78"/>
      <c r="AJ44" s="84" t="s">
        <v>45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x14ac:dyDescent="0.2">
      <c r="A45" s="633"/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4"/>
      <c r="P45" s="630" t="s">
        <v>40</v>
      </c>
      <c r="Q45" s="631"/>
      <c r="R45" s="631"/>
      <c r="S45" s="631"/>
      <c r="T45" s="631"/>
      <c r="U45" s="631"/>
      <c r="V45" s="632"/>
      <c r="W45" s="42" t="s">
        <v>39</v>
      </c>
      <c r="X45" s="43">
        <f>IFERROR(X42/H42,"0")+IFERROR(X43/H43,"0")+IFERROR(X44/H44,"0")</f>
        <v>0</v>
      </c>
      <c r="Y45" s="43">
        <f>IFERROR(Y42/H42,"0")+IFERROR(Y43/H43,"0")+IFERROR(Y44/H44,"0")</f>
        <v>0</v>
      </c>
      <c r="Z45" s="43">
        <f>IFERROR(IF(Z42="",0,Z42),"0")+IFERROR(IF(Z43="",0,Z43),"0")+IFERROR(IF(Z44="",0,Z44),"0")</f>
        <v>0</v>
      </c>
      <c r="AA45" s="67"/>
      <c r="AB45" s="67"/>
      <c r="AC45" s="67"/>
    </row>
    <row r="46" spans="1:68" x14ac:dyDescent="0.2">
      <c r="A46" s="633"/>
      <c r="B46" s="633"/>
      <c r="C46" s="633"/>
      <c r="D46" s="633"/>
      <c r="E46" s="633"/>
      <c r="F46" s="633"/>
      <c r="G46" s="633"/>
      <c r="H46" s="633"/>
      <c r="I46" s="633"/>
      <c r="J46" s="633"/>
      <c r="K46" s="633"/>
      <c r="L46" s="633"/>
      <c r="M46" s="633"/>
      <c r="N46" s="633"/>
      <c r="O46" s="634"/>
      <c r="P46" s="630" t="s">
        <v>40</v>
      </c>
      <c r="Q46" s="631"/>
      <c r="R46" s="631"/>
      <c r="S46" s="631"/>
      <c r="T46" s="631"/>
      <c r="U46" s="631"/>
      <c r="V46" s="632"/>
      <c r="W46" s="42" t="s">
        <v>0</v>
      </c>
      <c r="X46" s="43">
        <f>IFERROR(SUM(X42:X44),"0")</f>
        <v>0</v>
      </c>
      <c r="Y46" s="43">
        <f>IFERROR(SUM(Y42:Y44),"0")</f>
        <v>0</v>
      </c>
      <c r="Z46" s="42"/>
      <c r="AA46" s="67"/>
      <c r="AB46" s="67"/>
      <c r="AC46" s="67"/>
    </row>
    <row r="47" spans="1:68" ht="14.25" customHeight="1" x14ac:dyDescent="0.25">
      <c r="A47" s="624" t="s">
        <v>86</v>
      </c>
      <c r="B47" s="624"/>
      <c r="C47" s="624"/>
      <c r="D47" s="624"/>
      <c r="E47" s="624"/>
      <c r="F47" s="624"/>
      <c r="G47" s="624"/>
      <c r="H47" s="624"/>
      <c r="I47" s="624"/>
      <c r="J47" s="624"/>
      <c r="K47" s="624"/>
      <c r="L47" s="624"/>
      <c r="M47" s="624"/>
      <c r="N47" s="624"/>
      <c r="O47" s="624"/>
      <c r="P47" s="624"/>
      <c r="Q47" s="624"/>
      <c r="R47" s="624"/>
      <c r="S47" s="624"/>
      <c r="T47" s="624"/>
      <c r="U47" s="624"/>
      <c r="V47" s="624"/>
      <c r="W47" s="624"/>
      <c r="X47" s="624"/>
      <c r="Y47" s="624"/>
      <c r="Z47" s="624"/>
      <c r="AA47" s="66"/>
      <c r="AB47" s="66"/>
      <c r="AC47" s="80"/>
    </row>
    <row r="48" spans="1:68" ht="16.5" customHeight="1" x14ac:dyDescent="0.25">
      <c r="A48" s="63" t="s">
        <v>125</v>
      </c>
      <c r="B48" s="63" t="s">
        <v>126</v>
      </c>
      <c r="C48" s="36">
        <v>4301051820</v>
      </c>
      <c r="D48" s="625">
        <v>4680115884915</v>
      </c>
      <c r="E48" s="625"/>
      <c r="F48" s="62">
        <v>0.3</v>
      </c>
      <c r="G48" s="37">
        <v>6</v>
      </c>
      <c r="H48" s="62">
        <v>1.8</v>
      </c>
      <c r="I48" s="62">
        <v>1.98</v>
      </c>
      <c r="J48" s="37">
        <v>182</v>
      </c>
      <c r="K48" s="37" t="s">
        <v>81</v>
      </c>
      <c r="L48" s="37" t="s">
        <v>45</v>
      </c>
      <c r="M48" s="38" t="s">
        <v>90</v>
      </c>
      <c r="N48" s="38"/>
      <c r="O48" s="37">
        <v>40</v>
      </c>
      <c r="P48" s="64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627"/>
      <c r="R48" s="627"/>
      <c r="S48" s="627"/>
      <c r="T48" s="628"/>
      <c r="U48" s="39" t="s">
        <v>45</v>
      </c>
      <c r="V48" s="39" t="s">
        <v>45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IFERROR(IF(Y48=0,"",ROUNDUP(Y48/H48,0)*0.00651),"")</f>
        <v/>
      </c>
      <c r="AA48" s="68" t="s">
        <v>45</v>
      </c>
      <c r="AB48" s="69" t="s">
        <v>45</v>
      </c>
      <c r="AC48" s="110" t="s">
        <v>127</v>
      </c>
      <c r="AG48" s="78"/>
      <c r="AJ48" s="84" t="s">
        <v>45</v>
      </c>
      <c r="AK48" s="84">
        <v>0</v>
      </c>
      <c r="BB48" s="111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x14ac:dyDescent="0.2">
      <c r="A49" s="633"/>
      <c r="B49" s="633"/>
      <c r="C49" s="633"/>
      <c r="D49" s="633"/>
      <c r="E49" s="633"/>
      <c r="F49" s="633"/>
      <c r="G49" s="633"/>
      <c r="H49" s="633"/>
      <c r="I49" s="633"/>
      <c r="J49" s="633"/>
      <c r="K49" s="633"/>
      <c r="L49" s="633"/>
      <c r="M49" s="633"/>
      <c r="N49" s="633"/>
      <c r="O49" s="634"/>
      <c r="P49" s="630" t="s">
        <v>40</v>
      </c>
      <c r="Q49" s="631"/>
      <c r="R49" s="631"/>
      <c r="S49" s="631"/>
      <c r="T49" s="631"/>
      <c r="U49" s="631"/>
      <c r="V49" s="632"/>
      <c r="W49" s="42" t="s">
        <v>39</v>
      </c>
      <c r="X49" s="43">
        <f>IFERROR(X48/H48,"0")</f>
        <v>0</v>
      </c>
      <c r="Y49" s="43">
        <f>IFERROR(Y48/H48,"0")</f>
        <v>0</v>
      </c>
      <c r="Z49" s="43">
        <f>IFERROR(IF(Z48="",0,Z48),"0")</f>
        <v>0</v>
      </c>
      <c r="AA49" s="67"/>
      <c r="AB49" s="67"/>
      <c r="AC49" s="67"/>
    </row>
    <row r="50" spans="1:68" x14ac:dyDescent="0.2">
      <c r="A50" s="633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0" t="s">
        <v>40</v>
      </c>
      <c r="Q50" s="631"/>
      <c r="R50" s="631"/>
      <c r="S50" s="631"/>
      <c r="T50" s="631"/>
      <c r="U50" s="631"/>
      <c r="V50" s="632"/>
      <c r="W50" s="42" t="s">
        <v>0</v>
      </c>
      <c r="X50" s="43">
        <f>IFERROR(SUM(X48:X48),"0")</f>
        <v>0</v>
      </c>
      <c r="Y50" s="43">
        <f>IFERROR(SUM(Y48:Y48),"0")</f>
        <v>0</v>
      </c>
      <c r="Z50" s="42"/>
      <c r="AA50" s="67"/>
      <c r="AB50" s="67"/>
      <c r="AC50" s="67"/>
    </row>
    <row r="51" spans="1:68" ht="16.5" customHeight="1" x14ac:dyDescent="0.25">
      <c r="A51" s="623" t="s">
        <v>128</v>
      </c>
      <c r="B51" s="623"/>
      <c r="C51" s="623"/>
      <c r="D51" s="623"/>
      <c r="E51" s="623"/>
      <c r="F51" s="623"/>
      <c r="G51" s="623"/>
      <c r="H51" s="623"/>
      <c r="I51" s="623"/>
      <c r="J51" s="623"/>
      <c r="K51" s="623"/>
      <c r="L51" s="623"/>
      <c r="M51" s="623"/>
      <c r="N51" s="623"/>
      <c r="O51" s="623"/>
      <c r="P51" s="623"/>
      <c r="Q51" s="623"/>
      <c r="R51" s="623"/>
      <c r="S51" s="623"/>
      <c r="T51" s="623"/>
      <c r="U51" s="623"/>
      <c r="V51" s="623"/>
      <c r="W51" s="623"/>
      <c r="X51" s="623"/>
      <c r="Y51" s="623"/>
      <c r="Z51" s="623"/>
      <c r="AA51" s="65"/>
      <c r="AB51" s="65"/>
      <c r="AC51" s="79"/>
    </row>
    <row r="52" spans="1:68" ht="14.25" customHeight="1" x14ac:dyDescent="0.25">
      <c r="A52" s="624" t="s">
        <v>114</v>
      </c>
      <c r="B52" s="624"/>
      <c r="C52" s="624"/>
      <c r="D52" s="624"/>
      <c r="E52" s="624"/>
      <c r="F52" s="624"/>
      <c r="G52" s="624"/>
      <c r="H52" s="624"/>
      <c r="I52" s="624"/>
      <c r="J52" s="624"/>
      <c r="K52" s="624"/>
      <c r="L52" s="624"/>
      <c r="M52" s="624"/>
      <c r="N52" s="624"/>
      <c r="O52" s="624"/>
      <c r="P52" s="624"/>
      <c r="Q52" s="624"/>
      <c r="R52" s="624"/>
      <c r="S52" s="624"/>
      <c r="T52" s="624"/>
      <c r="U52" s="624"/>
      <c r="V52" s="624"/>
      <c r="W52" s="624"/>
      <c r="X52" s="624"/>
      <c r="Y52" s="624"/>
      <c r="Z52" s="624"/>
      <c r="AA52" s="66"/>
      <c r="AB52" s="66"/>
      <c r="AC52" s="80"/>
    </row>
    <row r="53" spans="1:68" ht="27" customHeight="1" x14ac:dyDescent="0.25">
      <c r="A53" s="63" t="s">
        <v>129</v>
      </c>
      <c r="B53" s="63" t="s">
        <v>130</v>
      </c>
      <c r="C53" s="36">
        <v>4301012030</v>
      </c>
      <c r="D53" s="625">
        <v>4680115885882</v>
      </c>
      <c r="E53" s="625"/>
      <c r="F53" s="62">
        <v>1.4</v>
      </c>
      <c r="G53" s="37">
        <v>8</v>
      </c>
      <c r="H53" s="62">
        <v>11.2</v>
      </c>
      <c r="I53" s="62">
        <v>11.61</v>
      </c>
      <c r="J53" s="37">
        <v>64</v>
      </c>
      <c r="K53" s="37" t="s">
        <v>119</v>
      </c>
      <c r="L53" s="37" t="s">
        <v>45</v>
      </c>
      <c r="M53" s="38" t="s">
        <v>90</v>
      </c>
      <c r="N53" s="38"/>
      <c r="O53" s="37">
        <v>50</v>
      </c>
      <c r="P53" s="64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627"/>
      <c r="R53" s="627"/>
      <c r="S53" s="627"/>
      <c r="T53" s="628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ref="Y53:Y58" si="6">IFERROR(IF(X53="",0,CEILING((X53/$H53),1)*$H53),"")</f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ref="BM53:BM58" si="7">IFERROR(X53*I53/H53,"0")</f>
        <v>0</v>
      </c>
      <c r="BN53" s="78">
        <f t="shared" ref="BN53:BN58" si="8">IFERROR(Y53*I53/H53,"0")</f>
        <v>0</v>
      </c>
      <c r="BO53" s="78">
        <f t="shared" ref="BO53:BO58" si="9">IFERROR(1/J53*(X53/H53),"0")</f>
        <v>0</v>
      </c>
      <c r="BP53" s="78">
        <f t="shared" ref="BP53:BP58" si="10">IFERROR(1/J53*(Y53/H53),"0")</f>
        <v>0</v>
      </c>
    </row>
    <row r="54" spans="1:68" ht="27" customHeight="1" x14ac:dyDescent="0.25">
      <c r="A54" s="63" t="s">
        <v>132</v>
      </c>
      <c r="B54" s="63" t="s">
        <v>133</v>
      </c>
      <c r="C54" s="36">
        <v>4301011816</v>
      </c>
      <c r="D54" s="625">
        <v>4680115881426</v>
      </c>
      <c r="E54" s="625"/>
      <c r="F54" s="62">
        <v>1.35</v>
      </c>
      <c r="G54" s="37">
        <v>8</v>
      </c>
      <c r="H54" s="62">
        <v>10.8</v>
      </c>
      <c r="I54" s="62">
        <v>11.21</v>
      </c>
      <c r="J54" s="37">
        <v>64</v>
      </c>
      <c r="K54" s="37" t="s">
        <v>119</v>
      </c>
      <c r="L54" s="37" t="s">
        <v>45</v>
      </c>
      <c r="M54" s="38" t="s">
        <v>118</v>
      </c>
      <c r="N54" s="38"/>
      <c r="O54" s="37">
        <v>50</v>
      </c>
      <c r="P54" s="64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627"/>
      <c r="R54" s="627"/>
      <c r="S54" s="627"/>
      <c r="T54" s="628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6"/>
        <v>0</v>
      </c>
      <c r="Z54" s="41" t="str">
        <f>IFERROR(IF(Y54=0,"",ROUNDUP(Y54/H54,0)*0.01898),"")</f>
        <v/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7"/>
        <v>0</v>
      </c>
      <c r="BN54" s="78">
        <f t="shared" si="8"/>
        <v>0</v>
      </c>
      <c r="BO54" s="78">
        <f t="shared" si="9"/>
        <v>0</v>
      </c>
      <c r="BP54" s="78">
        <f t="shared" si="10"/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4301011386</v>
      </c>
      <c r="D55" s="625">
        <v>4680115880283</v>
      </c>
      <c r="E55" s="625"/>
      <c r="F55" s="62">
        <v>0.6</v>
      </c>
      <c r="G55" s="37">
        <v>8</v>
      </c>
      <c r="H55" s="62">
        <v>4.8</v>
      </c>
      <c r="I55" s="62">
        <v>4.99</v>
      </c>
      <c r="J55" s="37">
        <v>132</v>
      </c>
      <c r="K55" s="37" t="s">
        <v>122</v>
      </c>
      <c r="L55" s="37" t="s">
        <v>45</v>
      </c>
      <c r="M55" s="38" t="s">
        <v>118</v>
      </c>
      <c r="N55" s="38"/>
      <c r="O55" s="37">
        <v>45</v>
      </c>
      <c r="P55" s="64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627"/>
      <c r="R55" s="627"/>
      <c r="S55" s="627"/>
      <c r="T55" s="628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6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7"/>
        <v>0</v>
      </c>
      <c r="BN55" s="78">
        <f t="shared" si="8"/>
        <v>0</v>
      </c>
      <c r="BO55" s="78">
        <f t="shared" si="9"/>
        <v>0</v>
      </c>
      <c r="BP55" s="78">
        <f t="shared" si="10"/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4301011806</v>
      </c>
      <c r="D56" s="625">
        <v>4680115881525</v>
      </c>
      <c r="E56" s="625"/>
      <c r="F56" s="62">
        <v>0.4</v>
      </c>
      <c r="G56" s="37">
        <v>10</v>
      </c>
      <c r="H56" s="62">
        <v>4</v>
      </c>
      <c r="I56" s="62">
        <v>4.1900000000000004</v>
      </c>
      <c r="J56" s="37">
        <v>132</v>
      </c>
      <c r="K56" s="37" t="s">
        <v>122</v>
      </c>
      <c r="L56" s="37" t="s">
        <v>45</v>
      </c>
      <c r="M56" s="38" t="s">
        <v>118</v>
      </c>
      <c r="N56" s="38"/>
      <c r="O56" s="37">
        <v>50</v>
      </c>
      <c r="P56" s="64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627"/>
      <c r="R56" s="627"/>
      <c r="S56" s="627"/>
      <c r="T56" s="628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6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7"/>
        <v>0</v>
      </c>
      <c r="BN56" s="78">
        <f t="shared" si="8"/>
        <v>0</v>
      </c>
      <c r="BO56" s="78">
        <f t="shared" si="9"/>
        <v>0</v>
      </c>
      <c r="BP56" s="78">
        <f t="shared" si="10"/>
        <v>0</v>
      </c>
    </row>
    <row r="57" spans="1:68" ht="27" customHeight="1" x14ac:dyDescent="0.25">
      <c r="A57" s="63" t="s">
        <v>141</v>
      </c>
      <c r="B57" s="63" t="s">
        <v>142</v>
      </c>
      <c r="C57" s="36">
        <v>4301011589</v>
      </c>
      <c r="D57" s="625">
        <v>4680115885899</v>
      </c>
      <c r="E57" s="625"/>
      <c r="F57" s="62">
        <v>0.35</v>
      </c>
      <c r="G57" s="37">
        <v>6</v>
      </c>
      <c r="H57" s="62">
        <v>2.1</v>
      </c>
      <c r="I57" s="62">
        <v>2.2799999999999998</v>
      </c>
      <c r="J57" s="37">
        <v>182</v>
      </c>
      <c r="K57" s="37" t="s">
        <v>81</v>
      </c>
      <c r="L57" s="37" t="s">
        <v>45</v>
      </c>
      <c r="M57" s="38" t="s">
        <v>96</v>
      </c>
      <c r="N57" s="38"/>
      <c r="O57" s="37">
        <v>50</v>
      </c>
      <c r="P57" s="65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627"/>
      <c r="R57" s="627"/>
      <c r="S57" s="627"/>
      <c r="T57" s="628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IFERROR(IF(Y57=0,"",ROUNDUP(Y57/H57,0)*0.00651),"")</f>
        <v/>
      </c>
      <c r="AA57" s="68" t="s">
        <v>45</v>
      </c>
      <c r="AB57" s="69" t="s">
        <v>45</v>
      </c>
      <c r="AC57" s="120" t="s">
        <v>143</v>
      </c>
      <c r="AG57" s="78"/>
      <c r="AJ57" s="84" t="s">
        <v>45</v>
      </c>
      <c r="AK57" s="84">
        <v>0</v>
      </c>
      <c r="BB57" s="121" t="s">
        <v>66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37.5" customHeight="1" x14ac:dyDescent="0.25">
      <c r="A58" s="63" t="s">
        <v>144</v>
      </c>
      <c r="B58" s="63" t="s">
        <v>145</v>
      </c>
      <c r="C58" s="36">
        <v>4301011801</v>
      </c>
      <c r="D58" s="625">
        <v>4680115881419</v>
      </c>
      <c r="E58" s="625"/>
      <c r="F58" s="62">
        <v>0.45</v>
      </c>
      <c r="G58" s="37">
        <v>10</v>
      </c>
      <c r="H58" s="62">
        <v>4.5</v>
      </c>
      <c r="I58" s="62">
        <v>4.6900000000000004</v>
      </c>
      <c r="J58" s="37">
        <v>132</v>
      </c>
      <c r="K58" s="37" t="s">
        <v>122</v>
      </c>
      <c r="L58" s="37" t="s">
        <v>45</v>
      </c>
      <c r="M58" s="38" t="s">
        <v>118</v>
      </c>
      <c r="N58" s="38"/>
      <c r="O58" s="37">
        <v>50</v>
      </c>
      <c r="P58" s="65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627"/>
      <c r="R58" s="627"/>
      <c r="S58" s="627"/>
      <c r="T58" s="628"/>
      <c r="U58" s="39" t="s">
        <v>45</v>
      </c>
      <c r="V58" s="39" t="s">
        <v>45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45</v>
      </c>
      <c r="AB58" s="69" t="s">
        <v>45</v>
      </c>
      <c r="AC58" s="122" t="s">
        <v>146</v>
      </c>
      <c r="AG58" s="78"/>
      <c r="AJ58" s="84" t="s">
        <v>45</v>
      </c>
      <c r="AK58" s="84">
        <v>0</v>
      </c>
      <c r="BB58" s="123" t="s">
        <v>66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x14ac:dyDescent="0.2">
      <c r="A59" s="633"/>
      <c r="B59" s="633"/>
      <c r="C59" s="633"/>
      <c r="D59" s="633"/>
      <c r="E59" s="633"/>
      <c r="F59" s="633"/>
      <c r="G59" s="633"/>
      <c r="H59" s="633"/>
      <c r="I59" s="633"/>
      <c r="J59" s="633"/>
      <c r="K59" s="633"/>
      <c r="L59" s="633"/>
      <c r="M59" s="633"/>
      <c r="N59" s="633"/>
      <c r="O59" s="634"/>
      <c r="P59" s="630" t="s">
        <v>40</v>
      </c>
      <c r="Q59" s="631"/>
      <c r="R59" s="631"/>
      <c r="S59" s="631"/>
      <c r="T59" s="631"/>
      <c r="U59" s="631"/>
      <c r="V59" s="632"/>
      <c r="W59" s="42" t="s">
        <v>39</v>
      </c>
      <c r="X59" s="43">
        <f>IFERROR(X53/H53,"0")+IFERROR(X54/H54,"0")+IFERROR(X55/H55,"0")+IFERROR(X56/H56,"0")+IFERROR(X57/H57,"0")+IFERROR(X58/H58,"0")</f>
        <v>0</v>
      </c>
      <c r="Y59" s="43">
        <f>IFERROR(Y53/H53,"0")+IFERROR(Y54/H54,"0")+IFERROR(Y55/H55,"0")+IFERROR(Y56/H56,"0")+IFERROR(Y57/H57,"0")+IFERROR(Y58/H58,"0")</f>
        <v>0</v>
      </c>
      <c r="Z59" s="43">
        <f>IFERROR(IF(Z53="",0,Z53),"0")+IFERROR(IF(Z54="",0,Z54),"0")+IFERROR(IF(Z55="",0,Z55),"0")+IFERROR(IF(Z56="",0,Z56),"0")+IFERROR(IF(Z57="",0,Z57),"0")+IFERROR(IF(Z58="",0,Z58),"0")</f>
        <v>0</v>
      </c>
      <c r="AA59" s="67"/>
      <c r="AB59" s="67"/>
      <c r="AC59" s="67"/>
    </row>
    <row r="60" spans="1:68" x14ac:dyDescent="0.2">
      <c r="A60" s="633"/>
      <c r="B60" s="633"/>
      <c r="C60" s="633"/>
      <c r="D60" s="633"/>
      <c r="E60" s="633"/>
      <c r="F60" s="633"/>
      <c r="G60" s="633"/>
      <c r="H60" s="633"/>
      <c r="I60" s="633"/>
      <c r="J60" s="633"/>
      <c r="K60" s="633"/>
      <c r="L60" s="633"/>
      <c r="M60" s="633"/>
      <c r="N60" s="633"/>
      <c r="O60" s="634"/>
      <c r="P60" s="630" t="s">
        <v>40</v>
      </c>
      <c r="Q60" s="631"/>
      <c r="R60" s="631"/>
      <c r="S60" s="631"/>
      <c r="T60" s="631"/>
      <c r="U60" s="631"/>
      <c r="V60" s="632"/>
      <c r="W60" s="42" t="s">
        <v>0</v>
      </c>
      <c r="X60" s="43">
        <f>IFERROR(SUM(X53:X58),"0")</f>
        <v>0</v>
      </c>
      <c r="Y60" s="43">
        <f>IFERROR(SUM(Y53:Y58),"0")</f>
        <v>0</v>
      </c>
      <c r="Z60" s="42"/>
      <c r="AA60" s="67"/>
      <c r="AB60" s="67"/>
      <c r="AC60" s="67"/>
    </row>
    <row r="61" spans="1:68" ht="14.25" customHeight="1" x14ac:dyDescent="0.25">
      <c r="A61" s="624" t="s">
        <v>147</v>
      </c>
      <c r="B61" s="624"/>
      <c r="C61" s="624"/>
      <c r="D61" s="624"/>
      <c r="E61" s="624"/>
      <c r="F61" s="624"/>
      <c r="G61" s="624"/>
      <c r="H61" s="624"/>
      <c r="I61" s="624"/>
      <c r="J61" s="624"/>
      <c r="K61" s="624"/>
      <c r="L61" s="624"/>
      <c r="M61" s="624"/>
      <c r="N61" s="624"/>
      <c r="O61" s="624"/>
      <c r="P61" s="624"/>
      <c r="Q61" s="624"/>
      <c r="R61" s="624"/>
      <c r="S61" s="624"/>
      <c r="T61" s="624"/>
      <c r="U61" s="624"/>
      <c r="V61" s="624"/>
      <c r="W61" s="624"/>
      <c r="X61" s="624"/>
      <c r="Y61" s="624"/>
      <c r="Z61" s="624"/>
      <c r="AA61" s="66"/>
      <c r="AB61" s="66"/>
      <c r="AC61" s="80"/>
    </row>
    <row r="62" spans="1:68" ht="16.5" customHeight="1" x14ac:dyDescent="0.25">
      <c r="A62" s="63" t="s">
        <v>148</v>
      </c>
      <c r="B62" s="63" t="s">
        <v>149</v>
      </c>
      <c r="C62" s="36">
        <v>4301020298</v>
      </c>
      <c r="D62" s="625">
        <v>4680115881440</v>
      </c>
      <c r="E62" s="625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119</v>
      </c>
      <c r="L62" s="37" t="s">
        <v>45</v>
      </c>
      <c r="M62" s="38" t="s">
        <v>118</v>
      </c>
      <c r="N62" s="38"/>
      <c r="O62" s="37">
        <v>50</v>
      </c>
      <c r="P62" s="6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627"/>
      <c r="R62" s="627"/>
      <c r="S62" s="627"/>
      <c r="T62" s="628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IFERROR(IF(Y62=0,"",ROUNDUP(Y62/H62,0)*0.01898),"")</f>
        <v/>
      </c>
      <c r="AA62" s="68" t="s">
        <v>45</v>
      </c>
      <c r="AB62" s="69" t="s">
        <v>45</v>
      </c>
      <c r="AC62" s="124" t="s">
        <v>150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16.5" customHeight="1" x14ac:dyDescent="0.25">
      <c r="A63" s="63" t="s">
        <v>151</v>
      </c>
      <c r="B63" s="63" t="s">
        <v>152</v>
      </c>
      <c r="C63" s="36">
        <v>4301020358</v>
      </c>
      <c r="D63" s="625">
        <v>4680115885950</v>
      </c>
      <c r="E63" s="625"/>
      <c r="F63" s="62">
        <v>0.37</v>
      </c>
      <c r="G63" s="37">
        <v>6</v>
      </c>
      <c r="H63" s="62">
        <v>2.2200000000000002</v>
      </c>
      <c r="I63" s="62">
        <v>2.4</v>
      </c>
      <c r="J63" s="37">
        <v>182</v>
      </c>
      <c r="K63" s="37" t="s">
        <v>81</v>
      </c>
      <c r="L63" s="37" t="s">
        <v>45</v>
      </c>
      <c r="M63" s="38" t="s">
        <v>90</v>
      </c>
      <c r="N63" s="38"/>
      <c r="O63" s="37">
        <v>50</v>
      </c>
      <c r="P63" s="65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627"/>
      <c r="R63" s="627"/>
      <c r="S63" s="627"/>
      <c r="T63" s="628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150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ht="16.5" customHeight="1" x14ac:dyDescent="0.25">
      <c r="A64" s="63" t="s">
        <v>153</v>
      </c>
      <c r="B64" s="63" t="s">
        <v>154</v>
      </c>
      <c r="C64" s="36">
        <v>4301020371</v>
      </c>
      <c r="D64" s="625">
        <v>4680115887688</v>
      </c>
      <c r="E64" s="625"/>
      <c r="F64" s="62">
        <v>0.1</v>
      </c>
      <c r="G64" s="37">
        <v>10</v>
      </c>
      <c r="H64" s="62">
        <v>1</v>
      </c>
      <c r="I64" s="62">
        <v>1.21</v>
      </c>
      <c r="J64" s="37">
        <v>192</v>
      </c>
      <c r="K64" s="37" t="s">
        <v>156</v>
      </c>
      <c r="L64" s="37" t="s">
        <v>45</v>
      </c>
      <c r="M64" s="38" t="s">
        <v>80</v>
      </c>
      <c r="N64" s="38"/>
      <c r="O64" s="37">
        <v>30</v>
      </c>
      <c r="P64" s="65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627"/>
      <c r="R64" s="627"/>
      <c r="S64" s="627"/>
      <c r="T64" s="628"/>
      <c r="U64" s="39" t="s">
        <v>45</v>
      </c>
      <c r="V64" s="39" t="s">
        <v>45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IFERROR(IF(Y64=0,"",ROUNDUP(Y64/H64,0)*0.00726),"")</f>
        <v/>
      </c>
      <c r="AA64" s="68" t="s">
        <v>45</v>
      </c>
      <c r="AB64" s="69" t="s">
        <v>45</v>
      </c>
      <c r="AC64" s="128" t="s">
        <v>155</v>
      </c>
      <c r="AG64" s="78"/>
      <c r="AJ64" s="84" t="s">
        <v>45</v>
      </c>
      <c r="AK64" s="84">
        <v>0</v>
      </c>
      <c r="BB64" s="129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27" customHeight="1" x14ac:dyDescent="0.25">
      <c r="A65" s="63" t="s">
        <v>157</v>
      </c>
      <c r="B65" s="63" t="s">
        <v>158</v>
      </c>
      <c r="C65" s="36">
        <v>4301020296</v>
      </c>
      <c r="D65" s="625">
        <v>4680115881433</v>
      </c>
      <c r="E65" s="625"/>
      <c r="F65" s="62">
        <v>0.45</v>
      </c>
      <c r="G65" s="37">
        <v>6</v>
      </c>
      <c r="H65" s="62">
        <v>2.7</v>
      </c>
      <c r="I65" s="62">
        <v>2.88</v>
      </c>
      <c r="J65" s="37">
        <v>182</v>
      </c>
      <c r="K65" s="37" t="s">
        <v>81</v>
      </c>
      <c r="L65" s="37" t="s">
        <v>45</v>
      </c>
      <c r="M65" s="38" t="s">
        <v>118</v>
      </c>
      <c r="N65" s="38"/>
      <c r="O65" s="37">
        <v>50</v>
      </c>
      <c r="P65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627"/>
      <c r="R65" s="627"/>
      <c r="S65" s="627"/>
      <c r="T65" s="628"/>
      <c r="U65" s="39" t="s">
        <v>45</v>
      </c>
      <c r="V65" s="39" t="s">
        <v>45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45</v>
      </c>
      <c r="AB65" s="69" t="s">
        <v>45</v>
      </c>
      <c r="AC65" s="130" t="s">
        <v>150</v>
      </c>
      <c r="AG65" s="78"/>
      <c r="AJ65" s="84" t="s">
        <v>45</v>
      </c>
      <c r="AK65" s="84">
        <v>0</v>
      </c>
      <c r="BB65" s="131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x14ac:dyDescent="0.2">
      <c r="A66" s="633"/>
      <c r="B66" s="633"/>
      <c r="C66" s="633"/>
      <c r="D66" s="633"/>
      <c r="E66" s="633"/>
      <c r="F66" s="633"/>
      <c r="G66" s="633"/>
      <c r="H66" s="633"/>
      <c r="I66" s="633"/>
      <c r="J66" s="633"/>
      <c r="K66" s="633"/>
      <c r="L66" s="633"/>
      <c r="M66" s="633"/>
      <c r="N66" s="633"/>
      <c r="O66" s="634"/>
      <c r="P66" s="630" t="s">
        <v>40</v>
      </c>
      <c r="Q66" s="631"/>
      <c r="R66" s="631"/>
      <c r="S66" s="631"/>
      <c r="T66" s="631"/>
      <c r="U66" s="631"/>
      <c r="V66" s="632"/>
      <c r="W66" s="42" t="s">
        <v>39</v>
      </c>
      <c r="X66" s="43">
        <f>IFERROR(X62/H62,"0")+IFERROR(X63/H63,"0")+IFERROR(X64/H64,"0")+IFERROR(X65/H65,"0")</f>
        <v>0</v>
      </c>
      <c r="Y66" s="43">
        <f>IFERROR(Y62/H62,"0")+IFERROR(Y63/H63,"0")+IFERROR(Y64/H64,"0")+IFERROR(Y65/H65,"0")</f>
        <v>0</v>
      </c>
      <c r="Z66" s="43">
        <f>IFERROR(IF(Z62="",0,Z62),"0")+IFERROR(IF(Z63="",0,Z63),"0")+IFERROR(IF(Z64="",0,Z64),"0")+IFERROR(IF(Z65="",0,Z65),"0")</f>
        <v>0</v>
      </c>
      <c r="AA66" s="67"/>
      <c r="AB66" s="67"/>
      <c r="AC66" s="67"/>
    </row>
    <row r="67" spans="1:68" x14ac:dyDescent="0.2">
      <c r="A67" s="633"/>
      <c r="B67" s="633"/>
      <c r="C67" s="633"/>
      <c r="D67" s="633"/>
      <c r="E67" s="633"/>
      <c r="F67" s="633"/>
      <c r="G67" s="633"/>
      <c r="H67" s="633"/>
      <c r="I67" s="633"/>
      <c r="J67" s="633"/>
      <c r="K67" s="633"/>
      <c r="L67" s="633"/>
      <c r="M67" s="633"/>
      <c r="N67" s="633"/>
      <c r="O67" s="634"/>
      <c r="P67" s="630" t="s">
        <v>40</v>
      </c>
      <c r="Q67" s="631"/>
      <c r="R67" s="631"/>
      <c r="S67" s="631"/>
      <c r="T67" s="631"/>
      <c r="U67" s="631"/>
      <c r="V67" s="632"/>
      <c r="W67" s="42" t="s">
        <v>0</v>
      </c>
      <c r="X67" s="43">
        <f>IFERROR(SUM(X62:X65),"0")</f>
        <v>0</v>
      </c>
      <c r="Y67" s="43">
        <f>IFERROR(SUM(Y62:Y65),"0")</f>
        <v>0</v>
      </c>
      <c r="Z67" s="42"/>
      <c r="AA67" s="67"/>
      <c r="AB67" s="67"/>
      <c r="AC67" s="67"/>
    </row>
    <row r="68" spans="1:68" ht="14.25" customHeight="1" x14ac:dyDescent="0.25">
      <c r="A68" s="624" t="s">
        <v>76</v>
      </c>
      <c r="B68" s="624"/>
      <c r="C68" s="624"/>
      <c r="D68" s="624"/>
      <c r="E68" s="624"/>
      <c r="F68" s="624"/>
      <c r="G68" s="624"/>
      <c r="H68" s="624"/>
      <c r="I68" s="624"/>
      <c r="J68" s="624"/>
      <c r="K68" s="624"/>
      <c r="L68" s="624"/>
      <c r="M68" s="624"/>
      <c r="N68" s="624"/>
      <c r="O68" s="624"/>
      <c r="P68" s="624"/>
      <c r="Q68" s="624"/>
      <c r="R68" s="624"/>
      <c r="S68" s="624"/>
      <c r="T68" s="624"/>
      <c r="U68" s="624"/>
      <c r="V68" s="624"/>
      <c r="W68" s="624"/>
      <c r="X68" s="624"/>
      <c r="Y68" s="624"/>
      <c r="Z68" s="624"/>
      <c r="AA68" s="66"/>
      <c r="AB68" s="66"/>
      <c r="AC68" s="80"/>
    </row>
    <row r="69" spans="1:68" ht="27" customHeight="1" x14ac:dyDescent="0.25">
      <c r="A69" s="63" t="s">
        <v>159</v>
      </c>
      <c r="B69" s="63" t="s">
        <v>160</v>
      </c>
      <c r="C69" s="36">
        <v>4301031316</v>
      </c>
      <c r="D69" s="625">
        <v>4680115885097</v>
      </c>
      <c r="E69" s="625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85</v>
      </c>
      <c r="L69" s="37" t="s">
        <v>45</v>
      </c>
      <c r="M69" s="38" t="s">
        <v>80</v>
      </c>
      <c r="N69" s="38"/>
      <c r="O69" s="37">
        <v>40</v>
      </c>
      <c r="P69" s="65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7"/>
      <c r="R69" s="627"/>
      <c r="S69" s="627"/>
      <c r="T69" s="628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161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0" t="s">
        <v>40</v>
      </c>
      <c r="Q70" s="631"/>
      <c r="R70" s="631"/>
      <c r="S70" s="631"/>
      <c r="T70" s="631"/>
      <c r="U70" s="631"/>
      <c r="V70" s="632"/>
      <c r="W70" s="42" t="s">
        <v>39</v>
      </c>
      <c r="X70" s="43">
        <f>IFERROR(X69/H69,"0")</f>
        <v>0</v>
      </c>
      <c r="Y70" s="43">
        <f>IFERROR(Y69/H69,"0")</f>
        <v>0</v>
      </c>
      <c r="Z70" s="43">
        <f>IFERROR(IF(Z69="",0,Z69),"0")</f>
        <v>0</v>
      </c>
      <c r="AA70" s="67"/>
      <c r="AB70" s="67"/>
      <c r="AC70" s="67"/>
    </row>
    <row r="71" spans="1:68" x14ac:dyDescent="0.2">
      <c r="A71" s="633"/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4"/>
      <c r="P71" s="630" t="s">
        <v>40</v>
      </c>
      <c r="Q71" s="631"/>
      <c r="R71" s="631"/>
      <c r="S71" s="631"/>
      <c r="T71" s="631"/>
      <c r="U71" s="631"/>
      <c r="V71" s="632"/>
      <c r="W71" s="42" t="s">
        <v>0</v>
      </c>
      <c r="X71" s="43">
        <f>IFERROR(SUM(X69:X69),"0")</f>
        <v>0</v>
      </c>
      <c r="Y71" s="43">
        <f>IFERROR(SUM(Y69:Y69),"0")</f>
        <v>0</v>
      </c>
      <c r="Z71" s="42"/>
      <c r="AA71" s="67"/>
      <c r="AB71" s="67"/>
      <c r="AC71" s="67"/>
    </row>
    <row r="72" spans="1:68" ht="14.25" customHeight="1" x14ac:dyDescent="0.25">
      <c r="A72" s="624" t="s">
        <v>86</v>
      </c>
      <c r="B72" s="624"/>
      <c r="C72" s="624"/>
      <c r="D72" s="624"/>
      <c r="E72" s="624"/>
      <c r="F72" s="624"/>
      <c r="G72" s="624"/>
      <c r="H72" s="624"/>
      <c r="I72" s="624"/>
      <c r="J72" s="624"/>
      <c r="K72" s="624"/>
      <c r="L72" s="624"/>
      <c r="M72" s="624"/>
      <c r="N72" s="624"/>
      <c r="O72" s="624"/>
      <c r="P72" s="624"/>
      <c r="Q72" s="624"/>
      <c r="R72" s="624"/>
      <c r="S72" s="624"/>
      <c r="T72" s="624"/>
      <c r="U72" s="624"/>
      <c r="V72" s="624"/>
      <c r="W72" s="624"/>
      <c r="X72" s="624"/>
      <c r="Y72" s="624"/>
      <c r="Z72" s="624"/>
      <c r="AA72" s="66"/>
      <c r="AB72" s="66"/>
      <c r="AC72" s="80"/>
    </row>
    <row r="73" spans="1:68" ht="27" customHeight="1" x14ac:dyDescent="0.25">
      <c r="A73" s="63" t="s">
        <v>162</v>
      </c>
      <c r="B73" s="63" t="s">
        <v>163</v>
      </c>
      <c r="C73" s="36">
        <v>4301051846</v>
      </c>
      <c r="D73" s="625">
        <v>4680115885769</v>
      </c>
      <c r="E73" s="625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119</v>
      </c>
      <c r="L73" s="37" t="s">
        <v>45</v>
      </c>
      <c r="M73" s="38" t="s">
        <v>90</v>
      </c>
      <c r="N73" s="38"/>
      <c r="O73" s="37">
        <v>45</v>
      </c>
      <c r="P73" s="65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7"/>
      <c r="R73" s="627"/>
      <c r="S73" s="627"/>
      <c r="T73" s="628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164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165</v>
      </c>
      <c r="B74" s="63" t="s">
        <v>166</v>
      </c>
      <c r="C74" s="36">
        <v>4301051837</v>
      </c>
      <c r="D74" s="625">
        <v>4680115884311</v>
      </c>
      <c r="E74" s="625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81</v>
      </c>
      <c r="L74" s="37" t="s">
        <v>45</v>
      </c>
      <c r="M74" s="38" t="s">
        <v>90</v>
      </c>
      <c r="N74" s="38"/>
      <c r="O74" s="37">
        <v>40</v>
      </c>
      <c r="P74" s="65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7"/>
      <c r="R74" s="627"/>
      <c r="S74" s="627"/>
      <c r="T74" s="628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167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168</v>
      </c>
      <c r="B75" s="63" t="s">
        <v>169</v>
      </c>
      <c r="C75" s="36">
        <v>4301051844</v>
      </c>
      <c r="D75" s="625">
        <v>4680115885929</v>
      </c>
      <c r="E75" s="625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81</v>
      </c>
      <c r="L75" s="37" t="s">
        <v>45</v>
      </c>
      <c r="M75" s="38" t="s">
        <v>90</v>
      </c>
      <c r="N75" s="38"/>
      <c r="O75" s="37">
        <v>45</v>
      </c>
      <c r="P75" s="65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7"/>
      <c r="R75" s="627"/>
      <c r="S75" s="627"/>
      <c r="T75" s="628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164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170</v>
      </c>
      <c r="B76" s="63" t="s">
        <v>171</v>
      </c>
      <c r="C76" s="36">
        <v>4301051929</v>
      </c>
      <c r="D76" s="625">
        <v>4680115884403</v>
      </c>
      <c r="E76" s="625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81</v>
      </c>
      <c r="L76" s="37" t="s">
        <v>45</v>
      </c>
      <c r="M76" s="38" t="s">
        <v>90</v>
      </c>
      <c r="N76" s="38"/>
      <c r="O76" s="37">
        <v>40</v>
      </c>
      <c r="P76" s="6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7"/>
      <c r="R76" s="627"/>
      <c r="S76" s="627"/>
      <c r="T76" s="628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172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633"/>
      <c r="B77" s="633"/>
      <c r="C77" s="633"/>
      <c r="D77" s="633"/>
      <c r="E77" s="633"/>
      <c r="F77" s="633"/>
      <c r="G77" s="633"/>
      <c r="H77" s="633"/>
      <c r="I77" s="633"/>
      <c r="J77" s="633"/>
      <c r="K77" s="633"/>
      <c r="L77" s="633"/>
      <c r="M77" s="633"/>
      <c r="N77" s="633"/>
      <c r="O77" s="634"/>
      <c r="P77" s="630" t="s">
        <v>40</v>
      </c>
      <c r="Q77" s="631"/>
      <c r="R77" s="631"/>
      <c r="S77" s="631"/>
      <c r="T77" s="631"/>
      <c r="U77" s="631"/>
      <c r="V77" s="632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">
      <c r="A78" s="633"/>
      <c r="B78" s="633"/>
      <c r="C78" s="633"/>
      <c r="D78" s="633"/>
      <c r="E78" s="633"/>
      <c r="F78" s="633"/>
      <c r="G78" s="633"/>
      <c r="H78" s="633"/>
      <c r="I78" s="633"/>
      <c r="J78" s="633"/>
      <c r="K78" s="633"/>
      <c r="L78" s="633"/>
      <c r="M78" s="633"/>
      <c r="N78" s="633"/>
      <c r="O78" s="634"/>
      <c r="P78" s="630" t="s">
        <v>40</v>
      </c>
      <c r="Q78" s="631"/>
      <c r="R78" s="631"/>
      <c r="S78" s="631"/>
      <c r="T78" s="631"/>
      <c r="U78" s="631"/>
      <c r="V78" s="632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customHeight="1" x14ac:dyDescent="0.25">
      <c r="A79" s="624" t="s">
        <v>173</v>
      </c>
      <c r="B79" s="624"/>
      <c r="C79" s="624"/>
      <c r="D79" s="624"/>
      <c r="E79" s="624"/>
      <c r="F79" s="624"/>
      <c r="G79" s="624"/>
      <c r="H79" s="624"/>
      <c r="I79" s="624"/>
      <c r="J79" s="624"/>
      <c r="K79" s="624"/>
      <c r="L79" s="624"/>
      <c r="M79" s="624"/>
      <c r="N79" s="624"/>
      <c r="O79" s="624"/>
      <c r="P79" s="624"/>
      <c r="Q79" s="624"/>
      <c r="R79" s="624"/>
      <c r="S79" s="624"/>
      <c r="T79" s="624"/>
      <c r="U79" s="624"/>
      <c r="V79" s="624"/>
      <c r="W79" s="624"/>
      <c r="X79" s="624"/>
      <c r="Y79" s="624"/>
      <c r="Z79" s="624"/>
      <c r="AA79" s="66"/>
      <c r="AB79" s="66"/>
      <c r="AC79" s="80"/>
    </row>
    <row r="80" spans="1:68" ht="27" customHeight="1" x14ac:dyDescent="0.25">
      <c r="A80" s="63" t="s">
        <v>174</v>
      </c>
      <c r="B80" s="63" t="s">
        <v>175</v>
      </c>
      <c r="C80" s="36">
        <v>4301060455</v>
      </c>
      <c r="D80" s="625">
        <v>4680115881532</v>
      </c>
      <c r="E80" s="625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119</v>
      </c>
      <c r="L80" s="37" t="s">
        <v>45</v>
      </c>
      <c r="M80" s="38" t="s">
        <v>96</v>
      </c>
      <c r="N80" s="38"/>
      <c r="O80" s="37">
        <v>30</v>
      </c>
      <c r="P80" s="66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7"/>
      <c r="R80" s="627"/>
      <c r="S80" s="627"/>
      <c r="T80" s="628"/>
      <c r="U80" s="39" t="s">
        <v>45</v>
      </c>
      <c r="V80" s="39" t="s">
        <v>45</v>
      </c>
      <c r="W80" s="40" t="s">
        <v>0</v>
      </c>
      <c r="X80" s="58">
        <v>62.4</v>
      </c>
      <c r="Y80" s="55">
        <f>IFERROR(IF(X80="",0,CEILING((X80/$H80),1)*$H80),"")</f>
        <v>62.4</v>
      </c>
      <c r="Z80" s="41">
        <f>IFERROR(IF(Y80=0,"",ROUNDUP(Y80/H80,0)*0.01898),"")</f>
        <v>0.15184</v>
      </c>
      <c r="AA80" s="68" t="s">
        <v>45</v>
      </c>
      <c r="AB80" s="69" t="s">
        <v>45</v>
      </c>
      <c r="AC80" s="142" t="s">
        <v>176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65.680000000000007</v>
      </c>
      <c r="BN80" s="78">
        <f>IFERROR(Y80*I80/H80,"0")</f>
        <v>65.680000000000007</v>
      </c>
      <c r="BO80" s="78">
        <f>IFERROR(1/J80*(X80/H80),"0")</f>
        <v>0.125</v>
      </c>
      <c r="BP80" s="78">
        <f>IFERROR(1/J80*(Y80/H80),"0")</f>
        <v>0.125</v>
      </c>
    </row>
    <row r="81" spans="1:68" ht="27" customHeight="1" x14ac:dyDescent="0.25">
      <c r="A81" s="63" t="s">
        <v>177</v>
      </c>
      <c r="B81" s="63" t="s">
        <v>178</v>
      </c>
      <c r="C81" s="36">
        <v>4301060351</v>
      </c>
      <c r="D81" s="625">
        <v>4680115881464</v>
      </c>
      <c r="E81" s="625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122</v>
      </c>
      <c r="L81" s="37" t="s">
        <v>45</v>
      </c>
      <c r="M81" s="38" t="s">
        <v>90</v>
      </c>
      <c r="N81" s="38"/>
      <c r="O81" s="37">
        <v>30</v>
      </c>
      <c r="P81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7"/>
      <c r="R81" s="627"/>
      <c r="S81" s="627"/>
      <c r="T81" s="628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179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633"/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4"/>
      <c r="P82" s="630" t="s">
        <v>40</v>
      </c>
      <c r="Q82" s="631"/>
      <c r="R82" s="631"/>
      <c r="S82" s="631"/>
      <c r="T82" s="631"/>
      <c r="U82" s="631"/>
      <c r="V82" s="632"/>
      <c r="W82" s="42" t="s">
        <v>39</v>
      </c>
      <c r="X82" s="43">
        <f>IFERROR(X80/H80,"0")+IFERROR(X81/H81,"0")</f>
        <v>8</v>
      </c>
      <c r="Y82" s="43">
        <f>IFERROR(Y80/H80,"0")+IFERROR(Y81/H81,"0")</f>
        <v>8</v>
      </c>
      <c r="Z82" s="43">
        <f>IFERROR(IF(Z80="",0,Z80),"0")+IFERROR(IF(Z81="",0,Z81),"0")</f>
        <v>0.15184</v>
      </c>
      <c r="AA82" s="67"/>
      <c r="AB82" s="67"/>
      <c r="AC82" s="67"/>
    </row>
    <row r="83" spans="1:68" x14ac:dyDescent="0.2">
      <c r="A83" s="633"/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4"/>
      <c r="P83" s="630" t="s">
        <v>40</v>
      </c>
      <c r="Q83" s="631"/>
      <c r="R83" s="631"/>
      <c r="S83" s="631"/>
      <c r="T83" s="631"/>
      <c r="U83" s="631"/>
      <c r="V83" s="632"/>
      <c r="W83" s="42" t="s">
        <v>0</v>
      </c>
      <c r="X83" s="43">
        <f>IFERROR(SUM(X80:X81),"0")</f>
        <v>62.4</v>
      </c>
      <c r="Y83" s="43">
        <f>IFERROR(SUM(Y80:Y81),"0")</f>
        <v>62.4</v>
      </c>
      <c r="Z83" s="42"/>
      <c r="AA83" s="67"/>
      <c r="AB83" s="67"/>
      <c r="AC83" s="67"/>
    </row>
    <row r="84" spans="1:68" ht="16.5" customHeight="1" x14ac:dyDescent="0.25">
      <c r="A84" s="623" t="s">
        <v>180</v>
      </c>
      <c r="B84" s="623"/>
      <c r="C84" s="623"/>
      <c r="D84" s="623"/>
      <c r="E84" s="623"/>
      <c r="F84" s="623"/>
      <c r="G84" s="623"/>
      <c r="H84" s="623"/>
      <c r="I84" s="623"/>
      <c r="J84" s="623"/>
      <c r="K84" s="623"/>
      <c r="L84" s="623"/>
      <c r="M84" s="623"/>
      <c r="N84" s="623"/>
      <c r="O84" s="623"/>
      <c r="P84" s="623"/>
      <c r="Q84" s="623"/>
      <c r="R84" s="623"/>
      <c r="S84" s="623"/>
      <c r="T84" s="623"/>
      <c r="U84" s="623"/>
      <c r="V84" s="623"/>
      <c r="W84" s="623"/>
      <c r="X84" s="623"/>
      <c r="Y84" s="623"/>
      <c r="Z84" s="623"/>
      <c r="AA84" s="65"/>
      <c r="AB84" s="65"/>
      <c r="AC84" s="79"/>
    </row>
    <row r="85" spans="1:68" ht="14.25" customHeight="1" x14ac:dyDescent="0.25">
      <c r="A85" s="624" t="s">
        <v>114</v>
      </c>
      <c r="B85" s="624"/>
      <c r="C85" s="624"/>
      <c r="D85" s="624"/>
      <c r="E85" s="624"/>
      <c r="F85" s="624"/>
      <c r="G85" s="624"/>
      <c r="H85" s="624"/>
      <c r="I85" s="624"/>
      <c r="J85" s="624"/>
      <c r="K85" s="624"/>
      <c r="L85" s="624"/>
      <c r="M85" s="624"/>
      <c r="N85" s="624"/>
      <c r="O85" s="624"/>
      <c r="P85" s="624"/>
      <c r="Q85" s="624"/>
      <c r="R85" s="624"/>
      <c r="S85" s="624"/>
      <c r="T85" s="624"/>
      <c r="U85" s="624"/>
      <c r="V85" s="624"/>
      <c r="W85" s="624"/>
      <c r="X85" s="624"/>
      <c r="Y85" s="624"/>
      <c r="Z85" s="624"/>
      <c r="AA85" s="66"/>
      <c r="AB85" s="66"/>
      <c r="AC85" s="80"/>
    </row>
    <row r="86" spans="1:68" ht="27" customHeight="1" x14ac:dyDescent="0.25">
      <c r="A86" s="63" t="s">
        <v>181</v>
      </c>
      <c r="B86" s="63" t="s">
        <v>182</v>
      </c>
      <c r="C86" s="36">
        <v>4301011468</v>
      </c>
      <c r="D86" s="625">
        <v>4680115881327</v>
      </c>
      <c r="E86" s="625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119</v>
      </c>
      <c r="L86" s="37" t="s">
        <v>45</v>
      </c>
      <c r="M86" s="38" t="s">
        <v>96</v>
      </c>
      <c r="N86" s="38"/>
      <c r="O86" s="37">
        <v>50</v>
      </c>
      <c r="P86" s="6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7"/>
      <c r="R86" s="627"/>
      <c r="S86" s="627"/>
      <c r="T86" s="628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183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184</v>
      </c>
      <c r="B87" s="63" t="s">
        <v>185</v>
      </c>
      <c r="C87" s="36">
        <v>4301011261</v>
      </c>
      <c r="D87" s="625">
        <v>4680115887732</v>
      </c>
      <c r="E87" s="625"/>
      <c r="F87" s="62">
        <v>0.17</v>
      </c>
      <c r="G87" s="37">
        <v>10</v>
      </c>
      <c r="H87" s="62">
        <v>1.7</v>
      </c>
      <c r="I87" s="62">
        <v>1.8</v>
      </c>
      <c r="J87" s="37">
        <v>192</v>
      </c>
      <c r="K87" s="37" t="s">
        <v>156</v>
      </c>
      <c r="L87" s="37" t="s">
        <v>45</v>
      </c>
      <c r="M87" s="38" t="s">
        <v>80</v>
      </c>
      <c r="N87" s="38"/>
      <c r="O87" s="37">
        <v>30</v>
      </c>
      <c r="P87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627"/>
      <c r="R87" s="627"/>
      <c r="S87" s="627"/>
      <c r="T87" s="628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45</v>
      </c>
      <c r="AB87" s="69" t="s">
        <v>45</v>
      </c>
      <c r="AC87" s="148" t="s">
        <v>186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187</v>
      </c>
      <c r="B88" s="63" t="s">
        <v>188</v>
      </c>
      <c r="C88" s="36">
        <v>4301011476</v>
      </c>
      <c r="D88" s="625">
        <v>4680115881518</v>
      </c>
      <c r="E88" s="6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122</v>
      </c>
      <c r="L88" s="37" t="s">
        <v>45</v>
      </c>
      <c r="M88" s="38" t="s">
        <v>90</v>
      </c>
      <c r="N88" s="38"/>
      <c r="O88" s="37">
        <v>50</v>
      </c>
      <c r="P88" s="6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27"/>
      <c r="R88" s="627"/>
      <c r="S88" s="627"/>
      <c r="T88" s="628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183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189</v>
      </c>
      <c r="B89" s="63" t="s">
        <v>190</v>
      </c>
      <c r="C89" s="36">
        <v>4301011443</v>
      </c>
      <c r="D89" s="625">
        <v>4680115881303</v>
      </c>
      <c r="E89" s="6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122</v>
      </c>
      <c r="L89" s="37" t="s">
        <v>45</v>
      </c>
      <c r="M89" s="38" t="s">
        <v>96</v>
      </c>
      <c r="N89" s="38"/>
      <c r="O89" s="37">
        <v>50</v>
      </c>
      <c r="P89" s="66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27"/>
      <c r="R89" s="627"/>
      <c r="S89" s="627"/>
      <c r="T89" s="628"/>
      <c r="U89" s="39" t="s">
        <v>45</v>
      </c>
      <c r="V89" s="39" t="s">
        <v>45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45</v>
      </c>
      <c r="AB89" s="69" t="s">
        <v>45</v>
      </c>
      <c r="AC89" s="152" t="s">
        <v>183</v>
      </c>
      <c r="AG89" s="78"/>
      <c r="AJ89" s="84" t="s">
        <v>45</v>
      </c>
      <c r="AK89" s="84">
        <v>0</v>
      </c>
      <c r="BB89" s="153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633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0" t="s">
        <v>40</v>
      </c>
      <c r="Q90" s="631"/>
      <c r="R90" s="631"/>
      <c r="S90" s="631"/>
      <c r="T90" s="631"/>
      <c r="U90" s="631"/>
      <c r="V90" s="632"/>
      <c r="W90" s="42" t="s">
        <v>39</v>
      </c>
      <c r="X90" s="43">
        <f>IFERROR(X86/H86,"0")+IFERROR(X87/H87,"0")+IFERROR(X88/H88,"0")+IFERROR(X89/H89,"0")</f>
        <v>0</v>
      </c>
      <c r="Y90" s="43">
        <f>IFERROR(Y86/H86,"0")+IFERROR(Y87/H87,"0")+IFERROR(Y88/H88,"0")+IFERROR(Y89/H89,"0")</f>
        <v>0</v>
      </c>
      <c r="Z90" s="43">
        <f>IFERROR(IF(Z86="",0,Z86),"0")+IFERROR(IF(Z87="",0,Z87),"0")+IFERROR(IF(Z88="",0,Z88),"0")+IFERROR(IF(Z89="",0,Z89),"0")</f>
        <v>0</v>
      </c>
      <c r="AA90" s="67"/>
      <c r="AB90" s="67"/>
      <c r="AC90" s="67"/>
    </row>
    <row r="91" spans="1:68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0" t="s">
        <v>40</v>
      </c>
      <c r="Q91" s="631"/>
      <c r="R91" s="631"/>
      <c r="S91" s="631"/>
      <c r="T91" s="631"/>
      <c r="U91" s="631"/>
      <c r="V91" s="632"/>
      <c r="W91" s="42" t="s">
        <v>0</v>
      </c>
      <c r="X91" s="43">
        <f>IFERROR(SUM(X86:X89),"0")</f>
        <v>0</v>
      </c>
      <c r="Y91" s="43">
        <f>IFERROR(SUM(Y86:Y89),"0")</f>
        <v>0</v>
      </c>
      <c r="Z91" s="42"/>
      <c r="AA91" s="67"/>
      <c r="AB91" s="67"/>
      <c r="AC91" s="67"/>
    </row>
    <row r="92" spans="1:68" ht="14.25" customHeight="1" x14ac:dyDescent="0.25">
      <c r="A92" s="624" t="s">
        <v>86</v>
      </c>
      <c r="B92" s="624"/>
      <c r="C92" s="624"/>
      <c r="D92" s="624"/>
      <c r="E92" s="624"/>
      <c r="F92" s="624"/>
      <c r="G92" s="624"/>
      <c r="H92" s="624"/>
      <c r="I92" s="624"/>
      <c r="J92" s="624"/>
      <c r="K92" s="624"/>
      <c r="L92" s="624"/>
      <c r="M92" s="624"/>
      <c r="N92" s="624"/>
      <c r="O92" s="624"/>
      <c r="P92" s="624"/>
      <c r="Q92" s="624"/>
      <c r="R92" s="624"/>
      <c r="S92" s="624"/>
      <c r="T92" s="624"/>
      <c r="U92" s="624"/>
      <c r="V92" s="624"/>
      <c r="W92" s="624"/>
      <c r="X92" s="624"/>
      <c r="Y92" s="624"/>
      <c r="Z92" s="624"/>
      <c r="AA92" s="66"/>
      <c r="AB92" s="66"/>
      <c r="AC92" s="80"/>
    </row>
    <row r="93" spans="1:68" ht="27" customHeight="1" x14ac:dyDescent="0.25">
      <c r="A93" s="63" t="s">
        <v>191</v>
      </c>
      <c r="B93" s="63" t="s">
        <v>192</v>
      </c>
      <c r="C93" s="36">
        <v>4301051712</v>
      </c>
      <c r="D93" s="625">
        <v>4607091386967</v>
      </c>
      <c r="E93" s="6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119</v>
      </c>
      <c r="L93" s="37" t="s">
        <v>45</v>
      </c>
      <c r="M93" s="38" t="s">
        <v>96</v>
      </c>
      <c r="N93" s="38"/>
      <c r="O93" s="37">
        <v>45</v>
      </c>
      <c r="P93" s="66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27"/>
      <c r="R93" s="627"/>
      <c r="S93" s="627"/>
      <c r="T93" s="628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45</v>
      </c>
      <c r="AB93" s="69" t="s">
        <v>45</v>
      </c>
      <c r="AC93" s="154" t="s">
        <v>193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194</v>
      </c>
      <c r="B94" s="63" t="s">
        <v>195</v>
      </c>
      <c r="C94" s="36">
        <v>4301051788</v>
      </c>
      <c r="D94" s="625">
        <v>4680115884953</v>
      </c>
      <c r="E94" s="625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81</v>
      </c>
      <c r="L94" s="37" t="s">
        <v>45</v>
      </c>
      <c r="M94" s="38" t="s">
        <v>90</v>
      </c>
      <c r="N94" s="38"/>
      <c r="O94" s="37">
        <v>45</v>
      </c>
      <c r="P94" s="66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627"/>
      <c r="R94" s="627"/>
      <c r="S94" s="627"/>
      <c r="T94" s="628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193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196</v>
      </c>
      <c r="B95" s="63" t="s">
        <v>197</v>
      </c>
      <c r="C95" s="36">
        <v>4301051718</v>
      </c>
      <c r="D95" s="625">
        <v>4607091385731</v>
      </c>
      <c r="E95" s="625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81</v>
      </c>
      <c r="L95" s="37" t="s">
        <v>45</v>
      </c>
      <c r="M95" s="38" t="s">
        <v>96</v>
      </c>
      <c r="N95" s="38"/>
      <c r="O95" s="37">
        <v>45</v>
      </c>
      <c r="P95" s="66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627"/>
      <c r="R95" s="627"/>
      <c r="S95" s="627"/>
      <c r="T95" s="628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193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customHeight="1" x14ac:dyDescent="0.25">
      <c r="A96" s="63" t="s">
        <v>198</v>
      </c>
      <c r="B96" s="63" t="s">
        <v>199</v>
      </c>
      <c r="C96" s="36">
        <v>4301051438</v>
      </c>
      <c r="D96" s="625">
        <v>4680115880894</v>
      </c>
      <c r="E96" s="625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81</v>
      </c>
      <c r="L96" s="37" t="s">
        <v>45</v>
      </c>
      <c r="M96" s="38" t="s">
        <v>90</v>
      </c>
      <c r="N96" s="38"/>
      <c r="O96" s="37">
        <v>45</v>
      </c>
      <c r="P96" s="67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627"/>
      <c r="R96" s="627"/>
      <c r="S96" s="627"/>
      <c r="T96" s="628"/>
      <c r="U96" s="39" t="s">
        <v>45</v>
      </c>
      <c r="V96" s="39" t="s">
        <v>45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45</v>
      </c>
      <c r="AB96" s="69" t="s">
        <v>45</v>
      </c>
      <c r="AC96" s="160" t="s">
        <v>200</v>
      </c>
      <c r="AG96" s="78"/>
      <c r="AJ96" s="84" t="s">
        <v>45</v>
      </c>
      <c r="AK96" s="84">
        <v>0</v>
      </c>
      <c r="BB96" s="161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633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0" t="s">
        <v>40</v>
      </c>
      <c r="Q97" s="631"/>
      <c r="R97" s="631"/>
      <c r="S97" s="631"/>
      <c r="T97" s="631"/>
      <c r="U97" s="631"/>
      <c r="V97" s="632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0" t="s">
        <v>40</v>
      </c>
      <c r="Q98" s="631"/>
      <c r="R98" s="631"/>
      <c r="S98" s="631"/>
      <c r="T98" s="631"/>
      <c r="U98" s="631"/>
      <c r="V98" s="632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customHeight="1" x14ac:dyDescent="0.25">
      <c r="A99" s="623" t="s">
        <v>201</v>
      </c>
      <c r="B99" s="623"/>
      <c r="C99" s="623"/>
      <c r="D99" s="623"/>
      <c r="E99" s="623"/>
      <c r="F99" s="623"/>
      <c r="G99" s="623"/>
      <c r="H99" s="623"/>
      <c r="I99" s="623"/>
      <c r="J99" s="623"/>
      <c r="K99" s="623"/>
      <c r="L99" s="623"/>
      <c r="M99" s="623"/>
      <c r="N99" s="623"/>
      <c r="O99" s="623"/>
      <c r="P99" s="623"/>
      <c r="Q99" s="623"/>
      <c r="R99" s="623"/>
      <c r="S99" s="623"/>
      <c r="T99" s="623"/>
      <c r="U99" s="623"/>
      <c r="V99" s="623"/>
      <c r="W99" s="623"/>
      <c r="X99" s="623"/>
      <c r="Y99" s="623"/>
      <c r="Z99" s="623"/>
      <c r="AA99" s="65"/>
      <c r="AB99" s="65"/>
      <c r="AC99" s="79"/>
    </row>
    <row r="100" spans="1:68" ht="14.25" customHeight="1" x14ac:dyDescent="0.25">
      <c r="A100" s="624" t="s">
        <v>114</v>
      </c>
      <c r="B100" s="624"/>
      <c r="C100" s="624"/>
      <c r="D100" s="624"/>
      <c r="E100" s="624"/>
      <c r="F100" s="624"/>
      <c r="G100" s="624"/>
      <c r="H100" s="624"/>
      <c r="I100" s="624"/>
      <c r="J100" s="624"/>
      <c r="K100" s="624"/>
      <c r="L100" s="624"/>
      <c r="M100" s="624"/>
      <c r="N100" s="624"/>
      <c r="O100" s="624"/>
      <c r="P100" s="624"/>
      <c r="Q100" s="624"/>
      <c r="R100" s="624"/>
      <c r="S100" s="624"/>
      <c r="T100" s="624"/>
      <c r="U100" s="624"/>
      <c r="V100" s="624"/>
      <c r="W100" s="624"/>
      <c r="X100" s="624"/>
      <c r="Y100" s="624"/>
      <c r="Z100" s="624"/>
      <c r="AA100" s="66"/>
      <c r="AB100" s="66"/>
      <c r="AC100" s="80"/>
    </row>
    <row r="101" spans="1:68" ht="37.5" customHeight="1" x14ac:dyDescent="0.25">
      <c r="A101" s="63" t="s">
        <v>202</v>
      </c>
      <c r="B101" s="63" t="s">
        <v>203</v>
      </c>
      <c r="C101" s="36">
        <v>4301011514</v>
      </c>
      <c r="D101" s="625">
        <v>4680115882133</v>
      </c>
      <c r="E101" s="625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119</v>
      </c>
      <c r="L101" s="37" t="s">
        <v>45</v>
      </c>
      <c r="M101" s="38" t="s">
        <v>118</v>
      </c>
      <c r="N101" s="38"/>
      <c r="O101" s="37">
        <v>50</v>
      </c>
      <c r="P101" s="67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7"/>
      <c r="R101" s="627"/>
      <c r="S101" s="627"/>
      <c r="T101" s="628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IFERROR(IF(Y101=0,"",ROUNDUP(Y101/H101,0)*0.01898),"")</f>
        <v/>
      </c>
      <c r="AA101" s="68" t="s">
        <v>45</v>
      </c>
      <c r="AB101" s="69" t="s">
        <v>45</v>
      </c>
      <c r="AC101" s="162" t="s">
        <v>204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27" customHeight="1" x14ac:dyDescent="0.25">
      <c r="A102" s="63" t="s">
        <v>205</v>
      </c>
      <c r="B102" s="63" t="s">
        <v>206</v>
      </c>
      <c r="C102" s="36">
        <v>4301012051</v>
      </c>
      <c r="D102" s="625">
        <v>4680115887718</v>
      </c>
      <c r="E102" s="625"/>
      <c r="F102" s="62">
        <v>0.11</v>
      </c>
      <c r="G102" s="37">
        <v>10</v>
      </c>
      <c r="H102" s="62">
        <v>1.1000000000000001</v>
      </c>
      <c r="I102" s="62">
        <v>1.31</v>
      </c>
      <c r="J102" s="37">
        <v>192</v>
      </c>
      <c r="K102" s="37" t="s">
        <v>156</v>
      </c>
      <c r="L102" s="37" t="s">
        <v>45</v>
      </c>
      <c r="M102" s="38" t="s">
        <v>80</v>
      </c>
      <c r="N102" s="38"/>
      <c r="O102" s="37">
        <v>30</v>
      </c>
      <c r="P102" s="67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27"/>
      <c r="R102" s="627"/>
      <c r="S102" s="627"/>
      <c r="T102" s="628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IFERROR(IF(Y102=0,"",ROUNDUP(Y102/H102,0)*0.00726),"")</f>
        <v/>
      </c>
      <c r="AA102" s="68" t="s">
        <v>45</v>
      </c>
      <c r="AB102" s="69" t="s">
        <v>45</v>
      </c>
      <c r="AC102" s="164" t="s">
        <v>207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208</v>
      </c>
      <c r="B103" s="63" t="s">
        <v>209</v>
      </c>
      <c r="C103" s="36">
        <v>4301011417</v>
      </c>
      <c r="D103" s="625">
        <v>4680115880269</v>
      </c>
      <c r="E103" s="62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122</v>
      </c>
      <c r="L103" s="37" t="s">
        <v>45</v>
      </c>
      <c r="M103" s="38" t="s">
        <v>90</v>
      </c>
      <c r="N103" s="38"/>
      <c r="O103" s="37">
        <v>50</v>
      </c>
      <c r="P103" s="67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27"/>
      <c r="R103" s="627"/>
      <c r="S103" s="627"/>
      <c r="T103" s="628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204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210</v>
      </c>
      <c r="B104" s="63" t="s">
        <v>211</v>
      </c>
      <c r="C104" s="36">
        <v>4301011415</v>
      </c>
      <c r="D104" s="625">
        <v>4680115880429</v>
      </c>
      <c r="E104" s="62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122</v>
      </c>
      <c r="L104" s="37" t="s">
        <v>45</v>
      </c>
      <c r="M104" s="38" t="s">
        <v>90</v>
      </c>
      <c r="N104" s="38"/>
      <c r="O104" s="37">
        <v>50</v>
      </c>
      <c r="P104" s="67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27"/>
      <c r="R104" s="627"/>
      <c r="S104" s="627"/>
      <c r="T104" s="628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204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customHeight="1" x14ac:dyDescent="0.25">
      <c r="A105" s="63" t="s">
        <v>212</v>
      </c>
      <c r="B105" s="63" t="s">
        <v>213</v>
      </c>
      <c r="C105" s="36">
        <v>4301011462</v>
      </c>
      <c r="D105" s="625">
        <v>4680115881457</v>
      </c>
      <c r="E105" s="62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122</v>
      </c>
      <c r="L105" s="37" t="s">
        <v>45</v>
      </c>
      <c r="M105" s="38" t="s">
        <v>90</v>
      </c>
      <c r="N105" s="38"/>
      <c r="O105" s="37">
        <v>50</v>
      </c>
      <c r="P105" s="67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27"/>
      <c r="R105" s="627"/>
      <c r="S105" s="627"/>
      <c r="T105" s="628"/>
      <c r="U105" s="39" t="s">
        <v>45</v>
      </c>
      <c r="V105" s="39" t="s">
        <v>45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45</v>
      </c>
      <c r="AB105" s="69" t="s">
        <v>45</v>
      </c>
      <c r="AC105" s="170" t="s">
        <v>204</v>
      </c>
      <c r="AG105" s="78"/>
      <c r="AJ105" s="84" t="s">
        <v>45</v>
      </c>
      <c r="AK105" s="84">
        <v>0</v>
      </c>
      <c r="BB105" s="171" t="s">
        <v>66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x14ac:dyDescent="0.2">
      <c r="A106" s="633"/>
      <c r="B106" s="633"/>
      <c r="C106" s="633"/>
      <c r="D106" s="633"/>
      <c r="E106" s="633"/>
      <c r="F106" s="633"/>
      <c r="G106" s="633"/>
      <c r="H106" s="633"/>
      <c r="I106" s="633"/>
      <c r="J106" s="633"/>
      <c r="K106" s="633"/>
      <c r="L106" s="633"/>
      <c r="M106" s="633"/>
      <c r="N106" s="633"/>
      <c r="O106" s="634"/>
      <c r="P106" s="630" t="s">
        <v>40</v>
      </c>
      <c r="Q106" s="631"/>
      <c r="R106" s="631"/>
      <c r="S106" s="631"/>
      <c r="T106" s="631"/>
      <c r="U106" s="631"/>
      <c r="V106" s="632"/>
      <c r="W106" s="42" t="s">
        <v>39</v>
      </c>
      <c r="X106" s="43">
        <f>IFERROR(X101/H101,"0")+IFERROR(X102/H102,"0")+IFERROR(X103/H103,"0")+IFERROR(X104/H104,"0")+IFERROR(X105/H105,"0")</f>
        <v>0</v>
      </c>
      <c r="Y106" s="43">
        <f>IFERROR(Y101/H101,"0")+IFERROR(Y102/H102,"0")+IFERROR(Y103/H103,"0")+IFERROR(Y104/H104,"0")+IFERROR(Y105/H105,"0")</f>
        <v>0</v>
      </c>
      <c r="Z106" s="43">
        <f>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x14ac:dyDescent="0.2">
      <c r="A107" s="633"/>
      <c r="B107" s="633"/>
      <c r="C107" s="633"/>
      <c r="D107" s="633"/>
      <c r="E107" s="633"/>
      <c r="F107" s="633"/>
      <c r="G107" s="633"/>
      <c r="H107" s="633"/>
      <c r="I107" s="633"/>
      <c r="J107" s="633"/>
      <c r="K107" s="633"/>
      <c r="L107" s="633"/>
      <c r="M107" s="633"/>
      <c r="N107" s="633"/>
      <c r="O107" s="634"/>
      <c r="P107" s="630" t="s">
        <v>40</v>
      </c>
      <c r="Q107" s="631"/>
      <c r="R107" s="631"/>
      <c r="S107" s="631"/>
      <c r="T107" s="631"/>
      <c r="U107" s="631"/>
      <c r="V107" s="632"/>
      <c r="W107" s="42" t="s">
        <v>0</v>
      </c>
      <c r="X107" s="43">
        <f>IFERROR(SUM(X101:X105),"0")</f>
        <v>0</v>
      </c>
      <c r="Y107" s="43">
        <f>IFERROR(SUM(Y101:Y105),"0")</f>
        <v>0</v>
      </c>
      <c r="Z107" s="42"/>
      <c r="AA107" s="67"/>
      <c r="AB107" s="67"/>
      <c r="AC107" s="67"/>
    </row>
    <row r="108" spans="1:68" ht="14.25" customHeight="1" x14ac:dyDescent="0.25">
      <c r="A108" s="624" t="s">
        <v>147</v>
      </c>
      <c r="B108" s="624"/>
      <c r="C108" s="624"/>
      <c r="D108" s="624"/>
      <c r="E108" s="624"/>
      <c r="F108" s="624"/>
      <c r="G108" s="624"/>
      <c r="H108" s="624"/>
      <c r="I108" s="624"/>
      <c r="J108" s="624"/>
      <c r="K108" s="624"/>
      <c r="L108" s="624"/>
      <c r="M108" s="624"/>
      <c r="N108" s="624"/>
      <c r="O108" s="624"/>
      <c r="P108" s="624"/>
      <c r="Q108" s="624"/>
      <c r="R108" s="624"/>
      <c r="S108" s="624"/>
      <c r="T108" s="624"/>
      <c r="U108" s="624"/>
      <c r="V108" s="624"/>
      <c r="W108" s="624"/>
      <c r="X108" s="624"/>
      <c r="Y108" s="624"/>
      <c r="Z108" s="624"/>
      <c r="AA108" s="66"/>
      <c r="AB108" s="66"/>
      <c r="AC108" s="80"/>
    </row>
    <row r="109" spans="1:68" ht="16.5" customHeight="1" x14ac:dyDescent="0.25">
      <c r="A109" s="63" t="s">
        <v>214</v>
      </c>
      <c r="B109" s="63" t="s">
        <v>215</v>
      </c>
      <c r="C109" s="36">
        <v>4301020345</v>
      </c>
      <c r="D109" s="625">
        <v>4680115881488</v>
      </c>
      <c r="E109" s="62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119</v>
      </c>
      <c r="L109" s="37" t="s">
        <v>45</v>
      </c>
      <c r="M109" s="38" t="s">
        <v>118</v>
      </c>
      <c r="N109" s="38"/>
      <c r="O109" s="37">
        <v>55</v>
      </c>
      <c r="P109" s="67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627"/>
      <c r="R109" s="627"/>
      <c r="S109" s="627"/>
      <c r="T109" s="628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45</v>
      </c>
      <c r="AB109" s="69" t="s">
        <v>45</v>
      </c>
      <c r="AC109" s="172" t="s">
        <v>216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217</v>
      </c>
      <c r="B110" s="63" t="s">
        <v>218</v>
      </c>
      <c r="C110" s="36">
        <v>4301020186</v>
      </c>
      <c r="D110" s="625">
        <v>4680115887664</v>
      </c>
      <c r="E110" s="62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220</v>
      </c>
      <c r="L110" s="37" t="s">
        <v>45</v>
      </c>
      <c r="M110" s="38" t="s">
        <v>80</v>
      </c>
      <c r="N110" s="38"/>
      <c r="O110" s="37">
        <v>30</v>
      </c>
      <c r="P110" s="67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27"/>
      <c r="R110" s="627"/>
      <c r="S110" s="627"/>
      <c r="T110" s="628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45</v>
      </c>
      <c r="AB110" s="69" t="s">
        <v>45</v>
      </c>
      <c r="AC110" s="174" t="s">
        <v>219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221</v>
      </c>
      <c r="B111" s="63" t="s">
        <v>222</v>
      </c>
      <c r="C111" s="36">
        <v>4301020346</v>
      </c>
      <c r="D111" s="625">
        <v>4680115882775</v>
      </c>
      <c r="E111" s="625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85</v>
      </c>
      <c r="L111" s="37" t="s">
        <v>45</v>
      </c>
      <c r="M111" s="38" t="s">
        <v>118</v>
      </c>
      <c r="N111" s="38"/>
      <c r="O111" s="37">
        <v>55</v>
      </c>
      <c r="P111" s="67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627"/>
      <c r="R111" s="627"/>
      <c r="S111" s="627"/>
      <c r="T111" s="628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45</v>
      </c>
      <c r="AB111" s="69" t="s">
        <v>45</v>
      </c>
      <c r="AC111" s="176" t="s">
        <v>216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16.5" customHeight="1" x14ac:dyDescent="0.25">
      <c r="A112" s="63" t="s">
        <v>223</v>
      </c>
      <c r="B112" s="63" t="s">
        <v>224</v>
      </c>
      <c r="C112" s="36">
        <v>4301020344</v>
      </c>
      <c r="D112" s="625">
        <v>4680115880658</v>
      </c>
      <c r="E112" s="625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81</v>
      </c>
      <c r="L112" s="37" t="s">
        <v>45</v>
      </c>
      <c r="M112" s="38" t="s">
        <v>118</v>
      </c>
      <c r="N112" s="38"/>
      <c r="O112" s="37">
        <v>55</v>
      </c>
      <c r="P112" s="67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627"/>
      <c r="R112" s="627"/>
      <c r="S112" s="627"/>
      <c r="T112" s="628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45</v>
      </c>
      <c r="AB112" s="69" t="s">
        <v>45</v>
      </c>
      <c r="AC112" s="178" t="s">
        <v>216</v>
      </c>
      <c r="AG112" s="78"/>
      <c r="AJ112" s="84" t="s">
        <v>45</v>
      </c>
      <c r="AK112" s="84">
        <v>0</v>
      </c>
      <c r="BB112" s="179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x14ac:dyDescent="0.2">
      <c r="A113" s="633"/>
      <c r="B113" s="633"/>
      <c r="C113" s="633"/>
      <c r="D113" s="633"/>
      <c r="E113" s="633"/>
      <c r="F113" s="633"/>
      <c r="G113" s="633"/>
      <c r="H113" s="633"/>
      <c r="I113" s="633"/>
      <c r="J113" s="633"/>
      <c r="K113" s="633"/>
      <c r="L113" s="633"/>
      <c r="M113" s="633"/>
      <c r="N113" s="633"/>
      <c r="O113" s="634"/>
      <c r="P113" s="630" t="s">
        <v>40</v>
      </c>
      <c r="Q113" s="631"/>
      <c r="R113" s="631"/>
      <c r="S113" s="631"/>
      <c r="T113" s="631"/>
      <c r="U113" s="631"/>
      <c r="V113" s="632"/>
      <c r="W113" s="42" t="s">
        <v>39</v>
      </c>
      <c r="X113" s="43">
        <f>IFERROR(X109/H109,"0")+IFERROR(X110/H110,"0")+IFERROR(X111/H111,"0")+IFERROR(X112/H112,"0")</f>
        <v>0</v>
      </c>
      <c r="Y113" s="43">
        <f>IFERROR(Y109/H109,"0")+IFERROR(Y110/H110,"0")+IFERROR(Y111/H111,"0")+IFERROR(Y112/H112,"0")</f>
        <v>0</v>
      </c>
      <c r="Z113" s="43">
        <f>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633"/>
      <c r="B114" s="633"/>
      <c r="C114" s="633"/>
      <c r="D114" s="633"/>
      <c r="E114" s="633"/>
      <c r="F114" s="633"/>
      <c r="G114" s="633"/>
      <c r="H114" s="633"/>
      <c r="I114" s="633"/>
      <c r="J114" s="633"/>
      <c r="K114" s="633"/>
      <c r="L114" s="633"/>
      <c r="M114" s="633"/>
      <c r="N114" s="633"/>
      <c r="O114" s="634"/>
      <c r="P114" s="630" t="s">
        <v>40</v>
      </c>
      <c r="Q114" s="631"/>
      <c r="R114" s="631"/>
      <c r="S114" s="631"/>
      <c r="T114" s="631"/>
      <c r="U114" s="631"/>
      <c r="V114" s="632"/>
      <c r="W114" s="42" t="s">
        <v>0</v>
      </c>
      <c r="X114" s="43">
        <f>IFERROR(SUM(X109:X112),"0")</f>
        <v>0</v>
      </c>
      <c r="Y114" s="43">
        <f>IFERROR(SUM(Y109:Y112),"0")</f>
        <v>0</v>
      </c>
      <c r="Z114" s="42"/>
      <c r="AA114" s="67"/>
      <c r="AB114" s="67"/>
      <c r="AC114" s="67"/>
    </row>
    <row r="115" spans="1:68" ht="14.25" customHeight="1" x14ac:dyDescent="0.25">
      <c r="A115" s="624" t="s">
        <v>86</v>
      </c>
      <c r="B115" s="624"/>
      <c r="C115" s="624"/>
      <c r="D115" s="624"/>
      <c r="E115" s="624"/>
      <c r="F115" s="624"/>
      <c r="G115" s="624"/>
      <c r="H115" s="624"/>
      <c r="I115" s="624"/>
      <c r="J115" s="624"/>
      <c r="K115" s="624"/>
      <c r="L115" s="624"/>
      <c r="M115" s="624"/>
      <c r="N115" s="624"/>
      <c r="O115" s="624"/>
      <c r="P115" s="624"/>
      <c r="Q115" s="624"/>
      <c r="R115" s="624"/>
      <c r="S115" s="624"/>
      <c r="T115" s="624"/>
      <c r="U115" s="624"/>
      <c r="V115" s="624"/>
      <c r="W115" s="624"/>
      <c r="X115" s="624"/>
      <c r="Y115" s="624"/>
      <c r="Z115" s="624"/>
      <c r="AA115" s="66"/>
      <c r="AB115" s="66"/>
      <c r="AC115" s="80"/>
    </row>
    <row r="116" spans="1:68" ht="27" customHeight="1" x14ac:dyDescent="0.25">
      <c r="A116" s="63" t="s">
        <v>225</v>
      </c>
      <c r="B116" s="63" t="s">
        <v>226</v>
      </c>
      <c r="C116" s="36">
        <v>4301051724</v>
      </c>
      <c r="D116" s="625">
        <v>4607091385168</v>
      </c>
      <c r="E116" s="625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119</v>
      </c>
      <c r="L116" s="37" t="s">
        <v>45</v>
      </c>
      <c r="M116" s="38" t="s">
        <v>96</v>
      </c>
      <c r="N116" s="38"/>
      <c r="O116" s="37">
        <v>45</v>
      </c>
      <c r="P116" s="68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27"/>
      <c r="R116" s="627"/>
      <c r="S116" s="627"/>
      <c r="T116" s="628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45</v>
      </c>
      <c r="AB116" s="69" t="s">
        <v>45</v>
      </c>
      <c r="AC116" s="180" t="s">
        <v>227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228</v>
      </c>
      <c r="B117" s="63" t="s">
        <v>229</v>
      </c>
      <c r="C117" s="36">
        <v>4301051730</v>
      </c>
      <c r="D117" s="625">
        <v>4607091383256</v>
      </c>
      <c r="E117" s="625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81</v>
      </c>
      <c r="L117" s="37" t="s">
        <v>45</v>
      </c>
      <c r="M117" s="38" t="s">
        <v>96</v>
      </c>
      <c r="N117" s="38"/>
      <c r="O117" s="37">
        <v>45</v>
      </c>
      <c r="P117" s="68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27"/>
      <c r="R117" s="627"/>
      <c r="S117" s="627"/>
      <c r="T117" s="628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227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230</v>
      </c>
      <c r="B118" s="63" t="s">
        <v>231</v>
      </c>
      <c r="C118" s="36">
        <v>4301051721</v>
      </c>
      <c r="D118" s="625">
        <v>4607091385748</v>
      </c>
      <c r="E118" s="625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81</v>
      </c>
      <c r="L118" s="37" t="s">
        <v>45</v>
      </c>
      <c r="M118" s="38" t="s">
        <v>96</v>
      </c>
      <c r="N118" s="38"/>
      <c r="O118" s="37">
        <v>45</v>
      </c>
      <c r="P118" s="68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27"/>
      <c r="R118" s="627"/>
      <c r="S118" s="627"/>
      <c r="T118" s="628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227</v>
      </c>
      <c r="AG118" s="78"/>
      <c r="AJ118" s="84" t="s">
        <v>45</v>
      </c>
      <c r="AK118" s="84">
        <v>0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customHeight="1" x14ac:dyDescent="0.25">
      <c r="A119" s="63" t="s">
        <v>232</v>
      </c>
      <c r="B119" s="63" t="s">
        <v>233</v>
      </c>
      <c r="C119" s="36">
        <v>4301051740</v>
      </c>
      <c r="D119" s="625">
        <v>4680115884533</v>
      </c>
      <c r="E119" s="625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81</v>
      </c>
      <c r="L119" s="37" t="s">
        <v>45</v>
      </c>
      <c r="M119" s="38" t="s">
        <v>90</v>
      </c>
      <c r="N119" s="38"/>
      <c r="O119" s="37">
        <v>45</v>
      </c>
      <c r="P119" s="6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27"/>
      <c r="R119" s="627"/>
      <c r="S119" s="627"/>
      <c r="T119" s="628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6" t="s">
        <v>234</v>
      </c>
      <c r="AG119" s="78"/>
      <c r="AJ119" s="84" t="s">
        <v>45</v>
      </c>
      <c r="AK119" s="84">
        <v>0</v>
      </c>
      <c r="BB119" s="187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33"/>
      <c r="B120" s="633"/>
      <c r="C120" s="633"/>
      <c r="D120" s="633"/>
      <c r="E120" s="633"/>
      <c r="F120" s="633"/>
      <c r="G120" s="633"/>
      <c r="H120" s="633"/>
      <c r="I120" s="633"/>
      <c r="J120" s="633"/>
      <c r="K120" s="633"/>
      <c r="L120" s="633"/>
      <c r="M120" s="633"/>
      <c r="N120" s="633"/>
      <c r="O120" s="634"/>
      <c r="P120" s="630" t="s">
        <v>40</v>
      </c>
      <c r="Q120" s="631"/>
      <c r="R120" s="631"/>
      <c r="S120" s="631"/>
      <c r="T120" s="631"/>
      <c r="U120" s="631"/>
      <c r="V120" s="632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633"/>
      <c r="B121" s="633"/>
      <c r="C121" s="633"/>
      <c r="D121" s="633"/>
      <c r="E121" s="633"/>
      <c r="F121" s="633"/>
      <c r="G121" s="633"/>
      <c r="H121" s="633"/>
      <c r="I121" s="633"/>
      <c r="J121" s="633"/>
      <c r="K121" s="633"/>
      <c r="L121" s="633"/>
      <c r="M121" s="633"/>
      <c r="N121" s="633"/>
      <c r="O121" s="634"/>
      <c r="P121" s="630" t="s">
        <v>40</v>
      </c>
      <c r="Q121" s="631"/>
      <c r="R121" s="631"/>
      <c r="S121" s="631"/>
      <c r="T121" s="631"/>
      <c r="U121" s="631"/>
      <c r="V121" s="632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customHeight="1" x14ac:dyDescent="0.25">
      <c r="A122" s="624" t="s">
        <v>173</v>
      </c>
      <c r="B122" s="624"/>
      <c r="C122" s="624"/>
      <c r="D122" s="624"/>
      <c r="E122" s="624"/>
      <c r="F122" s="624"/>
      <c r="G122" s="624"/>
      <c r="H122" s="624"/>
      <c r="I122" s="624"/>
      <c r="J122" s="624"/>
      <c r="K122" s="624"/>
      <c r="L122" s="624"/>
      <c r="M122" s="624"/>
      <c r="N122" s="624"/>
      <c r="O122" s="624"/>
      <c r="P122" s="624"/>
      <c r="Q122" s="624"/>
      <c r="R122" s="624"/>
      <c r="S122" s="624"/>
      <c r="T122" s="624"/>
      <c r="U122" s="624"/>
      <c r="V122" s="624"/>
      <c r="W122" s="624"/>
      <c r="X122" s="624"/>
      <c r="Y122" s="624"/>
      <c r="Z122" s="624"/>
      <c r="AA122" s="66"/>
      <c r="AB122" s="66"/>
      <c r="AC122" s="80"/>
    </row>
    <row r="123" spans="1:68" ht="16.5" customHeight="1" x14ac:dyDescent="0.25">
      <c r="A123" s="63" t="s">
        <v>235</v>
      </c>
      <c r="B123" s="63" t="s">
        <v>236</v>
      </c>
      <c r="C123" s="36">
        <v>4301060317</v>
      </c>
      <c r="D123" s="625">
        <v>4680115880238</v>
      </c>
      <c r="E123" s="625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81</v>
      </c>
      <c r="L123" s="37" t="s">
        <v>45</v>
      </c>
      <c r="M123" s="38" t="s">
        <v>90</v>
      </c>
      <c r="N123" s="38"/>
      <c r="O123" s="37">
        <v>40</v>
      </c>
      <c r="P123" s="6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27"/>
      <c r="R123" s="627"/>
      <c r="S123" s="627"/>
      <c r="T123" s="628"/>
      <c r="U123" s="39" t="s">
        <v>45</v>
      </c>
      <c r="V123" s="39" t="s">
        <v>45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45</v>
      </c>
      <c r="AB123" s="69" t="s">
        <v>45</v>
      </c>
      <c r="AC123" s="188" t="s">
        <v>237</v>
      </c>
      <c r="AG123" s="78"/>
      <c r="AJ123" s="84" t="s">
        <v>45</v>
      </c>
      <c r="AK123" s="84">
        <v>0</v>
      </c>
      <c r="BB123" s="189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0" t="s">
        <v>40</v>
      </c>
      <c r="Q124" s="631"/>
      <c r="R124" s="631"/>
      <c r="S124" s="631"/>
      <c r="T124" s="631"/>
      <c r="U124" s="631"/>
      <c r="V124" s="632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633"/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4"/>
      <c r="P125" s="630" t="s">
        <v>40</v>
      </c>
      <c r="Q125" s="631"/>
      <c r="R125" s="631"/>
      <c r="S125" s="631"/>
      <c r="T125" s="631"/>
      <c r="U125" s="631"/>
      <c r="V125" s="632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customHeight="1" x14ac:dyDescent="0.25">
      <c r="A126" s="623" t="s">
        <v>238</v>
      </c>
      <c r="B126" s="623"/>
      <c r="C126" s="623"/>
      <c r="D126" s="623"/>
      <c r="E126" s="623"/>
      <c r="F126" s="623"/>
      <c r="G126" s="623"/>
      <c r="H126" s="623"/>
      <c r="I126" s="623"/>
      <c r="J126" s="623"/>
      <c r="K126" s="623"/>
      <c r="L126" s="623"/>
      <c r="M126" s="623"/>
      <c r="N126" s="623"/>
      <c r="O126" s="623"/>
      <c r="P126" s="623"/>
      <c r="Q126" s="623"/>
      <c r="R126" s="623"/>
      <c r="S126" s="623"/>
      <c r="T126" s="623"/>
      <c r="U126" s="623"/>
      <c r="V126" s="623"/>
      <c r="W126" s="623"/>
      <c r="X126" s="623"/>
      <c r="Y126" s="623"/>
      <c r="Z126" s="623"/>
      <c r="AA126" s="65"/>
      <c r="AB126" s="65"/>
      <c r="AC126" s="79"/>
    </row>
    <row r="127" spans="1:68" ht="14.25" customHeight="1" x14ac:dyDescent="0.25">
      <c r="A127" s="624" t="s">
        <v>114</v>
      </c>
      <c r="B127" s="624"/>
      <c r="C127" s="624"/>
      <c r="D127" s="624"/>
      <c r="E127" s="624"/>
      <c r="F127" s="624"/>
      <c r="G127" s="624"/>
      <c r="H127" s="624"/>
      <c r="I127" s="624"/>
      <c r="J127" s="624"/>
      <c r="K127" s="624"/>
      <c r="L127" s="624"/>
      <c r="M127" s="624"/>
      <c r="N127" s="624"/>
      <c r="O127" s="624"/>
      <c r="P127" s="624"/>
      <c r="Q127" s="624"/>
      <c r="R127" s="624"/>
      <c r="S127" s="624"/>
      <c r="T127" s="624"/>
      <c r="U127" s="624"/>
      <c r="V127" s="624"/>
      <c r="W127" s="624"/>
      <c r="X127" s="624"/>
      <c r="Y127" s="624"/>
      <c r="Z127" s="624"/>
      <c r="AA127" s="66"/>
      <c r="AB127" s="66"/>
      <c r="AC127" s="80"/>
    </row>
    <row r="128" spans="1:68" ht="27" customHeight="1" x14ac:dyDescent="0.25">
      <c r="A128" s="63" t="s">
        <v>239</v>
      </c>
      <c r="B128" s="63" t="s">
        <v>240</v>
      </c>
      <c r="C128" s="36">
        <v>4301011564</v>
      </c>
      <c r="D128" s="625">
        <v>4680115882577</v>
      </c>
      <c r="E128" s="625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81</v>
      </c>
      <c r="L128" s="37" t="s">
        <v>45</v>
      </c>
      <c r="M128" s="38" t="s">
        <v>111</v>
      </c>
      <c r="N128" s="38"/>
      <c r="O128" s="37">
        <v>90</v>
      </c>
      <c r="P128" s="68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27"/>
      <c r="R128" s="627"/>
      <c r="S128" s="627"/>
      <c r="T128" s="628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241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customHeight="1" x14ac:dyDescent="0.25">
      <c r="A129" s="63" t="s">
        <v>239</v>
      </c>
      <c r="B129" s="63" t="s">
        <v>242</v>
      </c>
      <c r="C129" s="36">
        <v>4301011562</v>
      </c>
      <c r="D129" s="625">
        <v>4680115882577</v>
      </c>
      <c r="E129" s="625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81</v>
      </c>
      <c r="L129" s="37" t="s">
        <v>45</v>
      </c>
      <c r="M129" s="38" t="s">
        <v>111</v>
      </c>
      <c r="N129" s="38"/>
      <c r="O129" s="37">
        <v>90</v>
      </c>
      <c r="P129" s="6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27"/>
      <c r="R129" s="627"/>
      <c r="S129" s="627"/>
      <c r="T129" s="628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92" t="s">
        <v>241</v>
      </c>
      <c r="AG129" s="78"/>
      <c r="AJ129" s="84" t="s">
        <v>45</v>
      </c>
      <c r="AK129" s="84">
        <v>0</v>
      </c>
      <c r="BB129" s="193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633"/>
      <c r="B130" s="633"/>
      <c r="C130" s="633"/>
      <c r="D130" s="633"/>
      <c r="E130" s="633"/>
      <c r="F130" s="633"/>
      <c r="G130" s="633"/>
      <c r="H130" s="633"/>
      <c r="I130" s="633"/>
      <c r="J130" s="633"/>
      <c r="K130" s="633"/>
      <c r="L130" s="633"/>
      <c r="M130" s="633"/>
      <c r="N130" s="633"/>
      <c r="O130" s="634"/>
      <c r="P130" s="630" t="s">
        <v>40</v>
      </c>
      <c r="Q130" s="631"/>
      <c r="R130" s="631"/>
      <c r="S130" s="631"/>
      <c r="T130" s="631"/>
      <c r="U130" s="631"/>
      <c r="V130" s="632"/>
      <c r="W130" s="42" t="s">
        <v>39</v>
      </c>
      <c r="X130" s="43">
        <f>IFERROR(X128/H128,"0")+IFERROR(X129/H129,"0")</f>
        <v>0</v>
      </c>
      <c r="Y130" s="43">
        <f>IFERROR(Y128/H128,"0")+IFERROR(Y129/H129,"0")</f>
        <v>0</v>
      </c>
      <c r="Z130" s="43">
        <f>IFERROR(IF(Z128="",0,Z128),"0")+IFERROR(IF(Z129="",0,Z129),"0")</f>
        <v>0</v>
      </c>
      <c r="AA130" s="67"/>
      <c r="AB130" s="67"/>
      <c r="AC130" s="67"/>
    </row>
    <row r="131" spans="1:68" x14ac:dyDescent="0.2">
      <c r="A131" s="633"/>
      <c r="B131" s="633"/>
      <c r="C131" s="633"/>
      <c r="D131" s="633"/>
      <c r="E131" s="633"/>
      <c r="F131" s="633"/>
      <c r="G131" s="633"/>
      <c r="H131" s="633"/>
      <c r="I131" s="633"/>
      <c r="J131" s="633"/>
      <c r="K131" s="633"/>
      <c r="L131" s="633"/>
      <c r="M131" s="633"/>
      <c r="N131" s="633"/>
      <c r="O131" s="634"/>
      <c r="P131" s="630" t="s">
        <v>40</v>
      </c>
      <c r="Q131" s="631"/>
      <c r="R131" s="631"/>
      <c r="S131" s="631"/>
      <c r="T131" s="631"/>
      <c r="U131" s="631"/>
      <c r="V131" s="632"/>
      <c r="W131" s="42" t="s">
        <v>0</v>
      </c>
      <c r="X131" s="43">
        <f>IFERROR(SUM(X128:X129),"0")</f>
        <v>0</v>
      </c>
      <c r="Y131" s="43">
        <f>IFERROR(SUM(Y128:Y129),"0")</f>
        <v>0</v>
      </c>
      <c r="Z131" s="42"/>
      <c r="AA131" s="67"/>
      <c r="AB131" s="67"/>
      <c r="AC131" s="67"/>
    </row>
    <row r="132" spans="1:68" ht="14.25" customHeight="1" x14ac:dyDescent="0.25">
      <c r="A132" s="624" t="s">
        <v>76</v>
      </c>
      <c r="B132" s="624"/>
      <c r="C132" s="624"/>
      <c r="D132" s="624"/>
      <c r="E132" s="624"/>
      <c r="F132" s="624"/>
      <c r="G132" s="624"/>
      <c r="H132" s="624"/>
      <c r="I132" s="624"/>
      <c r="J132" s="624"/>
      <c r="K132" s="624"/>
      <c r="L132" s="624"/>
      <c r="M132" s="624"/>
      <c r="N132" s="624"/>
      <c r="O132" s="624"/>
      <c r="P132" s="624"/>
      <c r="Q132" s="624"/>
      <c r="R132" s="624"/>
      <c r="S132" s="624"/>
      <c r="T132" s="624"/>
      <c r="U132" s="624"/>
      <c r="V132" s="624"/>
      <c r="W132" s="624"/>
      <c r="X132" s="624"/>
      <c r="Y132" s="624"/>
      <c r="Z132" s="624"/>
      <c r="AA132" s="66"/>
      <c r="AB132" s="66"/>
      <c r="AC132" s="80"/>
    </row>
    <row r="133" spans="1:68" ht="27" customHeight="1" x14ac:dyDescent="0.25">
      <c r="A133" s="63" t="s">
        <v>243</v>
      </c>
      <c r="B133" s="63" t="s">
        <v>244</v>
      </c>
      <c r="C133" s="36">
        <v>4301031234</v>
      </c>
      <c r="D133" s="625">
        <v>4680115883444</v>
      </c>
      <c r="E133" s="625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81</v>
      </c>
      <c r="L133" s="37" t="s">
        <v>45</v>
      </c>
      <c r="M133" s="38" t="s">
        <v>111</v>
      </c>
      <c r="N133" s="38"/>
      <c r="O133" s="37">
        <v>90</v>
      </c>
      <c r="P133" s="68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27"/>
      <c r="R133" s="627"/>
      <c r="S133" s="627"/>
      <c r="T133" s="628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245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243</v>
      </c>
      <c r="B134" s="63" t="s">
        <v>246</v>
      </c>
      <c r="C134" s="36">
        <v>4301031235</v>
      </c>
      <c r="D134" s="625">
        <v>4680115883444</v>
      </c>
      <c r="E134" s="625"/>
      <c r="F134" s="62">
        <v>0.35</v>
      </c>
      <c r="G134" s="37">
        <v>8</v>
      </c>
      <c r="H134" s="62">
        <v>2.8</v>
      </c>
      <c r="I134" s="62">
        <v>3.0680000000000001</v>
      </c>
      <c r="J134" s="37">
        <v>182</v>
      </c>
      <c r="K134" s="37" t="s">
        <v>81</v>
      </c>
      <c r="L134" s="37" t="s">
        <v>45</v>
      </c>
      <c r="M134" s="38" t="s">
        <v>111</v>
      </c>
      <c r="N134" s="38"/>
      <c r="O134" s="37">
        <v>90</v>
      </c>
      <c r="P134" s="68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627"/>
      <c r="R134" s="627"/>
      <c r="S134" s="627"/>
      <c r="T134" s="628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6" t="s">
        <v>245</v>
      </c>
      <c r="AG134" s="78"/>
      <c r="AJ134" s="84" t="s">
        <v>45</v>
      </c>
      <c r="AK134" s="84">
        <v>0</v>
      </c>
      <c r="BB134" s="197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x14ac:dyDescent="0.2">
      <c r="A135" s="633"/>
      <c r="B135" s="633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4"/>
      <c r="P135" s="630" t="s">
        <v>40</v>
      </c>
      <c r="Q135" s="631"/>
      <c r="R135" s="631"/>
      <c r="S135" s="631"/>
      <c r="T135" s="631"/>
      <c r="U135" s="631"/>
      <c r="V135" s="632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633"/>
      <c r="B136" s="633"/>
      <c r="C136" s="633"/>
      <c r="D136" s="633"/>
      <c r="E136" s="633"/>
      <c r="F136" s="633"/>
      <c r="G136" s="633"/>
      <c r="H136" s="633"/>
      <c r="I136" s="633"/>
      <c r="J136" s="633"/>
      <c r="K136" s="633"/>
      <c r="L136" s="633"/>
      <c r="M136" s="633"/>
      <c r="N136" s="633"/>
      <c r="O136" s="634"/>
      <c r="P136" s="630" t="s">
        <v>40</v>
      </c>
      <c r="Q136" s="631"/>
      <c r="R136" s="631"/>
      <c r="S136" s="631"/>
      <c r="T136" s="631"/>
      <c r="U136" s="631"/>
      <c r="V136" s="632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customHeight="1" x14ac:dyDescent="0.25">
      <c r="A137" s="624" t="s">
        <v>86</v>
      </c>
      <c r="B137" s="624"/>
      <c r="C137" s="624"/>
      <c r="D137" s="624"/>
      <c r="E137" s="624"/>
      <c r="F137" s="624"/>
      <c r="G137" s="624"/>
      <c r="H137" s="624"/>
      <c r="I137" s="624"/>
      <c r="J137" s="624"/>
      <c r="K137" s="624"/>
      <c r="L137" s="624"/>
      <c r="M137" s="624"/>
      <c r="N137" s="624"/>
      <c r="O137" s="624"/>
      <c r="P137" s="624"/>
      <c r="Q137" s="624"/>
      <c r="R137" s="624"/>
      <c r="S137" s="624"/>
      <c r="T137" s="624"/>
      <c r="U137" s="624"/>
      <c r="V137" s="624"/>
      <c r="W137" s="624"/>
      <c r="X137" s="624"/>
      <c r="Y137" s="624"/>
      <c r="Z137" s="624"/>
      <c r="AA137" s="66"/>
      <c r="AB137" s="66"/>
      <c r="AC137" s="80"/>
    </row>
    <row r="138" spans="1:68" ht="16.5" customHeight="1" x14ac:dyDescent="0.25">
      <c r="A138" s="63" t="s">
        <v>247</v>
      </c>
      <c r="B138" s="63" t="s">
        <v>248</v>
      </c>
      <c r="C138" s="36">
        <v>4301051477</v>
      </c>
      <c r="D138" s="625">
        <v>4680115882584</v>
      </c>
      <c r="E138" s="625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81</v>
      </c>
      <c r="L138" s="37" t="s">
        <v>45</v>
      </c>
      <c r="M138" s="38" t="s">
        <v>111</v>
      </c>
      <c r="N138" s="38"/>
      <c r="O138" s="37">
        <v>60</v>
      </c>
      <c r="P138" s="6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627"/>
      <c r="R138" s="627"/>
      <c r="S138" s="627"/>
      <c r="T138" s="628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241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16.5" customHeight="1" x14ac:dyDescent="0.25">
      <c r="A139" s="63" t="s">
        <v>247</v>
      </c>
      <c r="B139" s="63" t="s">
        <v>249</v>
      </c>
      <c r="C139" s="36">
        <v>4301051476</v>
      </c>
      <c r="D139" s="625">
        <v>4680115882584</v>
      </c>
      <c r="E139" s="625"/>
      <c r="F139" s="62">
        <v>0.33</v>
      </c>
      <c r="G139" s="37">
        <v>8</v>
      </c>
      <c r="H139" s="62">
        <v>2.64</v>
      </c>
      <c r="I139" s="62">
        <v>2.9079999999999999</v>
      </c>
      <c r="J139" s="37">
        <v>182</v>
      </c>
      <c r="K139" s="37" t="s">
        <v>81</v>
      </c>
      <c r="L139" s="37" t="s">
        <v>45</v>
      </c>
      <c r="M139" s="38" t="s">
        <v>111</v>
      </c>
      <c r="N139" s="38"/>
      <c r="O139" s="37">
        <v>60</v>
      </c>
      <c r="P139" s="69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627"/>
      <c r="R139" s="627"/>
      <c r="S139" s="627"/>
      <c r="T139" s="628"/>
      <c r="U139" s="39" t="s">
        <v>45</v>
      </c>
      <c r="V139" s="39" t="s">
        <v>45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45</v>
      </c>
      <c r="AB139" s="69" t="s">
        <v>45</v>
      </c>
      <c r="AC139" s="200" t="s">
        <v>241</v>
      </c>
      <c r="AG139" s="78"/>
      <c r="AJ139" s="84" t="s">
        <v>45</v>
      </c>
      <c r="AK139" s="84">
        <v>0</v>
      </c>
      <c r="BB139" s="20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">
      <c r="A140" s="633"/>
      <c r="B140" s="633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4"/>
      <c r="P140" s="630" t="s">
        <v>40</v>
      </c>
      <c r="Q140" s="631"/>
      <c r="R140" s="631"/>
      <c r="S140" s="631"/>
      <c r="T140" s="631"/>
      <c r="U140" s="631"/>
      <c r="V140" s="632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">
      <c r="A141" s="633"/>
      <c r="B141" s="633"/>
      <c r="C141" s="633"/>
      <c r="D141" s="633"/>
      <c r="E141" s="633"/>
      <c r="F141" s="633"/>
      <c r="G141" s="633"/>
      <c r="H141" s="633"/>
      <c r="I141" s="633"/>
      <c r="J141" s="633"/>
      <c r="K141" s="633"/>
      <c r="L141" s="633"/>
      <c r="M141" s="633"/>
      <c r="N141" s="633"/>
      <c r="O141" s="634"/>
      <c r="P141" s="630" t="s">
        <v>40</v>
      </c>
      <c r="Q141" s="631"/>
      <c r="R141" s="631"/>
      <c r="S141" s="631"/>
      <c r="T141" s="631"/>
      <c r="U141" s="631"/>
      <c r="V141" s="632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6.5" customHeight="1" x14ac:dyDescent="0.25">
      <c r="A142" s="623" t="s">
        <v>112</v>
      </c>
      <c r="B142" s="623"/>
      <c r="C142" s="623"/>
      <c r="D142" s="623"/>
      <c r="E142" s="623"/>
      <c r="F142" s="623"/>
      <c r="G142" s="623"/>
      <c r="H142" s="623"/>
      <c r="I142" s="623"/>
      <c r="J142" s="623"/>
      <c r="K142" s="623"/>
      <c r="L142" s="623"/>
      <c r="M142" s="623"/>
      <c r="N142" s="623"/>
      <c r="O142" s="623"/>
      <c r="P142" s="623"/>
      <c r="Q142" s="623"/>
      <c r="R142" s="623"/>
      <c r="S142" s="623"/>
      <c r="T142" s="623"/>
      <c r="U142" s="623"/>
      <c r="V142" s="623"/>
      <c r="W142" s="623"/>
      <c r="X142" s="623"/>
      <c r="Y142" s="623"/>
      <c r="Z142" s="623"/>
      <c r="AA142" s="65"/>
      <c r="AB142" s="65"/>
      <c r="AC142" s="79"/>
    </row>
    <row r="143" spans="1:68" ht="14.25" customHeight="1" x14ac:dyDescent="0.25">
      <c r="A143" s="624" t="s">
        <v>114</v>
      </c>
      <c r="B143" s="624"/>
      <c r="C143" s="624"/>
      <c r="D143" s="624"/>
      <c r="E143" s="624"/>
      <c r="F143" s="624"/>
      <c r="G143" s="624"/>
      <c r="H143" s="624"/>
      <c r="I143" s="624"/>
      <c r="J143" s="624"/>
      <c r="K143" s="624"/>
      <c r="L143" s="624"/>
      <c r="M143" s="624"/>
      <c r="N143" s="624"/>
      <c r="O143" s="624"/>
      <c r="P143" s="624"/>
      <c r="Q143" s="624"/>
      <c r="R143" s="624"/>
      <c r="S143" s="624"/>
      <c r="T143" s="624"/>
      <c r="U143" s="624"/>
      <c r="V143" s="624"/>
      <c r="W143" s="624"/>
      <c r="X143" s="624"/>
      <c r="Y143" s="624"/>
      <c r="Z143" s="624"/>
      <c r="AA143" s="66"/>
      <c r="AB143" s="66"/>
      <c r="AC143" s="80"/>
    </row>
    <row r="144" spans="1:68" ht="27" customHeight="1" x14ac:dyDescent="0.25">
      <c r="A144" s="63" t="s">
        <v>250</v>
      </c>
      <c r="B144" s="63" t="s">
        <v>251</v>
      </c>
      <c r="C144" s="36">
        <v>4301012244</v>
      </c>
      <c r="D144" s="625">
        <v>4680115887374</v>
      </c>
      <c r="E144" s="625"/>
      <c r="F144" s="62">
        <v>1.6</v>
      </c>
      <c r="G144" s="37">
        <v>8</v>
      </c>
      <c r="H144" s="62">
        <v>12.8</v>
      </c>
      <c r="I144" s="62">
        <v>13.21</v>
      </c>
      <c r="J144" s="37">
        <v>64</v>
      </c>
      <c r="K144" s="37" t="s">
        <v>119</v>
      </c>
      <c r="L144" s="37" t="s">
        <v>45</v>
      </c>
      <c r="M144" s="38" t="s">
        <v>118</v>
      </c>
      <c r="N144" s="38"/>
      <c r="O144" s="37">
        <v>55</v>
      </c>
      <c r="P144" s="69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627"/>
      <c r="R144" s="627"/>
      <c r="S144" s="627"/>
      <c r="T144" s="628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IFERROR(IF(Y144=0,"",ROUNDUP(Y144/H144,0)*0.01898),"")</f>
        <v/>
      </c>
      <c r="AA144" s="68" t="s">
        <v>45</v>
      </c>
      <c r="AB144" s="69" t="s">
        <v>45</v>
      </c>
      <c r="AC144" s="202" t="s">
        <v>252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27" customHeight="1" x14ac:dyDescent="0.25">
      <c r="A145" s="63" t="s">
        <v>253</v>
      </c>
      <c r="B145" s="63" t="s">
        <v>254</v>
      </c>
      <c r="C145" s="36">
        <v>4301011705</v>
      </c>
      <c r="D145" s="625">
        <v>4607091384604</v>
      </c>
      <c r="E145" s="625"/>
      <c r="F145" s="62">
        <v>0.4</v>
      </c>
      <c r="G145" s="37">
        <v>10</v>
      </c>
      <c r="H145" s="62">
        <v>4</v>
      </c>
      <c r="I145" s="62">
        <v>4.1900000000000004</v>
      </c>
      <c r="J145" s="37">
        <v>132</v>
      </c>
      <c r="K145" s="37" t="s">
        <v>122</v>
      </c>
      <c r="L145" s="37" t="s">
        <v>45</v>
      </c>
      <c r="M145" s="38" t="s">
        <v>118</v>
      </c>
      <c r="N145" s="38"/>
      <c r="O145" s="37">
        <v>50</v>
      </c>
      <c r="P145" s="69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627"/>
      <c r="R145" s="627"/>
      <c r="S145" s="627"/>
      <c r="T145" s="628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IFERROR(IF(Y145=0,"",ROUNDUP(Y145/H145,0)*0.00902),"")</f>
        <v/>
      </c>
      <c r="AA145" s="68" t="s">
        <v>45</v>
      </c>
      <c r="AB145" s="69" t="s">
        <v>45</v>
      </c>
      <c r="AC145" s="204" t="s">
        <v>255</v>
      </c>
      <c r="AG145" s="78"/>
      <c r="AJ145" s="84" t="s">
        <v>45</v>
      </c>
      <c r="AK145" s="84">
        <v>0</v>
      </c>
      <c r="BB145" s="205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33"/>
      <c r="B146" s="633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4"/>
      <c r="P146" s="630" t="s">
        <v>40</v>
      </c>
      <c r="Q146" s="631"/>
      <c r="R146" s="631"/>
      <c r="S146" s="631"/>
      <c r="T146" s="631"/>
      <c r="U146" s="631"/>
      <c r="V146" s="632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633"/>
      <c r="B147" s="633"/>
      <c r="C147" s="633"/>
      <c r="D147" s="633"/>
      <c r="E147" s="633"/>
      <c r="F147" s="633"/>
      <c r="G147" s="633"/>
      <c r="H147" s="633"/>
      <c r="I147" s="633"/>
      <c r="J147" s="633"/>
      <c r="K147" s="633"/>
      <c r="L147" s="633"/>
      <c r="M147" s="633"/>
      <c r="N147" s="633"/>
      <c r="O147" s="634"/>
      <c r="P147" s="630" t="s">
        <v>40</v>
      </c>
      <c r="Q147" s="631"/>
      <c r="R147" s="631"/>
      <c r="S147" s="631"/>
      <c r="T147" s="631"/>
      <c r="U147" s="631"/>
      <c r="V147" s="632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4.25" customHeight="1" x14ac:dyDescent="0.25">
      <c r="A148" s="624" t="s">
        <v>76</v>
      </c>
      <c r="B148" s="624"/>
      <c r="C148" s="624"/>
      <c r="D148" s="624"/>
      <c r="E148" s="624"/>
      <c r="F148" s="624"/>
      <c r="G148" s="624"/>
      <c r="H148" s="624"/>
      <c r="I148" s="624"/>
      <c r="J148" s="624"/>
      <c r="K148" s="624"/>
      <c r="L148" s="624"/>
      <c r="M148" s="624"/>
      <c r="N148" s="624"/>
      <c r="O148" s="624"/>
      <c r="P148" s="624"/>
      <c r="Q148" s="624"/>
      <c r="R148" s="624"/>
      <c r="S148" s="624"/>
      <c r="T148" s="624"/>
      <c r="U148" s="624"/>
      <c r="V148" s="624"/>
      <c r="W148" s="624"/>
      <c r="X148" s="624"/>
      <c r="Y148" s="624"/>
      <c r="Z148" s="624"/>
      <c r="AA148" s="66"/>
      <c r="AB148" s="66"/>
      <c r="AC148" s="80"/>
    </row>
    <row r="149" spans="1:68" ht="16.5" customHeight="1" x14ac:dyDescent="0.25">
      <c r="A149" s="63" t="s">
        <v>256</v>
      </c>
      <c r="B149" s="63" t="s">
        <v>257</v>
      </c>
      <c r="C149" s="36">
        <v>4301031450</v>
      </c>
      <c r="D149" s="625">
        <v>4680115887428</v>
      </c>
      <c r="E149" s="625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122</v>
      </c>
      <c r="L149" s="37" t="s">
        <v>45</v>
      </c>
      <c r="M149" s="38" t="s">
        <v>80</v>
      </c>
      <c r="N149" s="38"/>
      <c r="O149" s="37">
        <v>40</v>
      </c>
      <c r="P149" s="69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627"/>
      <c r="R149" s="627"/>
      <c r="S149" s="627"/>
      <c r="T149" s="628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6" t="s">
        <v>258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259</v>
      </c>
      <c r="B150" s="63" t="s">
        <v>260</v>
      </c>
      <c r="C150" s="36">
        <v>4301031453</v>
      </c>
      <c r="D150" s="625">
        <v>4680115887336</v>
      </c>
      <c r="E150" s="625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122</v>
      </c>
      <c r="L150" s="37" t="s">
        <v>45</v>
      </c>
      <c r="M150" s="38" t="s">
        <v>80</v>
      </c>
      <c r="N150" s="38"/>
      <c r="O150" s="37">
        <v>40</v>
      </c>
      <c r="P150" s="694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627"/>
      <c r="R150" s="627"/>
      <c r="S150" s="627"/>
      <c r="T150" s="628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261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262</v>
      </c>
      <c r="B151" s="63" t="s">
        <v>263</v>
      </c>
      <c r="C151" s="36">
        <v>4301030963</v>
      </c>
      <c r="D151" s="625">
        <v>4607091382426</v>
      </c>
      <c r="E151" s="625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119</v>
      </c>
      <c r="L151" s="37" t="s">
        <v>45</v>
      </c>
      <c r="M151" s="38" t="s">
        <v>80</v>
      </c>
      <c r="N151" s="38"/>
      <c r="O151" s="37">
        <v>40</v>
      </c>
      <c r="P151" s="6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27"/>
      <c r="R151" s="627"/>
      <c r="S151" s="627"/>
      <c r="T151" s="628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264</v>
      </c>
      <c r="AG151" s="78"/>
      <c r="AJ151" s="84" t="s">
        <v>45</v>
      </c>
      <c r="AK151" s="84">
        <v>0</v>
      </c>
      <c r="BB151" s="211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265</v>
      </c>
      <c r="B152" s="63" t="s">
        <v>266</v>
      </c>
      <c r="C152" s="36">
        <v>4301031456</v>
      </c>
      <c r="D152" s="625">
        <v>4680115887398</v>
      </c>
      <c r="E152" s="625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122</v>
      </c>
      <c r="L152" s="37" t="s">
        <v>45</v>
      </c>
      <c r="M152" s="38" t="s">
        <v>80</v>
      </c>
      <c r="N152" s="38"/>
      <c r="O152" s="37">
        <v>40</v>
      </c>
      <c r="P152" s="69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627"/>
      <c r="R152" s="627"/>
      <c r="S152" s="627"/>
      <c r="T152" s="628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2" t="s">
        <v>267</v>
      </c>
      <c r="AG152" s="78"/>
      <c r="AJ152" s="84" t="s">
        <v>45</v>
      </c>
      <c r="AK152" s="84">
        <v>0</v>
      </c>
      <c r="BB152" s="213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268</v>
      </c>
      <c r="B153" s="63" t="s">
        <v>269</v>
      </c>
      <c r="C153" s="36">
        <v>4301031389</v>
      </c>
      <c r="D153" s="625">
        <v>4680115887763</v>
      </c>
      <c r="E153" s="625"/>
      <c r="F153" s="62">
        <v>0.09</v>
      </c>
      <c r="G153" s="37">
        <v>10</v>
      </c>
      <c r="H153" s="62">
        <v>0.9</v>
      </c>
      <c r="I153" s="62">
        <v>1.1100000000000001</v>
      </c>
      <c r="J153" s="37">
        <v>336</v>
      </c>
      <c r="K153" s="37" t="s">
        <v>156</v>
      </c>
      <c r="L153" s="37" t="s">
        <v>45</v>
      </c>
      <c r="M153" s="38" t="s">
        <v>80</v>
      </c>
      <c r="N153" s="38"/>
      <c r="O153" s="37">
        <v>45</v>
      </c>
      <c r="P153" s="697" t="s">
        <v>270</v>
      </c>
      <c r="Q153" s="627"/>
      <c r="R153" s="627"/>
      <c r="S153" s="627"/>
      <c r="T153" s="628"/>
      <c r="U153" s="39" t="s">
        <v>45</v>
      </c>
      <c r="V153" s="39" t="s">
        <v>45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IFERROR(IF(Y153=0,"",ROUNDUP(Y153/H153,0)*0.00417),"")</f>
        <v/>
      </c>
      <c r="AA153" s="68" t="s">
        <v>45</v>
      </c>
      <c r="AB153" s="69" t="s">
        <v>45</v>
      </c>
      <c r="AC153" s="214" t="s">
        <v>271</v>
      </c>
      <c r="AG153" s="78"/>
      <c r="AJ153" s="84" t="s">
        <v>45</v>
      </c>
      <c r="AK153" s="84">
        <v>0</v>
      </c>
      <c r="BB153" s="215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x14ac:dyDescent="0.2">
      <c r="A154" s="633"/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4"/>
      <c r="P154" s="630" t="s">
        <v>40</v>
      </c>
      <c r="Q154" s="631"/>
      <c r="R154" s="631"/>
      <c r="S154" s="631"/>
      <c r="T154" s="631"/>
      <c r="U154" s="631"/>
      <c r="V154" s="632"/>
      <c r="W154" s="42" t="s">
        <v>39</v>
      </c>
      <c r="X154" s="43">
        <f>IFERROR(X149/H149,"0")+IFERROR(X150/H150,"0")+IFERROR(X151/H151,"0")+IFERROR(X152/H152,"0")+IFERROR(X153/H153,"0")</f>
        <v>0</v>
      </c>
      <c r="Y154" s="43">
        <f>IFERROR(Y149/H149,"0")+IFERROR(Y150/H150,"0")+IFERROR(Y151/H151,"0")+IFERROR(Y152/H152,"0")+IFERROR(Y153/H153,"0")</f>
        <v>0</v>
      </c>
      <c r="Z154" s="43">
        <f>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633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0" t="s">
        <v>40</v>
      </c>
      <c r="Q155" s="631"/>
      <c r="R155" s="631"/>
      <c r="S155" s="631"/>
      <c r="T155" s="631"/>
      <c r="U155" s="631"/>
      <c r="V155" s="632"/>
      <c r="W155" s="42" t="s">
        <v>0</v>
      </c>
      <c r="X155" s="43">
        <f>IFERROR(SUM(X149:X153),"0")</f>
        <v>0</v>
      </c>
      <c r="Y155" s="43">
        <f>IFERROR(SUM(Y149:Y153),"0")</f>
        <v>0</v>
      </c>
      <c r="Z155" s="42"/>
      <c r="AA155" s="67"/>
      <c r="AB155" s="67"/>
      <c r="AC155" s="67"/>
    </row>
    <row r="156" spans="1:68" ht="14.25" customHeight="1" x14ac:dyDescent="0.25">
      <c r="A156" s="624" t="s">
        <v>86</v>
      </c>
      <c r="B156" s="624"/>
      <c r="C156" s="624"/>
      <c r="D156" s="624"/>
      <c r="E156" s="624"/>
      <c r="F156" s="624"/>
      <c r="G156" s="624"/>
      <c r="H156" s="624"/>
      <c r="I156" s="624"/>
      <c r="J156" s="624"/>
      <c r="K156" s="624"/>
      <c r="L156" s="624"/>
      <c r="M156" s="624"/>
      <c r="N156" s="624"/>
      <c r="O156" s="624"/>
      <c r="P156" s="624"/>
      <c r="Q156" s="624"/>
      <c r="R156" s="624"/>
      <c r="S156" s="624"/>
      <c r="T156" s="624"/>
      <c r="U156" s="624"/>
      <c r="V156" s="624"/>
      <c r="W156" s="624"/>
      <c r="X156" s="624"/>
      <c r="Y156" s="624"/>
      <c r="Z156" s="624"/>
      <c r="AA156" s="66"/>
      <c r="AB156" s="66"/>
      <c r="AC156" s="80"/>
    </row>
    <row r="157" spans="1:68" ht="27" customHeight="1" x14ac:dyDescent="0.25">
      <c r="A157" s="63" t="s">
        <v>272</v>
      </c>
      <c r="B157" s="63" t="s">
        <v>273</v>
      </c>
      <c r="C157" s="36">
        <v>4301052064</v>
      </c>
      <c r="D157" s="625">
        <v>4680115887459</v>
      </c>
      <c r="E157" s="625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81</v>
      </c>
      <c r="L157" s="37" t="s">
        <v>45</v>
      </c>
      <c r="M157" s="38" t="s">
        <v>90</v>
      </c>
      <c r="N157" s="38"/>
      <c r="O157" s="37">
        <v>45</v>
      </c>
      <c r="P157" s="69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27"/>
      <c r="R157" s="627"/>
      <c r="S157" s="627"/>
      <c r="T157" s="628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274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33"/>
      <c r="B158" s="633"/>
      <c r="C158" s="633"/>
      <c r="D158" s="633"/>
      <c r="E158" s="633"/>
      <c r="F158" s="633"/>
      <c r="G158" s="633"/>
      <c r="H158" s="633"/>
      <c r="I158" s="633"/>
      <c r="J158" s="633"/>
      <c r="K158" s="633"/>
      <c r="L158" s="633"/>
      <c r="M158" s="633"/>
      <c r="N158" s="633"/>
      <c r="O158" s="634"/>
      <c r="P158" s="630" t="s">
        <v>40</v>
      </c>
      <c r="Q158" s="631"/>
      <c r="R158" s="631"/>
      <c r="S158" s="631"/>
      <c r="T158" s="631"/>
      <c r="U158" s="631"/>
      <c r="V158" s="632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33"/>
      <c r="B159" s="633"/>
      <c r="C159" s="633"/>
      <c r="D159" s="633"/>
      <c r="E159" s="633"/>
      <c r="F159" s="633"/>
      <c r="G159" s="633"/>
      <c r="H159" s="633"/>
      <c r="I159" s="633"/>
      <c r="J159" s="633"/>
      <c r="K159" s="633"/>
      <c r="L159" s="633"/>
      <c r="M159" s="633"/>
      <c r="N159" s="633"/>
      <c r="O159" s="634"/>
      <c r="P159" s="630" t="s">
        <v>40</v>
      </c>
      <c r="Q159" s="631"/>
      <c r="R159" s="631"/>
      <c r="S159" s="631"/>
      <c r="T159" s="631"/>
      <c r="U159" s="631"/>
      <c r="V159" s="632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customHeight="1" x14ac:dyDescent="0.2">
      <c r="A160" s="622" t="s">
        <v>275</v>
      </c>
      <c r="B160" s="622"/>
      <c r="C160" s="622"/>
      <c r="D160" s="622"/>
      <c r="E160" s="622"/>
      <c r="F160" s="622"/>
      <c r="G160" s="622"/>
      <c r="H160" s="622"/>
      <c r="I160" s="622"/>
      <c r="J160" s="622"/>
      <c r="K160" s="622"/>
      <c r="L160" s="622"/>
      <c r="M160" s="622"/>
      <c r="N160" s="622"/>
      <c r="O160" s="622"/>
      <c r="P160" s="622"/>
      <c r="Q160" s="622"/>
      <c r="R160" s="622"/>
      <c r="S160" s="622"/>
      <c r="T160" s="622"/>
      <c r="U160" s="622"/>
      <c r="V160" s="622"/>
      <c r="W160" s="622"/>
      <c r="X160" s="622"/>
      <c r="Y160" s="622"/>
      <c r="Z160" s="622"/>
      <c r="AA160" s="54"/>
      <c r="AB160" s="54"/>
      <c r="AC160" s="54"/>
    </row>
    <row r="161" spans="1:68" ht="16.5" customHeight="1" x14ac:dyDescent="0.25">
      <c r="A161" s="623" t="s">
        <v>276</v>
      </c>
      <c r="B161" s="623"/>
      <c r="C161" s="623"/>
      <c r="D161" s="623"/>
      <c r="E161" s="623"/>
      <c r="F161" s="623"/>
      <c r="G161" s="623"/>
      <c r="H161" s="623"/>
      <c r="I161" s="623"/>
      <c r="J161" s="623"/>
      <c r="K161" s="623"/>
      <c r="L161" s="623"/>
      <c r="M161" s="623"/>
      <c r="N161" s="623"/>
      <c r="O161" s="623"/>
      <c r="P161" s="623"/>
      <c r="Q161" s="623"/>
      <c r="R161" s="623"/>
      <c r="S161" s="623"/>
      <c r="T161" s="623"/>
      <c r="U161" s="623"/>
      <c r="V161" s="623"/>
      <c r="W161" s="623"/>
      <c r="X161" s="623"/>
      <c r="Y161" s="623"/>
      <c r="Z161" s="623"/>
      <c r="AA161" s="65"/>
      <c r="AB161" s="65"/>
      <c r="AC161" s="79"/>
    </row>
    <row r="162" spans="1:68" ht="14.25" customHeight="1" x14ac:dyDescent="0.25">
      <c r="A162" s="624" t="s">
        <v>147</v>
      </c>
      <c r="B162" s="624"/>
      <c r="C162" s="624"/>
      <c r="D162" s="624"/>
      <c r="E162" s="624"/>
      <c r="F162" s="624"/>
      <c r="G162" s="624"/>
      <c r="H162" s="624"/>
      <c r="I162" s="624"/>
      <c r="J162" s="624"/>
      <c r="K162" s="624"/>
      <c r="L162" s="624"/>
      <c r="M162" s="624"/>
      <c r="N162" s="624"/>
      <c r="O162" s="624"/>
      <c r="P162" s="624"/>
      <c r="Q162" s="624"/>
      <c r="R162" s="624"/>
      <c r="S162" s="624"/>
      <c r="T162" s="624"/>
      <c r="U162" s="624"/>
      <c r="V162" s="624"/>
      <c r="W162" s="624"/>
      <c r="X162" s="624"/>
      <c r="Y162" s="624"/>
      <c r="Z162" s="624"/>
      <c r="AA162" s="66"/>
      <c r="AB162" s="66"/>
      <c r="AC162" s="80"/>
    </row>
    <row r="163" spans="1:68" ht="27" customHeight="1" x14ac:dyDescent="0.25">
      <c r="A163" s="63" t="s">
        <v>277</v>
      </c>
      <c r="B163" s="63" t="s">
        <v>278</v>
      </c>
      <c r="C163" s="36">
        <v>4301020323</v>
      </c>
      <c r="D163" s="625">
        <v>4680115886223</v>
      </c>
      <c r="E163" s="625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85</v>
      </c>
      <c r="L163" s="37" t="s">
        <v>45</v>
      </c>
      <c r="M163" s="38" t="s">
        <v>80</v>
      </c>
      <c r="N163" s="38"/>
      <c r="O163" s="37">
        <v>40</v>
      </c>
      <c r="P163" s="69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27"/>
      <c r="R163" s="627"/>
      <c r="S163" s="627"/>
      <c r="T163" s="628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279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0" t="s">
        <v>40</v>
      </c>
      <c r="Q164" s="631"/>
      <c r="R164" s="631"/>
      <c r="S164" s="631"/>
      <c r="T164" s="631"/>
      <c r="U164" s="631"/>
      <c r="V164" s="632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633"/>
      <c r="B165" s="633"/>
      <c r="C165" s="633"/>
      <c r="D165" s="633"/>
      <c r="E165" s="633"/>
      <c r="F165" s="633"/>
      <c r="G165" s="633"/>
      <c r="H165" s="633"/>
      <c r="I165" s="633"/>
      <c r="J165" s="633"/>
      <c r="K165" s="633"/>
      <c r="L165" s="633"/>
      <c r="M165" s="633"/>
      <c r="N165" s="633"/>
      <c r="O165" s="634"/>
      <c r="P165" s="630" t="s">
        <v>40</v>
      </c>
      <c r="Q165" s="631"/>
      <c r="R165" s="631"/>
      <c r="S165" s="631"/>
      <c r="T165" s="631"/>
      <c r="U165" s="631"/>
      <c r="V165" s="632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24" t="s">
        <v>76</v>
      </c>
      <c r="B166" s="624"/>
      <c r="C166" s="624"/>
      <c r="D166" s="624"/>
      <c r="E166" s="624"/>
      <c r="F166" s="624"/>
      <c r="G166" s="624"/>
      <c r="H166" s="624"/>
      <c r="I166" s="624"/>
      <c r="J166" s="624"/>
      <c r="K166" s="624"/>
      <c r="L166" s="624"/>
      <c r="M166" s="624"/>
      <c r="N166" s="624"/>
      <c r="O166" s="624"/>
      <c r="P166" s="624"/>
      <c r="Q166" s="624"/>
      <c r="R166" s="624"/>
      <c r="S166" s="624"/>
      <c r="T166" s="624"/>
      <c r="U166" s="624"/>
      <c r="V166" s="624"/>
      <c r="W166" s="624"/>
      <c r="X166" s="624"/>
      <c r="Y166" s="624"/>
      <c r="Z166" s="624"/>
      <c r="AA166" s="66"/>
      <c r="AB166" s="66"/>
      <c r="AC166" s="80"/>
    </row>
    <row r="167" spans="1:68" ht="27" customHeight="1" x14ac:dyDescent="0.25">
      <c r="A167" s="63" t="s">
        <v>280</v>
      </c>
      <c r="B167" s="63" t="s">
        <v>281</v>
      </c>
      <c r="C167" s="36">
        <v>4301031191</v>
      </c>
      <c r="D167" s="625">
        <v>4680115880993</v>
      </c>
      <c r="E167" s="625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122</v>
      </c>
      <c r="L167" s="37" t="s">
        <v>45</v>
      </c>
      <c r="M167" s="38" t="s">
        <v>80</v>
      </c>
      <c r="N167" s="38"/>
      <c r="O167" s="37">
        <v>40</v>
      </c>
      <c r="P167" s="7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627"/>
      <c r="R167" s="627"/>
      <c r="S167" s="627"/>
      <c r="T167" s="628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81" si="11">IFERROR(IF(X167="",0,CEILING((X167/$H167),1)*$H167),"")</f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282</v>
      </c>
      <c r="AG167" s="78"/>
      <c r="AJ167" s="84" t="s">
        <v>45</v>
      </c>
      <c r="AK167" s="84">
        <v>0</v>
      </c>
      <c r="BB167" s="221" t="s">
        <v>66</v>
      </c>
      <c r="BM167" s="78">
        <f t="shared" ref="BM167:BM181" si="12">IFERROR(X167*I167/H167,"0")</f>
        <v>0</v>
      </c>
      <c r="BN167" s="78">
        <f t="shared" ref="BN167:BN181" si="13">IFERROR(Y167*I167/H167,"0")</f>
        <v>0</v>
      </c>
      <c r="BO167" s="78">
        <f t="shared" ref="BO167:BO181" si="14">IFERROR(1/J167*(X167/H167),"0")</f>
        <v>0</v>
      </c>
      <c r="BP167" s="78">
        <f t="shared" ref="BP167:BP181" si="15">IFERROR(1/J167*(Y167/H167),"0")</f>
        <v>0</v>
      </c>
    </row>
    <row r="168" spans="1:68" ht="27" customHeight="1" x14ac:dyDescent="0.25">
      <c r="A168" s="63" t="s">
        <v>283</v>
      </c>
      <c r="B168" s="63" t="s">
        <v>284</v>
      </c>
      <c r="C168" s="36">
        <v>4301031204</v>
      </c>
      <c r="D168" s="625">
        <v>4680115881761</v>
      </c>
      <c r="E168" s="625"/>
      <c r="F168" s="62">
        <v>0.7</v>
      </c>
      <c r="G168" s="37">
        <v>6</v>
      </c>
      <c r="H168" s="62">
        <v>4.2</v>
      </c>
      <c r="I168" s="62">
        <v>4.45</v>
      </c>
      <c r="J168" s="37">
        <v>132</v>
      </c>
      <c r="K168" s="37" t="s">
        <v>122</v>
      </c>
      <c r="L168" s="37" t="s">
        <v>45</v>
      </c>
      <c r="M168" s="38" t="s">
        <v>80</v>
      </c>
      <c r="N168" s="38"/>
      <c r="O168" s="37">
        <v>40</v>
      </c>
      <c r="P168" s="70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627"/>
      <c r="R168" s="627"/>
      <c r="S168" s="627"/>
      <c r="T168" s="628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1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285</v>
      </c>
      <c r="AG168" s="78"/>
      <c r="AJ168" s="84" t="s">
        <v>45</v>
      </c>
      <c r="AK168" s="84">
        <v>0</v>
      </c>
      <c r="BB168" s="223" t="s">
        <v>66</v>
      </c>
      <c r="BM168" s="78">
        <f t="shared" si="12"/>
        <v>0</v>
      </c>
      <c r="BN168" s="78">
        <f t="shared" si="13"/>
        <v>0</v>
      </c>
      <c r="BO168" s="78">
        <f t="shared" si="14"/>
        <v>0</v>
      </c>
      <c r="BP168" s="78">
        <f t="shared" si="15"/>
        <v>0</v>
      </c>
    </row>
    <row r="169" spans="1:68" ht="27" customHeight="1" x14ac:dyDescent="0.25">
      <c r="A169" s="63" t="s">
        <v>286</v>
      </c>
      <c r="B169" s="63" t="s">
        <v>287</v>
      </c>
      <c r="C169" s="36">
        <v>4301031201</v>
      </c>
      <c r="D169" s="625">
        <v>4680115881563</v>
      </c>
      <c r="E169" s="625"/>
      <c r="F169" s="62">
        <v>0.7</v>
      </c>
      <c r="G169" s="37">
        <v>6</v>
      </c>
      <c r="H169" s="62">
        <v>4.2</v>
      </c>
      <c r="I169" s="62">
        <v>4.3899999999999997</v>
      </c>
      <c r="J169" s="37">
        <v>132</v>
      </c>
      <c r="K169" s="37" t="s">
        <v>122</v>
      </c>
      <c r="L169" s="37" t="s">
        <v>45</v>
      </c>
      <c r="M169" s="38" t="s">
        <v>80</v>
      </c>
      <c r="N169" s="38"/>
      <c r="O169" s="37">
        <v>40</v>
      </c>
      <c r="P169" s="70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627"/>
      <c r="R169" s="627"/>
      <c r="S169" s="627"/>
      <c r="T169" s="628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1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288</v>
      </c>
      <c r="AG169" s="78"/>
      <c r="AJ169" s="84" t="s">
        <v>45</v>
      </c>
      <c r="AK169" s="84">
        <v>0</v>
      </c>
      <c r="BB169" s="225" t="s">
        <v>66</v>
      </c>
      <c r="BM169" s="78">
        <f t="shared" si="12"/>
        <v>0</v>
      </c>
      <c r="BN169" s="78">
        <f t="shared" si="13"/>
        <v>0</v>
      </c>
      <c r="BO169" s="78">
        <f t="shared" si="14"/>
        <v>0</v>
      </c>
      <c r="BP169" s="78">
        <f t="shared" si="15"/>
        <v>0</v>
      </c>
    </row>
    <row r="170" spans="1:68" ht="37.5" customHeight="1" x14ac:dyDescent="0.25">
      <c r="A170" s="63" t="s">
        <v>289</v>
      </c>
      <c r="B170" s="63" t="s">
        <v>290</v>
      </c>
      <c r="C170" s="36">
        <v>4301031447</v>
      </c>
      <c r="D170" s="625">
        <v>4680115887565</v>
      </c>
      <c r="E170" s="625"/>
      <c r="F170" s="62">
        <v>0.08</v>
      </c>
      <c r="G170" s="37">
        <v>10</v>
      </c>
      <c r="H170" s="62">
        <v>0.8</v>
      </c>
      <c r="I170" s="62">
        <v>0.93</v>
      </c>
      <c r="J170" s="37">
        <v>216</v>
      </c>
      <c r="K170" s="37" t="s">
        <v>85</v>
      </c>
      <c r="L170" s="37" t="s">
        <v>45</v>
      </c>
      <c r="M170" s="38" t="s">
        <v>80</v>
      </c>
      <c r="N170" s="38"/>
      <c r="O170" s="37">
        <v>45</v>
      </c>
      <c r="P170" s="70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627"/>
      <c r="R170" s="627"/>
      <c r="S170" s="627"/>
      <c r="T170" s="628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1"/>
        <v>0</v>
      </c>
      <c r="Z170" s="41" t="str">
        <f>IFERROR(IF(Y170=0,"",ROUNDUP(Y170/H170,0)*0.00556),"")</f>
        <v/>
      </c>
      <c r="AA170" s="68" t="s">
        <v>45</v>
      </c>
      <c r="AB170" s="69" t="s">
        <v>45</v>
      </c>
      <c r="AC170" s="226" t="s">
        <v>291</v>
      </c>
      <c r="AG170" s="78"/>
      <c r="AJ170" s="84" t="s">
        <v>45</v>
      </c>
      <c r="AK170" s="84">
        <v>0</v>
      </c>
      <c r="BB170" s="227" t="s">
        <v>66</v>
      </c>
      <c r="BM170" s="78">
        <f t="shared" si="12"/>
        <v>0</v>
      </c>
      <c r="BN170" s="78">
        <f t="shared" si="13"/>
        <v>0</v>
      </c>
      <c r="BO170" s="78">
        <f t="shared" si="14"/>
        <v>0</v>
      </c>
      <c r="BP170" s="78">
        <f t="shared" si="15"/>
        <v>0</v>
      </c>
    </row>
    <row r="171" spans="1:68" ht="27" customHeight="1" x14ac:dyDescent="0.25">
      <c r="A171" s="63" t="s">
        <v>292</v>
      </c>
      <c r="B171" s="63" t="s">
        <v>293</v>
      </c>
      <c r="C171" s="36">
        <v>4301031199</v>
      </c>
      <c r="D171" s="625">
        <v>4680115880986</v>
      </c>
      <c r="E171" s="625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85</v>
      </c>
      <c r="L171" s="37" t="s">
        <v>45</v>
      </c>
      <c r="M171" s="38" t="s">
        <v>80</v>
      </c>
      <c r="N171" s="38"/>
      <c r="O171" s="37">
        <v>40</v>
      </c>
      <c r="P171" s="7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627"/>
      <c r="R171" s="627"/>
      <c r="S171" s="627"/>
      <c r="T171" s="628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1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282</v>
      </c>
      <c r="AG171" s="78"/>
      <c r="AJ171" s="84" t="s">
        <v>45</v>
      </c>
      <c r="AK171" s="84">
        <v>0</v>
      </c>
      <c r="BB171" s="229" t="s">
        <v>66</v>
      </c>
      <c r="BM171" s="78">
        <f t="shared" si="12"/>
        <v>0</v>
      </c>
      <c r="BN171" s="78">
        <f t="shared" si="13"/>
        <v>0</v>
      </c>
      <c r="BO171" s="78">
        <f t="shared" si="14"/>
        <v>0</v>
      </c>
      <c r="BP171" s="78">
        <f t="shared" si="15"/>
        <v>0</v>
      </c>
    </row>
    <row r="172" spans="1:68" ht="27" customHeight="1" x14ac:dyDescent="0.25">
      <c r="A172" s="63" t="s">
        <v>294</v>
      </c>
      <c r="B172" s="63" t="s">
        <v>295</v>
      </c>
      <c r="C172" s="36">
        <v>4301031443</v>
      </c>
      <c r="D172" s="625">
        <v>4680115887213</v>
      </c>
      <c r="E172" s="625"/>
      <c r="F172" s="62">
        <v>0.3</v>
      </c>
      <c r="G172" s="37">
        <v>6</v>
      </c>
      <c r="H172" s="62">
        <v>1.8</v>
      </c>
      <c r="I172" s="62">
        <v>1.9</v>
      </c>
      <c r="J172" s="37">
        <v>234</v>
      </c>
      <c r="K172" s="37" t="s">
        <v>85</v>
      </c>
      <c r="L172" s="37" t="s">
        <v>45</v>
      </c>
      <c r="M172" s="38" t="s">
        <v>80</v>
      </c>
      <c r="N172" s="38"/>
      <c r="O172" s="37">
        <v>45</v>
      </c>
      <c r="P172" s="70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627"/>
      <c r="R172" s="627"/>
      <c r="S172" s="627"/>
      <c r="T172" s="628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1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296</v>
      </c>
      <c r="AG172" s="78"/>
      <c r="AJ172" s="84" t="s">
        <v>45</v>
      </c>
      <c r="AK172" s="84">
        <v>0</v>
      </c>
      <c r="BB172" s="231" t="s">
        <v>66</v>
      </c>
      <c r="BM172" s="78">
        <f t="shared" si="12"/>
        <v>0</v>
      </c>
      <c r="BN172" s="78">
        <f t="shared" si="13"/>
        <v>0</v>
      </c>
      <c r="BO172" s="78">
        <f t="shared" si="14"/>
        <v>0</v>
      </c>
      <c r="BP172" s="78">
        <f t="shared" si="15"/>
        <v>0</v>
      </c>
    </row>
    <row r="173" spans="1:68" ht="27" customHeight="1" x14ac:dyDescent="0.25">
      <c r="A173" s="63" t="s">
        <v>297</v>
      </c>
      <c r="B173" s="63" t="s">
        <v>298</v>
      </c>
      <c r="C173" s="36">
        <v>4301031205</v>
      </c>
      <c r="D173" s="625">
        <v>4680115881785</v>
      </c>
      <c r="E173" s="625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85</v>
      </c>
      <c r="L173" s="37" t="s">
        <v>45</v>
      </c>
      <c r="M173" s="38" t="s">
        <v>80</v>
      </c>
      <c r="N173" s="38"/>
      <c r="O173" s="37">
        <v>40</v>
      </c>
      <c r="P173" s="70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27"/>
      <c r="R173" s="627"/>
      <c r="S173" s="627"/>
      <c r="T173" s="628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1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285</v>
      </c>
      <c r="AG173" s="78"/>
      <c r="AJ173" s="84" t="s">
        <v>45</v>
      </c>
      <c r="AK173" s="84">
        <v>0</v>
      </c>
      <c r="BB173" s="233" t="s">
        <v>66</v>
      </c>
      <c r="BM173" s="78">
        <f t="shared" si="12"/>
        <v>0</v>
      </c>
      <c r="BN173" s="78">
        <f t="shared" si="13"/>
        <v>0</v>
      </c>
      <c r="BO173" s="78">
        <f t="shared" si="14"/>
        <v>0</v>
      </c>
      <c r="BP173" s="78">
        <f t="shared" si="15"/>
        <v>0</v>
      </c>
    </row>
    <row r="174" spans="1:68" ht="27" customHeight="1" x14ac:dyDescent="0.25">
      <c r="A174" s="63" t="s">
        <v>299</v>
      </c>
      <c r="B174" s="63" t="s">
        <v>300</v>
      </c>
      <c r="C174" s="36">
        <v>4301031463</v>
      </c>
      <c r="D174" s="625">
        <v>4680115887824</v>
      </c>
      <c r="E174" s="625"/>
      <c r="F174" s="62">
        <v>0.15</v>
      </c>
      <c r="G174" s="37">
        <v>16</v>
      </c>
      <c r="H174" s="62">
        <v>2.4</v>
      </c>
      <c r="I174" s="62">
        <v>2.58</v>
      </c>
      <c r="J174" s="37">
        <v>182</v>
      </c>
      <c r="K174" s="37" t="s">
        <v>81</v>
      </c>
      <c r="L174" s="37" t="s">
        <v>45</v>
      </c>
      <c r="M174" s="38" t="s">
        <v>302</v>
      </c>
      <c r="N174" s="38"/>
      <c r="O174" s="37">
        <v>45</v>
      </c>
      <c r="P174" s="707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627"/>
      <c r="R174" s="627"/>
      <c r="S174" s="627"/>
      <c r="T174" s="628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1"/>
        <v>0</v>
      </c>
      <c r="Z174" s="41" t="str">
        <f>IFERROR(IF(Y174=0,"",ROUNDUP(Y174/H174,0)*0.00651),"")</f>
        <v/>
      </c>
      <c r="AA174" s="68" t="s">
        <v>45</v>
      </c>
      <c r="AB174" s="69" t="s">
        <v>45</v>
      </c>
      <c r="AC174" s="234" t="s">
        <v>301</v>
      </c>
      <c r="AG174" s="78"/>
      <c r="AJ174" s="84" t="s">
        <v>45</v>
      </c>
      <c r="AK174" s="84">
        <v>0</v>
      </c>
      <c r="BB174" s="235" t="s">
        <v>66</v>
      </c>
      <c r="BM174" s="78">
        <f t="shared" si="12"/>
        <v>0</v>
      </c>
      <c r="BN174" s="78">
        <f t="shared" si="13"/>
        <v>0</v>
      </c>
      <c r="BO174" s="78">
        <f t="shared" si="14"/>
        <v>0</v>
      </c>
      <c r="BP174" s="78">
        <f t="shared" si="15"/>
        <v>0</v>
      </c>
    </row>
    <row r="175" spans="1:68" ht="27" customHeight="1" x14ac:dyDescent="0.25">
      <c r="A175" s="63" t="s">
        <v>303</v>
      </c>
      <c r="B175" s="63" t="s">
        <v>304</v>
      </c>
      <c r="C175" s="36">
        <v>4301031464</v>
      </c>
      <c r="D175" s="625">
        <v>4680115887701</v>
      </c>
      <c r="E175" s="625"/>
      <c r="F175" s="62">
        <v>0.3</v>
      </c>
      <c r="G175" s="37">
        <v>8</v>
      </c>
      <c r="H175" s="62">
        <v>2.4</v>
      </c>
      <c r="I175" s="62">
        <v>2.58</v>
      </c>
      <c r="J175" s="37">
        <v>182</v>
      </c>
      <c r="K175" s="37" t="s">
        <v>81</v>
      </c>
      <c r="L175" s="37" t="s">
        <v>45</v>
      </c>
      <c r="M175" s="38" t="s">
        <v>302</v>
      </c>
      <c r="N175" s="38"/>
      <c r="O175" s="37">
        <v>60</v>
      </c>
      <c r="P175" s="708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627"/>
      <c r="R175" s="627"/>
      <c r="S175" s="627"/>
      <c r="T175" s="628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1"/>
        <v>0</v>
      </c>
      <c r="Z175" s="41" t="str">
        <f>IFERROR(IF(Y175=0,"",ROUNDUP(Y175/H175,0)*0.00651),"")</f>
        <v/>
      </c>
      <c r="AA175" s="68" t="s">
        <v>45</v>
      </c>
      <c r="AB175" s="69" t="s">
        <v>45</v>
      </c>
      <c r="AC175" s="236" t="s">
        <v>301</v>
      </c>
      <c r="AG175" s="78"/>
      <c r="AJ175" s="84" t="s">
        <v>45</v>
      </c>
      <c r="AK175" s="84">
        <v>0</v>
      </c>
      <c r="BB175" s="237" t="s">
        <v>66</v>
      </c>
      <c r="BM175" s="78">
        <f t="shared" si="12"/>
        <v>0</v>
      </c>
      <c r="BN175" s="78">
        <f t="shared" si="13"/>
        <v>0</v>
      </c>
      <c r="BO175" s="78">
        <f t="shared" si="14"/>
        <v>0</v>
      </c>
      <c r="BP175" s="78">
        <f t="shared" si="15"/>
        <v>0</v>
      </c>
    </row>
    <row r="176" spans="1:68" ht="27" customHeight="1" x14ac:dyDescent="0.25">
      <c r="A176" s="63" t="s">
        <v>305</v>
      </c>
      <c r="B176" s="63" t="s">
        <v>306</v>
      </c>
      <c r="C176" s="36">
        <v>4301031427</v>
      </c>
      <c r="D176" s="625">
        <v>4680115888104</v>
      </c>
      <c r="E176" s="625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85</v>
      </c>
      <c r="L176" s="37" t="s">
        <v>45</v>
      </c>
      <c r="M176" s="38" t="s">
        <v>80</v>
      </c>
      <c r="N176" s="38"/>
      <c r="O176" s="37">
        <v>45</v>
      </c>
      <c r="P176" s="709" t="s">
        <v>307</v>
      </c>
      <c r="Q176" s="627"/>
      <c r="R176" s="627"/>
      <c r="S176" s="627"/>
      <c r="T176" s="628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1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308</v>
      </c>
      <c r="AG176" s="78"/>
      <c r="AJ176" s="84" t="s">
        <v>45</v>
      </c>
      <c r="AK176" s="84">
        <v>0</v>
      </c>
      <c r="BB176" s="239" t="s">
        <v>66</v>
      </c>
      <c r="BM176" s="78">
        <f t="shared" si="12"/>
        <v>0</v>
      </c>
      <c r="BN176" s="78">
        <f t="shared" si="13"/>
        <v>0</v>
      </c>
      <c r="BO176" s="78">
        <f t="shared" si="14"/>
        <v>0</v>
      </c>
      <c r="BP176" s="78">
        <f t="shared" si="15"/>
        <v>0</v>
      </c>
    </row>
    <row r="177" spans="1:68" ht="27" customHeight="1" x14ac:dyDescent="0.25">
      <c r="A177" s="63" t="s">
        <v>309</v>
      </c>
      <c r="B177" s="63" t="s">
        <v>310</v>
      </c>
      <c r="C177" s="36">
        <v>4301031399</v>
      </c>
      <c r="D177" s="625">
        <v>4680115886537</v>
      </c>
      <c r="E177" s="625"/>
      <c r="F177" s="62">
        <v>0.3</v>
      </c>
      <c r="G177" s="37">
        <v>6</v>
      </c>
      <c r="H177" s="62">
        <v>1.8</v>
      </c>
      <c r="I177" s="62">
        <v>1.93</v>
      </c>
      <c r="J177" s="37">
        <v>234</v>
      </c>
      <c r="K177" s="37" t="s">
        <v>85</v>
      </c>
      <c r="L177" s="37" t="s">
        <v>45</v>
      </c>
      <c r="M177" s="38" t="s">
        <v>80</v>
      </c>
      <c r="N177" s="38"/>
      <c r="O177" s="37">
        <v>40</v>
      </c>
      <c r="P177" s="71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627"/>
      <c r="R177" s="627"/>
      <c r="S177" s="627"/>
      <c r="T177" s="628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1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311</v>
      </c>
      <c r="AG177" s="78"/>
      <c r="AJ177" s="84" t="s">
        <v>45</v>
      </c>
      <c r="AK177" s="84">
        <v>0</v>
      </c>
      <c r="BB177" s="241" t="s">
        <v>66</v>
      </c>
      <c r="BM177" s="78">
        <f t="shared" si="12"/>
        <v>0</v>
      </c>
      <c r="BN177" s="78">
        <f t="shared" si="13"/>
        <v>0</v>
      </c>
      <c r="BO177" s="78">
        <f t="shared" si="14"/>
        <v>0</v>
      </c>
      <c r="BP177" s="78">
        <f t="shared" si="15"/>
        <v>0</v>
      </c>
    </row>
    <row r="178" spans="1:68" ht="27" customHeight="1" x14ac:dyDescent="0.25">
      <c r="A178" s="63" t="s">
        <v>312</v>
      </c>
      <c r="B178" s="63" t="s">
        <v>313</v>
      </c>
      <c r="C178" s="36">
        <v>4301031279</v>
      </c>
      <c r="D178" s="625">
        <v>4680115887596</v>
      </c>
      <c r="E178" s="625"/>
      <c r="F178" s="62">
        <v>0.08</v>
      </c>
      <c r="G178" s="37">
        <v>10</v>
      </c>
      <c r="H178" s="62">
        <v>0.8</v>
      </c>
      <c r="I178" s="62">
        <v>1.01</v>
      </c>
      <c r="J178" s="37">
        <v>336</v>
      </c>
      <c r="K178" s="37" t="s">
        <v>156</v>
      </c>
      <c r="L178" s="37" t="s">
        <v>45</v>
      </c>
      <c r="M178" s="38" t="s">
        <v>80</v>
      </c>
      <c r="N178" s="38"/>
      <c r="O178" s="37">
        <v>45</v>
      </c>
      <c r="P178" s="71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627"/>
      <c r="R178" s="627"/>
      <c r="S178" s="627"/>
      <c r="T178" s="628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1"/>
        <v>0</v>
      </c>
      <c r="Z178" s="41" t="str">
        <f>IFERROR(IF(Y178=0,"",ROUNDUP(Y178/H178,0)*0.00417),"")</f>
        <v/>
      </c>
      <c r="AA178" s="68" t="s">
        <v>45</v>
      </c>
      <c r="AB178" s="69" t="s">
        <v>45</v>
      </c>
      <c r="AC178" s="242" t="s">
        <v>314</v>
      </c>
      <c r="AG178" s="78"/>
      <c r="AJ178" s="84" t="s">
        <v>45</v>
      </c>
      <c r="AK178" s="84">
        <v>0</v>
      </c>
      <c r="BB178" s="243" t="s">
        <v>66</v>
      </c>
      <c r="BM178" s="78">
        <f t="shared" si="12"/>
        <v>0</v>
      </c>
      <c r="BN178" s="78">
        <f t="shared" si="13"/>
        <v>0</v>
      </c>
      <c r="BO178" s="78">
        <f t="shared" si="14"/>
        <v>0</v>
      </c>
      <c r="BP178" s="78">
        <f t="shared" si="15"/>
        <v>0</v>
      </c>
    </row>
    <row r="179" spans="1:68" ht="37.5" customHeight="1" x14ac:dyDescent="0.25">
      <c r="A179" s="63" t="s">
        <v>315</v>
      </c>
      <c r="B179" s="63" t="s">
        <v>316</v>
      </c>
      <c r="C179" s="36">
        <v>4301031202</v>
      </c>
      <c r="D179" s="625">
        <v>4680115881679</v>
      </c>
      <c r="E179" s="625"/>
      <c r="F179" s="62">
        <v>0.35</v>
      </c>
      <c r="G179" s="37">
        <v>6</v>
      </c>
      <c r="H179" s="62">
        <v>2.1</v>
      </c>
      <c r="I179" s="62">
        <v>2.2000000000000002</v>
      </c>
      <c r="J179" s="37">
        <v>234</v>
      </c>
      <c r="K179" s="37" t="s">
        <v>85</v>
      </c>
      <c r="L179" s="37" t="s">
        <v>45</v>
      </c>
      <c r="M179" s="38" t="s">
        <v>80</v>
      </c>
      <c r="N179" s="38"/>
      <c r="O179" s="37">
        <v>40</v>
      </c>
      <c r="P179" s="71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627"/>
      <c r="R179" s="627"/>
      <c r="S179" s="627"/>
      <c r="T179" s="628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1"/>
        <v>0</v>
      </c>
      <c r="Z179" s="41" t="str">
        <f>IFERROR(IF(Y179=0,"",ROUNDUP(Y179/H179,0)*0.00502),"")</f>
        <v/>
      </c>
      <c r="AA179" s="68" t="s">
        <v>45</v>
      </c>
      <c r="AB179" s="69" t="s">
        <v>45</v>
      </c>
      <c r="AC179" s="244" t="s">
        <v>288</v>
      </c>
      <c r="AG179" s="78"/>
      <c r="AJ179" s="84" t="s">
        <v>45</v>
      </c>
      <c r="AK179" s="84">
        <v>0</v>
      </c>
      <c r="BB179" s="245" t="s">
        <v>66</v>
      </c>
      <c r="BM179" s="78">
        <f t="shared" si="12"/>
        <v>0</v>
      </c>
      <c r="BN179" s="78">
        <f t="shared" si="13"/>
        <v>0</v>
      </c>
      <c r="BO179" s="78">
        <f t="shared" si="14"/>
        <v>0</v>
      </c>
      <c r="BP179" s="78">
        <f t="shared" si="15"/>
        <v>0</v>
      </c>
    </row>
    <row r="180" spans="1:68" ht="27" customHeight="1" x14ac:dyDescent="0.25">
      <c r="A180" s="63" t="s">
        <v>317</v>
      </c>
      <c r="B180" s="63" t="s">
        <v>318</v>
      </c>
      <c r="C180" s="36">
        <v>4301031158</v>
      </c>
      <c r="D180" s="625">
        <v>4680115880191</v>
      </c>
      <c r="E180" s="625"/>
      <c r="F180" s="62">
        <v>0.4</v>
      </c>
      <c r="G180" s="37">
        <v>6</v>
      </c>
      <c r="H180" s="62">
        <v>2.4</v>
      </c>
      <c r="I180" s="62">
        <v>2.58</v>
      </c>
      <c r="J180" s="37">
        <v>182</v>
      </c>
      <c r="K180" s="37" t="s">
        <v>81</v>
      </c>
      <c r="L180" s="37" t="s">
        <v>45</v>
      </c>
      <c r="M180" s="38" t="s">
        <v>80</v>
      </c>
      <c r="N180" s="38"/>
      <c r="O180" s="37">
        <v>40</v>
      </c>
      <c r="P180" s="71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627"/>
      <c r="R180" s="627"/>
      <c r="S180" s="627"/>
      <c r="T180" s="628"/>
      <c r="U180" s="39" t="s">
        <v>45</v>
      </c>
      <c r="V180" s="39" t="s">
        <v>45</v>
      </c>
      <c r="W180" s="40" t="s">
        <v>0</v>
      </c>
      <c r="X180" s="58">
        <v>0</v>
      </c>
      <c r="Y180" s="55">
        <f t="shared" si="11"/>
        <v>0</v>
      </c>
      <c r="Z180" s="41" t="str">
        <f>IFERROR(IF(Y180=0,"",ROUNDUP(Y180/H180,0)*0.00651),"")</f>
        <v/>
      </c>
      <c r="AA180" s="68" t="s">
        <v>45</v>
      </c>
      <c r="AB180" s="69" t="s">
        <v>45</v>
      </c>
      <c r="AC180" s="246" t="s">
        <v>288</v>
      </c>
      <c r="AG180" s="78"/>
      <c r="AJ180" s="84" t="s">
        <v>45</v>
      </c>
      <c r="AK180" s="84">
        <v>0</v>
      </c>
      <c r="BB180" s="247" t="s">
        <v>66</v>
      </c>
      <c r="BM180" s="78">
        <f t="shared" si="12"/>
        <v>0</v>
      </c>
      <c r="BN180" s="78">
        <f t="shared" si="13"/>
        <v>0</v>
      </c>
      <c r="BO180" s="78">
        <f t="shared" si="14"/>
        <v>0</v>
      </c>
      <c r="BP180" s="78">
        <f t="shared" si="15"/>
        <v>0</v>
      </c>
    </row>
    <row r="181" spans="1:68" ht="27" customHeight="1" x14ac:dyDescent="0.25">
      <c r="A181" s="63" t="s">
        <v>319</v>
      </c>
      <c r="B181" s="63" t="s">
        <v>320</v>
      </c>
      <c r="C181" s="36">
        <v>4301031245</v>
      </c>
      <c r="D181" s="625">
        <v>4680115883963</v>
      </c>
      <c r="E181" s="625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85</v>
      </c>
      <c r="L181" s="37" t="s">
        <v>45</v>
      </c>
      <c r="M181" s="38" t="s">
        <v>80</v>
      </c>
      <c r="N181" s="38"/>
      <c r="O181" s="37">
        <v>40</v>
      </c>
      <c r="P181" s="71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627"/>
      <c r="R181" s="627"/>
      <c r="S181" s="627"/>
      <c r="T181" s="628"/>
      <c r="U181" s="39" t="s">
        <v>45</v>
      </c>
      <c r="V181" s="39" t="s">
        <v>45</v>
      </c>
      <c r="W181" s="40" t="s">
        <v>0</v>
      </c>
      <c r="X181" s="58">
        <v>0</v>
      </c>
      <c r="Y181" s="55">
        <f t="shared" si="11"/>
        <v>0</v>
      </c>
      <c r="Z181" s="41" t="str">
        <f>IFERROR(IF(Y181=0,"",ROUNDUP(Y181/H181,0)*0.00502),"")</f>
        <v/>
      </c>
      <c r="AA181" s="68" t="s">
        <v>45</v>
      </c>
      <c r="AB181" s="69" t="s">
        <v>45</v>
      </c>
      <c r="AC181" s="248" t="s">
        <v>321</v>
      </c>
      <c r="AG181" s="78"/>
      <c r="AJ181" s="84" t="s">
        <v>45</v>
      </c>
      <c r="AK181" s="84">
        <v>0</v>
      </c>
      <c r="BB181" s="249" t="s">
        <v>66</v>
      </c>
      <c r="BM181" s="78">
        <f t="shared" si="12"/>
        <v>0</v>
      </c>
      <c r="BN181" s="78">
        <f t="shared" si="13"/>
        <v>0</v>
      </c>
      <c r="BO181" s="78">
        <f t="shared" si="14"/>
        <v>0</v>
      </c>
      <c r="BP181" s="78">
        <f t="shared" si="15"/>
        <v>0</v>
      </c>
    </row>
    <row r="182" spans="1:68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0" t="s">
        <v>40</v>
      </c>
      <c r="Q182" s="631"/>
      <c r="R182" s="631"/>
      <c r="S182" s="631"/>
      <c r="T182" s="631"/>
      <c r="U182" s="631"/>
      <c r="V182" s="632"/>
      <c r="W182" s="42" t="s">
        <v>39</v>
      </c>
      <c r="X182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0</v>
      </c>
      <c r="Y182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0</v>
      </c>
      <c r="Z182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</v>
      </c>
      <c r="AA182" s="67"/>
      <c r="AB182" s="67"/>
      <c r="AC182" s="67"/>
    </row>
    <row r="183" spans="1:68" x14ac:dyDescent="0.2">
      <c r="A183" s="633"/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4"/>
      <c r="P183" s="630" t="s">
        <v>40</v>
      </c>
      <c r="Q183" s="631"/>
      <c r="R183" s="631"/>
      <c r="S183" s="631"/>
      <c r="T183" s="631"/>
      <c r="U183" s="631"/>
      <c r="V183" s="632"/>
      <c r="W183" s="42" t="s">
        <v>0</v>
      </c>
      <c r="X183" s="43">
        <f>IFERROR(SUM(X167:X181),"0")</f>
        <v>0</v>
      </c>
      <c r="Y183" s="43">
        <f>IFERROR(SUM(Y167:Y181),"0")</f>
        <v>0</v>
      </c>
      <c r="Z183" s="42"/>
      <c r="AA183" s="67"/>
      <c r="AB183" s="67"/>
      <c r="AC183" s="67"/>
    </row>
    <row r="184" spans="1:68" ht="14.25" customHeight="1" x14ac:dyDescent="0.25">
      <c r="A184" s="624" t="s">
        <v>106</v>
      </c>
      <c r="B184" s="624"/>
      <c r="C184" s="624"/>
      <c r="D184" s="624"/>
      <c r="E184" s="624"/>
      <c r="F184" s="624"/>
      <c r="G184" s="624"/>
      <c r="H184" s="624"/>
      <c r="I184" s="624"/>
      <c r="J184" s="624"/>
      <c r="K184" s="624"/>
      <c r="L184" s="624"/>
      <c r="M184" s="624"/>
      <c r="N184" s="624"/>
      <c r="O184" s="624"/>
      <c r="P184" s="624"/>
      <c r="Q184" s="624"/>
      <c r="R184" s="624"/>
      <c r="S184" s="624"/>
      <c r="T184" s="624"/>
      <c r="U184" s="624"/>
      <c r="V184" s="624"/>
      <c r="W184" s="624"/>
      <c r="X184" s="624"/>
      <c r="Y184" s="624"/>
      <c r="Z184" s="624"/>
      <c r="AA184" s="66"/>
      <c r="AB184" s="66"/>
      <c r="AC184" s="80"/>
    </row>
    <row r="185" spans="1:68" ht="27" customHeight="1" x14ac:dyDescent="0.25">
      <c r="A185" s="63" t="s">
        <v>322</v>
      </c>
      <c r="B185" s="63" t="s">
        <v>323</v>
      </c>
      <c r="C185" s="36">
        <v>4301032053</v>
      </c>
      <c r="D185" s="625">
        <v>4680115886780</v>
      </c>
      <c r="E185" s="625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325</v>
      </c>
      <c r="L185" s="37" t="s">
        <v>45</v>
      </c>
      <c r="M185" s="38" t="s">
        <v>302</v>
      </c>
      <c r="N185" s="38"/>
      <c r="O185" s="37">
        <v>60</v>
      </c>
      <c r="P185" s="7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627"/>
      <c r="R185" s="627"/>
      <c r="S185" s="627"/>
      <c r="T185" s="628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324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326</v>
      </c>
      <c r="B186" s="63" t="s">
        <v>327</v>
      </c>
      <c r="C186" s="36">
        <v>4301032051</v>
      </c>
      <c r="D186" s="625">
        <v>4680115886742</v>
      </c>
      <c r="E186" s="625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325</v>
      </c>
      <c r="L186" s="37" t="s">
        <v>45</v>
      </c>
      <c r="M186" s="38" t="s">
        <v>302</v>
      </c>
      <c r="N186" s="38"/>
      <c r="O186" s="37">
        <v>90</v>
      </c>
      <c r="P186" s="7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627"/>
      <c r="R186" s="627"/>
      <c r="S186" s="627"/>
      <c r="T186" s="628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52" t="s">
        <v>328</v>
      </c>
      <c r="AG186" s="78"/>
      <c r="AJ186" s="84" t="s">
        <v>45</v>
      </c>
      <c r="AK186" s="84">
        <v>0</v>
      </c>
      <c r="BB186" s="253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customHeight="1" x14ac:dyDescent="0.25">
      <c r="A187" s="63" t="s">
        <v>329</v>
      </c>
      <c r="B187" s="63" t="s">
        <v>330</v>
      </c>
      <c r="C187" s="36">
        <v>4301032052</v>
      </c>
      <c r="D187" s="625">
        <v>4680115886766</v>
      </c>
      <c r="E187" s="625"/>
      <c r="F187" s="62">
        <v>7.0000000000000007E-2</v>
      </c>
      <c r="G187" s="37">
        <v>18</v>
      </c>
      <c r="H187" s="62">
        <v>1.26</v>
      </c>
      <c r="I187" s="62">
        <v>1.45</v>
      </c>
      <c r="J187" s="37">
        <v>216</v>
      </c>
      <c r="K187" s="37" t="s">
        <v>325</v>
      </c>
      <c r="L187" s="37" t="s">
        <v>45</v>
      </c>
      <c r="M187" s="38" t="s">
        <v>302</v>
      </c>
      <c r="N187" s="38"/>
      <c r="O187" s="37">
        <v>90</v>
      </c>
      <c r="P187" s="7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627"/>
      <c r="R187" s="627"/>
      <c r="S187" s="627"/>
      <c r="T187" s="628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45</v>
      </c>
      <c r="AB187" s="69" t="s">
        <v>45</v>
      </c>
      <c r="AC187" s="254" t="s">
        <v>328</v>
      </c>
      <c r="AG187" s="78"/>
      <c r="AJ187" s="84" t="s">
        <v>45</v>
      </c>
      <c r="AK187" s="84">
        <v>0</v>
      </c>
      <c r="BB187" s="255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">
      <c r="A188" s="633"/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4"/>
      <c r="P188" s="630" t="s">
        <v>40</v>
      </c>
      <c r="Q188" s="631"/>
      <c r="R188" s="631"/>
      <c r="S188" s="631"/>
      <c r="T188" s="631"/>
      <c r="U188" s="631"/>
      <c r="V188" s="632"/>
      <c r="W188" s="42" t="s">
        <v>39</v>
      </c>
      <c r="X188" s="43">
        <f>IFERROR(X185/H185,"0")+IFERROR(X186/H186,"0")+IFERROR(X187/H187,"0")</f>
        <v>0</v>
      </c>
      <c r="Y188" s="43">
        <f>IFERROR(Y185/H185,"0")+IFERROR(Y186/H186,"0")+IFERROR(Y187/H187,"0")</f>
        <v>0</v>
      </c>
      <c r="Z188" s="43">
        <f>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633"/>
      <c r="B189" s="633"/>
      <c r="C189" s="633"/>
      <c r="D189" s="633"/>
      <c r="E189" s="633"/>
      <c r="F189" s="633"/>
      <c r="G189" s="633"/>
      <c r="H189" s="633"/>
      <c r="I189" s="633"/>
      <c r="J189" s="633"/>
      <c r="K189" s="633"/>
      <c r="L189" s="633"/>
      <c r="M189" s="633"/>
      <c r="N189" s="633"/>
      <c r="O189" s="634"/>
      <c r="P189" s="630" t="s">
        <v>40</v>
      </c>
      <c r="Q189" s="631"/>
      <c r="R189" s="631"/>
      <c r="S189" s="631"/>
      <c r="T189" s="631"/>
      <c r="U189" s="631"/>
      <c r="V189" s="632"/>
      <c r="W189" s="42" t="s">
        <v>0</v>
      </c>
      <c r="X189" s="43">
        <f>IFERROR(SUM(X185:X187),"0")</f>
        <v>0</v>
      </c>
      <c r="Y189" s="43">
        <f>IFERROR(SUM(Y185:Y187),"0")</f>
        <v>0</v>
      </c>
      <c r="Z189" s="42"/>
      <c r="AA189" s="67"/>
      <c r="AB189" s="67"/>
      <c r="AC189" s="67"/>
    </row>
    <row r="190" spans="1:68" ht="14.25" customHeight="1" x14ac:dyDescent="0.25">
      <c r="A190" s="624" t="s">
        <v>331</v>
      </c>
      <c r="B190" s="624"/>
      <c r="C190" s="624"/>
      <c r="D190" s="624"/>
      <c r="E190" s="624"/>
      <c r="F190" s="624"/>
      <c r="G190" s="624"/>
      <c r="H190" s="624"/>
      <c r="I190" s="624"/>
      <c r="J190" s="624"/>
      <c r="K190" s="624"/>
      <c r="L190" s="624"/>
      <c r="M190" s="624"/>
      <c r="N190" s="624"/>
      <c r="O190" s="624"/>
      <c r="P190" s="624"/>
      <c r="Q190" s="624"/>
      <c r="R190" s="624"/>
      <c r="S190" s="624"/>
      <c r="T190" s="624"/>
      <c r="U190" s="624"/>
      <c r="V190" s="624"/>
      <c r="W190" s="624"/>
      <c r="X190" s="624"/>
      <c r="Y190" s="624"/>
      <c r="Z190" s="624"/>
      <c r="AA190" s="66"/>
      <c r="AB190" s="66"/>
      <c r="AC190" s="80"/>
    </row>
    <row r="191" spans="1:68" ht="27" customHeight="1" x14ac:dyDescent="0.25">
      <c r="A191" s="63" t="s">
        <v>332</v>
      </c>
      <c r="B191" s="63" t="s">
        <v>333</v>
      </c>
      <c r="C191" s="36">
        <v>4301170013</v>
      </c>
      <c r="D191" s="625">
        <v>4680115886797</v>
      </c>
      <c r="E191" s="625"/>
      <c r="F191" s="62">
        <v>7.0000000000000007E-2</v>
      </c>
      <c r="G191" s="37">
        <v>18</v>
      </c>
      <c r="H191" s="62">
        <v>1.26</v>
      </c>
      <c r="I191" s="62">
        <v>1.45</v>
      </c>
      <c r="J191" s="37">
        <v>216</v>
      </c>
      <c r="K191" s="37" t="s">
        <v>325</v>
      </c>
      <c r="L191" s="37" t="s">
        <v>45</v>
      </c>
      <c r="M191" s="38" t="s">
        <v>302</v>
      </c>
      <c r="N191" s="38"/>
      <c r="O191" s="37">
        <v>90</v>
      </c>
      <c r="P191" s="71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627"/>
      <c r="R191" s="627"/>
      <c r="S191" s="627"/>
      <c r="T191" s="628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IFERROR(IF(Y191=0,"",ROUNDUP(Y191/H191,0)*0.0059),"")</f>
        <v/>
      </c>
      <c r="AA191" s="68" t="s">
        <v>45</v>
      </c>
      <c r="AB191" s="69" t="s">
        <v>45</v>
      </c>
      <c r="AC191" s="256" t="s">
        <v>328</v>
      </c>
      <c r="AG191" s="78"/>
      <c r="AJ191" s="84" t="s">
        <v>45</v>
      </c>
      <c r="AK191" s="84">
        <v>0</v>
      </c>
      <c r="BB191" s="25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33"/>
      <c r="B192" s="633"/>
      <c r="C192" s="633"/>
      <c r="D192" s="633"/>
      <c r="E192" s="633"/>
      <c r="F192" s="633"/>
      <c r="G192" s="633"/>
      <c r="H192" s="633"/>
      <c r="I192" s="633"/>
      <c r="J192" s="633"/>
      <c r="K192" s="633"/>
      <c r="L192" s="633"/>
      <c r="M192" s="633"/>
      <c r="N192" s="633"/>
      <c r="O192" s="634"/>
      <c r="P192" s="630" t="s">
        <v>40</v>
      </c>
      <c r="Q192" s="631"/>
      <c r="R192" s="631"/>
      <c r="S192" s="631"/>
      <c r="T192" s="631"/>
      <c r="U192" s="631"/>
      <c r="V192" s="632"/>
      <c r="W192" s="42" t="s">
        <v>39</v>
      </c>
      <c r="X192" s="43">
        <f>IFERROR(X191/H191,"0")</f>
        <v>0</v>
      </c>
      <c r="Y192" s="43">
        <f>IFERROR(Y191/H191,"0")</f>
        <v>0</v>
      </c>
      <c r="Z192" s="43">
        <f>IFERROR(IF(Z191="",0,Z191),"0")</f>
        <v>0</v>
      </c>
      <c r="AA192" s="67"/>
      <c r="AB192" s="67"/>
      <c r="AC192" s="67"/>
    </row>
    <row r="193" spans="1:68" x14ac:dyDescent="0.2">
      <c r="A193" s="633"/>
      <c r="B193" s="633"/>
      <c r="C193" s="633"/>
      <c r="D193" s="633"/>
      <c r="E193" s="633"/>
      <c r="F193" s="633"/>
      <c r="G193" s="633"/>
      <c r="H193" s="633"/>
      <c r="I193" s="633"/>
      <c r="J193" s="633"/>
      <c r="K193" s="633"/>
      <c r="L193" s="633"/>
      <c r="M193" s="633"/>
      <c r="N193" s="633"/>
      <c r="O193" s="634"/>
      <c r="P193" s="630" t="s">
        <v>40</v>
      </c>
      <c r="Q193" s="631"/>
      <c r="R193" s="631"/>
      <c r="S193" s="631"/>
      <c r="T193" s="631"/>
      <c r="U193" s="631"/>
      <c r="V193" s="632"/>
      <c r="W193" s="42" t="s">
        <v>0</v>
      </c>
      <c r="X193" s="43">
        <f>IFERROR(SUM(X191:X191),"0")</f>
        <v>0</v>
      </c>
      <c r="Y193" s="43">
        <f>IFERROR(SUM(Y191:Y191),"0")</f>
        <v>0</v>
      </c>
      <c r="Z193" s="42"/>
      <c r="AA193" s="67"/>
      <c r="AB193" s="67"/>
      <c r="AC193" s="67"/>
    </row>
    <row r="194" spans="1:68" ht="16.5" customHeight="1" x14ac:dyDescent="0.25">
      <c r="A194" s="623" t="s">
        <v>334</v>
      </c>
      <c r="B194" s="623"/>
      <c r="C194" s="623"/>
      <c r="D194" s="623"/>
      <c r="E194" s="623"/>
      <c r="F194" s="623"/>
      <c r="G194" s="623"/>
      <c r="H194" s="623"/>
      <c r="I194" s="623"/>
      <c r="J194" s="623"/>
      <c r="K194" s="623"/>
      <c r="L194" s="623"/>
      <c r="M194" s="623"/>
      <c r="N194" s="623"/>
      <c r="O194" s="623"/>
      <c r="P194" s="623"/>
      <c r="Q194" s="623"/>
      <c r="R194" s="623"/>
      <c r="S194" s="623"/>
      <c r="T194" s="623"/>
      <c r="U194" s="623"/>
      <c r="V194" s="623"/>
      <c r="W194" s="623"/>
      <c r="X194" s="623"/>
      <c r="Y194" s="623"/>
      <c r="Z194" s="623"/>
      <c r="AA194" s="65"/>
      <c r="AB194" s="65"/>
      <c r="AC194" s="79"/>
    </row>
    <row r="195" spans="1:68" ht="14.25" customHeight="1" x14ac:dyDescent="0.25">
      <c r="A195" s="624" t="s">
        <v>114</v>
      </c>
      <c r="B195" s="624"/>
      <c r="C195" s="624"/>
      <c r="D195" s="624"/>
      <c r="E195" s="624"/>
      <c r="F195" s="624"/>
      <c r="G195" s="624"/>
      <c r="H195" s="624"/>
      <c r="I195" s="624"/>
      <c r="J195" s="624"/>
      <c r="K195" s="624"/>
      <c r="L195" s="624"/>
      <c r="M195" s="624"/>
      <c r="N195" s="624"/>
      <c r="O195" s="624"/>
      <c r="P195" s="624"/>
      <c r="Q195" s="624"/>
      <c r="R195" s="624"/>
      <c r="S195" s="624"/>
      <c r="T195" s="624"/>
      <c r="U195" s="624"/>
      <c r="V195" s="624"/>
      <c r="W195" s="624"/>
      <c r="X195" s="624"/>
      <c r="Y195" s="624"/>
      <c r="Z195" s="624"/>
      <c r="AA195" s="66"/>
      <c r="AB195" s="66"/>
      <c r="AC195" s="80"/>
    </row>
    <row r="196" spans="1:68" ht="27" customHeight="1" x14ac:dyDescent="0.25">
      <c r="A196" s="63" t="s">
        <v>335</v>
      </c>
      <c r="B196" s="63" t="s">
        <v>336</v>
      </c>
      <c r="C196" s="36">
        <v>4301011450</v>
      </c>
      <c r="D196" s="625">
        <v>4680115881402</v>
      </c>
      <c r="E196" s="625"/>
      <c r="F196" s="62">
        <v>1.35</v>
      </c>
      <c r="G196" s="37">
        <v>8</v>
      </c>
      <c r="H196" s="62">
        <v>10.8</v>
      </c>
      <c r="I196" s="62">
        <v>11.21</v>
      </c>
      <c r="J196" s="37">
        <v>64</v>
      </c>
      <c r="K196" s="37" t="s">
        <v>119</v>
      </c>
      <c r="L196" s="37" t="s">
        <v>45</v>
      </c>
      <c r="M196" s="38" t="s">
        <v>118</v>
      </c>
      <c r="N196" s="38"/>
      <c r="O196" s="37">
        <v>55</v>
      </c>
      <c r="P196" s="71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627"/>
      <c r="R196" s="627"/>
      <c r="S196" s="627"/>
      <c r="T196" s="628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45</v>
      </c>
      <c r="AB196" s="69" t="s">
        <v>45</v>
      </c>
      <c r="AC196" s="258" t="s">
        <v>337</v>
      </c>
      <c r="AG196" s="78"/>
      <c r="AJ196" s="84" t="s">
        <v>45</v>
      </c>
      <c r="AK196" s="84">
        <v>0</v>
      </c>
      <c r="BB196" s="259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customHeight="1" x14ac:dyDescent="0.25">
      <c r="A197" s="63" t="s">
        <v>338</v>
      </c>
      <c r="B197" s="63" t="s">
        <v>339</v>
      </c>
      <c r="C197" s="36">
        <v>4301011768</v>
      </c>
      <c r="D197" s="625">
        <v>4680115881396</v>
      </c>
      <c r="E197" s="625"/>
      <c r="F197" s="62">
        <v>0.45</v>
      </c>
      <c r="G197" s="37">
        <v>6</v>
      </c>
      <c r="H197" s="62">
        <v>2.7</v>
      </c>
      <c r="I197" s="62">
        <v>2.88</v>
      </c>
      <c r="J197" s="37">
        <v>182</v>
      </c>
      <c r="K197" s="37" t="s">
        <v>81</v>
      </c>
      <c r="L197" s="37" t="s">
        <v>45</v>
      </c>
      <c r="M197" s="38" t="s">
        <v>118</v>
      </c>
      <c r="N197" s="38"/>
      <c r="O197" s="37">
        <v>55</v>
      </c>
      <c r="P197" s="72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627"/>
      <c r="R197" s="627"/>
      <c r="S197" s="627"/>
      <c r="T197" s="628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45</v>
      </c>
      <c r="AB197" s="69" t="s">
        <v>45</v>
      </c>
      <c r="AC197" s="260" t="s">
        <v>337</v>
      </c>
      <c r="AG197" s="78"/>
      <c r="AJ197" s="84" t="s">
        <v>45</v>
      </c>
      <c r="AK197" s="84">
        <v>0</v>
      </c>
      <c r="BB197" s="261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633"/>
      <c r="B198" s="633"/>
      <c r="C198" s="633"/>
      <c r="D198" s="633"/>
      <c r="E198" s="633"/>
      <c r="F198" s="633"/>
      <c r="G198" s="633"/>
      <c r="H198" s="633"/>
      <c r="I198" s="633"/>
      <c r="J198" s="633"/>
      <c r="K198" s="633"/>
      <c r="L198" s="633"/>
      <c r="M198" s="633"/>
      <c r="N198" s="633"/>
      <c r="O198" s="634"/>
      <c r="P198" s="630" t="s">
        <v>40</v>
      </c>
      <c r="Q198" s="631"/>
      <c r="R198" s="631"/>
      <c r="S198" s="631"/>
      <c r="T198" s="631"/>
      <c r="U198" s="631"/>
      <c r="V198" s="632"/>
      <c r="W198" s="42" t="s">
        <v>39</v>
      </c>
      <c r="X198" s="43">
        <f>IFERROR(X196/H196,"0")+IFERROR(X197/H197,"0")</f>
        <v>0</v>
      </c>
      <c r="Y198" s="43">
        <f>IFERROR(Y196/H196,"0")+IFERROR(Y197/H197,"0")</f>
        <v>0</v>
      </c>
      <c r="Z198" s="43">
        <f>IFERROR(IF(Z196="",0,Z196),"0")+IFERROR(IF(Z197="",0,Z197),"0")</f>
        <v>0</v>
      </c>
      <c r="AA198" s="67"/>
      <c r="AB198" s="67"/>
      <c r="AC198" s="67"/>
    </row>
    <row r="199" spans="1:68" x14ac:dyDescent="0.2">
      <c r="A199" s="633"/>
      <c r="B199" s="633"/>
      <c r="C199" s="633"/>
      <c r="D199" s="633"/>
      <c r="E199" s="633"/>
      <c r="F199" s="633"/>
      <c r="G199" s="633"/>
      <c r="H199" s="633"/>
      <c r="I199" s="633"/>
      <c r="J199" s="633"/>
      <c r="K199" s="633"/>
      <c r="L199" s="633"/>
      <c r="M199" s="633"/>
      <c r="N199" s="633"/>
      <c r="O199" s="634"/>
      <c r="P199" s="630" t="s">
        <v>40</v>
      </c>
      <c r="Q199" s="631"/>
      <c r="R199" s="631"/>
      <c r="S199" s="631"/>
      <c r="T199" s="631"/>
      <c r="U199" s="631"/>
      <c r="V199" s="632"/>
      <c r="W199" s="42" t="s">
        <v>0</v>
      </c>
      <c r="X199" s="43">
        <f>IFERROR(SUM(X196:X197),"0")</f>
        <v>0</v>
      </c>
      <c r="Y199" s="43">
        <f>IFERROR(SUM(Y196:Y197),"0")</f>
        <v>0</v>
      </c>
      <c r="Z199" s="42"/>
      <c r="AA199" s="67"/>
      <c r="AB199" s="67"/>
      <c r="AC199" s="67"/>
    </row>
    <row r="200" spans="1:68" ht="14.25" customHeight="1" x14ac:dyDescent="0.25">
      <c r="A200" s="624" t="s">
        <v>147</v>
      </c>
      <c r="B200" s="624"/>
      <c r="C200" s="624"/>
      <c r="D200" s="624"/>
      <c r="E200" s="624"/>
      <c r="F200" s="624"/>
      <c r="G200" s="624"/>
      <c r="H200" s="624"/>
      <c r="I200" s="624"/>
      <c r="J200" s="624"/>
      <c r="K200" s="624"/>
      <c r="L200" s="624"/>
      <c r="M200" s="624"/>
      <c r="N200" s="624"/>
      <c r="O200" s="624"/>
      <c r="P200" s="624"/>
      <c r="Q200" s="624"/>
      <c r="R200" s="624"/>
      <c r="S200" s="624"/>
      <c r="T200" s="624"/>
      <c r="U200" s="624"/>
      <c r="V200" s="624"/>
      <c r="W200" s="624"/>
      <c r="X200" s="624"/>
      <c r="Y200" s="624"/>
      <c r="Z200" s="624"/>
      <c r="AA200" s="66"/>
      <c r="AB200" s="66"/>
      <c r="AC200" s="80"/>
    </row>
    <row r="201" spans="1:68" ht="16.5" customHeight="1" x14ac:dyDescent="0.25">
      <c r="A201" s="63" t="s">
        <v>340</v>
      </c>
      <c r="B201" s="63" t="s">
        <v>341</v>
      </c>
      <c r="C201" s="36">
        <v>4301020261</v>
      </c>
      <c r="D201" s="625">
        <v>4680115882935</v>
      </c>
      <c r="E201" s="625"/>
      <c r="F201" s="62">
        <v>1.35</v>
      </c>
      <c r="G201" s="37">
        <v>8</v>
      </c>
      <c r="H201" s="62">
        <v>10.8</v>
      </c>
      <c r="I201" s="62">
        <v>11.21</v>
      </c>
      <c r="J201" s="37">
        <v>64</v>
      </c>
      <c r="K201" s="37" t="s">
        <v>119</v>
      </c>
      <c r="L201" s="37" t="s">
        <v>45</v>
      </c>
      <c r="M201" s="38" t="s">
        <v>118</v>
      </c>
      <c r="N201" s="38"/>
      <c r="O201" s="37">
        <v>50</v>
      </c>
      <c r="P201" s="7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627"/>
      <c r="R201" s="627"/>
      <c r="S201" s="627"/>
      <c r="T201" s="628"/>
      <c r="U201" s="39" t="s">
        <v>45</v>
      </c>
      <c r="V201" s="39" t="s">
        <v>45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45</v>
      </c>
      <c r="AB201" s="69" t="s">
        <v>45</v>
      </c>
      <c r="AC201" s="262" t="s">
        <v>342</v>
      </c>
      <c r="AG201" s="78"/>
      <c r="AJ201" s="84" t="s">
        <v>45</v>
      </c>
      <c r="AK201" s="84">
        <v>0</v>
      </c>
      <c r="BB201" s="263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t="16.5" customHeight="1" x14ac:dyDescent="0.25">
      <c r="A202" s="63" t="s">
        <v>343</v>
      </c>
      <c r="B202" s="63" t="s">
        <v>344</v>
      </c>
      <c r="C202" s="36">
        <v>4301020220</v>
      </c>
      <c r="D202" s="625">
        <v>4680115880764</v>
      </c>
      <c r="E202" s="625"/>
      <c r="F202" s="62">
        <v>0.35</v>
      </c>
      <c r="G202" s="37">
        <v>6</v>
      </c>
      <c r="H202" s="62">
        <v>2.1</v>
      </c>
      <c r="I202" s="62">
        <v>2.2799999999999998</v>
      </c>
      <c r="J202" s="37">
        <v>182</v>
      </c>
      <c r="K202" s="37" t="s">
        <v>81</v>
      </c>
      <c r="L202" s="37" t="s">
        <v>45</v>
      </c>
      <c r="M202" s="38" t="s">
        <v>118</v>
      </c>
      <c r="N202" s="38"/>
      <c r="O202" s="37">
        <v>50</v>
      </c>
      <c r="P202" s="72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627"/>
      <c r="R202" s="627"/>
      <c r="S202" s="627"/>
      <c r="T202" s="628"/>
      <c r="U202" s="39" t="s">
        <v>45</v>
      </c>
      <c r="V202" s="39" t="s">
        <v>45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IFERROR(IF(Y202=0,"",ROUNDUP(Y202/H202,0)*0.00651),"")</f>
        <v/>
      </c>
      <c r="AA202" s="68" t="s">
        <v>45</v>
      </c>
      <c r="AB202" s="69" t="s">
        <v>45</v>
      </c>
      <c r="AC202" s="264" t="s">
        <v>342</v>
      </c>
      <c r="AG202" s="78"/>
      <c r="AJ202" s="84" t="s">
        <v>45</v>
      </c>
      <c r="AK202" s="84">
        <v>0</v>
      </c>
      <c r="BB202" s="265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633"/>
      <c r="B203" s="633"/>
      <c r="C203" s="633"/>
      <c r="D203" s="633"/>
      <c r="E203" s="633"/>
      <c r="F203" s="633"/>
      <c r="G203" s="633"/>
      <c r="H203" s="633"/>
      <c r="I203" s="633"/>
      <c r="J203" s="633"/>
      <c r="K203" s="633"/>
      <c r="L203" s="633"/>
      <c r="M203" s="633"/>
      <c r="N203" s="633"/>
      <c r="O203" s="634"/>
      <c r="P203" s="630" t="s">
        <v>40</v>
      </c>
      <c r="Q203" s="631"/>
      <c r="R203" s="631"/>
      <c r="S203" s="631"/>
      <c r="T203" s="631"/>
      <c r="U203" s="631"/>
      <c r="V203" s="632"/>
      <c r="W203" s="42" t="s">
        <v>39</v>
      </c>
      <c r="X203" s="43">
        <f>IFERROR(X201/H201,"0")+IFERROR(X202/H202,"0")</f>
        <v>0</v>
      </c>
      <c r="Y203" s="43">
        <f>IFERROR(Y201/H201,"0")+IFERROR(Y202/H202,"0")</f>
        <v>0</v>
      </c>
      <c r="Z203" s="43">
        <f>IFERROR(IF(Z201="",0,Z201),"0")+IFERROR(IF(Z202="",0,Z202),"0")</f>
        <v>0</v>
      </c>
      <c r="AA203" s="67"/>
      <c r="AB203" s="67"/>
      <c r="AC203" s="67"/>
    </row>
    <row r="204" spans="1:68" x14ac:dyDescent="0.2">
      <c r="A204" s="633"/>
      <c r="B204" s="633"/>
      <c r="C204" s="633"/>
      <c r="D204" s="633"/>
      <c r="E204" s="633"/>
      <c r="F204" s="633"/>
      <c r="G204" s="633"/>
      <c r="H204" s="633"/>
      <c r="I204" s="633"/>
      <c r="J204" s="633"/>
      <c r="K204" s="633"/>
      <c r="L204" s="633"/>
      <c r="M204" s="633"/>
      <c r="N204" s="633"/>
      <c r="O204" s="634"/>
      <c r="P204" s="630" t="s">
        <v>40</v>
      </c>
      <c r="Q204" s="631"/>
      <c r="R204" s="631"/>
      <c r="S204" s="631"/>
      <c r="T204" s="631"/>
      <c r="U204" s="631"/>
      <c r="V204" s="632"/>
      <c r="W204" s="42" t="s">
        <v>0</v>
      </c>
      <c r="X204" s="43">
        <f>IFERROR(SUM(X201:X202),"0")</f>
        <v>0</v>
      </c>
      <c r="Y204" s="43">
        <f>IFERROR(SUM(Y201:Y202),"0")</f>
        <v>0</v>
      </c>
      <c r="Z204" s="42"/>
      <c r="AA204" s="67"/>
      <c r="AB204" s="67"/>
      <c r="AC204" s="67"/>
    </row>
    <row r="205" spans="1:68" ht="14.25" customHeight="1" x14ac:dyDescent="0.25">
      <c r="A205" s="624" t="s">
        <v>76</v>
      </c>
      <c r="B205" s="624"/>
      <c r="C205" s="624"/>
      <c r="D205" s="624"/>
      <c r="E205" s="624"/>
      <c r="F205" s="624"/>
      <c r="G205" s="624"/>
      <c r="H205" s="624"/>
      <c r="I205" s="624"/>
      <c r="J205" s="624"/>
      <c r="K205" s="624"/>
      <c r="L205" s="624"/>
      <c r="M205" s="624"/>
      <c r="N205" s="624"/>
      <c r="O205" s="624"/>
      <c r="P205" s="624"/>
      <c r="Q205" s="624"/>
      <c r="R205" s="624"/>
      <c r="S205" s="624"/>
      <c r="T205" s="624"/>
      <c r="U205" s="624"/>
      <c r="V205" s="624"/>
      <c r="W205" s="624"/>
      <c r="X205" s="624"/>
      <c r="Y205" s="624"/>
      <c r="Z205" s="624"/>
      <c r="AA205" s="66"/>
      <c r="AB205" s="66"/>
      <c r="AC205" s="80"/>
    </row>
    <row r="206" spans="1:68" ht="27" customHeight="1" x14ac:dyDescent="0.25">
      <c r="A206" s="63" t="s">
        <v>345</v>
      </c>
      <c r="B206" s="63" t="s">
        <v>346</v>
      </c>
      <c r="C206" s="36">
        <v>4301031224</v>
      </c>
      <c r="D206" s="625">
        <v>4680115882683</v>
      </c>
      <c r="E206" s="625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122</v>
      </c>
      <c r="L206" s="37" t="s">
        <v>45</v>
      </c>
      <c r="M206" s="38" t="s">
        <v>80</v>
      </c>
      <c r="N206" s="38"/>
      <c r="O206" s="37">
        <v>40</v>
      </c>
      <c r="P206" s="72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627"/>
      <c r="R206" s="627"/>
      <c r="S206" s="627"/>
      <c r="T206" s="628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3" si="16">IFERROR(IF(X206="",0,CEILING((X206/$H206),1)*$H206),"")</f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347</v>
      </c>
      <c r="AG206" s="78"/>
      <c r="AJ206" s="84" t="s">
        <v>45</v>
      </c>
      <c r="AK206" s="84">
        <v>0</v>
      </c>
      <c r="BB206" s="267" t="s">
        <v>66</v>
      </c>
      <c r="BM206" s="78">
        <f t="shared" ref="BM206:BM213" si="17">IFERROR(X206*I206/H206,"0")</f>
        <v>0</v>
      </c>
      <c r="BN206" s="78">
        <f t="shared" ref="BN206:BN213" si="18">IFERROR(Y206*I206/H206,"0")</f>
        <v>0</v>
      </c>
      <c r="BO206" s="78">
        <f t="shared" ref="BO206:BO213" si="19">IFERROR(1/J206*(X206/H206),"0")</f>
        <v>0</v>
      </c>
      <c r="BP206" s="78">
        <f t="shared" ref="BP206:BP213" si="20">IFERROR(1/J206*(Y206/H206),"0")</f>
        <v>0</v>
      </c>
    </row>
    <row r="207" spans="1:68" ht="27" customHeight="1" x14ac:dyDescent="0.25">
      <c r="A207" s="63" t="s">
        <v>348</v>
      </c>
      <c r="B207" s="63" t="s">
        <v>349</v>
      </c>
      <c r="C207" s="36">
        <v>4301031230</v>
      </c>
      <c r="D207" s="625">
        <v>4680115882690</v>
      </c>
      <c r="E207" s="625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122</v>
      </c>
      <c r="L207" s="37" t="s">
        <v>45</v>
      </c>
      <c r="M207" s="38" t="s">
        <v>80</v>
      </c>
      <c r="N207" s="38"/>
      <c r="O207" s="37">
        <v>40</v>
      </c>
      <c r="P207" s="72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627"/>
      <c r="R207" s="627"/>
      <c r="S207" s="627"/>
      <c r="T207" s="628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6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350</v>
      </c>
      <c r="AG207" s="78"/>
      <c r="AJ207" s="84" t="s">
        <v>45</v>
      </c>
      <c r="AK207" s="84">
        <v>0</v>
      </c>
      <c r="BB207" s="269" t="s">
        <v>66</v>
      </c>
      <c r="BM207" s="78">
        <f t="shared" si="17"/>
        <v>0</v>
      </c>
      <c r="BN207" s="78">
        <f t="shared" si="18"/>
        <v>0</v>
      </c>
      <c r="BO207" s="78">
        <f t="shared" si="19"/>
        <v>0</v>
      </c>
      <c r="BP207" s="78">
        <f t="shared" si="20"/>
        <v>0</v>
      </c>
    </row>
    <row r="208" spans="1:68" ht="27" customHeight="1" x14ac:dyDescent="0.25">
      <c r="A208" s="63" t="s">
        <v>351</v>
      </c>
      <c r="B208" s="63" t="s">
        <v>352</v>
      </c>
      <c r="C208" s="36">
        <v>4301031220</v>
      </c>
      <c r="D208" s="625">
        <v>4680115882669</v>
      </c>
      <c r="E208" s="625"/>
      <c r="F208" s="62">
        <v>0.9</v>
      </c>
      <c r="G208" s="37">
        <v>6</v>
      </c>
      <c r="H208" s="62">
        <v>5.4</v>
      </c>
      <c r="I208" s="62">
        <v>5.59</v>
      </c>
      <c r="J208" s="37">
        <v>132</v>
      </c>
      <c r="K208" s="37" t="s">
        <v>122</v>
      </c>
      <c r="L208" s="37" t="s">
        <v>45</v>
      </c>
      <c r="M208" s="38" t="s">
        <v>80</v>
      </c>
      <c r="N208" s="38"/>
      <c r="O208" s="37">
        <v>40</v>
      </c>
      <c r="P208" s="72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627"/>
      <c r="R208" s="627"/>
      <c r="S208" s="627"/>
      <c r="T208" s="628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6"/>
        <v>0</v>
      </c>
      <c r="Z208" s="41" t="str">
        <f>IFERROR(IF(Y208=0,"",ROUNDUP(Y208/H208,0)*0.00902),"")</f>
        <v/>
      </c>
      <c r="AA208" s="68" t="s">
        <v>45</v>
      </c>
      <c r="AB208" s="69" t="s">
        <v>45</v>
      </c>
      <c r="AC208" s="270" t="s">
        <v>353</v>
      </c>
      <c r="AG208" s="78"/>
      <c r="AJ208" s="84" t="s">
        <v>45</v>
      </c>
      <c r="AK208" s="84">
        <v>0</v>
      </c>
      <c r="BB208" s="271" t="s">
        <v>66</v>
      </c>
      <c r="BM208" s="78">
        <f t="shared" si="17"/>
        <v>0</v>
      </c>
      <c r="BN208" s="78">
        <f t="shared" si="18"/>
        <v>0</v>
      </c>
      <c r="BO208" s="78">
        <f t="shared" si="19"/>
        <v>0</v>
      </c>
      <c r="BP208" s="78">
        <f t="shared" si="20"/>
        <v>0</v>
      </c>
    </row>
    <row r="209" spans="1:68" ht="27" customHeight="1" x14ac:dyDescent="0.25">
      <c r="A209" s="63" t="s">
        <v>354</v>
      </c>
      <c r="B209" s="63" t="s">
        <v>355</v>
      </c>
      <c r="C209" s="36">
        <v>4301031221</v>
      </c>
      <c r="D209" s="625">
        <v>4680115882676</v>
      </c>
      <c r="E209" s="625"/>
      <c r="F209" s="62">
        <v>0.9</v>
      </c>
      <c r="G209" s="37">
        <v>6</v>
      </c>
      <c r="H209" s="62">
        <v>5.4</v>
      </c>
      <c r="I209" s="62">
        <v>5.59</v>
      </c>
      <c r="J209" s="37">
        <v>132</v>
      </c>
      <c r="K209" s="37" t="s">
        <v>122</v>
      </c>
      <c r="L209" s="37" t="s">
        <v>45</v>
      </c>
      <c r="M209" s="38" t="s">
        <v>80</v>
      </c>
      <c r="N209" s="38"/>
      <c r="O209" s="37">
        <v>40</v>
      </c>
      <c r="P209" s="72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627"/>
      <c r="R209" s="627"/>
      <c r="S209" s="627"/>
      <c r="T209" s="628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6"/>
        <v>0</v>
      </c>
      <c r="Z209" s="41" t="str">
        <f>IFERROR(IF(Y209=0,"",ROUNDUP(Y209/H209,0)*0.00902),"")</f>
        <v/>
      </c>
      <c r="AA209" s="68" t="s">
        <v>45</v>
      </c>
      <c r="AB209" s="69" t="s">
        <v>45</v>
      </c>
      <c r="AC209" s="272" t="s">
        <v>356</v>
      </c>
      <c r="AG209" s="78"/>
      <c r="AJ209" s="84" t="s">
        <v>45</v>
      </c>
      <c r="AK209" s="84">
        <v>0</v>
      </c>
      <c r="BB209" s="273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357</v>
      </c>
      <c r="B210" s="63" t="s">
        <v>358</v>
      </c>
      <c r="C210" s="36">
        <v>4301031223</v>
      </c>
      <c r="D210" s="625">
        <v>4680115884014</v>
      </c>
      <c r="E210" s="625"/>
      <c r="F210" s="62">
        <v>0.3</v>
      </c>
      <c r="G210" s="37">
        <v>6</v>
      </c>
      <c r="H210" s="62">
        <v>1.8</v>
      </c>
      <c r="I210" s="62">
        <v>1.93</v>
      </c>
      <c r="J210" s="37">
        <v>234</v>
      </c>
      <c r="K210" s="37" t="s">
        <v>85</v>
      </c>
      <c r="L210" s="37" t="s">
        <v>45</v>
      </c>
      <c r="M210" s="38" t="s">
        <v>80</v>
      </c>
      <c r="N210" s="38"/>
      <c r="O210" s="37">
        <v>40</v>
      </c>
      <c r="P210" s="72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627"/>
      <c r="R210" s="627"/>
      <c r="S210" s="627"/>
      <c r="T210" s="628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6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347</v>
      </c>
      <c r="AG210" s="78"/>
      <c r="AJ210" s="84" t="s">
        <v>45</v>
      </c>
      <c r="AK210" s="84">
        <v>0</v>
      </c>
      <c r="BB210" s="275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359</v>
      </c>
      <c r="B211" s="63" t="s">
        <v>360</v>
      </c>
      <c r="C211" s="36">
        <v>4301031222</v>
      </c>
      <c r="D211" s="625">
        <v>4680115884007</v>
      </c>
      <c r="E211" s="625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85</v>
      </c>
      <c r="L211" s="37" t="s">
        <v>45</v>
      </c>
      <c r="M211" s="38" t="s">
        <v>80</v>
      </c>
      <c r="N211" s="38"/>
      <c r="O211" s="37">
        <v>40</v>
      </c>
      <c r="P211" s="72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627"/>
      <c r="R211" s="627"/>
      <c r="S211" s="627"/>
      <c r="T211" s="628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6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350</v>
      </c>
      <c r="AG211" s="78"/>
      <c r="AJ211" s="84" t="s">
        <v>45</v>
      </c>
      <c r="AK211" s="84">
        <v>0</v>
      </c>
      <c r="BB211" s="277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27" customHeight="1" x14ac:dyDescent="0.25">
      <c r="A212" s="63" t="s">
        <v>361</v>
      </c>
      <c r="B212" s="63" t="s">
        <v>362</v>
      </c>
      <c r="C212" s="36">
        <v>4301031229</v>
      </c>
      <c r="D212" s="625">
        <v>4680115884038</v>
      </c>
      <c r="E212" s="625"/>
      <c r="F212" s="62">
        <v>0.3</v>
      </c>
      <c r="G212" s="37">
        <v>6</v>
      </c>
      <c r="H212" s="62">
        <v>1.8</v>
      </c>
      <c r="I212" s="62">
        <v>1.9</v>
      </c>
      <c r="J212" s="37">
        <v>234</v>
      </c>
      <c r="K212" s="37" t="s">
        <v>85</v>
      </c>
      <c r="L212" s="37" t="s">
        <v>45</v>
      </c>
      <c r="M212" s="38" t="s">
        <v>80</v>
      </c>
      <c r="N212" s="38"/>
      <c r="O212" s="37">
        <v>40</v>
      </c>
      <c r="P212" s="72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627"/>
      <c r="R212" s="627"/>
      <c r="S212" s="627"/>
      <c r="T212" s="628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6"/>
        <v>0</v>
      </c>
      <c r="Z212" s="41" t="str">
        <f>IFERROR(IF(Y212=0,"",ROUNDUP(Y212/H212,0)*0.00502),"")</f>
        <v/>
      </c>
      <c r="AA212" s="68" t="s">
        <v>45</v>
      </c>
      <c r="AB212" s="69" t="s">
        <v>45</v>
      </c>
      <c r="AC212" s="278" t="s">
        <v>353</v>
      </c>
      <c r="AG212" s="78"/>
      <c r="AJ212" s="84" t="s">
        <v>45</v>
      </c>
      <c r="AK212" s="84">
        <v>0</v>
      </c>
      <c r="BB212" s="279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363</v>
      </c>
      <c r="B213" s="63" t="s">
        <v>364</v>
      </c>
      <c r="C213" s="36">
        <v>4301031225</v>
      </c>
      <c r="D213" s="625">
        <v>4680115884021</v>
      </c>
      <c r="E213" s="625"/>
      <c r="F213" s="62">
        <v>0.3</v>
      </c>
      <c r="G213" s="37">
        <v>6</v>
      </c>
      <c r="H213" s="62">
        <v>1.8</v>
      </c>
      <c r="I213" s="62">
        <v>1.9</v>
      </c>
      <c r="J213" s="37">
        <v>234</v>
      </c>
      <c r="K213" s="37" t="s">
        <v>85</v>
      </c>
      <c r="L213" s="37" t="s">
        <v>45</v>
      </c>
      <c r="M213" s="38" t="s">
        <v>80</v>
      </c>
      <c r="N213" s="38"/>
      <c r="O213" s="37">
        <v>40</v>
      </c>
      <c r="P213" s="73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627"/>
      <c r="R213" s="627"/>
      <c r="S213" s="627"/>
      <c r="T213" s="628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6"/>
        <v>0</v>
      </c>
      <c r="Z213" s="41" t="str">
        <f>IFERROR(IF(Y213=0,"",ROUNDUP(Y213/H213,0)*0.00502),"")</f>
        <v/>
      </c>
      <c r="AA213" s="68" t="s">
        <v>45</v>
      </c>
      <c r="AB213" s="69" t="s">
        <v>45</v>
      </c>
      <c r="AC213" s="280" t="s">
        <v>356</v>
      </c>
      <c r="AG213" s="78"/>
      <c r="AJ213" s="84" t="s">
        <v>45</v>
      </c>
      <c r="AK213" s="84">
        <v>0</v>
      </c>
      <c r="BB213" s="281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x14ac:dyDescent="0.2">
      <c r="A214" s="633"/>
      <c r="B214" s="633"/>
      <c r="C214" s="633"/>
      <c r="D214" s="633"/>
      <c r="E214" s="633"/>
      <c r="F214" s="633"/>
      <c r="G214" s="633"/>
      <c r="H214" s="633"/>
      <c r="I214" s="633"/>
      <c r="J214" s="633"/>
      <c r="K214" s="633"/>
      <c r="L214" s="633"/>
      <c r="M214" s="633"/>
      <c r="N214" s="633"/>
      <c r="O214" s="634"/>
      <c r="P214" s="630" t="s">
        <v>40</v>
      </c>
      <c r="Q214" s="631"/>
      <c r="R214" s="631"/>
      <c r="S214" s="631"/>
      <c r="T214" s="631"/>
      <c r="U214" s="631"/>
      <c r="V214" s="632"/>
      <c r="W214" s="42" t="s">
        <v>39</v>
      </c>
      <c r="X214" s="43">
        <f>IFERROR(X206/H206,"0")+IFERROR(X207/H207,"0")+IFERROR(X208/H208,"0")+IFERROR(X209/H209,"0")+IFERROR(X210/H210,"0")+IFERROR(X211/H211,"0")+IFERROR(X212/H212,"0")+IFERROR(X213/H213,"0")</f>
        <v>0</v>
      </c>
      <c r="Y214" s="43">
        <f>IFERROR(Y206/H206,"0")+IFERROR(Y207/H207,"0")+IFERROR(Y208/H208,"0")+IFERROR(Y209/H209,"0")+IFERROR(Y210/H210,"0")+IFERROR(Y211/H211,"0")+IFERROR(Y212/H212,"0")+IFERROR(Y213/H213,"0")</f>
        <v>0</v>
      </c>
      <c r="Z214" s="43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</v>
      </c>
      <c r="AA214" s="67"/>
      <c r="AB214" s="67"/>
      <c r="AC214" s="67"/>
    </row>
    <row r="215" spans="1:68" x14ac:dyDescent="0.2">
      <c r="A215" s="633"/>
      <c r="B215" s="633"/>
      <c r="C215" s="633"/>
      <c r="D215" s="633"/>
      <c r="E215" s="633"/>
      <c r="F215" s="633"/>
      <c r="G215" s="633"/>
      <c r="H215" s="633"/>
      <c r="I215" s="633"/>
      <c r="J215" s="633"/>
      <c r="K215" s="633"/>
      <c r="L215" s="633"/>
      <c r="M215" s="633"/>
      <c r="N215" s="633"/>
      <c r="O215" s="634"/>
      <c r="P215" s="630" t="s">
        <v>40</v>
      </c>
      <c r="Q215" s="631"/>
      <c r="R215" s="631"/>
      <c r="S215" s="631"/>
      <c r="T215" s="631"/>
      <c r="U215" s="631"/>
      <c r="V215" s="632"/>
      <c r="W215" s="42" t="s">
        <v>0</v>
      </c>
      <c r="X215" s="43">
        <f>IFERROR(SUM(X206:X213),"0")</f>
        <v>0</v>
      </c>
      <c r="Y215" s="43">
        <f>IFERROR(SUM(Y206:Y213),"0")</f>
        <v>0</v>
      </c>
      <c r="Z215" s="42"/>
      <c r="AA215" s="67"/>
      <c r="AB215" s="67"/>
      <c r="AC215" s="67"/>
    </row>
    <row r="216" spans="1:68" ht="14.25" customHeight="1" x14ac:dyDescent="0.25">
      <c r="A216" s="624" t="s">
        <v>86</v>
      </c>
      <c r="B216" s="624"/>
      <c r="C216" s="624"/>
      <c r="D216" s="624"/>
      <c r="E216" s="624"/>
      <c r="F216" s="624"/>
      <c r="G216" s="624"/>
      <c r="H216" s="624"/>
      <c r="I216" s="624"/>
      <c r="J216" s="624"/>
      <c r="K216" s="624"/>
      <c r="L216" s="624"/>
      <c r="M216" s="624"/>
      <c r="N216" s="624"/>
      <c r="O216" s="624"/>
      <c r="P216" s="624"/>
      <c r="Q216" s="624"/>
      <c r="R216" s="624"/>
      <c r="S216" s="624"/>
      <c r="T216" s="624"/>
      <c r="U216" s="624"/>
      <c r="V216" s="624"/>
      <c r="W216" s="624"/>
      <c r="X216" s="624"/>
      <c r="Y216" s="624"/>
      <c r="Z216" s="624"/>
      <c r="AA216" s="66"/>
      <c r="AB216" s="66"/>
      <c r="AC216" s="80"/>
    </row>
    <row r="217" spans="1:68" ht="37.5" customHeight="1" x14ac:dyDescent="0.25">
      <c r="A217" s="63" t="s">
        <v>365</v>
      </c>
      <c r="B217" s="63" t="s">
        <v>366</v>
      </c>
      <c r="C217" s="36">
        <v>4301051408</v>
      </c>
      <c r="D217" s="625">
        <v>4680115881594</v>
      </c>
      <c r="E217" s="625"/>
      <c r="F217" s="62">
        <v>1.35</v>
      </c>
      <c r="G217" s="37">
        <v>6</v>
      </c>
      <c r="H217" s="62">
        <v>8.1</v>
      </c>
      <c r="I217" s="62">
        <v>8.5939999999999994</v>
      </c>
      <c r="J217" s="37">
        <v>64</v>
      </c>
      <c r="K217" s="37" t="s">
        <v>119</v>
      </c>
      <c r="L217" s="37" t="s">
        <v>45</v>
      </c>
      <c r="M217" s="38" t="s">
        <v>90</v>
      </c>
      <c r="N217" s="38"/>
      <c r="O217" s="37">
        <v>40</v>
      </c>
      <c r="P217" s="73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627"/>
      <c r="R217" s="627"/>
      <c r="S217" s="627"/>
      <c r="T217" s="628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ref="Y217:Y225" si="21">IFERROR(IF(X217="",0,CEILING((X217/$H217),1)*$H217),"")</f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367</v>
      </c>
      <c r="AG217" s="78"/>
      <c r="AJ217" s="84" t="s">
        <v>45</v>
      </c>
      <c r="AK217" s="84">
        <v>0</v>
      </c>
      <c r="BB217" s="283" t="s">
        <v>66</v>
      </c>
      <c r="BM217" s="78">
        <f t="shared" ref="BM217:BM225" si="22">IFERROR(X217*I217/H217,"0")</f>
        <v>0</v>
      </c>
      <c r="BN217" s="78">
        <f t="shared" ref="BN217:BN225" si="23">IFERROR(Y217*I217/H217,"0")</f>
        <v>0</v>
      </c>
      <c r="BO217" s="78">
        <f t="shared" ref="BO217:BO225" si="24">IFERROR(1/J217*(X217/H217),"0")</f>
        <v>0</v>
      </c>
      <c r="BP217" s="78">
        <f t="shared" ref="BP217:BP225" si="25">IFERROR(1/J217*(Y217/H217),"0")</f>
        <v>0</v>
      </c>
    </row>
    <row r="218" spans="1:68" ht="27" customHeight="1" x14ac:dyDescent="0.25">
      <c r="A218" s="63" t="s">
        <v>368</v>
      </c>
      <c r="B218" s="63" t="s">
        <v>369</v>
      </c>
      <c r="C218" s="36">
        <v>4301051411</v>
      </c>
      <c r="D218" s="625">
        <v>4680115881617</v>
      </c>
      <c r="E218" s="625"/>
      <c r="F218" s="62">
        <v>1.35</v>
      </c>
      <c r="G218" s="37">
        <v>6</v>
      </c>
      <c r="H218" s="62">
        <v>8.1</v>
      </c>
      <c r="I218" s="62">
        <v>8.5760000000000005</v>
      </c>
      <c r="J218" s="37">
        <v>64</v>
      </c>
      <c r="K218" s="37" t="s">
        <v>119</v>
      </c>
      <c r="L218" s="37" t="s">
        <v>45</v>
      </c>
      <c r="M218" s="38" t="s">
        <v>90</v>
      </c>
      <c r="N218" s="38"/>
      <c r="O218" s="37">
        <v>40</v>
      </c>
      <c r="P218" s="73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627"/>
      <c r="R218" s="627"/>
      <c r="S218" s="627"/>
      <c r="T218" s="628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1"/>
        <v>0</v>
      </c>
      <c r="Z218" s="41" t="str">
        <f>IFERROR(IF(Y218=0,"",ROUNDUP(Y218/H218,0)*0.01898),"")</f>
        <v/>
      </c>
      <c r="AA218" s="68" t="s">
        <v>45</v>
      </c>
      <c r="AB218" s="69" t="s">
        <v>45</v>
      </c>
      <c r="AC218" s="284" t="s">
        <v>370</v>
      </c>
      <c r="AG218" s="78"/>
      <c r="AJ218" s="84" t="s">
        <v>45</v>
      </c>
      <c r="AK218" s="84">
        <v>0</v>
      </c>
      <c r="BB218" s="285" t="s">
        <v>66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customHeight="1" x14ac:dyDescent="0.25">
      <c r="A219" s="63" t="s">
        <v>371</v>
      </c>
      <c r="B219" s="63" t="s">
        <v>372</v>
      </c>
      <c r="C219" s="36">
        <v>4301051656</v>
      </c>
      <c r="D219" s="625">
        <v>4680115880573</v>
      </c>
      <c r="E219" s="625"/>
      <c r="F219" s="62">
        <v>1.45</v>
      </c>
      <c r="G219" s="37">
        <v>6</v>
      </c>
      <c r="H219" s="62">
        <v>8.6999999999999993</v>
      </c>
      <c r="I219" s="62">
        <v>9.1940000000000008</v>
      </c>
      <c r="J219" s="37">
        <v>64</v>
      </c>
      <c r="K219" s="37" t="s">
        <v>119</v>
      </c>
      <c r="L219" s="37" t="s">
        <v>45</v>
      </c>
      <c r="M219" s="38" t="s">
        <v>90</v>
      </c>
      <c r="N219" s="38"/>
      <c r="O219" s="37">
        <v>45</v>
      </c>
      <c r="P219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627"/>
      <c r="R219" s="627"/>
      <c r="S219" s="627"/>
      <c r="T219" s="628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1"/>
        <v>0</v>
      </c>
      <c r="Z219" s="41" t="str">
        <f>IFERROR(IF(Y219=0,"",ROUNDUP(Y219/H219,0)*0.01898),"")</f>
        <v/>
      </c>
      <c r="AA219" s="68" t="s">
        <v>45</v>
      </c>
      <c r="AB219" s="69" t="s">
        <v>45</v>
      </c>
      <c r="AC219" s="286" t="s">
        <v>373</v>
      </c>
      <c r="AG219" s="78"/>
      <c r="AJ219" s="84" t="s">
        <v>45</v>
      </c>
      <c r="AK219" s="84">
        <v>0</v>
      </c>
      <c r="BB219" s="287" t="s">
        <v>66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37.5" customHeight="1" x14ac:dyDescent="0.25">
      <c r="A220" s="63" t="s">
        <v>374</v>
      </c>
      <c r="B220" s="63" t="s">
        <v>375</v>
      </c>
      <c r="C220" s="36">
        <v>4301051407</v>
      </c>
      <c r="D220" s="625">
        <v>4680115882195</v>
      </c>
      <c r="E220" s="625"/>
      <c r="F220" s="62">
        <v>0.4</v>
      </c>
      <c r="G220" s="37">
        <v>6</v>
      </c>
      <c r="H220" s="62">
        <v>2.4</v>
      </c>
      <c r="I220" s="62">
        <v>2.67</v>
      </c>
      <c r="J220" s="37">
        <v>182</v>
      </c>
      <c r="K220" s="37" t="s">
        <v>81</v>
      </c>
      <c r="L220" s="37" t="s">
        <v>45</v>
      </c>
      <c r="M220" s="38" t="s">
        <v>90</v>
      </c>
      <c r="N220" s="38"/>
      <c r="O220" s="37">
        <v>40</v>
      </c>
      <c r="P220" s="73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627"/>
      <c r="R220" s="627"/>
      <c r="S220" s="627"/>
      <c r="T220" s="628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1"/>
        <v>0</v>
      </c>
      <c r="Z220" s="41" t="str">
        <f t="shared" ref="Z220:Z225" si="26">IFERROR(IF(Y220=0,"",ROUNDUP(Y220/H220,0)*0.00651),"")</f>
        <v/>
      </c>
      <c r="AA220" s="68" t="s">
        <v>45</v>
      </c>
      <c r="AB220" s="69" t="s">
        <v>45</v>
      </c>
      <c r="AC220" s="288" t="s">
        <v>367</v>
      </c>
      <c r="AG220" s="78"/>
      <c r="AJ220" s="84" t="s">
        <v>45</v>
      </c>
      <c r="AK220" s="84">
        <v>0</v>
      </c>
      <c r="BB220" s="289" t="s">
        <v>66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customHeight="1" x14ac:dyDescent="0.25">
      <c r="A221" s="63" t="s">
        <v>376</v>
      </c>
      <c r="B221" s="63" t="s">
        <v>377</v>
      </c>
      <c r="C221" s="36">
        <v>4301051752</v>
      </c>
      <c r="D221" s="625">
        <v>4680115882607</v>
      </c>
      <c r="E221" s="625"/>
      <c r="F221" s="62">
        <v>0.3</v>
      </c>
      <c r="G221" s="37">
        <v>6</v>
      </c>
      <c r="H221" s="62">
        <v>1.8</v>
      </c>
      <c r="I221" s="62">
        <v>2.052</v>
      </c>
      <c r="J221" s="37">
        <v>182</v>
      </c>
      <c r="K221" s="37" t="s">
        <v>81</v>
      </c>
      <c r="L221" s="37" t="s">
        <v>45</v>
      </c>
      <c r="M221" s="38" t="s">
        <v>96</v>
      </c>
      <c r="N221" s="38"/>
      <c r="O221" s="37">
        <v>45</v>
      </c>
      <c r="P221" s="73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627"/>
      <c r="R221" s="627"/>
      <c r="S221" s="627"/>
      <c r="T221" s="628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45</v>
      </c>
      <c r="AB221" s="69" t="s">
        <v>45</v>
      </c>
      <c r="AC221" s="290" t="s">
        <v>373</v>
      </c>
      <c r="AG221" s="78"/>
      <c r="AJ221" s="84" t="s">
        <v>45</v>
      </c>
      <c r="AK221" s="84">
        <v>0</v>
      </c>
      <c r="BB221" s="291" t="s">
        <v>66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customHeight="1" x14ac:dyDescent="0.25">
      <c r="A222" s="63" t="s">
        <v>378</v>
      </c>
      <c r="B222" s="63" t="s">
        <v>379</v>
      </c>
      <c r="C222" s="36">
        <v>4301051666</v>
      </c>
      <c r="D222" s="625">
        <v>4680115880092</v>
      </c>
      <c r="E222" s="625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81</v>
      </c>
      <c r="L222" s="37" t="s">
        <v>45</v>
      </c>
      <c r="M222" s="38" t="s">
        <v>90</v>
      </c>
      <c r="N222" s="38"/>
      <c r="O222" s="37">
        <v>45</v>
      </c>
      <c r="P222" s="73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627"/>
      <c r="R222" s="627"/>
      <c r="S222" s="627"/>
      <c r="T222" s="628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45</v>
      </c>
      <c r="AB222" s="69" t="s">
        <v>45</v>
      </c>
      <c r="AC222" s="292" t="s">
        <v>373</v>
      </c>
      <c r="AG222" s="78"/>
      <c r="AJ222" s="84" t="s">
        <v>45</v>
      </c>
      <c r="AK222" s="84">
        <v>0</v>
      </c>
      <c r="BB222" s="293" t="s">
        <v>66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customHeight="1" x14ac:dyDescent="0.25">
      <c r="A223" s="63" t="s">
        <v>380</v>
      </c>
      <c r="B223" s="63" t="s">
        <v>381</v>
      </c>
      <c r="C223" s="36">
        <v>4301051668</v>
      </c>
      <c r="D223" s="625">
        <v>4680115880221</v>
      </c>
      <c r="E223" s="625"/>
      <c r="F223" s="62">
        <v>0.4</v>
      </c>
      <c r="G223" s="37">
        <v>6</v>
      </c>
      <c r="H223" s="62">
        <v>2.4</v>
      </c>
      <c r="I223" s="62">
        <v>2.6520000000000001</v>
      </c>
      <c r="J223" s="37">
        <v>182</v>
      </c>
      <c r="K223" s="37" t="s">
        <v>81</v>
      </c>
      <c r="L223" s="37" t="s">
        <v>45</v>
      </c>
      <c r="M223" s="38" t="s">
        <v>90</v>
      </c>
      <c r="N223" s="38"/>
      <c r="O223" s="37">
        <v>45</v>
      </c>
      <c r="P223" s="73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627"/>
      <c r="R223" s="627"/>
      <c r="S223" s="627"/>
      <c r="T223" s="628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1"/>
        <v>0</v>
      </c>
      <c r="Z223" s="41" t="str">
        <f t="shared" si="26"/>
        <v/>
      </c>
      <c r="AA223" s="68" t="s">
        <v>45</v>
      </c>
      <c r="AB223" s="69" t="s">
        <v>45</v>
      </c>
      <c r="AC223" s="294" t="s">
        <v>373</v>
      </c>
      <c r="AG223" s="78"/>
      <c r="AJ223" s="84" t="s">
        <v>45</v>
      </c>
      <c r="AK223" s="84">
        <v>0</v>
      </c>
      <c r="BB223" s="295" t="s">
        <v>66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27" customHeight="1" x14ac:dyDescent="0.25">
      <c r="A224" s="63" t="s">
        <v>382</v>
      </c>
      <c r="B224" s="63" t="s">
        <v>383</v>
      </c>
      <c r="C224" s="36">
        <v>4301051945</v>
      </c>
      <c r="D224" s="625">
        <v>4680115880504</v>
      </c>
      <c r="E224" s="625"/>
      <c r="F224" s="62">
        <v>0.4</v>
      </c>
      <c r="G224" s="37">
        <v>6</v>
      </c>
      <c r="H224" s="62">
        <v>2.4</v>
      </c>
      <c r="I224" s="62">
        <v>2.6520000000000001</v>
      </c>
      <c r="J224" s="37">
        <v>182</v>
      </c>
      <c r="K224" s="37" t="s">
        <v>81</v>
      </c>
      <c r="L224" s="37" t="s">
        <v>45</v>
      </c>
      <c r="M224" s="38" t="s">
        <v>96</v>
      </c>
      <c r="N224" s="38"/>
      <c r="O224" s="37">
        <v>40</v>
      </c>
      <c r="P224" s="73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627"/>
      <c r="R224" s="627"/>
      <c r="S224" s="627"/>
      <c r="T224" s="628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si="21"/>
        <v>0</v>
      </c>
      <c r="Z224" s="41" t="str">
        <f t="shared" si="26"/>
        <v/>
      </c>
      <c r="AA224" s="68" t="s">
        <v>45</v>
      </c>
      <c r="AB224" s="69" t="s">
        <v>45</v>
      </c>
      <c r="AC224" s="296" t="s">
        <v>384</v>
      </c>
      <c r="AG224" s="78"/>
      <c r="AJ224" s="84" t="s">
        <v>45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385</v>
      </c>
      <c r="B225" s="63" t="s">
        <v>386</v>
      </c>
      <c r="C225" s="36">
        <v>4301051410</v>
      </c>
      <c r="D225" s="625">
        <v>4680115882164</v>
      </c>
      <c r="E225" s="625"/>
      <c r="F225" s="62">
        <v>0.4</v>
      </c>
      <c r="G225" s="37">
        <v>6</v>
      </c>
      <c r="H225" s="62">
        <v>2.4</v>
      </c>
      <c r="I225" s="62">
        <v>2.6579999999999999</v>
      </c>
      <c r="J225" s="37">
        <v>182</v>
      </c>
      <c r="K225" s="37" t="s">
        <v>81</v>
      </c>
      <c r="L225" s="37" t="s">
        <v>45</v>
      </c>
      <c r="M225" s="38" t="s">
        <v>90</v>
      </c>
      <c r="N225" s="38"/>
      <c r="O225" s="37">
        <v>40</v>
      </c>
      <c r="P225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627"/>
      <c r="R225" s="627"/>
      <c r="S225" s="627"/>
      <c r="T225" s="628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 t="shared" si="26"/>
        <v/>
      </c>
      <c r="AA225" s="68" t="s">
        <v>45</v>
      </c>
      <c r="AB225" s="69" t="s">
        <v>45</v>
      </c>
      <c r="AC225" s="298" t="s">
        <v>370</v>
      </c>
      <c r="AG225" s="78"/>
      <c r="AJ225" s="84" t="s">
        <v>45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x14ac:dyDescent="0.2">
      <c r="A226" s="633"/>
      <c r="B226" s="633"/>
      <c r="C226" s="633"/>
      <c r="D226" s="633"/>
      <c r="E226" s="633"/>
      <c r="F226" s="633"/>
      <c r="G226" s="633"/>
      <c r="H226" s="633"/>
      <c r="I226" s="633"/>
      <c r="J226" s="633"/>
      <c r="K226" s="633"/>
      <c r="L226" s="633"/>
      <c r="M226" s="633"/>
      <c r="N226" s="633"/>
      <c r="O226" s="634"/>
      <c r="P226" s="630" t="s">
        <v>40</v>
      </c>
      <c r="Q226" s="631"/>
      <c r="R226" s="631"/>
      <c r="S226" s="631"/>
      <c r="T226" s="631"/>
      <c r="U226" s="631"/>
      <c r="V226" s="632"/>
      <c r="W226" s="42" t="s">
        <v>39</v>
      </c>
      <c r="X226" s="43">
        <f>IFERROR(X217/H217,"0")+IFERROR(X218/H218,"0")+IFERROR(X219/H219,"0")+IFERROR(X220/H220,"0")+IFERROR(X221/H221,"0")+IFERROR(X222/H222,"0")+IFERROR(X223/H223,"0")+IFERROR(X224/H224,"0")+IFERROR(X225/H225,"0")</f>
        <v>0</v>
      </c>
      <c r="Y226" s="43">
        <f>IFERROR(Y217/H217,"0")+IFERROR(Y218/H218,"0")+IFERROR(Y219/H219,"0")+IFERROR(Y220/H220,"0")+IFERROR(Y221/H221,"0")+IFERROR(Y222/H222,"0")+IFERROR(Y223/H223,"0")+IFERROR(Y224/H224,"0")+IFERROR(Y225/H225,"0")</f>
        <v>0</v>
      </c>
      <c r="Z226" s="43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0</v>
      </c>
      <c r="AA226" s="67"/>
      <c r="AB226" s="67"/>
      <c r="AC226" s="67"/>
    </row>
    <row r="227" spans="1:68" x14ac:dyDescent="0.2">
      <c r="A227" s="633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0" t="s">
        <v>40</v>
      </c>
      <c r="Q227" s="631"/>
      <c r="R227" s="631"/>
      <c r="S227" s="631"/>
      <c r="T227" s="631"/>
      <c r="U227" s="631"/>
      <c r="V227" s="632"/>
      <c r="W227" s="42" t="s">
        <v>0</v>
      </c>
      <c r="X227" s="43">
        <f>IFERROR(SUM(X217:X225),"0")</f>
        <v>0</v>
      </c>
      <c r="Y227" s="43">
        <f>IFERROR(SUM(Y217:Y225),"0")</f>
        <v>0</v>
      </c>
      <c r="Z227" s="42"/>
      <c r="AA227" s="67"/>
      <c r="AB227" s="67"/>
      <c r="AC227" s="67"/>
    </row>
    <row r="228" spans="1:68" ht="14.25" customHeight="1" x14ac:dyDescent="0.25">
      <c r="A228" s="624" t="s">
        <v>173</v>
      </c>
      <c r="B228" s="624"/>
      <c r="C228" s="624"/>
      <c r="D228" s="624"/>
      <c r="E228" s="624"/>
      <c r="F228" s="624"/>
      <c r="G228" s="624"/>
      <c r="H228" s="624"/>
      <c r="I228" s="624"/>
      <c r="J228" s="624"/>
      <c r="K228" s="624"/>
      <c r="L228" s="624"/>
      <c r="M228" s="624"/>
      <c r="N228" s="624"/>
      <c r="O228" s="624"/>
      <c r="P228" s="624"/>
      <c r="Q228" s="624"/>
      <c r="R228" s="624"/>
      <c r="S228" s="624"/>
      <c r="T228" s="624"/>
      <c r="U228" s="624"/>
      <c r="V228" s="624"/>
      <c r="W228" s="624"/>
      <c r="X228" s="624"/>
      <c r="Y228" s="624"/>
      <c r="Z228" s="624"/>
      <c r="AA228" s="66"/>
      <c r="AB228" s="66"/>
      <c r="AC228" s="80"/>
    </row>
    <row r="229" spans="1:68" ht="27" customHeight="1" x14ac:dyDescent="0.25">
      <c r="A229" s="63" t="s">
        <v>387</v>
      </c>
      <c r="B229" s="63" t="s">
        <v>388</v>
      </c>
      <c r="C229" s="36">
        <v>4301060463</v>
      </c>
      <c r="D229" s="625">
        <v>4680115880818</v>
      </c>
      <c r="E229" s="625"/>
      <c r="F229" s="62">
        <v>0.4</v>
      </c>
      <c r="G229" s="37">
        <v>6</v>
      </c>
      <c r="H229" s="62">
        <v>2.4</v>
      </c>
      <c r="I229" s="62">
        <v>2.6520000000000001</v>
      </c>
      <c r="J229" s="37">
        <v>182</v>
      </c>
      <c r="K229" s="37" t="s">
        <v>81</v>
      </c>
      <c r="L229" s="37" t="s">
        <v>45</v>
      </c>
      <c r="M229" s="38" t="s">
        <v>96</v>
      </c>
      <c r="N229" s="38"/>
      <c r="O229" s="37">
        <v>40</v>
      </c>
      <c r="P229" s="74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627"/>
      <c r="R229" s="627"/>
      <c r="S229" s="627"/>
      <c r="T229" s="628"/>
      <c r="U229" s="39" t="s">
        <v>45</v>
      </c>
      <c r="V229" s="39" t="s">
        <v>45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IFERROR(IF(Y229=0,"",ROUNDUP(Y229/H229,0)*0.00651),"")</f>
        <v/>
      </c>
      <c r="AA229" s="68" t="s">
        <v>45</v>
      </c>
      <c r="AB229" s="69" t="s">
        <v>45</v>
      </c>
      <c r="AC229" s="300" t="s">
        <v>389</v>
      </c>
      <c r="AG229" s="78"/>
      <c r="AJ229" s="84" t="s">
        <v>45</v>
      </c>
      <c r="AK229" s="84">
        <v>0</v>
      </c>
      <c r="BB229" s="301" t="s">
        <v>66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ht="37.5" customHeight="1" x14ac:dyDescent="0.25">
      <c r="A230" s="63" t="s">
        <v>390</v>
      </c>
      <c r="B230" s="63" t="s">
        <v>391</v>
      </c>
      <c r="C230" s="36">
        <v>4301060389</v>
      </c>
      <c r="D230" s="625">
        <v>4680115880801</v>
      </c>
      <c r="E230" s="625"/>
      <c r="F230" s="62">
        <v>0.4</v>
      </c>
      <c r="G230" s="37">
        <v>6</v>
      </c>
      <c r="H230" s="62">
        <v>2.4</v>
      </c>
      <c r="I230" s="62">
        <v>2.6520000000000001</v>
      </c>
      <c r="J230" s="37">
        <v>182</v>
      </c>
      <c r="K230" s="37" t="s">
        <v>81</v>
      </c>
      <c r="L230" s="37" t="s">
        <v>45</v>
      </c>
      <c r="M230" s="38" t="s">
        <v>90</v>
      </c>
      <c r="N230" s="38"/>
      <c r="O230" s="37">
        <v>40</v>
      </c>
      <c r="P230" s="74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627"/>
      <c r="R230" s="627"/>
      <c r="S230" s="627"/>
      <c r="T230" s="628"/>
      <c r="U230" s="39" t="s">
        <v>45</v>
      </c>
      <c r="V230" s="39" t="s">
        <v>45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IFERROR(IF(Y230=0,"",ROUNDUP(Y230/H230,0)*0.00651),"")</f>
        <v/>
      </c>
      <c r="AA230" s="68" t="s">
        <v>45</v>
      </c>
      <c r="AB230" s="69" t="s">
        <v>45</v>
      </c>
      <c r="AC230" s="302" t="s">
        <v>392</v>
      </c>
      <c r="AG230" s="78"/>
      <c r="AJ230" s="84" t="s">
        <v>45</v>
      </c>
      <c r="AK230" s="84">
        <v>0</v>
      </c>
      <c r="BB230" s="303" t="s">
        <v>66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x14ac:dyDescent="0.2">
      <c r="A231" s="633"/>
      <c r="B231" s="633"/>
      <c r="C231" s="633"/>
      <c r="D231" s="633"/>
      <c r="E231" s="633"/>
      <c r="F231" s="633"/>
      <c r="G231" s="633"/>
      <c r="H231" s="633"/>
      <c r="I231" s="633"/>
      <c r="J231" s="633"/>
      <c r="K231" s="633"/>
      <c r="L231" s="633"/>
      <c r="M231" s="633"/>
      <c r="N231" s="633"/>
      <c r="O231" s="634"/>
      <c r="P231" s="630" t="s">
        <v>40</v>
      </c>
      <c r="Q231" s="631"/>
      <c r="R231" s="631"/>
      <c r="S231" s="631"/>
      <c r="T231" s="631"/>
      <c r="U231" s="631"/>
      <c r="V231" s="632"/>
      <c r="W231" s="42" t="s">
        <v>39</v>
      </c>
      <c r="X231" s="43">
        <f>IFERROR(X229/H229,"0")+IFERROR(X230/H230,"0")</f>
        <v>0</v>
      </c>
      <c r="Y231" s="43">
        <f>IFERROR(Y229/H229,"0")+IFERROR(Y230/H230,"0")</f>
        <v>0</v>
      </c>
      <c r="Z231" s="43">
        <f>IFERROR(IF(Z229="",0,Z229),"0")+IFERROR(IF(Z230="",0,Z230),"0")</f>
        <v>0</v>
      </c>
      <c r="AA231" s="67"/>
      <c r="AB231" s="67"/>
      <c r="AC231" s="67"/>
    </row>
    <row r="232" spans="1:68" x14ac:dyDescent="0.2">
      <c r="A232" s="633"/>
      <c r="B232" s="633"/>
      <c r="C232" s="633"/>
      <c r="D232" s="633"/>
      <c r="E232" s="633"/>
      <c r="F232" s="633"/>
      <c r="G232" s="633"/>
      <c r="H232" s="633"/>
      <c r="I232" s="633"/>
      <c r="J232" s="633"/>
      <c r="K232" s="633"/>
      <c r="L232" s="633"/>
      <c r="M232" s="633"/>
      <c r="N232" s="633"/>
      <c r="O232" s="634"/>
      <c r="P232" s="630" t="s">
        <v>40</v>
      </c>
      <c r="Q232" s="631"/>
      <c r="R232" s="631"/>
      <c r="S232" s="631"/>
      <c r="T232" s="631"/>
      <c r="U232" s="631"/>
      <c r="V232" s="632"/>
      <c r="W232" s="42" t="s">
        <v>0</v>
      </c>
      <c r="X232" s="43">
        <f>IFERROR(SUM(X229:X230),"0")</f>
        <v>0</v>
      </c>
      <c r="Y232" s="43">
        <f>IFERROR(SUM(Y229:Y230),"0")</f>
        <v>0</v>
      </c>
      <c r="Z232" s="42"/>
      <c r="AA232" s="67"/>
      <c r="AB232" s="67"/>
      <c r="AC232" s="67"/>
    </row>
    <row r="233" spans="1:68" ht="16.5" customHeight="1" x14ac:dyDescent="0.25">
      <c r="A233" s="623" t="s">
        <v>393</v>
      </c>
      <c r="B233" s="623"/>
      <c r="C233" s="623"/>
      <c r="D233" s="623"/>
      <c r="E233" s="623"/>
      <c r="F233" s="623"/>
      <c r="G233" s="623"/>
      <c r="H233" s="623"/>
      <c r="I233" s="623"/>
      <c r="J233" s="623"/>
      <c r="K233" s="623"/>
      <c r="L233" s="623"/>
      <c r="M233" s="623"/>
      <c r="N233" s="623"/>
      <c r="O233" s="623"/>
      <c r="P233" s="623"/>
      <c r="Q233" s="623"/>
      <c r="R233" s="623"/>
      <c r="S233" s="623"/>
      <c r="T233" s="623"/>
      <c r="U233" s="623"/>
      <c r="V233" s="623"/>
      <c r="W233" s="623"/>
      <c r="X233" s="623"/>
      <c r="Y233" s="623"/>
      <c r="Z233" s="623"/>
      <c r="AA233" s="65"/>
      <c r="AB233" s="65"/>
      <c r="AC233" s="79"/>
    </row>
    <row r="234" spans="1:68" ht="14.25" customHeight="1" x14ac:dyDescent="0.25">
      <c r="A234" s="624" t="s">
        <v>114</v>
      </c>
      <c r="B234" s="624"/>
      <c r="C234" s="624"/>
      <c r="D234" s="624"/>
      <c r="E234" s="624"/>
      <c r="F234" s="624"/>
      <c r="G234" s="624"/>
      <c r="H234" s="624"/>
      <c r="I234" s="624"/>
      <c r="J234" s="624"/>
      <c r="K234" s="624"/>
      <c r="L234" s="624"/>
      <c r="M234" s="624"/>
      <c r="N234" s="624"/>
      <c r="O234" s="624"/>
      <c r="P234" s="624"/>
      <c r="Q234" s="624"/>
      <c r="R234" s="624"/>
      <c r="S234" s="624"/>
      <c r="T234" s="624"/>
      <c r="U234" s="624"/>
      <c r="V234" s="624"/>
      <c r="W234" s="624"/>
      <c r="X234" s="624"/>
      <c r="Y234" s="624"/>
      <c r="Z234" s="624"/>
      <c r="AA234" s="66"/>
      <c r="AB234" s="66"/>
      <c r="AC234" s="80"/>
    </row>
    <row r="235" spans="1:68" ht="27" customHeight="1" x14ac:dyDescent="0.25">
      <c r="A235" s="63" t="s">
        <v>394</v>
      </c>
      <c r="B235" s="63" t="s">
        <v>395</v>
      </c>
      <c r="C235" s="36">
        <v>4301011826</v>
      </c>
      <c r="D235" s="625">
        <v>4680115884137</v>
      </c>
      <c r="E235" s="625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119</v>
      </c>
      <c r="L235" s="37" t="s">
        <v>45</v>
      </c>
      <c r="M235" s="38" t="s">
        <v>118</v>
      </c>
      <c r="N235" s="38"/>
      <c r="O235" s="37">
        <v>55</v>
      </c>
      <c r="P235" s="7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627"/>
      <c r="R235" s="627"/>
      <c r="S235" s="627"/>
      <c r="T235" s="628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ref="Y235:Y241" si="27">IFERROR(IF(X235="",0,CEILING((X235/$H235),1)*$H235),"")</f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396</v>
      </c>
      <c r="AG235" s="78"/>
      <c r="AJ235" s="84" t="s">
        <v>45</v>
      </c>
      <c r="AK235" s="84">
        <v>0</v>
      </c>
      <c r="BB235" s="305" t="s">
        <v>66</v>
      </c>
      <c r="BM235" s="78">
        <f t="shared" ref="BM235:BM241" si="28">IFERROR(X235*I235/H235,"0")</f>
        <v>0</v>
      </c>
      <c r="BN235" s="78">
        <f t="shared" ref="BN235:BN241" si="29">IFERROR(Y235*I235/H235,"0")</f>
        <v>0</v>
      </c>
      <c r="BO235" s="78">
        <f t="shared" ref="BO235:BO241" si="30">IFERROR(1/J235*(X235/H235),"0")</f>
        <v>0</v>
      </c>
      <c r="BP235" s="78">
        <f t="shared" ref="BP235:BP241" si="31">IFERROR(1/J235*(Y235/H235),"0")</f>
        <v>0</v>
      </c>
    </row>
    <row r="236" spans="1:68" ht="27" customHeight="1" x14ac:dyDescent="0.25">
      <c r="A236" s="63" t="s">
        <v>397</v>
      </c>
      <c r="B236" s="63" t="s">
        <v>398</v>
      </c>
      <c r="C236" s="36">
        <v>4301011724</v>
      </c>
      <c r="D236" s="625">
        <v>4680115884236</v>
      </c>
      <c r="E236" s="625"/>
      <c r="F236" s="62">
        <v>1.45</v>
      </c>
      <c r="G236" s="37">
        <v>8</v>
      </c>
      <c r="H236" s="62">
        <v>11.6</v>
      </c>
      <c r="I236" s="62">
        <v>12.01</v>
      </c>
      <c r="J236" s="37">
        <v>64</v>
      </c>
      <c r="K236" s="37" t="s">
        <v>119</v>
      </c>
      <c r="L236" s="37" t="s">
        <v>45</v>
      </c>
      <c r="M236" s="38" t="s">
        <v>118</v>
      </c>
      <c r="N236" s="38"/>
      <c r="O236" s="37">
        <v>55</v>
      </c>
      <c r="P236" s="7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627"/>
      <c r="R236" s="627"/>
      <c r="S236" s="627"/>
      <c r="T236" s="628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7"/>
        <v>0</v>
      </c>
      <c r="Z236" s="41" t="str">
        <f>IFERROR(IF(Y236=0,"",ROUNDUP(Y236/H236,0)*0.01898),"")</f>
        <v/>
      </c>
      <c r="AA236" s="68" t="s">
        <v>45</v>
      </c>
      <c r="AB236" s="69" t="s">
        <v>45</v>
      </c>
      <c r="AC236" s="306" t="s">
        <v>399</v>
      </c>
      <c r="AG236" s="78"/>
      <c r="AJ236" s="84" t="s">
        <v>45</v>
      </c>
      <c r="AK236" s="84">
        <v>0</v>
      </c>
      <c r="BB236" s="307" t="s">
        <v>66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ht="27" customHeight="1" x14ac:dyDescent="0.25">
      <c r="A237" s="63" t="s">
        <v>400</v>
      </c>
      <c r="B237" s="63" t="s">
        <v>401</v>
      </c>
      <c r="C237" s="36">
        <v>4301011721</v>
      </c>
      <c r="D237" s="625">
        <v>4680115884175</v>
      </c>
      <c r="E237" s="625"/>
      <c r="F237" s="62">
        <v>1.45</v>
      </c>
      <c r="G237" s="37">
        <v>8</v>
      </c>
      <c r="H237" s="62">
        <v>11.6</v>
      </c>
      <c r="I237" s="62">
        <v>12.01</v>
      </c>
      <c r="J237" s="37">
        <v>64</v>
      </c>
      <c r="K237" s="37" t="s">
        <v>119</v>
      </c>
      <c r="L237" s="37" t="s">
        <v>45</v>
      </c>
      <c r="M237" s="38" t="s">
        <v>118</v>
      </c>
      <c r="N237" s="38"/>
      <c r="O237" s="37">
        <v>55</v>
      </c>
      <c r="P237" s="74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27"/>
      <c r="R237" s="627"/>
      <c r="S237" s="627"/>
      <c r="T237" s="628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7"/>
        <v>0</v>
      </c>
      <c r="Z237" s="41" t="str">
        <f>IFERROR(IF(Y237=0,"",ROUNDUP(Y237/H237,0)*0.01898),"")</f>
        <v/>
      </c>
      <c r="AA237" s="68" t="s">
        <v>45</v>
      </c>
      <c r="AB237" s="69" t="s">
        <v>45</v>
      </c>
      <c r="AC237" s="308" t="s">
        <v>402</v>
      </c>
      <c r="AG237" s="78"/>
      <c r="AJ237" s="84" t="s">
        <v>45</v>
      </c>
      <c r="AK237" s="84">
        <v>0</v>
      </c>
      <c r="BB237" s="309" t="s">
        <v>66</v>
      </c>
      <c r="BM237" s="78">
        <f t="shared" si="28"/>
        <v>0</v>
      </c>
      <c r="BN237" s="78">
        <f t="shared" si="29"/>
        <v>0</v>
      </c>
      <c r="BO237" s="78">
        <f t="shared" si="30"/>
        <v>0</v>
      </c>
      <c r="BP237" s="78">
        <f t="shared" si="31"/>
        <v>0</v>
      </c>
    </row>
    <row r="238" spans="1:68" ht="27" customHeight="1" x14ac:dyDescent="0.25">
      <c r="A238" s="63" t="s">
        <v>403</v>
      </c>
      <c r="B238" s="63" t="s">
        <v>404</v>
      </c>
      <c r="C238" s="36">
        <v>4301011824</v>
      </c>
      <c r="D238" s="625">
        <v>4680115884144</v>
      </c>
      <c r="E238" s="625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122</v>
      </c>
      <c r="L238" s="37" t="s">
        <v>45</v>
      </c>
      <c r="M238" s="38" t="s">
        <v>118</v>
      </c>
      <c r="N238" s="38"/>
      <c r="O238" s="37">
        <v>55</v>
      </c>
      <c r="P238" s="74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27"/>
      <c r="R238" s="627"/>
      <c r="S238" s="627"/>
      <c r="T238" s="628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7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396</v>
      </c>
      <c r="AG238" s="78"/>
      <c r="AJ238" s="84" t="s">
        <v>45</v>
      </c>
      <c r="AK238" s="84">
        <v>0</v>
      </c>
      <c r="BB238" s="311" t="s">
        <v>66</v>
      </c>
      <c r="BM238" s="78">
        <f t="shared" si="28"/>
        <v>0</v>
      </c>
      <c r="BN238" s="78">
        <f t="shared" si="29"/>
        <v>0</v>
      </c>
      <c r="BO238" s="78">
        <f t="shared" si="30"/>
        <v>0</v>
      </c>
      <c r="BP238" s="78">
        <f t="shared" si="31"/>
        <v>0</v>
      </c>
    </row>
    <row r="239" spans="1:68" ht="27" customHeight="1" x14ac:dyDescent="0.25">
      <c r="A239" s="63" t="s">
        <v>405</v>
      </c>
      <c r="B239" s="63" t="s">
        <v>406</v>
      </c>
      <c r="C239" s="36">
        <v>4301012149</v>
      </c>
      <c r="D239" s="625">
        <v>4680115886551</v>
      </c>
      <c r="E239" s="625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122</v>
      </c>
      <c r="L239" s="37" t="s">
        <v>45</v>
      </c>
      <c r="M239" s="38" t="s">
        <v>118</v>
      </c>
      <c r="N239" s="38"/>
      <c r="O239" s="37">
        <v>55</v>
      </c>
      <c r="P239" s="74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627"/>
      <c r="R239" s="627"/>
      <c r="S239" s="627"/>
      <c r="T239" s="628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7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407</v>
      </c>
      <c r="AG239" s="78"/>
      <c r="AJ239" s="84" t="s">
        <v>45</v>
      </c>
      <c r="AK239" s="84">
        <v>0</v>
      </c>
      <c r="BB239" s="313" t="s">
        <v>66</v>
      </c>
      <c r="BM239" s="78">
        <f t="shared" si="28"/>
        <v>0</v>
      </c>
      <c r="BN239" s="78">
        <f t="shared" si="29"/>
        <v>0</v>
      </c>
      <c r="BO239" s="78">
        <f t="shared" si="30"/>
        <v>0</v>
      </c>
      <c r="BP239" s="78">
        <f t="shared" si="31"/>
        <v>0</v>
      </c>
    </row>
    <row r="240" spans="1:68" ht="27" customHeight="1" x14ac:dyDescent="0.25">
      <c r="A240" s="63" t="s">
        <v>408</v>
      </c>
      <c r="B240" s="63" t="s">
        <v>409</v>
      </c>
      <c r="C240" s="36">
        <v>4301012228</v>
      </c>
      <c r="D240" s="625">
        <v>4680115887282</v>
      </c>
      <c r="E240" s="625"/>
      <c r="F240" s="62">
        <v>0.4</v>
      </c>
      <c r="G240" s="37">
        <v>6</v>
      </c>
      <c r="H240" s="62">
        <v>2.4</v>
      </c>
      <c r="I240" s="62">
        <v>2.58</v>
      </c>
      <c r="J240" s="37">
        <v>182</v>
      </c>
      <c r="K240" s="37" t="s">
        <v>81</v>
      </c>
      <c r="L240" s="37" t="s">
        <v>45</v>
      </c>
      <c r="M240" s="38" t="s">
        <v>118</v>
      </c>
      <c r="N240" s="38"/>
      <c r="O240" s="37">
        <v>55</v>
      </c>
      <c r="P240" s="74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627"/>
      <c r="R240" s="627"/>
      <c r="S240" s="627"/>
      <c r="T240" s="628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7"/>
        <v>0</v>
      </c>
      <c r="Z240" s="41" t="str">
        <f>IFERROR(IF(Y240=0,"",ROUNDUP(Y240/H240,0)*0.00651),"")</f>
        <v/>
      </c>
      <c r="AA240" s="68" t="s">
        <v>45</v>
      </c>
      <c r="AB240" s="69" t="s">
        <v>45</v>
      </c>
      <c r="AC240" s="314" t="s">
        <v>410</v>
      </c>
      <c r="AG240" s="78"/>
      <c r="AJ240" s="84" t="s">
        <v>45</v>
      </c>
      <c r="AK240" s="84">
        <v>0</v>
      </c>
      <c r="BB240" s="315" t="s">
        <v>66</v>
      </c>
      <c r="BM240" s="78">
        <f t="shared" si="28"/>
        <v>0</v>
      </c>
      <c r="BN240" s="78">
        <f t="shared" si="29"/>
        <v>0</v>
      </c>
      <c r="BO240" s="78">
        <f t="shared" si="30"/>
        <v>0</v>
      </c>
      <c r="BP240" s="78">
        <f t="shared" si="31"/>
        <v>0</v>
      </c>
    </row>
    <row r="241" spans="1:68" ht="27" customHeight="1" x14ac:dyDescent="0.25">
      <c r="A241" s="63" t="s">
        <v>411</v>
      </c>
      <c r="B241" s="63" t="s">
        <v>412</v>
      </c>
      <c r="C241" s="36">
        <v>4301011722</v>
      </c>
      <c r="D241" s="625">
        <v>4680115884205</v>
      </c>
      <c r="E241" s="625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122</v>
      </c>
      <c r="L241" s="37" t="s">
        <v>45</v>
      </c>
      <c r="M241" s="38" t="s">
        <v>118</v>
      </c>
      <c r="N241" s="38"/>
      <c r="O241" s="37">
        <v>55</v>
      </c>
      <c r="P241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627"/>
      <c r="R241" s="627"/>
      <c r="S241" s="627"/>
      <c r="T241" s="628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7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402</v>
      </c>
      <c r="AG241" s="78"/>
      <c r="AJ241" s="84" t="s">
        <v>45</v>
      </c>
      <c r="AK241" s="84">
        <v>0</v>
      </c>
      <c r="BB241" s="317" t="s">
        <v>66</v>
      </c>
      <c r="BM241" s="78">
        <f t="shared" si="28"/>
        <v>0</v>
      </c>
      <c r="BN241" s="78">
        <f t="shared" si="29"/>
        <v>0</v>
      </c>
      <c r="BO241" s="78">
        <f t="shared" si="30"/>
        <v>0</v>
      </c>
      <c r="BP241" s="78">
        <f t="shared" si="31"/>
        <v>0</v>
      </c>
    </row>
    <row r="242" spans="1:68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0" t="s">
        <v>40</v>
      </c>
      <c r="Q242" s="631"/>
      <c r="R242" s="631"/>
      <c r="S242" s="631"/>
      <c r="T242" s="631"/>
      <c r="U242" s="631"/>
      <c r="V242" s="632"/>
      <c r="W242" s="42" t="s">
        <v>39</v>
      </c>
      <c r="X242" s="43">
        <f>IFERROR(X235/H235,"0")+IFERROR(X236/H236,"0")+IFERROR(X237/H237,"0")+IFERROR(X238/H238,"0")+IFERROR(X239/H239,"0")+IFERROR(X240/H240,"0")+IFERROR(X241/H241,"0")</f>
        <v>0</v>
      </c>
      <c r="Y242" s="43">
        <f>IFERROR(Y235/H235,"0")+IFERROR(Y236/H236,"0")+IFERROR(Y237/H237,"0")+IFERROR(Y238/H238,"0")+IFERROR(Y239/H239,"0")+IFERROR(Y240/H240,"0")+IFERROR(Y241/H241,"0")</f>
        <v>0</v>
      </c>
      <c r="Z242" s="43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x14ac:dyDescent="0.2">
      <c r="A243" s="633"/>
      <c r="B243" s="633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4"/>
      <c r="P243" s="630" t="s">
        <v>40</v>
      </c>
      <c r="Q243" s="631"/>
      <c r="R243" s="631"/>
      <c r="S243" s="631"/>
      <c r="T243" s="631"/>
      <c r="U243" s="631"/>
      <c r="V243" s="632"/>
      <c r="W243" s="42" t="s">
        <v>0</v>
      </c>
      <c r="X243" s="43">
        <f>IFERROR(SUM(X235:X241),"0")</f>
        <v>0</v>
      </c>
      <c r="Y243" s="43">
        <f>IFERROR(SUM(Y235:Y241),"0")</f>
        <v>0</v>
      </c>
      <c r="Z243" s="42"/>
      <c r="AA243" s="67"/>
      <c r="AB243" s="67"/>
      <c r="AC243" s="67"/>
    </row>
    <row r="244" spans="1:68" ht="14.25" customHeight="1" x14ac:dyDescent="0.25">
      <c r="A244" s="624" t="s">
        <v>147</v>
      </c>
      <c r="B244" s="624"/>
      <c r="C244" s="624"/>
      <c r="D244" s="624"/>
      <c r="E244" s="624"/>
      <c r="F244" s="624"/>
      <c r="G244" s="624"/>
      <c r="H244" s="624"/>
      <c r="I244" s="624"/>
      <c r="J244" s="624"/>
      <c r="K244" s="624"/>
      <c r="L244" s="624"/>
      <c r="M244" s="624"/>
      <c r="N244" s="624"/>
      <c r="O244" s="624"/>
      <c r="P244" s="624"/>
      <c r="Q244" s="624"/>
      <c r="R244" s="624"/>
      <c r="S244" s="624"/>
      <c r="T244" s="624"/>
      <c r="U244" s="624"/>
      <c r="V244" s="624"/>
      <c r="W244" s="624"/>
      <c r="X244" s="624"/>
      <c r="Y244" s="624"/>
      <c r="Z244" s="624"/>
      <c r="AA244" s="66"/>
      <c r="AB244" s="66"/>
      <c r="AC244" s="80"/>
    </row>
    <row r="245" spans="1:68" ht="27" customHeight="1" x14ac:dyDescent="0.25">
      <c r="A245" s="63" t="s">
        <v>413</v>
      </c>
      <c r="B245" s="63" t="s">
        <v>414</v>
      </c>
      <c r="C245" s="36">
        <v>4301020377</v>
      </c>
      <c r="D245" s="625">
        <v>4680115885981</v>
      </c>
      <c r="E245" s="625"/>
      <c r="F245" s="62">
        <v>0.33</v>
      </c>
      <c r="G245" s="37">
        <v>6</v>
      </c>
      <c r="H245" s="62">
        <v>1.98</v>
      </c>
      <c r="I245" s="62">
        <v>2.08</v>
      </c>
      <c r="J245" s="37">
        <v>234</v>
      </c>
      <c r="K245" s="37" t="s">
        <v>85</v>
      </c>
      <c r="L245" s="37" t="s">
        <v>45</v>
      </c>
      <c r="M245" s="38" t="s">
        <v>90</v>
      </c>
      <c r="N245" s="38"/>
      <c r="O245" s="37">
        <v>50</v>
      </c>
      <c r="P245" s="74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627"/>
      <c r="R245" s="627"/>
      <c r="S245" s="627"/>
      <c r="T245" s="628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IFERROR(IF(Y245=0,"",ROUNDUP(Y245/H245,0)*0.00502),"")</f>
        <v/>
      </c>
      <c r="AA245" s="68" t="s">
        <v>45</v>
      </c>
      <c r="AB245" s="69" t="s">
        <v>45</v>
      </c>
      <c r="AC245" s="318" t="s">
        <v>415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0" t="s">
        <v>40</v>
      </c>
      <c r="Q246" s="631"/>
      <c r="R246" s="631"/>
      <c r="S246" s="631"/>
      <c r="T246" s="631"/>
      <c r="U246" s="631"/>
      <c r="V246" s="632"/>
      <c r="W246" s="42" t="s">
        <v>39</v>
      </c>
      <c r="X246" s="43">
        <f>IFERROR(X245/H245,"0")</f>
        <v>0</v>
      </c>
      <c r="Y246" s="43">
        <f>IFERROR(Y245/H245,"0")</f>
        <v>0</v>
      </c>
      <c r="Z246" s="43">
        <f>IFERROR(IF(Z245="",0,Z245),"0")</f>
        <v>0</v>
      </c>
      <c r="AA246" s="67"/>
      <c r="AB246" s="67"/>
      <c r="AC246" s="67"/>
    </row>
    <row r="247" spans="1:68" x14ac:dyDescent="0.2">
      <c r="A247" s="633"/>
      <c r="B247" s="633"/>
      <c r="C247" s="633"/>
      <c r="D247" s="633"/>
      <c r="E247" s="633"/>
      <c r="F247" s="633"/>
      <c r="G247" s="633"/>
      <c r="H247" s="633"/>
      <c r="I247" s="633"/>
      <c r="J247" s="633"/>
      <c r="K247" s="633"/>
      <c r="L247" s="633"/>
      <c r="M247" s="633"/>
      <c r="N247" s="633"/>
      <c r="O247" s="634"/>
      <c r="P247" s="630" t="s">
        <v>40</v>
      </c>
      <c r="Q247" s="631"/>
      <c r="R247" s="631"/>
      <c r="S247" s="631"/>
      <c r="T247" s="631"/>
      <c r="U247" s="631"/>
      <c r="V247" s="632"/>
      <c r="W247" s="42" t="s">
        <v>0</v>
      </c>
      <c r="X247" s="43">
        <f>IFERROR(SUM(X245:X245),"0")</f>
        <v>0</v>
      </c>
      <c r="Y247" s="43">
        <f>IFERROR(SUM(Y245:Y245),"0")</f>
        <v>0</v>
      </c>
      <c r="Z247" s="42"/>
      <c r="AA247" s="67"/>
      <c r="AB247" s="67"/>
      <c r="AC247" s="67"/>
    </row>
    <row r="248" spans="1:68" ht="14.25" customHeight="1" x14ac:dyDescent="0.25">
      <c r="A248" s="624" t="s">
        <v>416</v>
      </c>
      <c r="B248" s="624"/>
      <c r="C248" s="624"/>
      <c r="D248" s="624"/>
      <c r="E248" s="624"/>
      <c r="F248" s="624"/>
      <c r="G248" s="624"/>
      <c r="H248" s="624"/>
      <c r="I248" s="624"/>
      <c r="J248" s="624"/>
      <c r="K248" s="624"/>
      <c r="L248" s="624"/>
      <c r="M248" s="624"/>
      <c r="N248" s="624"/>
      <c r="O248" s="624"/>
      <c r="P248" s="624"/>
      <c r="Q248" s="624"/>
      <c r="R248" s="624"/>
      <c r="S248" s="624"/>
      <c r="T248" s="624"/>
      <c r="U248" s="624"/>
      <c r="V248" s="624"/>
      <c r="W248" s="624"/>
      <c r="X248" s="624"/>
      <c r="Y248" s="624"/>
      <c r="Z248" s="624"/>
      <c r="AA248" s="66"/>
      <c r="AB248" s="66"/>
      <c r="AC248" s="80"/>
    </row>
    <row r="249" spans="1:68" ht="27" customHeight="1" x14ac:dyDescent="0.25">
      <c r="A249" s="63" t="s">
        <v>417</v>
      </c>
      <c r="B249" s="63" t="s">
        <v>418</v>
      </c>
      <c r="C249" s="36">
        <v>4301040362</v>
      </c>
      <c r="D249" s="625">
        <v>4680115886803</v>
      </c>
      <c r="E249" s="625"/>
      <c r="F249" s="62">
        <v>0.12</v>
      </c>
      <c r="G249" s="37">
        <v>15</v>
      </c>
      <c r="H249" s="62">
        <v>1.8</v>
      </c>
      <c r="I249" s="62">
        <v>1.9750000000000001</v>
      </c>
      <c r="J249" s="37">
        <v>216</v>
      </c>
      <c r="K249" s="37" t="s">
        <v>325</v>
      </c>
      <c r="L249" s="37" t="s">
        <v>45</v>
      </c>
      <c r="M249" s="38" t="s">
        <v>302</v>
      </c>
      <c r="N249" s="38"/>
      <c r="O249" s="37">
        <v>45</v>
      </c>
      <c r="P249" s="75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627"/>
      <c r="R249" s="627"/>
      <c r="S249" s="627"/>
      <c r="T249" s="628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20" t="s">
        <v>419</v>
      </c>
      <c r="AG249" s="78"/>
      <c r="AJ249" s="84" t="s">
        <v>45</v>
      </c>
      <c r="AK249" s="84">
        <v>0</v>
      </c>
      <c r="BB249" s="321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33"/>
      <c r="B250" s="633"/>
      <c r="C250" s="633"/>
      <c r="D250" s="633"/>
      <c r="E250" s="633"/>
      <c r="F250" s="633"/>
      <c r="G250" s="633"/>
      <c r="H250" s="633"/>
      <c r="I250" s="633"/>
      <c r="J250" s="633"/>
      <c r="K250" s="633"/>
      <c r="L250" s="633"/>
      <c r="M250" s="633"/>
      <c r="N250" s="633"/>
      <c r="O250" s="634"/>
      <c r="P250" s="630" t="s">
        <v>40</v>
      </c>
      <c r="Q250" s="631"/>
      <c r="R250" s="631"/>
      <c r="S250" s="631"/>
      <c r="T250" s="631"/>
      <c r="U250" s="631"/>
      <c r="V250" s="632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">
      <c r="A251" s="633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0" t="s">
        <v>40</v>
      </c>
      <c r="Q251" s="631"/>
      <c r="R251" s="631"/>
      <c r="S251" s="631"/>
      <c r="T251" s="631"/>
      <c r="U251" s="631"/>
      <c r="V251" s="632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4.25" customHeight="1" x14ac:dyDescent="0.25">
      <c r="A252" s="624" t="s">
        <v>420</v>
      </c>
      <c r="B252" s="624"/>
      <c r="C252" s="624"/>
      <c r="D252" s="624"/>
      <c r="E252" s="624"/>
      <c r="F252" s="624"/>
      <c r="G252" s="624"/>
      <c r="H252" s="624"/>
      <c r="I252" s="624"/>
      <c r="J252" s="624"/>
      <c r="K252" s="624"/>
      <c r="L252" s="624"/>
      <c r="M252" s="624"/>
      <c r="N252" s="624"/>
      <c r="O252" s="624"/>
      <c r="P252" s="624"/>
      <c r="Q252" s="624"/>
      <c r="R252" s="624"/>
      <c r="S252" s="624"/>
      <c r="T252" s="624"/>
      <c r="U252" s="624"/>
      <c r="V252" s="624"/>
      <c r="W252" s="624"/>
      <c r="X252" s="624"/>
      <c r="Y252" s="624"/>
      <c r="Z252" s="624"/>
      <c r="AA252" s="66"/>
      <c r="AB252" s="66"/>
      <c r="AC252" s="80"/>
    </row>
    <row r="253" spans="1:68" ht="27" customHeight="1" x14ac:dyDescent="0.25">
      <c r="A253" s="63" t="s">
        <v>421</v>
      </c>
      <c r="B253" s="63" t="s">
        <v>422</v>
      </c>
      <c r="C253" s="36">
        <v>4301041004</v>
      </c>
      <c r="D253" s="625">
        <v>4680115886704</v>
      </c>
      <c r="E253" s="625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325</v>
      </c>
      <c r="L253" s="37" t="s">
        <v>45</v>
      </c>
      <c r="M253" s="38" t="s">
        <v>302</v>
      </c>
      <c r="N253" s="38"/>
      <c r="O253" s="37">
        <v>90</v>
      </c>
      <c r="P253" s="75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627"/>
      <c r="R253" s="627"/>
      <c r="S253" s="627"/>
      <c r="T253" s="628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423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424</v>
      </c>
      <c r="B254" s="63" t="s">
        <v>425</v>
      </c>
      <c r="C254" s="36">
        <v>4301041008</v>
      </c>
      <c r="D254" s="625">
        <v>4680115886681</v>
      </c>
      <c r="E254" s="625"/>
      <c r="F254" s="62">
        <v>0.12</v>
      </c>
      <c r="G254" s="37">
        <v>15</v>
      </c>
      <c r="H254" s="62">
        <v>1.8</v>
      </c>
      <c r="I254" s="62">
        <v>1.9750000000000001</v>
      </c>
      <c r="J254" s="37">
        <v>216</v>
      </c>
      <c r="K254" s="37" t="s">
        <v>325</v>
      </c>
      <c r="L254" s="37" t="s">
        <v>45</v>
      </c>
      <c r="M254" s="38" t="s">
        <v>302</v>
      </c>
      <c r="N254" s="38"/>
      <c r="O254" s="37">
        <v>90</v>
      </c>
      <c r="P254" s="75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627"/>
      <c r="R254" s="627"/>
      <c r="S254" s="627"/>
      <c r="T254" s="628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423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426</v>
      </c>
      <c r="B255" s="63" t="s">
        <v>427</v>
      </c>
      <c r="C255" s="36">
        <v>4301041007</v>
      </c>
      <c r="D255" s="625">
        <v>4680115886735</v>
      </c>
      <c r="E255" s="625"/>
      <c r="F255" s="62">
        <v>0.05</v>
      </c>
      <c r="G255" s="37">
        <v>18</v>
      </c>
      <c r="H255" s="62">
        <v>0.9</v>
      </c>
      <c r="I255" s="62">
        <v>1.0900000000000001</v>
      </c>
      <c r="J255" s="37">
        <v>216</v>
      </c>
      <c r="K255" s="37" t="s">
        <v>325</v>
      </c>
      <c r="L255" s="37" t="s">
        <v>45</v>
      </c>
      <c r="M255" s="38" t="s">
        <v>302</v>
      </c>
      <c r="N255" s="38"/>
      <c r="O255" s="37">
        <v>90</v>
      </c>
      <c r="P255" s="75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627"/>
      <c r="R255" s="627"/>
      <c r="S255" s="627"/>
      <c r="T255" s="628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423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428</v>
      </c>
      <c r="B256" s="63" t="s">
        <v>429</v>
      </c>
      <c r="C256" s="36">
        <v>4301041006</v>
      </c>
      <c r="D256" s="625">
        <v>4680115886728</v>
      </c>
      <c r="E256" s="625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325</v>
      </c>
      <c r="L256" s="37" t="s">
        <v>45</v>
      </c>
      <c r="M256" s="38" t="s">
        <v>302</v>
      </c>
      <c r="N256" s="38"/>
      <c r="O256" s="37">
        <v>90</v>
      </c>
      <c r="P256" s="75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627"/>
      <c r="R256" s="627"/>
      <c r="S256" s="627"/>
      <c r="T256" s="628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423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430</v>
      </c>
      <c r="B257" s="63" t="s">
        <v>431</v>
      </c>
      <c r="C257" s="36">
        <v>4301041005</v>
      </c>
      <c r="D257" s="625">
        <v>4680115886711</v>
      </c>
      <c r="E257" s="625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325</v>
      </c>
      <c r="L257" s="37" t="s">
        <v>45</v>
      </c>
      <c r="M257" s="38" t="s">
        <v>302</v>
      </c>
      <c r="N257" s="38"/>
      <c r="O257" s="37">
        <v>90</v>
      </c>
      <c r="P257" s="75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627"/>
      <c r="R257" s="627"/>
      <c r="S257" s="627"/>
      <c r="T257" s="628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423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633"/>
      <c r="B258" s="633"/>
      <c r="C258" s="633"/>
      <c r="D258" s="633"/>
      <c r="E258" s="633"/>
      <c r="F258" s="633"/>
      <c r="G258" s="633"/>
      <c r="H258" s="633"/>
      <c r="I258" s="633"/>
      <c r="J258" s="633"/>
      <c r="K258" s="633"/>
      <c r="L258" s="633"/>
      <c r="M258" s="633"/>
      <c r="N258" s="633"/>
      <c r="O258" s="634"/>
      <c r="P258" s="630" t="s">
        <v>40</v>
      </c>
      <c r="Q258" s="631"/>
      <c r="R258" s="631"/>
      <c r="S258" s="631"/>
      <c r="T258" s="631"/>
      <c r="U258" s="631"/>
      <c r="V258" s="632"/>
      <c r="W258" s="42" t="s">
        <v>39</v>
      </c>
      <c r="X258" s="43">
        <f>IFERROR(X253/H253,"0")+IFERROR(X254/H254,"0")+IFERROR(X255/H255,"0")+IFERROR(X256/H256,"0")+IFERROR(X257/H257,"0")</f>
        <v>0</v>
      </c>
      <c r="Y258" s="43">
        <f>IFERROR(Y253/H253,"0")+IFERROR(Y254/H254,"0")+IFERROR(Y255/H255,"0")+IFERROR(Y256/H256,"0")+IFERROR(Y257/H257,"0")</f>
        <v>0</v>
      </c>
      <c r="Z258" s="43">
        <f>IFERROR(IF(Z253="",0,Z253),"0")+IFERROR(IF(Z254="",0,Z254),"0")+IFERROR(IF(Z255="",0,Z255),"0")+IFERROR(IF(Z256="",0,Z256),"0")+IFERROR(IF(Z257="",0,Z257),"0")</f>
        <v>0</v>
      </c>
      <c r="AA258" s="67"/>
      <c r="AB258" s="67"/>
      <c r="AC258" s="67"/>
    </row>
    <row r="259" spans="1:68" x14ac:dyDescent="0.2">
      <c r="A259" s="633"/>
      <c r="B259" s="633"/>
      <c r="C259" s="633"/>
      <c r="D259" s="633"/>
      <c r="E259" s="633"/>
      <c r="F259" s="633"/>
      <c r="G259" s="633"/>
      <c r="H259" s="633"/>
      <c r="I259" s="633"/>
      <c r="J259" s="633"/>
      <c r="K259" s="633"/>
      <c r="L259" s="633"/>
      <c r="M259" s="633"/>
      <c r="N259" s="633"/>
      <c r="O259" s="634"/>
      <c r="P259" s="630" t="s">
        <v>40</v>
      </c>
      <c r="Q259" s="631"/>
      <c r="R259" s="631"/>
      <c r="S259" s="631"/>
      <c r="T259" s="631"/>
      <c r="U259" s="631"/>
      <c r="V259" s="632"/>
      <c r="W259" s="42" t="s">
        <v>0</v>
      </c>
      <c r="X259" s="43">
        <f>IFERROR(SUM(X253:X257),"0")</f>
        <v>0</v>
      </c>
      <c r="Y259" s="43">
        <f>IFERROR(SUM(Y253:Y257),"0")</f>
        <v>0</v>
      </c>
      <c r="Z259" s="42"/>
      <c r="AA259" s="67"/>
      <c r="AB259" s="67"/>
      <c r="AC259" s="67"/>
    </row>
    <row r="260" spans="1:68" ht="16.5" customHeight="1" x14ac:dyDescent="0.25">
      <c r="A260" s="623" t="s">
        <v>432</v>
      </c>
      <c r="B260" s="623"/>
      <c r="C260" s="623"/>
      <c r="D260" s="623"/>
      <c r="E260" s="623"/>
      <c r="F260" s="623"/>
      <c r="G260" s="623"/>
      <c r="H260" s="623"/>
      <c r="I260" s="623"/>
      <c r="J260" s="623"/>
      <c r="K260" s="623"/>
      <c r="L260" s="623"/>
      <c r="M260" s="623"/>
      <c r="N260" s="623"/>
      <c r="O260" s="623"/>
      <c r="P260" s="623"/>
      <c r="Q260" s="623"/>
      <c r="R260" s="623"/>
      <c r="S260" s="623"/>
      <c r="T260" s="623"/>
      <c r="U260" s="623"/>
      <c r="V260" s="623"/>
      <c r="W260" s="623"/>
      <c r="X260" s="623"/>
      <c r="Y260" s="623"/>
      <c r="Z260" s="623"/>
      <c r="AA260" s="65"/>
      <c r="AB260" s="65"/>
      <c r="AC260" s="79"/>
    </row>
    <row r="261" spans="1:68" ht="14.25" customHeight="1" x14ac:dyDescent="0.25">
      <c r="A261" s="624" t="s">
        <v>114</v>
      </c>
      <c r="B261" s="624"/>
      <c r="C261" s="624"/>
      <c r="D261" s="624"/>
      <c r="E261" s="624"/>
      <c r="F261" s="624"/>
      <c r="G261" s="624"/>
      <c r="H261" s="624"/>
      <c r="I261" s="624"/>
      <c r="J261" s="624"/>
      <c r="K261" s="624"/>
      <c r="L261" s="624"/>
      <c r="M261" s="624"/>
      <c r="N261" s="624"/>
      <c r="O261" s="624"/>
      <c r="P261" s="624"/>
      <c r="Q261" s="624"/>
      <c r="R261" s="624"/>
      <c r="S261" s="624"/>
      <c r="T261" s="624"/>
      <c r="U261" s="624"/>
      <c r="V261" s="624"/>
      <c r="W261" s="624"/>
      <c r="X261" s="624"/>
      <c r="Y261" s="624"/>
      <c r="Z261" s="624"/>
      <c r="AA261" s="66"/>
      <c r="AB261" s="66"/>
      <c r="AC261" s="80"/>
    </row>
    <row r="262" spans="1:68" ht="27" customHeight="1" x14ac:dyDescent="0.25">
      <c r="A262" s="63" t="s">
        <v>433</v>
      </c>
      <c r="B262" s="63" t="s">
        <v>434</v>
      </c>
      <c r="C262" s="36">
        <v>4301011855</v>
      </c>
      <c r="D262" s="625">
        <v>4680115885837</v>
      </c>
      <c r="E262" s="62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119</v>
      </c>
      <c r="L262" s="37" t="s">
        <v>45</v>
      </c>
      <c r="M262" s="38" t="s">
        <v>118</v>
      </c>
      <c r="N262" s="38"/>
      <c r="O262" s="37">
        <v>55</v>
      </c>
      <c r="P262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27"/>
      <c r="R262" s="627"/>
      <c r="S262" s="627"/>
      <c r="T262" s="628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435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customHeight="1" x14ac:dyDescent="0.25">
      <c r="A263" s="63" t="s">
        <v>436</v>
      </c>
      <c r="B263" s="63" t="s">
        <v>437</v>
      </c>
      <c r="C263" s="36">
        <v>4301011853</v>
      </c>
      <c r="D263" s="625">
        <v>4680115885851</v>
      </c>
      <c r="E263" s="625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119</v>
      </c>
      <c r="L263" s="37" t="s">
        <v>45</v>
      </c>
      <c r="M263" s="38" t="s">
        <v>118</v>
      </c>
      <c r="N263" s="38"/>
      <c r="O263" s="37">
        <v>55</v>
      </c>
      <c r="P263" s="75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627"/>
      <c r="R263" s="627"/>
      <c r="S263" s="627"/>
      <c r="T263" s="628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438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439</v>
      </c>
      <c r="B264" s="63" t="s">
        <v>440</v>
      </c>
      <c r="C264" s="36">
        <v>4301011850</v>
      </c>
      <c r="D264" s="625">
        <v>4680115885806</v>
      </c>
      <c r="E264" s="625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119</v>
      </c>
      <c r="L264" s="37" t="s">
        <v>45</v>
      </c>
      <c r="M264" s="38" t="s">
        <v>118</v>
      </c>
      <c r="N264" s="38"/>
      <c r="O264" s="37">
        <v>55</v>
      </c>
      <c r="P264" s="7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27"/>
      <c r="R264" s="627"/>
      <c r="S264" s="627"/>
      <c r="T264" s="628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441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442</v>
      </c>
      <c r="B265" s="63" t="s">
        <v>443</v>
      </c>
      <c r="C265" s="36">
        <v>4301011852</v>
      </c>
      <c r="D265" s="625">
        <v>4680115885844</v>
      </c>
      <c r="E265" s="625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122</v>
      </c>
      <c r="L265" s="37" t="s">
        <v>45</v>
      </c>
      <c r="M265" s="38" t="s">
        <v>118</v>
      </c>
      <c r="N265" s="38"/>
      <c r="O265" s="37">
        <v>55</v>
      </c>
      <c r="P265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627"/>
      <c r="R265" s="627"/>
      <c r="S265" s="627"/>
      <c r="T265" s="628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444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445</v>
      </c>
      <c r="B266" s="63" t="s">
        <v>446</v>
      </c>
      <c r="C266" s="36">
        <v>4301011851</v>
      </c>
      <c r="D266" s="625">
        <v>4680115885820</v>
      </c>
      <c r="E266" s="625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122</v>
      </c>
      <c r="L266" s="37" t="s">
        <v>45</v>
      </c>
      <c r="M266" s="38" t="s">
        <v>118</v>
      </c>
      <c r="N266" s="38"/>
      <c r="O266" s="37">
        <v>55</v>
      </c>
      <c r="P266" s="7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627"/>
      <c r="R266" s="627"/>
      <c r="S266" s="627"/>
      <c r="T266" s="628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447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633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0" t="s">
        <v>40</v>
      </c>
      <c r="Q267" s="631"/>
      <c r="R267" s="631"/>
      <c r="S267" s="631"/>
      <c r="T267" s="631"/>
      <c r="U267" s="631"/>
      <c r="V267" s="632"/>
      <c r="W267" s="42" t="s">
        <v>39</v>
      </c>
      <c r="X267" s="43">
        <f>IFERROR(X262/H262,"0")+IFERROR(X263/H263,"0")+IFERROR(X264/H264,"0")+IFERROR(X265/H265,"0")+IFERROR(X266/H266,"0")</f>
        <v>0</v>
      </c>
      <c r="Y267" s="43">
        <f>IFERROR(Y262/H262,"0")+IFERROR(Y263/H263,"0")+IFERROR(Y264/H264,"0")+IFERROR(Y265/H265,"0")+IFERROR(Y266/H266,"0")</f>
        <v>0</v>
      </c>
      <c r="Z267" s="43">
        <f>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0" t="s">
        <v>40</v>
      </c>
      <c r="Q268" s="631"/>
      <c r="R268" s="631"/>
      <c r="S268" s="631"/>
      <c r="T268" s="631"/>
      <c r="U268" s="631"/>
      <c r="V268" s="632"/>
      <c r="W268" s="42" t="s">
        <v>0</v>
      </c>
      <c r="X268" s="43">
        <f>IFERROR(SUM(X262:X266),"0")</f>
        <v>0</v>
      </c>
      <c r="Y268" s="43">
        <f>IFERROR(SUM(Y262:Y266),"0")</f>
        <v>0</v>
      </c>
      <c r="Z268" s="42"/>
      <c r="AA268" s="67"/>
      <c r="AB268" s="67"/>
      <c r="AC268" s="67"/>
    </row>
    <row r="269" spans="1:68" ht="16.5" customHeight="1" x14ac:dyDescent="0.25">
      <c r="A269" s="623" t="s">
        <v>448</v>
      </c>
      <c r="B269" s="623"/>
      <c r="C269" s="623"/>
      <c r="D269" s="623"/>
      <c r="E269" s="623"/>
      <c r="F269" s="623"/>
      <c r="G269" s="623"/>
      <c r="H269" s="623"/>
      <c r="I269" s="623"/>
      <c r="J269" s="623"/>
      <c r="K269" s="623"/>
      <c r="L269" s="623"/>
      <c r="M269" s="623"/>
      <c r="N269" s="623"/>
      <c r="O269" s="623"/>
      <c r="P269" s="623"/>
      <c r="Q269" s="623"/>
      <c r="R269" s="623"/>
      <c r="S269" s="623"/>
      <c r="T269" s="623"/>
      <c r="U269" s="623"/>
      <c r="V269" s="623"/>
      <c r="W269" s="623"/>
      <c r="X269" s="623"/>
      <c r="Y269" s="623"/>
      <c r="Z269" s="623"/>
      <c r="AA269" s="65"/>
      <c r="AB269" s="65"/>
      <c r="AC269" s="79"/>
    </row>
    <row r="270" spans="1:68" ht="14.25" customHeight="1" x14ac:dyDescent="0.25">
      <c r="A270" s="624" t="s">
        <v>114</v>
      </c>
      <c r="B270" s="624"/>
      <c r="C270" s="624"/>
      <c r="D270" s="624"/>
      <c r="E270" s="624"/>
      <c r="F270" s="624"/>
      <c r="G270" s="624"/>
      <c r="H270" s="624"/>
      <c r="I270" s="624"/>
      <c r="J270" s="624"/>
      <c r="K270" s="624"/>
      <c r="L270" s="624"/>
      <c r="M270" s="624"/>
      <c r="N270" s="624"/>
      <c r="O270" s="624"/>
      <c r="P270" s="624"/>
      <c r="Q270" s="624"/>
      <c r="R270" s="624"/>
      <c r="S270" s="624"/>
      <c r="T270" s="624"/>
      <c r="U270" s="624"/>
      <c r="V270" s="624"/>
      <c r="W270" s="624"/>
      <c r="X270" s="624"/>
      <c r="Y270" s="624"/>
      <c r="Z270" s="624"/>
      <c r="AA270" s="66"/>
      <c r="AB270" s="66"/>
      <c r="AC270" s="80"/>
    </row>
    <row r="271" spans="1:68" ht="27" customHeight="1" x14ac:dyDescent="0.25">
      <c r="A271" s="63" t="s">
        <v>449</v>
      </c>
      <c r="B271" s="63" t="s">
        <v>450</v>
      </c>
      <c r="C271" s="36">
        <v>4301011223</v>
      </c>
      <c r="D271" s="625">
        <v>4607091383423</v>
      </c>
      <c r="E271" s="625"/>
      <c r="F271" s="62">
        <v>1.35</v>
      </c>
      <c r="G271" s="37">
        <v>8</v>
      </c>
      <c r="H271" s="62">
        <v>10.8</v>
      </c>
      <c r="I271" s="62">
        <v>11.305999999999999</v>
      </c>
      <c r="J271" s="37">
        <v>64</v>
      </c>
      <c r="K271" s="37" t="s">
        <v>119</v>
      </c>
      <c r="L271" s="37" t="s">
        <v>45</v>
      </c>
      <c r="M271" s="38" t="s">
        <v>90</v>
      </c>
      <c r="N271" s="38"/>
      <c r="O271" s="37">
        <v>35</v>
      </c>
      <c r="P271" s="76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627"/>
      <c r="R271" s="627"/>
      <c r="S271" s="627"/>
      <c r="T271" s="628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117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customHeight="1" x14ac:dyDescent="0.25">
      <c r="A272" s="63" t="s">
        <v>451</v>
      </c>
      <c r="B272" s="63" t="s">
        <v>452</v>
      </c>
      <c r="C272" s="36">
        <v>4301012199</v>
      </c>
      <c r="D272" s="625">
        <v>4680115886957</v>
      </c>
      <c r="E272" s="625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119</v>
      </c>
      <c r="L272" s="37" t="s">
        <v>45</v>
      </c>
      <c r="M272" s="38" t="s">
        <v>90</v>
      </c>
      <c r="N272" s="38"/>
      <c r="O272" s="37">
        <v>30</v>
      </c>
      <c r="P272" s="76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627"/>
      <c r="R272" s="627"/>
      <c r="S272" s="627"/>
      <c r="T272" s="628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453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454</v>
      </c>
      <c r="B273" s="63" t="s">
        <v>455</v>
      </c>
      <c r="C273" s="36">
        <v>4301012098</v>
      </c>
      <c r="D273" s="625">
        <v>4680115885660</v>
      </c>
      <c r="E273" s="625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119</v>
      </c>
      <c r="L273" s="37" t="s">
        <v>45</v>
      </c>
      <c r="M273" s="38" t="s">
        <v>90</v>
      </c>
      <c r="N273" s="38"/>
      <c r="O273" s="37">
        <v>35</v>
      </c>
      <c r="P273" s="76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627"/>
      <c r="R273" s="627"/>
      <c r="S273" s="627"/>
      <c r="T273" s="628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402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customHeight="1" x14ac:dyDescent="0.25">
      <c r="A274" s="63" t="s">
        <v>456</v>
      </c>
      <c r="B274" s="63" t="s">
        <v>457</v>
      </c>
      <c r="C274" s="36">
        <v>4301012176</v>
      </c>
      <c r="D274" s="625">
        <v>4680115886773</v>
      </c>
      <c r="E274" s="625"/>
      <c r="F274" s="62">
        <v>0.9</v>
      </c>
      <c r="G274" s="37">
        <v>10</v>
      </c>
      <c r="H274" s="62">
        <v>9</v>
      </c>
      <c r="I274" s="62">
        <v>9.41</v>
      </c>
      <c r="J274" s="37">
        <v>64</v>
      </c>
      <c r="K274" s="37" t="s">
        <v>119</v>
      </c>
      <c r="L274" s="37" t="s">
        <v>45</v>
      </c>
      <c r="M274" s="38" t="s">
        <v>118</v>
      </c>
      <c r="N274" s="38"/>
      <c r="O274" s="37">
        <v>31</v>
      </c>
      <c r="P274" s="76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627"/>
      <c r="R274" s="627"/>
      <c r="S274" s="627"/>
      <c r="T274" s="628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458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633"/>
      <c r="B275" s="633"/>
      <c r="C275" s="633"/>
      <c r="D275" s="633"/>
      <c r="E275" s="633"/>
      <c r="F275" s="633"/>
      <c r="G275" s="633"/>
      <c r="H275" s="633"/>
      <c r="I275" s="633"/>
      <c r="J275" s="633"/>
      <c r="K275" s="633"/>
      <c r="L275" s="633"/>
      <c r="M275" s="633"/>
      <c r="N275" s="633"/>
      <c r="O275" s="634"/>
      <c r="P275" s="630" t="s">
        <v>40</v>
      </c>
      <c r="Q275" s="631"/>
      <c r="R275" s="631"/>
      <c r="S275" s="631"/>
      <c r="T275" s="631"/>
      <c r="U275" s="631"/>
      <c r="V275" s="632"/>
      <c r="W275" s="42" t="s">
        <v>39</v>
      </c>
      <c r="X275" s="43">
        <f>IFERROR(X271/H271,"0")+IFERROR(X272/H272,"0")+IFERROR(X273/H273,"0")+IFERROR(X274/H274,"0")</f>
        <v>0</v>
      </c>
      <c r="Y275" s="43">
        <f>IFERROR(Y271/H271,"0")+IFERROR(Y272/H272,"0")+IFERROR(Y273/H273,"0")+IFERROR(Y274/H274,"0")</f>
        <v>0</v>
      </c>
      <c r="Z275" s="43">
        <f>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633"/>
      <c r="B276" s="633"/>
      <c r="C276" s="633"/>
      <c r="D276" s="633"/>
      <c r="E276" s="633"/>
      <c r="F276" s="633"/>
      <c r="G276" s="633"/>
      <c r="H276" s="633"/>
      <c r="I276" s="633"/>
      <c r="J276" s="633"/>
      <c r="K276" s="633"/>
      <c r="L276" s="633"/>
      <c r="M276" s="633"/>
      <c r="N276" s="633"/>
      <c r="O276" s="634"/>
      <c r="P276" s="630" t="s">
        <v>40</v>
      </c>
      <c r="Q276" s="631"/>
      <c r="R276" s="631"/>
      <c r="S276" s="631"/>
      <c r="T276" s="631"/>
      <c r="U276" s="631"/>
      <c r="V276" s="632"/>
      <c r="W276" s="42" t="s">
        <v>0</v>
      </c>
      <c r="X276" s="43">
        <f>IFERROR(SUM(X271:X274),"0")</f>
        <v>0</v>
      </c>
      <c r="Y276" s="43">
        <f>IFERROR(SUM(Y271:Y274),"0")</f>
        <v>0</v>
      </c>
      <c r="Z276" s="42"/>
      <c r="AA276" s="67"/>
      <c r="AB276" s="67"/>
      <c r="AC276" s="67"/>
    </row>
    <row r="277" spans="1:68" ht="16.5" customHeight="1" x14ac:dyDescent="0.25">
      <c r="A277" s="623" t="s">
        <v>459</v>
      </c>
      <c r="B277" s="623"/>
      <c r="C277" s="623"/>
      <c r="D277" s="623"/>
      <c r="E277" s="623"/>
      <c r="F277" s="623"/>
      <c r="G277" s="623"/>
      <c r="H277" s="623"/>
      <c r="I277" s="623"/>
      <c r="J277" s="623"/>
      <c r="K277" s="623"/>
      <c r="L277" s="623"/>
      <c r="M277" s="623"/>
      <c r="N277" s="623"/>
      <c r="O277" s="623"/>
      <c r="P277" s="623"/>
      <c r="Q277" s="623"/>
      <c r="R277" s="623"/>
      <c r="S277" s="623"/>
      <c r="T277" s="623"/>
      <c r="U277" s="623"/>
      <c r="V277" s="623"/>
      <c r="W277" s="623"/>
      <c r="X277" s="623"/>
      <c r="Y277" s="623"/>
      <c r="Z277" s="623"/>
      <c r="AA277" s="65"/>
      <c r="AB277" s="65"/>
      <c r="AC277" s="79"/>
    </row>
    <row r="278" spans="1:68" ht="14.25" customHeight="1" x14ac:dyDescent="0.25">
      <c r="A278" s="624" t="s">
        <v>86</v>
      </c>
      <c r="B278" s="624"/>
      <c r="C278" s="624"/>
      <c r="D278" s="624"/>
      <c r="E278" s="624"/>
      <c r="F278" s="624"/>
      <c r="G278" s="624"/>
      <c r="H278" s="624"/>
      <c r="I278" s="624"/>
      <c r="J278" s="624"/>
      <c r="K278" s="624"/>
      <c r="L278" s="624"/>
      <c r="M278" s="624"/>
      <c r="N278" s="624"/>
      <c r="O278" s="624"/>
      <c r="P278" s="624"/>
      <c r="Q278" s="624"/>
      <c r="R278" s="624"/>
      <c r="S278" s="624"/>
      <c r="T278" s="624"/>
      <c r="U278" s="624"/>
      <c r="V278" s="624"/>
      <c r="W278" s="624"/>
      <c r="X278" s="624"/>
      <c r="Y278" s="624"/>
      <c r="Z278" s="624"/>
      <c r="AA278" s="66"/>
      <c r="AB278" s="66"/>
      <c r="AC278" s="80"/>
    </row>
    <row r="279" spans="1:68" ht="27" customHeight="1" x14ac:dyDescent="0.25">
      <c r="A279" s="63" t="s">
        <v>460</v>
      </c>
      <c r="B279" s="63" t="s">
        <v>461</v>
      </c>
      <c r="C279" s="36">
        <v>4301051893</v>
      </c>
      <c r="D279" s="625">
        <v>4680115886186</v>
      </c>
      <c r="E279" s="625"/>
      <c r="F279" s="62">
        <v>0.3</v>
      </c>
      <c r="G279" s="37">
        <v>6</v>
      </c>
      <c r="H279" s="62">
        <v>1.8</v>
      </c>
      <c r="I279" s="62">
        <v>1.98</v>
      </c>
      <c r="J279" s="37">
        <v>182</v>
      </c>
      <c r="K279" s="37" t="s">
        <v>81</v>
      </c>
      <c r="L279" s="37" t="s">
        <v>45</v>
      </c>
      <c r="M279" s="38" t="s">
        <v>90</v>
      </c>
      <c r="N279" s="38"/>
      <c r="O279" s="37">
        <v>45</v>
      </c>
      <c r="P279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627"/>
      <c r="R279" s="627"/>
      <c r="S279" s="627"/>
      <c r="T279" s="628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462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463</v>
      </c>
      <c r="B280" s="63" t="s">
        <v>464</v>
      </c>
      <c r="C280" s="36">
        <v>4301051795</v>
      </c>
      <c r="D280" s="625">
        <v>4680115881228</v>
      </c>
      <c r="E280" s="625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81</v>
      </c>
      <c r="L280" s="37" t="s">
        <v>45</v>
      </c>
      <c r="M280" s="38" t="s">
        <v>96</v>
      </c>
      <c r="N280" s="38"/>
      <c r="O280" s="37">
        <v>40</v>
      </c>
      <c r="P280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627"/>
      <c r="R280" s="627"/>
      <c r="S280" s="627"/>
      <c r="T280" s="628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465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customHeight="1" x14ac:dyDescent="0.25">
      <c r="A281" s="63" t="s">
        <v>466</v>
      </c>
      <c r="B281" s="63" t="s">
        <v>467</v>
      </c>
      <c r="C281" s="36">
        <v>4301051388</v>
      </c>
      <c r="D281" s="625">
        <v>4680115881211</v>
      </c>
      <c r="E281" s="625"/>
      <c r="F281" s="62">
        <v>0.4</v>
      </c>
      <c r="G281" s="37">
        <v>6</v>
      </c>
      <c r="H281" s="62">
        <v>2.4</v>
      </c>
      <c r="I281" s="62">
        <v>2.58</v>
      </c>
      <c r="J281" s="37">
        <v>182</v>
      </c>
      <c r="K281" s="37" t="s">
        <v>81</v>
      </c>
      <c r="L281" s="37" t="s">
        <v>45</v>
      </c>
      <c r="M281" s="38" t="s">
        <v>90</v>
      </c>
      <c r="N281" s="38"/>
      <c r="O281" s="37">
        <v>45</v>
      </c>
      <c r="P281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627"/>
      <c r="R281" s="627"/>
      <c r="S281" s="627"/>
      <c r="T281" s="628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462</v>
      </c>
      <c r="AG281" s="78"/>
      <c r="AJ281" s="84" t="s">
        <v>45</v>
      </c>
      <c r="AK281" s="84">
        <v>0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x14ac:dyDescent="0.2">
      <c r="A282" s="633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0" t="s">
        <v>40</v>
      </c>
      <c r="Q282" s="631"/>
      <c r="R282" s="631"/>
      <c r="S282" s="631"/>
      <c r="T282" s="631"/>
      <c r="U282" s="631"/>
      <c r="V282" s="632"/>
      <c r="W282" s="42" t="s">
        <v>39</v>
      </c>
      <c r="X282" s="43">
        <f>IFERROR(X279/H279,"0")+IFERROR(X280/H280,"0")+IFERROR(X281/H281,"0")</f>
        <v>0</v>
      </c>
      <c r="Y282" s="43">
        <f>IFERROR(Y279/H279,"0")+IFERROR(Y280/H280,"0")+IFERROR(Y281/H281,"0")</f>
        <v>0</v>
      </c>
      <c r="Z282" s="43">
        <f>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0" t="s">
        <v>40</v>
      </c>
      <c r="Q283" s="631"/>
      <c r="R283" s="631"/>
      <c r="S283" s="631"/>
      <c r="T283" s="631"/>
      <c r="U283" s="631"/>
      <c r="V283" s="632"/>
      <c r="W283" s="42" t="s">
        <v>0</v>
      </c>
      <c r="X283" s="43">
        <f>IFERROR(SUM(X279:X281),"0")</f>
        <v>0</v>
      </c>
      <c r="Y283" s="43">
        <f>IFERROR(SUM(Y279:Y281),"0")</f>
        <v>0</v>
      </c>
      <c r="Z283" s="42"/>
      <c r="AA283" s="67"/>
      <c r="AB283" s="67"/>
      <c r="AC283" s="67"/>
    </row>
    <row r="284" spans="1:68" ht="16.5" customHeight="1" x14ac:dyDescent="0.25">
      <c r="A284" s="623" t="s">
        <v>468</v>
      </c>
      <c r="B284" s="623"/>
      <c r="C284" s="623"/>
      <c r="D284" s="623"/>
      <c r="E284" s="623"/>
      <c r="F284" s="623"/>
      <c r="G284" s="623"/>
      <c r="H284" s="623"/>
      <c r="I284" s="623"/>
      <c r="J284" s="623"/>
      <c r="K284" s="623"/>
      <c r="L284" s="623"/>
      <c r="M284" s="623"/>
      <c r="N284" s="623"/>
      <c r="O284" s="623"/>
      <c r="P284" s="623"/>
      <c r="Q284" s="623"/>
      <c r="R284" s="623"/>
      <c r="S284" s="623"/>
      <c r="T284" s="623"/>
      <c r="U284" s="623"/>
      <c r="V284" s="623"/>
      <c r="W284" s="623"/>
      <c r="X284" s="623"/>
      <c r="Y284" s="623"/>
      <c r="Z284" s="623"/>
      <c r="AA284" s="65"/>
      <c r="AB284" s="65"/>
      <c r="AC284" s="79"/>
    </row>
    <row r="285" spans="1:68" ht="14.25" customHeight="1" x14ac:dyDescent="0.25">
      <c r="A285" s="624" t="s">
        <v>76</v>
      </c>
      <c r="B285" s="624"/>
      <c r="C285" s="624"/>
      <c r="D285" s="624"/>
      <c r="E285" s="624"/>
      <c r="F285" s="624"/>
      <c r="G285" s="624"/>
      <c r="H285" s="624"/>
      <c r="I285" s="624"/>
      <c r="J285" s="624"/>
      <c r="K285" s="624"/>
      <c r="L285" s="624"/>
      <c r="M285" s="624"/>
      <c r="N285" s="624"/>
      <c r="O285" s="624"/>
      <c r="P285" s="624"/>
      <c r="Q285" s="624"/>
      <c r="R285" s="624"/>
      <c r="S285" s="624"/>
      <c r="T285" s="624"/>
      <c r="U285" s="624"/>
      <c r="V285" s="624"/>
      <c r="W285" s="624"/>
      <c r="X285" s="624"/>
      <c r="Y285" s="624"/>
      <c r="Z285" s="624"/>
      <c r="AA285" s="66"/>
      <c r="AB285" s="66"/>
      <c r="AC285" s="80"/>
    </row>
    <row r="286" spans="1:68" ht="27" customHeight="1" x14ac:dyDescent="0.25">
      <c r="A286" s="63" t="s">
        <v>469</v>
      </c>
      <c r="B286" s="63" t="s">
        <v>470</v>
      </c>
      <c r="C286" s="36">
        <v>4301031307</v>
      </c>
      <c r="D286" s="625">
        <v>4680115880344</v>
      </c>
      <c r="E286" s="625"/>
      <c r="F286" s="62">
        <v>0.28000000000000003</v>
      </c>
      <c r="G286" s="37">
        <v>6</v>
      </c>
      <c r="H286" s="62">
        <v>1.68</v>
      </c>
      <c r="I286" s="62">
        <v>1.78</v>
      </c>
      <c r="J286" s="37">
        <v>234</v>
      </c>
      <c r="K286" s="37" t="s">
        <v>85</v>
      </c>
      <c r="L286" s="37" t="s">
        <v>45</v>
      </c>
      <c r="M286" s="38" t="s">
        <v>80</v>
      </c>
      <c r="N286" s="38"/>
      <c r="O286" s="37">
        <v>40</v>
      </c>
      <c r="P286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627"/>
      <c r="R286" s="627"/>
      <c r="S286" s="627"/>
      <c r="T286" s="628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471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customHeight="1" x14ac:dyDescent="0.25">
      <c r="A287" s="63" t="s">
        <v>472</v>
      </c>
      <c r="B287" s="63" t="s">
        <v>473</v>
      </c>
      <c r="C287" s="36">
        <v>4301031429</v>
      </c>
      <c r="D287" s="625">
        <v>4680115886919</v>
      </c>
      <c r="E287" s="625"/>
      <c r="F287" s="62">
        <v>0.4</v>
      </c>
      <c r="G287" s="37">
        <v>6</v>
      </c>
      <c r="H287" s="62">
        <v>2.4</v>
      </c>
      <c r="I287" s="62">
        <v>2.58</v>
      </c>
      <c r="J287" s="37">
        <v>182</v>
      </c>
      <c r="K287" s="37" t="s">
        <v>81</v>
      </c>
      <c r="L287" s="37" t="s">
        <v>45</v>
      </c>
      <c r="M287" s="38" t="s">
        <v>80</v>
      </c>
      <c r="N287" s="38"/>
      <c r="O287" s="37">
        <v>40</v>
      </c>
      <c r="P287" s="76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627"/>
      <c r="R287" s="627"/>
      <c r="S287" s="627"/>
      <c r="T287" s="628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45</v>
      </c>
      <c r="AB287" s="69" t="s">
        <v>45</v>
      </c>
      <c r="AC287" s="358" t="s">
        <v>474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0" t="s">
        <v>40</v>
      </c>
      <c r="Q288" s="631"/>
      <c r="R288" s="631"/>
      <c r="S288" s="631"/>
      <c r="T288" s="631"/>
      <c r="U288" s="631"/>
      <c r="V288" s="632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x14ac:dyDescent="0.2">
      <c r="A289" s="633"/>
      <c r="B289" s="633"/>
      <c r="C289" s="633"/>
      <c r="D289" s="633"/>
      <c r="E289" s="633"/>
      <c r="F289" s="633"/>
      <c r="G289" s="633"/>
      <c r="H289" s="633"/>
      <c r="I289" s="633"/>
      <c r="J289" s="633"/>
      <c r="K289" s="633"/>
      <c r="L289" s="633"/>
      <c r="M289" s="633"/>
      <c r="N289" s="633"/>
      <c r="O289" s="634"/>
      <c r="P289" s="630" t="s">
        <v>40</v>
      </c>
      <c r="Q289" s="631"/>
      <c r="R289" s="631"/>
      <c r="S289" s="631"/>
      <c r="T289" s="631"/>
      <c r="U289" s="631"/>
      <c r="V289" s="632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4.25" customHeight="1" x14ac:dyDescent="0.25">
      <c r="A290" s="624" t="s">
        <v>86</v>
      </c>
      <c r="B290" s="624"/>
      <c r="C290" s="624"/>
      <c r="D290" s="624"/>
      <c r="E290" s="624"/>
      <c r="F290" s="624"/>
      <c r="G290" s="624"/>
      <c r="H290" s="624"/>
      <c r="I290" s="624"/>
      <c r="J290" s="624"/>
      <c r="K290" s="624"/>
      <c r="L290" s="624"/>
      <c r="M290" s="624"/>
      <c r="N290" s="624"/>
      <c r="O290" s="624"/>
      <c r="P290" s="624"/>
      <c r="Q290" s="624"/>
      <c r="R290" s="624"/>
      <c r="S290" s="624"/>
      <c r="T290" s="624"/>
      <c r="U290" s="624"/>
      <c r="V290" s="624"/>
      <c r="W290" s="624"/>
      <c r="X290" s="624"/>
      <c r="Y290" s="624"/>
      <c r="Z290" s="624"/>
      <c r="AA290" s="66"/>
      <c r="AB290" s="66"/>
      <c r="AC290" s="80"/>
    </row>
    <row r="291" spans="1:68" ht="37.5" customHeight="1" x14ac:dyDescent="0.25">
      <c r="A291" s="63" t="s">
        <v>475</v>
      </c>
      <c r="B291" s="63" t="s">
        <v>476</v>
      </c>
      <c r="C291" s="36">
        <v>4301051782</v>
      </c>
      <c r="D291" s="625">
        <v>4680115884618</v>
      </c>
      <c r="E291" s="625"/>
      <c r="F291" s="62">
        <v>0.6</v>
      </c>
      <c r="G291" s="37">
        <v>6</v>
      </c>
      <c r="H291" s="62">
        <v>3.6</v>
      </c>
      <c r="I291" s="62">
        <v>3.79</v>
      </c>
      <c r="J291" s="37">
        <v>132</v>
      </c>
      <c r="K291" s="37" t="s">
        <v>122</v>
      </c>
      <c r="L291" s="37" t="s">
        <v>45</v>
      </c>
      <c r="M291" s="38" t="s">
        <v>90</v>
      </c>
      <c r="N291" s="38"/>
      <c r="O291" s="37">
        <v>45</v>
      </c>
      <c r="P291" s="77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627"/>
      <c r="R291" s="627"/>
      <c r="S291" s="627"/>
      <c r="T291" s="628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477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478</v>
      </c>
      <c r="B292" s="63" t="s">
        <v>479</v>
      </c>
      <c r="C292" s="36">
        <v>4301052057</v>
      </c>
      <c r="D292" s="625">
        <v>4680115887114</v>
      </c>
      <c r="E292" s="625"/>
      <c r="F292" s="62">
        <v>0.55000000000000004</v>
      </c>
      <c r="G292" s="37">
        <v>6</v>
      </c>
      <c r="H292" s="62">
        <v>3.3</v>
      </c>
      <c r="I292" s="62">
        <v>3.49</v>
      </c>
      <c r="J292" s="37">
        <v>132</v>
      </c>
      <c r="K292" s="37" t="s">
        <v>122</v>
      </c>
      <c r="L292" s="37" t="s">
        <v>45</v>
      </c>
      <c r="M292" s="38" t="s">
        <v>90</v>
      </c>
      <c r="N292" s="38"/>
      <c r="O292" s="37">
        <v>45</v>
      </c>
      <c r="P292" s="77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627"/>
      <c r="R292" s="627"/>
      <c r="S292" s="627"/>
      <c r="T292" s="628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480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633"/>
      <c r="B293" s="633"/>
      <c r="C293" s="633"/>
      <c r="D293" s="633"/>
      <c r="E293" s="633"/>
      <c r="F293" s="633"/>
      <c r="G293" s="633"/>
      <c r="H293" s="633"/>
      <c r="I293" s="633"/>
      <c r="J293" s="633"/>
      <c r="K293" s="633"/>
      <c r="L293" s="633"/>
      <c r="M293" s="633"/>
      <c r="N293" s="633"/>
      <c r="O293" s="634"/>
      <c r="P293" s="630" t="s">
        <v>40</v>
      </c>
      <c r="Q293" s="631"/>
      <c r="R293" s="631"/>
      <c r="S293" s="631"/>
      <c r="T293" s="631"/>
      <c r="U293" s="631"/>
      <c r="V293" s="632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x14ac:dyDescent="0.2">
      <c r="A294" s="633"/>
      <c r="B294" s="633"/>
      <c r="C294" s="633"/>
      <c r="D294" s="633"/>
      <c r="E294" s="633"/>
      <c r="F294" s="633"/>
      <c r="G294" s="633"/>
      <c r="H294" s="633"/>
      <c r="I294" s="633"/>
      <c r="J294" s="633"/>
      <c r="K294" s="633"/>
      <c r="L294" s="633"/>
      <c r="M294" s="633"/>
      <c r="N294" s="633"/>
      <c r="O294" s="634"/>
      <c r="P294" s="630" t="s">
        <v>40</v>
      </c>
      <c r="Q294" s="631"/>
      <c r="R294" s="631"/>
      <c r="S294" s="631"/>
      <c r="T294" s="631"/>
      <c r="U294" s="631"/>
      <c r="V294" s="632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customHeight="1" x14ac:dyDescent="0.25">
      <c r="A295" s="623" t="s">
        <v>481</v>
      </c>
      <c r="B295" s="623"/>
      <c r="C295" s="623"/>
      <c r="D295" s="623"/>
      <c r="E295" s="623"/>
      <c r="F295" s="623"/>
      <c r="G295" s="623"/>
      <c r="H295" s="623"/>
      <c r="I295" s="623"/>
      <c r="J295" s="623"/>
      <c r="K295" s="623"/>
      <c r="L295" s="623"/>
      <c r="M295" s="623"/>
      <c r="N295" s="623"/>
      <c r="O295" s="623"/>
      <c r="P295" s="623"/>
      <c r="Q295" s="623"/>
      <c r="R295" s="623"/>
      <c r="S295" s="623"/>
      <c r="T295" s="623"/>
      <c r="U295" s="623"/>
      <c r="V295" s="623"/>
      <c r="W295" s="623"/>
      <c r="X295" s="623"/>
      <c r="Y295" s="623"/>
      <c r="Z295" s="623"/>
      <c r="AA295" s="65"/>
      <c r="AB295" s="65"/>
      <c r="AC295" s="79"/>
    </row>
    <row r="296" spans="1:68" ht="14.25" customHeight="1" x14ac:dyDescent="0.25">
      <c r="A296" s="624" t="s">
        <v>114</v>
      </c>
      <c r="B296" s="624"/>
      <c r="C296" s="624"/>
      <c r="D296" s="624"/>
      <c r="E296" s="624"/>
      <c r="F296" s="624"/>
      <c r="G296" s="624"/>
      <c r="H296" s="624"/>
      <c r="I296" s="624"/>
      <c r="J296" s="624"/>
      <c r="K296" s="624"/>
      <c r="L296" s="624"/>
      <c r="M296" s="624"/>
      <c r="N296" s="624"/>
      <c r="O296" s="624"/>
      <c r="P296" s="624"/>
      <c r="Q296" s="624"/>
      <c r="R296" s="624"/>
      <c r="S296" s="624"/>
      <c r="T296" s="624"/>
      <c r="U296" s="624"/>
      <c r="V296" s="624"/>
      <c r="W296" s="624"/>
      <c r="X296" s="624"/>
      <c r="Y296" s="624"/>
      <c r="Z296" s="624"/>
      <c r="AA296" s="66"/>
      <c r="AB296" s="66"/>
      <c r="AC296" s="80"/>
    </row>
    <row r="297" spans="1:68" ht="27" customHeight="1" x14ac:dyDescent="0.25">
      <c r="A297" s="63" t="s">
        <v>482</v>
      </c>
      <c r="B297" s="63" t="s">
        <v>483</v>
      </c>
      <c r="C297" s="36">
        <v>4301012024</v>
      </c>
      <c r="D297" s="625">
        <v>4680115885615</v>
      </c>
      <c r="E297" s="625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119</v>
      </c>
      <c r="L297" s="37" t="s">
        <v>45</v>
      </c>
      <c r="M297" s="38" t="s">
        <v>90</v>
      </c>
      <c r="N297" s="38"/>
      <c r="O297" s="37">
        <v>55</v>
      </c>
      <c r="P297" s="77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627"/>
      <c r="R297" s="627"/>
      <c r="S297" s="627"/>
      <c r="T297" s="628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484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37.5" customHeight="1" x14ac:dyDescent="0.25">
      <c r="A298" s="63" t="s">
        <v>485</v>
      </c>
      <c r="B298" s="63" t="s">
        <v>486</v>
      </c>
      <c r="C298" s="36">
        <v>4301011858</v>
      </c>
      <c r="D298" s="625">
        <v>4680115885646</v>
      </c>
      <c r="E298" s="625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119</v>
      </c>
      <c r="L298" s="37" t="s">
        <v>45</v>
      </c>
      <c r="M298" s="38" t="s">
        <v>118</v>
      </c>
      <c r="N298" s="38"/>
      <c r="O298" s="37">
        <v>55</v>
      </c>
      <c r="P298" s="77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627"/>
      <c r="R298" s="627"/>
      <c r="S298" s="627"/>
      <c r="T298" s="628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487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488</v>
      </c>
      <c r="B299" s="63" t="s">
        <v>489</v>
      </c>
      <c r="C299" s="36">
        <v>4301012016</v>
      </c>
      <c r="D299" s="625">
        <v>4680115885554</v>
      </c>
      <c r="E299" s="625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119</v>
      </c>
      <c r="L299" s="37" t="s">
        <v>45</v>
      </c>
      <c r="M299" s="38" t="s">
        <v>90</v>
      </c>
      <c r="N299" s="38"/>
      <c r="O299" s="37">
        <v>55</v>
      </c>
      <c r="P299" s="77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627"/>
      <c r="R299" s="627"/>
      <c r="S299" s="627"/>
      <c r="T299" s="628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490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491</v>
      </c>
      <c r="B300" s="63" t="s">
        <v>492</v>
      </c>
      <c r="C300" s="36">
        <v>4301011857</v>
      </c>
      <c r="D300" s="625">
        <v>4680115885622</v>
      </c>
      <c r="E300" s="625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122</v>
      </c>
      <c r="L300" s="37" t="s">
        <v>45</v>
      </c>
      <c r="M300" s="38" t="s">
        <v>118</v>
      </c>
      <c r="N300" s="38"/>
      <c r="O300" s="37">
        <v>55</v>
      </c>
      <c r="P300" s="77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627"/>
      <c r="R300" s="627"/>
      <c r="S300" s="627"/>
      <c r="T300" s="628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484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customHeight="1" x14ac:dyDescent="0.25">
      <c r="A301" s="63" t="s">
        <v>493</v>
      </c>
      <c r="B301" s="63" t="s">
        <v>494</v>
      </c>
      <c r="C301" s="36">
        <v>4301011859</v>
      </c>
      <c r="D301" s="625">
        <v>4680115885608</v>
      </c>
      <c r="E301" s="625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122</v>
      </c>
      <c r="L301" s="37" t="s">
        <v>45</v>
      </c>
      <c r="M301" s="38" t="s">
        <v>118</v>
      </c>
      <c r="N301" s="38"/>
      <c r="O301" s="37">
        <v>55</v>
      </c>
      <c r="P301" s="7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627"/>
      <c r="R301" s="627"/>
      <c r="S301" s="627"/>
      <c r="T301" s="628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495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33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0" t="s">
        <v>40</v>
      </c>
      <c r="Q302" s="631"/>
      <c r="R302" s="631"/>
      <c r="S302" s="631"/>
      <c r="T302" s="631"/>
      <c r="U302" s="631"/>
      <c r="V302" s="632"/>
      <c r="W302" s="42" t="s">
        <v>39</v>
      </c>
      <c r="X302" s="43">
        <f>IFERROR(X297/H297,"0")+IFERROR(X298/H298,"0")+IFERROR(X299/H299,"0")+IFERROR(X300/H300,"0")+IFERROR(X301/H301,"0")</f>
        <v>0</v>
      </c>
      <c r="Y302" s="43">
        <f>IFERROR(Y297/H297,"0")+IFERROR(Y298/H298,"0")+IFERROR(Y299/H299,"0")+IFERROR(Y300/H300,"0")+IFERROR(Y301/H301,"0")</f>
        <v>0</v>
      </c>
      <c r="Z302" s="43">
        <f>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0" t="s">
        <v>40</v>
      </c>
      <c r="Q303" s="631"/>
      <c r="R303" s="631"/>
      <c r="S303" s="631"/>
      <c r="T303" s="631"/>
      <c r="U303" s="631"/>
      <c r="V303" s="632"/>
      <c r="W303" s="42" t="s">
        <v>0</v>
      </c>
      <c r="X303" s="43">
        <f>IFERROR(SUM(X297:X301),"0")</f>
        <v>0</v>
      </c>
      <c r="Y303" s="43">
        <f>IFERROR(SUM(Y297:Y301),"0")</f>
        <v>0</v>
      </c>
      <c r="Z303" s="42"/>
      <c r="AA303" s="67"/>
      <c r="AB303" s="67"/>
      <c r="AC303" s="67"/>
    </row>
    <row r="304" spans="1:68" ht="14.25" customHeight="1" x14ac:dyDescent="0.25">
      <c r="A304" s="624" t="s">
        <v>76</v>
      </c>
      <c r="B304" s="624"/>
      <c r="C304" s="624"/>
      <c r="D304" s="624"/>
      <c r="E304" s="624"/>
      <c r="F304" s="624"/>
      <c r="G304" s="624"/>
      <c r="H304" s="624"/>
      <c r="I304" s="624"/>
      <c r="J304" s="624"/>
      <c r="K304" s="624"/>
      <c r="L304" s="624"/>
      <c r="M304" s="624"/>
      <c r="N304" s="624"/>
      <c r="O304" s="624"/>
      <c r="P304" s="624"/>
      <c r="Q304" s="624"/>
      <c r="R304" s="624"/>
      <c r="S304" s="624"/>
      <c r="T304" s="624"/>
      <c r="U304" s="624"/>
      <c r="V304" s="624"/>
      <c r="W304" s="624"/>
      <c r="X304" s="624"/>
      <c r="Y304" s="624"/>
      <c r="Z304" s="624"/>
      <c r="AA304" s="66"/>
      <c r="AB304" s="66"/>
      <c r="AC304" s="80"/>
    </row>
    <row r="305" spans="1:68" ht="27" customHeight="1" x14ac:dyDescent="0.25">
      <c r="A305" s="63" t="s">
        <v>496</v>
      </c>
      <c r="B305" s="63" t="s">
        <v>497</v>
      </c>
      <c r="C305" s="36">
        <v>4301030878</v>
      </c>
      <c r="D305" s="625">
        <v>4607091387193</v>
      </c>
      <c r="E305" s="625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122</v>
      </c>
      <c r="L305" s="37" t="s">
        <v>45</v>
      </c>
      <c r="M305" s="38" t="s">
        <v>80</v>
      </c>
      <c r="N305" s="38"/>
      <c r="O305" s="37">
        <v>35</v>
      </c>
      <c r="P305" s="7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627"/>
      <c r="R305" s="627"/>
      <c r="S305" s="627"/>
      <c r="T305" s="628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1" si="32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498</v>
      </c>
      <c r="AG305" s="78"/>
      <c r="AJ305" s="84" t="s">
        <v>45</v>
      </c>
      <c r="AK305" s="84">
        <v>0</v>
      </c>
      <c r="BB305" s="375" t="s">
        <v>66</v>
      </c>
      <c r="BM305" s="78">
        <f t="shared" ref="BM305:BM311" si="33">IFERROR(X305*I305/H305,"0")</f>
        <v>0</v>
      </c>
      <c r="BN305" s="78">
        <f t="shared" ref="BN305:BN311" si="34">IFERROR(Y305*I305/H305,"0")</f>
        <v>0</v>
      </c>
      <c r="BO305" s="78">
        <f t="shared" ref="BO305:BO311" si="35">IFERROR(1/J305*(X305/H305),"0")</f>
        <v>0</v>
      </c>
      <c r="BP305" s="78">
        <f t="shared" ref="BP305:BP311" si="36">IFERROR(1/J305*(Y305/H305),"0")</f>
        <v>0</v>
      </c>
    </row>
    <row r="306" spans="1:68" ht="27" customHeight="1" x14ac:dyDescent="0.25">
      <c r="A306" s="63" t="s">
        <v>499</v>
      </c>
      <c r="B306" s="63" t="s">
        <v>500</v>
      </c>
      <c r="C306" s="36">
        <v>4301031153</v>
      </c>
      <c r="D306" s="625">
        <v>4607091387230</v>
      </c>
      <c r="E306" s="625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122</v>
      </c>
      <c r="L306" s="37" t="s">
        <v>45</v>
      </c>
      <c r="M306" s="38" t="s">
        <v>80</v>
      </c>
      <c r="N306" s="38"/>
      <c r="O306" s="37">
        <v>40</v>
      </c>
      <c r="P306" s="7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627"/>
      <c r="R306" s="627"/>
      <c r="S306" s="627"/>
      <c r="T306" s="628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2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501</v>
      </c>
      <c r="AG306" s="78"/>
      <c r="AJ306" s="84" t="s">
        <v>45</v>
      </c>
      <c r="AK306" s="84">
        <v>0</v>
      </c>
      <c r="BB306" s="377" t="s">
        <v>66</v>
      </c>
      <c r="BM306" s="78">
        <f t="shared" si="33"/>
        <v>0</v>
      </c>
      <c r="BN306" s="78">
        <f t="shared" si="34"/>
        <v>0</v>
      </c>
      <c r="BO306" s="78">
        <f t="shared" si="35"/>
        <v>0</v>
      </c>
      <c r="BP306" s="78">
        <f t="shared" si="36"/>
        <v>0</v>
      </c>
    </row>
    <row r="307" spans="1:68" ht="27" customHeight="1" x14ac:dyDescent="0.25">
      <c r="A307" s="63" t="s">
        <v>502</v>
      </c>
      <c r="B307" s="63" t="s">
        <v>503</v>
      </c>
      <c r="C307" s="36">
        <v>4301031154</v>
      </c>
      <c r="D307" s="625">
        <v>4607091387292</v>
      </c>
      <c r="E307" s="625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122</v>
      </c>
      <c r="L307" s="37" t="s">
        <v>45</v>
      </c>
      <c r="M307" s="38" t="s">
        <v>80</v>
      </c>
      <c r="N307" s="38"/>
      <c r="O307" s="37">
        <v>45</v>
      </c>
      <c r="P307" s="7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627"/>
      <c r="R307" s="627"/>
      <c r="S307" s="627"/>
      <c r="T307" s="628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2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504</v>
      </c>
      <c r="AG307" s="78"/>
      <c r="AJ307" s="84" t="s">
        <v>45</v>
      </c>
      <c r="AK307" s="84">
        <v>0</v>
      </c>
      <c r="BB307" s="379" t="s">
        <v>66</v>
      </c>
      <c r="BM307" s="78">
        <f t="shared" si="33"/>
        <v>0</v>
      </c>
      <c r="BN307" s="78">
        <f t="shared" si="34"/>
        <v>0</v>
      </c>
      <c r="BO307" s="78">
        <f t="shared" si="35"/>
        <v>0</v>
      </c>
      <c r="BP307" s="78">
        <f t="shared" si="36"/>
        <v>0</v>
      </c>
    </row>
    <row r="308" spans="1:68" ht="27" customHeight="1" x14ac:dyDescent="0.25">
      <c r="A308" s="63" t="s">
        <v>505</v>
      </c>
      <c r="B308" s="63" t="s">
        <v>506</v>
      </c>
      <c r="C308" s="36">
        <v>4301031152</v>
      </c>
      <c r="D308" s="625">
        <v>4607091387285</v>
      </c>
      <c r="E308" s="625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85</v>
      </c>
      <c r="L308" s="37" t="s">
        <v>45</v>
      </c>
      <c r="M308" s="38" t="s">
        <v>80</v>
      </c>
      <c r="N308" s="38"/>
      <c r="O308" s="37">
        <v>40</v>
      </c>
      <c r="P308" s="7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627"/>
      <c r="R308" s="627"/>
      <c r="S308" s="627"/>
      <c r="T308" s="628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2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501</v>
      </c>
      <c r="AG308" s="78"/>
      <c r="AJ308" s="84" t="s">
        <v>45</v>
      </c>
      <c r="AK308" s="84">
        <v>0</v>
      </c>
      <c r="BB308" s="381" t="s">
        <v>66</v>
      </c>
      <c r="BM308" s="78">
        <f t="shared" si="33"/>
        <v>0</v>
      </c>
      <c r="BN308" s="78">
        <f t="shared" si="34"/>
        <v>0</v>
      </c>
      <c r="BO308" s="78">
        <f t="shared" si="35"/>
        <v>0</v>
      </c>
      <c r="BP308" s="78">
        <f t="shared" si="36"/>
        <v>0</v>
      </c>
    </row>
    <row r="309" spans="1:68" ht="27" customHeight="1" x14ac:dyDescent="0.25">
      <c r="A309" s="63" t="s">
        <v>507</v>
      </c>
      <c r="B309" s="63" t="s">
        <v>508</v>
      </c>
      <c r="C309" s="36">
        <v>4301031305</v>
      </c>
      <c r="D309" s="625">
        <v>4607091389845</v>
      </c>
      <c r="E309" s="625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85</v>
      </c>
      <c r="L309" s="37" t="s">
        <v>45</v>
      </c>
      <c r="M309" s="38" t="s">
        <v>80</v>
      </c>
      <c r="N309" s="38"/>
      <c r="O309" s="37">
        <v>40</v>
      </c>
      <c r="P309" s="7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627"/>
      <c r="R309" s="627"/>
      <c r="S309" s="627"/>
      <c r="T309" s="628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2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509</v>
      </c>
      <c r="AG309" s="78"/>
      <c r="AJ309" s="84" t="s">
        <v>45</v>
      </c>
      <c r="AK309" s="84">
        <v>0</v>
      </c>
      <c r="BB309" s="383" t="s">
        <v>66</v>
      </c>
      <c r="BM309" s="78">
        <f t="shared" si="33"/>
        <v>0</v>
      </c>
      <c r="BN309" s="78">
        <f t="shared" si="34"/>
        <v>0</v>
      </c>
      <c r="BO309" s="78">
        <f t="shared" si="35"/>
        <v>0</v>
      </c>
      <c r="BP309" s="78">
        <f t="shared" si="36"/>
        <v>0</v>
      </c>
    </row>
    <row r="310" spans="1:68" ht="27" customHeight="1" x14ac:dyDescent="0.25">
      <c r="A310" s="63" t="s">
        <v>510</v>
      </c>
      <c r="B310" s="63" t="s">
        <v>511</v>
      </c>
      <c r="C310" s="36">
        <v>4301031460</v>
      </c>
      <c r="D310" s="625">
        <v>4680115887442</v>
      </c>
      <c r="E310" s="625"/>
      <c r="F310" s="62">
        <v>0.73</v>
      </c>
      <c r="G310" s="37">
        <v>6</v>
      </c>
      <c r="H310" s="62">
        <v>4.38</v>
      </c>
      <c r="I310" s="62">
        <v>4.63</v>
      </c>
      <c r="J310" s="37">
        <v>132</v>
      </c>
      <c r="K310" s="37" t="s">
        <v>122</v>
      </c>
      <c r="L310" s="37" t="s">
        <v>45</v>
      </c>
      <c r="M310" s="38" t="s">
        <v>80</v>
      </c>
      <c r="N310" s="38"/>
      <c r="O310" s="37">
        <v>45</v>
      </c>
      <c r="P310" s="782" t="s">
        <v>512</v>
      </c>
      <c r="Q310" s="627"/>
      <c r="R310" s="627"/>
      <c r="S310" s="627"/>
      <c r="T310" s="628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2"/>
        <v>0</v>
      </c>
      <c r="Z310" s="41" t="str">
        <f>IFERROR(IF(Y310=0,"",ROUNDUP(Y310/H310,0)*0.00902),"")</f>
        <v/>
      </c>
      <c r="AA310" s="68" t="s">
        <v>45</v>
      </c>
      <c r="AB310" s="69" t="s">
        <v>45</v>
      </c>
      <c r="AC310" s="384" t="s">
        <v>504</v>
      </c>
      <c r="AG310" s="78"/>
      <c r="AJ310" s="84" t="s">
        <v>45</v>
      </c>
      <c r="AK310" s="84">
        <v>0</v>
      </c>
      <c r="BB310" s="385" t="s">
        <v>66</v>
      </c>
      <c r="BM310" s="78">
        <f t="shared" si="33"/>
        <v>0</v>
      </c>
      <c r="BN310" s="78">
        <f t="shared" si="34"/>
        <v>0</v>
      </c>
      <c r="BO310" s="78">
        <f t="shared" si="35"/>
        <v>0</v>
      </c>
      <c r="BP310" s="78">
        <f t="shared" si="36"/>
        <v>0</v>
      </c>
    </row>
    <row r="311" spans="1:68" ht="27" customHeight="1" x14ac:dyDescent="0.25">
      <c r="A311" s="63" t="s">
        <v>513</v>
      </c>
      <c r="B311" s="63" t="s">
        <v>514</v>
      </c>
      <c r="C311" s="36">
        <v>4301031066</v>
      </c>
      <c r="D311" s="625">
        <v>4607091383836</v>
      </c>
      <c r="E311" s="625"/>
      <c r="F311" s="62">
        <v>0.3</v>
      </c>
      <c r="G311" s="37">
        <v>6</v>
      </c>
      <c r="H311" s="62">
        <v>1.8</v>
      </c>
      <c r="I311" s="62">
        <v>2.028</v>
      </c>
      <c r="J311" s="37">
        <v>182</v>
      </c>
      <c r="K311" s="37" t="s">
        <v>81</v>
      </c>
      <c r="L311" s="37" t="s">
        <v>45</v>
      </c>
      <c r="M311" s="38" t="s">
        <v>80</v>
      </c>
      <c r="N311" s="38"/>
      <c r="O311" s="37">
        <v>40</v>
      </c>
      <c r="P311" s="78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627"/>
      <c r="R311" s="627"/>
      <c r="S311" s="627"/>
      <c r="T311" s="628"/>
      <c r="U311" s="39" t="s">
        <v>45</v>
      </c>
      <c r="V311" s="39" t="s">
        <v>45</v>
      </c>
      <c r="W311" s="40" t="s">
        <v>0</v>
      </c>
      <c r="X311" s="58">
        <v>0</v>
      </c>
      <c r="Y311" s="55">
        <f t="shared" si="32"/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6" t="s">
        <v>515</v>
      </c>
      <c r="AG311" s="78"/>
      <c r="AJ311" s="84" t="s">
        <v>45</v>
      </c>
      <c r="AK311" s="84">
        <v>0</v>
      </c>
      <c r="BB311" s="387" t="s">
        <v>66</v>
      </c>
      <c r="BM311" s="78">
        <f t="shared" si="33"/>
        <v>0</v>
      </c>
      <c r="BN311" s="78">
        <f t="shared" si="34"/>
        <v>0</v>
      </c>
      <c r="BO311" s="78">
        <f t="shared" si="35"/>
        <v>0</v>
      </c>
      <c r="BP311" s="78">
        <f t="shared" si="36"/>
        <v>0</v>
      </c>
    </row>
    <row r="312" spans="1:68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0" t="s">
        <v>40</v>
      </c>
      <c r="Q312" s="631"/>
      <c r="R312" s="631"/>
      <c r="S312" s="631"/>
      <c r="T312" s="631"/>
      <c r="U312" s="631"/>
      <c r="V312" s="632"/>
      <c r="W312" s="42" t="s">
        <v>39</v>
      </c>
      <c r="X312" s="43">
        <f>IFERROR(X305/H305,"0")+IFERROR(X306/H306,"0")+IFERROR(X307/H307,"0")+IFERROR(X308/H308,"0")+IFERROR(X309/H309,"0")+IFERROR(X310/H310,"0")+IFERROR(X311/H311,"0")</f>
        <v>0</v>
      </c>
      <c r="Y312" s="43">
        <f>IFERROR(Y305/H305,"0")+IFERROR(Y306/H306,"0")+IFERROR(Y307/H307,"0")+IFERROR(Y308/H308,"0")+IFERROR(Y309/H309,"0")+IFERROR(Y310/H310,"0")+IFERROR(Y311/H311,"0")</f>
        <v>0</v>
      </c>
      <c r="Z312" s="43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33"/>
      <c r="B313" s="633"/>
      <c r="C313" s="633"/>
      <c r="D313" s="633"/>
      <c r="E313" s="633"/>
      <c r="F313" s="633"/>
      <c r="G313" s="633"/>
      <c r="H313" s="633"/>
      <c r="I313" s="633"/>
      <c r="J313" s="633"/>
      <c r="K313" s="633"/>
      <c r="L313" s="633"/>
      <c r="M313" s="633"/>
      <c r="N313" s="633"/>
      <c r="O313" s="634"/>
      <c r="P313" s="630" t="s">
        <v>40</v>
      </c>
      <c r="Q313" s="631"/>
      <c r="R313" s="631"/>
      <c r="S313" s="631"/>
      <c r="T313" s="631"/>
      <c r="U313" s="631"/>
      <c r="V313" s="632"/>
      <c r="W313" s="42" t="s">
        <v>0</v>
      </c>
      <c r="X313" s="43">
        <f>IFERROR(SUM(X305:X311),"0")</f>
        <v>0</v>
      </c>
      <c r="Y313" s="43">
        <f>IFERROR(SUM(Y305:Y311),"0")</f>
        <v>0</v>
      </c>
      <c r="Z313" s="42"/>
      <c r="AA313" s="67"/>
      <c r="AB313" s="67"/>
      <c r="AC313" s="67"/>
    </row>
    <row r="314" spans="1:68" ht="14.25" customHeight="1" x14ac:dyDescent="0.25">
      <c r="A314" s="624" t="s">
        <v>86</v>
      </c>
      <c r="B314" s="624"/>
      <c r="C314" s="624"/>
      <c r="D314" s="624"/>
      <c r="E314" s="624"/>
      <c r="F314" s="624"/>
      <c r="G314" s="624"/>
      <c r="H314" s="624"/>
      <c r="I314" s="624"/>
      <c r="J314" s="624"/>
      <c r="K314" s="624"/>
      <c r="L314" s="624"/>
      <c r="M314" s="624"/>
      <c r="N314" s="624"/>
      <c r="O314" s="624"/>
      <c r="P314" s="624"/>
      <c r="Q314" s="624"/>
      <c r="R314" s="624"/>
      <c r="S314" s="624"/>
      <c r="T314" s="624"/>
      <c r="U314" s="624"/>
      <c r="V314" s="624"/>
      <c r="W314" s="624"/>
      <c r="X314" s="624"/>
      <c r="Y314" s="624"/>
      <c r="Z314" s="624"/>
      <c r="AA314" s="66"/>
      <c r="AB314" s="66"/>
      <c r="AC314" s="80"/>
    </row>
    <row r="315" spans="1:68" ht="27" customHeight="1" x14ac:dyDescent="0.25">
      <c r="A315" s="63" t="s">
        <v>516</v>
      </c>
      <c r="B315" s="63" t="s">
        <v>517</v>
      </c>
      <c r="C315" s="36">
        <v>4301051100</v>
      </c>
      <c r="D315" s="625">
        <v>4607091387766</v>
      </c>
      <c r="E315" s="625"/>
      <c r="F315" s="62">
        <v>1.3</v>
      </c>
      <c r="G315" s="37">
        <v>6</v>
      </c>
      <c r="H315" s="62">
        <v>7.8</v>
      </c>
      <c r="I315" s="62">
        <v>8.2880000000000003</v>
      </c>
      <c r="J315" s="37">
        <v>64</v>
      </c>
      <c r="K315" s="37" t="s">
        <v>119</v>
      </c>
      <c r="L315" s="37" t="s">
        <v>45</v>
      </c>
      <c r="M315" s="38" t="s">
        <v>90</v>
      </c>
      <c r="N315" s="38"/>
      <c r="O315" s="37">
        <v>40</v>
      </c>
      <c r="P315" s="78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627"/>
      <c r="R315" s="627"/>
      <c r="S315" s="627"/>
      <c r="T315" s="628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518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519</v>
      </c>
      <c r="B316" s="63" t="s">
        <v>520</v>
      </c>
      <c r="C316" s="36">
        <v>4301051818</v>
      </c>
      <c r="D316" s="625">
        <v>4607091387957</v>
      </c>
      <c r="E316" s="625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119</v>
      </c>
      <c r="L316" s="37" t="s">
        <v>45</v>
      </c>
      <c r="M316" s="38" t="s">
        <v>90</v>
      </c>
      <c r="N316" s="38"/>
      <c r="O316" s="37">
        <v>40</v>
      </c>
      <c r="P316" s="7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627"/>
      <c r="R316" s="627"/>
      <c r="S316" s="627"/>
      <c r="T316" s="628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521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522</v>
      </c>
      <c r="B317" s="63" t="s">
        <v>523</v>
      </c>
      <c r="C317" s="36">
        <v>4301051819</v>
      </c>
      <c r="D317" s="625">
        <v>4607091387964</v>
      </c>
      <c r="E317" s="625"/>
      <c r="F317" s="62">
        <v>1.35</v>
      </c>
      <c r="G317" s="37">
        <v>6</v>
      </c>
      <c r="H317" s="62">
        <v>8.1</v>
      </c>
      <c r="I317" s="62">
        <v>8.5760000000000005</v>
      </c>
      <c r="J317" s="37">
        <v>64</v>
      </c>
      <c r="K317" s="37" t="s">
        <v>119</v>
      </c>
      <c r="L317" s="37" t="s">
        <v>45</v>
      </c>
      <c r="M317" s="38" t="s">
        <v>90</v>
      </c>
      <c r="N317" s="38"/>
      <c r="O317" s="37">
        <v>40</v>
      </c>
      <c r="P317" s="7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627"/>
      <c r="R317" s="627"/>
      <c r="S317" s="627"/>
      <c r="T317" s="628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92" t="s">
        <v>524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525</v>
      </c>
      <c r="B318" s="63" t="s">
        <v>526</v>
      </c>
      <c r="C318" s="36">
        <v>4301051734</v>
      </c>
      <c r="D318" s="625">
        <v>4680115884588</v>
      </c>
      <c r="E318" s="625"/>
      <c r="F318" s="62">
        <v>0.5</v>
      </c>
      <c r="G318" s="37">
        <v>6</v>
      </c>
      <c r="H318" s="62">
        <v>3</v>
      </c>
      <c r="I318" s="62">
        <v>3.246</v>
      </c>
      <c r="J318" s="37">
        <v>182</v>
      </c>
      <c r="K318" s="37" t="s">
        <v>81</v>
      </c>
      <c r="L318" s="37" t="s">
        <v>45</v>
      </c>
      <c r="M318" s="38" t="s">
        <v>90</v>
      </c>
      <c r="N318" s="38"/>
      <c r="O318" s="37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627"/>
      <c r="R318" s="627"/>
      <c r="S318" s="627"/>
      <c r="T318" s="628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IFERROR(IF(Y318=0,"",ROUNDUP(Y318/H318,0)*0.00651),"")</f>
        <v/>
      </c>
      <c r="AA318" s="68" t="s">
        <v>45</v>
      </c>
      <c r="AB318" s="69" t="s">
        <v>45</v>
      </c>
      <c r="AC318" s="394" t="s">
        <v>527</v>
      </c>
      <c r="AG318" s="78"/>
      <c r="AJ318" s="84" t="s">
        <v>45</v>
      </c>
      <c r="AK318" s="84">
        <v>0</v>
      </c>
      <c r="BB318" s="39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633"/>
      <c r="B319" s="633"/>
      <c r="C319" s="633"/>
      <c r="D319" s="633"/>
      <c r="E319" s="633"/>
      <c r="F319" s="633"/>
      <c r="G319" s="633"/>
      <c r="H319" s="633"/>
      <c r="I319" s="633"/>
      <c r="J319" s="633"/>
      <c r="K319" s="633"/>
      <c r="L319" s="633"/>
      <c r="M319" s="633"/>
      <c r="N319" s="633"/>
      <c r="O319" s="634"/>
      <c r="P319" s="630" t="s">
        <v>40</v>
      </c>
      <c r="Q319" s="631"/>
      <c r="R319" s="631"/>
      <c r="S319" s="631"/>
      <c r="T319" s="631"/>
      <c r="U319" s="631"/>
      <c r="V319" s="632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x14ac:dyDescent="0.2">
      <c r="A320" s="633"/>
      <c r="B320" s="633"/>
      <c r="C320" s="633"/>
      <c r="D320" s="633"/>
      <c r="E320" s="633"/>
      <c r="F320" s="633"/>
      <c r="G320" s="633"/>
      <c r="H320" s="633"/>
      <c r="I320" s="633"/>
      <c r="J320" s="633"/>
      <c r="K320" s="633"/>
      <c r="L320" s="633"/>
      <c r="M320" s="633"/>
      <c r="N320" s="633"/>
      <c r="O320" s="634"/>
      <c r="P320" s="630" t="s">
        <v>40</v>
      </c>
      <c r="Q320" s="631"/>
      <c r="R320" s="631"/>
      <c r="S320" s="631"/>
      <c r="T320" s="631"/>
      <c r="U320" s="631"/>
      <c r="V320" s="632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4.25" customHeight="1" x14ac:dyDescent="0.25">
      <c r="A321" s="624" t="s">
        <v>173</v>
      </c>
      <c r="B321" s="624"/>
      <c r="C321" s="624"/>
      <c r="D321" s="624"/>
      <c r="E321" s="624"/>
      <c r="F321" s="624"/>
      <c r="G321" s="624"/>
      <c r="H321" s="624"/>
      <c r="I321" s="624"/>
      <c r="J321" s="624"/>
      <c r="K321" s="624"/>
      <c r="L321" s="624"/>
      <c r="M321" s="624"/>
      <c r="N321" s="624"/>
      <c r="O321" s="624"/>
      <c r="P321" s="624"/>
      <c r="Q321" s="624"/>
      <c r="R321" s="624"/>
      <c r="S321" s="624"/>
      <c r="T321" s="624"/>
      <c r="U321" s="624"/>
      <c r="V321" s="624"/>
      <c r="W321" s="624"/>
      <c r="X321" s="624"/>
      <c r="Y321" s="624"/>
      <c r="Z321" s="624"/>
      <c r="AA321" s="66"/>
      <c r="AB321" s="66"/>
      <c r="AC321" s="80"/>
    </row>
    <row r="322" spans="1:68" ht="27" customHeight="1" x14ac:dyDescent="0.25">
      <c r="A322" s="63" t="s">
        <v>528</v>
      </c>
      <c r="B322" s="63" t="s">
        <v>529</v>
      </c>
      <c r="C322" s="36">
        <v>4301060387</v>
      </c>
      <c r="D322" s="625">
        <v>4607091380880</v>
      </c>
      <c r="E322" s="625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119</v>
      </c>
      <c r="L322" s="37" t="s">
        <v>45</v>
      </c>
      <c r="M322" s="38" t="s">
        <v>90</v>
      </c>
      <c r="N322" s="38"/>
      <c r="O322" s="37">
        <v>30</v>
      </c>
      <c r="P322" s="78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627"/>
      <c r="R322" s="627"/>
      <c r="S322" s="627"/>
      <c r="T322" s="628"/>
      <c r="U322" s="39" t="s">
        <v>45</v>
      </c>
      <c r="V322" s="39" t="s">
        <v>45</v>
      </c>
      <c r="W322" s="40" t="s">
        <v>0</v>
      </c>
      <c r="X322" s="58">
        <v>67.2</v>
      </c>
      <c r="Y322" s="55">
        <f>IFERROR(IF(X322="",0,CEILING((X322/$H322),1)*$H322),"")</f>
        <v>67.2</v>
      </c>
      <c r="Z322" s="41">
        <f>IFERROR(IF(Y322=0,"",ROUNDUP(Y322/H322,0)*0.01898),"")</f>
        <v>0.15184</v>
      </c>
      <c r="AA322" s="68" t="s">
        <v>45</v>
      </c>
      <c r="AB322" s="69" t="s">
        <v>45</v>
      </c>
      <c r="AC322" s="396" t="s">
        <v>530</v>
      </c>
      <c r="AG322" s="78"/>
      <c r="AJ322" s="84" t="s">
        <v>45</v>
      </c>
      <c r="AK322" s="84">
        <v>0</v>
      </c>
      <c r="BB322" s="397" t="s">
        <v>66</v>
      </c>
      <c r="BM322" s="78">
        <f>IFERROR(X322*I322/H322,"0")</f>
        <v>71.152000000000001</v>
      </c>
      <c r="BN322" s="78">
        <f>IFERROR(Y322*I322/H322,"0")</f>
        <v>71.152000000000001</v>
      </c>
      <c r="BO322" s="78">
        <f>IFERROR(1/J322*(X322/H322),"0")</f>
        <v>0.125</v>
      </c>
      <c r="BP322" s="78">
        <f>IFERROR(1/J322*(Y322/H322),"0")</f>
        <v>0.125</v>
      </c>
    </row>
    <row r="323" spans="1:68" ht="27" customHeight="1" x14ac:dyDescent="0.25">
      <c r="A323" s="63" t="s">
        <v>531</v>
      </c>
      <c r="B323" s="63" t="s">
        <v>532</v>
      </c>
      <c r="C323" s="36">
        <v>4301060406</v>
      </c>
      <c r="D323" s="625">
        <v>4607091384482</v>
      </c>
      <c r="E323" s="625"/>
      <c r="F323" s="62">
        <v>1.3</v>
      </c>
      <c r="G323" s="37">
        <v>6</v>
      </c>
      <c r="H323" s="62">
        <v>7.8</v>
      </c>
      <c r="I323" s="62">
        <v>8.2940000000000005</v>
      </c>
      <c r="J323" s="37">
        <v>64</v>
      </c>
      <c r="K323" s="37" t="s">
        <v>119</v>
      </c>
      <c r="L323" s="37" t="s">
        <v>45</v>
      </c>
      <c r="M323" s="38" t="s">
        <v>90</v>
      </c>
      <c r="N323" s="38"/>
      <c r="O323" s="37">
        <v>30</v>
      </c>
      <c r="P323" s="7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627"/>
      <c r="R323" s="627"/>
      <c r="S323" s="627"/>
      <c r="T323" s="628"/>
      <c r="U323" s="39" t="s">
        <v>45</v>
      </c>
      <c r="V323" s="39" t="s">
        <v>45</v>
      </c>
      <c r="W323" s="40" t="s">
        <v>0</v>
      </c>
      <c r="X323" s="58">
        <v>62.4</v>
      </c>
      <c r="Y323" s="55">
        <f>IFERROR(IF(X323="",0,CEILING((X323/$H323),1)*$H323),"")</f>
        <v>62.4</v>
      </c>
      <c r="Z323" s="41">
        <f>IFERROR(IF(Y323=0,"",ROUNDUP(Y323/H323,0)*0.01898),"")</f>
        <v>0.15184</v>
      </c>
      <c r="AA323" s="68" t="s">
        <v>45</v>
      </c>
      <c r="AB323" s="69" t="s">
        <v>45</v>
      </c>
      <c r="AC323" s="398" t="s">
        <v>533</v>
      </c>
      <c r="AG323" s="78"/>
      <c r="AJ323" s="84" t="s">
        <v>45</v>
      </c>
      <c r="AK323" s="84">
        <v>0</v>
      </c>
      <c r="BB323" s="399" t="s">
        <v>66</v>
      </c>
      <c r="BM323" s="78">
        <f>IFERROR(X323*I323/H323,"0")</f>
        <v>66.352000000000004</v>
      </c>
      <c r="BN323" s="78">
        <f>IFERROR(Y323*I323/H323,"0")</f>
        <v>66.352000000000004</v>
      </c>
      <c r="BO323" s="78">
        <f>IFERROR(1/J323*(X323/H323),"0")</f>
        <v>0.125</v>
      </c>
      <c r="BP323" s="78">
        <f>IFERROR(1/J323*(Y323/H323),"0")</f>
        <v>0.125</v>
      </c>
    </row>
    <row r="324" spans="1:68" ht="16.5" customHeight="1" x14ac:dyDescent="0.25">
      <c r="A324" s="63" t="s">
        <v>534</v>
      </c>
      <c r="B324" s="63" t="s">
        <v>535</v>
      </c>
      <c r="C324" s="36">
        <v>4301060484</v>
      </c>
      <c r="D324" s="625">
        <v>4607091380897</v>
      </c>
      <c r="E324" s="625"/>
      <c r="F324" s="62">
        <v>1.4</v>
      </c>
      <c r="G324" s="37">
        <v>6</v>
      </c>
      <c r="H324" s="62">
        <v>8.4</v>
      </c>
      <c r="I324" s="62">
        <v>8.8940000000000001</v>
      </c>
      <c r="J324" s="37">
        <v>64</v>
      </c>
      <c r="K324" s="37" t="s">
        <v>119</v>
      </c>
      <c r="L324" s="37" t="s">
        <v>45</v>
      </c>
      <c r="M324" s="38" t="s">
        <v>96</v>
      </c>
      <c r="N324" s="38"/>
      <c r="O324" s="37">
        <v>30</v>
      </c>
      <c r="P324" s="7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627"/>
      <c r="R324" s="627"/>
      <c r="S324" s="627"/>
      <c r="T324" s="628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45</v>
      </c>
      <c r="AB324" s="69" t="s">
        <v>45</v>
      </c>
      <c r="AC324" s="400" t="s">
        <v>536</v>
      </c>
      <c r="AG324" s="78"/>
      <c r="AJ324" s="84" t="s">
        <v>45</v>
      </c>
      <c r="AK324" s="84">
        <v>0</v>
      </c>
      <c r="BB324" s="401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33"/>
      <c r="B325" s="633"/>
      <c r="C325" s="633"/>
      <c r="D325" s="633"/>
      <c r="E325" s="633"/>
      <c r="F325" s="633"/>
      <c r="G325" s="633"/>
      <c r="H325" s="633"/>
      <c r="I325" s="633"/>
      <c r="J325" s="633"/>
      <c r="K325" s="633"/>
      <c r="L325" s="633"/>
      <c r="M325" s="633"/>
      <c r="N325" s="633"/>
      <c r="O325" s="634"/>
      <c r="P325" s="630" t="s">
        <v>40</v>
      </c>
      <c r="Q325" s="631"/>
      <c r="R325" s="631"/>
      <c r="S325" s="631"/>
      <c r="T325" s="631"/>
      <c r="U325" s="631"/>
      <c r="V325" s="632"/>
      <c r="W325" s="42" t="s">
        <v>39</v>
      </c>
      <c r="X325" s="43">
        <f>IFERROR(X322/H322,"0")+IFERROR(X323/H323,"0")+IFERROR(X324/H324,"0")</f>
        <v>16</v>
      </c>
      <c r="Y325" s="43">
        <f>IFERROR(Y322/H322,"0")+IFERROR(Y323/H323,"0")+IFERROR(Y324/H324,"0")</f>
        <v>16</v>
      </c>
      <c r="Z325" s="43">
        <f>IFERROR(IF(Z322="",0,Z322),"0")+IFERROR(IF(Z323="",0,Z323),"0")+IFERROR(IF(Z324="",0,Z324),"0")</f>
        <v>0.30368000000000001</v>
      </c>
      <c r="AA325" s="67"/>
      <c r="AB325" s="67"/>
      <c r="AC325" s="67"/>
    </row>
    <row r="326" spans="1:68" x14ac:dyDescent="0.2">
      <c r="A326" s="633"/>
      <c r="B326" s="633"/>
      <c r="C326" s="633"/>
      <c r="D326" s="633"/>
      <c r="E326" s="633"/>
      <c r="F326" s="633"/>
      <c r="G326" s="633"/>
      <c r="H326" s="633"/>
      <c r="I326" s="633"/>
      <c r="J326" s="633"/>
      <c r="K326" s="633"/>
      <c r="L326" s="633"/>
      <c r="M326" s="633"/>
      <c r="N326" s="633"/>
      <c r="O326" s="634"/>
      <c r="P326" s="630" t="s">
        <v>40</v>
      </c>
      <c r="Q326" s="631"/>
      <c r="R326" s="631"/>
      <c r="S326" s="631"/>
      <c r="T326" s="631"/>
      <c r="U326" s="631"/>
      <c r="V326" s="632"/>
      <c r="W326" s="42" t="s">
        <v>0</v>
      </c>
      <c r="X326" s="43">
        <f>IFERROR(SUM(X322:X324),"0")</f>
        <v>129.6</v>
      </c>
      <c r="Y326" s="43">
        <f>IFERROR(SUM(Y322:Y324),"0")</f>
        <v>129.6</v>
      </c>
      <c r="Z326" s="42"/>
      <c r="AA326" s="67"/>
      <c r="AB326" s="67"/>
      <c r="AC326" s="67"/>
    </row>
    <row r="327" spans="1:68" ht="14.25" customHeight="1" x14ac:dyDescent="0.25">
      <c r="A327" s="624" t="s">
        <v>106</v>
      </c>
      <c r="B327" s="624"/>
      <c r="C327" s="624"/>
      <c r="D327" s="624"/>
      <c r="E327" s="624"/>
      <c r="F327" s="624"/>
      <c r="G327" s="624"/>
      <c r="H327" s="624"/>
      <c r="I327" s="624"/>
      <c r="J327" s="624"/>
      <c r="K327" s="624"/>
      <c r="L327" s="624"/>
      <c r="M327" s="624"/>
      <c r="N327" s="624"/>
      <c r="O327" s="624"/>
      <c r="P327" s="624"/>
      <c r="Q327" s="624"/>
      <c r="R327" s="624"/>
      <c r="S327" s="624"/>
      <c r="T327" s="624"/>
      <c r="U327" s="624"/>
      <c r="V327" s="624"/>
      <c r="W327" s="624"/>
      <c r="X327" s="624"/>
      <c r="Y327" s="624"/>
      <c r="Z327" s="624"/>
      <c r="AA327" s="66"/>
      <c r="AB327" s="66"/>
      <c r="AC327" s="80"/>
    </row>
    <row r="328" spans="1:68" ht="27" customHeight="1" x14ac:dyDescent="0.25">
      <c r="A328" s="63" t="s">
        <v>537</v>
      </c>
      <c r="B328" s="63" t="s">
        <v>538</v>
      </c>
      <c r="C328" s="36">
        <v>4301030235</v>
      </c>
      <c r="D328" s="625">
        <v>4607091388381</v>
      </c>
      <c r="E328" s="625"/>
      <c r="F328" s="62">
        <v>0.38</v>
      </c>
      <c r="G328" s="37">
        <v>8</v>
      </c>
      <c r="H328" s="62">
        <v>3.04</v>
      </c>
      <c r="I328" s="62">
        <v>3.31</v>
      </c>
      <c r="J328" s="37">
        <v>132</v>
      </c>
      <c r="K328" s="37" t="s">
        <v>122</v>
      </c>
      <c r="L328" s="37" t="s">
        <v>45</v>
      </c>
      <c r="M328" s="38" t="s">
        <v>111</v>
      </c>
      <c r="N328" s="38"/>
      <c r="O328" s="37">
        <v>180</v>
      </c>
      <c r="P328" s="79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627"/>
      <c r="R328" s="627"/>
      <c r="S328" s="627"/>
      <c r="T328" s="628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539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540</v>
      </c>
      <c r="B329" s="63" t="s">
        <v>541</v>
      </c>
      <c r="C329" s="36">
        <v>4301030232</v>
      </c>
      <c r="D329" s="625">
        <v>4607091388374</v>
      </c>
      <c r="E329" s="625"/>
      <c r="F329" s="62">
        <v>0.38</v>
      </c>
      <c r="G329" s="37">
        <v>8</v>
      </c>
      <c r="H329" s="62">
        <v>3.04</v>
      </c>
      <c r="I329" s="62">
        <v>3.27</v>
      </c>
      <c r="J329" s="37">
        <v>132</v>
      </c>
      <c r="K329" s="37" t="s">
        <v>122</v>
      </c>
      <c r="L329" s="37" t="s">
        <v>45</v>
      </c>
      <c r="M329" s="38" t="s">
        <v>111</v>
      </c>
      <c r="N329" s="38"/>
      <c r="O329" s="37">
        <v>180</v>
      </c>
      <c r="P329" s="79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627"/>
      <c r="R329" s="627"/>
      <c r="S329" s="627"/>
      <c r="T329" s="628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45</v>
      </c>
      <c r="AB329" s="69" t="s">
        <v>45</v>
      </c>
      <c r="AC329" s="404" t="s">
        <v>539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542</v>
      </c>
      <c r="B330" s="63" t="s">
        <v>543</v>
      </c>
      <c r="C330" s="36">
        <v>4301032015</v>
      </c>
      <c r="D330" s="625">
        <v>4607091383102</v>
      </c>
      <c r="E330" s="625"/>
      <c r="F330" s="62">
        <v>0.17</v>
      </c>
      <c r="G330" s="37">
        <v>15</v>
      </c>
      <c r="H330" s="62">
        <v>2.5499999999999998</v>
      </c>
      <c r="I330" s="62">
        <v>2.9550000000000001</v>
      </c>
      <c r="J330" s="37">
        <v>182</v>
      </c>
      <c r="K330" s="37" t="s">
        <v>81</v>
      </c>
      <c r="L330" s="37" t="s">
        <v>45</v>
      </c>
      <c r="M330" s="38" t="s">
        <v>111</v>
      </c>
      <c r="N330" s="38"/>
      <c r="O330" s="37">
        <v>180</v>
      </c>
      <c r="P330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627"/>
      <c r="R330" s="627"/>
      <c r="S330" s="627"/>
      <c r="T330" s="628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539</v>
      </c>
      <c r="AG330" s="78"/>
      <c r="AJ330" s="84" t="s">
        <v>45</v>
      </c>
      <c r="AK330" s="84">
        <v>0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544</v>
      </c>
      <c r="B331" s="63" t="s">
        <v>545</v>
      </c>
      <c r="C331" s="36">
        <v>4301030233</v>
      </c>
      <c r="D331" s="625">
        <v>4607091388404</v>
      </c>
      <c r="E331" s="625"/>
      <c r="F331" s="62">
        <v>0.17</v>
      </c>
      <c r="G331" s="37">
        <v>15</v>
      </c>
      <c r="H331" s="62">
        <v>2.5499999999999998</v>
      </c>
      <c r="I331" s="62">
        <v>2.88</v>
      </c>
      <c r="J331" s="37">
        <v>182</v>
      </c>
      <c r="K331" s="37" t="s">
        <v>81</v>
      </c>
      <c r="L331" s="37" t="s">
        <v>45</v>
      </c>
      <c r="M331" s="38" t="s">
        <v>111</v>
      </c>
      <c r="N331" s="38"/>
      <c r="O331" s="37">
        <v>180</v>
      </c>
      <c r="P331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627"/>
      <c r="R331" s="627"/>
      <c r="S331" s="627"/>
      <c r="T331" s="628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45</v>
      </c>
      <c r="AB331" s="69" t="s">
        <v>45</v>
      </c>
      <c r="AC331" s="408" t="s">
        <v>539</v>
      </c>
      <c r="AG331" s="78"/>
      <c r="AJ331" s="84" t="s">
        <v>45</v>
      </c>
      <c r="AK331" s="84">
        <v>0</v>
      </c>
      <c r="BB331" s="409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x14ac:dyDescent="0.2">
      <c r="A332" s="633"/>
      <c r="B332" s="633"/>
      <c r="C332" s="633"/>
      <c r="D332" s="633"/>
      <c r="E332" s="633"/>
      <c r="F332" s="633"/>
      <c r="G332" s="633"/>
      <c r="H332" s="633"/>
      <c r="I332" s="633"/>
      <c r="J332" s="633"/>
      <c r="K332" s="633"/>
      <c r="L332" s="633"/>
      <c r="M332" s="633"/>
      <c r="N332" s="633"/>
      <c r="O332" s="634"/>
      <c r="P332" s="630" t="s">
        <v>40</v>
      </c>
      <c r="Q332" s="631"/>
      <c r="R332" s="631"/>
      <c r="S332" s="631"/>
      <c r="T332" s="631"/>
      <c r="U332" s="631"/>
      <c r="V332" s="632"/>
      <c r="W332" s="42" t="s">
        <v>39</v>
      </c>
      <c r="X332" s="43">
        <f>IFERROR(X328/H328,"0")+IFERROR(X329/H329,"0")+IFERROR(X330/H330,"0")+IFERROR(X331/H331,"0")</f>
        <v>0</v>
      </c>
      <c r="Y332" s="43">
        <f>IFERROR(Y328/H328,"0")+IFERROR(Y329/H329,"0")+IFERROR(Y330/H330,"0")+IFERROR(Y331/H331,"0")</f>
        <v>0</v>
      </c>
      <c r="Z332" s="43">
        <f>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x14ac:dyDescent="0.2">
      <c r="A333" s="633"/>
      <c r="B333" s="633"/>
      <c r="C333" s="633"/>
      <c r="D333" s="633"/>
      <c r="E333" s="633"/>
      <c r="F333" s="633"/>
      <c r="G333" s="633"/>
      <c r="H333" s="633"/>
      <c r="I333" s="633"/>
      <c r="J333" s="633"/>
      <c r="K333" s="633"/>
      <c r="L333" s="633"/>
      <c r="M333" s="633"/>
      <c r="N333" s="633"/>
      <c r="O333" s="634"/>
      <c r="P333" s="630" t="s">
        <v>40</v>
      </c>
      <c r="Q333" s="631"/>
      <c r="R333" s="631"/>
      <c r="S333" s="631"/>
      <c r="T333" s="631"/>
      <c r="U333" s="631"/>
      <c r="V333" s="632"/>
      <c r="W333" s="42" t="s">
        <v>0</v>
      </c>
      <c r="X333" s="43">
        <f>IFERROR(SUM(X328:X331),"0")</f>
        <v>0</v>
      </c>
      <c r="Y333" s="43">
        <f>IFERROR(SUM(Y328:Y331),"0")</f>
        <v>0</v>
      </c>
      <c r="Z333" s="42"/>
      <c r="AA333" s="67"/>
      <c r="AB333" s="67"/>
      <c r="AC333" s="67"/>
    </row>
    <row r="334" spans="1:68" ht="14.25" customHeight="1" x14ac:dyDescent="0.25">
      <c r="A334" s="624" t="s">
        <v>546</v>
      </c>
      <c r="B334" s="624"/>
      <c r="C334" s="624"/>
      <c r="D334" s="624"/>
      <c r="E334" s="624"/>
      <c r="F334" s="624"/>
      <c r="G334" s="624"/>
      <c r="H334" s="624"/>
      <c r="I334" s="624"/>
      <c r="J334" s="624"/>
      <c r="K334" s="624"/>
      <c r="L334" s="624"/>
      <c r="M334" s="624"/>
      <c r="N334" s="624"/>
      <c r="O334" s="624"/>
      <c r="P334" s="624"/>
      <c r="Q334" s="624"/>
      <c r="R334" s="624"/>
      <c r="S334" s="624"/>
      <c r="T334" s="624"/>
      <c r="U334" s="624"/>
      <c r="V334" s="624"/>
      <c r="W334" s="624"/>
      <c r="X334" s="624"/>
      <c r="Y334" s="624"/>
      <c r="Z334" s="624"/>
      <c r="AA334" s="66"/>
      <c r="AB334" s="66"/>
      <c r="AC334" s="80"/>
    </row>
    <row r="335" spans="1:68" ht="16.5" customHeight="1" x14ac:dyDescent="0.25">
      <c r="A335" s="63" t="s">
        <v>547</v>
      </c>
      <c r="B335" s="63" t="s">
        <v>548</v>
      </c>
      <c r="C335" s="36">
        <v>4301180007</v>
      </c>
      <c r="D335" s="625">
        <v>4680115881808</v>
      </c>
      <c r="E335" s="625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81</v>
      </c>
      <c r="L335" s="37" t="s">
        <v>45</v>
      </c>
      <c r="M335" s="38" t="s">
        <v>550</v>
      </c>
      <c r="N335" s="38"/>
      <c r="O335" s="37">
        <v>730</v>
      </c>
      <c r="P335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627"/>
      <c r="R335" s="627"/>
      <c r="S335" s="627"/>
      <c r="T335" s="628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549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551</v>
      </c>
      <c r="B336" s="63" t="s">
        <v>552</v>
      </c>
      <c r="C336" s="36">
        <v>4301180006</v>
      </c>
      <c r="D336" s="625">
        <v>4680115881822</v>
      </c>
      <c r="E336" s="625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81</v>
      </c>
      <c r="L336" s="37" t="s">
        <v>45</v>
      </c>
      <c r="M336" s="38" t="s">
        <v>550</v>
      </c>
      <c r="N336" s="38"/>
      <c r="O336" s="37">
        <v>730</v>
      </c>
      <c r="P336" s="79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627"/>
      <c r="R336" s="627"/>
      <c r="S336" s="627"/>
      <c r="T336" s="628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549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553</v>
      </c>
      <c r="B337" s="63" t="s">
        <v>554</v>
      </c>
      <c r="C337" s="36">
        <v>4301180001</v>
      </c>
      <c r="D337" s="625">
        <v>4680115880016</v>
      </c>
      <c r="E337" s="625"/>
      <c r="F337" s="62">
        <v>0.1</v>
      </c>
      <c r="G337" s="37">
        <v>20</v>
      </c>
      <c r="H337" s="62">
        <v>2</v>
      </c>
      <c r="I337" s="62">
        <v>2.2400000000000002</v>
      </c>
      <c r="J337" s="37">
        <v>238</v>
      </c>
      <c r="K337" s="37" t="s">
        <v>81</v>
      </c>
      <c r="L337" s="37" t="s">
        <v>45</v>
      </c>
      <c r="M337" s="38" t="s">
        <v>550</v>
      </c>
      <c r="N337" s="38"/>
      <c r="O337" s="37">
        <v>730</v>
      </c>
      <c r="P337" s="79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627"/>
      <c r="R337" s="627"/>
      <c r="S337" s="627"/>
      <c r="T337" s="628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IFERROR(IF(Y337=0,"",ROUNDUP(Y337/H337,0)*0.00474),"")</f>
        <v/>
      </c>
      <c r="AA337" s="68" t="s">
        <v>45</v>
      </c>
      <c r="AB337" s="69" t="s">
        <v>45</v>
      </c>
      <c r="AC337" s="414" t="s">
        <v>549</v>
      </c>
      <c r="AG337" s="78"/>
      <c r="AJ337" s="84" t="s">
        <v>45</v>
      </c>
      <c r="AK337" s="84">
        <v>0</v>
      </c>
      <c r="BB337" s="415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33"/>
      <c r="B338" s="633"/>
      <c r="C338" s="633"/>
      <c r="D338" s="633"/>
      <c r="E338" s="633"/>
      <c r="F338" s="633"/>
      <c r="G338" s="633"/>
      <c r="H338" s="633"/>
      <c r="I338" s="633"/>
      <c r="J338" s="633"/>
      <c r="K338" s="633"/>
      <c r="L338" s="633"/>
      <c r="M338" s="633"/>
      <c r="N338" s="633"/>
      <c r="O338" s="634"/>
      <c r="P338" s="630" t="s">
        <v>40</v>
      </c>
      <c r="Q338" s="631"/>
      <c r="R338" s="631"/>
      <c r="S338" s="631"/>
      <c r="T338" s="631"/>
      <c r="U338" s="631"/>
      <c r="V338" s="632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33"/>
      <c r="B339" s="633"/>
      <c r="C339" s="633"/>
      <c r="D339" s="633"/>
      <c r="E339" s="633"/>
      <c r="F339" s="633"/>
      <c r="G339" s="633"/>
      <c r="H339" s="633"/>
      <c r="I339" s="633"/>
      <c r="J339" s="633"/>
      <c r="K339" s="633"/>
      <c r="L339" s="633"/>
      <c r="M339" s="633"/>
      <c r="N339" s="633"/>
      <c r="O339" s="634"/>
      <c r="P339" s="630" t="s">
        <v>40</v>
      </c>
      <c r="Q339" s="631"/>
      <c r="R339" s="631"/>
      <c r="S339" s="631"/>
      <c r="T339" s="631"/>
      <c r="U339" s="631"/>
      <c r="V339" s="632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623" t="s">
        <v>555</v>
      </c>
      <c r="B340" s="623"/>
      <c r="C340" s="623"/>
      <c r="D340" s="623"/>
      <c r="E340" s="623"/>
      <c r="F340" s="623"/>
      <c r="G340" s="623"/>
      <c r="H340" s="623"/>
      <c r="I340" s="623"/>
      <c r="J340" s="623"/>
      <c r="K340" s="623"/>
      <c r="L340" s="623"/>
      <c r="M340" s="623"/>
      <c r="N340" s="623"/>
      <c r="O340" s="623"/>
      <c r="P340" s="623"/>
      <c r="Q340" s="623"/>
      <c r="R340" s="623"/>
      <c r="S340" s="623"/>
      <c r="T340" s="623"/>
      <c r="U340" s="623"/>
      <c r="V340" s="623"/>
      <c r="W340" s="623"/>
      <c r="X340" s="623"/>
      <c r="Y340" s="623"/>
      <c r="Z340" s="623"/>
      <c r="AA340" s="65"/>
      <c r="AB340" s="65"/>
      <c r="AC340" s="79"/>
    </row>
    <row r="341" spans="1:68" ht="14.25" customHeight="1" x14ac:dyDescent="0.25">
      <c r="A341" s="624" t="s">
        <v>86</v>
      </c>
      <c r="B341" s="624"/>
      <c r="C341" s="624"/>
      <c r="D341" s="624"/>
      <c r="E341" s="624"/>
      <c r="F341" s="624"/>
      <c r="G341" s="624"/>
      <c r="H341" s="624"/>
      <c r="I341" s="624"/>
      <c r="J341" s="624"/>
      <c r="K341" s="624"/>
      <c r="L341" s="624"/>
      <c r="M341" s="624"/>
      <c r="N341" s="624"/>
      <c r="O341" s="624"/>
      <c r="P341" s="624"/>
      <c r="Q341" s="624"/>
      <c r="R341" s="624"/>
      <c r="S341" s="624"/>
      <c r="T341" s="624"/>
      <c r="U341" s="624"/>
      <c r="V341" s="624"/>
      <c r="W341" s="624"/>
      <c r="X341" s="624"/>
      <c r="Y341" s="624"/>
      <c r="Z341" s="624"/>
      <c r="AA341" s="66"/>
      <c r="AB341" s="66"/>
      <c r="AC341" s="80"/>
    </row>
    <row r="342" spans="1:68" ht="27" customHeight="1" x14ac:dyDescent="0.25">
      <c r="A342" s="63" t="s">
        <v>556</v>
      </c>
      <c r="B342" s="63" t="s">
        <v>557</v>
      </c>
      <c r="C342" s="36">
        <v>4301051489</v>
      </c>
      <c r="D342" s="625">
        <v>4607091387919</v>
      </c>
      <c r="E342" s="625"/>
      <c r="F342" s="62">
        <v>1.35</v>
      </c>
      <c r="G342" s="37">
        <v>6</v>
      </c>
      <c r="H342" s="62">
        <v>8.1</v>
      </c>
      <c r="I342" s="62">
        <v>8.5939999999999994</v>
      </c>
      <c r="J342" s="37">
        <v>64</v>
      </c>
      <c r="K342" s="37" t="s">
        <v>119</v>
      </c>
      <c r="L342" s="37" t="s">
        <v>45</v>
      </c>
      <c r="M342" s="38" t="s">
        <v>96</v>
      </c>
      <c r="N342" s="38"/>
      <c r="O342" s="37">
        <v>45</v>
      </c>
      <c r="P342" s="7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627"/>
      <c r="R342" s="627"/>
      <c r="S342" s="627"/>
      <c r="T342" s="628"/>
      <c r="U342" s="39" t="s">
        <v>45</v>
      </c>
      <c r="V342" s="39" t="s">
        <v>45</v>
      </c>
      <c r="W342" s="40" t="s">
        <v>0</v>
      </c>
      <c r="X342" s="58">
        <v>64.8</v>
      </c>
      <c r="Y342" s="55">
        <f>IFERROR(IF(X342="",0,CEILING((X342/$H342),1)*$H342),"")</f>
        <v>64.8</v>
      </c>
      <c r="Z342" s="41">
        <f>IFERROR(IF(Y342=0,"",ROUNDUP(Y342/H342,0)*0.01898),"")</f>
        <v>0.15184</v>
      </c>
      <c r="AA342" s="68" t="s">
        <v>45</v>
      </c>
      <c r="AB342" s="69" t="s">
        <v>45</v>
      </c>
      <c r="AC342" s="416" t="s">
        <v>558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68.751999999999995</v>
      </c>
      <c r="BN342" s="78">
        <f>IFERROR(Y342*I342/H342,"0")</f>
        <v>68.751999999999995</v>
      </c>
      <c r="BO342" s="78">
        <f>IFERROR(1/J342*(X342/H342),"0")</f>
        <v>0.125</v>
      </c>
      <c r="BP342" s="78">
        <f>IFERROR(1/J342*(Y342/H342),"0")</f>
        <v>0.125</v>
      </c>
    </row>
    <row r="343" spans="1:68" ht="27" customHeight="1" x14ac:dyDescent="0.25">
      <c r="A343" s="63" t="s">
        <v>559</v>
      </c>
      <c r="B343" s="63" t="s">
        <v>560</v>
      </c>
      <c r="C343" s="36">
        <v>4301051461</v>
      </c>
      <c r="D343" s="625">
        <v>4680115883604</v>
      </c>
      <c r="E343" s="625"/>
      <c r="F343" s="62">
        <v>0.35</v>
      </c>
      <c r="G343" s="37">
        <v>6</v>
      </c>
      <c r="H343" s="62">
        <v>2.1</v>
      </c>
      <c r="I343" s="62">
        <v>2.3519999999999999</v>
      </c>
      <c r="J343" s="37">
        <v>182</v>
      </c>
      <c r="K343" s="37" t="s">
        <v>81</v>
      </c>
      <c r="L343" s="37" t="s">
        <v>45</v>
      </c>
      <c r="M343" s="38" t="s">
        <v>90</v>
      </c>
      <c r="N343" s="38"/>
      <c r="O343" s="37">
        <v>45</v>
      </c>
      <c r="P343" s="7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627"/>
      <c r="R343" s="627"/>
      <c r="S343" s="627"/>
      <c r="T343" s="628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561</v>
      </c>
      <c r="AG343" s="78"/>
      <c r="AJ343" s="84" t="s">
        <v>45</v>
      </c>
      <c r="AK343" s="84">
        <v>0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562</v>
      </c>
      <c r="B344" s="63" t="s">
        <v>563</v>
      </c>
      <c r="C344" s="36">
        <v>4301051864</v>
      </c>
      <c r="D344" s="625">
        <v>4680115883567</v>
      </c>
      <c r="E344" s="625"/>
      <c r="F344" s="62">
        <v>0.35</v>
      </c>
      <c r="G344" s="37">
        <v>6</v>
      </c>
      <c r="H344" s="62">
        <v>2.1</v>
      </c>
      <c r="I344" s="62">
        <v>2.34</v>
      </c>
      <c r="J344" s="37">
        <v>182</v>
      </c>
      <c r="K344" s="37" t="s">
        <v>81</v>
      </c>
      <c r="L344" s="37" t="s">
        <v>45</v>
      </c>
      <c r="M344" s="38" t="s">
        <v>96</v>
      </c>
      <c r="N344" s="38"/>
      <c r="O344" s="37">
        <v>40</v>
      </c>
      <c r="P344" s="8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627"/>
      <c r="R344" s="627"/>
      <c r="S344" s="627"/>
      <c r="T344" s="628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45</v>
      </c>
      <c r="AB344" s="69" t="s">
        <v>45</v>
      </c>
      <c r="AC344" s="420" t="s">
        <v>564</v>
      </c>
      <c r="AG344" s="78"/>
      <c r="AJ344" s="84" t="s">
        <v>45</v>
      </c>
      <c r="AK344" s="84">
        <v>0</v>
      </c>
      <c r="BB344" s="421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633"/>
      <c r="B345" s="633"/>
      <c r="C345" s="633"/>
      <c r="D345" s="633"/>
      <c r="E345" s="633"/>
      <c r="F345" s="633"/>
      <c r="G345" s="633"/>
      <c r="H345" s="633"/>
      <c r="I345" s="633"/>
      <c r="J345" s="633"/>
      <c r="K345" s="633"/>
      <c r="L345" s="633"/>
      <c r="M345" s="633"/>
      <c r="N345" s="633"/>
      <c r="O345" s="634"/>
      <c r="P345" s="630" t="s">
        <v>40</v>
      </c>
      <c r="Q345" s="631"/>
      <c r="R345" s="631"/>
      <c r="S345" s="631"/>
      <c r="T345" s="631"/>
      <c r="U345" s="631"/>
      <c r="V345" s="632"/>
      <c r="W345" s="42" t="s">
        <v>39</v>
      </c>
      <c r="X345" s="43">
        <f>IFERROR(X342/H342,"0")+IFERROR(X343/H343,"0")+IFERROR(X344/H344,"0")</f>
        <v>8</v>
      </c>
      <c r="Y345" s="43">
        <f>IFERROR(Y342/H342,"0")+IFERROR(Y343/H343,"0")+IFERROR(Y344/H344,"0")</f>
        <v>8</v>
      </c>
      <c r="Z345" s="43">
        <f>IFERROR(IF(Z342="",0,Z342),"0")+IFERROR(IF(Z343="",0,Z343),"0")+IFERROR(IF(Z344="",0,Z344),"0")</f>
        <v>0.15184</v>
      </c>
      <c r="AA345" s="67"/>
      <c r="AB345" s="67"/>
      <c r="AC345" s="67"/>
    </row>
    <row r="346" spans="1:68" x14ac:dyDescent="0.2">
      <c r="A346" s="633"/>
      <c r="B346" s="633"/>
      <c r="C346" s="633"/>
      <c r="D346" s="633"/>
      <c r="E346" s="633"/>
      <c r="F346" s="633"/>
      <c r="G346" s="633"/>
      <c r="H346" s="633"/>
      <c r="I346" s="633"/>
      <c r="J346" s="633"/>
      <c r="K346" s="633"/>
      <c r="L346" s="633"/>
      <c r="M346" s="633"/>
      <c r="N346" s="633"/>
      <c r="O346" s="634"/>
      <c r="P346" s="630" t="s">
        <v>40</v>
      </c>
      <c r="Q346" s="631"/>
      <c r="R346" s="631"/>
      <c r="S346" s="631"/>
      <c r="T346" s="631"/>
      <c r="U346" s="631"/>
      <c r="V346" s="632"/>
      <c r="W346" s="42" t="s">
        <v>0</v>
      </c>
      <c r="X346" s="43">
        <f>IFERROR(SUM(X342:X344),"0")</f>
        <v>64.8</v>
      </c>
      <c r="Y346" s="43">
        <f>IFERROR(SUM(Y342:Y344),"0")</f>
        <v>64.8</v>
      </c>
      <c r="Z346" s="42"/>
      <c r="AA346" s="67"/>
      <c r="AB346" s="67"/>
      <c r="AC346" s="67"/>
    </row>
    <row r="347" spans="1:68" ht="27.75" customHeight="1" x14ac:dyDescent="0.2">
      <c r="A347" s="622" t="s">
        <v>565</v>
      </c>
      <c r="B347" s="622"/>
      <c r="C347" s="622"/>
      <c r="D347" s="622"/>
      <c r="E347" s="622"/>
      <c r="F347" s="622"/>
      <c r="G347" s="622"/>
      <c r="H347" s="622"/>
      <c r="I347" s="622"/>
      <c r="J347" s="622"/>
      <c r="K347" s="622"/>
      <c r="L347" s="622"/>
      <c r="M347" s="622"/>
      <c r="N347" s="622"/>
      <c r="O347" s="622"/>
      <c r="P347" s="622"/>
      <c r="Q347" s="622"/>
      <c r="R347" s="622"/>
      <c r="S347" s="622"/>
      <c r="T347" s="622"/>
      <c r="U347" s="622"/>
      <c r="V347" s="622"/>
      <c r="W347" s="622"/>
      <c r="X347" s="622"/>
      <c r="Y347" s="622"/>
      <c r="Z347" s="622"/>
      <c r="AA347" s="54"/>
      <c r="AB347" s="54"/>
      <c r="AC347" s="54"/>
    </row>
    <row r="348" spans="1:68" ht="16.5" customHeight="1" x14ac:dyDescent="0.25">
      <c r="A348" s="623" t="s">
        <v>566</v>
      </c>
      <c r="B348" s="623"/>
      <c r="C348" s="623"/>
      <c r="D348" s="623"/>
      <c r="E348" s="623"/>
      <c r="F348" s="623"/>
      <c r="G348" s="623"/>
      <c r="H348" s="623"/>
      <c r="I348" s="623"/>
      <c r="J348" s="623"/>
      <c r="K348" s="623"/>
      <c r="L348" s="623"/>
      <c r="M348" s="623"/>
      <c r="N348" s="623"/>
      <c r="O348" s="623"/>
      <c r="P348" s="623"/>
      <c r="Q348" s="623"/>
      <c r="R348" s="623"/>
      <c r="S348" s="623"/>
      <c r="T348" s="623"/>
      <c r="U348" s="623"/>
      <c r="V348" s="623"/>
      <c r="W348" s="623"/>
      <c r="X348" s="623"/>
      <c r="Y348" s="623"/>
      <c r="Z348" s="623"/>
      <c r="AA348" s="65"/>
      <c r="AB348" s="65"/>
      <c r="AC348" s="79"/>
    </row>
    <row r="349" spans="1:68" ht="14.25" customHeight="1" x14ac:dyDescent="0.25">
      <c r="A349" s="624" t="s">
        <v>114</v>
      </c>
      <c r="B349" s="624"/>
      <c r="C349" s="624"/>
      <c r="D349" s="624"/>
      <c r="E349" s="624"/>
      <c r="F349" s="624"/>
      <c r="G349" s="624"/>
      <c r="H349" s="624"/>
      <c r="I349" s="624"/>
      <c r="J349" s="624"/>
      <c r="K349" s="624"/>
      <c r="L349" s="624"/>
      <c r="M349" s="624"/>
      <c r="N349" s="624"/>
      <c r="O349" s="624"/>
      <c r="P349" s="624"/>
      <c r="Q349" s="624"/>
      <c r="R349" s="624"/>
      <c r="S349" s="624"/>
      <c r="T349" s="624"/>
      <c r="U349" s="624"/>
      <c r="V349" s="624"/>
      <c r="W349" s="624"/>
      <c r="X349" s="624"/>
      <c r="Y349" s="624"/>
      <c r="Z349" s="624"/>
      <c r="AA349" s="66"/>
      <c r="AB349" s="66"/>
      <c r="AC349" s="80"/>
    </row>
    <row r="350" spans="1:68" ht="37.5" customHeight="1" x14ac:dyDescent="0.25">
      <c r="A350" s="63" t="s">
        <v>567</v>
      </c>
      <c r="B350" s="63" t="s">
        <v>568</v>
      </c>
      <c r="C350" s="36">
        <v>4301011869</v>
      </c>
      <c r="D350" s="625">
        <v>4680115884847</v>
      </c>
      <c r="E350" s="625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119</v>
      </c>
      <c r="L350" s="37" t="s">
        <v>45</v>
      </c>
      <c r="M350" s="38" t="s">
        <v>80</v>
      </c>
      <c r="N350" s="38"/>
      <c r="O350" s="37">
        <v>60</v>
      </c>
      <c r="P350" s="80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627"/>
      <c r="R350" s="627"/>
      <c r="S350" s="627"/>
      <c r="T350" s="628"/>
      <c r="U350" s="39" t="s">
        <v>45</v>
      </c>
      <c r="V350" s="39" t="s">
        <v>45</v>
      </c>
      <c r="W350" s="40" t="s">
        <v>0</v>
      </c>
      <c r="X350" s="58">
        <v>240</v>
      </c>
      <c r="Y350" s="55">
        <f t="shared" ref="Y350:Y356" si="37">IFERROR(IF(X350="",0,CEILING((X350/$H350),1)*$H350),"")</f>
        <v>240</v>
      </c>
      <c r="Z350" s="41">
        <f>IFERROR(IF(Y350=0,"",ROUNDUP(Y350/H350,0)*0.02175),"")</f>
        <v>0.34799999999999998</v>
      </c>
      <c r="AA350" s="68" t="s">
        <v>45</v>
      </c>
      <c r="AB350" s="69" t="s">
        <v>45</v>
      </c>
      <c r="AC350" s="422" t="s">
        <v>569</v>
      </c>
      <c r="AG350" s="78"/>
      <c r="AJ350" s="84" t="s">
        <v>45</v>
      </c>
      <c r="AK350" s="84">
        <v>0</v>
      </c>
      <c r="BB350" s="423" t="s">
        <v>66</v>
      </c>
      <c r="BM350" s="78">
        <f t="shared" ref="BM350:BM356" si="38">IFERROR(X350*I350/H350,"0")</f>
        <v>247.52</v>
      </c>
      <c r="BN350" s="78">
        <f t="shared" ref="BN350:BN356" si="39">IFERROR(Y350*I350/H350,"0")</f>
        <v>247.52</v>
      </c>
      <c r="BO350" s="78">
        <f t="shared" ref="BO350:BO356" si="40">IFERROR(1/J350*(X350/H350),"0")</f>
        <v>0.33333333333333331</v>
      </c>
      <c r="BP350" s="78">
        <f t="shared" ref="BP350:BP356" si="41">IFERROR(1/J350*(Y350/H350),"0")</f>
        <v>0.33333333333333331</v>
      </c>
    </row>
    <row r="351" spans="1:68" ht="27" customHeight="1" x14ac:dyDescent="0.25">
      <c r="A351" s="63" t="s">
        <v>570</v>
      </c>
      <c r="B351" s="63" t="s">
        <v>571</v>
      </c>
      <c r="C351" s="36">
        <v>4301012083</v>
      </c>
      <c r="D351" s="625">
        <v>4680115884854</v>
      </c>
      <c r="E351" s="625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119</v>
      </c>
      <c r="L351" s="37" t="s">
        <v>45</v>
      </c>
      <c r="M351" s="38" t="s">
        <v>118</v>
      </c>
      <c r="N351" s="38"/>
      <c r="O351" s="37">
        <v>60</v>
      </c>
      <c r="P351" s="8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627"/>
      <c r="R351" s="627"/>
      <c r="S351" s="627"/>
      <c r="T351" s="628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7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572</v>
      </c>
      <c r="AG351" s="78"/>
      <c r="AJ351" s="84" t="s">
        <v>45</v>
      </c>
      <c r="AK351" s="84">
        <v>0</v>
      </c>
      <c r="BB351" s="425" t="s">
        <v>66</v>
      </c>
      <c r="BM351" s="78">
        <f t="shared" si="38"/>
        <v>0</v>
      </c>
      <c r="BN351" s="78">
        <f t="shared" si="39"/>
        <v>0</v>
      </c>
      <c r="BO351" s="78">
        <f t="shared" si="40"/>
        <v>0</v>
      </c>
      <c r="BP351" s="78">
        <f t="shared" si="41"/>
        <v>0</v>
      </c>
    </row>
    <row r="352" spans="1:68" ht="37.5" customHeight="1" x14ac:dyDescent="0.25">
      <c r="A352" s="63" t="s">
        <v>573</v>
      </c>
      <c r="B352" s="63" t="s">
        <v>574</v>
      </c>
      <c r="C352" s="36">
        <v>4301011867</v>
      </c>
      <c r="D352" s="625">
        <v>4680115884830</v>
      </c>
      <c r="E352" s="625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119</v>
      </c>
      <c r="L352" s="37" t="s">
        <v>45</v>
      </c>
      <c r="M352" s="38" t="s">
        <v>80</v>
      </c>
      <c r="N352" s="38"/>
      <c r="O352" s="37">
        <v>60</v>
      </c>
      <c r="P352" s="8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627"/>
      <c r="R352" s="627"/>
      <c r="S352" s="627"/>
      <c r="T352" s="628"/>
      <c r="U352" s="39" t="s">
        <v>45</v>
      </c>
      <c r="V352" s="39" t="s">
        <v>45</v>
      </c>
      <c r="W352" s="40" t="s">
        <v>0</v>
      </c>
      <c r="X352" s="58">
        <v>240</v>
      </c>
      <c r="Y352" s="55">
        <f t="shared" si="37"/>
        <v>240</v>
      </c>
      <c r="Z352" s="41">
        <f>IFERROR(IF(Y352=0,"",ROUNDUP(Y352/H352,0)*0.02175),"")</f>
        <v>0.34799999999999998</v>
      </c>
      <c r="AA352" s="68" t="s">
        <v>45</v>
      </c>
      <c r="AB352" s="69" t="s">
        <v>45</v>
      </c>
      <c r="AC352" s="426" t="s">
        <v>575</v>
      </c>
      <c r="AG352" s="78"/>
      <c r="AJ352" s="84" t="s">
        <v>45</v>
      </c>
      <c r="AK352" s="84">
        <v>0</v>
      </c>
      <c r="BB352" s="427" t="s">
        <v>66</v>
      </c>
      <c r="BM352" s="78">
        <f t="shared" si="38"/>
        <v>247.52</v>
      </c>
      <c r="BN352" s="78">
        <f t="shared" si="39"/>
        <v>247.52</v>
      </c>
      <c r="BO352" s="78">
        <f t="shared" si="40"/>
        <v>0.33333333333333331</v>
      </c>
      <c r="BP352" s="78">
        <f t="shared" si="41"/>
        <v>0.33333333333333331</v>
      </c>
    </row>
    <row r="353" spans="1:68" ht="27" customHeight="1" x14ac:dyDescent="0.25">
      <c r="A353" s="63" t="s">
        <v>576</v>
      </c>
      <c r="B353" s="63" t="s">
        <v>577</v>
      </c>
      <c r="C353" s="36">
        <v>4301012215</v>
      </c>
      <c r="D353" s="625">
        <v>4680115887046</v>
      </c>
      <c r="E353" s="625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119</v>
      </c>
      <c r="L353" s="37" t="s">
        <v>45</v>
      </c>
      <c r="M353" s="38" t="s">
        <v>96</v>
      </c>
      <c r="N353" s="38"/>
      <c r="O353" s="37">
        <v>60</v>
      </c>
      <c r="P353" s="80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627"/>
      <c r="R353" s="627"/>
      <c r="S353" s="627"/>
      <c r="T353" s="628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7"/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8" t="s">
        <v>578</v>
      </c>
      <c r="AG353" s="78"/>
      <c r="AJ353" s="84" t="s">
        <v>45</v>
      </c>
      <c r="AK353" s="84">
        <v>0</v>
      </c>
      <c r="BB353" s="429" t="s">
        <v>66</v>
      </c>
      <c r="BM353" s="78">
        <f t="shared" si="38"/>
        <v>0</v>
      </c>
      <c r="BN353" s="78">
        <f t="shared" si="39"/>
        <v>0</v>
      </c>
      <c r="BO353" s="78">
        <f t="shared" si="40"/>
        <v>0</v>
      </c>
      <c r="BP353" s="78">
        <f t="shared" si="41"/>
        <v>0</v>
      </c>
    </row>
    <row r="354" spans="1:68" ht="27" customHeight="1" x14ac:dyDescent="0.25">
      <c r="A354" s="63" t="s">
        <v>579</v>
      </c>
      <c r="B354" s="63" t="s">
        <v>580</v>
      </c>
      <c r="C354" s="36">
        <v>4301011433</v>
      </c>
      <c r="D354" s="625">
        <v>4680115882638</v>
      </c>
      <c r="E354" s="625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122</v>
      </c>
      <c r="L354" s="37" t="s">
        <v>45</v>
      </c>
      <c r="M354" s="38" t="s">
        <v>118</v>
      </c>
      <c r="N354" s="38"/>
      <c r="O354" s="37">
        <v>90</v>
      </c>
      <c r="P354" s="80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627"/>
      <c r="R354" s="627"/>
      <c r="S354" s="627"/>
      <c r="T354" s="628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7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581</v>
      </c>
      <c r="AG354" s="78"/>
      <c r="AJ354" s="84" t="s">
        <v>45</v>
      </c>
      <c r="AK354" s="84">
        <v>0</v>
      </c>
      <c r="BB354" s="431" t="s">
        <v>66</v>
      </c>
      <c r="BM354" s="78">
        <f t="shared" si="38"/>
        <v>0</v>
      </c>
      <c r="BN354" s="78">
        <f t="shared" si="39"/>
        <v>0</v>
      </c>
      <c r="BO354" s="78">
        <f t="shared" si="40"/>
        <v>0</v>
      </c>
      <c r="BP354" s="78">
        <f t="shared" si="41"/>
        <v>0</v>
      </c>
    </row>
    <row r="355" spans="1:68" ht="27" customHeight="1" x14ac:dyDescent="0.25">
      <c r="A355" s="63" t="s">
        <v>582</v>
      </c>
      <c r="B355" s="63" t="s">
        <v>583</v>
      </c>
      <c r="C355" s="36">
        <v>4301011952</v>
      </c>
      <c r="D355" s="625">
        <v>4680115884922</v>
      </c>
      <c r="E355" s="625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122</v>
      </c>
      <c r="L355" s="37" t="s">
        <v>45</v>
      </c>
      <c r="M355" s="38" t="s">
        <v>80</v>
      </c>
      <c r="N355" s="38"/>
      <c r="O355" s="37">
        <v>60</v>
      </c>
      <c r="P355" s="8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627"/>
      <c r="R355" s="627"/>
      <c r="S355" s="627"/>
      <c r="T355" s="628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7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584</v>
      </c>
      <c r="AG355" s="78"/>
      <c r="AJ355" s="84" t="s">
        <v>45</v>
      </c>
      <c r="AK355" s="84">
        <v>0</v>
      </c>
      <c r="BB355" s="433" t="s">
        <v>66</v>
      </c>
      <c r="BM355" s="78">
        <f t="shared" si="38"/>
        <v>0</v>
      </c>
      <c r="BN355" s="78">
        <f t="shared" si="39"/>
        <v>0</v>
      </c>
      <c r="BO355" s="78">
        <f t="shared" si="40"/>
        <v>0</v>
      </c>
      <c r="BP355" s="78">
        <f t="shared" si="41"/>
        <v>0</v>
      </c>
    </row>
    <row r="356" spans="1:68" ht="37.5" customHeight="1" x14ac:dyDescent="0.25">
      <c r="A356" s="63" t="s">
        <v>585</v>
      </c>
      <c r="B356" s="63" t="s">
        <v>586</v>
      </c>
      <c r="C356" s="36">
        <v>4301011868</v>
      </c>
      <c r="D356" s="625">
        <v>4680115884861</v>
      </c>
      <c r="E356" s="625"/>
      <c r="F356" s="62">
        <v>0.5</v>
      </c>
      <c r="G356" s="37">
        <v>10</v>
      </c>
      <c r="H356" s="62">
        <v>5</v>
      </c>
      <c r="I356" s="62">
        <v>5.19</v>
      </c>
      <c r="J356" s="37">
        <v>132</v>
      </c>
      <c r="K356" s="37" t="s">
        <v>122</v>
      </c>
      <c r="L356" s="37" t="s">
        <v>45</v>
      </c>
      <c r="M356" s="38" t="s">
        <v>80</v>
      </c>
      <c r="N356" s="38"/>
      <c r="O356" s="37">
        <v>60</v>
      </c>
      <c r="P356" s="8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627"/>
      <c r="R356" s="627"/>
      <c r="S356" s="627"/>
      <c r="T356" s="628"/>
      <c r="U356" s="39" t="s">
        <v>45</v>
      </c>
      <c r="V356" s="39" t="s">
        <v>45</v>
      </c>
      <c r="W356" s="40" t="s">
        <v>0</v>
      </c>
      <c r="X356" s="58">
        <v>0</v>
      </c>
      <c r="Y356" s="55">
        <f t="shared" si="37"/>
        <v>0</v>
      </c>
      <c r="Z356" s="41" t="str">
        <f>IFERROR(IF(Y356=0,"",ROUNDUP(Y356/H356,0)*0.00902),"")</f>
        <v/>
      </c>
      <c r="AA356" s="68" t="s">
        <v>45</v>
      </c>
      <c r="AB356" s="69" t="s">
        <v>45</v>
      </c>
      <c r="AC356" s="434" t="s">
        <v>575</v>
      </c>
      <c r="AG356" s="78"/>
      <c r="AJ356" s="84" t="s">
        <v>45</v>
      </c>
      <c r="AK356" s="84">
        <v>0</v>
      </c>
      <c r="BB356" s="435" t="s">
        <v>66</v>
      </c>
      <c r="BM356" s="78">
        <f t="shared" si="38"/>
        <v>0</v>
      </c>
      <c r="BN356" s="78">
        <f t="shared" si="39"/>
        <v>0</v>
      </c>
      <c r="BO356" s="78">
        <f t="shared" si="40"/>
        <v>0</v>
      </c>
      <c r="BP356" s="78">
        <f t="shared" si="41"/>
        <v>0</v>
      </c>
    </row>
    <row r="357" spans="1:68" x14ac:dyDescent="0.2">
      <c r="A357" s="633"/>
      <c r="B357" s="633"/>
      <c r="C357" s="633"/>
      <c r="D357" s="633"/>
      <c r="E357" s="633"/>
      <c r="F357" s="633"/>
      <c r="G357" s="633"/>
      <c r="H357" s="633"/>
      <c r="I357" s="633"/>
      <c r="J357" s="633"/>
      <c r="K357" s="633"/>
      <c r="L357" s="633"/>
      <c r="M357" s="633"/>
      <c r="N357" s="633"/>
      <c r="O357" s="634"/>
      <c r="P357" s="630" t="s">
        <v>40</v>
      </c>
      <c r="Q357" s="631"/>
      <c r="R357" s="631"/>
      <c r="S357" s="631"/>
      <c r="T357" s="631"/>
      <c r="U357" s="631"/>
      <c r="V357" s="632"/>
      <c r="W357" s="42" t="s">
        <v>39</v>
      </c>
      <c r="X357" s="43">
        <f>IFERROR(X350/H350,"0")+IFERROR(X351/H351,"0")+IFERROR(X352/H352,"0")+IFERROR(X353/H353,"0")+IFERROR(X354/H354,"0")+IFERROR(X355/H355,"0")+IFERROR(X356/H356,"0")</f>
        <v>32</v>
      </c>
      <c r="Y357" s="43">
        <f>IFERROR(Y350/H350,"0")+IFERROR(Y351/H351,"0")+IFERROR(Y352/H352,"0")+IFERROR(Y353/H353,"0")+IFERROR(Y354/H354,"0")+IFERROR(Y355/H355,"0")+IFERROR(Y356/H356,"0")</f>
        <v>32</v>
      </c>
      <c r="Z357" s="43">
        <f>IFERROR(IF(Z350="",0,Z350),"0")+IFERROR(IF(Z351="",0,Z351),"0")+IFERROR(IF(Z352="",0,Z352),"0")+IFERROR(IF(Z353="",0,Z353),"0")+IFERROR(IF(Z354="",0,Z354),"0")+IFERROR(IF(Z355="",0,Z355),"0")+IFERROR(IF(Z356="",0,Z356),"0")</f>
        <v>0.69599999999999995</v>
      </c>
      <c r="AA357" s="67"/>
      <c r="AB357" s="67"/>
      <c r="AC357" s="67"/>
    </row>
    <row r="358" spans="1:68" x14ac:dyDescent="0.2">
      <c r="A358" s="633"/>
      <c r="B358" s="633"/>
      <c r="C358" s="633"/>
      <c r="D358" s="633"/>
      <c r="E358" s="633"/>
      <c r="F358" s="633"/>
      <c r="G358" s="633"/>
      <c r="H358" s="633"/>
      <c r="I358" s="633"/>
      <c r="J358" s="633"/>
      <c r="K358" s="633"/>
      <c r="L358" s="633"/>
      <c r="M358" s="633"/>
      <c r="N358" s="633"/>
      <c r="O358" s="634"/>
      <c r="P358" s="630" t="s">
        <v>40</v>
      </c>
      <c r="Q358" s="631"/>
      <c r="R358" s="631"/>
      <c r="S358" s="631"/>
      <c r="T358" s="631"/>
      <c r="U358" s="631"/>
      <c r="V358" s="632"/>
      <c r="W358" s="42" t="s">
        <v>0</v>
      </c>
      <c r="X358" s="43">
        <f>IFERROR(SUM(X350:X356),"0")</f>
        <v>480</v>
      </c>
      <c r="Y358" s="43">
        <f>IFERROR(SUM(Y350:Y356),"0")</f>
        <v>480</v>
      </c>
      <c r="Z358" s="42"/>
      <c r="AA358" s="67"/>
      <c r="AB358" s="67"/>
      <c r="AC358" s="67"/>
    </row>
    <row r="359" spans="1:68" ht="14.25" customHeight="1" x14ac:dyDescent="0.25">
      <c r="A359" s="624" t="s">
        <v>147</v>
      </c>
      <c r="B359" s="624"/>
      <c r="C359" s="624"/>
      <c r="D359" s="624"/>
      <c r="E359" s="624"/>
      <c r="F359" s="624"/>
      <c r="G359" s="624"/>
      <c r="H359" s="624"/>
      <c r="I359" s="624"/>
      <c r="J359" s="624"/>
      <c r="K359" s="624"/>
      <c r="L359" s="624"/>
      <c r="M359" s="624"/>
      <c r="N359" s="624"/>
      <c r="O359" s="624"/>
      <c r="P359" s="624"/>
      <c r="Q359" s="624"/>
      <c r="R359" s="624"/>
      <c r="S359" s="624"/>
      <c r="T359" s="624"/>
      <c r="U359" s="624"/>
      <c r="V359" s="624"/>
      <c r="W359" s="624"/>
      <c r="X359" s="624"/>
      <c r="Y359" s="624"/>
      <c r="Z359" s="624"/>
      <c r="AA359" s="66"/>
      <c r="AB359" s="66"/>
      <c r="AC359" s="80"/>
    </row>
    <row r="360" spans="1:68" ht="27" customHeight="1" x14ac:dyDescent="0.25">
      <c r="A360" s="63" t="s">
        <v>587</v>
      </c>
      <c r="B360" s="63" t="s">
        <v>588</v>
      </c>
      <c r="C360" s="36">
        <v>4301020178</v>
      </c>
      <c r="D360" s="625">
        <v>4607091383980</v>
      </c>
      <c r="E360" s="625"/>
      <c r="F360" s="62">
        <v>2.5</v>
      </c>
      <c r="G360" s="37">
        <v>6</v>
      </c>
      <c r="H360" s="62">
        <v>15</v>
      </c>
      <c r="I360" s="62">
        <v>15.47</v>
      </c>
      <c r="J360" s="37">
        <v>48</v>
      </c>
      <c r="K360" s="37" t="s">
        <v>119</v>
      </c>
      <c r="L360" s="37" t="s">
        <v>45</v>
      </c>
      <c r="M360" s="38" t="s">
        <v>118</v>
      </c>
      <c r="N360" s="38"/>
      <c r="O360" s="37">
        <v>50</v>
      </c>
      <c r="P360" s="8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627"/>
      <c r="R360" s="627"/>
      <c r="S360" s="627"/>
      <c r="T360" s="628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IFERROR(IF(Y360=0,"",ROUNDUP(Y360/H360,0)*0.02175),"")</f>
        <v/>
      </c>
      <c r="AA360" s="68" t="s">
        <v>45</v>
      </c>
      <c r="AB360" s="69" t="s">
        <v>45</v>
      </c>
      <c r="AC360" s="436" t="s">
        <v>589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customHeight="1" x14ac:dyDescent="0.25">
      <c r="A361" s="63" t="s">
        <v>590</v>
      </c>
      <c r="B361" s="63" t="s">
        <v>591</v>
      </c>
      <c r="C361" s="36">
        <v>4301020179</v>
      </c>
      <c r="D361" s="625">
        <v>4607091384178</v>
      </c>
      <c r="E361" s="625"/>
      <c r="F361" s="62">
        <v>0.4</v>
      </c>
      <c r="G361" s="37">
        <v>10</v>
      </c>
      <c r="H361" s="62">
        <v>4</v>
      </c>
      <c r="I361" s="62">
        <v>4.1900000000000004</v>
      </c>
      <c r="J361" s="37">
        <v>132</v>
      </c>
      <c r="K361" s="37" t="s">
        <v>122</v>
      </c>
      <c r="L361" s="37" t="s">
        <v>45</v>
      </c>
      <c r="M361" s="38" t="s">
        <v>118</v>
      </c>
      <c r="N361" s="38"/>
      <c r="O361" s="37">
        <v>50</v>
      </c>
      <c r="P361" s="8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627"/>
      <c r="R361" s="627"/>
      <c r="S361" s="627"/>
      <c r="T361" s="628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IFERROR(IF(Y361=0,"",ROUNDUP(Y361/H361,0)*0.00902),"")</f>
        <v/>
      </c>
      <c r="AA361" s="68" t="s">
        <v>45</v>
      </c>
      <c r="AB361" s="69" t="s">
        <v>45</v>
      </c>
      <c r="AC361" s="438" t="s">
        <v>592</v>
      </c>
      <c r="AG361" s="78"/>
      <c r="AJ361" s="84" t="s">
        <v>45</v>
      </c>
      <c r="AK361" s="84">
        <v>0</v>
      </c>
      <c r="BB361" s="439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x14ac:dyDescent="0.2">
      <c r="A362" s="633"/>
      <c r="B362" s="633"/>
      <c r="C362" s="633"/>
      <c r="D362" s="633"/>
      <c r="E362" s="633"/>
      <c r="F362" s="633"/>
      <c r="G362" s="633"/>
      <c r="H362" s="633"/>
      <c r="I362" s="633"/>
      <c r="J362" s="633"/>
      <c r="K362" s="633"/>
      <c r="L362" s="633"/>
      <c r="M362" s="633"/>
      <c r="N362" s="633"/>
      <c r="O362" s="634"/>
      <c r="P362" s="630" t="s">
        <v>40</v>
      </c>
      <c r="Q362" s="631"/>
      <c r="R362" s="631"/>
      <c r="S362" s="631"/>
      <c r="T362" s="631"/>
      <c r="U362" s="631"/>
      <c r="V362" s="632"/>
      <c r="W362" s="42" t="s">
        <v>39</v>
      </c>
      <c r="X362" s="43">
        <f>IFERROR(X360/H360,"0")+IFERROR(X361/H361,"0")</f>
        <v>0</v>
      </c>
      <c r="Y362" s="43">
        <f>IFERROR(Y360/H360,"0")+IFERROR(Y361/H361,"0")</f>
        <v>0</v>
      </c>
      <c r="Z362" s="43">
        <f>IFERROR(IF(Z360="",0,Z360),"0")+IFERROR(IF(Z361="",0,Z361),"0")</f>
        <v>0</v>
      </c>
      <c r="AA362" s="67"/>
      <c r="AB362" s="67"/>
      <c r="AC362" s="67"/>
    </row>
    <row r="363" spans="1:68" x14ac:dyDescent="0.2">
      <c r="A363" s="633"/>
      <c r="B363" s="633"/>
      <c r="C363" s="633"/>
      <c r="D363" s="633"/>
      <c r="E363" s="633"/>
      <c r="F363" s="633"/>
      <c r="G363" s="633"/>
      <c r="H363" s="633"/>
      <c r="I363" s="633"/>
      <c r="J363" s="633"/>
      <c r="K363" s="633"/>
      <c r="L363" s="633"/>
      <c r="M363" s="633"/>
      <c r="N363" s="633"/>
      <c r="O363" s="634"/>
      <c r="P363" s="630" t="s">
        <v>40</v>
      </c>
      <c r="Q363" s="631"/>
      <c r="R363" s="631"/>
      <c r="S363" s="631"/>
      <c r="T363" s="631"/>
      <c r="U363" s="631"/>
      <c r="V363" s="632"/>
      <c r="W363" s="42" t="s">
        <v>0</v>
      </c>
      <c r="X363" s="43">
        <f>IFERROR(SUM(X360:X361),"0")</f>
        <v>0</v>
      </c>
      <c r="Y363" s="43">
        <f>IFERROR(SUM(Y360:Y361),"0")</f>
        <v>0</v>
      </c>
      <c r="Z363" s="42"/>
      <c r="AA363" s="67"/>
      <c r="AB363" s="67"/>
      <c r="AC363" s="67"/>
    </row>
    <row r="364" spans="1:68" ht="14.25" customHeight="1" x14ac:dyDescent="0.25">
      <c r="A364" s="624" t="s">
        <v>86</v>
      </c>
      <c r="B364" s="624"/>
      <c r="C364" s="624"/>
      <c r="D364" s="624"/>
      <c r="E364" s="624"/>
      <c r="F364" s="624"/>
      <c r="G364" s="624"/>
      <c r="H364" s="624"/>
      <c r="I364" s="624"/>
      <c r="J364" s="624"/>
      <c r="K364" s="624"/>
      <c r="L364" s="624"/>
      <c r="M364" s="624"/>
      <c r="N364" s="624"/>
      <c r="O364" s="624"/>
      <c r="P364" s="624"/>
      <c r="Q364" s="624"/>
      <c r="R364" s="624"/>
      <c r="S364" s="624"/>
      <c r="T364" s="624"/>
      <c r="U364" s="624"/>
      <c r="V364" s="624"/>
      <c r="W364" s="624"/>
      <c r="X364" s="624"/>
      <c r="Y364" s="624"/>
      <c r="Z364" s="624"/>
      <c r="AA364" s="66"/>
      <c r="AB364" s="66"/>
      <c r="AC364" s="80"/>
    </row>
    <row r="365" spans="1:68" ht="27" customHeight="1" x14ac:dyDescent="0.25">
      <c r="A365" s="63" t="s">
        <v>593</v>
      </c>
      <c r="B365" s="63" t="s">
        <v>594</v>
      </c>
      <c r="C365" s="36">
        <v>4301051903</v>
      </c>
      <c r="D365" s="625">
        <v>4607091383928</v>
      </c>
      <c r="E365" s="625"/>
      <c r="F365" s="62">
        <v>1.5</v>
      </c>
      <c r="G365" s="37">
        <v>6</v>
      </c>
      <c r="H365" s="62">
        <v>9</v>
      </c>
      <c r="I365" s="62">
        <v>9.5</v>
      </c>
      <c r="J365" s="37">
        <v>64</v>
      </c>
      <c r="K365" s="37" t="s">
        <v>119</v>
      </c>
      <c r="L365" s="37" t="s">
        <v>45</v>
      </c>
      <c r="M365" s="38" t="s">
        <v>90</v>
      </c>
      <c r="N365" s="38"/>
      <c r="O365" s="37">
        <v>40</v>
      </c>
      <c r="P365" s="8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627"/>
      <c r="R365" s="627"/>
      <c r="S365" s="627"/>
      <c r="T365" s="628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595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customHeight="1" x14ac:dyDescent="0.25">
      <c r="A366" s="63" t="s">
        <v>596</v>
      </c>
      <c r="B366" s="63" t="s">
        <v>597</v>
      </c>
      <c r="C366" s="36">
        <v>4301051897</v>
      </c>
      <c r="D366" s="625">
        <v>4607091384260</v>
      </c>
      <c r="E366" s="625"/>
      <c r="F366" s="62">
        <v>1.5</v>
      </c>
      <c r="G366" s="37">
        <v>6</v>
      </c>
      <c r="H366" s="62">
        <v>9</v>
      </c>
      <c r="I366" s="62">
        <v>9.4939999999999998</v>
      </c>
      <c r="J366" s="37">
        <v>64</v>
      </c>
      <c r="K366" s="37" t="s">
        <v>119</v>
      </c>
      <c r="L366" s="37" t="s">
        <v>45</v>
      </c>
      <c r="M366" s="38" t="s">
        <v>90</v>
      </c>
      <c r="N366" s="38"/>
      <c r="O366" s="37">
        <v>40</v>
      </c>
      <c r="P366" s="8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627"/>
      <c r="R366" s="627"/>
      <c r="S366" s="627"/>
      <c r="T366" s="628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42" t="s">
        <v>598</v>
      </c>
      <c r="AG366" s="78"/>
      <c r="AJ366" s="84" t="s">
        <v>45</v>
      </c>
      <c r="AK366" s="84">
        <v>0</v>
      </c>
      <c r="BB366" s="44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x14ac:dyDescent="0.2">
      <c r="A367" s="633"/>
      <c r="B367" s="633"/>
      <c r="C367" s="633"/>
      <c r="D367" s="633"/>
      <c r="E367" s="633"/>
      <c r="F367" s="633"/>
      <c r="G367" s="633"/>
      <c r="H367" s="633"/>
      <c r="I367" s="633"/>
      <c r="J367" s="633"/>
      <c r="K367" s="633"/>
      <c r="L367" s="633"/>
      <c r="M367" s="633"/>
      <c r="N367" s="633"/>
      <c r="O367" s="634"/>
      <c r="P367" s="630" t="s">
        <v>40</v>
      </c>
      <c r="Q367" s="631"/>
      <c r="R367" s="631"/>
      <c r="S367" s="631"/>
      <c r="T367" s="631"/>
      <c r="U367" s="631"/>
      <c r="V367" s="632"/>
      <c r="W367" s="42" t="s">
        <v>39</v>
      </c>
      <c r="X367" s="43">
        <f>IFERROR(X365/H365,"0")+IFERROR(X366/H366,"0")</f>
        <v>0</v>
      </c>
      <c r="Y367" s="43">
        <f>IFERROR(Y365/H365,"0")+IFERROR(Y366/H366,"0")</f>
        <v>0</v>
      </c>
      <c r="Z367" s="43">
        <f>IFERROR(IF(Z365="",0,Z365),"0")+IFERROR(IF(Z366="",0,Z366),"0")</f>
        <v>0</v>
      </c>
      <c r="AA367" s="67"/>
      <c r="AB367" s="67"/>
      <c r="AC367" s="67"/>
    </row>
    <row r="368" spans="1:68" x14ac:dyDescent="0.2">
      <c r="A368" s="633"/>
      <c r="B368" s="633"/>
      <c r="C368" s="633"/>
      <c r="D368" s="633"/>
      <c r="E368" s="633"/>
      <c r="F368" s="633"/>
      <c r="G368" s="633"/>
      <c r="H368" s="633"/>
      <c r="I368" s="633"/>
      <c r="J368" s="633"/>
      <c r="K368" s="633"/>
      <c r="L368" s="633"/>
      <c r="M368" s="633"/>
      <c r="N368" s="633"/>
      <c r="O368" s="634"/>
      <c r="P368" s="630" t="s">
        <v>40</v>
      </c>
      <c r="Q368" s="631"/>
      <c r="R368" s="631"/>
      <c r="S368" s="631"/>
      <c r="T368" s="631"/>
      <c r="U368" s="631"/>
      <c r="V368" s="632"/>
      <c r="W368" s="42" t="s">
        <v>0</v>
      </c>
      <c r="X368" s="43">
        <f>IFERROR(SUM(X365:X366),"0")</f>
        <v>0</v>
      </c>
      <c r="Y368" s="43">
        <f>IFERROR(SUM(Y365:Y366),"0")</f>
        <v>0</v>
      </c>
      <c r="Z368" s="42"/>
      <c r="AA368" s="67"/>
      <c r="AB368" s="67"/>
      <c r="AC368" s="67"/>
    </row>
    <row r="369" spans="1:68" ht="14.25" customHeight="1" x14ac:dyDescent="0.25">
      <c r="A369" s="624" t="s">
        <v>173</v>
      </c>
      <c r="B369" s="624"/>
      <c r="C369" s="624"/>
      <c r="D369" s="624"/>
      <c r="E369" s="624"/>
      <c r="F369" s="624"/>
      <c r="G369" s="624"/>
      <c r="H369" s="624"/>
      <c r="I369" s="624"/>
      <c r="J369" s="624"/>
      <c r="K369" s="624"/>
      <c r="L369" s="624"/>
      <c r="M369" s="624"/>
      <c r="N369" s="624"/>
      <c r="O369" s="624"/>
      <c r="P369" s="624"/>
      <c r="Q369" s="624"/>
      <c r="R369" s="624"/>
      <c r="S369" s="624"/>
      <c r="T369" s="624"/>
      <c r="U369" s="624"/>
      <c r="V369" s="624"/>
      <c r="W369" s="624"/>
      <c r="X369" s="624"/>
      <c r="Y369" s="624"/>
      <c r="Z369" s="624"/>
      <c r="AA369" s="66"/>
      <c r="AB369" s="66"/>
      <c r="AC369" s="80"/>
    </row>
    <row r="370" spans="1:68" ht="16.5" customHeight="1" x14ac:dyDescent="0.25">
      <c r="A370" s="63" t="s">
        <v>599</v>
      </c>
      <c r="B370" s="63" t="s">
        <v>600</v>
      </c>
      <c r="C370" s="36">
        <v>4301060524</v>
      </c>
      <c r="D370" s="625">
        <v>4607091384673</v>
      </c>
      <c r="E370" s="625"/>
      <c r="F370" s="62">
        <v>1.5</v>
      </c>
      <c r="G370" s="37">
        <v>6</v>
      </c>
      <c r="H370" s="62">
        <v>9</v>
      </c>
      <c r="I370" s="62">
        <v>9.4939999999999998</v>
      </c>
      <c r="J370" s="37">
        <v>64</v>
      </c>
      <c r="K370" s="37" t="s">
        <v>119</v>
      </c>
      <c r="L370" s="37" t="s">
        <v>45</v>
      </c>
      <c r="M370" s="38" t="s">
        <v>90</v>
      </c>
      <c r="N370" s="38"/>
      <c r="O370" s="37">
        <v>40</v>
      </c>
      <c r="P370" s="8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627"/>
      <c r="R370" s="627"/>
      <c r="S370" s="627"/>
      <c r="T370" s="628"/>
      <c r="U370" s="39" t="s">
        <v>45</v>
      </c>
      <c r="V370" s="39" t="s">
        <v>45</v>
      </c>
      <c r="W370" s="40" t="s">
        <v>0</v>
      </c>
      <c r="X370" s="58">
        <v>72</v>
      </c>
      <c r="Y370" s="55">
        <f>IFERROR(IF(X370="",0,CEILING((X370/$H370),1)*$H370),"")</f>
        <v>72</v>
      </c>
      <c r="Z370" s="41">
        <f>IFERROR(IF(Y370=0,"",ROUNDUP(Y370/H370,0)*0.01898),"")</f>
        <v>0.15184</v>
      </c>
      <c r="AA370" s="68" t="s">
        <v>45</v>
      </c>
      <c r="AB370" s="69" t="s">
        <v>45</v>
      </c>
      <c r="AC370" s="444" t="s">
        <v>601</v>
      </c>
      <c r="AG370" s="78"/>
      <c r="AJ370" s="84" t="s">
        <v>45</v>
      </c>
      <c r="AK370" s="84">
        <v>0</v>
      </c>
      <c r="BB370" s="445" t="s">
        <v>66</v>
      </c>
      <c r="BM370" s="78">
        <f>IFERROR(X370*I370/H370,"0")</f>
        <v>75.951999999999998</v>
      </c>
      <c r="BN370" s="78">
        <f>IFERROR(Y370*I370/H370,"0")</f>
        <v>75.951999999999998</v>
      </c>
      <c r="BO370" s="78">
        <f>IFERROR(1/J370*(X370/H370),"0")</f>
        <v>0.125</v>
      </c>
      <c r="BP370" s="78">
        <f>IFERROR(1/J370*(Y370/H370),"0")</f>
        <v>0.125</v>
      </c>
    </row>
    <row r="371" spans="1:68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0" t="s">
        <v>40</v>
      </c>
      <c r="Q371" s="631"/>
      <c r="R371" s="631"/>
      <c r="S371" s="631"/>
      <c r="T371" s="631"/>
      <c r="U371" s="631"/>
      <c r="V371" s="632"/>
      <c r="W371" s="42" t="s">
        <v>39</v>
      </c>
      <c r="X371" s="43">
        <f>IFERROR(X370/H370,"0")</f>
        <v>8</v>
      </c>
      <c r="Y371" s="43">
        <f>IFERROR(Y370/H370,"0")</f>
        <v>8</v>
      </c>
      <c r="Z371" s="43">
        <f>IFERROR(IF(Z370="",0,Z370),"0")</f>
        <v>0.15184</v>
      </c>
      <c r="AA371" s="67"/>
      <c r="AB371" s="67"/>
      <c r="AC371" s="67"/>
    </row>
    <row r="372" spans="1:68" x14ac:dyDescent="0.2">
      <c r="A372" s="633"/>
      <c r="B372" s="633"/>
      <c r="C372" s="633"/>
      <c r="D372" s="633"/>
      <c r="E372" s="633"/>
      <c r="F372" s="633"/>
      <c r="G372" s="633"/>
      <c r="H372" s="633"/>
      <c r="I372" s="633"/>
      <c r="J372" s="633"/>
      <c r="K372" s="633"/>
      <c r="L372" s="633"/>
      <c r="M372" s="633"/>
      <c r="N372" s="633"/>
      <c r="O372" s="634"/>
      <c r="P372" s="630" t="s">
        <v>40</v>
      </c>
      <c r="Q372" s="631"/>
      <c r="R372" s="631"/>
      <c r="S372" s="631"/>
      <c r="T372" s="631"/>
      <c r="U372" s="631"/>
      <c r="V372" s="632"/>
      <c r="W372" s="42" t="s">
        <v>0</v>
      </c>
      <c r="X372" s="43">
        <f>IFERROR(SUM(X370:X370),"0")</f>
        <v>72</v>
      </c>
      <c r="Y372" s="43">
        <f>IFERROR(SUM(Y370:Y370),"0")</f>
        <v>72</v>
      </c>
      <c r="Z372" s="42"/>
      <c r="AA372" s="67"/>
      <c r="AB372" s="67"/>
      <c r="AC372" s="67"/>
    </row>
    <row r="373" spans="1:68" ht="16.5" customHeight="1" x14ac:dyDescent="0.25">
      <c r="A373" s="623" t="s">
        <v>602</v>
      </c>
      <c r="B373" s="623"/>
      <c r="C373" s="623"/>
      <c r="D373" s="623"/>
      <c r="E373" s="623"/>
      <c r="F373" s="623"/>
      <c r="G373" s="623"/>
      <c r="H373" s="623"/>
      <c r="I373" s="623"/>
      <c r="J373" s="623"/>
      <c r="K373" s="623"/>
      <c r="L373" s="623"/>
      <c r="M373" s="623"/>
      <c r="N373" s="623"/>
      <c r="O373" s="623"/>
      <c r="P373" s="623"/>
      <c r="Q373" s="623"/>
      <c r="R373" s="623"/>
      <c r="S373" s="623"/>
      <c r="T373" s="623"/>
      <c r="U373" s="623"/>
      <c r="V373" s="623"/>
      <c r="W373" s="623"/>
      <c r="X373" s="623"/>
      <c r="Y373" s="623"/>
      <c r="Z373" s="623"/>
      <c r="AA373" s="65"/>
      <c r="AB373" s="65"/>
      <c r="AC373" s="79"/>
    </row>
    <row r="374" spans="1:68" ht="14.25" customHeight="1" x14ac:dyDescent="0.25">
      <c r="A374" s="624" t="s">
        <v>114</v>
      </c>
      <c r="B374" s="624"/>
      <c r="C374" s="624"/>
      <c r="D374" s="624"/>
      <c r="E374" s="624"/>
      <c r="F374" s="624"/>
      <c r="G374" s="624"/>
      <c r="H374" s="624"/>
      <c r="I374" s="624"/>
      <c r="J374" s="624"/>
      <c r="K374" s="624"/>
      <c r="L374" s="624"/>
      <c r="M374" s="624"/>
      <c r="N374" s="624"/>
      <c r="O374" s="624"/>
      <c r="P374" s="624"/>
      <c r="Q374" s="624"/>
      <c r="R374" s="624"/>
      <c r="S374" s="624"/>
      <c r="T374" s="624"/>
      <c r="U374" s="624"/>
      <c r="V374" s="624"/>
      <c r="W374" s="624"/>
      <c r="X374" s="624"/>
      <c r="Y374" s="624"/>
      <c r="Z374" s="624"/>
      <c r="AA374" s="66"/>
      <c r="AB374" s="66"/>
      <c r="AC374" s="80"/>
    </row>
    <row r="375" spans="1:68" ht="37.5" customHeight="1" x14ac:dyDescent="0.25">
      <c r="A375" s="63" t="s">
        <v>603</v>
      </c>
      <c r="B375" s="63" t="s">
        <v>604</v>
      </c>
      <c r="C375" s="36">
        <v>4301011875</v>
      </c>
      <c r="D375" s="625">
        <v>4680115884885</v>
      </c>
      <c r="E375" s="625"/>
      <c r="F375" s="62">
        <v>0.8</v>
      </c>
      <c r="G375" s="37">
        <v>15</v>
      </c>
      <c r="H375" s="62">
        <v>12</v>
      </c>
      <c r="I375" s="62">
        <v>12.41</v>
      </c>
      <c r="J375" s="37">
        <v>64</v>
      </c>
      <c r="K375" s="37" t="s">
        <v>119</v>
      </c>
      <c r="L375" s="37" t="s">
        <v>45</v>
      </c>
      <c r="M375" s="38" t="s">
        <v>80</v>
      </c>
      <c r="N375" s="38"/>
      <c r="O375" s="37">
        <v>60</v>
      </c>
      <c r="P375" s="81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627"/>
      <c r="R375" s="627"/>
      <c r="S375" s="627"/>
      <c r="T375" s="628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45</v>
      </c>
      <c r="AB375" s="69" t="s">
        <v>45</v>
      </c>
      <c r="AC375" s="446" t="s">
        <v>605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37.5" customHeight="1" x14ac:dyDescent="0.25">
      <c r="A376" s="63" t="s">
        <v>606</v>
      </c>
      <c r="B376" s="63" t="s">
        <v>607</v>
      </c>
      <c r="C376" s="36">
        <v>4301011871</v>
      </c>
      <c r="D376" s="625">
        <v>4680115884908</v>
      </c>
      <c r="E376" s="625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122</v>
      </c>
      <c r="L376" s="37" t="s">
        <v>45</v>
      </c>
      <c r="M376" s="38" t="s">
        <v>80</v>
      </c>
      <c r="N376" s="38"/>
      <c r="O376" s="37">
        <v>60</v>
      </c>
      <c r="P376" s="81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627"/>
      <c r="R376" s="627"/>
      <c r="S376" s="627"/>
      <c r="T376" s="628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8" t="s">
        <v>605</v>
      </c>
      <c r="AG376" s="78"/>
      <c r="AJ376" s="84" t="s">
        <v>45</v>
      </c>
      <c r="AK376" s="84">
        <v>0</v>
      </c>
      <c r="BB376" s="449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x14ac:dyDescent="0.2">
      <c r="A377" s="633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0" t="s">
        <v>40</v>
      </c>
      <c r="Q377" s="631"/>
      <c r="R377" s="631"/>
      <c r="S377" s="631"/>
      <c r="T377" s="631"/>
      <c r="U377" s="631"/>
      <c r="V377" s="632"/>
      <c r="W377" s="42" t="s">
        <v>39</v>
      </c>
      <c r="X377" s="43">
        <f>IFERROR(X375/H375,"0")+IFERROR(X376/H376,"0")</f>
        <v>0</v>
      </c>
      <c r="Y377" s="43">
        <f>IFERROR(Y375/H375,"0")+IFERROR(Y376/H376,"0")</f>
        <v>0</v>
      </c>
      <c r="Z377" s="43">
        <f>IFERROR(IF(Z375="",0,Z375),"0")+IFERROR(IF(Z376="",0,Z376),"0")</f>
        <v>0</v>
      </c>
      <c r="AA377" s="67"/>
      <c r="AB377" s="67"/>
      <c r="AC377" s="67"/>
    </row>
    <row r="378" spans="1:68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0" t="s">
        <v>40</v>
      </c>
      <c r="Q378" s="631"/>
      <c r="R378" s="631"/>
      <c r="S378" s="631"/>
      <c r="T378" s="631"/>
      <c r="U378" s="631"/>
      <c r="V378" s="632"/>
      <c r="W378" s="42" t="s">
        <v>0</v>
      </c>
      <c r="X378" s="43">
        <f>IFERROR(SUM(X375:X376),"0")</f>
        <v>0</v>
      </c>
      <c r="Y378" s="43">
        <f>IFERROR(SUM(Y375:Y376),"0")</f>
        <v>0</v>
      </c>
      <c r="Z378" s="42"/>
      <c r="AA378" s="67"/>
      <c r="AB378" s="67"/>
      <c r="AC378" s="67"/>
    </row>
    <row r="379" spans="1:68" ht="14.25" customHeight="1" x14ac:dyDescent="0.25">
      <c r="A379" s="624" t="s">
        <v>76</v>
      </c>
      <c r="B379" s="624"/>
      <c r="C379" s="624"/>
      <c r="D379" s="624"/>
      <c r="E379" s="624"/>
      <c r="F379" s="624"/>
      <c r="G379" s="624"/>
      <c r="H379" s="624"/>
      <c r="I379" s="624"/>
      <c r="J379" s="624"/>
      <c r="K379" s="624"/>
      <c r="L379" s="624"/>
      <c r="M379" s="624"/>
      <c r="N379" s="624"/>
      <c r="O379" s="624"/>
      <c r="P379" s="624"/>
      <c r="Q379" s="624"/>
      <c r="R379" s="624"/>
      <c r="S379" s="624"/>
      <c r="T379" s="624"/>
      <c r="U379" s="624"/>
      <c r="V379" s="624"/>
      <c r="W379" s="624"/>
      <c r="X379" s="624"/>
      <c r="Y379" s="624"/>
      <c r="Z379" s="624"/>
      <c r="AA379" s="66"/>
      <c r="AB379" s="66"/>
      <c r="AC379" s="80"/>
    </row>
    <row r="380" spans="1:68" ht="27" customHeight="1" x14ac:dyDescent="0.25">
      <c r="A380" s="63" t="s">
        <v>608</v>
      </c>
      <c r="B380" s="63" t="s">
        <v>609</v>
      </c>
      <c r="C380" s="36">
        <v>4301031457</v>
      </c>
      <c r="D380" s="625">
        <v>4607091384802</v>
      </c>
      <c r="E380" s="625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122</v>
      </c>
      <c r="L380" s="37" t="s">
        <v>45</v>
      </c>
      <c r="M380" s="38" t="s">
        <v>80</v>
      </c>
      <c r="N380" s="38"/>
      <c r="O380" s="37">
        <v>50</v>
      </c>
      <c r="P380" s="8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627"/>
      <c r="R380" s="627"/>
      <c r="S380" s="627"/>
      <c r="T380" s="628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610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633"/>
      <c r="B381" s="633"/>
      <c r="C381" s="633"/>
      <c r="D381" s="633"/>
      <c r="E381" s="633"/>
      <c r="F381" s="633"/>
      <c r="G381" s="633"/>
      <c r="H381" s="633"/>
      <c r="I381" s="633"/>
      <c r="J381" s="633"/>
      <c r="K381" s="633"/>
      <c r="L381" s="633"/>
      <c r="M381" s="633"/>
      <c r="N381" s="633"/>
      <c r="O381" s="634"/>
      <c r="P381" s="630" t="s">
        <v>40</v>
      </c>
      <c r="Q381" s="631"/>
      <c r="R381" s="631"/>
      <c r="S381" s="631"/>
      <c r="T381" s="631"/>
      <c r="U381" s="631"/>
      <c r="V381" s="632"/>
      <c r="W381" s="42" t="s">
        <v>39</v>
      </c>
      <c r="X381" s="43">
        <f>IFERROR(X380/H380,"0")</f>
        <v>0</v>
      </c>
      <c r="Y381" s="43">
        <f>IFERROR(Y380/H380,"0")</f>
        <v>0</v>
      </c>
      <c r="Z381" s="43">
        <f>IFERROR(IF(Z380="",0,Z380),"0")</f>
        <v>0</v>
      </c>
      <c r="AA381" s="67"/>
      <c r="AB381" s="67"/>
      <c r="AC381" s="67"/>
    </row>
    <row r="382" spans="1:68" x14ac:dyDescent="0.2">
      <c r="A382" s="633"/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4"/>
      <c r="P382" s="630" t="s">
        <v>40</v>
      </c>
      <c r="Q382" s="631"/>
      <c r="R382" s="631"/>
      <c r="S382" s="631"/>
      <c r="T382" s="631"/>
      <c r="U382" s="631"/>
      <c r="V382" s="632"/>
      <c r="W382" s="42" t="s">
        <v>0</v>
      </c>
      <c r="X382" s="43">
        <f>IFERROR(SUM(X380:X380),"0")</f>
        <v>0</v>
      </c>
      <c r="Y382" s="43">
        <f>IFERROR(SUM(Y380:Y380),"0")</f>
        <v>0</v>
      </c>
      <c r="Z382" s="42"/>
      <c r="AA382" s="67"/>
      <c r="AB382" s="67"/>
      <c r="AC382" s="67"/>
    </row>
    <row r="383" spans="1:68" ht="14.25" customHeight="1" x14ac:dyDescent="0.25">
      <c r="A383" s="624" t="s">
        <v>86</v>
      </c>
      <c r="B383" s="624"/>
      <c r="C383" s="624"/>
      <c r="D383" s="624"/>
      <c r="E383" s="624"/>
      <c r="F383" s="624"/>
      <c r="G383" s="624"/>
      <c r="H383" s="624"/>
      <c r="I383" s="624"/>
      <c r="J383" s="624"/>
      <c r="K383" s="624"/>
      <c r="L383" s="624"/>
      <c r="M383" s="624"/>
      <c r="N383" s="624"/>
      <c r="O383" s="624"/>
      <c r="P383" s="624"/>
      <c r="Q383" s="624"/>
      <c r="R383" s="624"/>
      <c r="S383" s="624"/>
      <c r="T383" s="624"/>
      <c r="U383" s="624"/>
      <c r="V383" s="624"/>
      <c r="W383" s="624"/>
      <c r="X383" s="624"/>
      <c r="Y383" s="624"/>
      <c r="Z383" s="624"/>
      <c r="AA383" s="66"/>
      <c r="AB383" s="66"/>
      <c r="AC383" s="80"/>
    </row>
    <row r="384" spans="1:68" ht="27" customHeight="1" x14ac:dyDescent="0.25">
      <c r="A384" s="63" t="s">
        <v>611</v>
      </c>
      <c r="B384" s="63" t="s">
        <v>612</v>
      </c>
      <c r="C384" s="36">
        <v>4301051899</v>
      </c>
      <c r="D384" s="625">
        <v>4607091384246</v>
      </c>
      <c r="E384" s="625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119</v>
      </c>
      <c r="L384" s="37" t="s">
        <v>45</v>
      </c>
      <c r="M384" s="38" t="s">
        <v>90</v>
      </c>
      <c r="N384" s="38"/>
      <c r="O384" s="37">
        <v>40</v>
      </c>
      <c r="P384" s="81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627"/>
      <c r="R384" s="627"/>
      <c r="S384" s="627"/>
      <c r="T384" s="628"/>
      <c r="U384" s="39" t="s">
        <v>45</v>
      </c>
      <c r="V384" s="39" t="s">
        <v>45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45</v>
      </c>
      <c r="AB384" s="69" t="s">
        <v>45</v>
      </c>
      <c r="AC384" s="452" t="s">
        <v>613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614</v>
      </c>
      <c r="B385" s="63" t="s">
        <v>615</v>
      </c>
      <c r="C385" s="36">
        <v>4301051660</v>
      </c>
      <c r="D385" s="625">
        <v>4607091384253</v>
      </c>
      <c r="E385" s="625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81</v>
      </c>
      <c r="L385" s="37" t="s">
        <v>45</v>
      </c>
      <c r="M385" s="38" t="s">
        <v>90</v>
      </c>
      <c r="N385" s="38"/>
      <c r="O385" s="37">
        <v>40</v>
      </c>
      <c r="P385" s="8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627"/>
      <c r="R385" s="627"/>
      <c r="S385" s="627"/>
      <c r="T385" s="628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45</v>
      </c>
      <c r="AB385" s="69" t="s">
        <v>45</v>
      </c>
      <c r="AC385" s="454" t="s">
        <v>613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614</v>
      </c>
      <c r="B386" s="63" t="s">
        <v>616</v>
      </c>
      <c r="C386" s="36">
        <v>4301052069</v>
      </c>
      <c r="D386" s="625">
        <v>4607091384253</v>
      </c>
      <c r="E386" s="625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81</v>
      </c>
      <c r="L386" s="37" t="s">
        <v>45</v>
      </c>
      <c r="M386" s="38" t="s">
        <v>90</v>
      </c>
      <c r="N386" s="38"/>
      <c r="O386" s="37">
        <v>40</v>
      </c>
      <c r="P386" s="81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627"/>
      <c r="R386" s="627"/>
      <c r="S386" s="627"/>
      <c r="T386" s="628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617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633"/>
      <c r="B387" s="633"/>
      <c r="C387" s="633"/>
      <c r="D387" s="633"/>
      <c r="E387" s="633"/>
      <c r="F387" s="633"/>
      <c r="G387" s="633"/>
      <c r="H387" s="633"/>
      <c r="I387" s="633"/>
      <c r="J387" s="633"/>
      <c r="K387" s="633"/>
      <c r="L387" s="633"/>
      <c r="M387" s="633"/>
      <c r="N387" s="633"/>
      <c r="O387" s="634"/>
      <c r="P387" s="630" t="s">
        <v>40</v>
      </c>
      <c r="Q387" s="631"/>
      <c r="R387" s="631"/>
      <c r="S387" s="631"/>
      <c r="T387" s="631"/>
      <c r="U387" s="631"/>
      <c r="V387" s="632"/>
      <c r="W387" s="42" t="s">
        <v>39</v>
      </c>
      <c r="X387" s="43">
        <f>IFERROR(X384/H384,"0")+IFERROR(X385/H385,"0")+IFERROR(X386/H386,"0")</f>
        <v>0</v>
      </c>
      <c r="Y387" s="43">
        <f>IFERROR(Y384/H384,"0")+IFERROR(Y385/H385,"0")+IFERROR(Y386/H386,"0")</f>
        <v>0</v>
      </c>
      <c r="Z387" s="43">
        <f>IFERROR(IF(Z384="",0,Z384),"0")+IFERROR(IF(Z385="",0,Z385),"0")+IFERROR(IF(Z386="",0,Z386),"0")</f>
        <v>0</v>
      </c>
      <c r="AA387" s="67"/>
      <c r="AB387" s="67"/>
      <c r="AC387" s="67"/>
    </row>
    <row r="388" spans="1:68" x14ac:dyDescent="0.2">
      <c r="A388" s="633"/>
      <c r="B388" s="633"/>
      <c r="C388" s="633"/>
      <c r="D388" s="633"/>
      <c r="E388" s="633"/>
      <c r="F388" s="633"/>
      <c r="G388" s="633"/>
      <c r="H388" s="633"/>
      <c r="I388" s="633"/>
      <c r="J388" s="633"/>
      <c r="K388" s="633"/>
      <c r="L388" s="633"/>
      <c r="M388" s="633"/>
      <c r="N388" s="633"/>
      <c r="O388" s="634"/>
      <c r="P388" s="630" t="s">
        <v>40</v>
      </c>
      <c r="Q388" s="631"/>
      <c r="R388" s="631"/>
      <c r="S388" s="631"/>
      <c r="T388" s="631"/>
      <c r="U388" s="631"/>
      <c r="V388" s="632"/>
      <c r="W388" s="42" t="s">
        <v>0</v>
      </c>
      <c r="X388" s="43">
        <f>IFERROR(SUM(X384:X386),"0")</f>
        <v>0</v>
      </c>
      <c r="Y388" s="43">
        <f>IFERROR(SUM(Y384:Y386),"0")</f>
        <v>0</v>
      </c>
      <c r="Z388" s="42"/>
      <c r="AA388" s="67"/>
      <c r="AB388" s="67"/>
      <c r="AC388" s="67"/>
    </row>
    <row r="389" spans="1:68" ht="27.75" customHeight="1" x14ac:dyDescent="0.2">
      <c r="A389" s="622" t="s">
        <v>618</v>
      </c>
      <c r="B389" s="622"/>
      <c r="C389" s="622"/>
      <c r="D389" s="622"/>
      <c r="E389" s="622"/>
      <c r="F389" s="622"/>
      <c r="G389" s="622"/>
      <c r="H389" s="622"/>
      <c r="I389" s="622"/>
      <c r="J389" s="622"/>
      <c r="K389" s="622"/>
      <c r="L389" s="622"/>
      <c r="M389" s="622"/>
      <c r="N389" s="622"/>
      <c r="O389" s="622"/>
      <c r="P389" s="622"/>
      <c r="Q389" s="622"/>
      <c r="R389" s="622"/>
      <c r="S389" s="622"/>
      <c r="T389" s="622"/>
      <c r="U389" s="622"/>
      <c r="V389" s="622"/>
      <c r="W389" s="622"/>
      <c r="X389" s="622"/>
      <c r="Y389" s="622"/>
      <c r="Z389" s="622"/>
      <c r="AA389" s="54"/>
      <c r="AB389" s="54"/>
      <c r="AC389" s="54"/>
    </row>
    <row r="390" spans="1:68" ht="16.5" customHeight="1" x14ac:dyDescent="0.25">
      <c r="A390" s="623" t="s">
        <v>619</v>
      </c>
      <c r="B390" s="623"/>
      <c r="C390" s="623"/>
      <c r="D390" s="623"/>
      <c r="E390" s="623"/>
      <c r="F390" s="623"/>
      <c r="G390" s="623"/>
      <c r="H390" s="623"/>
      <c r="I390" s="623"/>
      <c r="J390" s="623"/>
      <c r="K390" s="623"/>
      <c r="L390" s="623"/>
      <c r="M390" s="623"/>
      <c r="N390" s="623"/>
      <c r="O390" s="623"/>
      <c r="P390" s="623"/>
      <c r="Q390" s="623"/>
      <c r="R390" s="623"/>
      <c r="S390" s="623"/>
      <c r="T390" s="623"/>
      <c r="U390" s="623"/>
      <c r="V390" s="623"/>
      <c r="W390" s="623"/>
      <c r="X390" s="623"/>
      <c r="Y390" s="623"/>
      <c r="Z390" s="623"/>
      <c r="AA390" s="65"/>
      <c r="AB390" s="65"/>
      <c r="AC390" s="79"/>
    </row>
    <row r="391" spans="1:68" ht="14.25" customHeight="1" x14ac:dyDescent="0.25">
      <c r="A391" s="624" t="s">
        <v>76</v>
      </c>
      <c r="B391" s="624"/>
      <c r="C391" s="624"/>
      <c r="D391" s="624"/>
      <c r="E391" s="624"/>
      <c r="F391" s="624"/>
      <c r="G391" s="624"/>
      <c r="H391" s="624"/>
      <c r="I391" s="624"/>
      <c r="J391" s="624"/>
      <c r="K391" s="624"/>
      <c r="L391" s="624"/>
      <c r="M391" s="624"/>
      <c r="N391" s="624"/>
      <c r="O391" s="624"/>
      <c r="P391" s="624"/>
      <c r="Q391" s="624"/>
      <c r="R391" s="624"/>
      <c r="S391" s="624"/>
      <c r="T391" s="624"/>
      <c r="U391" s="624"/>
      <c r="V391" s="624"/>
      <c r="W391" s="624"/>
      <c r="X391" s="624"/>
      <c r="Y391" s="624"/>
      <c r="Z391" s="624"/>
      <c r="AA391" s="66"/>
      <c r="AB391" s="66"/>
      <c r="AC391" s="80"/>
    </row>
    <row r="392" spans="1:68" ht="27" customHeight="1" x14ac:dyDescent="0.25">
      <c r="A392" s="63" t="s">
        <v>620</v>
      </c>
      <c r="B392" s="63" t="s">
        <v>621</v>
      </c>
      <c r="C392" s="36">
        <v>4301031405</v>
      </c>
      <c r="D392" s="625">
        <v>4680115886100</v>
      </c>
      <c r="E392" s="625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122</v>
      </c>
      <c r="L392" s="37" t="s">
        <v>45</v>
      </c>
      <c r="M392" s="38" t="s">
        <v>80</v>
      </c>
      <c r="N392" s="38"/>
      <c r="O392" s="37">
        <v>50</v>
      </c>
      <c r="P392" s="81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627"/>
      <c r="R392" s="627"/>
      <c r="S392" s="627"/>
      <c r="T392" s="628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2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45</v>
      </c>
      <c r="AK392" s="84">
        <v>0</v>
      </c>
      <c r="BB392" s="459" t="s">
        <v>66</v>
      </c>
      <c r="BM392" s="78">
        <f t="shared" ref="BM392:BM400" si="43">IFERROR(X392*I392/H392,"0")</f>
        <v>0</v>
      </c>
      <c r="BN392" s="78">
        <f t="shared" ref="BN392:BN400" si="44">IFERROR(Y392*I392/H392,"0")</f>
        <v>0</v>
      </c>
      <c r="BO392" s="78">
        <f t="shared" ref="BO392:BO400" si="45">IFERROR(1/J392*(X392/H392),"0")</f>
        <v>0</v>
      </c>
      <c r="BP392" s="78">
        <f t="shared" ref="BP392:BP400" si="46">IFERROR(1/J392*(Y392/H392),"0")</f>
        <v>0</v>
      </c>
    </row>
    <row r="393" spans="1:68" ht="27" customHeight="1" x14ac:dyDescent="0.25">
      <c r="A393" s="63" t="s">
        <v>623</v>
      </c>
      <c r="B393" s="63" t="s">
        <v>624</v>
      </c>
      <c r="C393" s="36">
        <v>4301031406</v>
      </c>
      <c r="D393" s="625">
        <v>4680115886117</v>
      </c>
      <c r="E393" s="625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122</v>
      </c>
      <c r="L393" s="37" t="s">
        <v>45</v>
      </c>
      <c r="M393" s="38" t="s">
        <v>80</v>
      </c>
      <c r="N393" s="38"/>
      <c r="O393" s="37">
        <v>50</v>
      </c>
      <c r="P393" s="82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627"/>
      <c r="R393" s="627"/>
      <c r="S393" s="627"/>
      <c r="T393" s="628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2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si="43"/>
        <v>0</v>
      </c>
      <c r="BN393" s="78">
        <f t="shared" si="44"/>
        <v>0</v>
      </c>
      <c r="BO393" s="78">
        <f t="shared" si="45"/>
        <v>0</v>
      </c>
      <c r="BP393" s="78">
        <f t="shared" si="46"/>
        <v>0</v>
      </c>
    </row>
    <row r="394" spans="1:68" ht="27" customHeight="1" x14ac:dyDescent="0.25">
      <c r="A394" s="63" t="s">
        <v>626</v>
      </c>
      <c r="B394" s="63" t="s">
        <v>627</v>
      </c>
      <c r="C394" s="36">
        <v>4301031402</v>
      </c>
      <c r="D394" s="625">
        <v>4680115886124</v>
      </c>
      <c r="E394" s="625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122</v>
      </c>
      <c r="L394" s="37" t="s">
        <v>45</v>
      </c>
      <c r="M394" s="38" t="s">
        <v>80</v>
      </c>
      <c r="N394" s="38"/>
      <c r="O394" s="37">
        <v>50</v>
      </c>
      <c r="P394" s="82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627"/>
      <c r="R394" s="627"/>
      <c r="S394" s="627"/>
      <c r="T394" s="628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2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45</v>
      </c>
      <c r="AK394" s="84">
        <v>0</v>
      </c>
      <c r="BB394" s="463" t="s">
        <v>66</v>
      </c>
      <c r="BM394" s="78">
        <f t="shared" si="43"/>
        <v>0</v>
      </c>
      <c r="BN394" s="78">
        <f t="shared" si="44"/>
        <v>0</v>
      </c>
      <c r="BO394" s="78">
        <f t="shared" si="45"/>
        <v>0</v>
      </c>
      <c r="BP394" s="78">
        <f t="shared" si="46"/>
        <v>0</v>
      </c>
    </row>
    <row r="395" spans="1:68" ht="27" customHeight="1" x14ac:dyDescent="0.25">
      <c r="A395" s="63" t="s">
        <v>629</v>
      </c>
      <c r="B395" s="63" t="s">
        <v>630</v>
      </c>
      <c r="C395" s="36">
        <v>4301031366</v>
      </c>
      <c r="D395" s="625">
        <v>4680115883147</v>
      </c>
      <c r="E395" s="625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85</v>
      </c>
      <c r="L395" s="37" t="s">
        <v>45</v>
      </c>
      <c r="M395" s="38" t="s">
        <v>80</v>
      </c>
      <c r="N395" s="38"/>
      <c r="O395" s="37">
        <v>50</v>
      </c>
      <c r="P395" s="82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627"/>
      <c r="R395" s="627"/>
      <c r="S395" s="627"/>
      <c r="T395" s="628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2"/>
        <v>0</v>
      </c>
      <c r="Z395" s="41" t="str">
        <f t="shared" ref="Z395:Z400" si="47">IFERROR(IF(Y395=0,"",ROUNDUP(Y395/H395,0)*0.00502),"")</f>
        <v/>
      </c>
      <c r="AA395" s="68" t="s">
        <v>45</v>
      </c>
      <c r="AB395" s="69" t="s">
        <v>45</v>
      </c>
      <c r="AC395" s="464" t="s">
        <v>622</v>
      </c>
      <c r="AG395" s="78"/>
      <c r="AJ395" s="84" t="s">
        <v>45</v>
      </c>
      <c r="AK395" s="84">
        <v>0</v>
      </c>
      <c r="BB395" s="465" t="s">
        <v>66</v>
      </c>
      <c r="BM395" s="78">
        <f t="shared" si="43"/>
        <v>0</v>
      </c>
      <c r="BN395" s="78">
        <f t="shared" si="44"/>
        <v>0</v>
      </c>
      <c r="BO395" s="78">
        <f t="shared" si="45"/>
        <v>0</v>
      </c>
      <c r="BP395" s="78">
        <f t="shared" si="46"/>
        <v>0</v>
      </c>
    </row>
    <row r="396" spans="1:68" ht="27" customHeight="1" x14ac:dyDescent="0.25">
      <c r="A396" s="63" t="s">
        <v>631</v>
      </c>
      <c r="B396" s="63" t="s">
        <v>632</v>
      </c>
      <c r="C396" s="36">
        <v>4301031362</v>
      </c>
      <c r="D396" s="625">
        <v>4607091384338</v>
      </c>
      <c r="E396" s="625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85</v>
      </c>
      <c r="L396" s="37" t="s">
        <v>45</v>
      </c>
      <c r="M396" s="38" t="s">
        <v>80</v>
      </c>
      <c r="N396" s="38"/>
      <c r="O396" s="37">
        <v>50</v>
      </c>
      <c r="P396" s="8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627"/>
      <c r="R396" s="627"/>
      <c r="S396" s="627"/>
      <c r="T396" s="628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2"/>
        <v>0</v>
      </c>
      <c r="Z396" s="41" t="str">
        <f t="shared" si="47"/>
        <v/>
      </c>
      <c r="AA396" s="68" t="s">
        <v>45</v>
      </c>
      <c r="AB396" s="69" t="s">
        <v>45</v>
      </c>
      <c r="AC396" s="466" t="s">
        <v>622</v>
      </c>
      <c r="AG396" s="78"/>
      <c r="AJ396" s="84" t="s">
        <v>45</v>
      </c>
      <c r="AK396" s="84">
        <v>0</v>
      </c>
      <c r="BB396" s="467" t="s">
        <v>66</v>
      </c>
      <c r="BM396" s="78">
        <f t="shared" si="43"/>
        <v>0</v>
      </c>
      <c r="BN396" s="78">
        <f t="shared" si="44"/>
        <v>0</v>
      </c>
      <c r="BO396" s="78">
        <f t="shared" si="45"/>
        <v>0</v>
      </c>
      <c r="BP396" s="78">
        <f t="shared" si="46"/>
        <v>0</v>
      </c>
    </row>
    <row r="397" spans="1:68" ht="37.5" customHeight="1" x14ac:dyDescent="0.25">
      <c r="A397" s="63" t="s">
        <v>633</v>
      </c>
      <c r="B397" s="63" t="s">
        <v>634</v>
      </c>
      <c r="C397" s="36">
        <v>4301031361</v>
      </c>
      <c r="D397" s="625">
        <v>4607091389524</v>
      </c>
      <c r="E397" s="625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85</v>
      </c>
      <c r="L397" s="37" t="s">
        <v>45</v>
      </c>
      <c r="M397" s="38" t="s">
        <v>80</v>
      </c>
      <c r="N397" s="38"/>
      <c r="O397" s="37">
        <v>50</v>
      </c>
      <c r="P397" s="82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627"/>
      <c r="R397" s="627"/>
      <c r="S397" s="627"/>
      <c r="T397" s="628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2"/>
        <v>0</v>
      </c>
      <c r="Z397" s="41" t="str">
        <f t="shared" si="47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43"/>
        <v>0</v>
      </c>
      <c r="BN397" s="78">
        <f t="shared" si="44"/>
        <v>0</v>
      </c>
      <c r="BO397" s="78">
        <f t="shared" si="45"/>
        <v>0</v>
      </c>
      <c r="BP397" s="78">
        <f t="shared" si="46"/>
        <v>0</v>
      </c>
    </row>
    <row r="398" spans="1:68" ht="27" customHeight="1" x14ac:dyDescent="0.25">
      <c r="A398" s="63" t="s">
        <v>636</v>
      </c>
      <c r="B398" s="63" t="s">
        <v>637</v>
      </c>
      <c r="C398" s="36">
        <v>4301031364</v>
      </c>
      <c r="D398" s="625">
        <v>4680115883161</v>
      </c>
      <c r="E398" s="625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85</v>
      </c>
      <c r="L398" s="37" t="s">
        <v>45</v>
      </c>
      <c r="M398" s="38" t="s">
        <v>80</v>
      </c>
      <c r="N398" s="38"/>
      <c r="O398" s="37">
        <v>50</v>
      </c>
      <c r="P398" s="82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627"/>
      <c r="R398" s="627"/>
      <c r="S398" s="627"/>
      <c r="T398" s="628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2"/>
        <v>0</v>
      </c>
      <c r="Z398" s="41" t="str">
        <f t="shared" si="47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43"/>
        <v>0</v>
      </c>
      <c r="BN398" s="78">
        <f t="shared" si="44"/>
        <v>0</v>
      </c>
      <c r="BO398" s="78">
        <f t="shared" si="45"/>
        <v>0</v>
      </c>
      <c r="BP398" s="78">
        <f t="shared" si="46"/>
        <v>0</v>
      </c>
    </row>
    <row r="399" spans="1:68" ht="27" customHeight="1" x14ac:dyDescent="0.25">
      <c r="A399" s="63" t="s">
        <v>639</v>
      </c>
      <c r="B399" s="63" t="s">
        <v>640</v>
      </c>
      <c r="C399" s="36">
        <v>4301031358</v>
      </c>
      <c r="D399" s="625">
        <v>4607091389531</v>
      </c>
      <c r="E399" s="625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85</v>
      </c>
      <c r="L399" s="37" t="s">
        <v>45</v>
      </c>
      <c r="M399" s="38" t="s">
        <v>80</v>
      </c>
      <c r="N399" s="38"/>
      <c r="O399" s="37">
        <v>50</v>
      </c>
      <c r="P399" s="82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627"/>
      <c r="R399" s="627"/>
      <c r="S399" s="627"/>
      <c r="T399" s="628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2"/>
        <v>0</v>
      </c>
      <c r="Z399" s="41" t="str">
        <f t="shared" si="47"/>
        <v/>
      </c>
      <c r="AA399" s="68" t="s">
        <v>45</v>
      </c>
      <c r="AB399" s="69" t="s">
        <v>45</v>
      </c>
      <c r="AC399" s="472" t="s">
        <v>641</v>
      </c>
      <c r="AG399" s="78"/>
      <c r="AJ399" s="84" t="s">
        <v>45</v>
      </c>
      <c r="AK399" s="84">
        <v>0</v>
      </c>
      <c r="BB399" s="473" t="s">
        <v>66</v>
      </c>
      <c r="BM399" s="78">
        <f t="shared" si="43"/>
        <v>0</v>
      </c>
      <c r="BN399" s="78">
        <f t="shared" si="44"/>
        <v>0</v>
      </c>
      <c r="BO399" s="78">
        <f t="shared" si="45"/>
        <v>0</v>
      </c>
      <c r="BP399" s="78">
        <f t="shared" si="46"/>
        <v>0</v>
      </c>
    </row>
    <row r="400" spans="1:68" ht="37.5" customHeight="1" x14ac:dyDescent="0.25">
      <c r="A400" s="63" t="s">
        <v>642</v>
      </c>
      <c r="B400" s="63" t="s">
        <v>643</v>
      </c>
      <c r="C400" s="36">
        <v>4301031360</v>
      </c>
      <c r="D400" s="625">
        <v>4607091384345</v>
      </c>
      <c r="E400" s="625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85</v>
      </c>
      <c r="L400" s="37" t="s">
        <v>45</v>
      </c>
      <c r="M400" s="38" t="s">
        <v>80</v>
      </c>
      <c r="N400" s="38"/>
      <c r="O400" s="37">
        <v>50</v>
      </c>
      <c r="P400" s="82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627"/>
      <c r="R400" s="627"/>
      <c r="S400" s="627"/>
      <c r="T400" s="628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2"/>
        <v>0</v>
      </c>
      <c r="Z400" s="41" t="str">
        <f t="shared" si="47"/>
        <v/>
      </c>
      <c r="AA400" s="68" t="s">
        <v>45</v>
      </c>
      <c r="AB400" s="69" t="s">
        <v>45</v>
      </c>
      <c r="AC400" s="474" t="s">
        <v>638</v>
      </c>
      <c r="AG400" s="78"/>
      <c r="AJ400" s="84" t="s">
        <v>45</v>
      </c>
      <c r="AK400" s="84">
        <v>0</v>
      </c>
      <c r="BB400" s="475" t="s">
        <v>66</v>
      </c>
      <c r="BM400" s="78">
        <f t="shared" si="43"/>
        <v>0</v>
      </c>
      <c r="BN400" s="78">
        <f t="shared" si="44"/>
        <v>0</v>
      </c>
      <c r="BO400" s="78">
        <f t="shared" si="45"/>
        <v>0</v>
      </c>
      <c r="BP400" s="78">
        <f t="shared" si="46"/>
        <v>0</v>
      </c>
    </row>
    <row r="401" spans="1:68" x14ac:dyDescent="0.2">
      <c r="A401" s="633"/>
      <c r="B401" s="633"/>
      <c r="C401" s="633"/>
      <c r="D401" s="633"/>
      <c r="E401" s="633"/>
      <c r="F401" s="633"/>
      <c r="G401" s="633"/>
      <c r="H401" s="633"/>
      <c r="I401" s="633"/>
      <c r="J401" s="633"/>
      <c r="K401" s="633"/>
      <c r="L401" s="633"/>
      <c r="M401" s="633"/>
      <c r="N401" s="633"/>
      <c r="O401" s="634"/>
      <c r="P401" s="630" t="s">
        <v>40</v>
      </c>
      <c r="Q401" s="631"/>
      <c r="R401" s="631"/>
      <c r="S401" s="631"/>
      <c r="T401" s="631"/>
      <c r="U401" s="631"/>
      <c r="V401" s="632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633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0" t="s">
        <v>40</v>
      </c>
      <c r="Q402" s="631"/>
      <c r="R402" s="631"/>
      <c r="S402" s="631"/>
      <c r="T402" s="631"/>
      <c r="U402" s="631"/>
      <c r="V402" s="632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customHeight="1" x14ac:dyDescent="0.25">
      <c r="A403" s="624" t="s">
        <v>86</v>
      </c>
      <c r="B403" s="624"/>
      <c r="C403" s="624"/>
      <c r="D403" s="624"/>
      <c r="E403" s="624"/>
      <c r="F403" s="624"/>
      <c r="G403" s="624"/>
      <c r="H403" s="624"/>
      <c r="I403" s="624"/>
      <c r="J403" s="624"/>
      <c r="K403" s="624"/>
      <c r="L403" s="624"/>
      <c r="M403" s="624"/>
      <c r="N403" s="624"/>
      <c r="O403" s="624"/>
      <c r="P403" s="624"/>
      <c r="Q403" s="624"/>
      <c r="R403" s="624"/>
      <c r="S403" s="624"/>
      <c r="T403" s="624"/>
      <c r="U403" s="624"/>
      <c r="V403" s="624"/>
      <c r="W403" s="624"/>
      <c r="X403" s="624"/>
      <c r="Y403" s="624"/>
      <c r="Z403" s="624"/>
      <c r="AA403" s="66"/>
      <c r="AB403" s="66"/>
      <c r="AC403" s="80"/>
    </row>
    <row r="404" spans="1:68" ht="27" customHeight="1" x14ac:dyDescent="0.25">
      <c r="A404" s="63" t="s">
        <v>644</v>
      </c>
      <c r="B404" s="63" t="s">
        <v>645</v>
      </c>
      <c r="C404" s="36">
        <v>4301051284</v>
      </c>
      <c r="D404" s="625">
        <v>4607091384352</v>
      </c>
      <c r="E404" s="625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122</v>
      </c>
      <c r="L404" s="37" t="s">
        <v>45</v>
      </c>
      <c r="M404" s="38" t="s">
        <v>90</v>
      </c>
      <c r="N404" s="38"/>
      <c r="O404" s="37">
        <v>45</v>
      </c>
      <c r="P404" s="8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627"/>
      <c r="R404" s="627"/>
      <c r="S404" s="627"/>
      <c r="T404" s="628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647</v>
      </c>
      <c r="B405" s="63" t="s">
        <v>648</v>
      </c>
      <c r="C405" s="36">
        <v>4301051431</v>
      </c>
      <c r="D405" s="625">
        <v>4607091389654</v>
      </c>
      <c r="E405" s="625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81</v>
      </c>
      <c r="L405" s="37" t="s">
        <v>45</v>
      </c>
      <c r="M405" s="38" t="s">
        <v>90</v>
      </c>
      <c r="N405" s="38"/>
      <c r="O405" s="37">
        <v>45</v>
      </c>
      <c r="P405" s="82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627"/>
      <c r="R405" s="627"/>
      <c r="S405" s="627"/>
      <c r="T405" s="628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649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633"/>
      <c r="B406" s="633"/>
      <c r="C406" s="633"/>
      <c r="D406" s="633"/>
      <c r="E406" s="633"/>
      <c r="F406" s="633"/>
      <c r="G406" s="633"/>
      <c r="H406" s="633"/>
      <c r="I406" s="633"/>
      <c r="J406" s="633"/>
      <c r="K406" s="633"/>
      <c r="L406" s="633"/>
      <c r="M406" s="633"/>
      <c r="N406" s="633"/>
      <c r="O406" s="634"/>
      <c r="P406" s="630" t="s">
        <v>40</v>
      </c>
      <c r="Q406" s="631"/>
      <c r="R406" s="631"/>
      <c r="S406" s="631"/>
      <c r="T406" s="631"/>
      <c r="U406" s="631"/>
      <c r="V406" s="632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x14ac:dyDescent="0.2">
      <c r="A407" s="633"/>
      <c r="B407" s="633"/>
      <c r="C407" s="633"/>
      <c r="D407" s="633"/>
      <c r="E407" s="633"/>
      <c r="F407" s="633"/>
      <c r="G407" s="633"/>
      <c r="H407" s="633"/>
      <c r="I407" s="633"/>
      <c r="J407" s="633"/>
      <c r="K407" s="633"/>
      <c r="L407" s="633"/>
      <c r="M407" s="633"/>
      <c r="N407" s="633"/>
      <c r="O407" s="634"/>
      <c r="P407" s="630" t="s">
        <v>40</v>
      </c>
      <c r="Q407" s="631"/>
      <c r="R407" s="631"/>
      <c r="S407" s="631"/>
      <c r="T407" s="631"/>
      <c r="U407" s="631"/>
      <c r="V407" s="632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customHeight="1" x14ac:dyDescent="0.25">
      <c r="A408" s="623" t="s">
        <v>650</v>
      </c>
      <c r="B408" s="623"/>
      <c r="C408" s="623"/>
      <c r="D408" s="623"/>
      <c r="E408" s="623"/>
      <c r="F408" s="623"/>
      <c r="G408" s="623"/>
      <c r="H408" s="623"/>
      <c r="I408" s="623"/>
      <c r="J408" s="623"/>
      <c r="K408" s="623"/>
      <c r="L408" s="623"/>
      <c r="M408" s="623"/>
      <c r="N408" s="623"/>
      <c r="O408" s="623"/>
      <c r="P408" s="623"/>
      <c r="Q408" s="623"/>
      <c r="R408" s="623"/>
      <c r="S408" s="623"/>
      <c r="T408" s="623"/>
      <c r="U408" s="623"/>
      <c r="V408" s="623"/>
      <c r="W408" s="623"/>
      <c r="X408" s="623"/>
      <c r="Y408" s="623"/>
      <c r="Z408" s="623"/>
      <c r="AA408" s="65"/>
      <c r="AB408" s="65"/>
      <c r="AC408" s="79"/>
    </row>
    <row r="409" spans="1:68" ht="14.25" customHeight="1" x14ac:dyDescent="0.25">
      <c r="A409" s="624" t="s">
        <v>147</v>
      </c>
      <c r="B409" s="624"/>
      <c r="C409" s="624"/>
      <c r="D409" s="624"/>
      <c r="E409" s="624"/>
      <c r="F409" s="624"/>
      <c r="G409" s="624"/>
      <c r="H409" s="624"/>
      <c r="I409" s="624"/>
      <c r="J409" s="624"/>
      <c r="K409" s="624"/>
      <c r="L409" s="624"/>
      <c r="M409" s="624"/>
      <c r="N409" s="624"/>
      <c r="O409" s="624"/>
      <c r="P409" s="624"/>
      <c r="Q409" s="624"/>
      <c r="R409" s="624"/>
      <c r="S409" s="624"/>
      <c r="T409" s="624"/>
      <c r="U409" s="624"/>
      <c r="V409" s="624"/>
      <c r="W409" s="624"/>
      <c r="X409" s="624"/>
      <c r="Y409" s="624"/>
      <c r="Z409" s="624"/>
      <c r="AA409" s="66"/>
      <c r="AB409" s="66"/>
      <c r="AC409" s="80"/>
    </row>
    <row r="410" spans="1:68" ht="27" customHeight="1" x14ac:dyDescent="0.25">
      <c r="A410" s="63" t="s">
        <v>651</v>
      </c>
      <c r="B410" s="63" t="s">
        <v>652</v>
      </c>
      <c r="C410" s="36">
        <v>4301020319</v>
      </c>
      <c r="D410" s="625">
        <v>4680115885240</v>
      </c>
      <c r="E410" s="625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81</v>
      </c>
      <c r="L410" s="37" t="s">
        <v>45</v>
      </c>
      <c r="M410" s="38" t="s">
        <v>80</v>
      </c>
      <c r="N410" s="38"/>
      <c r="O410" s="37">
        <v>40</v>
      </c>
      <c r="P410" s="83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627"/>
      <c r="R410" s="627"/>
      <c r="S410" s="627"/>
      <c r="T410" s="628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653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33"/>
      <c r="B411" s="633"/>
      <c r="C411" s="633"/>
      <c r="D411" s="633"/>
      <c r="E411" s="633"/>
      <c r="F411" s="633"/>
      <c r="G411" s="633"/>
      <c r="H411" s="633"/>
      <c r="I411" s="633"/>
      <c r="J411" s="633"/>
      <c r="K411" s="633"/>
      <c r="L411" s="633"/>
      <c r="M411" s="633"/>
      <c r="N411" s="633"/>
      <c r="O411" s="634"/>
      <c r="P411" s="630" t="s">
        <v>40</v>
      </c>
      <c r="Q411" s="631"/>
      <c r="R411" s="631"/>
      <c r="S411" s="631"/>
      <c r="T411" s="631"/>
      <c r="U411" s="631"/>
      <c r="V411" s="632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x14ac:dyDescent="0.2">
      <c r="A412" s="633"/>
      <c r="B412" s="633"/>
      <c r="C412" s="633"/>
      <c r="D412" s="633"/>
      <c r="E412" s="633"/>
      <c r="F412" s="633"/>
      <c r="G412" s="633"/>
      <c r="H412" s="633"/>
      <c r="I412" s="633"/>
      <c r="J412" s="633"/>
      <c r="K412" s="633"/>
      <c r="L412" s="633"/>
      <c r="M412" s="633"/>
      <c r="N412" s="633"/>
      <c r="O412" s="634"/>
      <c r="P412" s="630" t="s">
        <v>40</v>
      </c>
      <c r="Q412" s="631"/>
      <c r="R412" s="631"/>
      <c r="S412" s="631"/>
      <c r="T412" s="631"/>
      <c r="U412" s="631"/>
      <c r="V412" s="632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customHeight="1" x14ac:dyDescent="0.25">
      <c r="A413" s="624" t="s">
        <v>76</v>
      </c>
      <c r="B413" s="624"/>
      <c r="C413" s="624"/>
      <c r="D413" s="624"/>
      <c r="E413" s="624"/>
      <c r="F413" s="624"/>
      <c r="G413" s="624"/>
      <c r="H413" s="624"/>
      <c r="I413" s="624"/>
      <c r="J413" s="624"/>
      <c r="K413" s="624"/>
      <c r="L413" s="624"/>
      <c r="M413" s="624"/>
      <c r="N413" s="624"/>
      <c r="O413" s="624"/>
      <c r="P413" s="624"/>
      <c r="Q413" s="624"/>
      <c r="R413" s="624"/>
      <c r="S413" s="624"/>
      <c r="T413" s="624"/>
      <c r="U413" s="624"/>
      <c r="V413" s="624"/>
      <c r="W413" s="624"/>
      <c r="X413" s="624"/>
      <c r="Y413" s="624"/>
      <c r="Z413" s="624"/>
      <c r="AA413" s="66"/>
      <c r="AB413" s="66"/>
      <c r="AC413" s="80"/>
    </row>
    <row r="414" spans="1:68" ht="27" customHeight="1" x14ac:dyDescent="0.25">
      <c r="A414" s="63" t="s">
        <v>654</v>
      </c>
      <c r="B414" s="63" t="s">
        <v>655</v>
      </c>
      <c r="C414" s="36">
        <v>4301031403</v>
      </c>
      <c r="D414" s="625">
        <v>4680115886094</v>
      </c>
      <c r="E414" s="625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122</v>
      </c>
      <c r="L414" s="37" t="s">
        <v>45</v>
      </c>
      <c r="M414" s="38" t="s">
        <v>118</v>
      </c>
      <c r="N414" s="38"/>
      <c r="O414" s="37">
        <v>50</v>
      </c>
      <c r="P414" s="8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627"/>
      <c r="R414" s="627"/>
      <c r="S414" s="627"/>
      <c r="T414" s="628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657</v>
      </c>
      <c r="B415" s="63" t="s">
        <v>658</v>
      </c>
      <c r="C415" s="36">
        <v>4301031373</v>
      </c>
      <c r="D415" s="625">
        <v>4680115880771</v>
      </c>
      <c r="E415" s="625"/>
      <c r="F415" s="62">
        <v>0.28000000000000003</v>
      </c>
      <c r="G415" s="37">
        <v>6</v>
      </c>
      <c r="H415" s="62">
        <v>1.68</v>
      </c>
      <c r="I415" s="62">
        <v>1.81</v>
      </c>
      <c r="J415" s="37">
        <v>234</v>
      </c>
      <c r="K415" s="37" t="s">
        <v>85</v>
      </c>
      <c r="L415" s="37" t="s">
        <v>45</v>
      </c>
      <c r="M415" s="38" t="s">
        <v>80</v>
      </c>
      <c r="N415" s="38"/>
      <c r="O415" s="37">
        <v>50</v>
      </c>
      <c r="P415" s="83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27"/>
      <c r="R415" s="627"/>
      <c r="S415" s="627"/>
      <c r="T415" s="628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660</v>
      </c>
      <c r="B416" s="63" t="s">
        <v>661</v>
      </c>
      <c r="C416" s="36">
        <v>4301031359</v>
      </c>
      <c r="D416" s="625">
        <v>4607091389500</v>
      </c>
      <c r="E416" s="625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85</v>
      </c>
      <c r="L416" s="37" t="s">
        <v>45</v>
      </c>
      <c r="M416" s="38" t="s">
        <v>80</v>
      </c>
      <c r="N416" s="38"/>
      <c r="O416" s="37">
        <v>50</v>
      </c>
      <c r="P416" s="8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27"/>
      <c r="R416" s="627"/>
      <c r="S416" s="627"/>
      <c r="T416" s="628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659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33"/>
      <c r="B417" s="633"/>
      <c r="C417" s="633"/>
      <c r="D417" s="633"/>
      <c r="E417" s="633"/>
      <c r="F417" s="633"/>
      <c r="G417" s="633"/>
      <c r="H417" s="633"/>
      <c r="I417" s="633"/>
      <c r="J417" s="633"/>
      <c r="K417" s="633"/>
      <c r="L417" s="633"/>
      <c r="M417" s="633"/>
      <c r="N417" s="633"/>
      <c r="O417" s="634"/>
      <c r="P417" s="630" t="s">
        <v>40</v>
      </c>
      <c r="Q417" s="631"/>
      <c r="R417" s="631"/>
      <c r="S417" s="631"/>
      <c r="T417" s="631"/>
      <c r="U417" s="631"/>
      <c r="V417" s="632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x14ac:dyDescent="0.2">
      <c r="A418" s="633"/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4"/>
      <c r="P418" s="630" t="s">
        <v>40</v>
      </c>
      <c r="Q418" s="631"/>
      <c r="R418" s="631"/>
      <c r="S418" s="631"/>
      <c r="T418" s="631"/>
      <c r="U418" s="631"/>
      <c r="V418" s="632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16.5" customHeight="1" x14ac:dyDescent="0.25">
      <c r="A419" s="623" t="s">
        <v>662</v>
      </c>
      <c r="B419" s="623"/>
      <c r="C419" s="623"/>
      <c r="D419" s="623"/>
      <c r="E419" s="623"/>
      <c r="F419" s="623"/>
      <c r="G419" s="623"/>
      <c r="H419" s="623"/>
      <c r="I419" s="623"/>
      <c r="J419" s="623"/>
      <c r="K419" s="623"/>
      <c r="L419" s="623"/>
      <c r="M419" s="623"/>
      <c r="N419" s="623"/>
      <c r="O419" s="623"/>
      <c r="P419" s="623"/>
      <c r="Q419" s="623"/>
      <c r="R419" s="623"/>
      <c r="S419" s="623"/>
      <c r="T419" s="623"/>
      <c r="U419" s="623"/>
      <c r="V419" s="623"/>
      <c r="W419" s="623"/>
      <c r="X419" s="623"/>
      <c r="Y419" s="623"/>
      <c r="Z419" s="623"/>
      <c r="AA419" s="65"/>
      <c r="AB419" s="65"/>
      <c r="AC419" s="79"/>
    </row>
    <row r="420" spans="1:68" ht="14.25" customHeight="1" x14ac:dyDescent="0.25">
      <c r="A420" s="624" t="s">
        <v>76</v>
      </c>
      <c r="B420" s="624"/>
      <c r="C420" s="624"/>
      <c r="D420" s="624"/>
      <c r="E420" s="624"/>
      <c r="F420" s="624"/>
      <c r="G420" s="624"/>
      <c r="H420" s="624"/>
      <c r="I420" s="624"/>
      <c r="J420" s="624"/>
      <c r="K420" s="624"/>
      <c r="L420" s="624"/>
      <c r="M420" s="624"/>
      <c r="N420" s="624"/>
      <c r="O420" s="624"/>
      <c r="P420" s="624"/>
      <c r="Q420" s="624"/>
      <c r="R420" s="624"/>
      <c r="S420" s="624"/>
      <c r="T420" s="624"/>
      <c r="U420" s="624"/>
      <c r="V420" s="624"/>
      <c r="W420" s="624"/>
      <c r="X420" s="624"/>
      <c r="Y420" s="624"/>
      <c r="Z420" s="624"/>
      <c r="AA420" s="66"/>
      <c r="AB420" s="66"/>
      <c r="AC420" s="80"/>
    </row>
    <row r="421" spans="1:68" ht="27" customHeight="1" x14ac:dyDescent="0.25">
      <c r="A421" s="63" t="s">
        <v>663</v>
      </c>
      <c r="B421" s="63" t="s">
        <v>664</v>
      </c>
      <c r="C421" s="36">
        <v>4301031347</v>
      </c>
      <c r="D421" s="625">
        <v>4680115885110</v>
      </c>
      <c r="E421" s="625"/>
      <c r="F421" s="62">
        <v>0.2</v>
      </c>
      <c r="G421" s="37">
        <v>6</v>
      </c>
      <c r="H421" s="62">
        <v>1.2</v>
      </c>
      <c r="I421" s="62">
        <v>2.1</v>
      </c>
      <c r="J421" s="37">
        <v>182</v>
      </c>
      <c r="K421" s="37" t="s">
        <v>81</v>
      </c>
      <c r="L421" s="37" t="s">
        <v>45</v>
      </c>
      <c r="M421" s="38" t="s">
        <v>80</v>
      </c>
      <c r="N421" s="38"/>
      <c r="O421" s="37">
        <v>50</v>
      </c>
      <c r="P421" s="83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27"/>
      <c r="R421" s="627"/>
      <c r="S421" s="627"/>
      <c r="T421" s="628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45</v>
      </c>
      <c r="AB421" s="69" t="s">
        <v>45</v>
      </c>
      <c r="AC421" s="488" t="s">
        <v>665</v>
      </c>
      <c r="AG421" s="78"/>
      <c r="AJ421" s="84" t="s">
        <v>45</v>
      </c>
      <c r="AK421" s="84">
        <v>0</v>
      </c>
      <c r="BB421" s="489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633"/>
      <c r="B422" s="633"/>
      <c r="C422" s="633"/>
      <c r="D422" s="633"/>
      <c r="E422" s="633"/>
      <c r="F422" s="633"/>
      <c r="G422" s="633"/>
      <c r="H422" s="633"/>
      <c r="I422" s="633"/>
      <c r="J422" s="633"/>
      <c r="K422" s="633"/>
      <c r="L422" s="633"/>
      <c r="M422" s="633"/>
      <c r="N422" s="633"/>
      <c r="O422" s="634"/>
      <c r="P422" s="630" t="s">
        <v>40</v>
      </c>
      <c r="Q422" s="631"/>
      <c r="R422" s="631"/>
      <c r="S422" s="631"/>
      <c r="T422" s="631"/>
      <c r="U422" s="631"/>
      <c r="V422" s="632"/>
      <c r="W422" s="42" t="s">
        <v>39</v>
      </c>
      <c r="X422" s="43">
        <f>IFERROR(X421/H421,"0")</f>
        <v>0</v>
      </c>
      <c r="Y422" s="43">
        <f>IFERROR(Y421/H421,"0")</f>
        <v>0</v>
      </c>
      <c r="Z422" s="43">
        <f>IFERROR(IF(Z421="",0,Z421),"0")</f>
        <v>0</v>
      </c>
      <c r="AA422" s="67"/>
      <c r="AB422" s="67"/>
      <c r="AC422" s="67"/>
    </row>
    <row r="423" spans="1:68" x14ac:dyDescent="0.2">
      <c r="A423" s="633"/>
      <c r="B423" s="633"/>
      <c r="C423" s="633"/>
      <c r="D423" s="633"/>
      <c r="E423" s="633"/>
      <c r="F423" s="633"/>
      <c r="G423" s="633"/>
      <c r="H423" s="633"/>
      <c r="I423" s="633"/>
      <c r="J423" s="633"/>
      <c r="K423" s="633"/>
      <c r="L423" s="633"/>
      <c r="M423" s="633"/>
      <c r="N423" s="633"/>
      <c r="O423" s="634"/>
      <c r="P423" s="630" t="s">
        <v>40</v>
      </c>
      <c r="Q423" s="631"/>
      <c r="R423" s="631"/>
      <c r="S423" s="631"/>
      <c r="T423" s="631"/>
      <c r="U423" s="631"/>
      <c r="V423" s="632"/>
      <c r="W423" s="42" t="s">
        <v>0</v>
      </c>
      <c r="X423" s="43">
        <f>IFERROR(SUM(X421:X421),"0")</f>
        <v>0</v>
      </c>
      <c r="Y423" s="43">
        <f>IFERROR(SUM(Y421:Y421),"0")</f>
        <v>0</v>
      </c>
      <c r="Z423" s="42"/>
      <c r="AA423" s="67"/>
      <c r="AB423" s="67"/>
      <c r="AC423" s="67"/>
    </row>
    <row r="424" spans="1:68" ht="27.75" customHeight="1" x14ac:dyDescent="0.2">
      <c r="A424" s="622" t="s">
        <v>666</v>
      </c>
      <c r="B424" s="622"/>
      <c r="C424" s="622"/>
      <c r="D424" s="622"/>
      <c r="E424" s="622"/>
      <c r="F424" s="622"/>
      <c r="G424" s="622"/>
      <c r="H424" s="622"/>
      <c r="I424" s="622"/>
      <c r="J424" s="622"/>
      <c r="K424" s="622"/>
      <c r="L424" s="622"/>
      <c r="M424" s="622"/>
      <c r="N424" s="622"/>
      <c r="O424" s="622"/>
      <c r="P424" s="622"/>
      <c r="Q424" s="622"/>
      <c r="R424" s="622"/>
      <c r="S424" s="622"/>
      <c r="T424" s="622"/>
      <c r="U424" s="622"/>
      <c r="V424" s="622"/>
      <c r="W424" s="622"/>
      <c r="X424" s="622"/>
      <c r="Y424" s="622"/>
      <c r="Z424" s="622"/>
      <c r="AA424" s="54"/>
      <c r="AB424" s="54"/>
      <c r="AC424" s="54"/>
    </row>
    <row r="425" spans="1:68" ht="16.5" customHeight="1" x14ac:dyDescent="0.25">
      <c r="A425" s="623" t="s">
        <v>666</v>
      </c>
      <c r="B425" s="623"/>
      <c r="C425" s="623"/>
      <c r="D425" s="623"/>
      <c r="E425" s="623"/>
      <c r="F425" s="623"/>
      <c r="G425" s="623"/>
      <c r="H425" s="623"/>
      <c r="I425" s="623"/>
      <c r="J425" s="623"/>
      <c r="K425" s="623"/>
      <c r="L425" s="623"/>
      <c r="M425" s="623"/>
      <c r="N425" s="623"/>
      <c r="O425" s="623"/>
      <c r="P425" s="623"/>
      <c r="Q425" s="623"/>
      <c r="R425" s="623"/>
      <c r="S425" s="623"/>
      <c r="T425" s="623"/>
      <c r="U425" s="623"/>
      <c r="V425" s="623"/>
      <c r="W425" s="623"/>
      <c r="X425" s="623"/>
      <c r="Y425" s="623"/>
      <c r="Z425" s="623"/>
      <c r="AA425" s="65"/>
      <c r="AB425" s="65"/>
      <c r="AC425" s="79"/>
    </row>
    <row r="426" spans="1:68" ht="14.25" customHeight="1" x14ac:dyDescent="0.25">
      <c r="A426" s="624" t="s">
        <v>114</v>
      </c>
      <c r="B426" s="624"/>
      <c r="C426" s="624"/>
      <c r="D426" s="624"/>
      <c r="E426" s="624"/>
      <c r="F426" s="624"/>
      <c r="G426" s="624"/>
      <c r="H426" s="624"/>
      <c r="I426" s="624"/>
      <c r="J426" s="624"/>
      <c r="K426" s="624"/>
      <c r="L426" s="624"/>
      <c r="M426" s="624"/>
      <c r="N426" s="624"/>
      <c r="O426" s="624"/>
      <c r="P426" s="624"/>
      <c r="Q426" s="624"/>
      <c r="R426" s="624"/>
      <c r="S426" s="624"/>
      <c r="T426" s="624"/>
      <c r="U426" s="624"/>
      <c r="V426" s="624"/>
      <c r="W426" s="624"/>
      <c r="X426" s="624"/>
      <c r="Y426" s="624"/>
      <c r="Z426" s="624"/>
      <c r="AA426" s="66"/>
      <c r="AB426" s="66"/>
      <c r="AC426" s="80"/>
    </row>
    <row r="427" spans="1:68" ht="27" customHeight="1" x14ac:dyDescent="0.25">
      <c r="A427" s="63" t="s">
        <v>667</v>
      </c>
      <c r="B427" s="63" t="s">
        <v>668</v>
      </c>
      <c r="C427" s="36">
        <v>4301011795</v>
      </c>
      <c r="D427" s="625">
        <v>4607091389067</v>
      </c>
      <c r="E427" s="625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119</v>
      </c>
      <c r="L427" s="37" t="s">
        <v>45</v>
      </c>
      <c r="M427" s="38" t="s">
        <v>118</v>
      </c>
      <c r="N427" s="38"/>
      <c r="O427" s="37">
        <v>60</v>
      </c>
      <c r="P427" s="83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27"/>
      <c r="R427" s="627"/>
      <c r="S427" s="627"/>
      <c r="T427" s="628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ref="Y427:Y438" si="48">IFERROR(IF(X427="",0,CEILING((X427/$H427),1)*$H427),"")</f>
        <v>0</v>
      </c>
      <c r="Z427" s="41" t="str">
        <f t="shared" ref="Z427:Z433" si="49">IFERROR(IF(Y427=0,"",ROUNDUP(Y427/H427,0)*0.01196),"")</f>
        <v/>
      </c>
      <c r="AA427" s="68" t="s">
        <v>45</v>
      </c>
      <c r="AB427" s="69" t="s">
        <v>45</v>
      </c>
      <c r="AC427" s="490" t="s">
        <v>117</v>
      </c>
      <c r="AG427" s="78"/>
      <c r="AJ427" s="84" t="s">
        <v>45</v>
      </c>
      <c r="AK427" s="84">
        <v>0</v>
      </c>
      <c r="BB427" s="491" t="s">
        <v>66</v>
      </c>
      <c r="BM427" s="78">
        <f t="shared" ref="BM427:BM438" si="50">IFERROR(X427*I427/H427,"0")</f>
        <v>0</v>
      </c>
      <c r="BN427" s="78">
        <f t="shared" ref="BN427:BN438" si="51">IFERROR(Y427*I427/H427,"0")</f>
        <v>0</v>
      </c>
      <c r="BO427" s="78">
        <f t="shared" ref="BO427:BO438" si="52">IFERROR(1/J427*(X427/H427),"0")</f>
        <v>0</v>
      </c>
      <c r="BP427" s="78">
        <f t="shared" ref="BP427:BP438" si="53">IFERROR(1/J427*(Y427/H427),"0")</f>
        <v>0</v>
      </c>
    </row>
    <row r="428" spans="1:68" ht="27" customHeight="1" x14ac:dyDescent="0.25">
      <c r="A428" s="63" t="s">
        <v>669</v>
      </c>
      <c r="B428" s="63" t="s">
        <v>670</v>
      </c>
      <c r="C428" s="36">
        <v>4301012145</v>
      </c>
      <c r="D428" s="625">
        <v>4607091383522</v>
      </c>
      <c r="E428" s="625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119</v>
      </c>
      <c r="L428" s="37" t="s">
        <v>45</v>
      </c>
      <c r="M428" s="38" t="s">
        <v>118</v>
      </c>
      <c r="N428" s="38"/>
      <c r="O428" s="37">
        <v>60</v>
      </c>
      <c r="P428" s="83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627"/>
      <c r="R428" s="627"/>
      <c r="S428" s="627"/>
      <c r="T428" s="628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8"/>
        <v>0</v>
      </c>
      <c r="Z428" s="41" t="str">
        <f t="shared" si="49"/>
        <v/>
      </c>
      <c r="AA428" s="68" t="s">
        <v>45</v>
      </c>
      <c r="AB428" s="69" t="s">
        <v>45</v>
      </c>
      <c r="AC428" s="492" t="s">
        <v>671</v>
      </c>
      <c r="AG428" s="78"/>
      <c r="AJ428" s="84" t="s">
        <v>45</v>
      </c>
      <c r="AK428" s="84">
        <v>0</v>
      </c>
      <c r="BB428" s="493" t="s">
        <v>66</v>
      </c>
      <c r="BM428" s="78">
        <f t="shared" si="50"/>
        <v>0</v>
      </c>
      <c r="BN428" s="78">
        <f t="shared" si="51"/>
        <v>0</v>
      </c>
      <c r="BO428" s="78">
        <f t="shared" si="52"/>
        <v>0</v>
      </c>
      <c r="BP428" s="78">
        <f t="shared" si="53"/>
        <v>0</v>
      </c>
    </row>
    <row r="429" spans="1:68" ht="27" customHeight="1" x14ac:dyDescent="0.25">
      <c r="A429" s="63" t="s">
        <v>669</v>
      </c>
      <c r="B429" s="63" t="s">
        <v>672</v>
      </c>
      <c r="C429" s="36">
        <v>4301012210</v>
      </c>
      <c r="D429" s="625">
        <v>4607091383522</v>
      </c>
      <c r="E429" s="625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119</v>
      </c>
      <c r="L429" s="37" t="s">
        <v>45</v>
      </c>
      <c r="M429" s="38" t="s">
        <v>118</v>
      </c>
      <c r="N429" s="38"/>
      <c r="O429" s="37">
        <v>60</v>
      </c>
      <c r="P429" s="83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627"/>
      <c r="R429" s="627"/>
      <c r="S429" s="627"/>
      <c r="T429" s="628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8"/>
        <v>0</v>
      </c>
      <c r="Z429" s="41" t="str">
        <f t="shared" si="49"/>
        <v/>
      </c>
      <c r="AA429" s="68" t="s">
        <v>45</v>
      </c>
      <c r="AB429" s="69" t="s">
        <v>45</v>
      </c>
      <c r="AC429" s="494" t="s">
        <v>671</v>
      </c>
      <c r="AG429" s="78"/>
      <c r="AJ429" s="84" t="s">
        <v>45</v>
      </c>
      <c r="AK429" s="84">
        <v>0</v>
      </c>
      <c r="BB429" s="495" t="s">
        <v>66</v>
      </c>
      <c r="BM429" s="78">
        <f t="shared" si="50"/>
        <v>0</v>
      </c>
      <c r="BN429" s="78">
        <f t="shared" si="51"/>
        <v>0</v>
      </c>
      <c r="BO429" s="78">
        <f t="shared" si="52"/>
        <v>0</v>
      </c>
      <c r="BP429" s="78">
        <f t="shared" si="53"/>
        <v>0</v>
      </c>
    </row>
    <row r="430" spans="1:68" ht="27" customHeight="1" x14ac:dyDescent="0.25">
      <c r="A430" s="63" t="s">
        <v>673</v>
      </c>
      <c r="B430" s="63" t="s">
        <v>674</v>
      </c>
      <c r="C430" s="36">
        <v>4301011961</v>
      </c>
      <c r="D430" s="625">
        <v>4680115885271</v>
      </c>
      <c r="E430" s="625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119</v>
      </c>
      <c r="L430" s="37" t="s">
        <v>45</v>
      </c>
      <c r="M430" s="38" t="s">
        <v>118</v>
      </c>
      <c r="N430" s="38"/>
      <c r="O430" s="37">
        <v>60</v>
      </c>
      <c r="P430" s="83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27"/>
      <c r="R430" s="627"/>
      <c r="S430" s="627"/>
      <c r="T430" s="628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8"/>
        <v>0</v>
      </c>
      <c r="Z430" s="41" t="str">
        <f t="shared" si="49"/>
        <v/>
      </c>
      <c r="AA430" s="68" t="s">
        <v>45</v>
      </c>
      <c r="AB430" s="69" t="s">
        <v>45</v>
      </c>
      <c r="AC430" s="496" t="s">
        <v>675</v>
      </c>
      <c r="AG430" s="78"/>
      <c r="AJ430" s="84" t="s">
        <v>45</v>
      </c>
      <c r="AK430" s="84">
        <v>0</v>
      </c>
      <c r="BB430" s="497" t="s">
        <v>66</v>
      </c>
      <c r="BM430" s="78">
        <f t="shared" si="50"/>
        <v>0</v>
      </c>
      <c r="BN430" s="78">
        <f t="shared" si="51"/>
        <v>0</v>
      </c>
      <c r="BO430" s="78">
        <f t="shared" si="52"/>
        <v>0</v>
      </c>
      <c r="BP430" s="78">
        <f t="shared" si="53"/>
        <v>0</v>
      </c>
    </row>
    <row r="431" spans="1:68" ht="27" customHeight="1" x14ac:dyDescent="0.25">
      <c r="A431" s="63" t="s">
        <v>676</v>
      </c>
      <c r="B431" s="63" t="s">
        <v>677</v>
      </c>
      <c r="C431" s="36">
        <v>4301011376</v>
      </c>
      <c r="D431" s="625">
        <v>4680115885226</v>
      </c>
      <c r="E431" s="625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119</v>
      </c>
      <c r="L431" s="37" t="s">
        <v>45</v>
      </c>
      <c r="M431" s="38" t="s">
        <v>90</v>
      </c>
      <c r="N431" s="38"/>
      <c r="O431" s="37">
        <v>60</v>
      </c>
      <c r="P431" s="83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27"/>
      <c r="R431" s="627"/>
      <c r="S431" s="627"/>
      <c r="T431" s="628"/>
      <c r="U431" s="39" t="s">
        <v>45</v>
      </c>
      <c r="V431" s="39" t="s">
        <v>45</v>
      </c>
      <c r="W431" s="40" t="s">
        <v>0</v>
      </c>
      <c r="X431" s="58">
        <v>84.48</v>
      </c>
      <c r="Y431" s="55">
        <f t="shared" si="48"/>
        <v>84.48</v>
      </c>
      <c r="Z431" s="41">
        <f t="shared" si="49"/>
        <v>0.19136</v>
      </c>
      <c r="AA431" s="68" t="s">
        <v>45</v>
      </c>
      <c r="AB431" s="69" t="s">
        <v>45</v>
      </c>
      <c r="AC431" s="498" t="s">
        <v>678</v>
      </c>
      <c r="AG431" s="78"/>
      <c r="AJ431" s="84" t="s">
        <v>45</v>
      </c>
      <c r="AK431" s="84">
        <v>0</v>
      </c>
      <c r="BB431" s="499" t="s">
        <v>66</v>
      </c>
      <c r="BM431" s="78">
        <f t="shared" si="50"/>
        <v>90.08</v>
      </c>
      <c r="BN431" s="78">
        <f t="shared" si="51"/>
        <v>90.08</v>
      </c>
      <c r="BO431" s="78">
        <f t="shared" si="52"/>
        <v>0.15384615384615385</v>
      </c>
      <c r="BP431" s="78">
        <f t="shared" si="53"/>
        <v>0.15384615384615385</v>
      </c>
    </row>
    <row r="432" spans="1:68" ht="16.5" customHeight="1" x14ac:dyDescent="0.25">
      <c r="A432" s="63" t="s">
        <v>679</v>
      </c>
      <c r="B432" s="63" t="s">
        <v>680</v>
      </c>
      <c r="C432" s="36">
        <v>4301011774</v>
      </c>
      <c r="D432" s="625">
        <v>4680115884502</v>
      </c>
      <c r="E432" s="625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119</v>
      </c>
      <c r="L432" s="37" t="s">
        <v>45</v>
      </c>
      <c r="M432" s="38" t="s">
        <v>118</v>
      </c>
      <c r="N432" s="38"/>
      <c r="O432" s="37">
        <v>60</v>
      </c>
      <c r="P432" s="84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27"/>
      <c r="R432" s="627"/>
      <c r="S432" s="627"/>
      <c r="T432" s="628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8"/>
        <v>0</v>
      </c>
      <c r="Z432" s="41" t="str">
        <f t="shared" si="49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45</v>
      </c>
      <c r="AK432" s="84">
        <v>0</v>
      </c>
      <c r="BB432" s="501" t="s">
        <v>66</v>
      </c>
      <c r="BM432" s="78">
        <f t="shared" si="50"/>
        <v>0</v>
      </c>
      <c r="BN432" s="78">
        <f t="shared" si="51"/>
        <v>0</v>
      </c>
      <c r="BO432" s="78">
        <f t="shared" si="52"/>
        <v>0</v>
      </c>
      <c r="BP432" s="78">
        <f t="shared" si="53"/>
        <v>0</v>
      </c>
    </row>
    <row r="433" spans="1:68" ht="27" customHeight="1" x14ac:dyDescent="0.25">
      <c r="A433" s="63" t="s">
        <v>682</v>
      </c>
      <c r="B433" s="63" t="s">
        <v>683</v>
      </c>
      <c r="C433" s="36">
        <v>4301011771</v>
      </c>
      <c r="D433" s="625">
        <v>4607091389104</v>
      </c>
      <c r="E433" s="625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119</v>
      </c>
      <c r="L433" s="37" t="s">
        <v>45</v>
      </c>
      <c r="M433" s="38" t="s">
        <v>118</v>
      </c>
      <c r="N433" s="38"/>
      <c r="O433" s="37">
        <v>60</v>
      </c>
      <c r="P433" s="8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27"/>
      <c r="R433" s="627"/>
      <c r="S433" s="627"/>
      <c r="T433" s="628"/>
      <c r="U433" s="39" t="s">
        <v>45</v>
      </c>
      <c r="V433" s="39" t="s">
        <v>45</v>
      </c>
      <c r="W433" s="40" t="s">
        <v>0</v>
      </c>
      <c r="X433" s="58">
        <v>84.48</v>
      </c>
      <c r="Y433" s="55">
        <f t="shared" si="48"/>
        <v>84.48</v>
      </c>
      <c r="Z433" s="41">
        <f t="shared" si="49"/>
        <v>0.19136</v>
      </c>
      <c r="AA433" s="68" t="s">
        <v>45</v>
      </c>
      <c r="AB433" s="69" t="s">
        <v>45</v>
      </c>
      <c r="AC433" s="502" t="s">
        <v>684</v>
      </c>
      <c r="AG433" s="78"/>
      <c r="AJ433" s="84" t="s">
        <v>45</v>
      </c>
      <c r="AK433" s="84">
        <v>0</v>
      </c>
      <c r="BB433" s="503" t="s">
        <v>66</v>
      </c>
      <c r="BM433" s="78">
        <f t="shared" si="50"/>
        <v>90.08</v>
      </c>
      <c r="BN433" s="78">
        <f t="shared" si="51"/>
        <v>90.08</v>
      </c>
      <c r="BO433" s="78">
        <f t="shared" si="52"/>
        <v>0.15384615384615385</v>
      </c>
      <c r="BP433" s="78">
        <f t="shared" si="53"/>
        <v>0.15384615384615385</v>
      </c>
    </row>
    <row r="434" spans="1:68" ht="27" customHeight="1" x14ac:dyDescent="0.25">
      <c r="A434" s="63" t="s">
        <v>685</v>
      </c>
      <c r="B434" s="63" t="s">
        <v>686</v>
      </c>
      <c r="C434" s="36">
        <v>4301012125</v>
      </c>
      <c r="D434" s="625">
        <v>4680115886391</v>
      </c>
      <c r="E434" s="625"/>
      <c r="F434" s="62">
        <v>0.4</v>
      </c>
      <c r="G434" s="37">
        <v>6</v>
      </c>
      <c r="H434" s="62">
        <v>2.4</v>
      </c>
      <c r="I434" s="62">
        <v>2.58</v>
      </c>
      <c r="J434" s="37">
        <v>182</v>
      </c>
      <c r="K434" s="37" t="s">
        <v>81</v>
      </c>
      <c r="L434" s="37" t="s">
        <v>45</v>
      </c>
      <c r="M434" s="38" t="s">
        <v>90</v>
      </c>
      <c r="N434" s="38"/>
      <c r="O434" s="37">
        <v>60</v>
      </c>
      <c r="P434" s="84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27"/>
      <c r="R434" s="627"/>
      <c r="S434" s="627"/>
      <c r="T434" s="628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8"/>
        <v>0</v>
      </c>
      <c r="Z434" s="41" t="str">
        <f>IFERROR(IF(Y434=0,"",ROUNDUP(Y434/H434,0)*0.00651),"")</f>
        <v/>
      </c>
      <c r="AA434" s="68" t="s">
        <v>45</v>
      </c>
      <c r="AB434" s="69" t="s">
        <v>45</v>
      </c>
      <c r="AC434" s="504" t="s">
        <v>117</v>
      </c>
      <c r="AG434" s="78"/>
      <c r="AJ434" s="84" t="s">
        <v>45</v>
      </c>
      <c r="AK434" s="84">
        <v>0</v>
      </c>
      <c r="BB434" s="505" t="s">
        <v>66</v>
      </c>
      <c r="BM434" s="78">
        <f t="shared" si="50"/>
        <v>0</v>
      </c>
      <c r="BN434" s="78">
        <f t="shared" si="51"/>
        <v>0</v>
      </c>
      <c r="BO434" s="78">
        <f t="shared" si="52"/>
        <v>0</v>
      </c>
      <c r="BP434" s="78">
        <f t="shared" si="53"/>
        <v>0</v>
      </c>
    </row>
    <row r="435" spans="1:68" ht="27" customHeight="1" x14ac:dyDescent="0.25">
      <c r="A435" s="63" t="s">
        <v>687</v>
      </c>
      <c r="B435" s="63" t="s">
        <v>688</v>
      </c>
      <c r="C435" s="36">
        <v>4301012035</v>
      </c>
      <c r="D435" s="625">
        <v>4680115880603</v>
      </c>
      <c r="E435" s="625"/>
      <c r="F435" s="62">
        <v>0.6</v>
      </c>
      <c r="G435" s="37">
        <v>8</v>
      </c>
      <c r="H435" s="62">
        <v>4.8</v>
      </c>
      <c r="I435" s="62">
        <v>6.91</v>
      </c>
      <c r="J435" s="37">
        <v>132</v>
      </c>
      <c r="K435" s="37" t="s">
        <v>122</v>
      </c>
      <c r="L435" s="37" t="s">
        <v>45</v>
      </c>
      <c r="M435" s="38" t="s">
        <v>118</v>
      </c>
      <c r="N435" s="38"/>
      <c r="O435" s="37">
        <v>60</v>
      </c>
      <c r="P435" s="84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27"/>
      <c r="R435" s="627"/>
      <c r="S435" s="627"/>
      <c r="T435" s="628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8"/>
        <v>0</v>
      </c>
      <c r="Z435" s="41" t="str">
        <f>IFERROR(IF(Y435=0,"",ROUNDUP(Y435/H435,0)*0.00902),"")</f>
        <v/>
      </c>
      <c r="AA435" s="68" t="s">
        <v>45</v>
      </c>
      <c r="AB435" s="69" t="s">
        <v>45</v>
      </c>
      <c r="AC435" s="506" t="s">
        <v>117</v>
      </c>
      <c r="AG435" s="78"/>
      <c r="AJ435" s="84" t="s">
        <v>45</v>
      </c>
      <c r="AK435" s="84">
        <v>0</v>
      </c>
      <c r="BB435" s="507" t="s">
        <v>66</v>
      </c>
      <c r="BM435" s="78">
        <f t="shared" si="50"/>
        <v>0</v>
      </c>
      <c r="BN435" s="78">
        <f t="shared" si="51"/>
        <v>0</v>
      </c>
      <c r="BO435" s="78">
        <f t="shared" si="52"/>
        <v>0</v>
      </c>
      <c r="BP435" s="78">
        <f t="shared" si="53"/>
        <v>0</v>
      </c>
    </row>
    <row r="436" spans="1:68" ht="27" customHeight="1" x14ac:dyDescent="0.25">
      <c r="A436" s="63" t="s">
        <v>689</v>
      </c>
      <c r="B436" s="63" t="s">
        <v>690</v>
      </c>
      <c r="C436" s="36">
        <v>4301012036</v>
      </c>
      <c r="D436" s="625">
        <v>4680115882782</v>
      </c>
      <c r="E436" s="625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122</v>
      </c>
      <c r="L436" s="37" t="s">
        <v>45</v>
      </c>
      <c r="M436" s="38" t="s">
        <v>118</v>
      </c>
      <c r="N436" s="38"/>
      <c r="O436" s="37">
        <v>60</v>
      </c>
      <c r="P436" s="84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27"/>
      <c r="R436" s="627"/>
      <c r="S436" s="627"/>
      <c r="T436" s="628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8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675</v>
      </c>
      <c r="AG436" s="78"/>
      <c r="AJ436" s="84" t="s">
        <v>45</v>
      </c>
      <c r="AK436" s="84">
        <v>0</v>
      </c>
      <c r="BB436" s="509" t="s">
        <v>66</v>
      </c>
      <c r="BM436" s="78">
        <f t="shared" si="50"/>
        <v>0</v>
      </c>
      <c r="BN436" s="78">
        <f t="shared" si="51"/>
        <v>0</v>
      </c>
      <c r="BO436" s="78">
        <f t="shared" si="52"/>
        <v>0</v>
      </c>
      <c r="BP436" s="78">
        <f t="shared" si="53"/>
        <v>0</v>
      </c>
    </row>
    <row r="437" spans="1:68" ht="27" customHeight="1" x14ac:dyDescent="0.25">
      <c r="A437" s="63" t="s">
        <v>691</v>
      </c>
      <c r="B437" s="63" t="s">
        <v>692</v>
      </c>
      <c r="C437" s="36">
        <v>4301012050</v>
      </c>
      <c r="D437" s="625">
        <v>4680115885479</v>
      </c>
      <c r="E437" s="625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81</v>
      </c>
      <c r="L437" s="37" t="s">
        <v>45</v>
      </c>
      <c r="M437" s="38" t="s">
        <v>118</v>
      </c>
      <c r="N437" s="38"/>
      <c r="O437" s="37">
        <v>60</v>
      </c>
      <c r="P437" s="84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27"/>
      <c r="R437" s="627"/>
      <c r="S437" s="627"/>
      <c r="T437" s="628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8"/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0" t="s">
        <v>684</v>
      </c>
      <c r="AG437" s="78"/>
      <c r="AJ437" s="84" t="s">
        <v>45</v>
      </c>
      <c r="AK437" s="84">
        <v>0</v>
      </c>
      <c r="BB437" s="511" t="s">
        <v>66</v>
      </c>
      <c r="BM437" s="78">
        <f t="shared" si="50"/>
        <v>0</v>
      </c>
      <c r="BN437" s="78">
        <f t="shared" si="51"/>
        <v>0</v>
      </c>
      <c r="BO437" s="78">
        <f t="shared" si="52"/>
        <v>0</v>
      </c>
      <c r="BP437" s="78">
        <f t="shared" si="53"/>
        <v>0</v>
      </c>
    </row>
    <row r="438" spans="1:68" ht="27" customHeight="1" x14ac:dyDescent="0.25">
      <c r="A438" s="63" t="s">
        <v>693</v>
      </c>
      <c r="B438" s="63" t="s">
        <v>694</v>
      </c>
      <c r="C438" s="36">
        <v>4301012034</v>
      </c>
      <c r="D438" s="625">
        <v>4607091389982</v>
      </c>
      <c r="E438" s="625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122</v>
      </c>
      <c r="L438" s="37" t="s">
        <v>45</v>
      </c>
      <c r="M438" s="38" t="s">
        <v>118</v>
      </c>
      <c r="N438" s="38"/>
      <c r="O438" s="37">
        <v>60</v>
      </c>
      <c r="P438" s="84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27"/>
      <c r="R438" s="627"/>
      <c r="S438" s="627"/>
      <c r="T438" s="628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8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12" t="s">
        <v>684</v>
      </c>
      <c r="AG438" s="78"/>
      <c r="AJ438" s="84" t="s">
        <v>45</v>
      </c>
      <c r="AK438" s="84">
        <v>0</v>
      </c>
      <c r="BB438" s="513" t="s">
        <v>66</v>
      </c>
      <c r="BM438" s="78">
        <f t="shared" si="50"/>
        <v>0</v>
      </c>
      <c r="BN438" s="78">
        <f t="shared" si="51"/>
        <v>0</v>
      </c>
      <c r="BO438" s="78">
        <f t="shared" si="52"/>
        <v>0</v>
      </c>
      <c r="BP438" s="78">
        <f t="shared" si="53"/>
        <v>0</v>
      </c>
    </row>
    <row r="439" spans="1:68" x14ac:dyDescent="0.2">
      <c r="A439" s="633"/>
      <c r="B439" s="633"/>
      <c r="C439" s="633"/>
      <c r="D439" s="633"/>
      <c r="E439" s="633"/>
      <c r="F439" s="633"/>
      <c r="G439" s="633"/>
      <c r="H439" s="633"/>
      <c r="I439" s="633"/>
      <c r="J439" s="633"/>
      <c r="K439" s="633"/>
      <c r="L439" s="633"/>
      <c r="M439" s="633"/>
      <c r="N439" s="633"/>
      <c r="O439" s="634"/>
      <c r="P439" s="630" t="s">
        <v>40</v>
      </c>
      <c r="Q439" s="631"/>
      <c r="R439" s="631"/>
      <c r="S439" s="631"/>
      <c r="T439" s="631"/>
      <c r="U439" s="631"/>
      <c r="V439" s="632"/>
      <c r="W439" s="42" t="s">
        <v>39</v>
      </c>
      <c r="X439" s="43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32</v>
      </c>
      <c r="Y439" s="43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32</v>
      </c>
      <c r="Z439" s="43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0.38272</v>
      </c>
      <c r="AA439" s="67"/>
      <c r="AB439" s="67"/>
      <c r="AC439" s="67"/>
    </row>
    <row r="440" spans="1:68" x14ac:dyDescent="0.2">
      <c r="A440" s="633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0" t="s">
        <v>40</v>
      </c>
      <c r="Q440" s="631"/>
      <c r="R440" s="631"/>
      <c r="S440" s="631"/>
      <c r="T440" s="631"/>
      <c r="U440" s="631"/>
      <c r="V440" s="632"/>
      <c r="W440" s="42" t="s">
        <v>0</v>
      </c>
      <c r="X440" s="43">
        <f>IFERROR(SUM(X427:X438),"0")</f>
        <v>168.96</v>
      </c>
      <c r="Y440" s="43">
        <f>IFERROR(SUM(Y427:Y438),"0")</f>
        <v>168.96</v>
      </c>
      <c r="Z440" s="42"/>
      <c r="AA440" s="67"/>
      <c r="AB440" s="67"/>
      <c r="AC440" s="67"/>
    </row>
    <row r="441" spans="1:68" ht="14.25" customHeight="1" x14ac:dyDescent="0.25">
      <c r="A441" s="624" t="s">
        <v>147</v>
      </c>
      <c r="B441" s="624"/>
      <c r="C441" s="624"/>
      <c r="D441" s="624"/>
      <c r="E441" s="624"/>
      <c r="F441" s="624"/>
      <c r="G441" s="624"/>
      <c r="H441" s="624"/>
      <c r="I441" s="624"/>
      <c r="J441" s="624"/>
      <c r="K441" s="624"/>
      <c r="L441" s="624"/>
      <c r="M441" s="624"/>
      <c r="N441" s="624"/>
      <c r="O441" s="624"/>
      <c r="P441" s="624"/>
      <c r="Q441" s="624"/>
      <c r="R441" s="624"/>
      <c r="S441" s="624"/>
      <c r="T441" s="624"/>
      <c r="U441" s="624"/>
      <c r="V441" s="624"/>
      <c r="W441" s="624"/>
      <c r="X441" s="624"/>
      <c r="Y441" s="624"/>
      <c r="Z441" s="624"/>
      <c r="AA441" s="66"/>
      <c r="AB441" s="66"/>
      <c r="AC441" s="80"/>
    </row>
    <row r="442" spans="1:68" ht="16.5" customHeight="1" x14ac:dyDescent="0.25">
      <c r="A442" s="63" t="s">
        <v>695</v>
      </c>
      <c r="B442" s="63" t="s">
        <v>696</v>
      </c>
      <c r="C442" s="36">
        <v>4301020334</v>
      </c>
      <c r="D442" s="625">
        <v>4607091388930</v>
      </c>
      <c r="E442" s="625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119</v>
      </c>
      <c r="L442" s="37" t="s">
        <v>45</v>
      </c>
      <c r="M442" s="38" t="s">
        <v>90</v>
      </c>
      <c r="N442" s="38"/>
      <c r="O442" s="37">
        <v>70</v>
      </c>
      <c r="P442" s="84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27"/>
      <c r="R442" s="627"/>
      <c r="S442" s="627"/>
      <c r="T442" s="628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14" t="s">
        <v>697</v>
      </c>
      <c r="AG442" s="78"/>
      <c r="AJ442" s="84" t="s">
        <v>45</v>
      </c>
      <c r="AK442" s="84">
        <v>0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customHeight="1" x14ac:dyDescent="0.25">
      <c r="A443" s="63" t="s">
        <v>698</v>
      </c>
      <c r="B443" s="63" t="s">
        <v>699</v>
      </c>
      <c r="C443" s="36">
        <v>4301020374</v>
      </c>
      <c r="D443" s="625">
        <v>4680115886407</v>
      </c>
      <c r="E443" s="625"/>
      <c r="F443" s="62">
        <v>0.4</v>
      </c>
      <c r="G443" s="37">
        <v>6</v>
      </c>
      <c r="H443" s="62">
        <v>2.4</v>
      </c>
      <c r="I443" s="62">
        <v>2.58</v>
      </c>
      <c r="J443" s="37">
        <v>182</v>
      </c>
      <c r="K443" s="37" t="s">
        <v>81</v>
      </c>
      <c r="L443" s="37" t="s">
        <v>45</v>
      </c>
      <c r="M443" s="38" t="s">
        <v>118</v>
      </c>
      <c r="N443" s="38"/>
      <c r="O443" s="37">
        <v>70</v>
      </c>
      <c r="P443" s="84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27"/>
      <c r="R443" s="627"/>
      <c r="S443" s="627"/>
      <c r="T443" s="628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IFERROR(IF(Y443=0,"",ROUNDUP(Y443/H443,0)*0.00651),"")</f>
        <v/>
      </c>
      <c r="AA443" s="68" t="s">
        <v>45</v>
      </c>
      <c r="AB443" s="69" t="s">
        <v>45</v>
      </c>
      <c r="AC443" s="516" t="s">
        <v>697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700</v>
      </c>
      <c r="B444" s="63" t="s">
        <v>701</v>
      </c>
      <c r="C444" s="36">
        <v>4301020385</v>
      </c>
      <c r="D444" s="625">
        <v>4680115880054</v>
      </c>
      <c r="E444" s="625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122</v>
      </c>
      <c r="L444" s="37" t="s">
        <v>45</v>
      </c>
      <c r="M444" s="38" t="s">
        <v>118</v>
      </c>
      <c r="N444" s="38"/>
      <c r="O444" s="37">
        <v>70</v>
      </c>
      <c r="P444" s="84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27"/>
      <c r="R444" s="627"/>
      <c r="S444" s="627"/>
      <c r="T444" s="628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8" t="s">
        <v>697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33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0" t="s">
        <v>40</v>
      </c>
      <c r="Q445" s="631"/>
      <c r="R445" s="631"/>
      <c r="S445" s="631"/>
      <c r="T445" s="631"/>
      <c r="U445" s="631"/>
      <c r="V445" s="632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x14ac:dyDescent="0.2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0" t="s">
        <v>40</v>
      </c>
      <c r="Q446" s="631"/>
      <c r="R446" s="631"/>
      <c r="S446" s="631"/>
      <c r="T446" s="631"/>
      <c r="U446" s="631"/>
      <c r="V446" s="632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customHeight="1" x14ac:dyDescent="0.25">
      <c r="A447" s="624" t="s">
        <v>76</v>
      </c>
      <c r="B447" s="624"/>
      <c r="C447" s="624"/>
      <c r="D447" s="624"/>
      <c r="E447" s="624"/>
      <c r="F447" s="624"/>
      <c r="G447" s="624"/>
      <c r="H447" s="624"/>
      <c r="I447" s="624"/>
      <c r="J447" s="624"/>
      <c r="K447" s="624"/>
      <c r="L447" s="624"/>
      <c r="M447" s="624"/>
      <c r="N447" s="624"/>
      <c r="O447" s="624"/>
      <c r="P447" s="624"/>
      <c r="Q447" s="624"/>
      <c r="R447" s="624"/>
      <c r="S447" s="624"/>
      <c r="T447" s="624"/>
      <c r="U447" s="624"/>
      <c r="V447" s="624"/>
      <c r="W447" s="624"/>
      <c r="X447" s="624"/>
      <c r="Y447" s="624"/>
      <c r="Z447" s="624"/>
      <c r="AA447" s="66"/>
      <c r="AB447" s="66"/>
      <c r="AC447" s="80"/>
    </row>
    <row r="448" spans="1:68" ht="27" customHeight="1" x14ac:dyDescent="0.25">
      <c r="A448" s="63" t="s">
        <v>702</v>
      </c>
      <c r="B448" s="63" t="s">
        <v>703</v>
      </c>
      <c r="C448" s="36">
        <v>4301031349</v>
      </c>
      <c r="D448" s="625">
        <v>4680115883116</v>
      </c>
      <c r="E448" s="625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119</v>
      </c>
      <c r="L448" s="37" t="s">
        <v>45</v>
      </c>
      <c r="M448" s="38" t="s">
        <v>118</v>
      </c>
      <c r="N448" s="38"/>
      <c r="O448" s="37">
        <v>70</v>
      </c>
      <c r="P448" s="8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27"/>
      <c r="R448" s="627"/>
      <c r="S448" s="627"/>
      <c r="T448" s="628"/>
      <c r="U448" s="39" t="s">
        <v>45</v>
      </c>
      <c r="V448" s="39" t="s">
        <v>45</v>
      </c>
      <c r="W448" s="40" t="s">
        <v>0</v>
      </c>
      <c r="X448" s="58">
        <v>42.24</v>
      </c>
      <c r="Y448" s="55">
        <f t="shared" ref="Y448:Y454" si="54">IFERROR(IF(X448="",0,CEILING((X448/$H448),1)*$H448),"")</f>
        <v>42.24</v>
      </c>
      <c r="Z448" s="41">
        <f>IFERROR(IF(Y448=0,"",ROUNDUP(Y448/H448,0)*0.01196),"")</f>
        <v>9.5680000000000001E-2</v>
      </c>
      <c r="AA448" s="68" t="s">
        <v>45</v>
      </c>
      <c r="AB448" s="69" t="s">
        <v>45</v>
      </c>
      <c r="AC448" s="520" t="s">
        <v>704</v>
      </c>
      <c r="AG448" s="78"/>
      <c r="AJ448" s="84" t="s">
        <v>45</v>
      </c>
      <c r="AK448" s="84">
        <v>0</v>
      </c>
      <c r="BB448" s="521" t="s">
        <v>66</v>
      </c>
      <c r="BM448" s="78">
        <f t="shared" ref="BM448:BM454" si="55">IFERROR(X448*I448/H448,"0")</f>
        <v>45.04</v>
      </c>
      <c r="BN448" s="78">
        <f t="shared" ref="BN448:BN454" si="56">IFERROR(Y448*I448/H448,"0")</f>
        <v>45.04</v>
      </c>
      <c r="BO448" s="78">
        <f t="shared" ref="BO448:BO454" si="57">IFERROR(1/J448*(X448/H448),"0")</f>
        <v>7.6923076923076927E-2</v>
      </c>
      <c r="BP448" s="78">
        <f t="shared" ref="BP448:BP454" si="58">IFERROR(1/J448*(Y448/H448),"0")</f>
        <v>7.6923076923076927E-2</v>
      </c>
    </row>
    <row r="449" spans="1:68" ht="27" customHeight="1" x14ac:dyDescent="0.25">
      <c r="A449" s="63" t="s">
        <v>705</v>
      </c>
      <c r="B449" s="63" t="s">
        <v>706</v>
      </c>
      <c r="C449" s="36">
        <v>4301031350</v>
      </c>
      <c r="D449" s="625">
        <v>4680115883093</v>
      </c>
      <c r="E449" s="625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119</v>
      </c>
      <c r="L449" s="37" t="s">
        <v>45</v>
      </c>
      <c r="M449" s="38" t="s">
        <v>80</v>
      </c>
      <c r="N449" s="38"/>
      <c r="O449" s="37">
        <v>70</v>
      </c>
      <c r="P449" s="85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27"/>
      <c r="R449" s="627"/>
      <c r="S449" s="627"/>
      <c r="T449" s="628"/>
      <c r="U449" s="39" t="s">
        <v>45</v>
      </c>
      <c r="V449" s="39" t="s">
        <v>45</v>
      </c>
      <c r="W449" s="40" t="s">
        <v>0</v>
      </c>
      <c r="X449" s="58">
        <v>42.24</v>
      </c>
      <c r="Y449" s="55">
        <f t="shared" si="54"/>
        <v>42.24</v>
      </c>
      <c r="Z449" s="41">
        <f>IFERROR(IF(Y449=0,"",ROUNDUP(Y449/H449,0)*0.01196),"")</f>
        <v>9.5680000000000001E-2</v>
      </c>
      <c r="AA449" s="68" t="s">
        <v>45</v>
      </c>
      <c r="AB449" s="69" t="s">
        <v>45</v>
      </c>
      <c r="AC449" s="522" t="s">
        <v>707</v>
      </c>
      <c r="AG449" s="78"/>
      <c r="AJ449" s="84" t="s">
        <v>45</v>
      </c>
      <c r="AK449" s="84">
        <v>0</v>
      </c>
      <c r="BB449" s="523" t="s">
        <v>66</v>
      </c>
      <c r="BM449" s="78">
        <f t="shared" si="55"/>
        <v>45.04</v>
      </c>
      <c r="BN449" s="78">
        <f t="shared" si="56"/>
        <v>45.04</v>
      </c>
      <c r="BO449" s="78">
        <f t="shared" si="57"/>
        <v>7.6923076923076927E-2</v>
      </c>
      <c r="BP449" s="78">
        <f t="shared" si="58"/>
        <v>7.6923076923076927E-2</v>
      </c>
    </row>
    <row r="450" spans="1:68" ht="27" customHeight="1" x14ac:dyDescent="0.25">
      <c r="A450" s="63" t="s">
        <v>708</v>
      </c>
      <c r="B450" s="63" t="s">
        <v>709</v>
      </c>
      <c r="C450" s="36">
        <v>4301031353</v>
      </c>
      <c r="D450" s="625">
        <v>4680115883109</v>
      </c>
      <c r="E450" s="625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119</v>
      </c>
      <c r="L450" s="37" t="s">
        <v>45</v>
      </c>
      <c r="M450" s="38" t="s">
        <v>80</v>
      </c>
      <c r="N450" s="38"/>
      <c r="O450" s="37">
        <v>70</v>
      </c>
      <c r="P450" s="85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27"/>
      <c r="R450" s="627"/>
      <c r="S450" s="627"/>
      <c r="T450" s="628"/>
      <c r="U450" s="39" t="s">
        <v>45</v>
      </c>
      <c r="V450" s="39" t="s">
        <v>45</v>
      </c>
      <c r="W450" s="40" t="s">
        <v>0</v>
      </c>
      <c r="X450" s="58">
        <v>42.24</v>
      </c>
      <c r="Y450" s="55">
        <f t="shared" si="54"/>
        <v>42.24</v>
      </c>
      <c r="Z450" s="41">
        <f>IFERROR(IF(Y450=0,"",ROUNDUP(Y450/H450,0)*0.01196),"")</f>
        <v>9.5680000000000001E-2</v>
      </c>
      <c r="AA450" s="68" t="s">
        <v>45</v>
      </c>
      <c r="AB450" s="69" t="s">
        <v>45</v>
      </c>
      <c r="AC450" s="524" t="s">
        <v>710</v>
      </c>
      <c r="AG450" s="78"/>
      <c r="AJ450" s="84" t="s">
        <v>45</v>
      </c>
      <c r="AK450" s="84">
        <v>0</v>
      </c>
      <c r="BB450" s="525" t="s">
        <v>66</v>
      </c>
      <c r="BM450" s="78">
        <f t="shared" si="55"/>
        <v>45.04</v>
      </c>
      <c r="BN450" s="78">
        <f t="shared" si="56"/>
        <v>45.04</v>
      </c>
      <c r="BO450" s="78">
        <f t="shared" si="57"/>
        <v>7.6923076923076927E-2</v>
      </c>
      <c r="BP450" s="78">
        <f t="shared" si="58"/>
        <v>7.6923076923076927E-2</v>
      </c>
    </row>
    <row r="451" spans="1:68" ht="27" customHeight="1" x14ac:dyDescent="0.25">
      <c r="A451" s="63" t="s">
        <v>711</v>
      </c>
      <c r="B451" s="63" t="s">
        <v>712</v>
      </c>
      <c r="C451" s="36">
        <v>4301031419</v>
      </c>
      <c r="D451" s="625">
        <v>4680115882072</v>
      </c>
      <c r="E451" s="625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122</v>
      </c>
      <c r="L451" s="37" t="s">
        <v>45</v>
      </c>
      <c r="M451" s="38" t="s">
        <v>118</v>
      </c>
      <c r="N451" s="38"/>
      <c r="O451" s="37">
        <v>70</v>
      </c>
      <c r="P451" s="85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27"/>
      <c r="R451" s="627"/>
      <c r="S451" s="627"/>
      <c r="T451" s="628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4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704</v>
      </c>
      <c r="AG451" s="78"/>
      <c r="AJ451" s="84" t="s">
        <v>45</v>
      </c>
      <c r="AK451" s="84">
        <v>0</v>
      </c>
      <c r="BB451" s="527" t="s">
        <v>66</v>
      </c>
      <c r="BM451" s="78">
        <f t="shared" si="55"/>
        <v>0</v>
      </c>
      <c r="BN451" s="78">
        <f t="shared" si="56"/>
        <v>0</v>
      </c>
      <c r="BO451" s="78">
        <f t="shared" si="57"/>
        <v>0</v>
      </c>
      <c r="BP451" s="78">
        <f t="shared" si="58"/>
        <v>0</v>
      </c>
    </row>
    <row r="452" spans="1:68" ht="27" customHeight="1" x14ac:dyDescent="0.25">
      <c r="A452" s="63" t="s">
        <v>713</v>
      </c>
      <c r="B452" s="63" t="s">
        <v>714</v>
      </c>
      <c r="C452" s="36">
        <v>4301031352</v>
      </c>
      <c r="D452" s="625">
        <v>4680115882102</v>
      </c>
      <c r="E452" s="625"/>
      <c r="F452" s="62">
        <v>0.6</v>
      </c>
      <c r="G452" s="37">
        <v>6</v>
      </c>
      <c r="H452" s="62">
        <v>3.6</v>
      </c>
      <c r="I452" s="62">
        <v>3.79</v>
      </c>
      <c r="J452" s="37">
        <v>132</v>
      </c>
      <c r="K452" s="37" t="s">
        <v>122</v>
      </c>
      <c r="L452" s="37" t="s">
        <v>45</v>
      </c>
      <c r="M452" s="38" t="s">
        <v>80</v>
      </c>
      <c r="N452" s="38"/>
      <c r="O452" s="37">
        <v>70</v>
      </c>
      <c r="P452" s="854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627"/>
      <c r="R452" s="627"/>
      <c r="S452" s="627"/>
      <c r="T452" s="628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4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707</v>
      </c>
      <c r="AG452" s="78"/>
      <c r="AJ452" s="84" t="s">
        <v>45</v>
      </c>
      <c r="AK452" s="84">
        <v>0</v>
      </c>
      <c r="BB452" s="529" t="s">
        <v>66</v>
      </c>
      <c r="BM452" s="78">
        <f t="shared" si="55"/>
        <v>0</v>
      </c>
      <c r="BN452" s="78">
        <f t="shared" si="56"/>
        <v>0</v>
      </c>
      <c r="BO452" s="78">
        <f t="shared" si="57"/>
        <v>0</v>
      </c>
      <c r="BP452" s="78">
        <f t="shared" si="58"/>
        <v>0</v>
      </c>
    </row>
    <row r="453" spans="1:68" ht="27" customHeight="1" x14ac:dyDescent="0.25">
      <c r="A453" s="63" t="s">
        <v>713</v>
      </c>
      <c r="B453" s="63" t="s">
        <v>715</v>
      </c>
      <c r="C453" s="36">
        <v>4301031418</v>
      </c>
      <c r="D453" s="625">
        <v>4680115882102</v>
      </c>
      <c r="E453" s="625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122</v>
      </c>
      <c r="L453" s="37" t="s">
        <v>45</v>
      </c>
      <c r="M453" s="38" t="s">
        <v>80</v>
      </c>
      <c r="N453" s="38"/>
      <c r="O453" s="37">
        <v>70</v>
      </c>
      <c r="P453" s="85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627"/>
      <c r="R453" s="627"/>
      <c r="S453" s="627"/>
      <c r="T453" s="628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4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707</v>
      </c>
      <c r="AG453" s="78"/>
      <c r="AJ453" s="84" t="s">
        <v>45</v>
      </c>
      <c r="AK453" s="84">
        <v>0</v>
      </c>
      <c r="BB453" s="531" t="s">
        <v>66</v>
      </c>
      <c r="BM453" s="78">
        <f t="shared" si="55"/>
        <v>0</v>
      </c>
      <c r="BN453" s="78">
        <f t="shared" si="56"/>
        <v>0</v>
      </c>
      <c r="BO453" s="78">
        <f t="shared" si="57"/>
        <v>0</v>
      </c>
      <c r="BP453" s="78">
        <f t="shared" si="58"/>
        <v>0</v>
      </c>
    </row>
    <row r="454" spans="1:68" ht="27" customHeight="1" x14ac:dyDescent="0.25">
      <c r="A454" s="63" t="s">
        <v>716</v>
      </c>
      <c r="B454" s="63" t="s">
        <v>717</v>
      </c>
      <c r="C454" s="36">
        <v>4301031417</v>
      </c>
      <c r="D454" s="625">
        <v>4680115882096</v>
      </c>
      <c r="E454" s="625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122</v>
      </c>
      <c r="L454" s="37" t="s">
        <v>45</v>
      </c>
      <c r="M454" s="38" t="s">
        <v>80</v>
      </c>
      <c r="N454" s="38"/>
      <c r="O454" s="37">
        <v>70</v>
      </c>
      <c r="P454" s="85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627"/>
      <c r="R454" s="627"/>
      <c r="S454" s="627"/>
      <c r="T454" s="628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4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710</v>
      </c>
      <c r="AG454" s="78"/>
      <c r="AJ454" s="84" t="s">
        <v>45</v>
      </c>
      <c r="AK454" s="84">
        <v>0</v>
      </c>
      <c r="BB454" s="533" t="s">
        <v>66</v>
      </c>
      <c r="BM454" s="78">
        <f t="shared" si="55"/>
        <v>0</v>
      </c>
      <c r="BN454" s="78">
        <f t="shared" si="56"/>
        <v>0</v>
      </c>
      <c r="BO454" s="78">
        <f t="shared" si="57"/>
        <v>0</v>
      </c>
      <c r="BP454" s="78">
        <f t="shared" si="58"/>
        <v>0</v>
      </c>
    </row>
    <row r="455" spans="1:68" x14ac:dyDescent="0.2">
      <c r="A455" s="633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0" t="s">
        <v>40</v>
      </c>
      <c r="Q455" s="631"/>
      <c r="R455" s="631"/>
      <c r="S455" s="631"/>
      <c r="T455" s="631"/>
      <c r="U455" s="631"/>
      <c r="V455" s="632"/>
      <c r="W455" s="42" t="s">
        <v>39</v>
      </c>
      <c r="X455" s="43">
        <f>IFERROR(X448/H448,"0")+IFERROR(X449/H449,"0")+IFERROR(X450/H450,"0")+IFERROR(X451/H451,"0")+IFERROR(X452/H452,"0")+IFERROR(X453/H453,"0")+IFERROR(X454/H454,"0")</f>
        <v>24</v>
      </c>
      <c r="Y455" s="43">
        <f>IFERROR(Y448/H448,"0")+IFERROR(Y449/H449,"0")+IFERROR(Y450/H450,"0")+IFERROR(Y451/H451,"0")+IFERROR(Y452/H452,"0")+IFERROR(Y453/H453,"0")+IFERROR(Y454/H454,"0")</f>
        <v>24</v>
      </c>
      <c r="Z455" s="43">
        <f>IFERROR(IF(Z448="",0,Z448),"0")+IFERROR(IF(Z449="",0,Z449),"0")+IFERROR(IF(Z450="",0,Z450),"0")+IFERROR(IF(Z451="",0,Z451),"0")+IFERROR(IF(Z452="",0,Z452),"0")+IFERROR(IF(Z453="",0,Z453),"0")+IFERROR(IF(Z454="",0,Z454),"0")</f>
        <v>0.28704000000000002</v>
      </c>
      <c r="AA455" s="67"/>
      <c r="AB455" s="67"/>
      <c r="AC455" s="67"/>
    </row>
    <row r="456" spans="1:68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0" t="s">
        <v>40</v>
      </c>
      <c r="Q456" s="631"/>
      <c r="R456" s="631"/>
      <c r="S456" s="631"/>
      <c r="T456" s="631"/>
      <c r="U456" s="631"/>
      <c r="V456" s="632"/>
      <c r="W456" s="42" t="s">
        <v>0</v>
      </c>
      <c r="X456" s="43">
        <f>IFERROR(SUM(X448:X454),"0")</f>
        <v>126.72</v>
      </c>
      <c r="Y456" s="43">
        <f>IFERROR(SUM(Y448:Y454),"0")</f>
        <v>126.72</v>
      </c>
      <c r="Z456" s="42"/>
      <c r="AA456" s="67"/>
      <c r="AB456" s="67"/>
      <c r="AC456" s="67"/>
    </row>
    <row r="457" spans="1:68" ht="27.75" customHeight="1" x14ac:dyDescent="0.2">
      <c r="A457" s="622" t="s">
        <v>718</v>
      </c>
      <c r="B457" s="622"/>
      <c r="C457" s="622"/>
      <c r="D457" s="622"/>
      <c r="E457" s="622"/>
      <c r="F457" s="622"/>
      <c r="G457" s="622"/>
      <c r="H457" s="622"/>
      <c r="I457" s="622"/>
      <c r="J457" s="622"/>
      <c r="K457" s="622"/>
      <c r="L457" s="622"/>
      <c r="M457" s="622"/>
      <c r="N457" s="622"/>
      <c r="O457" s="622"/>
      <c r="P457" s="622"/>
      <c r="Q457" s="622"/>
      <c r="R457" s="622"/>
      <c r="S457" s="622"/>
      <c r="T457" s="622"/>
      <c r="U457" s="622"/>
      <c r="V457" s="622"/>
      <c r="W457" s="622"/>
      <c r="X457" s="622"/>
      <c r="Y457" s="622"/>
      <c r="Z457" s="622"/>
      <c r="AA457" s="54"/>
      <c r="AB457" s="54"/>
      <c r="AC457" s="54"/>
    </row>
    <row r="458" spans="1:68" ht="16.5" customHeight="1" x14ac:dyDescent="0.25">
      <c r="A458" s="623" t="s">
        <v>718</v>
      </c>
      <c r="B458" s="623"/>
      <c r="C458" s="623"/>
      <c r="D458" s="623"/>
      <c r="E458" s="623"/>
      <c r="F458" s="623"/>
      <c r="G458" s="623"/>
      <c r="H458" s="623"/>
      <c r="I458" s="623"/>
      <c r="J458" s="623"/>
      <c r="K458" s="623"/>
      <c r="L458" s="623"/>
      <c r="M458" s="623"/>
      <c r="N458" s="623"/>
      <c r="O458" s="623"/>
      <c r="P458" s="623"/>
      <c r="Q458" s="623"/>
      <c r="R458" s="623"/>
      <c r="S458" s="623"/>
      <c r="T458" s="623"/>
      <c r="U458" s="623"/>
      <c r="V458" s="623"/>
      <c r="W458" s="623"/>
      <c r="X458" s="623"/>
      <c r="Y458" s="623"/>
      <c r="Z458" s="623"/>
      <c r="AA458" s="65"/>
      <c r="AB458" s="65"/>
      <c r="AC458" s="79"/>
    </row>
    <row r="459" spans="1:68" ht="14.25" customHeight="1" x14ac:dyDescent="0.25">
      <c r="A459" s="624" t="s">
        <v>114</v>
      </c>
      <c r="B459" s="624"/>
      <c r="C459" s="624"/>
      <c r="D459" s="624"/>
      <c r="E459" s="624"/>
      <c r="F459" s="624"/>
      <c r="G459" s="624"/>
      <c r="H459" s="624"/>
      <c r="I459" s="624"/>
      <c r="J459" s="624"/>
      <c r="K459" s="624"/>
      <c r="L459" s="624"/>
      <c r="M459" s="624"/>
      <c r="N459" s="624"/>
      <c r="O459" s="624"/>
      <c r="P459" s="624"/>
      <c r="Q459" s="624"/>
      <c r="R459" s="624"/>
      <c r="S459" s="624"/>
      <c r="T459" s="624"/>
      <c r="U459" s="624"/>
      <c r="V459" s="624"/>
      <c r="W459" s="624"/>
      <c r="X459" s="624"/>
      <c r="Y459" s="624"/>
      <c r="Z459" s="624"/>
      <c r="AA459" s="66"/>
      <c r="AB459" s="66"/>
      <c r="AC459" s="80"/>
    </row>
    <row r="460" spans="1:68" ht="27" customHeight="1" x14ac:dyDescent="0.25">
      <c r="A460" s="63" t="s">
        <v>719</v>
      </c>
      <c r="B460" s="63" t="s">
        <v>720</v>
      </c>
      <c r="C460" s="36">
        <v>4301011763</v>
      </c>
      <c r="D460" s="625">
        <v>4640242181011</v>
      </c>
      <c r="E460" s="625"/>
      <c r="F460" s="62">
        <v>1.35</v>
      </c>
      <c r="G460" s="37">
        <v>8</v>
      </c>
      <c r="H460" s="62">
        <v>10.8</v>
      </c>
      <c r="I460" s="62">
        <v>11.21</v>
      </c>
      <c r="J460" s="37">
        <v>64</v>
      </c>
      <c r="K460" s="37" t="s">
        <v>119</v>
      </c>
      <c r="L460" s="37" t="s">
        <v>45</v>
      </c>
      <c r="M460" s="38" t="s">
        <v>90</v>
      </c>
      <c r="N460" s="38"/>
      <c r="O460" s="37">
        <v>55</v>
      </c>
      <c r="P460" s="85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627"/>
      <c r="R460" s="627"/>
      <c r="S460" s="627"/>
      <c r="T460" s="628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34" t="s">
        <v>721</v>
      </c>
      <c r="AG460" s="78"/>
      <c r="AJ460" s="84" t="s">
        <v>45</v>
      </c>
      <c r="AK460" s="84">
        <v>0</v>
      </c>
      <c r="BB460" s="53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722</v>
      </c>
      <c r="B461" s="63" t="s">
        <v>723</v>
      </c>
      <c r="C461" s="36">
        <v>4301011585</v>
      </c>
      <c r="D461" s="625">
        <v>4640242180441</v>
      </c>
      <c r="E461" s="625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119</v>
      </c>
      <c r="L461" s="37" t="s">
        <v>45</v>
      </c>
      <c r="M461" s="38" t="s">
        <v>118</v>
      </c>
      <c r="N461" s="38"/>
      <c r="O461" s="37">
        <v>50</v>
      </c>
      <c r="P461" s="85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627"/>
      <c r="R461" s="627"/>
      <c r="S461" s="627"/>
      <c r="T461" s="628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6" t="s">
        <v>724</v>
      </c>
      <c r="AG461" s="78"/>
      <c r="AJ461" s="84" t="s">
        <v>45</v>
      </c>
      <c r="AK461" s="84">
        <v>0</v>
      </c>
      <c r="BB461" s="53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725</v>
      </c>
      <c r="B462" s="63" t="s">
        <v>726</v>
      </c>
      <c r="C462" s="36">
        <v>4301011584</v>
      </c>
      <c r="D462" s="625">
        <v>4640242180564</v>
      </c>
      <c r="E462" s="625"/>
      <c r="F462" s="62">
        <v>1.5</v>
      </c>
      <c r="G462" s="37">
        <v>8</v>
      </c>
      <c r="H462" s="62">
        <v>12</v>
      </c>
      <c r="I462" s="62">
        <v>12.41</v>
      </c>
      <c r="J462" s="37">
        <v>64</v>
      </c>
      <c r="K462" s="37" t="s">
        <v>119</v>
      </c>
      <c r="L462" s="37" t="s">
        <v>45</v>
      </c>
      <c r="M462" s="38" t="s">
        <v>118</v>
      </c>
      <c r="N462" s="38"/>
      <c r="O462" s="37">
        <v>50</v>
      </c>
      <c r="P462" s="85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627"/>
      <c r="R462" s="627"/>
      <c r="S462" s="627"/>
      <c r="T462" s="628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45</v>
      </c>
      <c r="AB462" s="69" t="s">
        <v>45</v>
      </c>
      <c r="AC462" s="538" t="s">
        <v>727</v>
      </c>
      <c r="AG462" s="78"/>
      <c r="AJ462" s="84" t="s">
        <v>45</v>
      </c>
      <c r="AK462" s="84">
        <v>0</v>
      </c>
      <c r="BB462" s="53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728</v>
      </c>
      <c r="B463" s="63" t="s">
        <v>729</v>
      </c>
      <c r="C463" s="36">
        <v>4301011764</v>
      </c>
      <c r="D463" s="625">
        <v>4640242181189</v>
      </c>
      <c r="E463" s="625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122</v>
      </c>
      <c r="L463" s="37" t="s">
        <v>45</v>
      </c>
      <c r="M463" s="38" t="s">
        <v>90</v>
      </c>
      <c r="N463" s="38"/>
      <c r="O463" s="37">
        <v>55</v>
      </c>
      <c r="P463" s="86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627"/>
      <c r="R463" s="627"/>
      <c r="S463" s="627"/>
      <c r="T463" s="628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45</v>
      </c>
      <c r="AB463" s="69" t="s">
        <v>45</v>
      </c>
      <c r="AC463" s="540" t="s">
        <v>721</v>
      </c>
      <c r="AG463" s="78"/>
      <c r="AJ463" s="84" t="s">
        <v>45</v>
      </c>
      <c r="AK463" s="84">
        <v>0</v>
      </c>
      <c r="BB463" s="54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633"/>
      <c r="B464" s="633"/>
      <c r="C464" s="633"/>
      <c r="D464" s="633"/>
      <c r="E464" s="633"/>
      <c r="F464" s="633"/>
      <c r="G464" s="633"/>
      <c r="H464" s="633"/>
      <c r="I464" s="633"/>
      <c r="J464" s="633"/>
      <c r="K464" s="633"/>
      <c r="L464" s="633"/>
      <c r="M464" s="633"/>
      <c r="N464" s="633"/>
      <c r="O464" s="634"/>
      <c r="P464" s="630" t="s">
        <v>40</v>
      </c>
      <c r="Q464" s="631"/>
      <c r="R464" s="631"/>
      <c r="S464" s="631"/>
      <c r="T464" s="631"/>
      <c r="U464" s="631"/>
      <c r="V464" s="632"/>
      <c r="W464" s="42" t="s">
        <v>39</v>
      </c>
      <c r="X464" s="43">
        <f>IFERROR(X460/H460,"0")+IFERROR(X461/H461,"0")+IFERROR(X462/H462,"0")+IFERROR(X463/H463,"0")</f>
        <v>0</v>
      </c>
      <c r="Y464" s="43">
        <f>IFERROR(Y460/H460,"0")+IFERROR(Y461/H461,"0")+IFERROR(Y462/H462,"0")+IFERROR(Y463/H463,"0")</f>
        <v>0</v>
      </c>
      <c r="Z464" s="43">
        <f>IFERROR(IF(Z460="",0,Z460),"0")+IFERROR(IF(Z461="",0,Z461),"0")+IFERROR(IF(Z462="",0,Z462),"0")+IFERROR(IF(Z463="",0,Z463),"0")</f>
        <v>0</v>
      </c>
      <c r="AA464" s="67"/>
      <c r="AB464" s="67"/>
      <c r="AC464" s="67"/>
    </row>
    <row r="465" spans="1:68" x14ac:dyDescent="0.2">
      <c r="A465" s="633"/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4"/>
      <c r="P465" s="630" t="s">
        <v>40</v>
      </c>
      <c r="Q465" s="631"/>
      <c r="R465" s="631"/>
      <c r="S465" s="631"/>
      <c r="T465" s="631"/>
      <c r="U465" s="631"/>
      <c r="V465" s="632"/>
      <c r="W465" s="42" t="s">
        <v>0</v>
      </c>
      <c r="X465" s="43">
        <f>IFERROR(SUM(X460:X463),"0")</f>
        <v>0</v>
      </c>
      <c r="Y465" s="43">
        <f>IFERROR(SUM(Y460:Y463),"0")</f>
        <v>0</v>
      </c>
      <c r="Z465" s="42"/>
      <c r="AA465" s="67"/>
      <c r="AB465" s="67"/>
      <c r="AC465" s="67"/>
    </row>
    <row r="466" spans="1:68" ht="14.25" customHeight="1" x14ac:dyDescent="0.25">
      <c r="A466" s="624" t="s">
        <v>147</v>
      </c>
      <c r="B466" s="624"/>
      <c r="C466" s="624"/>
      <c r="D466" s="624"/>
      <c r="E466" s="624"/>
      <c r="F466" s="624"/>
      <c r="G466" s="624"/>
      <c r="H466" s="624"/>
      <c r="I466" s="624"/>
      <c r="J466" s="624"/>
      <c r="K466" s="624"/>
      <c r="L466" s="624"/>
      <c r="M466" s="624"/>
      <c r="N466" s="624"/>
      <c r="O466" s="624"/>
      <c r="P466" s="624"/>
      <c r="Q466" s="624"/>
      <c r="R466" s="624"/>
      <c r="S466" s="624"/>
      <c r="T466" s="624"/>
      <c r="U466" s="624"/>
      <c r="V466" s="624"/>
      <c r="W466" s="624"/>
      <c r="X466" s="624"/>
      <c r="Y466" s="624"/>
      <c r="Z466" s="624"/>
      <c r="AA466" s="66"/>
      <c r="AB466" s="66"/>
      <c r="AC466" s="80"/>
    </row>
    <row r="467" spans="1:68" ht="27" customHeight="1" x14ac:dyDescent="0.25">
      <c r="A467" s="63" t="s">
        <v>730</v>
      </c>
      <c r="B467" s="63" t="s">
        <v>731</v>
      </c>
      <c r="C467" s="36">
        <v>4301020400</v>
      </c>
      <c r="D467" s="625">
        <v>4640242180519</v>
      </c>
      <c r="E467" s="625"/>
      <c r="F467" s="62">
        <v>1.5</v>
      </c>
      <c r="G467" s="37">
        <v>8</v>
      </c>
      <c r="H467" s="62">
        <v>12</v>
      </c>
      <c r="I467" s="62">
        <v>12.41</v>
      </c>
      <c r="J467" s="37">
        <v>64</v>
      </c>
      <c r="K467" s="37" t="s">
        <v>119</v>
      </c>
      <c r="L467" s="37" t="s">
        <v>45</v>
      </c>
      <c r="M467" s="38" t="s">
        <v>118</v>
      </c>
      <c r="N467" s="38"/>
      <c r="O467" s="37">
        <v>50</v>
      </c>
      <c r="P467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627"/>
      <c r="R467" s="627"/>
      <c r="S467" s="627"/>
      <c r="T467" s="628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732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33"/>
      <c r="B468" s="633"/>
      <c r="C468" s="633"/>
      <c r="D468" s="633"/>
      <c r="E468" s="633"/>
      <c r="F468" s="633"/>
      <c r="G468" s="633"/>
      <c r="H468" s="633"/>
      <c r="I468" s="633"/>
      <c r="J468" s="633"/>
      <c r="K468" s="633"/>
      <c r="L468" s="633"/>
      <c r="M468" s="633"/>
      <c r="N468" s="633"/>
      <c r="O468" s="634"/>
      <c r="P468" s="630" t="s">
        <v>40</v>
      </c>
      <c r="Q468" s="631"/>
      <c r="R468" s="631"/>
      <c r="S468" s="631"/>
      <c r="T468" s="631"/>
      <c r="U468" s="631"/>
      <c r="V468" s="632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x14ac:dyDescent="0.2">
      <c r="A469" s="633"/>
      <c r="B469" s="633"/>
      <c r="C469" s="633"/>
      <c r="D469" s="633"/>
      <c r="E469" s="633"/>
      <c r="F469" s="633"/>
      <c r="G469" s="633"/>
      <c r="H469" s="633"/>
      <c r="I469" s="633"/>
      <c r="J469" s="633"/>
      <c r="K469" s="633"/>
      <c r="L469" s="633"/>
      <c r="M469" s="633"/>
      <c r="N469" s="633"/>
      <c r="O469" s="634"/>
      <c r="P469" s="630" t="s">
        <v>40</v>
      </c>
      <c r="Q469" s="631"/>
      <c r="R469" s="631"/>
      <c r="S469" s="631"/>
      <c r="T469" s="631"/>
      <c r="U469" s="631"/>
      <c r="V469" s="632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customHeight="1" x14ac:dyDescent="0.25">
      <c r="A470" s="624" t="s">
        <v>76</v>
      </c>
      <c r="B470" s="624"/>
      <c r="C470" s="624"/>
      <c r="D470" s="624"/>
      <c r="E470" s="624"/>
      <c r="F470" s="624"/>
      <c r="G470" s="624"/>
      <c r="H470" s="624"/>
      <c r="I470" s="624"/>
      <c r="J470" s="624"/>
      <c r="K470" s="624"/>
      <c r="L470" s="624"/>
      <c r="M470" s="624"/>
      <c r="N470" s="624"/>
      <c r="O470" s="624"/>
      <c r="P470" s="624"/>
      <c r="Q470" s="624"/>
      <c r="R470" s="624"/>
      <c r="S470" s="624"/>
      <c r="T470" s="624"/>
      <c r="U470" s="624"/>
      <c r="V470" s="624"/>
      <c r="W470" s="624"/>
      <c r="X470" s="624"/>
      <c r="Y470" s="624"/>
      <c r="Z470" s="624"/>
      <c r="AA470" s="66"/>
      <c r="AB470" s="66"/>
      <c r="AC470" s="80"/>
    </row>
    <row r="471" spans="1:68" ht="27" customHeight="1" x14ac:dyDescent="0.25">
      <c r="A471" s="63" t="s">
        <v>733</v>
      </c>
      <c r="B471" s="63" t="s">
        <v>734</v>
      </c>
      <c r="C471" s="36">
        <v>4301031467</v>
      </c>
      <c r="D471" s="625">
        <v>4640242180595</v>
      </c>
      <c r="E471" s="625"/>
      <c r="F471" s="62">
        <v>0.8</v>
      </c>
      <c r="G471" s="37">
        <v>6</v>
      </c>
      <c r="H471" s="62">
        <v>4.8</v>
      </c>
      <c r="I471" s="62">
        <v>5.05</v>
      </c>
      <c r="J471" s="37">
        <v>132</v>
      </c>
      <c r="K471" s="37" t="s">
        <v>122</v>
      </c>
      <c r="L471" s="37" t="s">
        <v>45</v>
      </c>
      <c r="M471" s="38" t="s">
        <v>80</v>
      </c>
      <c r="N471" s="38"/>
      <c r="O471" s="37">
        <v>40</v>
      </c>
      <c r="P471" s="862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627"/>
      <c r="R471" s="627"/>
      <c r="S471" s="627"/>
      <c r="T471" s="628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44" t="s">
        <v>735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633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0" t="s">
        <v>40</v>
      </c>
      <c r="Q472" s="631"/>
      <c r="R472" s="631"/>
      <c r="S472" s="631"/>
      <c r="T472" s="631"/>
      <c r="U472" s="631"/>
      <c r="V472" s="632"/>
      <c r="W472" s="42" t="s">
        <v>39</v>
      </c>
      <c r="X472" s="43">
        <f>IFERROR(X471/H471,"0")</f>
        <v>0</v>
      </c>
      <c r="Y472" s="43">
        <f>IFERROR(Y471/H471,"0")</f>
        <v>0</v>
      </c>
      <c r="Z472" s="43">
        <f>IFERROR(IF(Z471="",0,Z471),"0")</f>
        <v>0</v>
      </c>
      <c r="AA472" s="67"/>
      <c r="AB472" s="67"/>
      <c r="AC472" s="67"/>
    </row>
    <row r="473" spans="1:68" x14ac:dyDescent="0.2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0" t="s">
        <v>40</v>
      </c>
      <c r="Q473" s="631"/>
      <c r="R473" s="631"/>
      <c r="S473" s="631"/>
      <c r="T473" s="631"/>
      <c r="U473" s="631"/>
      <c r="V473" s="632"/>
      <c r="W473" s="42" t="s">
        <v>0</v>
      </c>
      <c r="X473" s="43">
        <f>IFERROR(SUM(X471:X471),"0")</f>
        <v>0</v>
      </c>
      <c r="Y473" s="43">
        <f>IFERROR(SUM(Y471:Y471),"0")</f>
        <v>0</v>
      </c>
      <c r="Z473" s="42"/>
      <c r="AA473" s="67"/>
      <c r="AB473" s="67"/>
      <c r="AC473" s="67"/>
    </row>
    <row r="474" spans="1:68" ht="14.25" customHeight="1" x14ac:dyDescent="0.25">
      <c r="A474" s="624" t="s">
        <v>86</v>
      </c>
      <c r="B474" s="624"/>
      <c r="C474" s="624"/>
      <c r="D474" s="624"/>
      <c r="E474" s="624"/>
      <c r="F474" s="624"/>
      <c r="G474" s="624"/>
      <c r="H474" s="624"/>
      <c r="I474" s="624"/>
      <c r="J474" s="624"/>
      <c r="K474" s="624"/>
      <c r="L474" s="624"/>
      <c r="M474" s="624"/>
      <c r="N474" s="624"/>
      <c r="O474" s="624"/>
      <c r="P474" s="624"/>
      <c r="Q474" s="624"/>
      <c r="R474" s="624"/>
      <c r="S474" s="624"/>
      <c r="T474" s="624"/>
      <c r="U474" s="624"/>
      <c r="V474" s="624"/>
      <c r="W474" s="624"/>
      <c r="X474" s="624"/>
      <c r="Y474" s="624"/>
      <c r="Z474" s="624"/>
      <c r="AA474" s="66"/>
      <c r="AB474" s="66"/>
      <c r="AC474" s="80"/>
    </row>
    <row r="475" spans="1:68" ht="27" customHeight="1" x14ac:dyDescent="0.25">
      <c r="A475" s="63" t="s">
        <v>736</v>
      </c>
      <c r="B475" s="63" t="s">
        <v>737</v>
      </c>
      <c r="C475" s="36">
        <v>4301052046</v>
      </c>
      <c r="D475" s="625">
        <v>4640242180533</v>
      </c>
      <c r="E475" s="625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119</v>
      </c>
      <c r="L475" s="37" t="s">
        <v>45</v>
      </c>
      <c r="M475" s="38" t="s">
        <v>96</v>
      </c>
      <c r="N475" s="38"/>
      <c r="O475" s="37">
        <v>45</v>
      </c>
      <c r="P475" s="86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7"/>
      <c r="R475" s="627"/>
      <c r="S475" s="627"/>
      <c r="T475" s="628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6" t="s">
        <v>738</v>
      </c>
      <c r="AG475" s="78"/>
      <c r="AJ475" s="84" t="s">
        <v>45</v>
      </c>
      <c r="AK475" s="84">
        <v>0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633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0" t="s">
        <v>40</v>
      </c>
      <c r="Q476" s="631"/>
      <c r="R476" s="631"/>
      <c r="S476" s="631"/>
      <c r="T476" s="631"/>
      <c r="U476" s="631"/>
      <c r="V476" s="632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0" t="s">
        <v>40</v>
      </c>
      <c r="Q477" s="631"/>
      <c r="R477" s="631"/>
      <c r="S477" s="631"/>
      <c r="T477" s="631"/>
      <c r="U477" s="631"/>
      <c r="V477" s="632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customHeight="1" x14ac:dyDescent="0.25">
      <c r="A478" s="624" t="s">
        <v>173</v>
      </c>
      <c r="B478" s="624"/>
      <c r="C478" s="624"/>
      <c r="D478" s="624"/>
      <c r="E478" s="624"/>
      <c r="F478" s="624"/>
      <c r="G478" s="624"/>
      <c r="H478" s="624"/>
      <c r="I478" s="624"/>
      <c r="J478" s="624"/>
      <c r="K478" s="624"/>
      <c r="L478" s="624"/>
      <c r="M478" s="624"/>
      <c r="N478" s="624"/>
      <c r="O478" s="624"/>
      <c r="P478" s="624"/>
      <c r="Q478" s="624"/>
      <c r="R478" s="624"/>
      <c r="S478" s="624"/>
      <c r="T478" s="624"/>
      <c r="U478" s="624"/>
      <c r="V478" s="624"/>
      <c r="W478" s="624"/>
      <c r="X478" s="624"/>
      <c r="Y478" s="624"/>
      <c r="Z478" s="624"/>
      <c r="AA478" s="66"/>
      <c r="AB478" s="66"/>
      <c r="AC478" s="80"/>
    </row>
    <row r="479" spans="1:68" ht="27" customHeight="1" x14ac:dyDescent="0.25">
      <c r="A479" s="63" t="s">
        <v>739</v>
      </c>
      <c r="B479" s="63" t="s">
        <v>740</v>
      </c>
      <c r="C479" s="36">
        <v>4301060491</v>
      </c>
      <c r="D479" s="625">
        <v>4640242180120</v>
      </c>
      <c r="E479" s="625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119</v>
      </c>
      <c r="L479" s="37" t="s">
        <v>45</v>
      </c>
      <c r="M479" s="38" t="s">
        <v>90</v>
      </c>
      <c r="N479" s="38"/>
      <c r="O479" s="37">
        <v>40</v>
      </c>
      <c r="P479" s="86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7"/>
      <c r="R479" s="627"/>
      <c r="S479" s="627"/>
      <c r="T479" s="628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8" t="s">
        <v>741</v>
      </c>
      <c r="AG479" s="78"/>
      <c r="AJ479" s="84" t="s">
        <v>45</v>
      </c>
      <c r="AK479" s="84">
        <v>0</v>
      </c>
      <c r="BB479" s="54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742</v>
      </c>
      <c r="B480" s="63" t="s">
        <v>743</v>
      </c>
      <c r="C480" s="36">
        <v>4301060493</v>
      </c>
      <c r="D480" s="625">
        <v>4640242180137</v>
      </c>
      <c r="E480" s="625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119</v>
      </c>
      <c r="L480" s="37" t="s">
        <v>45</v>
      </c>
      <c r="M480" s="38" t="s">
        <v>90</v>
      </c>
      <c r="N480" s="38"/>
      <c r="O480" s="37">
        <v>40</v>
      </c>
      <c r="P480" s="86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7"/>
      <c r="R480" s="627"/>
      <c r="S480" s="627"/>
      <c r="T480" s="628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744</v>
      </c>
      <c r="AG480" s="78"/>
      <c r="AJ480" s="84" t="s">
        <v>45</v>
      </c>
      <c r="AK480" s="84">
        <v>0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633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0" t="s">
        <v>40</v>
      </c>
      <c r="Q481" s="631"/>
      <c r="R481" s="631"/>
      <c r="S481" s="631"/>
      <c r="T481" s="631"/>
      <c r="U481" s="631"/>
      <c r="V481" s="632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0" t="s">
        <v>40</v>
      </c>
      <c r="Q482" s="631"/>
      <c r="R482" s="631"/>
      <c r="S482" s="631"/>
      <c r="T482" s="631"/>
      <c r="U482" s="631"/>
      <c r="V482" s="632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customHeight="1" x14ac:dyDescent="0.25">
      <c r="A483" s="623" t="s">
        <v>745</v>
      </c>
      <c r="B483" s="623"/>
      <c r="C483" s="623"/>
      <c r="D483" s="623"/>
      <c r="E483" s="623"/>
      <c r="F483" s="623"/>
      <c r="G483" s="623"/>
      <c r="H483" s="623"/>
      <c r="I483" s="623"/>
      <c r="J483" s="623"/>
      <c r="K483" s="623"/>
      <c r="L483" s="623"/>
      <c r="M483" s="623"/>
      <c r="N483" s="623"/>
      <c r="O483" s="623"/>
      <c r="P483" s="623"/>
      <c r="Q483" s="623"/>
      <c r="R483" s="623"/>
      <c r="S483" s="623"/>
      <c r="T483" s="623"/>
      <c r="U483" s="623"/>
      <c r="V483" s="623"/>
      <c r="W483" s="623"/>
      <c r="X483" s="623"/>
      <c r="Y483" s="623"/>
      <c r="Z483" s="623"/>
      <c r="AA483" s="65"/>
      <c r="AB483" s="65"/>
      <c r="AC483" s="79"/>
    </row>
    <row r="484" spans="1:68" ht="14.25" customHeight="1" x14ac:dyDescent="0.25">
      <c r="A484" s="624" t="s">
        <v>147</v>
      </c>
      <c r="B484" s="624"/>
      <c r="C484" s="624"/>
      <c r="D484" s="624"/>
      <c r="E484" s="624"/>
      <c r="F484" s="624"/>
      <c r="G484" s="624"/>
      <c r="H484" s="624"/>
      <c r="I484" s="624"/>
      <c r="J484" s="624"/>
      <c r="K484" s="624"/>
      <c r="L484" s="624"/>
      <c r="M484" s="624"/>
      <c r="N484" s="624"/>
      <c r="O484" s="624"/>
      <c r="P484" s="624"/>
      <c r="Q484" s="624"/>
      <c r="R484" s="624"/>
      <c r="S484" s="624"/>
      <c r="T484" s="624"/>
      <c r="U484" s="624"/>
      <c r="V484" s="624"/>
      <c r="W484" s="624"/>
      <c r="X484" s="624"/>
      <c r="Y484" s="624"/>
      <c r="Z484" s="624"/>
      <c r="AA484" s="66"/>
      <c r="AB484" s="66"/>
      <c r="AC484" s="80"/>
    </row>
    <row r="485" spans="1:68" ht="27" customHeight="1" x14ac:dyDescent="0.25">
      <c r="A485" s="63" t="s">
        <v>746</v>
      </c>
      <c r="B485" s="63" t="s">
        <v>747</v>
      </c>
      <c r="C485" s="36">
        <v>4301020314</v>
      </c>
      <c r="D485" s="625">
        <v>4640242180090</v>
      </c>
      <c r="E485" s="625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119</v>
      </c>
      <c r="L485" s="37" t="s">
        <v>45</v>
      </c>
      <c r="M485" s="38" t="s">
        <v>118</v>
      </c>
      <c r="N485" s="38"/>
      <c r="O485" s="37">
        <v>50</v>
      </c>
      <c r="P485" s="86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7"/>
      <c r="R485" s="627"/>
      <c r="S485" s="627"/>
      <c r="T485" s="628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2" t="s">
        <v>748</v>
      </c>
      <c r="AG485" s="78"/>
      <c r="AJ485" s="84" t="s">
        <v>45</v>
      </c>
      <c r="AK485" s="84">
        <v>0</v>
      </c>
      <c r="BB485" s="553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633"/>
      <c r="B486" s="633"/>
      <c r="C486" s="633"/>
      <c r="D486" s="633"/>
      <c r="E486" s="633"/>
      <c r="F486" s="633"/>
      <c r="G486" s="633"/>
      <c r="H486" s="633"/>
      <c r="I486" s="633"/>
      <c r="J486" s="633"/>
      <c r="K486" s="633"/>
      <c r="L486" s="633"/>
      <c r="M486" s="633"/>
      <c r="N486" s="633"/>
      <c r="O486" s="634"/>
      <c r="P486" s="630" t="s">
        <v>40</v>
      </c>
      <c r="Q486" s="631"/>
      <c r="R486" s="631"/>
      <c r="S486" s="631"/>
      <c r="T486" s="631"/>
      <c r="U486" s="631"/>
      <c r="V486" s="632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">
      <c r="A487" s="633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0" t="s">
        <v>40</v>
      </c>
      <c r="Q487" s="631"/>
      <c r="R487" s="631"/>
      <c r="S487" s="631"/>
      <c r="T487" s="631"/>
      <c r="U487" s="631"/>
      <c r="V487" s="632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870"/>
      <c r="P488" s="867" t="s">
        <v>33</v>
      </c>
      <c r="Q488" s="868"/>
      <c r="R488" s="868"/>
      <c r="S488" s="868"/>
      <c r="T488" s="868"/>
      <c r="U488" s="868"/>
      <c r="V488" s="869"/>
      <c r="W488" s="42" t="s">
        <v>0</v>
      </c>
      <c r="X488" s="43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1104.48</v>
      </c>
      <c r="Y488" s="43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1104.48</v>
      </c>
      <c r="Z488" s="42"/>
      <c r="AA488" s="67"/>
      <c r="AB488" s="67"/>
      <c r="AC488" s="67"/>
    </row>
    <row r="489" spans="1:68" x14ac:dyDescent="0.2">
      <c r="A489" s="633"/>
      <c r="B489" s="633"/>
      <c r="C489" s="633"/>
      <c r="D489" s="633"/>
      <c r="E489" s="633"/>
      <c r="F489" s="633"/>
      <c r="G489" s="633"/>
      <c r="H489" s="633"/>
      <c r="I489" s="633"/>
      <c r="J489" s="633"/>
      <c r="K489" s="633"/>
      <c r="L489" s="633"/>
      <c r="M489" s="633"/>
      <c r="N489" s="633"/>
      <c r="O489" s="870"/>
      <c r="P489" s="867" t="s">
        <v>34</v>
      </c>
      <c r="Q489" s="868"/>
      <c r="R489" s="868"/>
      <c r="S489" s="868"/>
      <c r="T489" s="868"/>
      <c r="U489" s="868"/>
      <c r="V489" s="869"/>
      <c r="W489" s="42" t="s">
        <v>0</v>
      </c>
      <c r="X489" s="43">
        <f>IFERROR(SUM(BM22:BM485),"0")</f>
        <v>1158.2080000000001</v>
      </c>
      <c r="Y489" s="43">
        <f>IFERROR(SUM(BN22:BN485),"0")</f>
        <v>1158.2080000000001</v>
      </c>
      <c r="Z489" s="42"/>
      <c r="AA489" s="67"/>
      <c r="AB489" s="67"/>
      <c r="AC489" s="67"/>
    </row>
    <row r="490" spans="1:68" x14ac:dyDescent="0.2">
      <c r="A490" s="633"/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870"/>
      <c r="P490" s="867" t="s">
        <v>35</v>
      </c>
      <c r="Q490" s="868"/>
      <c r="R490" s="868"/>
      <c r="S490" s="868"/>
      <c r="T490" s="868"/>
      <c r="U490" s="868"/>
      <c r="V490" s="869"/>
      <c r="W490" s="42" t="s">
        <v>20</v>
      </c>
      <c r="X490" s="44">
        <f>ROUNDUP(SUM(BO22:BO485),0)</f>
        <v>2</v>
      </c>
      <c r="Y490" s="44">
        <f>ROUNDUP(SUM(BP22:BP485),0)</f>
        <v>2</v>
      </c>
      <c r="Z490" s="42"/>
      <c r="AA490" s="67"/>
      <c r="AB490" s="67"/>
      <c r="AC490" s="67"/>
    </row>
    <row r="491" spans="1:68" x14ac:dyDescent="0.2">
      <c r="A491" s="633"/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870"/>
      <c r="P491" s="867" t="s">
        <v>36</v>
      </c>
      <c r="Q491" s="868"/>
      <c r="R491" s="868"/>
      <c r="S491" s="868"/>
      <c r="T491" s="868"/>
      <c r="U491" s="868"/>
      <c r="V491" s="869"/>
      <c r="W491" s="42" t="s">
        <v>0</v>
      </c>
      <c r="X491" s="43">
        <f>GrossWeightTotal+PalletQtyTotal*25</f>
        <v>1208.2080000000001</v>
      </c>
      <c r="Y491" s="43">
        <f>GrossWeightTotalR+PalletQtyTotalR*25</f>
        <v>1208.2080000000001</v>
      </c>
      <c r="Z491" s="42"/>
      <c r="AA491" s="67"/>
      <c r="AB491" s="67"/>
      <c r="AC491" s="67"/>
    </row>
    <row r="492" spans="1:68" x14ac:dyDescent="0.2">
      <c r="A492" s="633"/>
      <c r="B492" s="633"/>
      <c r="C492" s="633"/>
      <c r="D492" s="633"/>
      <c r="E492" s="633"/>
      <c r="F492" s="633"/>
      <c r="G492" s="633"/>
      <c r="H492" s="633"/>
      <c r="I492" s="633"/>
      <c r="J492" s="633"/>
      <c r="K492" s="633"/>
      <c r="L492" s="633"/>
      <c r="M492" s="633"/>
      <c r="N492" s="633"/>
      <c r="O492" s="870"/>
      <c r="P492" s="867" t="s">
        <v>37</v>
      </c>
      <c r="Q492" s="868"/>
      <c r="R492" s="868"/>
      <c r="S492" s="868"/>
      <c r="T492" s="868"/>
      <c r="U492" s="868"/>
      <c r="V492" s="869"/>
      <c r="W492" s="42" t="s">
        <v>20</v>
      </c>
      <c r="X492" s="43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128</v>
      </c>
      <c r="Y492" s="43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128</v>
      </c>
      <c r="Z492" s="42"/>
      <c r="AA492" s="67"/>
      <c r="AB492" s="67"/>
      <c r="AC492" s="67"/>
    </row>
    <row r="493" spans="1:68" ht="14.25" x14ac:dyDescent="0.2">
      <c r="A493" s="633"/>
      <c r="B493" s="633"/>
      <c r="C493" s="633"/>
      <c r="D493" s="633"/>
      <c r="E493" s="633"/>
      <c r="F493" s="633"/>
      <c r="G493" s="633"/>
      <c r="H493" s="633"/>
      <c r="I493" s="633"/>
      <c r="J493" s="633"/>
      <c r="K493" s="633"/>
      <c r="L493" s="633"/>
      <c r="M493" s="633"/>
      <c r="N493" s="633"/>
      <c r="O493" s="870"/>
      <c r="P493" s="867" t="s">
        <v>38</v>
      </c>
      <c r="Q493" s="868"/>
      <c r="R493" s="868"/>
      <c r="S493" s="868"/>
      <c r="T493" s="868"/>
      <c r="U493" s="868"/>
      <c r="V493" s="869"/>
      <c r="W493" s="45" t="s">
        <v>51</v>
      </c>
      <c r="X493" s="42"/>
      <c r="Y493" s="42"/>
      <c r="Z493" s="42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2.1249600000000002</v>
      </c>
      <c r="AA493" s="67"/>
      <c r="AB493" s="67"/>
      <c r="AC493" s="67"/>
    </row>
    <row r="494" spans="1:68" ht="13.5" thickBot="1" x14ac:dyDescent="0.25"/>
    <row r="495" spans="1:68" ht="27" thickTop="1" thickBot="1" x14ac:dyDescent="0.25">
      <c r="A495" s="46" t="s">
        <v>9</v>
      </c>
      <c r="B495" s="85" t="s">
        <v>75</v>
      </c>
      <c r="C495" s="873" t="s">
        <v>112</v>
      </c>
      <c r="D495" s="873" t="s">
        <v>112</v>
      </c>
      <c r="E495" s="873" t="s">
        <v>112</v>
      </c>
      <c r="F495" s="873" t="s">
        <v>112</v>
      </c>
      <c r="G495" s="873" t="s">
        <v>112</v>
      </c>
      <c r="H495" s="873" t="s">
        <v>112</v>
      </c>
      <c r="I495" s="873" t="s">
        <v>275</v>
      </c>
      <c r="J495" s="873" t="s">
        <v>275</v>
      </c>
      <c r="K495" s="873" t="s">
        <v>275</v>
      </c>
      <c r="L495" s="873" t="s">
        <v>275</v>
      </c>
      <c r="M495" s="873" t="s">
        <v>275</v>
      </c>
      <c r="N495" s="874"/>
      <c r="O495" s="873" t="s">
        <v>275</v>
      </c>
      <c r="P495" s="873" t="s">
        <v>275</v>
      </c>
      <c r="Q495" s="873" t="s">
        <v>275</v>
      </c>
      <c r="R495" s="873" t="s">
        <v>275</v>
      </c>
      <c r="S495" s="873" t="s">
        <v>565</v>
      </c>
      <c r="T495" s="873" t="s">
        <v>565</v>
      </c>
      <c r="U495" s="873" t="s">
        <v>618</v>
      </c>
      <c r="V495" s="873" t="s">
        <v>618</v>
      </c>
      <c r="W495" s="873" t="s">
        <v>618</v>
      </c>
      <c r="X495" s="85" t="s">
        <v>666</v>
      </c>
      <c r="Y495" s="873" t="s">
        <v>718</v>
      </c>
      <c r="Z495" s="873" t="s">
        <v>718</v>
      </c>
      <c r="AB495" s="60"/>
      <c r="AC495" s="60"/>
      <c r="AF495" s="1"/>
    </row>
    <row r="496" spans="1:68" ht="14.25" customHeight="1" thickTop="1" x14ac:dyDescent="0.2">
      <c r="A496" s="871" t="s">
        <v>10</v>
      </c>
      <c r="B496" s="873" t="s">
        <v>75</v>
      </c>
      <c r="C496" s="873" t="s">
        <v>113</v>
      </c>
      <c r="D496" s="873" t="s">
        <v>128</v>
      </c>
      <c r="E496" s="873" t="s">
        <v>180</v>
      </c>
      <c r="F496" s="873" t="s">
        <v>201</v>
      </c>
      <c r="G496" s="873" t="s">
        <v>238</v>
      </c>
      <c r="H496" s="873" t="s">
        <v>112</v>
      </c>
      <c r="I496" s="873" t="s">
        <v>276</v>
      </c>
      <c r="J496" s="873" t="s">
        <v>334</v>
      </c>
      <c r="K496" s="873" t="s">
        <v>393</v>
      </c>
      <c r="L496" s="873" t="s">
        <v>432</v>
      </c>
      <c r="M496" s="873" t="s">
        <v>448</v>
      </c>
      <c r="N496" s="1"/>
      <c r="O496" s="873" t="s">
        <v>459</v>
      </c>
      <c r="P496" s="873" t="s">
        <v>468</v>
      </c>
      <c r="Q496" s="873" t="s">
        <v>481</v>
      </c>
      <c r="R496" s="873" t="s">
        <v>555</v>
      </c>
      <c r="S496" s="873" t="s">
        <v>566</v>
      </c>
      <c r="T496" s="873" t="s">
        <v>602</v>
      </c>
      <c r="U496" s="873" t="s">
        <v>619</v>
      </c>
      <c r="V496" s="873" t="s">
        <v>650</v>
      </c>
      <c r="W496" s="873" t="s">
        <v>662</v>
      </c>
      <c r="X496" s="873" t="s">
        <v>666</v>
      </c>
      <c r="Y496" s="873" t="s">
        <v>718</v>
      </c>
      <c r="Z496" s="873" t="s">
        <v>745</v>
      </c>
      <c r="AB496" s="60"/>
      <c r="AC496" s="60"/>
      <c r="AF496" s="1"/>
    </row>
    <row r="497" spans="1:32" ht="13.5" thickBot="1" x14ac:dyDescent="0.25">
      <c r="A497" s="872"/>
      <c r="B497" s="873"/>
      <c r="C497" s="873"/>
      <c r="D497" s="873"/>
      <c r="E497" s="873"/>
      <c r="F497" s="873"/>
      <c r="G497" s="873"/>
      <c r="H497" s="873"/>
      <c r="I497" s="873"/>
      <c r="J497" s="873"/>
      <c r="K497" s="873"/>
      <c r="L497" s="873"/>
      <c r="M497" s="873"/>
      <c r="N497" s="1"/>
      <c r="O497" s="873"/>
      <c r="P497" s="873"/>
      <c r="Q497" s="873"/>
      <c r="R497" s="873"/>
      <c r="S497" s="873"/>
      <c r="T497" s="873"/>
      <c r="U497" s="873"/>
      <c r="V497" s="873"/>
      <c r="W497" s="873"/>
      <c r="X497" s="873"/>
      <c r="Y497" s="873"/>
      <c r="Z497" s="873"/>
      <c r="AB497" s="60"/>
      <c r="AC497" s="60"/>
      <c r="AF497" s="1"/>
    </row>
    <row r="498" spans="1:32" ht="18" thickTop="1" thickBot="1" x14ac:dyDescent="0.25">
      <c r="A498" s="46" t="s">
        <v>13</v>
      </c>
      <c r="B498" s="52">
        <f>IFERROR(Y22*1,"0")+IFERROR(Y23*1,"0")+IFERROR(Y27*1,"0")+IFERROR(Y28*1,"0")+IFERROR(Y29*1,"0")+IFERROR(Y30*1,"0")+IFERROR(Y31*1,"0")+IFERROR(Y32*1,"0")+IFERROR(Y36*1,"0")</f>
        <v>0</v>
      </c>
      <c r="C498" s="52">
        <f>IFERROR(Y42*1,"0")+IFERROR(Y43*1,"0")+IFERROR(Y44*1,"0")+IFERROR(Y48*1,"0")</f>
        <v>0</v>
      </c>
      <c r="D498" s="52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62.4</v>
      </c>
      <c r="E498" s="52">
        <f>IFERROR(Y86*1,"0")+IFERROR(Y87*1,"0")+IFERROR(Y88*1,"0")+IFERROR(Y89*1,"0")+IFERROR(Y93*1,"0")+IFERROR(Y94*1,"0")+IFERROR(Y95*1,"0")+IFERROR(Y96*1,"0")</f>
        <v>0</v>
      </c>
      <c r="F498" s="52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0</v>
      </c>
      <c r="G498" s="52">
        <f>IFERROR(Y128*1,"0")+IFERROR(Y129*1,"0")+IFERROR(Y133*1,"0")+IFERROR(Y134*1,"0")+IFERROR(Y138*1,"0")+IFERROR(Y139*1,"0")</f>
        <v>0</v>
      </c>
      <c r="H498" s="52">
        <f>IFERROR(Y144*1,"0")+IFERROR(Y145*1,"0")+IFERROR(Y149*1,"0")+IFERROR(Y150*1,"0")+IFERROR(Y151*1,"0")+IFERROR(Y152*1,"0")+IFERROR(Y153*1,"0")+IFERROR(Y157*1,"0")</f>
        <v>0</v>
      </c>
      <c r="I498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0</v>
      </c>
      <c r="J498" s="52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0</v>
      </c>
      <c r="K498" s="52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2">
        <f>IFERROR(Y262*1,"0")+IFERROR(Y263*1,"0")+IFERROR(Y264*1,"0")+IFERROR(Y265*1,"0")+IFERROR(Y266*1,"0")</f>
        <v>0</v>
      </c>
      <c r="M498" s="52">
        <f>IFERROR(Y271*1,"0")+IFERROR(Y272*1,"0")+IFERROR(Y273*1,"0")+IFERROR(Y274*1,"0")</f>
        <v>0</v>
      </c>
      <c r="N498" s="1"/>
      <c r="O498" s="52">
        <f>IFERROR(Y279*1,"0")+IFERROR(Y280*1,"0")+IFERROR(Y281*1,"0")</f>
        <v>0</v>
      </c>
      <c r="P498" s="52">
        <f>IFERROR(Y286*1,"0")+IFERROR(Y287*1,"0")+IFERROR(Y291*1,"0")+IFERROR(Y292*1,"0")</f>
        <v>0</v>
      </c>
      <c r="Q498" s="52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129.6</v>
      </c>
      <c r="R498" s="52">
        <f>IFERROR(Y342*1,"0")+IFERROR(Y343*1,"0")+IFERROR(Y344*1,"0")</f>
        <v>64.8</v>
      </c>
      <c r="S498" s="52">
        <f>IFERROR(Y350*1,"0")+IFERROR(Y351*1,"0")+IFERROR(Y352*1,"0")+IFERROR(Y353*1,"0")+IFERROR(Y354*1,"0")+IFERROR(Y355*1,"0")+IFERROR(Y356*1,"0")+IFERROR(Y360*1,"0")+IFERROR(Y361*1,"0")+IFERROR(Y365*1,"0")+IFERROR(Y366*1,"0")+IFERROR(Y370*1,"0")</f>
        <v>552</v>
      </c>
      <c r="T498" s="52">
        <f>IFERROR(Y375*1,"0")+IFERROR(Y376*1,"0")+IFERROR(Y380*1,"0")+IFERROR(Y384*1,"0")+IFERROR(Y385*1,"0")+IFERROR(Y386*1,"0")</f>
        <v>0</v>
      </c>
      <c r="U498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2">
        <f>IFERROR(Y410*1,"0")+IFERROR(Y414*1,"0")+IFERROR(Y415*1,"0")+IFERROR(Y416*1,"0")</f>
        <v>0</v>
      </c>
      <c r="W498" s="52">
        <f>IFERROR(Y421*1,"0")</f>
        <v>0</v>
      </c>
      <c r="X498" s="52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295.68</v>
      </c>
      <c r="Y498" s="52">
        <f>IFERROR(Y460*1,"0")+IFERROR(Y461*1,"0")+IFERROR(Y462*1,"0")+IFERROR(Y463*1,"0")+IFERROR(Y467*1,"0")+IFERROR(Y471*1,"0")+IFERROR(Y475*1,"0")+IFERROR(Y479*1,"0")+IFERROR(Y480*1,"0")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3" t="s">
        <v>750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751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752</v>
      </c>
      <c r="C6" s="53" t="s">
        <v>753</v>
      </c>
      <c r="D6" s="53" t="s">
        <v>754</v>
      </c>
      <c r="E6" s="53" t="s">
        <v>45</v>
      </c>
    </row>
    <row r="7" spans="2:8" x14ac:dyDescent="0.2">
      <c r="B7" s="53" t="s">
        <v>755</v>
      </c>
      <c r="C7" s="53" t="s">
        <v>756</v>
      </c>
      <c r="D7" s="53" t="s">
        <v>757</v>
      </c>
      <c r="E7" s="53" t="s">
        <v>45</v>
      </c>
    </row>
    <row r="8" spans="2:8" x14ac:dyDescent="0.2">
      <c r="B8" s="53" t="s">
        <v>758</v>
      </c>
      <c r="C8" s="53" t="s">
        <v>759</v>
      </c>
      <c r="D8" s="53" t="s">
        <v>760</v>
      </c>
      <c r="E8" s="53" t="s">
        <v>45</v>
      </c>
    </row>
    <row r="9" spans="2:8" x14ac:dyDescent="0.2">
      <c r="B9" s="53" t="s">
        <v>761</v>
      </c>
      <c r="C9" s="53" t="s">
        <v>762</v>
      </c>
      <c r="D9" s="53" t="s">
        <v>763</v>
      </c>
      <c r="E9" s="53" t="s">
        <v>45</v>
      </c>
    </row>
    <row r="10" spans="2:8" x14ac:dyDescent="0.2">
      <c r="B10" s="53" t="s">
        <v>764</v>
      </c>
      <c r="C10" s="53" t="s">
        <v>765</v>
      </c>
      <c r="D10" s="53" t="s">
        <v>766</v>
      </c>
      <c r="E10" s="53" t="s">
        <v>45</v>
      </c>
    </row>
    <row r="11" spans="2:8" x14ac:dyDescent="0.2">
      <c r="B11" s="53" t="s">
        <v>767</v>
      </c>
      <c r="C11" s="53" t="s">
        <v>768</v>
      </c>
      <c r="D11" s="53" t="s">
        <v>769</v>
      </c>
      <c r="E11" s="53" t="s">
        <v>45</v>
      </c>
    </row>
    <row r="13" spans="2:8" x14ac:dyDescent="0.2">
      <c r="B13" s="53" t="s">
        <v>770</v>
      </c>
      <c r="C13" s="53" t="s">
        <v>753</v>
      </c>
      <c r="D13" s="53" t="s">
        <v>45</v>
      </c>
      <c r="E13" s="53" t="s">
        <v>45</v>
      </c>
    </row>
    <row r="15" spans="2:8" x14ac:dyDescent="0.2">
      <c r="B15" s="53" t="s">
        <v>771</v>
      </c>
      <c r="C15" s="53" t="s">
        <v>756</v>
      </c>
      <c r="D15" s="53" t="s">
        <v>45</v>
      </c>
      <c r="E15" s="53" t="s">
        <v>45</v>
      </c>
    </row>
    <row r="17" spans="2:5" x14ac:dyDescent="0.2">
      <c r="B17" s="53" t="s">
        <v>772</v>
      </c>
      <c r="C17" s="53" t="s">
        <v>759</v>
      </c>
      <c r="D17" s="53" t="s">
        <v>45</v>
      </c>
      <c r="E17" s="53" t="s">
        <v>45</v>
      </c>
    </row>
    <row r="19" spans="2:5" x14ac:dyDescent="0.2">
      <c r="B19" s="53" t="s">
        <v>773</v>
      </c>
      <c r="C19" s="53" t="s">
        <v>762</v>
      </c>
      <c r="D19" s="53" t="s">
        <v>45</v>
      </c>
      <c r="E19" s="53" t="s">
        <v>45</v>
      </c>
    </row>
    <row r="21" spans="2:5" x14ac:dyDescent="0.2">
      <c r="B21" s="53" t="s">
        <v>774</v>
      </c>
      <c r="C21" s="53" t="s">
        <v>765</v>
      </c>
      <c r="D21" s="53" t="s">
        <v>45</v>
      </c>
      <c r="E21" s="53" t="s">
        <v>45</v>
      </c>
    </row>
    <row r="23" spans="2:5" x14ac:dyDescent="0.2">
      <c r="B23" s="53" t="s">
        <v>775</v>
      </c>
      <c r="C23" s="53" t="s">
        <v>768</v>
      </c>
      <c r="D23" s="53" t="s">
        <v>45</v>
      </c>
      <c r="E23" s="53" t="s">
        <v>45</v>
      </c>
    </row>
    <row r="25" spans="2:5" x14ac:dyDescent="0.2">
      <c r="B25" s="53" t="s">
        <v>776</v>
      </c>
      <c r="C25" s="53" t="s">
        <v>45</v>
      </c>
      <c r="D25" s="53" t="s">
        <v>45</v>
      </c>
      <c r="E25" s="53" t="s">
        <v>45</v>
      </c>
    </row>
    <row r="26" spans="2:5" x14ac:dyDescent="0.2">
      <c r="B26" s="53" t="s">
        <v>777</v>
      </c>
      <c r="C26" s="53" t="s">
        <v>45</v>
      </c>
      <c r="D26" s="53" t="s">
        <v>45</v>
      </c>
      <c r="E26" s="53" t="s">
        <v>45</v>
      </c>
    </row>
    <row r="27" spans="2:5" x14ac:dyDescent="0.2">
      <c r="B27" s="53" t="s">
        <v>778</v>
      </c>
      <c r="C27" s="53" t="s">
        <v>45</v>
      </c>
      <c r="D27" s="53" t="s">
        <v>45</v>
      </c>
      <c r="E27" s="53" t="s">
        <v>45</v>
      </c>
    </row>
    <row r="28" spans="2:5" x14ac:dyDescent="0.2">
      <c r="B28" s="53" t="s">
        <v>779</v>
      </c>
      <c r="C28" s="53" t="s">
        <v>45</v>
      </c>
      <c r="D28" s="53" t="s">
        <v>45</v>
      </c>
      <c r="E28" s="53" t="s">
        <v>45</v>
      </c>
    </row>
    <row r="29" spans="2:5" x14ac:dyDescent="0.2">
      <c r="B29" s="53" t="s">
        <v>780</v>
      </c>
      <c r="C29" s="53" t="s">
        <v>45</v>
      </c>
      <c r="D29" s="53" t="s">
        <v>45</v>
      </c>
      <c r="E29" s="53" t="s">
        <v>45</v>
      </c>
    </row>
    <row r="30" spans="2:5" x14ac:dyDescent="0.2">
      <c r="B30" s="53" t="s">
        <v>781</v>
      </c>
      <c r="C30" s="53" t="s">
        <v>45</v>
      </c>
      <c r="D30" s="53" t="s">
        <v>45</v>
      </c>
      <c r="E30" s="53" t="s">
        <v>45</v>
      </c>
    </row>
    <row r="31" spans="2:5" x14ac:dyDescent="0.2">
      <c r="B31" s="53" t="s">
        <v>782</v>
      </c>
      <c r="C31" s="53" t="s">
        <v>45</v>
      </c>
      <c r="D31" s="53" t="s">
        <v>45</v>
      </c>
      <c r="E31" s="53" t="s">
        <v>45</v>
      </c>
    </row>
    <row r="32" spans="2:5" x14ac:dyDescent="0.2">
      <c r="B32" s="53" t="s">
        <v>783</v>
      </c>
      <c r="C32" s="53" t="s">
        <v>45</v>
      </c>
      <c r="D32" s="53" t="s">
        <v>45</v>
      </c>
      <c r="E32" s="53" t="s">
        <v>45</v>
      </c>
    </row>
    <row r="33" spans="2:5" x14ac:dyDescent="0.2">
      <c r="B33" s="53" t="s">
        <v>784</v>
      </c>
      <c r="C33" s="53" t="s">
        <v>45</v>
      </c>
      <c r="D33" s="53" t="s">
        <v>45</v>
      </c>
      <c r="E33" s="53" t="s">
        <v>45</v>
      </c>
    </row>
    <row r="34" spans="2:5" x14ac:dyDescent="0.2">
      <c r="B34" s="53" t="s">
        <v>785</v>
      </c>
      <c r="C34" s="53" t="s">
        <v>45</v>
      </c>
      <c r="D34" s="53" t="s">
        <v>45</v>
      </c>
      <c r="E34" s="53" t="s">
        <v>45</v>
      </c>
    </row>
    <row r="35" spans="2:5" x14ac:dyDescent="0.2">
      <c r="B35" s="53" t="s">
        <v>786</v>
      </c>
      <c r="C35" s="53" t="s">
        <v>45</v>
      </c>
      <c r="D35" s="53" t="s">
        <v>45</v>
      </c>
      <c r="E35" s="53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purl.org/dc/elements/1.1/"/>
    <ds:schemaRef ds:uri="http://schemas.microsoft.com/office/2006/metadata/properties"/>
    <ds:schemaRef ds:uri="http://purl.org/dc/terms/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Андрей Мельников</cp:lastModifiedBy>
  <dcterms:created xsi:type="dcterms:W3CDTF">2021-11-12T12:13:19Z</dcterms:created>
  <dcterms:modified xsi:type="dcterms:W3CDTF">2026-07-17T10:42:36Z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