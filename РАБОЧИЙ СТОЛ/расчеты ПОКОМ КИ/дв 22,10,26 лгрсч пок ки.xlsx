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7A985854-F6AC-4E72-9C8B-B3251173B19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Sheet!$A$3:$AO$135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" l="1"/>
  <c r="Y66" i="1" l="1"/>
  <c r="X66" i="1" s="1"/>
  <c r="AO66" i="1" s="1"/>
  <c r="Y65" i="1"/>
  <c r="X65" i="1" s="1"/>
  <c r="AO65" i="1" s="1"/>
  <c r="AP9" i="1"/>
  <c r="AP12" i="1"/>
  <c r="AP13" i="1"/>
  <c r="AP14" i="1"/>
  <c r="AP17" i="1"/>
  <c r="AP18" i="1"/>
  <c r="AP19" i="1"/>
  <c r="AP20" i="1"/>
  <c r="AP22" i="1"/>
  <c r="AP24" i="1"/>
  <c r="AP26" i="1"/>
  <c r="AP27" i="1"/>
  <c r="AP28" i="1"/>
  <c r="AP31" i="1"/>
  <c r="AP32" i="1"/>
  <c r="AP33" i="1"/>
  <c r="AP34" i="1"/>
  <c r="AP36" i="1"/>
  <c r="AP38" i="1"/>
  <c r="AP39" i="1"/>
  <c r="AP40" i="1"/>
  <c r="AP41" i="1"/>
  <c r="AP42" i="1"/>
  <c r="AP46" i="1"/>
  <c r="AP50" i="1"/>
  <c r="AP51" i="1"/>
  <c r="AP53" i="1"/>
  <c r="AP54" i="1"/>
  <c r="AP56" i="1"/>
  <c r="AP58" i="1"/>
  <c r="AP59" i="1"/>
  <c r="AP60" i="1"/>
  <c r="AP68" i="1"/>
  <c r="AP69" i="1"/>
  <c r="AP70" i="1"/>
  <c r="AP71" i="1"/>
  <c r="AP72" i="1"/>
  <c r="AP73" i="1"/>
  <c r="AP74" i="1"/>
  <c r="AP75" i="1"/>
  <c r="AP77" i="1"/>
  <c r="AP78" i="1"/>
  <c r="AP79" i="1"/>
  <c r="AP80" i="1"/>
  <c r="AP81" i="1"/>
  <c r="AP82" i="1"/>
  <c r="AP83" i="1"/>
  <c r="AP84" i="1"/>
  <c r="AP86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6" i="1"/>
  <c r="AP107" i="1"/>
  <c r="AP108" i="1"/>
  <c r="AP109" i="1"/>
  <c r="AP110" i="1"/>
  <c r="AP111" i="1"/>
  <c r="AP112" i="1"/>
  <c r="AP113" i="1"/>
  <c r="AP114" i="1"/>
  <c r="AP115" i="1"/>
  <c r="AP116" i="1"/>
  <c r="AP119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4" i="1"/>
  <c r="AP135" i="1"/>
  <c r="X26" i="1"/>
  <c r="X42" i="1"/>
  <c r="X46" i="1"/>
  <c r="X91" i="1"/>
  <c r="AO91" i="1" s="1"/>
  <c r="X106" i="1"/>
  <c r="AO106" i="1" s="1"/>
  <c r="X111" i="1"/>
  <c r="X130" i="1"/>
  <c r="AO26" i="1"/>
  <c r="AO42" i="1"/>
  <c r="AO46" i="1"/>
  <c r="AO111" i="1"/>
  <c r="AO130" i="1"/>
  <c r="AP66" i="1" l="1"/>
  <c r="AP65" i="1"/>
  <c r="U46" i="1"/>
  <c r="Z7" i="1" l="1"/>
  <c r="W7" i="1" s="1"/>
  <c r="AA7" i="1"/>
  <c r="Z23" i="1"/>
  <c r="W23" i="1" s="1"/>
  <c r="AA23" i="1"/>
  <c r="Z25" i="1"/>
  <c r="W25" i="1" s="1"/>
  <c r="AA25" i="1"/>
  <c r="Z26" i="1"/>
  <c r="Z42" i="1"/>
  <c r="Z45" i="1"/>
  <c r="W45" i="1" s="1"/>
  <c r="AA45" i="1"/>
  <c r="Z46" i="1"/>
  <c r="Z49" i="1"/>
  <c r="W49" i="1" s="1"/>
  <c r="AA49" i="1"/>
  <c r="Z55" i="1"/>
  <c r="W55" i="1" s="1"/>
  <c r="AA55" i="1"/>
  <c r="Z57" i="1"/>
  <c r="W57" i="1" s="1"/>
  <c r="AA57" i="1"/>
  <c r="Z62" i="1"/>
  <c r="W62" i="1" s="1"/>
  <c r="AA62" i="1"/>
  <c r="Z65" i="1"/>
  <c r="Z66" i="1"/>
  <c r="Z67" i="1"/>
  <c r="W67" i="1" s="1"/>
  <c r="AA67" i="1"/>
  <c r="Z81" i="1"/>
  <c r="W81" i="1" s="1"/>
  <c r="X81" i="1" s="1"/>
  <c r="AO81" i="1" s="1"/>
  <c r="AA81" i="1"/>
  <c r="Z85" i="1"/>
  <c r="W85" i="1" s="1"/>
  <c r="AA85" i="1"/>
  <c r="Z91" i="1"/>
  <c r="Z94" i="1"/>
  <c r="W94" i="1" s="1"/>
  <c r="X94" i="1" s="1"/>
  <c r="AO94" i="1" s="1"/>
  <c r="Z95" i="1"/>
  <c r="W95" i="1" s="1"/>
  <c r="X95" i="1" s="1"/>
  <c r="AO95" i="1" s="1"/>
  <c r="Z101" i="1"/>
  <c r="W101" i="1" s="1"/>
  <c r="X101" i="1" s="1"/>
  <c r="AO101" i="1" s="1"/>
  <c r="Z105" i="1"/>
  <c r="W105" i="1" s="1"/>
  <c r="AA105" i="1"/>
  <c r="Z106" i="1"/>
  <c r="AA106" i="1"/>
  <c r="Z111" i="1"/>
  <c r="Z130" i="1"/>
  <c r="Z133" i="1"/>
  <c r="W133" i="1" s="1"/>
  <c r="AA133" i="1"/>
  <c r="W9" i="1"/>
  <c r="X9" i="1" s="1"/>
  <c r="AO9" i="1" s="1"/>
  <c r="W13" i="1"/>
  <c r="X13" i="1" s="1"/>
  <c r="AO13" i="1" s="1"/>
  <c r="W18" i="1"/>
  <c r="X18" i="1" s="1"/>
  <c r="AO18" i="1" s="1"/>
  <c r="W19" i="1"/>
  <c r="X19" i="1" s="1"/>
  <c r="AO19" i="1" s="1"/>
  <c r="W20" i="1"/>
  <c r="X20" i="1" s="1"/>
  <c r="AO20" i="1" s="1"/>
  <c r="W24" i="1"/>
  <c r="X24" i="1" s="1"/>
  <c r="AO24" i="1" s="1"/>
  <c r="W31" i="1"/>
  <c r="X31" i="1" s="1"/>
  <c r="AO31" i="1" s="1"/>
  <c r="W33" i="1"/>
  <c r="X33" i="1" s="1"/>
  <c r="AO33" i="1" s="1"/>
  <c r="W34" i="1"/>
  <c r="X34" i="1" s="1"/>
  <c r="AO34" i="1" s="1"/>
  <c r="W41" i="1"/>
  <c r="X41" i="1" s="1"/>
  <c r="AO41" i="1" s="1"/>
  <c r="W50" i="1"/>
  <c r="X50" i="1" s="1"/>
  <c r="AO50" i="1" s="1"/>
  <c r="W68" i="1"/>
  <c r="X68" i="1" s="1"/>
  <c r="AO68" i="1" s="1"/>
  <c r="W69" i="1"/>
  <c r="X69" i="1" s="1"/>
  <c r="AO69" i="1" s="1"/>
  <c r="W77" i="1"/>
  <c r="X77" i="1" s="1"/>
  <c r="AO77" i="1" s="1"/>
  <c r="W83" i="1"/>
  <c r="X83" i="1" s="1"/>
  <c r="AO83" i="1" s="1"/>
  <c r="W86" i="1"/>
  <c r="X86" i="1" s="1"/>
  <c r="AO86" i="1" s="1"/>
  <c r="W93" i="1"/>
  <c r="X93" i="1" s="1"/>
  <c r="AO93" i="1" s="1"/>
  <c r="W96" i="1"/>
  <c r="X96" i="1" s="1"/>
  <c r="AO96" i="1" s="1"/>
  <c r="W97" i="1"/>
  <c r="X97" i="1" s="1"/>
  <c r="AO97" i="1" s="1"/>
  <c r="W98" i="1"/>
  <c r="X98" i="1" s="1"/>
  <c r="AO98" i="1" s="1"/>
  <c r="W99" i="1"/>
  <c r="X99" i="1" s="1"/>
  <c r="AO99" i="1" s="1"/>
  <c r="W100" i="1"/>
  <c r="X100" i="1" s="1"/>
  <c r="AO100" i="1" s="1"/>
  <c r="W103" i="1"/>
  <c r="X103" i="1" s="1"/>
  <c r="AO103" i="1" s="1"/>
  <c r="W107" i="1"/>
  <c r="X107" i="1" s="1"/>
  <c r="AO107" i="1" s="1"/>
  <c r="W108" i="1"/>
  <c r="X108" i="1" s="1"/>
  <c r="AO108" i="1" s="1"/>
  <c r="W109" i="1"/>
  <c r="X109" i="1" s="1"/>
  <c r="AO109" i="1" s="1"/>
  <c r="W110" i="1"/>
  <c r="X110" i="1" s="1"/>
  <c r="AO110" i="1" s="1"/>
  <c r="W114" i="1"/>
  <c r="X114" i="1" s="1"/>
  <c r="AO114" i="1" s="1"/>
  <c r="W116" i="1"/>
  <c r="X116" i="1" s="1"/>
  <c r="AO116" i="1" s="1"/>
  <c r="W121" i="1"/>
  <c r="X121" i="1" s="1"/>
  <c r="AO121" i="1" s="1"/>
  <c r="W122" i="1"/>
  <c r="X122" i="1" s="1"/>
  <c r="AO122" i="1" s="1"/>
  <c r="W123" i="1"/>
  <c r="X123" i="1" s="1"/>
  <c r="AO123" i="1" s="1"/>
  <c r="W124" i="1"/>
  <c r="X124" i="1" s="1"/>
  <c r="AO124" i="1" s="1"/>
  <c r="W125" i="1"/>
  <c r="X125" i="1" s="1"/>
  <c r="AO125" i="1" s="1"/>
  <c r="W126" i="1"/>
  <c r="X126" i="1" s="1"/>
  <c r="AO126" i="1" s="1"/>
  <c r="W127" i="1"/>
  <c r="X127" i="1" s="1"/>
  <c r="AO127" i="1" s="1"/>
  <c r="W128" i="1"/>
  <c r="X128" i="1" s="1"/>
  <c r="AO128" i="1" s="1"/>
  <c r="W132" i="1"/>
  <c r="X132" i="1" s="1"/>
  <c r="AO132" i="1" s="1"/>
  <c r="W134" i="1"/>
  <c r="X134" i="1" s="1"/>
  <c r="AO134" i="1" s="1"/>
  <c r="W135" i="1"/>
  <c r="X135" i="1" s="1"/>
  <c r="AO135" i="1" s="1"/>
  <c r="Y133" i="1" l="1"/>
  <c r="AP133" i="1" s="1"/>
  <c r="Y105" i="1"/>
  <c r="AP105" i="1" s="1"/>
  <c r="Y85" i="1"/>
  <c r="AP85" i="1" s="1"/>
  <c r="Y67" i="1"/>
  <c r="AP67" i="1" s="1"/>
  <c r="Y62" i="1"/>
  <c r="AP62" i="1" s="1"/>
  <c r="Y57" i="1"/>
  <c r="AP57" i="1" s="1"/>
  <c r="Y55" i="1"/>
  <c r="AP55" i="1" s="1"/>
  <c r="Y49" i="1"/>
  <c r="AP49" i="1" s="1"/>
  <c r="Y45" i="1"/>
  <c r="AP45" i="1" s="1"/>
  <c r="Y25" i="1"/>
  <c r="AP25" i="1" s="1"/>
  <c r="Y23" i="1"/>
  <c r="AP23" i="1" s="1"/>
  <c r="Y7" i="1"/>
  <c r="X7" i="1" s="1"/>
  <c r="AO7" i="1" s="1"/>
  <c r="Z5" i="1"/>
  <c r="U135" i="1"/>
  <c r="L135" i="1"/>
  <c r="U134" i="1"/>
  <c r="L134" i="1"/>
  <c r="U133" i="1"/>
  <c r="L133" i="1"/>
  <c r="U132" i="1"/>
  <c r="L132" i="1"/>
  <c r="U131" i="1"/>
  <c r="L131" i="1"/>
  <c r="U130" i="1"/>
  <c r="L130" i="1"/>
  <c r="U129" i="1"/>
  <c r="L129" i="1"/>
  <c r="U128" i="1"/>
  <c r="L128" i="1"/>
  <c r="U127" i="1"/>
  <c r="AB127" i="1" s="1"/>
  <c r="L127" i="1"/>
  <c r="U126" i="1"/>
  <c r="L126" i="1"/>
  <c r="U125" i="1"/>
  <c r="L125" i="1"/>
  <c r="U124" i="1"/>
  <c r="L124" i="1"/>
  <c r="U123" i="1"/>
  <c r="L123" i="1"/>
  <c r="U122" i="1"/>
  <c r="L122" i="1"/>
  <c r="U121" i="1"/>
  <c r="L121" i="1"/>
  <c r="U120" i="1"/>
  <c r="AC120" i="1" s="1"/>
  <c r="L120" i="1"/>
  <c r="U119" i="1"/>
  <c r="AC119" i="1" s="1"/>
  <c r="L119" i="1"/>
  <c r="U118" i="1"/>
  <c r="AC118" i="1" s="1"/>
  <c r="L118" i="1"/>
  <c r="U117" i="1"/>
  <c r="AC117" i="1" s="1"/>
  <c r="L117" i="1"/>
  <c r="U116" i="1"/>
  <c r="L116" i="1"/>
  <c r="U115" i="1"/>
  <c r="AC115" i="1" s="1"/>
  <c r="L115" i="1"/>
  <c r="U114" i="1"/>
  <c r="L114" i="1"/>
  <c r="U113" i="1"/>
  <c r="AC113" i="1" s="1"/>
  <c r="L113" i="1"/>
  <c r="U112" i="1"/>
  <c r="AC112" i="1" s="1"/>
  <c r="L112" i="1"/>
  <c r="U111" i="1"/>
  <c r="L111" i="1"/>
  <c r="U110" i="1"/>
  <c r="AB110" i="1" s="1"/>
  <c r="L110" i="1"/>
  <c r="U109" i="1"/>
  <c r="L109" i="1"/>
  <c r="U108" i="1"/>
  <c r="AB108" i="1" s="1"/>
  <c r="L108" i="1"/>
  <c r="U107" i="1"/>
  <c r="AB107" i="1" s="1"/>
  <c r="L107" i="1"/>
  <c r="U106" i="1"/>
  <c r="L106" i="1"/>
  <c r="U105" i="1"/>
  <c r="L105" i="1"/>
  <c r="U104" i="1"/>
  <c r="AC104" i="1" s="1"/>
  <c r="L104" i="1"/>
  <c r="U103" i="1"/>
  <c r="AB103" i="1" s="1"/>
  <c r="L103" i="1"/>
  <c r="U102" i="1"/>
  <c r="AC102" i="1" s="1"/>
  <c r="L102" i="1"/>
  <c r="U101" i="1"/>
  <c r="L101" i="1"/>
  <c r="U100" i="1"/>
  <c r="L100" i="1"/>
  <c r="U99" i="1"/>
  <c r="L99" i="1"/>
  <c r="F98" i="1"/>
  <c r="E98" i="1"/>
  <c r="U98" i="1" s="1"/>
  <c r="U97" i="1"/>
  <c r="L97" i="1"/>
  <c r="U96" i="1"/>
  <c r="L96" i="1"/>
  <c r="U95" i="1"/>
  <c r="AC95" i="1" s="1"/>
  <c r="L95" i="1"/>
  <c r="U94" i="1"/>
  <c r="AC94" i="1" s="1"/>
  <c r="L94" i="1"/>
  <c r="U93" i="1"/>
  <c r="L93" i="1"/>
  <c r="U92" i="1"/>
  <c r="AC92" i="1" s="1"/>
  <c r="L92" i="1"/>
  <c r="U91" i="1"/>
  <c r="L91" i="1"/>
  <c r="U90" i="1"/>
  <c r="AC90" i="1" s="1"/>
  <c r="L90" i="1"/>
  <c r="U89" i="1"/>
  <c r="AC89" i="1" s="1"/>
  <c r="L89" i="1"/>
  <c r="U88" i="1"/>
  <c r="AC88" i="1" s="1"/>
  <c r="L88" i="1"/>
  <c r="U87" i="1"/>
  <c r="AC87" i="1" s="1"/>
  <c r="L87" i="1"/>
  <c r="U86" i="1"/>
  <c r="L86" i="1"/>
  <c r="U85" i="1"/>
  <c r="AC85" i="1" s="1"/>
  <c r="L85" i="1"/>
  <c r="U84" i="1"/>
  <c r="V84" i="1" s="1"/>
  <c r="W84" i="1" s="1"/>
  <c r="X84" i="1" s="1"/>
  <c r="AO84" i="1" s="1"/>
  <c r="L84" i="1"/>
  <c r="U83" i="1"/>
  <c r="AB83" i="1" s="1"/>
  <c r="L83" i="1"/>
  <c r="U82" i="1"/>
  <c r="AC82" i="1" s="1"/>
  <c r="L82" i="1"/>
  <c r="U81" i="1"/>
  <c r="L81" i="1"/>
  <c r="U80" i="1"/>
  <c r="L80" i="1"/>
  <c r="U79" i="1"/>
  <c r="AC79" i="1" s="1"/>
  <c r="L79" i="1"/>
  <c r="U78" i="1"/>
  <c r="AC78" i="1" s="1"/>
  <c r="L78" i="1"/>
  <c r="U77" i="1"/>
  <c r="AB77" i="1" s="1"/>
  <c r="L77" i="1"/>
  <c r="U76" i="1"/>
  <c r="V76" i="1" s="1"/>
  <c r="W76" i="1" s="1"/>
  <c r="L76" i="1"/>
  <c r="U75" i="1"/>
  <c r="V75" i="1" s="1"/>
  <c r="W75" i="1" s="1"/>
  <c r="X75" i="1" s="1"/>
  <c r="AO75" i="1" s="1"/>
  <c r="L75" i="1"/>
  <c r="U74" i="1"/>
  <c r="AC74" i="1" s="1"/>
  <c r="L74" i="1"/>
  <c r="U73" i="1"/>
  <c r="L73" i="1"/>
  <c r="U72" i="1"/>
  <c r="L72" i="1"/>
  <c r="U71" i="1"/>
  <c r="V71" i="1" s="1"/>
  <c r="W71" i="1" s="1"/>
  <c r="X71" i="1" s="1"/>
  <c r="AO71" i="1" s="1"/>
  <c r="L71" i="1"/>
  <c r="U70" i="1"/>
  <c r="AC70" i="1" s="1"/>
  <c r="L70" i="1"/>
  <c r="U69" i="1"/>
  <c r="AB69" i="1" s="1"/>
  <c r="L69" i="1"/>
  <c r="U68" i="1"/>
  <c r="AB68" i="1" s="1"/>
  <c r="L68" i="1"/>
  <c r="U67" i="1"/>
  <c r="AB67" i="1" s="1"/>
  <c r="L67" i="1"/>
  <c r="U66" i="1"/>
  <c r="AC66" i="1" s="1"/>
  <c r="L66" i="1"/>
  <c r="U65" i="1"/>
  <c r="L65" i="1"/>
  <c r="U64" i="1"/>
  <c r="V64" i="1" s="1"/>
  <c r="W64" i="1" s="1"/>
  <c r="L64" i="1"/>
  <c r="U63" i="1"/>
  <c r="V63" i="1" s="1"/>
  <c r="W63" i="1" s="1"/>
  <c r="L63" i="1"/>
  <c r="U62" i="1"/>
  <c r="L62" i="1"/>
  <c r="U61" i="1"/>
  <c r="V61" i="1" s="1"/>
  <c r="W61" i="1" s="1"/>
  <c r="L61" i="1"/>
  <c r="U60" i="1"/>
  <c r="V60" i="1" s="1"/>
  <c r="W60" i="1" s="1"/>
  <c r="X60" i="1" s="1"/>
  <c r="AO60" i="1" s="1"/>
  <c r="L60" i="1"/>
  <c r="U59" i="1"/>
  <c r="V59" i="1" s="1"/>
  <c r="W59" i="1" s="1"/>
  <c r="X59" i="1" s="1"/>
  <c r="AO59" i="1" s="1"/>
  <c r="L59" i="1"/>
  <c r="U58" i="1"/>
  <c r="AC58" i="1" s="1"/>
  <c r="L58" i="1"/>
  <c r="U57" i="1"/>
  <c r="L57" i="1"/>
  <c r="F56" i="1"/>
  <c r="E56" i="1"/>
  <c r="U56" i="1" s="1"/>
  <c r="U55" i="1"/>
  <c r="L55" i="1"/>
  <c r="U54" i="1"/>
  <c r="AC54" i="1" s="1"/>
  <c r="L54" i="1"/>
  <c r="U53" i="1"/>
  <c r="AC53" i="1" s="1"/>
  <c r="L53" i="1"/>
  <c r="U52" i="1"/>
  <c r="AC52" i="1" s="1"/>
  <c r="L52" i="1"/>
  <c r="U51" i="1"/>
  <c r="AC51" i="1" s="1"/>
  <c r="L51" i="1"/>
  <c r="F50" i="1"/>
  <c r="E50" i="1"/>
  <c r="U50" i="1" s="1"/>
  <c r="U49" i="1"/>
  <c r="V49" i="1" s="1"/>
  <c r="L49" i="1"/>
  <c r="U48" i="1"/>
  <c r="AC48" i="1" s="1"/>
  <c r="L48" i="1"/>
  <c r="U47" i="1"/>
  <c r="AC47" i="1" s="1"/>
  <c r="L47" i="1"/>
  <c r="L46" i="1"/>
  <c r="U45" i="1"/>
  <c r="AC45" i="1" s="1"/>
  <c r="L45" i="1"/>
  <c r="U44" i="1"/>
  <c r="AC44" i="1" s="1"/>
  <c r="L44" i="1"/>
  <c r="U43" i="1"/>
  <c r="V43" i="1" s="1"/>
  <c r="W43" i="1" s="1"/>
  <c r="L43" i="1"/>
  <c r="U42" i="1"/>
  <c r="L42" i="1"/>
  <c r="U41" i="1"/>
  <c r="L41" i="1"/>
  <c r="U40" i="1"/>
  <c r="AC40" i="1" s="1"/>
  <c r="L40" i="1"/>
  <c r="U39" i="1"/>
  <c r="L39" i="1"/>
  <c r="U38" i="1"/>
  <c r="AC38" i="1" s="1"/>
  <c r="L38" i="1"/>
  <c r="U37" i="1"/>
  <c r="V37" i="1" s="1"/>
  <c r="W37" i="1" s="1"/>
  <c r="L37" i="1"/>
  <c r="U36" i="1"/>
  <c r="AC36" i="1" s="1"/>
  <c r="L36" i="1"/>
  <c r="U35" i="1"/>
  <c r="V35" i="1" s="1"/>
  <c r="W35" i="1" s="1"/>
  <c r="L35" i="1"/>
  <c r="U34" i="1"/>
  <c r="L34" i="1"/>
  <c r="U33" i="1"/>
  <c r="L33" i="1"/>
  <c r="U32" i="1"/>
  <c r="AC32" i="1" s="1"/>
  <c r="L32" i="1"/>
  <c r="U31" i="1"/>
  <c r="L31" i="1"/>
  <c r="U30" i="1"/>
  <c r="AC30" i="1" s="1"/>
  <c r="L30" i="1"/>
  <c r="U29" i="1"/>
  <c r="AC29" i="1" s="1"/>
  <c r="L29" i="1"/>
  <c r="U28" i="1"/>
  <c r="AC28" i="1" s="1"/>
  <c r="L28" i="1"/>
  <c r="U27" i="1"/>
  <c r="AC27" i="1" s="1"/>
  <c r="L27" i="1"/>
  <c r="U26" i="1"/>
  <c r="L26" i="1"/>
  <c r="U25" i="1"/>
  <c r="AC25" i="1" s="1"/>
  <c r="L25" i="1"/>
  <c r="U24" i="1"/>
  <c r="AB24" i="1" s="1"/>
  <c r="L24" i="1"/>
  <c r="U23" i="1"/>
  <c r="AC23" i="1" s="1"/>
  <c r="L23" i="1"/>
  <c r="U22" i="1"/>
  <c r="AC22" i="1" s="1"/>
  <c r="L22" i="1"/>
  <c r="U21" i="1"/>
  <c r="V21" i="1" s="1"/>
  <c r="W21" i="1" s="1"/>
  <c r="L21" i="1"/>
  <c r="U20" i="1"/>
  <c r="AB20" i="1" s="1"/>
  <c r="L20" i="1"/>
  <c r="U19" i="1"/>
  <c r="AB19" i="1" s="1"/>
  <c r="L19" i="1"/>
  <c r="U18" i="1"/>
  <c r="AB18" i="1" s="1"/>
  <c r="L18" i="1"/>
  <c r="U17" i="1"/>
  <c r="L17" i="1"/>
  <c r="F17" i="1"/>
  <c r="U16" i="1"/>
  <c r="AC16" i="1" s="1"/>
  <c r="L16" i="1"/>
  <c r="U15" i="1"/>
  <c r="V15" i="1" s="1"/>
  <c r="W15" i="1" s="1"/>
  <c r="L15" i="1"/>
  <c r="U14" i="1"/>
  <c r="AC14" i="1" s="1"/>
  <c r="L14" i="1"/>
  <c r="U13" i="1"/>
  <c r="AB13" i="1" s="1"/>
  <c r="L13" i="1"/>
  <c r="U12" i="1"/>
  <c r="L12" i="1"/>
  <c r="U11" i="1"/>
  <c r="L11" i="1"/>
  <c r="U10" i="1"/>
  <c r="AC10" i="1" s="1"/>
  <c r="L10" i="1"/>
  <c r="U9" i="1"/>
  <c r="L9" i="1"/>
  <c r="U8" i="1"/>
  <c r="V8" i="1" s="1"/>
  <c r="W8" i="1" s="1"/>
  <c r="L8" i="1"/>
  <c r="U7" i="1"/>
  <c r="AC7" i="1" s="1"/>
  <c r="L7" i="1"/>
  <c r="U6" i="1"/>
  <c r="V6" i="1" s="1"/>
  <c r="W6" i="1" s="1"/>
  <c r="L6" i="1"/>
  <c r="AM5" i="1"/>
  <c r="AL5" i="1"/>
  <c r="AK5" i="1"/>
  <c r="AJ5" i="1"/>
  <c r="AI5" i="1"/>
  <c r="AH5" i="1"/>
  <c r="AG5" i="1"/>
  <c r="AF5" i="1"/>
  <c r="AE5" i="1"/>
  <c r="AD5" i="1"/>
  <c r="S5" i="1"/>
  <c r="R5" i="1"/>
  <c r="Q5" i="1"/>
  <c r="P5" i="1"/>
  <c r="O5" i="1"/>
  <c r="N5" i="1"/>
  <c r="M5" i="1"/>
  <c r="K5" i="1"/>
  <c r="X23" i="1" l="1"/>
  <c r="AO23" i="1" s="1"/>
  <c r="X25" i="1"/>
  <c r="AO25" i="1" s="1"/>
  <c r="X45" i="1"/>
  <c r="AO45" i="1" s="1"/>
  <c r="X49" i="1"/>
  <c r="AO49" i="1" s="1"/>
  <c r="X55" i="1"/>
  <c r="AO55" i="1" s="1"/>
  <c r="X57" i="1"/>
  <c r="AO57" i="1" s="1"/>
  <c r="X62" i="1"/>
  <c r="AO62" i="1" s="1"/>
  <c r="X67" i="1"/>
  <c r="AO67" i="1" s="1"/>
  <c r="X85" i="1"/>
  <c r="AO85" i="1" s="1"/>
  <c r="X105" i="1"/>
  <c r="AO105" i="1" s="1"/>
  <c r="X133" i="1"/>
  <c r="AO133" i="1" s="1"/>
  <c r="Y21" i="1"/>
  <c r="AP21" i="1" s="1"/>
  <c r="Y35" i="1"/>
  <c r="AP35" i="1" s="1"/>
  <c r="Y37" i="1"/>
  <c r="AP37" i="1" s="1"/>
  <c r="Y43" i="1"/>
  <c r="AP43" i="1" s="1"/>
  <c r="Y6" i="1"/>
  <c r="AP6" i="1" s="1"/>
  <c r="Y8" i="1"/>
  <c r="AP8" i="1" s="1"/>
  <c r="Y15" i="1"/>
  <c r="AP15" i="1" s="1"/>
  <c r="Y61" i="1"/>
  <c r="AP61" i="1" s="1"/>
  <c r="Y63" i="1"/>
  <c r="AP63" i="1" s="1"/>
  <c r="Y64" i="1"/>
  <c r="AP64" i="1" s="1"/>
  <c r="Y76" i="1"/>
  <c r="AP76" i="1" s="1"/>
  <c r="AP7" i="1"/>
  <c r="AB6" i="1"/>
  <c r="AB8" i="1"/>
  <c r="AC9" i="1"/>
  <c r="AB9" i="1"/>
  <c r="AB15" i="1"/>
  <c r="AB21" i="1"/>
  <c r="AC26" i="1"/>
  <c r="AB26" i="1"/>
  <c r="AC31" i="1"/>
  <c r="AB31" i="1"/>
  <c r="AC33" i="1"/>
  <c r="AB33" i="1"/>
  <c r="AC34" i="1"/>
  <c r="AB34" i="1"/>
  <c r="AB35" i="1"/>
  <c r="AB37" i="1"/>
  <c r="AC41" i="1"/>
  <c r="AB41" i="1"/>
  <c r="AC42" i="1"/>
  <c r="AB42" i="1"/>
  <c r="AB43" i="1"/>
  <c r="AC46" i="1"/>
  <c r="AB46" i="1"/>
  <c r="AB49" i="1"/>
  <c r="AB50" i="1"/>
  <c r="AC55" i="1"/>
  <c r="AB55" i="1"/>
  <c r="AB59" i="1"/>
  <c r="AB60" i="1"/>
  <c r="AB61" i="1"/>
  <c r="AC62" i="1"/>
  <c r="AB62" i="1"/>
  <c r="AB63" i="1"/>
  <c r="AB64" i="1"/>
  <c r="AC65" i="1"/>
  <c r="AB65" i="1"/>
  <c r="AB71" i="1"/>
  <c r="AB75" i="1"/>
  <c r="AB76" i="1"/>
  <c r="AC81" i="1"/>
  <c r="AB81" i="1"/>
  <c r="AB84" i="1"/>
  <c r="AC86" i="1"/>
  <c r="AB86" i="1"/>
  <c r="AC91" i="1"/>
  <c r="AB91" i="1"/>
  <c r="AC93" i="1"/>
  <c r="AB93" i="1"/>
  <c r="AC96" i="1"/>
  <c r="AB96" i="1"/>
  <c r="AC97" i="1"/>
  <c r="AB97" i="1"/>
  <c r="AB98" i="1"/>
  <c r="AC99" i="1"/>
  <c r="AB99" i="1"/>
  <c r="AC100" i="1"/>
  <c r="AB100" i="1"/>
  <c r="AC101" i="1"/>
  <c r="AB101" i="1"/>
  <c r="AC105" i="1"/>
  <c r="AB105" i="1"/>
  <c r="AC106" i="1"/>
  <c r="AB106" i="1"/>
  <c r="AC109" i="1"/>
  <c r="AB109" i="1"/>
  <c r="AC111" i="1"/>
  <c r="AB111" i="1"/>
  <c r="AC114" i="1"/>
  <c r="AB114" i="1"/>
  <c r="AC116" i="1"/>
  <c r="AB116" i="1"/>
  <c r="AC121" i="1"/>
  <c r="AB121" i="1"/>
  <c r="AC122" i="1"/>
  <c r="AB122" i="1"/>
  <c r="AC123" i="1"/>
  <c r="AB123" i="1"/>
  <c r="AC124" i="1"/>
  <c r="AB124" i="1"/>
  <c r="AC125" i="1"/>
  <c r="AB125" i="1"/>
  <c r="AC126" i="1"/>
  <c r="AB126" i="1"/>
  <c r="AC128" i="1"/>
  <c r="AB128" i="1"/>
  <c r="AC130" i="1"/>
  <c r="AB130" i="1"/>
  <c r="AC132" i="1"/>
  <c r="AB132" i="1"/>
  <c r="AC133" i="1"/>
  <c r="AB133" i="1"/>
  <c r="AC134" i="1"/>
  <c r="AB134" i="1"/>
  <c r="AC135" i="1"/>
  <c r="AB135" i="1"/>
  <c r="V56" i="1"/>
  <c r="W56" i="1" s="1"/>
  <c r="X56" i="1" s="1"/>
  <c r="AO56" i="1" s="1"/>
  <c r="V53" i="1"/>
  <c r="W53" i="1" s="1"/>
  <c r="X53" i="1" s="1"/>
  <c r="AO53" i="1" s="1"/>
  <c r="V17" i="1"/>
  <c r="W17" i="1" s="1"/>
  <c r="X17" i="1" s="1"/>
  <c r="AO17" i="1" s="1"/>
  <c r="AC69" i="1"/>
  <c r="AC17" i="1"/>
  <c r="AC43" i="1"/>
  <c r="AC63" i="1"/>
  <c r="AC77" i="1"/>
  <c r="AC49" i="1"/>
  <c r="V58" i="1"/>
  <c r="W58" i="1" s="1"/>
  <c r="X58" i="1" s="1"/>
  <c r="AO58" i="1" s="1"/>
  <c r="AC71" i="1"/>
  <c r="V45" i="1"/>
  <c r="AC37" i="1"/>
  <c r="AC35" i="1"/>
  <c r="V85" i="1"/>
  <c r="V87" i="1"/>
  <c r="W87" i="1" s="1"/>
  <c r="V89" i="1"/>
  <c r="W89" i="1" s="1"/>
  <c r="V113" i="1"/>
  <c r="W113" i="1" s="1"/>
  <c r="X113" i="1" s="1"/>
  <c r="AO113" i="1" s="1"/>
  <c r="V115" i="1"/>
  <c r="W115" i="1" s="1"/>
  <c r="X115" i="1" s="1"/>
  <c r="AO115" i="1" s="1"/>
  <c r="V117" i="1"/>
  <c r="W117" i="1" s="1"/>
  <c r="V118" i="1"/>
  <c r="W118" i="1" s="1"/>
  <c r="AC6" i="1"/>
  <c r="V44" i="1"/>
  <c r="W44" i="1" s="1"/>
  <c r="V112" i="1"/>
  <c r="W112" i="1" s="1"/>
  <c r="X112" i="1" s="1"/>
  <c r="AO112" i="1" s="1"/>
  <c r="AC8" i="1"/>
  <c r="V22" i="1"/>
  <c r="W22" i="1" s="1"/>
  <c r="X22" i="1" s="1"/>
  <c r="AO22" i="1" s="1"/>
  <c r="V66" i="1"/>
  <c r="AC72" i="1"/>
  <c r="V23" i="1"/>
  <c r="V47" i="1"/>
  <c r="W47" i="1" s="1"/>
  <c r="V88" i="1"/>
  <c r="W88" i="1" s="1"/>
  <c r="V25" i="1"/>
  <c r="V48" i="1"/>
  <c r="W48" i="1" s="1"/>
  <c r="AC61" i="1"/>
  <c r="V90" i="1"/>
  <c r="W90" i="1" s="1"/>
  <c r="X90" i="1" s="1"/>
  <c r="AO90" i="1" s="1"/>
  <c r="V27" i="1"/>
  <c r="W27" i="1" s="1"/>
  <c r="X27" i="1" s="1"/>
  <c r="AO27" i="1" s="1"/>
  <c r="V70" i="1"/>
  <c r="W70" i="1" s="1"/>
  <c r="X70" i="1" s="1"/>
  <c r="AO70" i="1" s="1"/>
  <c r="V119" i="1"/>
  <c r="W119" i="1" s="1"/>
  <c r="X119" i="1" s="1"/>
  <c r="AO119" i="1" s="1"/>
  <c r="V28" i="1"/>
  <c r="W28" i="1" s="1"/>
  <c r="X28" i="1" s="1"/>
  <c r="AO28" i="1" s="1"/>
  <c r="V51" i="1"/>
  <c r="W51" i="1" s="1"/>
  <c r="X51" i="1" s="1"/>
  <c r="AO51" i="1" s="1"/>
  <c r="V92" i="1"/>
  <c r="W92" i="1" s="1"/>
  <c r="X92" i="1" s="1"/>
  <c r="AO92" i="1" s="1"/>
  <c r="V120" i="1"/>
  <c r="W120" i="1" s="1"/>
  <c r="AC24" i="1"/>
  <c r="AC107" i="1"/>
  <c r="V29" i="1"/>
  <c r="W29" i="1" s="1"/>
  <c r="V52" i="1"/>
  <c r="W52" i="1" s="1"/>
  <c r="V72" i="1"/>
  <c r="W72" i="1" s="1"/>
  <c r="X72" i="1" s="1"/>
  <c r="AO72" i="1" s="1"/>
  <c r="V94" i="1"/>
  <c r="V7" i="1"/>
  <c r="V30" i="1"/>
  <c r="W30" i="1" s="1"/>
  <c r="V73" i="1"/>
  <c r="W73" i="1" s="1"/>
  <c r="X73" i="1" s="1"/>
  <c r="AO73" i="1" s="1"/>
  <c r="V95" i="1"/>
  <c r="AC80" i="1"/>
  <c r="AC129" i="1"/>
  <c r="V32" i="1"/>
  <c r="W32" i="1" s="1"/>
  <c r="X32" i="1" s="1"/>
  <c r="AO32" i="1" s="1"/>
  <c r="V54" i="1"/>
  <c r="W54" i="1" s="1"/>
  <c r="X54" i="1" s="1"/>
  <c r="AO54" i="1" s="1"/>
  <c r="V74" i="1"/>
  <c r="W74" i="1" s="1"/>
  <c r="X74" i="1" s="1"/>
  <c r="AO74" i="1" s="1"/>
  <c r="AC50" i="1"/>
  <c r="V10" i="1"/>
  <c r="W10" i="1" s="1"/>
  <c r="V11" i="1"/>
  <c r="W11" i="1" s="1"/>
  <c r="V36" i="1"/>
  <c r="W36" i="1" s="1"/>
  <c r="X36" i="1" s="1"/>
  <c r="AO36" i="1" s="1"/>
  <c r="V102" i="1"/>
  <c r="W102" i="1" s="1"/>
  <c r="X102" i="1" s="1"/>
  <c r="AO102" i="1" s="1"/>
  <c r="V12" i="1"/>
  <c r="W12" i="1" s="1"/>
  <c r="X12" i="1" s="1"/>
  <c r="AO12" i="1" s="1"/>
  <c r="V57" i="1"/>
  <c r="V129" i="1"/>
  <c r="W129" i="1" s="1"/>
  <c r="X129" i="1" s="1"/>
  <c r="AO129" i="1" s="1"/>
  <c r="V38" i="1"/>
  <c r="W38" i="1" s="1"/>
  <c r="X38" i="1" s="1"/>
  <c r="AO38" i="1" s="1"/>
  <c r="V78" i="1"/>
  <c r="W78" i="1" s="1"/>
  <c r="X78" i="1" s="1"/>
  <c r="AO78" i="1" s="1"/>
  <c r="V104" i="1"/>
  <c r="W104" i="1" s="1"/>
  <c r="AC64" i="1"/>
  <c r="V14" i="1"/>
  <c r="W14" i="1" s="1"/>
  <c r="X14" i="1" s="1"/>
  <c r="AO14" i="1" s="1"/>
  <c r="V39" i="1"/>
  <c r="W39" i="1" s="1"/>
  <c r="X39" i="1" s="1"/>
  <c r="AO39" i="1" s="1"/>
  <c r="V79" i="1"/>
  <c r="W79" i="1" s="1"/>
  <c r="X79" i="1" s="1"/>
  <c r="AO79" i="1" s="1"/>
  <c r="V131" i="1"/>
  <c r="W131" i="1" s="1"/>
  <c r="X131" i="1" s="1"/>
  <c r="AO131" i="1" s="1"/>
  <c r="V40" i="1"/>
  <c r="W40" i="1" s="1"/>
  <c r="X40" i="1" s="1"/>
  <c r="AO40" i="1" s="1"/>
  <c r="V80" i="1"/>
  <c r="W80" i="1" s="1"/>
  <c r="X80" i="1" s="1"/>
  <c r="AO80" i="1" s="1"/>
  <c r="V16" i="1"/>
  <c r="W16" i="1" s="1"/>
  <c r="V82" i="1"/>
  <c r="W82" i="1" s="1"/>
  <c r="X82" i="1" s="1"/>
  <c r="AO82" i="1" s="1"/>
  <c r="AC11" i="1"/>
  <c r="AC59" i="1"/>
  <c r="AC75" i="1"/>
  <c r="AC110" i="1"/>
  <c r="AC60" i="1"/>
  <c r="AC76" i="1"/>
  <c r="AC131" i="1"/>
  <c r="AC13" i="1"/>
  <c r="AC18" i="1"/>
  <c r="U5" i="1"/>
  <c r="AC19" i="1"/>
  <c r="L50" i="1"/>
  <c r="AC67" i="1"/>
  <c r="AC83" i="1"/>
  <c r="AC127" i="1"/>
  <c r="AC57" i="1"/>
  <c r="AC73" i="1"/>
  <c r="AC103" i="1"/>
  <c r="AC15" i="1"/>
  <c r="AC20" i="1"/>
  <c r="AC68" i="1"/>
  <c r="AC84" i="1"/>
  <c r="AC98" i="1"/>
  <c r="L98" i="1"/>
  <c r="AC108" i="1"/>
  <c r="AC21" i="1"/>
  <c r="AC39" i="1"/>
  <c r="AC56" i="1"/>
  <c r="E5" i="1"/>
  <c r="F5" i="1"/>
  <c r="L56" i="1"/>
  <c r="AC12" i="1"/>
  <c r="Y16" i="1" l="1"/>
  <c r="AP16" i="1" s="1"/>
  <c r="Y104" i="1"/>
  <c r="AP104" i="1" s="1"/>
  <c r="Y11" i="1"/>
  <c r="AP11" i="1" s="1"/>
  <c r="Y30" i="1"/>
  <c r="AP30" i="1" s="1"/>
  <c r="Y52" i="1"/>
  <c r="AP52" i="1" s="1"/>
  <c r="Y120" i="1"/>
  <c r="AP120" i="1" s="1"/>
  <c r="Y47" i="1"/>
  <c r="AP47" i="1" s="1"/>
  <c r="Y117" i="1"/>
  <c r="AP117" i="1" s="1"/>
  <c r="Y87" i="1"/>
  <c r="AP87" i="1" s="1"/>
  <c r="Y10" i="1"/>
  <c r="AP10" i="1" s="1"/>
  <c r="Y29" i="1"/>
  <c r="AP29" i="1" s="1"/>
  <c r="Y48" i="1"/>
  <c r="AP48" i="1" s="1"/>
  <c r="Y88" i="1"/>
  <c r="AP88" i="1" s="1"/>
  <c r="Y44" i="1"/>
  <c r="AP44" i="1" s="1"/>
  <c r="Y118" i="1"/>
  <c r="AP118" i="1" s="1"/>
  <c r="Y89" i="1"/>
  <c r="AP89" i="1" s="1"/>
  <c r="X76" i="1"/>
  <c r="AO76" i="1" s="1"/>
  <c r="X64" i="1"/>
  <c r="AO64" i="1" s="1"/>
  <c r="X63" i="1"/>
  <c r="AO63" i="1" s="1"/>
  <c r="X61" i="1"/>
  <c r="AO61" i="1" s="1"/>
  <c r="X15" i="1"/>
  <c r="AO15" i="1" s="1"/>
  <c r="X8" i="1"/>
  <c r="AO8" i="1" s="1"/>
  <c r="X6" i="1"/>
  <c r="AO6" i="1" s="1"/>
  <c r="X43" i="1"/>
  <c r="AO43" i="1" s="1"/>
  <c r="X37" i="1"/>
  <c r="AO37" i="1" s="1"/>
  <c r="X35" i="1"/>
  <c r="AO35" i="1" s="1"/>
  <c r="X21" i="1"/>
  <c r="AO21" i="1" s="1"/>
  <c r="AB16" i="1"/>
  <c r="AB40" i="1"/>
  <c r="AB79" i="1"/>
  <c r="AB14" i="1"/>
  <c r="AB104" i="1"/>
  <c r="AB38" i="1"/>
  <c r="AB57" i="1"/>
  <c r="AB102" i="1"/>
  <c r="AB11" i="1"/>
  <c r="AB54" i="1"/>
  <c r="AB95" i="1"/>
  <c r="AB30" i="1"/>
  <c r="AB94" i="1"/>
  <c r="AB52" i="1"/>
  <c r="AB120" i="1"/>
  <c r="AB51" i="1"/>
  <c r="AB119" i="1"/>
  <c r="AB27" i="1"/>
  <c r="AB25" i="1"/>
  <c r="AB47" i="1"/>
  <c r="AB22" i="1"/>
  <c r="AB112" i="1"/>
  <c r="AB117" i="1"/>
  <c r="AB113" i="1"/>
  <c r="AB87" i="1"/>
  <c r="AB45" i="1"/>
  <c r="AB58" i="1"/>
  <c r="AB53" i="1"/>
  <c r="W5" i="1"/>
  <c r="AB82" i="1"/>
  <c r="AB80" i="1"/>
  <c r="AB131" i="1"/>
  <c r="AB39" i="1"/>
  <c r="AB78" i="1"/>
  <c r="AB129" i="1"/>
  <c r="AB12" i="1"/>
  <c r="AB36" i="1"/>
  <c r="AB10" i="1"/>
  <c r="AB74" i="1"/>
  <c r="AB32" i="1"/>
  <c r="AB73" i="1"/>
  <c r="AB7" i="1"/>
  <c r="AB72" i="1"/>
  <c r="AB29" i="1"/>
  <c r="AB92" i="1"/>
  <c r="AB28" i="1"/>
  <c r="AB70" i="1"/>
  <c r="AB90" i="1"/>
  <c r="AB48" i="1"/>
  <c r="AB88" i="1"/>
  <c r="AB23" i="1"/>
  <c r="AB66" i="1"/>
  <c r="AB44" i="1"/>
  <c r="AB118" i="1"/>
  <c r="AB115" i="1"/>
  <c r="AB89" i="1"/>
  <c r="AB85" i="1"/>
  <c r="AB56" i="1"/>
  <c r="AB17" i="1"/>
  <c r="L5" i="1"/>
  <c r="V5" i="1"/>
  <c r="AP5" i="1" l="1"/>
  <c r="AP1" i="1" s="1"/>
  <c r="Y5" i="1"/>
  <c r="X89" i="1"/>
  <c r="AO89" i="1" s="1"/>
  <c r="X118" i="1"/>
  <c r="AO118" i="1" s="1"/>
  <c r="X44" i="1"/>
  <c r="AO44" i="1" s="1"/>
  <c r="X88" i="1"/>
  <c r="AO88" i="1" s="1"/>
  <c r="X48" i="1"/>
  <c r="AO48" i="1" s="1"/>
  <c r="X29" i="1"/>
  <c r="AO29" i="1" s="1"/>
  <c r="X10" i="1"/>
  <c r="AO10" i="1" s="1"/>
  <c r="X87" i="1"/>
  <c r="AO87" i="1" s="1"/>
  <c r="X117" i="1"/>
  <c r="AO117" i="1" s="1"/>
  <c r="X47" i="1"/>
  <c r="AO47" i="1" s="1"/>
  <c r="X120" i="1"/>
  <c r="AO120" i="1" s="1"/>
  <c r="X52" i="1"/>
  <c r="AO52" i="1" s="1"/>
  <c r="X30" i="1"/>
  <c r="AO30" i="1" s="1"/>
  <c r="X11" i="1"/>
  <c r="X104" i="1"/>
  <c r="AO104" i="1" s="1"/>
  <c r="X16" i="1"/>
  <c r="AO16" i="1" s="1"/>
  <c r="AO11" i="1" l="1"/>
  <c r="AO5" i="1" s="1"/>
  <c r="AO1" i="1" s="1"/>
  <c r="X5" i="1"/>
</calcChain>
</file>

<file path=xl/sharedStrings.xml><?xml version="1.0" encoding="utf-8"?>
<sst xmlns="http://schemas.openxmlformats.org/spreadsheetml/2006/main" count="491" uniqueCount="203">
  <si>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</si>
  <si>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</si>
  <si>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</si>
  <si>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</si>
  <si>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</si>
  <si>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</si>
  <si>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</si>
  <si>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</si>
  <si>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</si>
  <si>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</si>
  <si>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</si>
  <si>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</si>
  <si>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</si>
  <si>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</si>
  <si>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</si>
  <si>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</si>
  <si>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</si>
  <si>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</si>
  <si>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</si>
  <si>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</si>
  <si>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</si>
  <si>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</si>
  <si>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18,10,</t>
  </si>
  <si>
    <t>19,10,</t>
  </si>
  <si>
    <t>20,10,</t>
  </si>
  <si>
    <t>20,10,доз</t>
  </si>
  <si>
    <t>24,10,</t>
  </si>
  <si>
    <t>22,10,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</si>
  <si>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</si>
  <si>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</si>
  <si>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</si>
  <si>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</si>
  <si>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</si>
  <si>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</si>
  <si>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</si>
  <si>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</si>
  <si>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</si>
  <si>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</si>
  <si>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</si>
  <si>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</si>
  <si>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</si>
  <si>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</si>
  <si>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</si>
  <si>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</si>
  <si>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</si>
  <si>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</si>
  <si>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</si>
  <si>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</si>
  <si>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</si>
  <si>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</si>
  <si>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</si>
  <si>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</si>
  <si>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</si>
  <si>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</si>
  <si>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</si>
  <si>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пересорт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</si>
  <si>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</si>
  <si>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</si>
  <si>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</si>
  <si>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</si>
  <si>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</si>
  <si>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</si>
  <si>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</si>
  <si>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</si>
  <si>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</si>
  <si>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</si>
  <si>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</si>
  <si>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</si>
  <si>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</si>
  <si>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</si>
  <si>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</si>
  <si>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</si>
  <si>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</si>
  <si>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</si>
  <si>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</si>
  <si>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</si>
  <si>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</si>
  <si>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</si>
  <si>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</si>
  <si>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!!! / НЕДОГРУЗ / матрица</t>
  </si>
  <si>
    <t>350 заказ под спар (07,10,26)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</si>
  <si>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</si>
  <si>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</si>
  <si>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</si>
  <si>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</si>
  <si>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</si>
  <si>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</si>
  <si>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</si>
  <si>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</si>
  <si>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</si>
  <si>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</si>
  <si>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</si>
  <si>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</si>
  <si>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</si>
  <si>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</si>
  <si>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</si>
  <si>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</si>
  <si>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</si>
  <si>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</si>
  <si>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</si>
  <si>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ВНИМАНИЕ / матрица</t>
  </si>
  <si>
    <t>180 заказ под спар (07,10,26)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</si>
  <si>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</si>
  <si>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</si>
  <si>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</si>
  <si>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</si>
  <si>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</si>
  <si>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</si>
  <si>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</si>
  <si>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</si>
  <si>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</si>
  <si>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</si>
  <si>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</si>
  <si>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</si>
  <si>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</si>
  <si>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</si>
  <si>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</si>
  <si>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</si>
  <si>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</si>
  <si>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</si>
  <si>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</si>
  <si>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100 заказ под спар (07,10,26)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</si>
  <si>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</si>
  <si>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</si>
  <si>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</si>
  <si>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</si>
  <si>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</si>
  <si>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</si>
  <si>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</si>
  <si>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</si>
  <si>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</si>
  <si>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</si>
  <si>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</si>
  <si>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</si>
  <si>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</si>
  <si>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</si>
  <si>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234шт в уценке (15,10,26)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</si>
  <si>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</si>
  <si>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</si>
  <si>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</si>
  <si>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</si>
  <si>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>не в матрице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</si>
  <si>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</si>
  <si>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</si>
  <si>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вывод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</si>
  <si>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</si>
  <si>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</si>
  <si>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</si>
  <si>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</si>
  <si>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</si>
  <si>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</si>
  <si>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</si>
  <si>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</si>
  <si>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</si>
  <si>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</si>
  <si>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</si>
  <si>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</si>
  <si>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</si>
  <si>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</si>
  <si>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</si>
  <si>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</si>
  <si>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</si>
  <si>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</si>
  <si>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</si>
  <si>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</si>
  <si>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</si>
  <si>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</si>
  <si>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</si>
  <si>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</si>
  <si>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</si>
  <si>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</si>
  <si>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</si>
  <si>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</si>
  <si>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SU004265, не заказывали!!!</t>
  </si>
  <si>
    <t xml:space="preserve"> 633  Колбаса Мясная Классическая ТМ Вязанка в оболочке полиамид УМВ.ВЕС.  ПОКОМ</t>
  </si>
  <si>
    <t>дубль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</si>
  <si>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</si>
  <si>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</si>
  <si>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</si>
  <si>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</si>
  <si>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</si>
  <si>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</si>
  <si>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</si>
  <si>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</si>
  <si>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</si>
  <si>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</si>
  <si>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</si>
  <si>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новинка</t>
  </si>
  <si>
    <t>Сосиски Ганноверские Бордо Весовые П/а мгс Баварушка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</si>
  <si>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150 заказ под спар (07,10,26)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</si>
  <si>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60 заказ под спар (07,10,26) / 33кг списаны (29,08,26)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</si>
  <si>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200 заказ под спар (07,10,26)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</si>
  <si>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57кг в уценку (30,06,26)</t>
    </r>
  </si>
  <si>
    <t>итого</t>
  </si>
  <si>
    <t>ТК</t>
  </si>
  <si>
    <t>Воронков</t>
  </si>
  <si>
    <t>ТК ком</t>
  </si>
  <si>
    <t>дн</t>
  </si>
  <si>
    <t>заказ</t>
  </si>
  <si>
    <t>26,10,</t>
  </si>
  <si>
    <t>27,10,</t>
  </si>
  <si>
    <t>%</t>
  </si>
  <si>
    <t>24,10,доз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</si>
</sst>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6" fillId="7" borderId="1" xfId="1" applyNumberFormat="1" applyFont="1" applyFill="1"/>
    <xf numFmtId="164" fontId="1" fillId="8" borderId="1" xfId="1" applyNumberFormat="1" applyFill="1"/>
    <xf numFmtId="164" fontId="1" fillId="0" borderId="1" xfId="1" applyNumberFormat="1" applyFill="1"/>
    <xf numFmtId="164" fontId="5" fillId="7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  <xf numFmtId="164" fontId="7" fillId="2" borderId="1" xfId="1" applyNumberFormat="1" applyFont="1" applyFill="1"/>
    <xf numFmtId="164" fontId="6" fillId="0" borderId="1" xfId="1" applyNumberFormat="1" applyFont="1"/>
    <xf numFmtId="164" fontId="9" fillId="0" borderId="1" xfId="1" applyNumberFormat="1" applyFont="1"/>
    <xf numFmtId="164" fontId="10" fillId="2" borderId="1" xfId="1" applyNumberFormat="1" applyFont="1" applyFill="1"/>
    <xf numFmtId="164" fontId="9" fillId="3" borderId="1" xfId="1" applyNumberFormat="1" applyFont="1" applyFill="1"/>
    <xf numFmtId="164" fontId="9" fillId="4" borderId="1" xfId="1" applyNumberFormat="1" applyFont="1" applyFill="1"/>
    <xf numFmtId="0" fontId="8" fillId="0" borderId="1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221026%20&#1083;&#1075;&#1088;&#1089;&#1095;%20&#1087;&#1086;&#1082;%20&#1082;&#1080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ср нов</v>
          </cell>
          <cell r="U3" t="str">
            <v>расчет</v>
          </cell>
        </row>
        <row r="4">
          <cell r="O4" t="str">
            <v>18,10,</v>
          </cell>
          <cell r="P4" t="str">
            <v>19,10,</v>
          </cell>
          <cell r="Q4" t="str">
            <v>20,10,</v>
          </cell>
          <cell r="R4" t="str">
            <v>20,10,доз</v>
          </cell>
          <cell r="S4" t="str">
            <v>24,10,</v>
          </cell>
          <cell r="T4" t="str">
            <v>22,10,</v>
          </cell>
        </row>
        <row r="5">
          <cell r="E5">
            <v>54214.886000000013</v>
          </cell>
          <cell r="F5">
            <v>12171.099999999999</v>
          </cell>
          <cell r="K5">
            <v>57283.210000000028</v>
          </cell>
          <cell r="L5">
            <v>-3068.324000000001</v>
          </cell>
          <cell r="M5">
            <v>0</v>
          </cell>
          <cell r="N5">
            <v>0</v>
          </cell>
          <cell r="O5">
            <v>22317.312848996939</v>
          </cell>
          <cell r="P5">
            <v>15651.959275868747</v>
          </cell>
          <cell r="Q5">
            <v>21645.276526684494</v>
          </cell>
          <cell r="R5">
            <v>350</v>
          </cell>
          <cell r="S5">
            <v>22887.506171815316</v>
          </cell>
          <cell r="T5">
            <v>10842.977199999994</v>
          </cell>
          <cell r="U5">
            <v>37533.237708634508</v>
          </cell>
          <cell r="V5">
            <v>8760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1310.385</v>
          </cell>
          <cell r="D6">
            <v>2026.2739999999999</v>
          </cell>
          <cell r="E6">
            <v>2655.009</v>
          </cell>
          <cell r="F6">
            <v>43.323999999999998</v>
          </cell>
          <cell r="G6">
            <v>1</v>
          </cell>
          <cell r="H6">
            <v>50</v>
          </cell>
          <cell r="I6" t="str">
            <v>матрица</v>
          </cell>
          <cell r="K6">
            <v>2602.5500000000002</v>
          </cell>
          <cell r="L6">
            <v>52.458999999999833</v>
          </cell>
          <cell r="O6">
            <v>2513.5494300000009</v>
          </cell>
          <cell r="P6">
            <v>540.18028070999992</v>
          </cell>
          <cell r="Q6">
            <v>813.65500928999984</v>
          </cell>
          <cell r="S6">
            <v>293.54757999999919</v>
          </cell>
          <cell r="T6">
            <v>531.0018</v>
          </cell>
          <cell r="U6">
            <v>1902.2643999999996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581.11800000000005</v>
          </cell>
          <cell r="D7">
            <v>808.77200000000005</v>
          </cell>
          <cell r="E7">
            <v>1198.1089999999999</v>
          </cell>
          <cell r="F7">
            <v>1.3320000000000001</v>
          </cell>
          <cell r="G7">
            <v>1</v>
          </cell>
          <cell r="H7">
            <v>45</v>
          </cell>
          <cell r="I7" t="str">
            <v>матрица</v>
          </cell>
          <cell r="K7">
            <v>1145.3</v>
          </cell>
          <cell r="L7">
            <v>52.808999999999969</v>
          </cell>
          <cell r="O7">
            <v>504.31198999999998</v>
          </cell>
          <cell r="P7">
            <v>293.41460026200008</v>
          </cell>
          <cell r="Q7">
            <v>441.96033773800008</v>
          </cell>
          <cell r="S7">
            <v>833.12519200000031</v>
          </cell>
          <cell r="T7">
            <v>239.62179999999998</v>
          </cell>
          <cell r="U7">
            <v>681.50657999999919</v>
          </cell>
          <cell r="V7">
            <v>800</v>
          </cell>
          <cell r="W7" t="str">
            <v>промо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681.02</v>
          </cell>
          <cell r="D8">
            <v>712.697</v>
          </cell>
          <cell r="E8">
            <v>1010.6609999999999</v>
          </cell>
          <cell r="F8">
            <v>60.317</v>
          </cell>
          <cell r="G8">
            <v>1</v>
          </cell>
          <cell r="H8">
            <v>45</v>
          </cell>
          <cell r="I8" t="str">
            <v>НЕДОГРУЗ / матрица</v>
          </cell>
          <cell r="K8">
            <v>1009.1</v>
          </cell>
          <cell r="L8">
            <v>1.5609999999999218</v>
          </cell>
          <cell r="O8">
            <v>559.04163000000028</v>
          </cell>
          <cell r="P8">
            <v>283.046013894</v>
          </cell>
          <cell r="Q8">
            <v>426.34249210600001</v>
          </cell>
          <cell r="S8">
            <v>297.07836399999951</v>
          </cell>
          <cell r="T8">
            <v>202.13219999999998</v>
          </cell>
          <cell r="U8">
            <v>698.69479999999987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P9">
            <v>0</v>
          </cell>
          <cell r="S9">
            <v>0</v>
          </cell>
          <cell r="T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594</v>
          </cell>
          <cell r="D10">
            <v>361</v>
          </cell>
          <cell r="E10">
            <v>848</v>
          </cell>
          <cell r="F10">
            <v>-2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869</v>
          </cell>
          <cell r="L10">
            <v>-21</v>
          </cell>
          <cell r="O10">
            <v>236.65000000000029</v>
          </cell>
          <cell r="P10">
            <v>253.32110999999989</v>
          </cell>
          <cell r="Q10">
            <v>381.56888999999978</v>
          </cell>
          <cell r="S10">
            <v>385.28</v>
          </cell>
          <cell r="T10">
            <v>169.6</v>
          </cell>
          <cell r="U10">
            <v>695.57999999999993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878</v>
          </cell>
          <cell r="D11">
            <v>530</v>
          </cell>
          <cell r="E11">
            <v>1210</v>
          </cell>
          <cell r="F11">
            <v>21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1221</v>
          </cell>
          <cell r="L11">
            <v>-11</v>
          </cell>
          <cell r="O11">
            <v>258.09605899999929</v>
          </cell>
          <cell r="P11">
            <v>245.22300600000011</v>
          </cell>
          <cell r="Q11">
            <v>369.37099400000022</v>
          </cell>
          <cell r="S11">
            <v>778.16594100000043</v>
          </cell>
          <cell r="T11">
            <v>242</v>
          </cell>
          <cell r="U11">
            <v>1111.144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79</v>
          </cell>
          <cell r="D12">
            <v>45</v>
          </cell>
          <cell r="E12">
            <v>99</v>
          </cell>
          <cell r="F12">
            <v>-13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99</v>
          </cell>
          <cell r="L12">
            <v>0</v>
          </cell>
          <cell r="O12">
            <v>17.969999999999992</v>
          </cell>
          <cell r="P12">
            <v>69.430000000000007</v>
          </cell>
          <cell r="S12">
            <v>35.400000000000013</v>
          </cell>
          <cell r="T12">
            <v>19.8</v>
          </cell>
          <cell r="U12">
            <v>117.9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49</v>
          </cell>
          <cell r="E13">
            <v>41</v>
          </cell>
          <cell r="F13">
            <v>1</v>
          </cell>
          <cell r="G13">
            <v>0.3</v>
          </cell>
          <cell r="H13">
            <v>40</v>
          </cell>
          <cell r="I13" t="str">
            <v>матрица</v>
          </cell>
          <cell r="K13">
            <v>99</v>
          </cell>
          <cell r="L13">
            <v>-58</v>
          </cell>
          <cell r="O13">
            <v>148.44</v>
          </cell>
          <cell r="P13">
            <v>41.416200000000003</v>
          </cell>
          <cell r="Q13">
            <v>62.383800000000008</v>
          </cell>
          <cell r="S13">
            <v>60</v>
          </cell>
          <cell r="T13">
            <v>8.1999999999999993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275</v>
          </cell>
          <cell r="D14">
            <v>240</v>
          </cell>
          <cell r="E14">
            <v>251</v>
          </cell>
          <cell r="F14">
            <v>148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252</v>
          </cell>
          <cell r="L14">
            <v>-1</v>
          </cell>
          <cell r="O14">
            <v>0</v>
          </cell>
          <cell r="P14">
            <v>64.800000000000182</v>
          </cell>
          <cell r="S14">
            <v>144.89999999999969</v>
          </cell>
          <cell r="T14">
            <v>50.2</v>
          </cell>
          <cell r="U14">
            <v>219.60000000000019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927.28300000000002</v>
          </cell>
          <cell r="D15">
            <v>1025.201</v>
          </cell>
          <cell r="E15">
            <v>1206.502</v>
          </cell>
          <cell r="F15">
            <v>429.78500000000003</v>
          </cell>
          <cell r="G15">
            <v>1</v>
          </cell>
          <cell r="H15">
            <v>70</v>
          </cell>
          <cell r="I15" t="str">
            <v>матрица</v>
          </cell>
          <cell r="K15">
            <v>1181.1300000000001</v>
          </cell>
          <cell r="L15">
            <v>25.371999999999844</v>
          </cell>
          <cell r="O15">
            <v>197.61519999999999</v>
          </cell>
          <cell r="P15">
            <v>189.69679024800001</v>
          </cell>
          <cell r="Q15">
            <v>285.73376175200002</v>
          </cell>
          <cell r="S15">
            <v>799.82261599999981</v>
          </cell>
          <cell r="T15">
            <v>241.3004</v>
          </cell>
          <cell r="U15">
            <v>872.30123200000003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1524.0630000000001</v>
          </cell>
          <cell r="D16">
            <v>4546.1930000000002</v>
          </cell>
          <cell r="E16">
            <v>4101.9709999999995</v>
          </cell>
          <cell r="F16">
            <v>1093.6849999999999</v>
          </cell>
          <cell r="G16">
            <v>1</v>
          </cell>
          <cell r="H16">
            <v>50</v>
          </cell>
          <cell r="I16" t="str">
            <v>матрица</v>
          </cell>
          <cell r="K16">
            <v>4131.1000000000004</v>
          </cell>
          <cell r="L16">
            <v>-29.129000000000815</v>
          </cell>
          <cell r="O16">
            <v>1255.168210000001</v>
          </cell>
          <cell r="P16">
            <v>1036.5572569379999</v>
          </cell>
          <cell r="Q16">
            <v>1561.3306050619999</v>
          </cell>
          <cell r="R16">
            <v>350</v>
          </cell>
          <cell r="S16">
            <v>1025.1134679999991</v>
          </cell>
          <cell r="T16">
            <v>820.39419999999996</v>
          </cell>
          <cell r="U16">
            <v>3112.6787599999993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64.173000000000002</v>
          </cell>
          <cell r="D17">
            <v>43.320999999999998</v>
          </cell>
          <cell r="E17">
            <v>73.244</v>
          </cell>
          <cell r="F17">
            <v>-0.33700000000000152</v>
          </cell>
          <cell r="G17">
            <v>1</v>
          </cell>
          <cell r="H17">
            <v>60</v>
          </cell>
          <cell r="I17" t="str">
            <v>матрица</v>
          </cell>
          <cell r="K17">
            <v>71.400000000000006</v>
          </cell>
          <cell r="L17">
            <v>1.8439999999999941</v>
          </cell>
          <cell r="O17">
            <v>48.839610000000043</v>
          </cell>
          <cell r="P17">
            <v>26.878889999999981</v>
          </cell>
          <cell r="S17">
            <v>0</v>
          </cell>
          <cell r="T17">
            <v>14.6488</v>
          </cell>
          <cell r="U17">
            <v>93.07969999999996</v>
          </cell>
        </row>
        <row r="18">
          <cell r="A18" t="str">
            <v xml:space="preserve"> 217  Колбаса Докторская Дугушка, ВЕС, НЕ ГОСТ, ТМ Стародворье ПОКОМ</v>
          </cell>
          <cell r="B18" t="str">
            <v>кг</v>
          </cell>
          <cell r="F18">
            <v>-16.010000000000002</v>
          </cell>
          <cell r="G18">
            <v>0</v>
          </cell>
          <cell r="I18" t="str">
            <v>пересорт</v>
          </cell>
          <cell r="J18" t="str">
            <v xml:space="preserve"> 215  Колбаса Докторская ГОСТ Дугушка, ВЕС, ТМ Стародворье ПОКОМ</v>
          </cell>
          <cell r="L18">
            <v>0</v>
          </cell>
          <cell r="T18">
            <v>0</v>
          </cell>
        </row>
        <row r="19">
          <cell r="A19" t="str">
            <v xml:space="preserve"> 225  Колбаса Дугушка со шпиком, ВЕС, ТМ Стародворье   ПОКОМ</v>
          </cell>
          <cell r="B19" t="str">
            <v>кг</v>
          </cell>
          <cell r="C19">
            <v>58.759</v>
          </cell>
          <cell r="D19">
            <v>31.82</v>
          </cell>
          <cell r="E19">
            <v>87.847999999999999</v>
          </cell>
          <cell r="F19">
            <v>-3.802</v>
          </cell>
          <cell r="G19">
            <v>1</v>
          </cell>
          <cell r="H19">
            <v>60</v>
          </cell>
          <cell r="I19" t="str">
            <v>матрица</v>
          </cell>
          <cell r="K19">
            <v>91.04</v>
          </cell>
          <cell r="L19">
            <v>-3.1920000000000073</v>
          </cell>
          <cell r="O19">
            <v>0</v>
          </cell>
          <cell r="P19">
            <v>50.497040999999982</v>
          </cell>
          <cell r="Q19">
            <v>76.061958999999973</v>
          </cell>
          <cell r="S19">
            <v>82.926600000000008</v>
          </cell>
          <cell r="T19">
            <v>17.569600000000001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B20" t="str">
            <v>кг</v>
          </cell>
          <cell r="C20">
            <v>29.632000000000001</v>
          </cell>
          <cell r="D20">
            <v>13.885</v>
          </cell>
          <cell r="E20">
            <v>10.366</v>
          </cell>
          <cell r="F20">
            <v>29.141999999999999</v>
          </cell>
          <cell r="G20">
            <v>1</v>
          </cell>
          <cell r="H20">
            <v>180</v>
          </cell>
          <cell r="I20" t="str">
            <v>матрица</v>
          </cell>
          <cell r="K20">
            <v>10.41</v>
          </cell>
          <cell r="L20">
            <v>-4.4000000000000483E-2</v>
          </cell>
          <cell r="O20">
            <v>0</v>
          </cell>
          <cell r="P20">
            <v>0</v>
          </cell>
          <cell r="S20">
            <v>0</v>
          </cell>
          <cell r="T20">
            <v>2.0731999999999999</v>
          </cell>
        </row>
        <row r="21">
          <cell r="A21" t="str">
            <v xml:space="preserve"> 229  Колбаса Молочная Дугушка, в/у, ВЕС, ТМ Стародворье   ПОКОМ</v>
          </cell>
          <cell r="B21" t="str">
            <v>кг</v>
          </cell>
          <cell r="C21">
            <v>636.32100000000003</v>
          </cell>
          <cell r="D21">
            <v>1319.508</v>
          </cell>
          <cell r="E21">
            <v>1273.6220000000001</v>
          </cell>
          <cell r="F21">
            <v>346.95800000000003</v>
          </cell>
          <cell r="G21">
            <v>1</v>
          </cell>
          <cell r="H21">
            <v>60</v>
          </cell>
          <cell r="I21" t="str">
            <v>матрица</v>
          </cell>
          <cell r="K21">
            <v>1236.538</v>
          </cell>
          <cell r="L21">
            <v>37.08400000000006</v>
          </cell>
          <cell r="O21">
            <v>511.51721036549549</v>
          </cell>
          <cell r="P21">
            <v>319.59263595000027</v>
          </cell>
          <cell r="Q21">
            <v>481.39141405000032</v>
          </cell>
          <cell r="S21">
            <v>400</v>
          </cell>
          <cell r="T21">
            <v>254.7244</v>
          </cell>
          <cell r="U21">
            <v>869.87133963450424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  <cell r="B22" t="str">
            <v>кг</v>
          </cell>
          <cell r="C22">
            <v>183.36699999999999</v>
          </cell>
          <cell r="D22">
            <v>127.548</v>
          </cell>
          <cell r="E22">
            <v>293.33499999999998</v>
          </cell>
          <cell r="F22">
            <v>-35.738999999999997</v>
          </cell>
          <cell r="G22">
            <v>1</v>
          </cell>
          <cell r="H22">
            <v>70</v>
          </cell>
          <cell r="I22" t="str">
            <v>матрица</v>
          </cell>
          <cell r="K22">
            <v>278.91500000000002</v>
          </cell>
          <cell r="L22">
            <v>14.419999999999959</v>
          </cell>
          <cell r="O22">
            <v>38.685419000000053</v>
          </cell>
          <cell r="P22">
            <v>55.510499940000059</v>
          </cell>
          <cell r="Q22">
            <v>83.613560060000069</v>
          </cell>
          <cell r="S22">
            <v>298.31002099999978</v>
          </cell>
          <cell r="T22">
            <v>58.666999999999994</v>
          </cell>
          <cell r="U22">
            <v>234.29000000000002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  <cell r="B23" t="str">
            <v>кг</v>
          </cell>
          <cell r="C23">
            <v>237.238</v>
          </cell>
          <cell r="D23">
            <v>501.94</v>
          </cell>
          <cell r="E23">
            <v>454.87900000000002</v>
          </cell>
          <cell r="F23">
            <v>197.13200000000001</v>
          </cell>
          <cell r="G23">
            <v>1</v>
          </cell>
          <cell r="H23">
            <v>70</v>
          </cell>
          <cell r="I23" t="str">
            <v>матрица</v>
          </cell>
          <cell r="K23">
            <v>450.28500000000003</v>
          </cell>
          <cell r="L23">
            <v>4.5939999999999941</v>
          </cell>
          <cell r="O23">
            <v>160.14661000000029</v>
          </cell>
          <cell r="P23">
            <v>159.6</v>
          </cell>
          <cell r="Q23">
            <v>240.4</v>
          </cell>
          <cell r="S23">
            <v>28.20978999999971</v>
          </cell>
          <cell r="T23">
            <v>90.975800000000007</v>
          </cell>
          <cell r="U23">
            <v>260.7333000000001</v>
          </cell>
          <cell r="V23">
            <v>400</v>
          </cell>
          <cell r="W23" t="str">
            <v>промо</v>
          </cell>
        </row>
        <row r="24">
          <cell r="A24" t="str">
            <v xml:space="preserve"> 240  Колбаса Салями охотничья, ВЕС. ПОКОМ</v>
          </cell>
          <cell r="B24" t="str">
            <v>кг</v>
          </cell>
          <cell r="G24">
            <v>0</v>
          </cell>
          <cell r="I24" t="str">
            <v>матрица</v>
          </cell>
          <cell r="L24">
            <v>0</v>
          </cell>
          <cell r="O24">
            <v>0</v>
          </cell>
          <cell r="P24">
            <v>0</v>
          </cell>
          <cell r="S24">
            <v>0</v>
          </cell>
          <cell r="T24">
            <v>0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B25" t="str">
            <v>кг</v>
          </cell>
          <cell r="C25">
            <v>261.262</v>
          </cell>
          <cell r="D25">
            <v>755.27599999999995</v>
          </cell>
          <cell r="E25">
            <v>677.04399999999998</v>
          </cell>
          <cell r="F25">
            <v>223.86600000000001</v>
          </cell>
          <cell r="G25">
            <v>1</v>
          </cell>
          <cell r="H25">
            <v>70</v>
          </cell>
          <cell r="I25" t="str">
            <v>матрица</v>
          </cell>
          <cell r="K25">
            <v>657.17499999999995</v>
          </cell>
          <cell r="L25">
            <v>19.869000000000028</v>
          </cell>
          <cell r="O25">
            <v>266.16336999999999</v>
          </cell>
          <cell r="P25">
            <v>168.095434584</v>
          </cell>
          <cell r="Q25">
            <v>253.19638141600001</v>
          </cell>
          <cell r="S25">
            <v>211.38951400000019</v>
          </cell>
          <cell r="T25">
            <v>135.40879999999999</v>
          </cell>
          <cell r="U25">
            <v>434.49049999999966</v>
          </cell>
          <cell r="V25">
            <v>620</v>
          </cell>
          <cell r="W25" t="str">
            <v>промо</v>
          </cell>
        </row>
        <row r="26">
          <cell r="A26" t="str">
            <v xml:space="preserve"> 244  Колбаса Сервелат Кремлевский, ВЕС. ПОКОМ</v>
          </cell>
          <cell r="B26" t="str">
            <v>кг</v>
          </cell>
          <cell r="C26">
            <v>198.89699999999999</v>
          </cell>
          <cell r="E26">
            <v>56.347999999999999</v>
          </cell>
          <cell r="F26">
            <v>125.279</v>
          </cell>
          <cell r="G26">
            <v>1</v>
          </cell>
          <cell r="H26">
            <v>40</v>
          </cell>
          <cell r="I26" t="str">
            <v>матрица</v>
          </cell>
          <cell r="K26">
            <v>58.45</v>
          </cell>
          <cell r="L26">
            <v>-2.1020000000000039</v>
          </cell>
          <cell r="O26">
            <v>43.43865999999997</v>
          </cell>
          <cell r="P26">
            <v>27.605140000000031</v>
          </cell>
          <cell r="S26">
            <v>0</v>
          </cell>
          <cell r="T26">
            <v>11.269600000000001</v>
          </cell>
          <cell r="V26">
            <v>60</v>
          </cell>
        </row>
        <row r="27">
          <cell r="A27" t="str">
            <v xml:space="preserve"> 247  Сардельки Нежные, ВЕС.  ПОКОМ</v>
          </cell>
          <cell r="B27" t="str">
            <v>кг</v>
          </cell>
          <cell r="C27">
            <v>263.00900000000001</v>
          </cell>
          <cell r="D27">
            <v>187.03399999999999</v>
          </cell>
          <cell r="E27">
            <v>278.303</v>
          </cell>
          <cell r="F27">
            <v>103.979</v>
          </cell>
          <cell r="G27">
            <v>1</v>
          </cell>
          <cell r="H27">
            <v>30</v>
          </cell>
          <cell r="I27" t="str">
            <v>матрица</v>
          </cell>
          <cell r="K27">
            <v>268.25</v>
          </cell>
          <cell r="L27">
            <v>10.052999999999997</v>
          </cell>
          <cell r="O27">
            <v>45.380360000000003</v>
          </cell>
          <cell r="P27">
            <v>44.83272528000002</v>
          </cell>
          <cell r="Q27">
            <v>67.529994720000033</v>
          </cell>
          <cell r="S27">
            <v>165.20831999999999</v>
          </cell>
          <cell r="T27">
            <v>55.660600000000002</v>
          </cell>
          <cell r="U27">
            <v>213.16649999999998</v>
          </cell>
        </row>
        <row r="28">
          <cell r="A28" t="str">
            <v xml:space="preserve"> 248  Сардельки Сочные ТМ Особый рецепт,   ПОКОМ</v>
          </cell>
          <cell r="B28" t="str">
            <v>кг</v>
          </cell>
          <cell r="C28">
            <v>193.66399999999999</v>
          </cell>
          <cell r="D28">
            <v>98.554000000000002</v>
          </cell>
          <cell r="E28">
            <v>203.76900000000001</v>
          </cell>
          <cell r="F28">
            <v>47.567</v>
          </cell>
          <cell r="G28">
            <v>1</v>
          </cell>
          <cell r="H28">
            <v>40</v>
          </cell>
          <cell r="I28" t="str">
            <v>НЕДОГРУЗ / матрица</v>
          </cell>
          <cell r="K28">
            <v>200.7</v>
          </cell>
          <cell r="L28">
            <v>3.0690000000000168</v>
          </cell>
          <cell r="O28">
            <v>87.108980000000145</v>
          </cell>
          <cell r="P28">
            <v>60.721408019999963</v>
          </cell>
          <cell r="Q28">
            <v>91.462571979999922</v>
          </cell>
          <cell r="S28">
            <v>28.729640000000021</v>
          </cell>
          <cell r="T28">
            <v>40.753799999999998</v>
          </cell>
          <cell r="U28">
            <v>153.07909999999993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B29" t="str">
            <v>кг</v>
          </cell>
          <cell r="C29">
            <v>930.70399999999995</v>
          </cell>
          <cell r="D29">
            <v>889.66800000000001</v>
          </cell>
          <cell r="E29">
            <v>1191.088</v>
          </cell>
          <cell r="F29">
            <v>242.20400000000001</v>
          </cell>
          <cell r="G29">
            <v>1</v>
          </cell>
          <cell r="H29">
            <v>30</v>
          </cell>
          <cell r="I29" t="str">
            <v>НЕДОГРУЗ / матрица</v>
          </cell>
          <cell r="K29">
            <v>1235.3499999999999</v>
          </cell>
          <cell r="L29">
            <v>-44.261999999999944</v>
          </cell>
          <cell r="O29">
            <v>441.44283999999948</v>
          </cell>
          <cell r="P29">
            <v>345.36804951600033</v>
          </cell>
          <cell r="Q29">
            <v>520.21603448400026</v>
          </cell>
          <cell r="S29">
            <v>249.75496399999989</v>
          </cell>
          <cell r="T29">
            <v>238.2176</v>
          </cell>
          <cell r="U29">
            <v>940.51651199999992</v>
          </cell>
        </row>
        <row r="30">
          <cell r="A30" t="str">
            <v xml:space="preserve"> 255  Сосиски Молочные для завтрака ТМ Особый рецепт, п/а МГС, ВЕС, ТМ Стародворье  ПОКОМ</v>
          </cell>
          <cell r="B30" t="str">
            <v>кг</v>
          </cell>
          <cell r="C30">
            <v>1275.8789999999999</v>
          </cell>
          <cell r="D30">
            <v>1441.0719999999999</v>
          </cell>
          <cell r="E30">
            <v>1880.018</v>
          </cell>
          <cell r="F30">
            <v>461.93799999999999</v>
          </cell>
          <cell r="G30">
            <v>1</v>
          </cell>
          <cell r="H30">
            <v>40</v>
          </cell>
          <cell r="I30" t="str">
            <v>матрица</v>
          </cell>
          <cell r="K30">
            <v>1763.2</v>
          </cell>
          <cell r="L30">
            <v>116.81799999999998</v>
          </cell>
          <cell r="O30">
            <v>317.93592999999998</v>
          </cell>
          <cell r="P30">
            <v>560.12652771600028</v>
          </cell>
          <cell r="Q30">
            <v>843.69935628400026</v>
          </cell>
          <cell r="S30">
            <v>631.89380599999959</v>
          </cell>
          <cell r="T30">
            <v>376.00360000000001</v>
          </cell>
          <cell r="U30">
            <v>1508.44778</v>
          </cell>
        </row>
        <row r="31">
          <cell r="A31" t="str">
            <v xml:space="preserve"> 257  Сосиски Молочные оригинальные ТМ Особый рецепт, ВЕС.   ПОКОМ</v>
          </cell>
          <cell r="B31" t="str">
            <v>кг</v>
          </cell>
          <cell r="G31">
            <v>0</v>
          </cell>
          <cell r="I31" t="str">
            <v>матрица</v>
          </cell>
          <cell r="L31">
            <v>0</v>
          </cell>
          <cell r="O31">
            <v>0</v>
          </cell>
          <cell r="P31">
            <v>0</v>
          </cell>
          <cell r="S31">
            <v>0</v>
          </cell>
          <cell r="T31">
            <v>0</v>
          </cell>
        </row>
        <row r="32">
          <cell r="A32" t="str">
            <v xml:space="preserve"> 263  Шпикачки Стародворские, ВЕС.  ПОКОМ</v>
          </cell>
          <cell r="B32" t="str">
            <v>кг</v>
          </cell>
          <cell r="C32">
            <v>72.463999999999999</v>
          </cell>
          <cell r="D32">
            <v>193.898</v>
          </cell>
          <cell r="E32">
            <v>211.232</v>
          </cell>
          <cell r="F32">
            <v>6.6950000000000003</v>
          </cell>
          <cell r="G32">
            <v>1</v>
          </cell>
          <cell r="H32">
            <v>30</v>
          </cell>
          <cell r="I32" t="str">
            <v>НЕДОГРУЗ / матрица</v>
          </cell>
          <cell r="K32">
            <v>220.4</v>
          </cell>
          <cell r="L32">
            <v>-9.1680000000000064</v>
          </cell>
          <cell r="O32">
            <v>119.4489490000003</v>
          </cell>
          <cell r="P32">
            <v>91.407149400000037</v>
          </cell>
          <cell r="Q32">
            <v>137.68345059999999</v>
          </cell>
          <cell r="S32">
            <v>0</v>
          </cell>
          <cell r="T32">
            <v>42.246400000000001</v>
          </cell>
          <cell r="U32">
            <v>130.59905099999969</v>
          </cell>
        </row>
        <row r="33">
          <cell r="A33" t="str">
            <v xml:space="preserve"> 265  Колбаса Балыкбургская, ВЕС, ТМ Баварушка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O33">
            <v>0</v>
          </cell>
          <cell r="P33">
            <v>0</v>
          </cell>
          <cell r="S33">
            <v>0</v>
          </cell>
          <cell r="T33">
            <v>0</v>
          </cell>
        </row>
        <row r="34">
          <cell r="A34" t="str">
            <v xml:space="preserve"> 267  Колбаса Салями Филейбургская зернистая, оболочка фиброуз, ВЕС, ТМ Баварушка  ПОКОМ</v>
          </cell>
          <cell r="B34" t="str">
            <v>кг</v>
          </cell>
          <cell r="G34">
            <v>0</v>
          </cell>
          <cell r="I34" t="str">
            <v>матрица</v>
          </cell>
          <cell r="L34">
            <v>0</v>
          </cell>
          <cell r="O34">
            <v>0</v>
          </cell>
          <cell r="P34">
            <v>0</v>
          </cell>
          <cell r="S34">
            <v>0</v>
          </cell>
          <cell r="T34">
            <v>0</v>
          </cell>
        </row>
        <row r="35">
          <cell r="A35" t="str">
            <v xml:space="preserve"> 273  Сосиски Сочинки с сочной грудинкой, МГС 0.4кг,   ПОКОМ</v>
          </cell>
          <cell r="B35" t="str">
            <v>шт</v>
          </cell>
          <cell r="C35">
            <v>3130</v>
          </cell>
          <cell r="D35">
            <v>3675</v>
          </cell>
          <cell r="E35">
            <v>5074</v>
          </cell>
          <cell r="F35">
            <v>543</v>
          </cell>
          <cell r="G35">
            <v>0.4</v>
          </cell>
          <cell r="H35">
            <v>45</v>
          </cell>
          <cell r="I35" t="str">
            <v>НЕДОГРУЗ / матрица</v>
          </cell>
          <cell r="K35">
            <v>5151</v>
          </cell>
          <cell r="L35">
            <v>-77</v>
          </cell>
          <cell r="O35">
            <v>2337.751999999999</v>
          </cell>
          <cell r="P35">
            <v>1323.897162</v>
          </cell>
          <cell r="Q35">
            <v>1994.140838</v>
          </cell>
          <cell r="S35">
            <v>1550.4820000000011</v>
          </cell>
          <cell r="T35">
            <v>1014.8</v>
          </cell>
          <cell r="U35">
            <v>3920.9279999999981</v>
          </cell>
        </row>
        <row r="36">
          <cell r="A36" t="str">
            <v xml:space="preserve"> 276  Колбаса Сливушка ТМ Вязанка в оболочке полиамид 0,45 кг  ПОКОМ</v>
          </cell>
          <cell r="B36" t="str">
            <v>шт</v>
          </cell>
          <cell r="C36">
            <v>526</v>
          </cell>
          <cell r="D36">
            <v>19</v>
          </cell>
          <cell r="E36">
            <v>534</v>
          </cell>
          <cell r="F36">
            <v>2</v>
          </cell>
          <cell r="G36">
            <v>0.45</v>
          </cell>
          <cell r="H36">
            <v>50</v>
          </cell>
          <cell r="I36" t="str">
            <v>матрица</v>
          </cell>
          <cell r="K36">
            <v>557</v>
          </cell>
          <cell r="L36">
            <v>-23</v>
          </cell>
          <cell r="O36">
            <v>350.5150000000001</v>
          </cell>
          <cell r="P36">
            <v>152.47306199999991</v>
          </cell>
          <cell r="Q36">
            <v>229.66493799999989</v>
          </cell>
          <cell r="S36">
            <v>221.54700000000011</v>
          </cell>
          <cell r="T36">
            <v>106.8</v>
          </cell>
          <cell r="U36">
            <v>272</v>
          </cell>
        </row>
        <row r="37">
          <cell r="A37" t="str">
            <v xml:space="preserve"> 278  Сосиски Сочинки с сочным окороком, МГС 0.4кг,   ПОКОМ</v>
          </cell>
          <cell r="B37" t="str">
            <v>шт</v>
          </cell>
          <cell r="C37">
            <v>744</v>
          </cell>
          <cell r="D37">
            <v>460</v>
          </cell>
          <cell r="E37">
            <v>912</v>
          </cell>
          <cell r="F37">
            <v>105</v>
          </cell>
          <cell r="G37">
            <v>0.4</v>
          </cell>
          <cell r="H37">
            <v>45</v>
          </cell>
          <cell r="I37" t="str">
            <v>матрица</v>
          </cell>
          <cell r="K37">
            <v>930</v>
          </cell>
          <cell r="L37">
            <v>-18</v>
          </cell>
          <cell r="O37">
            <v>386.3700000000004</v>
          </cell>
          <cell r="P37">
            <v>262.45422000000002</v>
          </cell>
          <cell r="Q37">
            <v>395.32578000000001</v>
          </cell>
          <cell r="S37">
            <v>400.56999999999948</v>
          </cell>
          <cell r="T37">
            <v>182.4</v>
          </cell>
          <cell r="U37">
            <v>547.88000000000011</v>
          </cell>
        </row>
        <row r="38">
          <cell r="A38" t="str">
            <v xml:space="preserve"> 281  Сосиски Молочные для завтрака ТМ Особый рецепт, 0,4кг  ПОКОМ</v>
          </cell>
          <cell r="B38" t="str">
            <v>шт</v>
          </cell>
          <cell r="C38">
            <v>15</v>
          </cell>
          <cell r="D38">
            <v>12</v>
          </cell>
          <cell r="E38">
            <v>24</v>
          </cell>
          <cell r="F38">
            <v>3</v>
          </cell>
          <cell r="G38">
            <v>0.4</v>
          </cell>
          <cell r="H38">
            <v>40</v>
          </cell>
          <cell r="I38" t="str">
            <v>матрица</v>
          </cell>
          <cell r="K38">
            <v>30</v>
          </cell>
          <cell r="L38">
            <v>-6</v>
          </cell>
          <cell r="O38">
            <v>9.2200000000000042</v>
          </cell>
          <cell r="P38">
            <v>9.8799999999999955</v>
          </cell>
          <cell r="S38">
            <v>6</v>
          </cell>
          <cell r="T38">
            <v>4.8</v>
          </cell>
          <cell r="U38">
            <v>27.099999999999994</v>
          </cell>
        </row>
        <row r="39">
          <cell r="A39" t="str">
            <v xml:space="preserve"> 283  Сосиски Сочинки, ВЕС, ТМ Стародворье ПОКОМ</v>
          </cell>
          <cell r="B39" t="str">
            <v>кг</v>
          </cell>
          <cell r="C39">
            <v>170.87200000000001</v>
          </cell>
          <cell r="D39">
            <v>8.5</v>
          </cell>
          <cell r="E39">
            <v>136.447</v>
          </cell>
          <cell r="F39">
            <v>30.553000000000001</v>
          </cell>
          <cell r="G39">
            <v>1</v>
          </cell>
          <cell r="H39">
            <v>45</v>
          </cell>
          <cell r="I39" t="str">
            <v>НЕДОГРУЗ / матрица</v>
          </cell>
          <cell r="K39">
            <v>123.8</v>
          </cell>
          <cell r="L39">
            <v>12.647000000000006</v>
          </cell>
          <cell r="O39">
            <v>0</v>
          </cell>
          <cell r="P39">
            <v>54.667029900000031</v>
          </cell>
          <cell r="Q39">
            <v>82.343070100000048</v>
          </cell>
          <cell r="S39">
            <v>72.540599999999955</v>
          </cell>
          <cell r="T39">
            <v>27.289400000000001</v>
          </cell>
          <cell r="U39">
            <v>73.72439999999996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B40" t="str">
            <v>шт</v>
          </cell>
          <cell r="C40">
            <v>233</v>
          </cell>
          <cell r="D40">
            <v>360</v>
          </cell>
          <cell r="E40">
            <v>364</v>
          </cell>
          <cell r="F40">
            <v>163</v>
          </cell>
          <cell r="G40">
            <v>0.1</v>
          </cell>
          <cell r="H40">
            <v>731</v>
          </cell>
          <cell r="I40" t="str">
            <v>матрица</v>
          </cell>
          <cell r="K40">
            <v>365</v>
          </cell>
          <cell r="L40">
            <v>-1</v>
          </cell>
          <cell r="O40">
            <v>126.6600000000002</v>
          </cell>
          <cell r="P40">
            <v>123.533592</v>
          </cell>
          <cell r="Q40">
            <v>186.07440800000001</v>
          </cell>
          <cell r="S40">
            <v>120.33199999999979</v>
          </cell>
          <cell r="T40">
            <v>72.8</v>
          </cell>
          <cell r="U40">
            <v>117.60000000000002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B41" t="str">
            <v>шт</v>
          </cell>
          <cell r="C41">
            <v>251</v>
          </cell>
          <cell r="E41">
            <v>235</v>
          </cell>
          <cell r="F41">
            <v>12</v>
          </cell>
          <cell r="G41">
            <v>0.35</v>
          </cell>
          <cell r="H41">
            <v>40</v>
          </cell>
          <cell r="I41" t="str">
            <v>!!! / НЕДОГРУЗ / матрица</v>
          </cell>
          <cell r="K41">
            <v>417</v>
          </cell>
          <cell r="L41">
            <v>-182</v>
          </cell>
          <cell r="O41">
            <v>0</v>
          </cell>
          <cell r="P41">
            <v>176.32607999999999</v>
          </cell>
          <cell r="Q41">
            <v>265.59392000000003</v>
          </cell>
          <cell r="S41">
            <v>443.62799999999999</v>
          </cell>
          <cell r="T41">
            <v>47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B42" t="str">
            <v>кг</v>
          </cell>
          <cell r="C42">
            <v>93.721999999999994</v>
          </cell>
          <cell r="D42">
            <v>131.11500000000001</v>
          </cell>
          <cell r="E42">
            <v>108.61199999999999</v>
          </cell>
          <cell r="F42">
            <v>84.177000000000007</v>
          </cell>
          <cell r="G42">
            <v>1</v>
          </cell>
          <cell r="H42">
            <v>40</v>
          </cell>
          <cell r="I42" t="str">
            <v>матрица</v>
          </cell>
          <cell r="K42">
            <v>117.67</v>
          </cell>
          <cell r="L42">
            <v>-9.0580000000000069</v>
          </cell>
          <cell r="O42">
            <v>47.680370000000103</v>
          </cell>
          <cell r="P42">
            <v>35.551329999999957</v>
          </cell>
          <cell r="S42">
            <v>100</v>
          </cell>
          <cell r="T42">
            <v>21.7224</v>
          </cell>
          <cell r="V42">
            <v>150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B43" t="str">
            <v>шт</v>
          </cell>
          <cell r="C43">
            <v>264</v>
          </cell>
          <cell r="D43">
            <v>300</v>
          </cell>
          <cell r="E43">
            <v>467</v>
          </cell>
          <cell r="F43">
            <v>-17</v>
          </cell>
          <cell r="G43">
            <v>0.4</v>
          </cell>
          <cell r="H43">
            <v>40</v>
          </cell>
          <cell r="I43" t="str">
            <v>НЕДОГРУЗ / матрица</v>
          </cell>
          <cell r="K43">
            <v>474</v>
          </cell>
          <cell r="L43">
            <v>-7</v>
          </cell>
          <cell r="O43">
            <v>0</v>
          </cell>
          <cell r="P43">
            <v>70.709999999999951</v>
          </cell>
          <cell r="S43">
            <v>593.59400000000005</v>
          </cell>
          <cell r="T43">
            <v>93.4</v>
          </cell>
          <cell r="U43">
            <v>426.79600000000016</v>
          </cell>
        </row>
        <row r="44">
          <cell r="A44" t="str">
            <v xml:space="preserve"> 302  Сосиски Сочинки по-баварски,  0.4кг, ТМ Стародворье  ПОКОМ</v>
          </cell>
          <cell r="B44" t="str">
            <v>шт</v>
          </cell>
          <cell r="C44">
            <v>75</v>
          </cell>
          <cell r="D44">
            <v>393</v>
          </cell>
          <cell r="E44">
            <v>358</v>
          </cell>
          <cell r="F44">
            <v>36</v>
          </cell>
          <cell r="G44">
            <v>0.4</v>
          </cell>
          <cell r="H44">
            <v>45</v>
          </cell>
          <cell r="I44" t="str">
            <v>НЕДОГРУЗ / матрица</v>
          </cell>
          <cell r="K44">
            <v>455</v>
          </cell>
          <cell r="L44">
            <v>-97</v>
          </cell>
          <cell r="O44">
            <v>99.870000000000076</v>
          </cell>
          <cell r="P44">
            <v>75.579377999999963</v>
          </cell>
          <cell r="Q44">
            <v>113.84262199999991</v>
          </cell>
          <cell r="S44">
            <v>230.40800000000019</v>
          </cell>
          <cell r="T44">
            <v>71.599999999999994</v>
          </cell>
          <cell r="U44">
            <v>267.69999999999982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B45" t="str">
            <v>кг</v>
          </cell>
          <cell r="C45">
            <v>428.94499999999999</v>
          </cell>
          <cell r="D45">
            <v>73.834000000000003</v>
          </cell>
          <cell r="E45">
            <v>279.42599999999999</v>
          </cell>
          <cell r="F45">
            <v>149.23099999999999</v>
          </cell>
          <cell r="G45">
            <v>1</v>
          </cell>
          <cell r="H45">
            <v>40</v>
          </cell>
          <cell r="I45" t="str">
            <v>НЕДОГРУЗ / матрица</v>
          </cell>
          <cell r="K45">
            <v>284.12</v>
          </cell>
          <cell r="L45">
            <v>-4.6940000000000168</v>
          </cell>
          <cell r="O45">
            <v>111.11937999999989</v>
          </cell>
          <cell r="P45">
            <v>84.999504660000014</v>
          </cell>
          <cell r="Q45">
            <v>128.03183533999999</v>
          </cell>
          <cell r="S45">
            <v>116.23638</v>
          </cell>
          <cell r="T45">
            <v>55.885199999999998</v>
          </cell>
          <cell r="U45">
            <v>53.061700000000172</v>
          </cell>
          <cell r="V45">
            <v>300</v>
          </cell>
          <cell r="W45" t="str">
            <v>промо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  <cell r="B46" t="str">
            <v>шт</v>
          </cell>
          <cell r="C46">
            <v>12</v>
          </cell>
          <cell r="D46">
            <v>2</v>
          </cell>
          <cell r="E46">
            <v>5</v>
          </cell>
          <cell r="F46">
            <v>-1</v>
          </cell>
          <cell r="G46">
            <v>0.35</v>
          </cell>
          <cell r="H46">
            <v>40</v>
          </cell>
          <cell r="I46" t="str">
            <v>НЕДОГРУЗ / матрица</v>
          </cell>
          <cell r="K46">
            <v>499</v>
          </cell>
          <cell r="L46">
            <v>-494</v>
          </cell>
          <cell r="O46">
            <v>640.88000000000011</v>
          </cell>
          <cell r="P46">
            <v>631.03286400000002</v>
          </cell>
          <cell r="Q46">
            <v>950.50313600000004</v>
          </cell>
          <cell r="S46">
            <v>0</v>
          </cell>
          <cell r="T46">
            <v>1</v>
          </cell>
          <cell r="V46">
            <v>350</v>
          </cell>
        </row>
        <row r="47">
          <cell r="A47" t="str">
            <v xml:space="preserve"> 309  Сосиски Сочинки с сыром 0,4 кг ТМ Стародворье  ПОКОМ</v>
          </cell>
          <cell r="B47" t="str">
            <v>шт</v>
          </cell>
          <cell r="C47">
            <v>190</v>
          </cell>
          <cell r="D47">
            <v>704</v>
          </cell>
          <cell r="E47">
            <v>605</v>
          </cell>
          <cell r="F47">
            <v>102</v>
          </cell>
          <cell r="G47">
            <v>0.4</v>
          </cell>
          <cell r="H47">
            <v>40</v>
          </cell>
          <cell r="I47" t="str">
            <v>матрица</v>
          </cell>
          <cell r="K47">
            <v>679</v>
          </cell>
          <cell r="L47">
            <v>-74</v>
          </cell>
          <cell r="O47">
            <v>356.11000000000041</v>
          </cell>
          <cell r="P47">
            <v>183.77381399999999</v>
          </cell>
          <cell r="Q47">
            <v>276.81218599999988</v>
          </cell>
          <cell r="S47">
            <v>0</v>
          </cell>
          <cell r="T47">
            <v>121</v>
          </cell>
          <cell r="U47">
            <v>472.80399999999963</v>
          </cell>
        </row>
        <row r="48">
          <cell r="A48" t="str">
            <v xml:space="preserve"> 312  Ветчина Филейская ВЕС ТМ  Вязанка ТС Столичная  ПОКОМ</v>
          </cell>
          <cell r="B48" t="str">
            <v>кг</v>
          </cell>
          <cell r="C48">
            <v>444.18200000000002</v>
          </cell>
          <cell r="D48">
            <v>583.82600000000002</v>
          </cell>
          <cell r="E48">
            <v>654.59</v>
          </cell>
          <cell r="F48">
            <v>257.17500000000001</v>
          </cell>
          <cell r="G48">
            <v>1</v>
          </cell>
          <cell r="H48">
            <v>50</v>
          </cell>
          <cell r="I48" t="str">
            <v>матрица</v>
          </cell>
          <cell r="K48">
            <v>638</v>
          </cell>
          <cell r="L48">
            <v>16.590000000000032</v>
          </cell>
          <cell r="O48">
            <v>0</v>
          </cell>
          <cell r="P48">
            <v>49.002199153592912</v>
          </cell>
          <cell r="Q48">
            <v>73.810330053406872</v>
          </cell>
          <cell r="S48">
            <v>609.392346793</v>
          </cell>
          <cell r="T48">
            <v>130.91800000000001</v>
          </cell>
          <cell r="U48">
            <v>516.17712400000028</v>
          </cell>
        </row>
        <row r="49">
          <cell r="A49" t="str">
            <v xml:space="preserve"> 315  Колбаса вареная Молокуша ТМ Вязанка ВЕС, ПОКОМ</v>
          </cell>
          <cell r="B49" t="str">
            <v>кг</v>
          </cell>
          <cell r="C49">
            <v>401.18299999999999</v>
          </cell>
          <cell r="D49">
            <v>751.21</v>
          </cell>
          <cell r="E49">
            <v>741.67200000000003</v>
          </cell>
          <cell r="F49">
            <v>284.27100000000002</v>
          </cell>
          <cell r="G49">
            <v>1</v>
          </cell>
          <cell r="H49">
            <v>50</v>
          </cell>
          <cell r="I49" t="str">
            <v>матрица</v>
          </cell>
          <cell r="K49">
            <v>732.25</v>
          </cell>
          <cell r="L49">
            <v>9.4220000000000255</v>
          </cell>
          <cell r="O49">
            <v>370.35132268299958</v>
          </cell>
          <cell r="P49">
            <v>109.35500091600009</v>
          </cell>
          <cell r="Q49">
            <v>164.71768308399999</v>
          </cell>
          <cell r="S49">
            <v>208.09389331700029</v>
          </cell>
          <cell r="T49">
            <v>148.33440000000002</v>
          </cell>
          <cell r="U49">
            <v>569.05670000000009</v>
          </cell>
          <cell r="V49">
            <v>730</v>
          </cell>
          <cell r="W49" t="str">
            <v>промо</v>
          </cell>
        </row>
        <row r="50">
          <cell r="A50" t="str">
            <v xml:space="preserve"> 318  Сосиски Датские ТМ Зареченские, ВЕС  ПОКОМ</v>
          </cell>
          <cell r="B50" t="str">
            <v>кг</v>
          </cell>
          <cell r="C50">
            <v>31.402000000000001</v>
          </cell>
          <cell r="E50">
            <v>10.25</v>
          </cell>
          <cell r="F50">
            <v>81.760999999999996</v>
          </cell>
          <cell r="G50">
            <v>1</v>
          </cell>
          <cell r="H50">
            <v>45</v>
          </cell>
          <cell r="I50" t="str">
            <v>!!! / НЕДОГРУЗ / матрица</v>
          </cell>
          <cell r="K50">
            <v>7.8</v>
          </cell>
          <cell r="L50">
            <v>2.4500000000000002</v>
          </cell>
          <cell r="O50">
            <v>0</v>
          </cell>
          <cell r="P50">
            <v>0</v>
          </cell>
          <cell r="S50">
            <v>0</v>
          </cell>
          <cell r="T50">
            <v>2.0499999999999998</v>
          </cell>
        </row>
        <row r="51">
          <cell r="A51" t="str">
            <v xml:space="preserve"> 319  Колбаса вареная Филейская ТМ Вязанка ТС Классическая, 0,45 кг. ПОКОМ</v>
          </cell>
          <cell r="B51" t="str">
            <v>шт</v>
          </cell>
          <cell r="C51">
            <v>211</v>
          </cell>
          <cell r="D51">
            <v>2</v>
          </cell>
          <cell r="E51">
            <v>168</v>
          </cell>
          <cell r="F51">
            <v>3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171</v>
          </cell>
          <cell r="L51">
            <v>-3</v>
          </cell>
          <cell r="O51">
            <v>0</v>
          </cell>
          <cell r="P51">
            <v>50.114399999999989</v>
          </cell>
          <cell r="Q51">
            <v>75.485599999999977</v>
          </cell>
          <cell r="S51">
            <v>77.700000000000045</v>
          </cell>
          <cell r="T51">
            <v>33.6</v>
          </cell>
          <cell r="U51">
            <v>180.10000000000002</v>
          </cell>
        </row>
        <row r="52">
          <cell r="A52" t="str">
            <v xml:space="preserve"> 322  Колбаса вареная Молокуша 0,45кг ТМ Вязанка  ПОКОМ</v>
          </cell>
          <cell r="B52" t="str">
            <v>шт</v>
          </cell>
          <cell r="C52">
            <v>395</v>
          </cell>
          <cell r="D52">
            <v>360</v>
          </cell>
          <cell r="E52">
            <v>643</v>
          </cell>
          <cell r="F52">
            <v>22</v>
          </cell>
          <cell r="G52">
            <v>0.45</v>
          </cell>
          <cell r="H52">
            <v>50</v>
          </cell>
          <cell r="I52" t="str">
            <v>матрица</v>
          </cell>
          <cell r="K52">
            <v>647</v>
          </cell>
          <cell r="L52">
            <v>-4</v>
          </cell>
          <cell r="O52">
            <v>242.69599999999991</v>
          </cell>
          <cell r="P52">
            <v>122.74437</v>
          </cell>
          <cell r="Q52">
            <v>184.88562999999999</v>
          </cell>
          <cell r="S52">
            <v>305.97000000000008</v>
          </cell>
          <cell r="T52">
            <v>128.6</v>
          </cell>
          <cell r="U52">
            <v>600.60399999999993</v>
          </cell>
        </row>
        <row r="53">
          <cell r="A53" t="str">
            <v xml:space="preserve"> 328  Сардельки Сочинки Стародворье ТМ  0,4 кг ПОКОМ</v>
          </cell>
          <cell r="B53" t="str">
            <v>шт</v>
          </cell>
          <cell r="C53">
            <v>44</v>
          </cell>
          <cell r="D53">
            <v>57</v>
          </cell>
          <cell r="E53">
            <v>61</v>
          </cell>
          <cell r="F53">
            <v>32</v>
          </cell>
          <cell r="G53">
            <v>0.4</v>
          </cell>
          <cell r="H53">
            <v>40</v>
          </cell>
          <cell r="I53" t="str">
            <v>матрица</v>
          </cell>
          <cell r="K53">
            <v>68</v>
          </cell>
          <cell r="L53">
            <v>-7</v>
          </cell>
          <cell r="O53">
            <v>0</v>
          </cell>
          <cell r="P53">
            <v>0</v>
          </cell>
          <cell r="S53">
            <v>15.89999999999999</v>
          </cell>
          <cell r="T53">
            <v>12.2</v>
          </cell>
          <cell r="U53">
            <v>80.2</v>
          </cell>
        </row>
        <row r="54">
          <cell r="A54" t="str">
            <v xml:space="preserve"> 329  Сардельки Сочинки с сыром Стародворье ТМ, 0,4 кг. ПОКОМ</v>
          </cell>
          <cell r="B54" t="str">
            <v>шт</v>
          </cell>
          <cell r="C54">
            <v>82</v>
          </cell>
          <cell r="D54">
            <v>19</v>
          </cell>
          <cell r="E54">
            <v>98</v>
          </cell>
          <cell r="F54">
            <v>-2</v>
          </cell>
          <cell r="G54">
            <v>0.4</v>
          </cell>
          <cell r="H54">
            <v>40</v>
          </cell>
          <cell r="I54" t="str">
            <v>матрица</v>
          </cell>
          <cell r="K54">
            <v>100</v>
          </cell>
          <cell r="L54">
            <v>-2</v>
          </cell>
          <cell r="O54">
            <v>56.960000000000029</v>
          </cell>
          <cell r="P54">
            <v>12.51999999999998</v>
          </cell>
          <cell r="S54">
            <v>59.019999999999982</v>
          </cell>
          <cell r="T54">
            <v>19.600000000000001</v>
          </cell>
          <cell r="U54">
            <v>98.9</v>
          </cell>
        </row>
        <row r="55">
          <cell r="A55" t="str">
            <v xml:space="preserve"> 330  Колбаса вареная Филейская ТМ Вязанка ТС Классическая ВЕС  ПОКОМ</v>
          </cell>
          <cell r="B55" t="str">
            <v>кг</v>
          </cell>
          <cell r="C55">
            <v>289.16199999999998</v>
          </cell>
          <cell r="D55">
            <v>916.05499999999995</v>
          </cell>
          <cell r="E55">
            <v>840.12699999999995</v>
          </cell>
          <cell r="F55">
            <v>270.76799999999997</v>
          </cell>
          <cell r="G55">
            <v>1</v>
          </cell>
          <cell r="H55">
            <v>50</v>
          </cell>
          <cell r="I55" t="str">
            <v>матрица</v>
          </cell>
          <cell r="K55">
            <v>834.26</v>
          </cell>
          <cell r="L55">
            <v>5.8669999999999618</v>
          </cell>
          <cell r="O55">
            <v>263.84597800000017</v>
          </cell>
          <cell r="P55">
            <v>379.05000000000013</v>
          </cell>
          <cell r="Q55">
            <v>570.94999999999993</v>
          </cell>
          <cell r="S55">
            <v>450</v>
          </cell>
          <cell r="T55">
            <v>168.02539999999999</v>
          </cell>
          <cell r="V55">
            <v>720</v>
          </cell>
          <cell r="W55" t="str">
            <v>промо</v>
          </cell>
        </row>
        <row r="56">
          <cell r="A56" t="str">
            <v xml:space="preserve"> 334  Паштет Любительский ТМ Стародворье ламистер 0,1 кг  ПОКОМ</v>
          </cell>
          <cell r="B56" t="str">
            <v>шт</v>
          </cell>
          <cell r="C56">
            <v>136</v>
          </cell>
          <cell r="D56">
            <v>440</v>
          </cell>
          <cell r="E56">
            <v>332</v>
          </cell>
          <cell r="F56">
            <v>200</v>
          </cell>
          <cell r="G56">
            <v>0.1</v>
          </cell>
          <cell r="H56">
            <v>731</v>
          </cell>
          <cell r="I56" t="str">
            <v>матрица</v>
          </cell>
          <cell r="K56">
            <v>263</v>
          </cell>
          <cell r="L56">
            <v>69</v>
          </cell>
          <cell r="O56">
            <v>81.120000000000047</v>
          </cell>
          <cell r="P56">
            <v>107.24321999999999</v>
          </cell>
          <cell r="Q56">
            <v>161.53677999999999</v>
          </cell>
          <cell r="S56">
            <v>136.1</v>
          </cell>
          <cell r="T56">
            <v>66.400000000000006</v>
          </cell>
          <cell r="U56">
            <v>77.599999999999909</v>
          </cell>
        </row>
        <row r="57">
          <cell r="A57" t="str">
            <v xml:space="preserve"> 335  Колбаса Сливушка ТМ Вязанка. ВЕС.  ПОКОМ </v>
          </cell>
          <cell r="B57" t="str">
            <v>кг</v>
          </cell>
          <cell r="C57">
            <v>698.971</v>
          </cell>
          <cell r="D57">
            <v>918.69399999999996</v>
          </cell>
          <cell r="E57">
            <v>1104.2370000000001</v>
          </cell>
          <cell r="F57">
            <v>336.97199999999998</v>
          </cell>
          <cell r="G57">
            <v>1</v>
          </cell>
          <cell r="H57">
            <v>50</v>
          </cell>
          <cell r="I57" t="str">
            <v>матрица</v>
          </cell>
          <cell r="K57">
            <v>1063.8</v>
          </cell>
          <cell r="L57">
            <v>40.437000000000126</v>
          </cell>
          <cell r="O57">
            <v>356.64641999999998</v>
          </cell>
          <cell r="P57">
            <v>180.2885920919999</v>
          </cell>
          <cell r="Q57">
            <v>271.56251590799991</v>
          </cell>
          <cell r="S57">
            <v>517.29930000000058</v>
          </cell>
          <cell r="T57">
            <v>220.84740000000002</v>
          </cell>
          <cell r="U57">
            <v>876.97627199999965</v>
          </cell>
          <cell r="V57">
            <v>950</v>
          </cell>
          <cell r="W57" t="str">
            <v>промо</v>
          </cell>
        </row>
        <row r="58">
          <cell r="A58" t="str">
            <v xml:space="preserve"> 336  Ветчина Сливушка с индейкой ТМ Вязанка. ВЕС  ПОКОМ</v>
          </cell>
          <cell r="B58" t="str">
            <v>кг</v>
          </cell>
          <cell r="C58">
            <v>94.257999999999996</v>
          </cell>
          <cell r="D58">
            <v>91.218000000000004</v>
          </cell>
          <cell r="E58">
            <v>76.864000000000004</v>
          </cell>
          <cell r="F58">
            <v>96.491</v>
          </cell>
          <cell r="G58">
            <v>1</v>
          </cell>
          <cell r="H58">
            <v>55</v>
          </cell>
          <cell r="I58" t="str">
            <v>матрица</v>
          </cell>
          <cell r="K58">
            <v>76.05</v>
          </cell>
          <cell r="L58">
            <v>0.81400000000000716</v>
          </cell>
          <cell r="O58">
            <v>16.70974</v>
          </cell>
          <cell r="P58">
            <v>38.134720000000023</v>
          </cell>
          <cell r="S58">
            <v>0</v>
          </cell>
          <cell r="T58">
            <v>15.372800000000002</v>
          </cell>
          <cell r="U58">
            <v>25.451740000000001</v>
          </cell>
        </row>
        <row r="59">
          <cell r="A59" t="str">
            <v xml:space="preserve"> 338  Паштет печеночный с морковью ТМ Стародворье ламистер 0,1 кг.  ПОКОМ</v>
          </cell>
          <cell r="B59" t="str">
            <v>шт</v>
          </cell>
          <cell r="C59">
            <v>279</v>
          </cell>
          <cell r="D59">
            <v>160</v>
          </cell>
          <cell r="E59">
            <v>209</v>
          </cell>
          <cell r="F59">
            <v>199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208</v>
          </cell>
          <cell r="L59">
            <v>1</v>
          </cell>
          <cell r="O59">
            <v>0</v>
          </cell>
          <cell r="P59">
            <v>45.21999999999997</v>
          </cell>
          <cell r="S59">
            <v>83.68</v>
          </cell>
          <cell r="T59">
            <v>41.8</v>
          </cell>
          <cell r="U59">
            <v>152.80000000000001</v>
          </cell>
        </row>
        <row r="60">
          <cell r="A60" t="str">
            <v xml:space="preserve"> 339  Колбаса вареная Филейская ТМ Вязанка ТС Классическая, 0,40 кг.  ПОКОМ</v>
          </cell>
          <cell r="B60" t="str">
            <v>шт</v>
          </cell>
          <cell r="C60">
            <v>431</v>
          </cell>
          <cell r="D60">
            <v>23</v>
          </cell>
          <cell r="E60">
            <v>409</v>
          </cell>
          <cell r="F60">
            <v>25</v>
          </cell>
          <cell r="G60">
            <v>0.4</v>
          </cell>
          <cell r="H60">
            <v>50</v>
          </cell>
          <cell r="I60" t="str">
            <v>ВНИМАНИЕ / матрица</v>
          </cell>
          <cell r="K60">
            <v>478</v>
          </cell>
          <cell r="L60">
            <v>-69</v>
          </cell>
          <cell r="O60">
            <v>0</v>
          </cell>
          <cell r="P60">
            <v>72.694608000000017</v>
          </cell>
          <cell r="Q60">
            <v>109.497392</v>
          </cell>
          <cell r="S60">
            <v>489.21600000000012</v>
          </cell>
          <cell r="T60">
            <v>81.8</v>
          </cell>
          <cell r="U60">
            <v>162.49199999999985</v>
          </cell>
        </row>
        <row r="61">
          <cell r="A61" t="str">
            <v xml:space="preserve"> 340  Сосиски Сочинки Молочные ТМ Стародворье, ВЕС ПОКОМ</v>
          </cell>
          <cell r="B61" t="str">
            <v>кг</v>
          </cell>
          <cell r="C61">
            <v>395.28800000000001</v>
          </cell>
          <cell r="D61">
            <v>363.255</v>
          </cell>
          <cell r="E61">
            <v>456.12599999999998</v>
          </cell>
          <cell r="F61">
            <v>184.48599999999999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475.5</v>
          </cell>
          <cell r="L61">
            <v>-19.374000000000024</v>
          </cell>
          <cell r="O61">
            <v>75.196870000000004</v>
          </cell>
          <cell r="P61">
            <v>43.515239249999993</v>
          </cell>
          <cell r="Q61">
            <v>65.545510749999991</v>
          </cell>
          <cell r="S61">
            <v>19.902679999999979</v>
          </cell>
          <cell r="T61">
            <v>91.225200000000001</v>
          </cell>
          <cell r="U61">
            <v>569.2183</v>
          </cell>
        </row>
        <row r="62">
          <cell r="A62" t="str">
            <v xml:space="preserve"> 341 Сосиски Сочинки Сливочные ТМ Стародворье ВЕС ПОКОМ</v>
          </cell>
          <cell r="B62" t="str">
            <v>кг</v>
          </cell>
          <cell r="C62">
            <v>419.048</v>
          </cell>
          <cell r="E62">
            <v>403.76400000000001</v>
          </cell>
          <cell r="F62">
            <v>2.5430000000000001</v>
          </cell>
          <cell r="G62">
            <v>1</v>
          </cell>
          <cell r="H62">
            <v>40</v>
          </cell>
          <cell r="I62" t="str">
            <v>матрица</v>
          </cell>
          <cell r="K62">
            <v>420.55</v>
          </cell>
          <cell r="L62">
            <v>-16.786000000000001</v>
          </cell>
          <cell r="O62">
            <v>167.79810000000009</v>
          </cell>
          <cell r="P62">
            <v>123.675762084</v>
          </cell>
          <cell r="Q62">
            <v>186.28855391600001</v>
          </cell>
          <cell r="S62">
            <v>450</v>
          </cell>
          <cell r="T62">
            <v>80.752800000000008</v>
          </cell>
          <cell r="V62">
            <v>320</v>
          </cell>
          <cell r="W62" t="str">
            <v>промо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661</v>
          </cell>
          <cell r="D63">
            <v>662</v>
          </cell>
          <cell r="E63">
            <v>911</v>
          </cell>
          <cell r="F63">
            <v>197</v>
          </cell>
          <cell r="G63">
            <v>0.4</v>
          </cell>
          <cell r="H63">
            <v>40</v>
          </cell>
          <cell r="I63" t="str">
            <v>матрица</v>
          </cell>
          <cell r="K63">
            <v>925</v>
          </cell>
          <cell r="L63">
            <v>-14</v>
          </cell>
          <cell r="O63">
            <v>298.31999999999988</v>
          </cell>
          <cell r="P63">
            <v>178.36656600000001</v>
          </cell>
          <cell r="Q63">
            <v>268.66743400000001</v>
          </cell>
          <cell r="S63">
            <v>285.23000000000008</v>
          </cell>
          <cell r="T63">
            <v>182.2</v>
          </cell>
          <cell r="U63">
            <v>867.71599999999989</v>
          </cell>
        </row>
        <row r="64">
          <cell r="A64" t="str">
            <v xml:space="preserve"> 343 Сосиски Сочинки Сливочные ТМ Стародворье  0,4 кг ПОКОМ</v>
          </cell>
          <cell r="B64" t="str">
            <v>шт</v>
          </cell>
          <cell r="C64">
            <v>445</v>
          </cell>
          <cell r="D64">
            <v>423</v>
          </cell>
          <cell r="E64">
            <v>650</v>
          </cell>
          <cell r="F64">
            <v>96</v>
          </cell>
          <cell r="G64">
            <v>0.4</v>
          </cell>
          <cell r="H64">
            <v>40</v>
          </cell>
          <cell r="I64" t="str">
            <v>НЕДОГРУЗ / матрица</v>
          </cell>
          <cell r="K64">
            <v>670</v>
          </cell>
          <cell r="L64">
            <v>-20</v>
          </cell>
          <cell r="O64">
            <v>99.18</v>
          </cell>
          <cell r="P64">
            <v>174.62873399999981</v>
          </cell>
          <cell r="Q64">
            <v>263.03726599999959</v>
          </cell>
          <cell r="S64">
            <v>370.71800000000059</v>
          </cell>
          <cell r="T64">
            <v>130</v>
          </cell>
          <cell r="U64">
            <v>491.43600000000015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408.26100000000002</v>
          </cell>
          <cell r="D65">
            <v>19.143000000000001</v>
          </cell>
          <cell r="E65">
            <v>414.214</v>
          </cell>
          <cell r="F65">
            <v>8.68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441.37</v>
          </cell>
          <cell r="L65">
            <v>-27.156000000000006</v>
          </cell>
          <cell r="O65">
            <v>50</v>
          </cell>
          <cell r="P65">
            <v>244.28141707200001</v>
          </cell>
          <cell r="Q65">
            <v>367.95271092799987</v>
          </cell>
          <cell r="S65">
            <v>370.28394800000018</v>
          </cell>
          <cell r="T65">
            <v>82.842799999999997</v>
          </cell>
          <cell r="V65">
            <v>400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C66">
            <v>-8.5000000000000006E-2</v>
          </cell>
          <cell r="D66">
            <v>226.345</v>
          </cell>
          <cell r="E66">
            <v>212.63399999999999</v>
          </cell>
          <cell r="F66">
            <v>-2.157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247.375</v>
          </cell>
          <cell r="L66">
            <v>-34.741000000000014</v>
          </cell>
          <cell r="O66">
            <v>251.41919999999999</v>
          </cell>
          <cell r="P66">
            <v>100</v>
          </cell>
          <cell r="S66">
            <v>100</v>
          </cell>
          <cell r="T66">
            <v>42.526799999999994</v>
          </cell>
          <cell r="U66">
            <v>39.79599999999995</v>
          </cell>
          <cell r="V66">
            <v>300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-7.4999999999999997E-2</v>
          </cell>
          <cell r="E67">
            <v>-0.90200000000000002</v>
          </cell>
          <cell r="F67">
            <v>-7.4999999999999997E-2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8.0500000000000007</v>
          </cell>
          <cell r="L67">
            <v>-8.952</v>
          </cell>
          <cell r="O67">
            <v>300</v>
          </cell>
          <cell r="P67">
            <v>159.6</v>
          </cell>
          <cell r="Q67">
            <v>240.4</v>
          </cell>
          <cell r="S67">
            <v>150</v>
          </cell>
          <cell r="T67">
            <v>-0.1804</v>
          </cell>
          <cell r="V67">
            <v>330</v>
          </cell>
          <cell r="W67" t="str">
            <v>промо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C68">
            <v>16.067</v>
          </cell>
          <cell r="D68">
            <v>16.347999999999999</v>
          </cell>
          <cell r="E68">
            <v>28.346</v>
          </cell>
          <cell r="F68">
            <v>0.745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94.3</v>
          </cell>
          <cell r="L68">
            <v>-65.953999999999994</v>
          </cell>
          <cell r="O68">
            <v>13.82489999999998</v>
          </cell>
          <cell r="P68">
            <v>63.84</v>
          </cell>
          <cell r="Q68">
            <v>96.16</v>
          </cell>
          <cell r="S68">
            <v>100</v>
          </cell>
          <cell r="T68">
            <v>5.6692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B69" t="str">
            <v>шт</v>
          </cell>
          <cell r="D69">
            <v>8</v>
          </cell>
          <cell r="E69">
            <v>6</v>
          </cell>
          <cell r="F69">
            <v>1</v>
          </cell>
          <cell r="G69">
            <v>0.6</v>
          </cell>
          <cell r="H69">
            <v>70</v>
          </cell>
          <cell r="I69" t="str">
            <v>матрица</v>
          </cell>
          <cell r="K69">
            <v>16</v>
          </cell>
          <cell r="L69">
            <v>-10</v>
          </cell>
          <cell r="O69">
            <v>1.52</v>
          </cell>
          <cell r="P69">
            <v>30.28</v>
          </cell>
          <cell r="S69">
            <v>4.0000000000000044</v>
          </cell>
          <cell r="T69">
            <v>1.2</v>
          </cell>
        </row>
        <row r="70">
          <cell r="A70" t="str">
            <v xml:space="preserve"> 364  Сардельки Филейские Вязанка ВЕС NDX ТМ Вязанка  ПОКОМ</v>
          </cell>
          <cell r="B70" t="str">
            <v>кг</v>
          </cell>
          <cell r="C70">
            <v>161.71700000000001</v>
          </cell>
          <cell r="D70">
            <v>37.665999999999997</v>
          </cell>
          <cell r="E70">
            <v>154.93600000000001</v>
          </cell>
          <cell r="F70">
            <v>-0.57399999999999995</v>
          </cell>
          <cell r="G70">
            <v>1</v>
          </cell>
          <cell r="H70">
            <v>30</v>
          </cell>
          <cell r="I70" t="str">
            <v>матрица</v>
          </cell>
          <cell r="K70">
            <v>188.3</v>
          </cell>
          <cell r="L70">
            <v>-33.364000000000004</v>
          </cell>
          <cell r="O70">
            <v>37.811599999999999</v>
          </cell>
          <cell r="P70">
            <v>88.609200000000016</v>
          </cell>
          <cell r="S70">
            <v>61.694099999999978</v>
          </cell>
          <cell r="T70">
            <v>30.987200000000001</v>
          </cell>
          <cell r="U70">
            <v>168.81190000000001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B71" t="str">
            <v>шт</v>
          </cell>
          <cell r="C71">
            <v>91</v>
          </cell>
          <cell r="D71">
            <v>106</v>
          </cell>
          <cell r="E71">
            <v>161</v>
          </cell>
          <cell r="F71">
            <v>-7</v>
          </cell>
          <cell r="G71">
            <v>0.6</v>
          </cell>
          <cell r="H71">
            <v>60</v>
          </cell>
          <cell r="I71" t="str">
            <v>матрица</v>
          </cell>
          <cell r="K71">
            <v>177</v>
          </cell>
          <cell r="L71">
            <v>-16</v>
          </cell>
          <cell r="O71">
            <v>135.55799999999999</v>
          </cell>
          <cell r="P71">
            <v>12.400000000000031</v>
          </cell>
          <cell r="S71">
            <v>83.341999999999985</v>
          </cell>
          <cell r="T71">
            <v>32.200000000000003</v>
          </cell>
          <cell r="U71">
            <v>146</v>
          </cell>
        </row>
        <row r="72">
          <cell r="A72" t="str">
            <v xml:space="preserve"> 377  Колбаса Молочная Дугушка 0,6кг ТМ Стародворье  ПОКОМ</v>
          </cell>
          <cell r="B72" t="str">
            <v>шт</v>
          </cell>
          <cell r="C72">
            <v>31</v>
          </cell>
          <cell r="D72">
            <v>32</v>
          </cell>
          <cell r="E72">
            <v>43</v>
          </cell>
          <cell r="F72">
            <v>13</v>
          </cell>
          <cell r="G72">
            <v>0.6</v>
          </cell>
          <cell r="H72">
            <v>60</v>
          </cell>
          <cell r="I72" t="str">
            <v>матрица</v>
          </cell>
          <cell r="K72">
            <v>50</v>
          </cell>
          <cell r="L72">
            <v>-7</v>
          </cell>
          <cell r="O72">
            <v>68.38000000000001</v>
          </cell>
          <cell r="P72">
            <v>3.6199999999999899</v>
          </cell>
          <cell r="S72">
            <v>0</v>
          </cell>
          <cell r="T72">
            <v>8.6</v>
          </cell>
          <cell r="U72">
            <v>13.899999999999991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B73" t="str">
            <v>шт</v>
          </cell>
          <cell r="C73">
            <v>33</v>
          </cell>
          <cell r="D73">
            <v>112</v>
          </cell>
          <cell r="E73">
            <v>130</v>
          </cell>
          <cell r="G73">
            <v>0.4</v>
          </cell>
          <cell r="H73">
            <v>90</v>
          </cell>
          <cell r="I73" t="str">
            <v>матрица</v>
          </cell>
          <cell r="K73">
            <v>164</v>
          </cell>
          <cell r="L73">
            <v>-34</v>
          </cell>
          <cell r="O73">
            <v>96.70999999999998</v>
          </cell>
          <cell r="P73">
            <v>41.63</v>
          </cell>
          <cell r="S73">
            <v>9.4600000000000364</v>
          </cell>
          <cell r="T73">
            <v>26</v>
          </cell>
          <cell r="U73">
            <v>151.19999999999999</v>
          </cell>
        </row>
        <row r="74">
          <cell r="A74" t="str">
            <v xml:space="preserve"> 388  Сосиски Восточные Халяль ТМ Вязанка 0,33 кг АК. ПОКОМ</v>
          </cell>
          <cell r="B74" t="str">
            <v>шт</v>
          </cell>
          <cell r="C74">
            <v>152</v>
          </cell>
          <cell r="D74">
            <v>96</v>
          </cell>
          <cell r="E74">
            <v>152</v>
          </cell>
          <cell r="F74">
            <v>76</v>
          </cell>
          <cell r="G74">
            <v>0.33</v>
          </cell>
          <cell r="H74">
            <v>60</v>
          </cell>
          <cell r="I74" t="str">
            <v>НЕДОГРУЗ / матрица</v>
          </cell>
          <cell r="K74">
            <v>153</v>
          </cell>
          <cell r="L74">
            <v>-1</v>
          </cell>
          <cell r="O74">
            <v>0</v>
          </cell>
          <cell r="P74">
            <v>42.884519999999981</v>
          </cell>
          <cell r="Q74">
            <v>64.595479999999981</v>
          </cell>
          <cell r="S74">
            <v>116.72</v>
          </cell>
          <cell r="T74">
            <v>30.4</v>
          </cell>
          <cell r="U74">
            <v>49.400000000000006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B75" t="str">
            <v>шт</v>
          </cell>
          <cell r="C75">
            <v>33</v>
          </cell>
          <cell r="D75">
            <v>128</v>
          </cell>
          <cell r="E75">
            <v>112</v>
          </cell>
          <cell r="F75">
            <v>40</v>
          </cell>
          <cell r="G75">
            <v>0.35</v>
          </cell>
          <cell r="H75">
            <v>90</v>
          </cell>
          <cell r="I75" t="str">
            <v>матрица</v>
          </cell>
          <cell r="K75">
            <v>112</v>
          </cell>
          <cell r="L75">
            <v>0</v>
          </cell>
          <cell r="O75">
            <v>0</v>
          </cell>
          <cell r="P75">
            <v>58.645020000000017</v>
          </cell>
          <cell r="Q75">
            <v>88.334980000000002</v>
          </cell>
          <cell r="S75">
            <v>8</v>
          </cell>
          <cell r="T75">
            <v>22.4</v>
          </cell>
          <cell r="U75">
            <v>62.619999999999948</v>
          </cell>
        </row>
        <row r="76">
          <cell r="A76" t="str">
            <v xml:space="preserve"> 395  Колбаса Докторская ГОСТ ТМ Вязанка в оболочке полиамид 0,37 кг. ПОКОМ</v>
          </cell>
          <cell r="B76" t="str">
            <v>шт</v>
          </cell>
          <cell r="C76">
            <v>328</v>
          </cell>
          <cell r="D76">
            <v>291</v>
          </cell>
          <cell r="E76">
            <v>398</v>
          </cell>
          <cell r="F76">
            <v>156</v>
          </cell>
          <cell r="G76">
            <v>0.37</v>
          </cell>
          <cell r="H76">
            <v>50</v>
          </cell>
          <cell r="I76" t="str">
            <v>матрица</v>
          </cell>
          <cell r="K76">
            <v>403</v>
          </cell>
          <cell r="L76">
            <v>-5</v>
          </cell>
          <cell r="O76">
            <v>198.30999999999969</v>
          </cell>
          <cell r="P76">
            <v>56.318849999999998</v>
          </cell>
          <cell r="Q76">
            <v>84.83114999999998</v>
          </cell>
          <cell r="S76">
            <v>77.74000000000035</v>
          </cell>
          <cell r="T76">
            <v>79.599999999999994</v>
          </cell>
          <cell r="U76">
            <v>342.19999999999993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C77">
            <v>174</v>
          </cell>
          <cell r="D77">
            <v>40</v>
          </cell>
          <cell r="E77">
            <v>130</v>
          </cell>
          <cell r="F77">
            <v>28</v>
          </cell>
          <cell r="G77">
            <v>0.6</v>
          </cell>
          <cell r="H77">
            <v>70</v>
          </cell>
          <cell r="I77" t="str">
            <v>матрица</v>
          </cell>
          <cell r="K77">
            <v>154</v>
          </cell>
          <cell r="L77">
            <v>-24</v>
          </cell>
          <cell r="O77">
            <v>77.929999999999922</v>
          </cell>
          <cell r="P77">
            <v>77.174580000000006</v>
          </cell>
          <cell r="Q77">
            <v>116.24542</v>
          </cell>
          <cell r="S77">
            <v>0</v>
          </cell>
          <cell r="T77">
            <v>26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45</v>
          </cell>
          <cell r="D78">
            <v>48</v>
          </cell>
          <cell r="E78">
            <v>48</v>
          </cell>
          <cell r="F78">
            <v>42</v>
          </cell>
          <cell r="G78">
            <v>0.33</v>
          </cell>
          <cell r="H78">
            <v>40</v>
          </cell>
          <cell r="I78" t="str">
            <v>матрица</v>
          </cell>
          <cell r="K78">
            <v>52</v>
          </cell>
          <cell r="L78">
            <v>-4</v>
          </cell>
          <cell r="O78">
            <v>0</v>
          </cell>
          <cell r="P78">
            <v>6</v>
          </cell>
          <cell r="S78">
            <v>7</v>
          </cell>
          <cell r="T78">
            <v>9.6</v>
          </cell>
          <cell r="U78">
            <v>55.399999999999991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C79">
            <v>142</v>
          </cell>
          <cell r="D79">
            <v>156</v>
          </cell>
          <cell r="E79">
            <v>317</v>
          </cell>
          <cell r="F79">
            <v>-21</v>
          </cell>
          <cell r="G79">
            <v>0.4</v>
          </cell>
          <cell r="H79">
            <v>55</v>
          </cell>
          <cell r="I79" t="str">
            <v>НЕДОГРУЗ / матрица</v>
          </cell>
          <cell r="K79">
            <v>358</v>
          </cell>
          <cell r="L79">
            <v>-41</v>
          </cell>
          <cell r="O79">
            <v>294.74000000000012</v>
          </cell>
          <cell r="P79">
            <v>77.439515999999927</v>
          </cell>
          <cell r="Q79">
            <v>116.64448399999991</v>
          </cell>
          <cell r="S79">
            <v>249.57599999999999</v>
          </cell>
          <cell r="T79">
            <v>63.4</v>
          </cell>
          <cell r="U79">
            <v>11.700000000000045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12</v>
          </cell>
          <cell r="D80">
            <v>12</v>
          </cell>
          <cell r="E80">
            <v>14</v>
          </cell>
          <cell r="F80">
            <v>7</v>
          </cell>
          <cell r="G80">
            <v>0.35</v>
          </cell>
          <cell r="H80">
            <v>40</v>
          </cell>
          <cell r="I80" t="str">
            <v>НЕДОГРУЗ / матрица</v>
          </cell>
          <cell r="K80">
            <v>14</v>
          </cell>
          <cell r="L80">
            <v>0</v>
          </cell>
          <cell r="O80">
            <v>15.2</v>
          </cell>
          <cell r="P80">
            <v>0</v>
          </cell>
          <cell r="S80">
            <v>0</v>
          </cell>
          <cell r="T80">
            <v>2.8</v>
          </cell>
          <cell r="U80">
            <v>9.9999999999999964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6</v>
          </cell>
          <cell r="E81">
            <v>6</v>
          </cell>
          <cell r="G81">
            <v>0.35</v>
          </cell>
          <cell r="H81">
            <v>45</v>
          </cell>
          <cell r="I81" t="str">
            <v>НЕДОГРУЗ / матрица</v>
          </cell>
          <cell r="K81">
            <v>63</v>
          </cell>
          <cell r="L81">
            <v>-57</v>
          </cell>
          <cell r="O81">
            <v>45.6</v>
          </cell>
          <cell r="P81">
            <v>47.000000000000007</v>
          </cell>
          <cell r="S81">
            <v>0</v>
          </cell>
          <cell r="T81">
            <v>1.2</v>
          </cell>
          <cell r="V81">
            <v>50</v>
          </cell>
          <cell r="W81" t="str">
            <v>проомо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C82">
            <v>210</v>
          </cell>
          <cell r="D82">
            <v>90</v>
          </cell>
          <cell r="E82">
            <v>183</v>
          </cell>
          <cell r="F82">
            <v>116</v>
          </cell>
          <cell r="G82">
            <v>0.4</v>
          </cell>
          <cell r="H82">
            <v>55</v>
          </cell>
          <cell r="I82" t="str">
            <v>матрица</v>
          </cell>
          <cell r="K82">
            <v>185</v>
          </cell>
          <cell r="L82">
            <v>-2</v>
          </cell>
          <cell r="O82">
            <v>0</v>
          </cell>
          <cell r="P82">
            <v>0</v>
          </cell>
          <cell r="S82">
            <v>201.6</v>
          </cell>
          <cell r="T82">
            <v>36.6</v>
          </cell>
          <cell r="U82">
            <v>103.30000000000004</v>
          </cell>
        </row>
        <row r="83">
          <cell r="A83" t="str">
            <v xml:space="preserve"> 433 Колбаса Стародворская со шпиком  в оболочке полиамид. ТМ Стародворье ВЕС ПОКОМ</v>
          </cell>
          <cell r="B83" t="str">
            <v>кг</v>
          </cell>
          <cell r="C83">
            <v>61.170999999999999</v>
          </cell>
          <cell r="E83">
            <v>2.8690000000000002</v>
          </cell>
          <cell r="F83">
            <v>55.387</v>
          </cell>
          <cell r="G83">
            <v>1</v>
          </cell>
          <cell r="H83">
            <v>55</v>
          </cell>
          <cell r="I83" t="str">
            <v>матрица</v>
          </cell>
          <cell r="K83">
            <v>2.6</v>
          </cell>
          <cell r="L83">
            <v>0.26900000000000013</v>
          </cell>
          <cell r="O83">
            <v>0</v>
          </cell>
          <cell r="P83">
            <v>0</v>
          </cell>
          <cell r="S83">
            <v>0</v>
          </cell>
          <cell r="T83">
            <v>0.57380000000000009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C84">
            <v>152.245</v>
          </cell>
          <cell r="D84">
            <v>241.24799999999999</v>
          </cell>
          <cell r="E84">
            <v>116.94499999999999</v>
          </cell>
          <cell r="F84">
            <v>10.032999999999999</v>
          </cell>
          <cell r="G84">
            <v>1</v>
          </cell>
          <cell r="H84">
            <v>55</v>
          </cell>
          <cell r="I84" t="str">
            <v>матрица</v>
          </cell>
          <cell r="K84">
            <v>112.45</v>
          </cell>
          <cell r="L84">
            <v>4.4949999999999903</v>
          </cell>
          <cell r="O84">
            <v>67.224829999999997</v>
          </cell>
          <cell r="P84">
            <v>40.291370000000001</v>
          </cell>
          <cell r="S84">
            <v>43.56219999999999</v>
          </cell>
          <cell r="T84">
            <v>23.388999999999999</v>
          </cell>
          <cell r="U84">
            <v>107.86210000000001</v>
          </cell>
        </row>
        <row r="85">
          <cell r="A85" t="str">
            <v xml:space="preserve"> 449  Колбаса Дугушка Стародворская ВЕС ТС Дугушка ПОКОМ</v>
          </cell>
          <cell r="B85" t="str">
            <v>кг</v>
          </cell>
          <cell r="C85">
            <v>388.89400000000001</v>
          </cell>
          <cell r="D85">
            <v>909</v>
          </cell>
          <cell r="E85">
            <v>695.96799999999996</v>
          </cell>
          <cell r="F85">
            <v>404.92700000000002</v>
          </cell>
          <cell r="G85">
            <v>1</v>
          </cell>
          <cell r="H85">
            <v>60</v>
          </cell>
          <cell r="I85" t="str">
            <v>матрица</v>
          </cell>
          <cell r="K85">
            <v>702.83799999999997</v>
          </cell>
          <cell r="L85">
            <v>-6.8700000000000045</v>
          </cell>
          <cell r="O85">
            <v>138.46079</v>
          </cell>
          <cell r="P85">
            <v>138.14871435915029</v>
          </cell>
          <cell r="Q85">
            <v>208.08866498709111</v>
          </cell>
          <cell r="S85">
            <v>263.88603065375878</v>
          </cell>
          <cell r="T85">
            <v>139.1936</v>
          </cell>
          <cell r="U85">
            <v>447.21519999999987</v>
          </cell>
          <cell r="V85">
            <v>530</v>
          </cell>
          <cell r="W85" t="str">
            <v>промо</v>
          </cell>
        </row>
        <row r="86">
          <cell r="A86" t="str">
            <v xml:space="preserve"> 451 Сосиски Филейские ТМ Вязанка в оболочке целлофан 0,3 кг. ПОКОМ</v>
          </cell>
          <cell r="B86" t="str">
            <v>шт</v>
          </cell>
          <cell r="G86">
            <v>0</v>
          </cell>
          <cell r="I86" t="str">
            <v>матрица</v>
          </cell>
          <cell r="L86">
            <v>0</v>
          </cell>
          <cell r="O86">
            <v>0</v>
          </cell>
          <cell r="P86">
            <v>0</v>
          </cell>
          <cell r="S86">
            <v>0</v>
          </cell>
          <cell r="T86">
            <v>0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B87" t="str">
            <v>кг</v>
          </cell>
          <cell r="C87">
            <v>522.26499999999999</v>
          </cell>
          <cell r="D87">
            <v>2649.6239999999998</v>
          </cell>
          <cell r="E87">
            <v>2468.98</v>
          </cell>
          <cell r="F87">
            <v>204.20400000000001</v>
          </cell>
          <cell r="G87">
            <v>1</v>
          </cell>
          <cell r="H87">
            <v>60</v>
          </cell>
          <cell r="I87" t="str">
            <v>матрица</v>
          </cell>
          <cell r="K87">
            <v>2690.5</v>
          </cell>
          <cell r="L87">
            <v>-221.51999999999998</v>
          </cell>
          <cell r="O87">
            <v>1590.57431</v>
          </cell>
          <cell r="P87">
            <v>746.6900212380001</v>
          </cell>
          <cell r="Q87">
            <v>1124.7135407620001</v>
          </cell>
          <cell r="S87">
            <v>450</v>
          </cell>
          <cell r="T87">
            <v>493.79599999999999</v>
          </cell>
          <cell r="U87">
            <v>1562.4721279999997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B88" t="str">
            <v>кг</v>
          </cell>
          <cell r="C88">
            <v>1816.8579999999999</v>
          </cell>
          <cell r="D88">
            <v>830.87800000000004</v>
          </cell>
          <cell r="E88">
            <v>1875.5119999999999</v>
          </cell>
          <cell r="F88">
            <v>310.06799999999998</v>
          </cell>
          <cell r="G88">
            <v>1</v>
          </cell>
          <cell r="H88">
            <v>60</v>
          </cell>
          <cell r="I88" t="str">
            <v>матрица</v>
          </cell>
          <cell r="K88">
            <v>1891.8</v>
          </cell>
          <cell r="L88">
            <v>-16.288000000000011</v>
          </cell>
          <cell r="O88">
            <v>872.44684000000052</v>
          </cell>
          <cell r="P88">
            <v>397.5824288099999</v>
          </cell>
          <cell r="Q88">
            <v>598.86476118999974</v>
          </cell>
          <cell r="S88">
            <v>380</v>
          </cell>
          <cell r="T88">
            <v>375.10239999999999</v>
          </cell>
          <cell r="U88">
            <v>1754.7155700000001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B89" t="str">
            <v>кг</v>
          </cell>
          <cell r="C89">
            <v>1149.3979999999999</v>
          </cell>
          <cell r="D89">
            <v>3415.5590000000002</v>
          </cell>
          <cell r="E89">
            <v>3086.0459999999998</v>
          </cell>
          <cell r="F89">
            <v>805.77700000000004</v>
          </cell>
          <cell r="G89">
            <v>1</v>
          </cell>
          <cell r="H89">
            <v>60</v>
          </cell>
          <cell r="I89" t="str">
            <v>матрица</v>
          </cell>
          <cell r="K89">
            <v>3117.2</v>
          </cell>
          <cell r="L89">
            <v>-31.153999999999996</v>
          </cell>
          <cell r="O89">
            <v>1354.5647799999999</v>
          </cell>
          <cell r="P89">
            <v>629.60101419600016</v>
          </cell>
          <cell r="Q89">
            <v>948.3463898040003</v>
          </cell>
          <cell r="S89">
            <v>966.84486000000015</v>
          </cell>
          <cell r="T89">
            <v>617.20920000000001</v>
          </cell>
          <cell r="U89">
            <v>2392.7717560000001</v>
          </cell>
        </row>
        <row r="90">
          <cell r="A90" t="str">
            <v xml:space="preserve"> 460  Колбаса Стародворская Традиционная ВЕС ТМ Стародворье в оболочке полиамид. ПОКОМ</v>
          </cell>
          <cell r="B90" t="str">
            <v>кг</v>
          </cell>
          <cell r="C90">
            <v>81.599999999999994</v>
          </cell>
          <cell r="D90">
            <v>21.565000000000001</v>
          </cell>
          <cell r="E90">
            <v>68.432000000000002</v>
          </cell>
          <cell r="F90">
            <v>11.827</v>
          </cell>
          <cell r="G90">
            <v>1</v>
          </cell>
          <cell r="H90">
            <v>55</v>
          </cell>
          <cell r="I90" t="str">
            <v>НЕДОГРУЗ / матрица</v>
          </cell>
          <cell r="K90">
            <v>85.5</v>
          </cell>
          <cell r="L90">
            <v>-17.067999999999998</v>
          </cell>
          <cell r="O90">
            <v>0</v>
          </cell>
          <cell r="P90">
            <v>0</v>
          </cell>
          <cell r="S90">
            <v>95.287800000000004</v>
          </cell>
          <cell r="T90">
            <v>13.686400000000001</v>
          </cell>
          <cell r="U90">
            <v>50.278800000000018</v>
          </cell>
        </row>
        <row r="91">
          <cell r="A91" t="str">
            <v xml:space="preserve"> 498  Колбаса Сочинка рубленая с сочным окороком 0,3кг ТМ Стародворье  ПОКОМ</v>
          </cell>
          <cell r="B91" t="str">
            <v>шт</v>
          </cell>
          <cell r="C91">
            <v>9</v>
          </cell>
          <cell r="E91">
            <v>8</v>
          </cell>
          <cell r="F91">
            <v>1</v>
          </cell>
          <cell r="G91">
            <v>0.3</v>
          </cell>
          <cell r="H91">
            <v>40</v>
          </cell>
          <cell r="I91" t="str">
            <v>НЕДОГРУЗ / матрица</v>
          </cell>
          <cell r="K91">
            <v>29</v>
          </cell>
          <cell r="L91">
            <v>-21</v>
          </cell>
          <cell r="O91">
            <v>12.09</v>
          </cell>
          <cell r="P91">
            <v>80</v>
          </cell>
          <cell r="S91">
            <v>0</v>
          </cell>
          <cell r="T91">
            <v>1.6</v>
          </cell>
          <cell r="V91">
            <v>80</v>
          </cell>
        </row>
        <row r="92">
          <cell r="A92" t="str">
            <v xml:space="preserve"> 517  Сосиски С сыром ТМ Ядрена копоть 0,3кг  ПОКОМ</v>
          </cell>
          <cell r="B92" t="str">
            <v>шт</v>
          </cell>
          <cell r="C92">
            <v>317</v>
          </cell>
          <cell r="D92">
            <v>1</v>
          </cell>
          <cell r="E92">
            <v>57</v>
          </cell>
          <cell r="G92">
            <v>0.3</v>
          </cell>
          <cell r="H92">
            <v>40</v>
          </cell>
          <cell r="I92" t="str">
            <v>НЕДОГРУЗ / матрица</v>
          </cell>
          <cell r="K92">
            <v>64</v>
          </cell>
          <cell r="L92">
            <v>-7</v>
          </cell>
          <cell r="O92">
            <v>0</v>
          </cell>
          <cell r="P92">
            <v>46.2</v>
          </cell>
          <cell r="S92">
            <v>32.299999999999997</v>
          </cell>
          <cell r="T92">
            <v>11.4</v>
          </cell>
          <cell r="U92">
            <v>52.599999999999994</v>
          </cell>
        </row>
        <row r="93">
          <cell r="A93" t="str">
            <v xml:space="preserve"> 523  Колбаса Сальчичон нарезка 0,07кг ТМ Стародворье  ПОКОМ </v>
          </cell>
          <cell r="B93" t="str">
            <v>шт</v>
          </cell>
          <cell r="G93">
            <v>0</v>
          </cell>
          <cell r="I93" t="str">
            <v>НЕДОГРУЗ / матрица</v>
          </cell>
          <cell r="L93">
            <v>0</v>
          </cell>
          <cell r="O93">
            <v>0</v>
          </cell>
          <cell r="P93">
            <v>0</v>
          </cell>
          <cell r="S93">
            <v>0</v>
          </cell>
          <cell r="T93">
            <v>0</v>
          </cell>
        </row>
        <row r="94">
          <cell r="A94" t="str">
            <v xml:space="preserve"> 524  Колбаса Сервелат Ореховый нарезка 0,07кг ТМ Стародворье  ПОКОМ</v>
          </cell>
          <cell r="B94" t="str">
            <v>шт</v>
          </cell>
          <cell r="C94">
            <v>130</v>
          </cell>
          <cell r="E94">
            <v>129</v>
          </cell>
          <cell r="F94">
            <v>1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134</v>
          </cell>
          <cell r="L94">
            <v>-5</v>
          </cell>
          <cell r="O94">
            <v>0</v>
          </cell>
          <cell r="P94">
            <v>90.6</v>
          </cell>
          <cell r="S94">
            <v>198.9</v>
          </cell>
          <cell r="T94">
            <v>25.8</v>
          </cell>
          <cell r="U94">
            <v>6.1999999999999886</v>
          </cell>
          <cell r="V94">
            <v>70</v>
          </cell>
        </row>
        <row r="95">
          <cell r="A95" t="str">
            <v xml:space="preserve"> 525  Колбаса Фуэт нарезка 0,07кг ТМ Стародворье  ПОКОМ</v>
          </cell>
          <cell r="B95" t="str">
            <v>шт</v>
          </cell>
          <cell r="C95">
            <v>87</v>
          </cell>
          <cell r="D95">
            <v>56</v>
          </cell>
          <cell r="E95">
            <v>125</v>
          </cell>
          <cell r="F95">
            <v>1</v>
          </cell>
          <cell r="G95">
            <v>7.0000000000000007E-2</v>
          </cell>
          <cell r="H95">
            <v>90</v>
          </cell>
          <cell r="I95" t="str">
            <v>матрица</v>
          </cell>
          <cell r="K95">
            <v>143</v>
          </cell>
          <cell r="L95">
            <v>-18</v>
          </cell>
          <cell r="O95">
            <v>71.679999999999922</v>
          </cell>
          <cell r="P95">
            <v>60.516330000000004</v>
          </cell>
          <cell r="Q95">
            <v>91.153669999999991</v>
          </cell>
          <cell r="S95">
            <v>38.85000000000008</v>
          </cell>
          <cell r="T95">
            <v>25</v>
          </cell>
          <cell r="U95">
            <v>24.300000000000011</v>
          </cell>
          <cell r="V95">
            <v>70</v>
          </cell>
        </row>
        <row r="96">
          <cell r="A96" t="str">
            <v xml:space="preserve"> 526  Корейка вяленая выдержанная нарезка 0,05кг ТМ Стародворье  ПОКОМ</v>
          </cell>
          <cell r="B96" t="str">
            <v>шт</v>
          </cell>
          <cell r="E96">
            <v>-1</v>
          </cell>
          <cell r="F96">
            <v>-1</v>
          </cell>
          <cell r="G96">
            <v>0</v>
          </cell>
          <cell r="I96" t="str">
            <v>не в матрице</v>
          </cell>
          <cell r="L96">
            <v>-1</v>
          </cell>
          <cell r="T96">
            <v>-0.2</v>
          </cell>
        </row>
        <row r="97">
          <cell r="A97" t="str">
            <v xml:space="preserve"> 544  Сосиски Мясные для гриля ТС Ядрена копоть 0,3 кг  ПОКОМ</v>
          </cell>
          <cell r="B97" t="str">
            <v>шт</v>
          </cell>
          <cell r="C97">
            <v>39</v>
          </cell>
          <cell r="D97">
            <v>49</v>
          </cell>
          <cell r="E97">
            <v>79</v>
          </cell>
          <cell r="F97">
            <v>3</v>
          </cell>
          <cell r="G97">
            <v>0.3</v>
          </cell>
          <cell r="H97">
            <v>40</v>
          </cell>
          <cell r="I97" t="str">
            <v>матрица</v>
          </cell>
          <cell r="K97">
            <v>187</v>
          </cell>
          <cell r="L97">
            <v>-108</v>
          </cell>
          <cell r="O97">
            <v>248.9</v>
          </cell>
          <cell r="P97">
            <v>67.300000000000011</v>
          </cell>
          <cell r="S97">
            <v>70</v>
          </cell>
          <cell r="T97">
            <v>15.8</v>
          </cell>
        </row>
        <row r="98">
          <cell r="A98" t="str">
            <v xml:space="preserve"> 547  Колбаса Мясная Классическая ТМ Вязанка в оболочке полиамид. ВЕС  ПОКОМ</v>
          </cell>
          <cell r="B98" t="str">
            <v>кг</v>
          </cell>
          <cell r="C98">
            <v>5.5E-2</v>
          </cell>
          <cell r="E98">
            <v>27.762</v>
          </cell>
          <cell r="F98">
            <v>60.411999999999999</v>
          </cell>
          <cell r="G98">
            <v>0</v>
          </cell>
          <cell r="H98">
            <v>55</v>
          </cell>
          <cell r="I98" t="str">
            <v>вывод</v>
          </cell>
          <cell r="K98">
            <v>2.6</v>
          </cell>
          <cell r="L98">
            <v>25.161999999999999</v>
          </cell>
          <cell r="O98">
            <v>0</v>
          </cell>
          <cell r="P98">
            <v>0</v>
          </cell>
          <cell r="S98">
            <v>0</v>
          </cell>
          <cell r="T98">
            <v>5.5524000000000004</v>
          </cell>
        </row>
        <row r="99">
          <cell r="A99" t="str">
            <v xml:space="preserve"> 551  Колбаса Сливушка ТМ Вязанка в модифицированной газовой среде 0,11 кг нарезка  ПОКОМ</v>
          </cell>
          <cell r="B99" t="str">
            <v>шт</v>
          </cell>
          <cell r="G99">
            <v>0</v>
          </cell>
          <cell r="I99" t="str">
            <v>матрица</v>
          </cell>
          <cell r="L99">
            <v>0</v>
          </cell>
          <cell r="O99">
            <v>0</v>
          </cell>
          <cell r="P99">
            <v>0</v>
          </cell>
          <cell r="S99">
            <v>0</v>
          </cell>
          <cell r="T99">
            <v>0</v>
          </cell>
        </row>
        <row r="100">
          <cell r="A100" t="str">
            <v xml:space="preserve"> 552  Ветчина Сливушка с индейкой ТМ Вязанка в модифицированной газовой среде 0,1 кг нарезка  ПОКОМ</v>
          </cell>
          <cell r="B100" t="str">
            <v>шт</v>
          </cell>
          <cell r="G100">
            <v>0</v>
          </cell>
          <cell r="H100">
            <v>30</v>
          </cell>
          <cell r="I100" t="str">
            <v>матрица</v>
          </cell>
          <cell r="L100">
            <v>0</v>
          </cell>
          <cell r="O100">
            <v>0</v>
          </cell>
          <cell r="P100">
            <v>0</v>
          </cell>
          <cell r="S100">
            <v>0</v>
          </cell>
          <cell r="T100">
            <v>0</v>
          </cell>
        </row>
        <row r="101">
          <cell r="A101" t="str">
            <v xml:space="preserve"> 553  Ассорти колбас Мясорубская коллекция: Сервелат Делюкс, С балыком 0,08 кг нарезка  ПОКОМ</v>
          </cell>
          <cell r="B101" t="str">
            <v>шт</v>
          </cell>
          <cell r="C101">
            <v>37</v>
          </cell>
          <cell r="D101">
            <v>322</v>
          </cell>
          <cell r="E101">
            <v>199</v>
          </cell>
          <cell r="F101">
            <v>106</v>
          </cell>
          <cell r="G101">
            <v>0.08</v>
          </cell>
          <cell r="H101">
            <v>45</v>
          </cell>
          <cell r="I101" t="str">
            <v>матрица</v>
          </cell>
          <cell r="K101">
            <v>213</v>
          </cell>
          <cell r="L101">
            <v>-14</v>
          </cell>
          <cell r="O101">
            <v>172.41399999999999</v>
          </cell>
          <cell r="P101">
            <v>77.525700000000001</v>
          </cell>
          <cell r="Q101">
            <v>116.7743</v>
          </cell>
          <cell r="S101">
            <v>0</v>
          </cell>
          <cell r="T101">
            <v>39.799999999999997</v>
          </cell>
          <cell r="V101">
            <v>70</v>
          </cell>
        </row>
        <row r="102">
          <cell r="A102" t="str">
            <v xml:space="preserve"> 554  Колбаса Сервелат Мясорубский ТМ Стародворье в упаковке скин 0,08 кг нарезка  ПОКОМ</v>
          </cell>
          <cell r="B102" t="str">
            <v>шт</v>
          </cell>
          <cell r="C102">
            <v>105</v>
          </cell>
          <cell r="D102">
            <v>274</v>
          </cell>
          <cell r="E102">
            <v>203</v>
          </cell>
          <cell r="F102">
            <v>108</v>
          </cell>
          <cell r="G102">
            <v>0.08</v>
          </cell>
          <cell r="H102">
            <v>45</v>
          </cell>
          <cell r="I102" t="str">
            <v>матрица</v>
          </cell>
          <cell r="K102">
            <v>226</v>
          </cell>
          <cell r="L102">
            <v>-23</v>
          </cell>
          <cell r="O102">
            <v>42.56</v>
          </cell>
          <cell r="P102">
            <v>54.510582000000007</v>
          </cell>
          <cell r="Q102">
            <v>82.10741800000001</v>
          </cell>
          <cell r="S102">
            <v>74.822000000000003</v>
          </cell>
          <cell r="T102">
            <v>40.6</v>
          </cell>
          <cell r="U102">
            <v>104.90000000000003</v>
          </cell>
        </row>
        <row r="103">
          <cell r="A103" t="str">
            <v xml:space="preserve"> 555  Колбаса Молокуша ТМ Вязанка в модифицированной газовой среде 0,17 кг нарезка  ПОКОМ</v>
          </cell>
          <cell r="B103" t="str">
            <v>шт</v>
          </cell>
          <cell r="C103">
            <v>2</v>
          </cell>
          <cell r="D103">
            <v>11</v>
          </cell>
          <cell r="F103">
            <v>2</v>
          </cell>
          <cell r="G103">
            <v>0.17</v>
          </cell>
          <cell r="H103">
            <v>30</v>
          </cell>
          <cell r="I103" t="str">
            <v>НЕДОГРУЗ / матрица</v>
          </cell>
          <cell r="K103">
            <v>11</v>
          </cell>
          <cell r="L103">
            <v>-11</v>
          </cell>
          <cell r="O103">
            <v>43</v>
          </cell>
          <cell r="P103">
            <v>27.2</v>
          </cell>
          <cell r="S103">
            <v>0</v>
          </cell>
          <cell r="T103">
            <v>0</v>
          </cell>
        </row>
        <row r="104">
          <cell r="A104" t="str">
            <v xml:space="preserve"> 556  Колбаса Сервелат Ореховый ТМ Вязанка в оболочке фиброуз в вакуумной упаковке, ВЕС  ПОКОМ</v>
          </cell>
          <cell r="B104" t="str">
            <v>кг</v>
          </cell>
          <cell r="C104">
            <v>290.71699999999998</v>
          </cell>
          <cell r="D104">
            <v>1067.0260000000001</v>
          </cell>
          <cell r="E104">
            <v>937.19899999999996</v>
          </cell>
          <cell r="F104">
            <v>20.88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954.69200000000001</v>
          </cell>
          <cell r="L104">
            <v>-17.493000000000052</v>
          </cell>
          <cell r="O104">
            <v>0</v>
          </cell>
          <cell r="P104">
            <v>179.55</v>
          </cell>
          <cell r="Q104">
            <v>270.45</v>
          </cell>
          <cell r="S104">
            <v>606.13349600000015</v>
          </cell>
          <cell r="T104">
            <v>187.43979999999999</v>
          </cell>
          <cell r="U104">
            <v>1078.5442039999996</v>
          </cell>
        </row>
        <row r="105">
          <cell r="A105" t="str">
            <v xml:space="preserve"> 557  Колбаса Сервелат Финский ТМ Вязанка в оболочке фиброуз в вакуумной упаковке, ВЕС  ПОКОМ</v>
          </cell>
          <cell r="B105" t="str">
            <v>кг</v>
          </cell>
          <cell r="C105">
            <v>807.024</v>
          </cell>
          <cell r="D105">
            <v>1.4750000000000001</v>
          </cell>
          <cell r="E105">
            <v>802.87699999999995</v>
          </cell>
          <cell r="F105">
            <v>4.1470000000000002</v>
          </cell>
          <cell r="G105">
            <v>1</v>
          </cell>
          <cell r="H105">
            <v>40</v>
          </cell>
          <cell r="I105" t="str">
            <v>НЕДОГРУЗ / матрица</v>
          </cell>
          <cell r="K105">
            <v>942.5</v>
          </cell>
          <cell r="L105">
            <v>-139.62300000000005</v>
          </cell>
          <cell r="O105">
            <v>293.42634999999967</v>
          </cell>
          <cell r="P105">
            <v>427.70390758200023</v>
          </cell>
          <cell r="Q105">
            <v>644.23571041800017</v>
          </cell>
          <cell r="S105">
            <v>826.88114399999984</v>
          </cell>
          <cell r="T105">
            <v>160.5754</v>
          </cell>
          <cell r="V105">
            <v>300</v>
          </cell>
          <cell r="W105" t="str">
            <v>промо</v>
          </cell>
        </row>
        <row r="106">
          <cell r="A106" t="str">
            <v xml:space="preserve"> 558  Колбаса Балыковая НОВАЯ ВЕС Вязанка фиброуз в/у ПОКОМ</v>
          </cell>
          <cell r="B106" t="str">
            <v>кг</v>
          </cell>
          <cell r="C106">
            <v>5.0919999999999996</v>
          </cell>
          <cell r="D106">
            <v>89.591999999999999</v>
          </cell>
          <cell r="E106">
            <v>97.028000000000006</v>
          </cell>
          <cell r="F106">
            <v>-2.3439999999999999</v>
          </cell>
          <cell r="G106">
            <v>1</v>
          </cell>
          <cell r="H106">
            <v>40</v>
          </cell>
          <cell r="I106" t="str">
            <v>НЕДОГРУЗ / матрица</v>
          </cell>
          <cell r="K106">
            <v>320.8</v>
          </cell>
          <cell r="L106">
            <v>-223.77199999999999</v>
          </cell>
          <cell r="O106">
            <v>31.503849999999979</v>
          </cell>
          <cell r="P106">
            <v>219.45</v>
          </cell>
          <cell r="Q106">
            <v>330.55</v>
          </cell>
          <cell r="S106">
            <v>270</v>
          </cell>
          <cell r="T106">
            <v>19.4056</v>
          </cell>
          <cell r="V106">
            <v>340</v>
          </cell>
          <cell r="W106" t="str">
            <v>промо</v>
          </cell>
        </row>
        <row r="107">
          <cell r="A107" t="str">
            <v xml:space="preserve"> 564  Сосиски Сочные 0,3 кг ТМ Вязанка  ПОКОМ</v>
          </cell>
          <cell r="B107" t="str">
            <v>шт</v>
          </cell>
          <cell r="G107">
            <v>0</v>
          </cell>
          <cell r="I107" t="str">
            <v>матрица</v>
          </cell>
          <cell r="L107">
            <v>0</v>
          </cell>
          <cell r="O107">
            <v>0</v>
          </cell>
          <cell r="P107">
            <v>0</v>
          </cell>
          <cell r="S107">
            <v>0</v>
          </cell>
          <cell r="T107">
            <v>0</v>
          </cell>
        </row>
        <row r="108">
          <cell r="A108" t="str">
            <v xml:space="preserve"> 567 Колбаса Со шпиком Стародворская ТМ Стародворье в оболочке полиамид ВЕС  ПОКОМ</v>
          </cell>
          <cell r="B108" t="str">
            <v>кг</v>
          </cell>
          <cell r="C108">
            <v>56.558999999999997</v>
          </cell>
          <cell r="E108">
            <v>1.321</v>
          </cell>
          <cell r="F108">
            <v>52.481999999999999</v>
          </cell>
          <cell r="G108">
            <v>1</v>
          </cell>
          <cell r="H108">
            <v>55</v>
          </cell>
          <cell r="I108" t="str">
            <v>НЕДОГРУЗ / матрица</v>
          </cell>
          <cell r="K108">
            <v>1.3</v>
          </cell>
          <cell r="L108">
            <v>2.0999999999999908E-2</v>
          </cell>
          <cell r="O108">
            <v>0</v>
          </cell>
          <cell r="P108">
            <v>0</v>
          </cell>
          <cell r="S108">
            <v>0</v>
          </cell>
          <cell r="T108">
            <v>0.26419999999999999</v>
          </cell>
        </row>
        <row r="109">
          <cell r="A109" t="str">
            <v xml:space="preserve"> 569  Колбаса Балыковая ТМ Вязанка в оболочке фиброуз в вакуумной упаковке 0,28 кг срез.  ПОКОМ</v>
          </cell>
          <cell r="B109" t="str">
            <v>шт</v>
          </cell>
          <cell r="C109">
            <v>236</v>
          </cell>
          <cell r="D109">
            <v>6</v>
          </cell>
          <cell r="E109">
            <v>80</v>
          </cell>
          <cell r="F109">
            <v>147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481</v>
          </cell>
          <cell r="L109">
            <v>-401</v>
          </cell>
          <cell r="O109">
            <v>0</v>
          </cell>
          <cell r="P109">
            <v>110.13038400000001</v>
          </cell>
          <cell r="Q109">
            <v>165.885616</v>
          </cell>
          <cell r="S109">
            <v>242.68399999999991</v>
          </cell>
          <cell r="T109">
            <v>16</v>
          </cell>
        </row>
        <row r="110">
          <cell r="A110" t="str">
            <v xml:space="preserve"> 570  Колбаса Сервелат Финский ТМ Вязанка в оболочке фиброуз в вак. упаковке 0,28 кг срез  ПОКОМ</v>
          </cell>
          <cell r="B110" t="str">
            <v>шт</v>
          </cell>
          <cell r="G110">
            <v>0</v>
          </cell>
          <cell r="I110" t="str">
            <v>НЕДОГРУЗ / матрица</v>
          </cell>
          <cell r="L110">
            <v>0</v>
          </cell>
          <cell r="O110">
            <v>0</v>
          </cell>
          <cell r="P110">
            <v>0</v>
          </cell>
          <cell r="S110">
            <v>0</v>
          </cell>
          <cell r="T110">
            <v>0</v>
          </cell>
        </row>
        <row r="111">
          <cell r="A111" t="str">
            <v xml:space="preserve"> 571  Колбаса Сервелат Ореховый ТМ Вязанка в оболочке фиброуз в вак. упаковке 0,28 кг срез  ПОКОМ</v>
          </cell>
          <cell r="B111" t="str">
            <v>шт</v>
          </cell>
          <cell r="C111">
            <v>143</v>
          </cell>
          <cell r="D111">
            <v>4</v>
          </cell>
          <cell r="E111">
            <v>-6</v>
          </cell>
          <cell r="F111">
            <v>144</v>
          </cell>
          <cell r="G111">
            <v>0.28000000000000003</v>
          </cell>
          <cell r="H111">
            <v>40</v>
          </cell>
          <cell r="I111" t="str">
            <v>НЕДОГРУЗ / матрица</v>
          </cell>
          <cell r="K111">
            <v>563</v>
          </cell>
          <cell r="L111">
            <v>-569</v>
          </cell>
          <cell r="O111">
            <v>0</v>
          </cell>
          <cell r="P111">
            <v>84.163464000000019</v>
          </cell>
          <cell r="Q111">
            <v>126.772536</v>
          </cell>
          <cell r="S111">
            <v>100</v>
          </cell>
          <cell r="T111">
            <v>-1.2</v>
          </cell>
          <cell r="V111">
            <v>220</v>
          </cell>
        </row>
        <row r="112">
          <cell r="A112" t="str">
            <v xml:space="preserve"> 574  Колбаса Сервелат Финский ТМ Вязанка в упаковке скин 0,09 кг нарезка  ПОКОМ</v>
          </cell>
          <cell r="B112" t="str">
            <v>шт</v>
          </cell>
          <cell r="C112">
            <v>87</v>
          </cell>
          <cell r="D112">
            <v>90</v>
          </cell>
          <cell r="E112">
            <v>81</v>
          </cell>
          <cell r="F112">
            <v>78</v>
          </cell>
          <cell r="G112">
            <v>0.09</v>
          </cell>
          <cell r="I112" t="str">
            <v>матрица</v>
          </cell>
          <cell r="K112">
            <v>85</v>
          </cell>
          <cell r="L112">
            <v>-4</v>
          </cell>
          <cell r="O112">
            <v>57.847999999999971</v>
          </cell>
          <cell r="P112">
            <v>17.799999999999979</v>
          </cell>
          <cell r="S112">
            <v>0</v>
          </cell>
          <cell r="T112">
            <v>16.2</v>
          </cell>
          <cell r="U112">
            <v>32.652000000000029</v>
          </cell>
        </row>
        <row r="113">
          <cell r="A113" t="str">
            <v xml:space="preserve"> 579  Колбаса Ветчинно-рубленая ТМ Особый рецепт в оболочке полиамид.ВЕС  ПОКОМ</v>
          </cell>
          <cell r="B113" t="str">
            <v>кг</v>
          </cell>
          <cell r="C113">
            <v>361.80700000000002</v>
          </cell>
          <cell r="E113">
            <v>216.739</v>
          </cell>
          <cell r="F113">
            <v>135.11000000000001</v>
          </cell>
          <cell r="G113">
            <v>1</v>
          </cell>
          <cell r="H113">
            <v>60</v>
          </cell>
          <cell r="I113" t="str">
            <v>матрица</v>
          </cell>
          <cell r="K113">
            <v>215</v>
          </cell>
          <cell r="L113">
            <v>1.7390000000000043</v>
          </cell>
          <cell r="O113">
            <v>0</v>
          </cell>
          <cell r="P113">
            <v>0</v>
          </cell>
          <cell r="S113">
            <v>204.73699999999999</v>
          </cell>
          <cell r="T113">
            <v>43.347799999999999</v>
          </cell>
          <cell r="U113">
            <v>158.65269999999998</v>
          </cell>
        </row>
        <row r="114">
          <cell r="A114" t="str">
            <v xml:space="preserve"> 580  Ветчина Нежная с индейкой ТМ Особый рецепт в оболочке полиамид.ВЕС  ПОКОМ</v>
          </cell>
          <cell r="B114" t="str">
            <v>кг</v>
          </cell>
          <cell r="C114">
            <v>89.655000000000001</v>
          </cell>
          <cell r="F114">
            <v>89.655000000000001</v>
          </cell>
          <cell r="G114">
            <v>1</v>
          </cell>
          <cell r="H114">
            <v>50</v>
          </cell>
          <cell r="I114" t="str">
            <v>матрица</v>
          </cell>
          <cell r="K114">
            <v>15</v>
          </cell>
          <cell r="L114">
            <v>-15</v>
          </cell>
          <cell r="O114">
            <v>0</v>
          </cell>
          <cell r="P114">
            <v>0</v>
          </cell>
          <cell r="S114">
            <v>0</v>
          </cell>
          <cell r="T114">
            <v>0</v>
          </cell>
        </row>
        <row r="115">
          <cell r="A115" t="str">
            <v xml:space="preserve"> 583  Колбаса Балыковая ТМ Вязанка в упаковке скин 0,09 кг нарезка  ПОКОМ</v>
          </cell>
          <cell r="B115" t="str">
            <v>шт</v>
          </cell>
          <cell r="C115">
            <v>42</v>
          </cell>
          <cell r="D115">
            <v>80</v>
          </cell>
          <cell r="E115">
            <v>54</v>
          </cell>
          <cell r="F115">
            <v>49</v>
          </cell>
          <cell r="G115">
            <v>0.09</v>
          </cell>
          <cell r="I115" t="str">
            <v>НЕДОГРУЗ / матрица</v>
          </cell>
          <cell r="K115">
            <v>59</v>
          </cell>
          <cell r="L115">
            <v>-5</v>
          </cell>
          <cell r="O115">
            <v>0</v>
          </cell>
          <cell r="P115">
            <v>0</v>
          </cell>
          <cell r="S115">
            <v>16.8</v>
          </cell>
          <cell r="T115">
            <v>10.8</v>
          </cell>
          <cell r="U115">
            <v>58.400000000000006</v>
          </cell>
        </row>
        <row r="116">
          <cell r="A116" t="str">
            <v xml:space="preserve"> 584  Колбаса Сервелат Ореховый ТМ Вязанка в упаковке скин 0,09 кг нарезка  ПОКОМ</v>
          </cell>
          <cell r="B116" t="str">
            <v>шт</v>
          </cell>
          <cell r="G116">
            <v>0</v>
          </cell>
          <cell r="I116" t="str">
            <v>матрица</v>
          </cell>
          <cell r="K116">
            <v>1</v>
          </cell>
          <cell r="L116">
            <v>-1</v>
          </cell>
          <cell r="O116">
            <v>0</v>
          </cell>
          <cell r="P116">
            <v>0</v>
          </cell>
          <cell r="S116">
            <v>0</v>
          </cell>
          <cell r="T116">
            <v>0</v>
          </cell>
        </row>
        <row r="117">
          <cell r="A117" t="str">
            <v xml:space="preserve"> 585  Колбаса Молочная ТМ Стародворье в оболочке вектор НД ВЕС.  ПОКОМ</v>
          </cell>
          <cell r="B117" t="str">
            <v>кг</v>
          </cell>
          <cell r="C117">
            <v>312.94400000000002</v>
          </cell>
          <cell r="D117">
            <v>522.16499999999996</v>
          </cell>
          <cell r="E117">
            <v>487.93400000000003</v>
          </cell>
          <cell r="F117">
            <v>221.51599999999999</v>
          </cell>
          <cell r="G117">
            <v>1</v>
          </cell>
          <cell r="H117">
            <v>60</v>
          </cell>
          <cell r="I117" t="str">
            <v>НЕДОГРУЗ / матрица</v>
          </cell>
          <cell r="K117">
            <v>509.20800000000003</v>
          </cell>
          <cell r="L117">
            <v>-21.274000000000001</v>
          </cell>
          <cell r="O117">
            <v>0</v>
          </cell>
          <cell r="P117">
            <v>159.6</v>
          </cell>
          <cell r="Q117">
            <v>240.4</v>
          </cell>
          <cell r="S117">
            <v>106.8199</v>
          </cell>
          <cell r="T117">
            <v>97.586800000000011</v>
          </cell>
          <cell r="U117">
            <v>393.9123000000003</v>
          </cell>
        </row>
        <row r="118">
          <cell r="A118" t="str">
            <v xml:space="preserve"> 586  Колбаса Мясная ТМ Стародворье в оболочке вектор НД ВЕС.  ПОКОМ</v>
          </cell>
          <cell r="B118" t="str">
            <v>кг</v>
          </cell>
          <cell r="C118">
            <v>334.75799999999998</v>
          </cell>
          <cell r="D118">
            <v>661.20699999999999</v>
          </cell>
          <cell r="E118">
            <v>635.38699999999994</v>
          </cell>
          <cell r="F118">
            <v>226.09700000000001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616.58399999999995</v>
          </cell>
          <cell r="L118">
            <v>18.802999999999997</v>
          </cell>
          <cell r="O118">
            <v>0</v>
          </cell>
          <cell r="P118">
            <v>204.26588422800009</v>
          </cell>
          <cell r="Q118">
            <v>307.6786877720001</v>
          </cell>
          <cell r="S118">
            <v>332.27599199999969</v>
          </cell>
          <cell r="T118">
            <v>127.07739999999998</v>
          </cell>
          <cell r="U118">
            <v>391.07253600000001</v>
          </cell>
        </row>
        <row r="119">
          <cell r="A119" t="str">
            <v xml:space="preserve"> 588 Колбаса Со шпиком ТМ Стародворье в оболочке вектор ВЕС  ПОКОМ</v>
          </cell>
          <cell r="B119" t="str">
            <v>кг</v>
          </cell>
          <cell r="C119">
            <v>225.47</v>
          </cell>
          <cell r="D119">
            <v>211.82400000000001</v>
          </cell>
          <cell r="E119">
            <v>177.73699999999999</v>
          </cell>
          <cell r="F119">
            <v>226.381</v>
          </cell>
          <cell r="G119">
            <v>1</v>
          </cell>
          <cell r="H119">
            <v>60</v>
          </cell>
          <cell r="I119" t="str">
            <v>НЕДОГРУЗ / матрица</v>
          </cell>
          <cell r="K119">
            <v>174.9</v>
          </cell>
          <cell r="L119">
            <v>2.8369999999999891</v>
          </cell>
          <cell r="O119">
            <v>0</v>
          </cell>
          <cell r="P119">
            <v>0</v>
          </cell>
          <cell r="S119">
            <v>68.398500000000013</v>
          </cell>
          <cell r="T119">
            <v>35.547399999999996</v>
          </cell>
          <cell r="U119">
            <v>114.01559999999992</v>
          </cell>
        </row>
        <row r="120">
          <cell r="A120" t="str">
            <v xml:space="preserve"> 597  Колбаса Классическая ТМ Особый рецепт в оболочке полиамид ВЕС. ПОКОМ</v>
          </cell>
          <cell r="B120" t="str">
            <v>кг</v>
          </cell>
          <cell r="C120">
            <v>772.31600000000003</v>
          </cell>
          <cell r="D120">
            <v>2226.69</v>
          </cell>
          <cell r="E120">
            <v>2356.4059999999999</v>
          </cell>
          <cell r="F120">
            <v>126.202</v>
          </cell>
          <cell r="G120">
            <v>1</v>
          </cell>
          <cell r="H120">
            <v>60</v>
          </cell>
          <cell r="I120" t="str">
            <v>матрица</v>
          </cell>
          <cell r="K120">
            <v>2361.6999999999998</v>
          </cell>
          <cell r="L120">
            <v>-5.293999999999869</v>
          </cell>
          <cell r="O120">
            <v>963.12235594843935</v>
          </cell>
          <cell r="P120">
            <v>606.79391724000027</v>
          </cell>
          <cell r="Q120">
            <v>913.99284276000037</v>
          </cell>
          <cell r="S120">
            <v>1087.2451600515601</v>
          </cell>
          <cell r="T120">
            <v>471.28120000000001</v>
          </cell>
          <cell r="U120">
            <v>1722.3775240000007</v>
          </cell>
        </row>
        <row r="121">
          <cell r="A121" t="str">
            <v xml:space="preserve"> 614  Буженина в пряном маринаде 0,25 кг консервы из мяса индейки ТМ Стародворье  ПОКОМ</v>
          </cell>
          <cell r="B121" t="str">
            <v>шт</v>
          </cell>
          <cell r="C121">
            <v>345</v>
          </cell>
          <cell r="E121">
            <v>22</v>
          </cell>
          <cell r="F121">
            <v>318</v>
          </cell>
          <cell r="G121">
            <v>0.25</v>
          </cell>
          <cell r="H121">
            <v>1096</v>
          </cell>
          <cell r="I121" t="str">
            <v>ВНИМАНИЕ / матрица</v>
          </cell>
          <cell r="K121">
            <v>22</v>
          </cell>
          <cell r="L121">
            <v>0</v>
          </cell>
          <cell r="O121">
            <v>0</v>
          </cell>
          <cell r="P121">
            <v>0</v>
          </cell>
          <cell r="S121">
            <v>0</v>
          </cell>
          <cell r="T121">
            <v>4.4000000000000004</v>
          </cell>
        </row>
        <row r="122">
          <cell r="A122" t="str">
            <v xml:space="preserve"> 615  Гречка по-купечески с говядиной и овощами 0,325кг ТМ Стародворье  ПОКОМ</v>
          </cell>
          <cell r="B122" t="str">
            <v>шт</v>
          </cell>
          <cell r="C122">
            <v>301</v>
          </cell>
          <cell r="E122">
            <v>1</v>
          </cell>
          <cell r="F122">
            <v>298</v>
          </cell>
          <cell r="G122">
            <v>0.32500000000000001</v>
          </cell>
          <cell r="H122">
            <v>1096</v>
          </cell>
          <cell r="I122" t="str">
            <v>матрица</v>
          </cell>
          <cell r="K122">
            <v>1</v>
          </cell>
          <cell r="L122">
            <v>0</v>
          </cell>
          <cell r="O122">
            <v>0</v>
          </cell>
          <cell r="P122">
            <v>0</v>
          </cell>
          <cell r="S122">
            <v>0</v>
          </cell>
          <cell r="T122">
            <v>0.2</v>
          </cell>
        </row>
        <row r="123">
          <cell r="A123" t="str">
            <v xml:space="preserve"> 616  Индейка томлёная в собственном соку 0,25кг ТМ Стародлворье Консервый из мяс.птицы  ПОКОМ</v>
          </cell>
          <cell r="B123" t="str">
            <v>шт</v>
          </cell>
          <cell r="C123">
            <v>302</v>
          </cell>
          <cell r="E123">
            <v>11</v>
          </cell>
          <cell r="F123">
            <v>284</v>
          </cell>
          <cell r="G123">
            <v>0.25</v>
          </cell>
          <cell r="H123">
            <v>1096</v>
          </cell>
          <cell r="I123" t="str">
            <v>!!! / НЕДОГРУЗ / матрица</v>
          </cell>
          <cell r="K123">
            <v>11</v>
          </cell>
          <cell r="L123">
            <v>0</v>
          </cell>
          <cell r="O123">
            <v>0</v>
          </cell>
          <cell r="P123">
            <v>0</v>
          </cell>
          <cell r="S123">
            <v>0</v>
          </cell>
          <cell r="T123">
            <v>2.2000000000000002</v>
          </cell>
        </row>
        <row r="124">
          <cell r="A124" t="str">
            <v xml:space="preserve"> 631  Колбаса Классическая стародворская ТМ Стародворье  ПОКОМ</v>
          </cell>
          <cell r="B124" t="str">
            <v>кг</v>
          </cell>
          <cell r="C124">
            <v>33.76</v>
          </cell>
          <cell r="E124">
            <v>3.984</v>
          </cell>
          <cell r="G124">
            <v>0</v>
          </cell>
          <cell r="I124" t="str">
            <v>не в матрице</v>
          </cell>
          <cell r="K124">
            <v>3.9</v>
          </cell>
          <cell r="L124">
            <v>8.4000000000000075E-2</v>
          </cell>
          <cell r="O124">
            <v>0</v>
          </cell>
          <cell r="P124">
            <v>0</v>
          </cell>
          <cell r="S124">
            <v>0</v>
          </cell>
          <cell r="T124">
            <v>0.79679999999999995</v>
          </cell>
        </row>
        <row r="125">
          <cell r="A125" t="str">
            <v xml:space="preserve"> 633  Колбаса Мясная Классическая ТМ Вязанка в оболочке полиамид УМВ.ВЕС.  ПОКОМ</v>
          </cell>
          <cell r="B125" t="str">
            <v>кг</v>
          </cell>
          <cell r="C125">
            <v>99.372</v>
          </cell>
          <cell r="E125">
            <v>26.966000000000001</v>
          </cell>
          <cell r="F125">
            <v>63.353000000000002</v>
          </cell>
          <cell r="G125">
            <v>0</v>
          </cell>
          <cell r="I125" t="str">
            <v>дубль</v>
          </cell>
          <cell r="J125" t="str">
            <v xml:space="preserve"> 547  Колбаса Мясная Классическая ТМ Вязанка в оболочке полиамид. ВЕС  ПОКОМ</v>
          </cell>
          <cell r="K125">
            <v>26.4</v>
          </cell>
          <cell r="L125">
            <v>0.5660000000000025</v>
          </cell>
          <cell r="O125">
            <v>0</v>
          </cell>
          <cell r="P125">
            <v>0</v>
          </cell>
          <cell r="S125">
            <v>0</v>
          </cell>
          <cell r="T125">
            <v>5.3932000000000002</v>
          </cell>
        </row>
        <row r="126">
          <cell r="A126" t="str">
            <v xml:space="preserve"> 636  Сосиски Датские ВЕС ТМ Зареченские продукты  ПОКОМ</v>
          </cell>
          <cell r="B126" t="str">
            <v>кг</v>
          </cell>
          <cell r="C126">
            <v>62.085000000000001</v>
          </cell>
          <cell r="E126">
            <v>1.4450000000000001</v>
          </cell>
          <cell r="F126">
            <v>60.64</v>
          </cell>
          <cell r="G126">
            <v>0</v>
          </cell>
          <cell r="I126" t="str">
            <v>дубль</v>
          </cell>
          <cell r="J126" t="str">
            <v xml:space="preserve"> 318  Сосиски Датские ТМ Зареченские, ВЕС  ПОКОМ</v>
          </cell>
          <cell r="K126">
            <v>1.4</v>
          </cell>
          <cell r="L126">
            <v>4.5000000000000151E-2</v>
          </cell>
          <cell r="O126">
            <v>0</v>
          </cell>
          <cell r="P126">
            <v>0</v>
          </cell>
          <cell r="S126">
            <v>0</v>
          </cell>
          <cell r="T126">
            <v>0.28900000000000003</v>
          </cell>
        </row>
        <row r="127">
          <cell r="A127" t="str">
            <v>495  Колбаса Сочинка по-европейски с сочной грудинкой 0,3кг ТМ Стародворье  ПОКОМ</v>
          </cell>
          <cell r="B127" t="str">
            <v>шт</v>
          </cell>
          <cell r="C127">
            <v>1</v>
          </cell>
          <cell r="E127">
            <v>-4</v>
          </cell>
          <cell r="G127">
            <v>0.3</v>
          </cell>
          <cell r="H127">
            <v>40</v>
          </cell>
          <cell r="I127" t="str">
            <v>НЕДОГРУЗ / матрица</v>
          </cell>
          <cell r="K127">
            <v>7</v>
          </cell>
          <cell r="L127">
            <v>-11</v>
          </cell>
          <cell r="O127">
            <v>44.4</v>
          </cell>
          <cell r="P127">
            <v>23.6</v>
          </cell>
          <cell r="S127">
            <v>0</v>
          </cell>
          <cell r="T127">
            <v>-0.8</v>
          </cell>
        </row>
        <row r="128">
          <cell r="A128" t="str">
            <v>496  Колбаса Сочинка по-фински с сочным окроком 0,3кг ТМ Стародворье  ПОКОМ</v>
          </cell>
          <cell r="B128" t="str">
            <v>шт</v>
          </cell>
          <cell r="G128">
            <v>0.3</v>
          </cell>
          <cell r="H128">
            <v>40</v>
          </cell>
          <cell r="I128" t="str">
            <v>НЕДОГРУЗ / матрица</v>
          </cell>
          <cell r="K128">
            <v>1</v>
          </cell>
          <cell r="L128">
            <v>-1</v>
          </cell>
          <cell r="O128">
            <v>103.6</v>
          </cell>
          <cell r="P128">
            <v>52.800000000000011</v>
          </cell>
          <cell r="S128">
            <v>0</v>
          </cell>
          <cell r="T128">
            <v>0</v>
          </cell>
        </row>
        <row r="129">
          <cell r="A129" t="str">
            <v>503 Колбаса Филейская со шпиком ТМ Вязанка в оболочке полиамид.ПОКОМ</v>
          </cell>
          <cell r="B129" t="str">
            <v>кг</v>
          </cell>
          <cell r="C129">
            <v>280.166</v>
          </cell>
          <cell r="D129">
            <v>56.335000000000001</v>
          </cell>
          <cell r="E129">
            <v>254.65799999999999</v>
          </cell>
          <cell r="F129">
            <v>39.984000000000002</v>
          </cell>
          <cell r="G129">
            <v>1</v>
          </cell>
          <cell r="H129">
            <v>50</v>
          </cell>
          <cell r="I129" t="str">
            <v>матрица</v>
          </cell>
          <cell r="K129">
            <v>248.85</v>
          </cell>
          <cell r="L129">
            <v>5.8079999999999927</v>
          </cell>
          <cell r="O129">
            <v>104.1514050000001</v>
          </cell>
          <cell r="P129">
            <v>95.720247629999989</v>
          </cell>
          <cell r="Q129">
            <v>144.18012236999999</v>
          </cell>
          <cell r="S129">
            <v>28.476024999999879</v>
          </cell>
          <cell r="T129">
            <v>50.931599999999996</v>
          </cell>
          <cell r="U129">
            <v>173.2016000000001</v>
          </cell>
        </row>
        <row r="130">
          <cell r="A130" t="str">
            <v>515  Колбаса Сервелат Мясорубский Делюкс 0,3кг ТМ Стародворье  ПОКОМ</v>
          </cell>
          <cell r="B130" t="str">
            <v>шт</v>
          </cell>
          <cell r="G130">
            <v>0.3</v>
          </cell>
          <cell r="H130">
            <v>40</v>
          </cell>
          <cell r="I130" t="str">
            <v>НЕДОГРУЗ / матрица</v>
          </cell>
          <cell r="K130">
            <v>1</v>
          </cell>
          <cell r="L130">
            <v>-1</v>
          </cell>
          <cell r="O130">
            <v>24.5</v>
          </cell>
          <cell r="P130">
            <v>60</v>
          </cell>
          <cell r="S130">
            <v>50</v>
          </cell>
          <cell r="T130">
            <v>0</v>
          </cell>
          <cell r="V130">
            <v>300</v>
          </cell>
        </row>
        <row r="131">
          <cell r="A131" t="str">
            <v>519  Грудинка 0,12 кг нарезка ТМ Стародворье  ПОКОМ</v>
          </cell>
          <cell r="B131" t="str">
            <v>шт</v>
          </cell>
          <cell r="C131">
            <v>94</v>
          </cell>
          <cell r="D131">
            <v>30</v>
          </cell>
          <cell r="E131">
            <v>73</v>
          </cell>
          <cell r="F131">
            <v>29</v>
          </cell>
          <cell r="G131">
            <v>0.12</v>
          </cell>
          <cell r="H131">
            <v>45</v>
          </cell>
          <cell r="I131" t="str">
            <v>НЕДОГРУЗ / матрица</v>
          </cell>
          <cell r="K131">
            <v>75</v>
          </cell>
          <cell r="L131">
            <v>-2</v>
          </cell>
          <cell r="O131">
            <v>27.890000000000011</v>
          </cell>
          <cell r="P131">
            <v>45.740000000000009</v>
          </cell>
          <cell r="S131">
            <v>10.76999999999998</v>
          </cell>
          <cell r="T131">
            <v>14.6</v>
          </cell>
          <cell r="U131">
            <v>54.5</v>
          </cell>
        </row>
        <row r="132">
          <cell r="A132" t="str">
            <v>БОНУС_ 334  Паштет Любительский ТМ Стародворье ламистер 0,1 кг  ПОКОМ</v>
          </cell>
          <cell r="B132" t="str">
            <v>шт</v>
          </cell>
          <cell r="C132">
            <v>9</v>
          </cell>
          <cell r="D132">
            <v>86</v>
          </cell>
          <cell r="E132">
            <v>69</v>
          </cell>
          <cell r="F132">
            <v>8</v>
          </cell>
          <cell r="G132">
            <v>0</v>
          </cell>
          <cell r="I132" t="str">
            <v>бонус</v>
          </cell>
          <cell r="J132" t="str">
            <v xml:space="preserve"> 334  Паштет Любительский ТМ Стародворье ламистер 0,1 кг  ПОКОМ</v>
          </cell>
          <cell r="K132">
            <v>79</v>
          </cell>
          <cell r="L132">
            <v>-10</v>
          </cell>
          <cell r="O132">
            <v>0</v>
          </cell>
          <cell r="P132">
            <v>0</v>
          </cell>
          <cell r="S132">
            <v>0</v>
          </cell>
          <cell r="T132">
            <v>13.8</v>
          </cell>
        </row>
        <row r="133">
          <cell r="A133" t="str">
            <v>Колбаса варено-копченая Сервелат Европейский ТМ Вязанка вес</v>
          </cell>
          <cell r="B133" t="str">
            <v>кг</v>
          </cell>
          <cell r="G133">
            <v>1</v>
          </cell>
          <cell r="I133" t="str">
            <v>матрица</v>
          </cell>
          <cell r="L133">
            <v>0</v>
          </cell>
          <cell r="O133">
            <v>0</v>
          </cell>
          <cell r="P133">
            <v>0</v>
          </cell>
          <cell r="S133">
            <v>0</v>
          </cell>
          <cell r="T133">
            <v>0</v>
          </cell>
          <cell r="V133">
            <v>300</v>
          </cell>
          <cell r="W133" t="str">
            <v>промо</v>
          </cell>
        </row>
        <row r="134">
          <cell r="A134" t="str">
            <v>Сардельки «Шпикачки Зареченские» Весовой полиамид ТМ «Зареченские продукты»</v>
          </cell>
          <cell r="B134" t="str">
            <v>кг</v>
          </cell>
          <cell r="G134">
            <v>1</v>
          </cell>
          <cell r="I134" t="str">
            <v>матрица</v>
          </cell>
          <cell r="L134">
            <v>0</v>
          </cell>
          <cell r="O134">
            <v>100</v>
          </cell>
          <cell r="P134">
            <v>0</v>
          </cell>
          <cell r="S134">
            <v>50</v>
          </cell>
          <cell r="T134">
            <v>0</v>
          </cell>
        </row>
        <row r="135">
          <cell r="A135" t="str">
            <v>Сосиски Ганноверские Бордо Весовые П/а мгс Баварушка</v>
          </cell>
          <cell r="B135" t="str">
            <v>кг</v>
          </cell>
          <cell r="G135">
            <v>1</v>
          </cell>
          <cell r="I135" t="str">
            <v>матрица</v>
          </cell>
          <cell r="L135">
            <v>0</v>
          </cell>
          <cell r="O135">
            <v>100</v>
          </cell>
          <cell r="P135">
            <v>0</v>
          </cell>
          <cell r="S135">
            <v>50</v>
          </cell>
          <cell r="T13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8"/>
  <sheetViews>
    <sheetView tabSelected="1" zoomScale="85" workbookViewId="0">
      <pane xSplit="2" ySplit="5" topLeftCell="C72" activePane="bottomRight" state="frozen"/>
      <selection pane="topRight"/>
      <selection pane="bottomLeft"/>
      <selection pane="bottomRight" activeCell="AM1" sqref="AM1"/>
    </sheetView>
  </sheetViews>
  <sheetFormatPr defaultRowHeight="15" x14ac:dyDescent="0.25"/>
  <cols>
    <col min="1" max="1" width="56.140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7109375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7" style="27" customWidth="1"/>
    <col min="21" max="25" width="7" customWidth="1"/>
    <col min="26" max="26" width="7" style="19" customWidth="1"/>
    <col min="27" max="27" width="5.140625" style="19" customWidth="1"/>
    <col min="28" max="29" width="5" customWidth="1"/>
    <col min="30" max="33" width="6.7109375" customWidth="1"/>
    <col min="34" max="35" width="6" customWidth="1"/>
    <col min="36" max="39" width="6.7109375" customWidth="1"/>
    <col min="40" max="40" width="8.140625" customWidth="1"/>
    <col min="41" max="42" width="7" customWidth="1"/>
    <col min="43" max="55" width="3" customWidth="1"/>
  </cols>
  <sheetData>
    <row r="1" spans="1:5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3"/>
      <c r="U1" s="1"/>
      <c r="V1" s="1"/>
      <c r="W1" s="20">
        <v>-0.67500000000000004</v>
      </c>
      <c r="X1" s="20"/>
      <c r="Y1" s="20">
        <v>0.46600000000000003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>
        <f>AO2-AO5</f>
        <v>-7</v>
      </c>
      <c r="AP1" s="1">
        <f>AP2-AP5</f>
        <v>4</v>
      </c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3">
        <v>250</v>
      </c>
      <c r="U2" s="1"/>
      <c r="V2" s="1"/>
      <c r="W2" s="1" t="s">
        <v>197</v>
      </c>
      <c r="X2" s="1"/>
      <c r="Y2" s="22" t="s">
        <v>201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>
        <v>17150</v>
      </c>
      <c r="AP2" s="1">
        <v>12550</v>
      </c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4" t="s">
        <v>14</v>
      </c>
      <c r="U3" s="2" t="s">
        <v>15</v>
      </c>
      <c r="V3" s="3" t="s">
        <v>16</v>
      </c>
      <c r="W3" s="3" t="s">
        <v>193</v>
      </c>
      <c r="X3" s="21" t="s">
        <v>198</v>
      </c>
      <c r="Y3" s="21" t="s">
        <v>198</v>
      </c>
      <c r="Z3" s="3" t="s">
        <v>194</v>
      </c>
      <c r="AA3" s="3" t="s">
        <v>196</v>
      </c>
      <c r="AB3" s="2" t="s">
        <v>17</v>
      </c>
      <c r="AC3" s="2" t="s">
        <v>18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19</v>
      </c>
      <c r="AN3" s="2" t="s">
        <v>20</v>
      </c>
      <c r="AO3" s="2" t="s">
        <v>21</v>
      </c>
      <c r="AP3" s="2" t="s">
        <v>21</v>
      </c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23" t="s">
        <v>202</v>
      </c>
      <c r="U4" s="1" t="s">
        <v>27</v>
      </c>
      <c r="V4" s="1"/>
      <c r="W4" s="1"/>
      <c r="X4" s="22" t="s">
        <v>199</v>
      </c>
      <c r="Y4" s="22" t="s">
        <v>200</v>
      </c>
      <c r="Z4" s="1" t="s">
        <v>195</v>
      </c>
      <c r="AA4" s="1"/>
      <c r="AB4" s="1"/>
      <c r="AC4" s="1"/>
      <c r="AD4" s="1" t="s">
        <v>24</v>
      </c>
      <c r="AE4" s="1" t="s">
        <v>28</v>
      </c>
      <c r="AF4" s="1" t="s">
        <v>29</v>
      </c>
      <c r="AG4" s="1" t="s">
        <v>30</v>
      </c>
      <c r="AH4" s="1" t="s">
        <v>31</v>
      </c>
      <c r="AI4" s="1" t="s">
        <v>32</v>
      </c>
      <c r="AJ4" s="1" t="s">
        <v>33</v>
      </c>
      <c r="AK4" s="1" t="s">
        <v>34</v>
      </c>
      <c r="AL4" s="1" t="s">
        <v>35</v>
      </c>
      <c r="AM4" s="1" t="s">
        <v>36</v>
      </c>
      <c r="AN4" s="1"/>
      <c r="AO4" s="22" t="s">
        <v>199</v>
      </c>
      <c r="AP4" s="22" t="s">
        <v>200</v>
      </c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x14ac:dyDescent="0.25">
      <c r="A5" s="1"/>
      <c r="B5" s="1"/>
      <c r="C5" s="1"/>
      <c r="D5" s="1"/>
      <c r="E5" s="4">
        <f>SUM(E6:E498)</f>
        <v>54214.886000000013</v>
      </c>
      <c r="F5" s="4">
        <f>SUM(F6:F498)</f>
        <v>12171.099999999999</v>
      </c>
      <c r="G5" s="7"/>
      <c r="H5" s="1"/>
      <c r="I5" s="1"/>
      <c r="J5" s="1"/>
      <c r="K5" s="4">
        <f t="shared" ref="K5:Z5" si="0">SUM(K6:K498)</f>
        <v>57283.210000000028</v>
      </c>
      <c r="L5" s="4">
        <f t="shared" si="0"/>
        <v>-3068.324000000001</v>
      </c>
      <c r="M5" s="4">
        <f t="shared" si="0"/>
        <v>0</v>
      </c>
      <c r="N5" s="4">
        <f t="shared" si="0"/>
        <v>0</v>
      </c>
      <c r="O5" s="4">
        <f t="shared" si="0"/>
        <v>22317.312848996939</v>
      </c>
      <c r="P5" s="4">
        <f t="shared" si="0"/>
        <v>15651.959275868747</v>
      </c>
      <c r="Q5" s="4">
        <f t="shared" si="0"/>
        <v>21645.276526684494</v>
      </c>
      <c r="R5" s="4">
        <f t="shared" si="0"/>
        <v>350</v>
      </c>
      <c r="S5" s="4">
        <f t="shared" si="0"/>
        <v>22887.506171815316</v>
      </c>
      <c r="T5" s="25">
        <f t="shared" ref="T5" si="1">SUM(T6:T498)</f>
        <v>250</v>
      </c>
      <c r="U5" s="4">
        <f t="shared" si="0"/>
        <v>10842.977199999994</v>
      </c>
      <c r="V5" s="4">
        <f t="shared" si="0"/>
        <v>37533.237708634508</v>
      </c>
      <c r="W5" s="4">
        <f t="shared" si="0"/>
        <v>36529.093441634512</v>
      </c>
      <c r="X5" s="4">
        <f t="shared" si="0"/>
        <v>21760.079772258825</v>
      </c>
      <c r="Y5" s="4">
        <f t="shared" ref="Y5" si="2">SUM(Y6:Y498)</f>
        <v>14769.013669375681</v>
      </c>
      <c r="Z5" s="4">
        <f t="shared" si="0"/>
        <v>8760</v>
      </c>
      <c r="AA5" s="4"/>
      <c r="AB5" s="1"/>
      <c r="AC5" s="1"/>
      <c r="AD5" s="4">
        <f t="shared" ref="AD5:AM5" si="3">SUM(AD6:AD498)</f>
        <v>11464.625399999999</v>
      </c>
      <c r="AE5" s="4">
        <f t="shared" si="3"/>
        <v>10962.333399999998</v>
      </c>
      <c r="AF5" s="4">
        <f t="shared" si="3"/>
        <v>10213.466199999997</v>
      </c>
      <c r="AG5" s="4">
        <f t="shared" si="3"/>
        <v>10078.527999999997</v>
      </c>
      <c r="AH5" s="4">
        <f t="shared" si="3"/>
        <v>9816.7540000000026</v>
      </c>
      <c r="AI5" s="4">
        <f t="shared" si="3"/>
        <v>9688.5272000000023</v>
      </c>
      <c r="AJ5" s="4">
        <f t="shared" si="3"/>
        <v>10274.442600000009</v>
      </c>
      <c r="AK5" s="4">
        <f t="shared" si="3"/>
        <v>10906.315000000001</v>
      </c>
      <c r="AL5" s="4">
        <f t="shared" si="3"/>
        <v>10747.732599999996</v>
      </c>
      <c r="AM5" s="4">
        <f t="shared" si="3"/>
        <v>10833.357999999998</v>
      </c>
      <c r="AN5" s="1"/>
      <c r="AO5" s="4">
        <f>SUM(AO6:AO498)</f>
        <v>17157</v>
      </c>
      <c r="AP5" s="4">
        <f>SUM(AP6:AP498)</f>
        <v>12546</v>
      </c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x14ac:dyDescent="0.25">
      <c r="A6" s="1" t="s">
        <v>37</v>
      </c>
      <c r="B6" s="1" t="s">
        <v>38</v>
      </c>
      <c r="C6" s="1">
        <v>1310.385</v>
      </c>
      <c r="D6" s="1">
        <v>2026.2739999999999</v>
      </c>
      <c r="E6" s="1">
        <v>2655.009</v>
      </c>
      <c r="F6" s="1">
        <v>43.323999999999998</v>
      </c>
      <c r="G6" s="7">
        <v>1</v>
      </c>
      <c r="H6" s="1">
        <v>50</v>
      </c>
      <c r="I6" s="1" t="s">
        <v>39</v>
      </c>
      <c r="J6" s="1"/>
      <c r="K6" s="1">
        <v>2602.5500000000002</v>
      </c>
      <c r="L6" s="1">
        <f t="shared" ref="L6:L37" si="4">E6-K6</f>
        <v>52.458999999999833</v>
      </c>
      <c r="M6" s="1"/>
      <c r="N6" s="1"/>
      <c r="O6" s="1">
        <v>2513.5494300000009</v>
      </c>
      <c r="P6" s="1">
        <v>540.18028070999992</v>
      </c>
      <c r="Q6" s="1">
        <v>813.65500928999984</v>
      </c>
      <c r="R6" s="1"/>
      <c r="S6" s="1">
        <v>293.54757999999919</v>
      </c>
      <c r="T6" s="23"/>
      <c r="U6" s="1">
        <f t="shared" ref="U6:U37" si="5">E6/5</f>
        <v>531.0018</v>
      </c>
      <c r="V6" s="5">
        <f>11.5*U6-S6-R6-Q6-P6-O6-F6</f>
        <v>1902.2643999999996</v>
      </c>
      <c r="W6" s="5">
        <f>V6+U6*$W$1</f>
        <v>1543.8381849999996</v>
      </c>
      <c r="X6" s="5">
        <f>W6-Y6</f>
        <v>824.4095907899997</v>
      </c>
      <c r="Y6" s="5">
        <f>W6*$Y$1</f>
        <v>719.42859420999991</v>
      </c>
      <c r="Z6" s="18"/>
      <c r="AA6" s="18"/>
      <c r="AB6" s="1">
        <f>(F6+O6+P6+Q6+R6+S6+W6)/U6</f>
        <v>10.824999999999999</v>
      </c>
      <c r="AC6" s="1">
        <f t="shared" ref="AC6:AC37" si="6">(F6+O6+P6+Q6+R6+S6)/U6</f>
        <v>7.9175933113597727</v>
      </c>
      <c r="AD6" s="1">
        <v>552.64499999999998</v>
      </c>
      <c r="AE6" s="1">
        <v>598.48400000000004</v>
      </c>
      <c r="AF6" s="1">
        <v>595.89340000000004</v>
      </c>
      <c r="AG6" s="1">
        <v>466.50080000000003</v>
      </c>
      <c r="AH6" s="1">
        <v>492.22899999999998</v>
      </c>
      <c r="AI6" s="1">
        <v>529.75339999999994</v>
      </c>
      <c r="AJ6" s="1">
        <v>513.3356</v>
      </c>
      <c r="AK6" s="1">
        <v>551.42700000000002</v>
      </c>
      <c r="AL6" s="1">
        <v>517.61120000000005</v>
      </c>
      <c r="AM6" s="1">
        <v>560.27980000000002</v>
      </c>
      <c r="AN6" s="1"/>
      <c r="AO6" s="1">
        <f>ROUND(G6*X6,0)</f>
        <v>824</v>
      </c>
      <c r="AP6" s="1">
        <f>ROUND(G6*Y6,0)</f>
        <v>719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x14ac:dyDescent="0.25">
      <c r="A7" s="1" t="s">
        <v>40</v>
      </c>
      <c r="B7" s="1" t="s">
        <v>38</v>
      </c>
      <c r="C7" s="1">
        <v>581.11800000000005</v>
      </c>
      <c r="D7" s="1">
        <v>808.77200000000005</v>
      </c>
      <c r="E7" s="1">
        <v>1198.1089999999999</v>
      </c>
      <c r="F7" s="1">
        <v>1.3320000000000001</v>
      </c>
      <c r="G7" s="7">
        <v>1</v>
      </c>
      <c r="H7" s="1">
        <v>45</v>
      </c>
      <c r="I7" s="1" t="s">
        <v>39</v>
      </c>
      <c r="J7" s="1"/>
      <c r="K7" s="1">
        <v>1145.3</v>
      </c>
      <c r="L7" s="1">
        <f t="shared" si="4"/>
        <v>52.808999999999969</v>
      </c>
      <c r="M7" s="1"/>
      <c r="N7" s="1"/>
      <c r="O7" s="1">
        <v>504.31198999999998</v>
      </c>
      <c r="P7" s="1">
        <v>293.41460026200008</v>
      </c>
      <c r="Q7" s="1">
        <v>441.96033773800008</v>
      </c>
      <c r="R7" s="1"/>
      <c r="S7" s="1">
        <v>833.12519200000031</v>
      </c>
      <c r="T7" s="23"/>
      <c r="U7" s="1">
        <f t="shared" si="5"/>
        <v>239.62179999999998</v>
      </c>
      <c r="V7" s="5">
        <f t="shared" ref="V7:V8" si="7">11.5*U7-S7-R7-Q7-P7-O7-F7</f>
        <v>681.50657999999919</v>
      </c>
      <c r="W7" s="5">
        <f>Z7</f>
        <v>800</v>
      </c>
      <c r="X7" s="5">
        <f t="shared" ref="X7:X70" si="8">W7-Y7</f>
        <v>427.2</v>
      </c>
      <c r="Y7" s="5">
        <f t="shared" ref="Y7:Y8" si="9">W7*$Y$1</f>
        <v>372.8</v>
      </c>
      <c r="Z7" s="18">
        <f>VLOOKUP(A7,[1]Sheet!$A:$W,22,0)</f>
        <v>800</v>
      </c>
      <c r="AA7" s="18" t="str">
        <f>VLOOKUP(A7,[1]Sheet!$A:$W,23,0)</f>
        <v>промо</v>
      </c>
      <c r="AB7" s="1">
        <f t="shared" ref="AB7:AB70" si="10">(F7+O7+P7+Q7+R7+S7+W7)/U7</f>
        <v>11.994501835809599</v>
      </c>
      <c r="AC7" s="1">
        <f t="shared" si="6"/>
        <v>8.6559074341316222</v>
      </c>
      <c r="AD7" s="1">
        <v>250.958</v>
      </c>
      <c r="AE7" s="1">
        <v>212.81659999999999</v>
      </c>
      <c r="AF7" s="1">
        <v>200.62620000000001</v>
      </c>
      <c r="AG7" s="1">
        <v>184.89920000000001</v>
      </c>
      <c r="AH7" s="1">
        <v>182.24600000000001</v>
      </c>
      <c r="AI7" s="1">
        <v>212.876</v>
      </c>
      <c r="AJ7" s="1">
        <v>220.70779999999999</v>
      </c>
      <c r="AK7" s="1">
        <v>207.75020000000001</v>
      </c>
      <c r="AL7" s="1">
        <v>215.72300000000001</v>
      </c>
      <c r="AM7" s="1">
        <v>234.3954</v>
      </c>
      <c r="AN7" s="1"/>
      <c r="AO7" s="1">
        <f t="shared" ref="AO7:AO70" si="11">ROUND(G7*X7,0)</f>
        <v>427</v>
      </c>
      <c r="AP7" s="1">
        <f t="shared" ref="AP7:AP70" si="12">ROUND(G7*Y7,0)</f>
        <v>373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x14ac:dyDescent="0.25">
      <c r="A8" s="1" t="s">
        <v>41</v>
      </c>
      <c r="B8" s="1" t="s">
        <v>38</v>
      </c>
      <c r="C8" s="1">
        <v>681.02</v>
      </c>
      <c r="D8" s="1">
        <v>712.697</v>
      </c>
      <c r="E8" s="1">
        <v>1010.6609999999999</v>
      </c>
      <c r="F8" s="1">
        <v>60.317</v>
      </c>
      <c r="G8" s="7">
        <v>1</v>
      </c>
      <c r="H8" s="1">
        <v>45</v>
      </c>
      <c r="I8" s="15" t="s">
        <v>42</v>
      </c>
      <c r="J8" s="1"/>
      <c r="K8" s="1">
        <v>1009.1</v>
      </c>
      <c r="L8" s="1">
        <f t="shared" si="4"/>
        <v>1.5609999999999218</v>
      </c>
      <c r="M8" s="1"/>
      <c r="N8" s="1"/>
      <c r="O8" s="1">
        <v>559.04163000000028</v>
      </c>
      <c r="P8" s="1">
        <v>283.046013894</v>
      </c>
      <c r="Q8" s="1">
        <v>426.34249210600001</v>
      </c>
      <c r="R8" s="1"/>
      <c r="S8" s="1">
        <v>297.07836399999951</v>
      </c>
      <c r="T8" s="23"/>
      <c r="U8" s="1">
        <f t="shared" si="5"/>
        <v>202.13219999999998</v>
      </c>
      <c r="V8" s="5">
        <f t="shared" si="7"/>
        <v>698.69479999999987</v>
      </c>
      <c r="W8" s="5">
        <f>V8+U8*$W$1</f>
        <v>562.25556499999993</v>
      </c>
      <c r="X8" s="5">
        <f t="shared" si="8"/>
        <v>300.24447170999997</v>
      </c>
      <c r="Y8" s="5">
        <f t="shared" si="9"/>
        <v>262.01109328999996</v>
      </c>
      <c r="Z8" s="18"/>
      <c r="AA8" s="18"/>
      <c r="AB8" s="1">
        <f t="shared" si="10"/>
        <v>10.824999999999999</v>
      </c>
      <c r="AC8" s="1">
        <f t="shared" si="6"/>
        <v>8.043377057193263</v>
      </c>
      <c r="AD8" s="1">
        <v>212.893</v>
      </c>
      <c r="AE8" s="1">
        <v>217.8492</v>
      </c>
      <c r="AF8" s="1">
        <v>205.40940000000001</v>
      </c>
      <c r="AG8" s="1">
        <v>190.92339999999999</v>
      </c>
      <c r="AH8" s="1">
        <v>198.07759999999999</v>
      </c>
      <c r="AI8" s="1">
        <v>222.83099999999999</v>
      </c>
      <c r="AJ8" s="1">
        <v>217.4478</v>
      </c>
      <c r="AK8" s="1">
        <v>214.1678</v>
      </c>
      <c r="AL8" s="1">
        <v>218.27119999999999</v>
      </c>
      <c r="AM8" s="1">
        <v>225.20240000000001</v>
      </c>
      <c r="AN8" s="1"/>
      <c r="AO8" s="1">
        <f t="shared" si="11"/>
        <v>300</v>
      </c>
      <c r="AP8" s="1">
        <f t="shared" si="12"/>
        <v>262</v>
      </c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x14ac:dyDescent="0.25">
      <c r="A9" s="9" t="s">
        <v>43</v>
      </c>
      <c r="B9" s="9" t="s">
        <v>44</v>
      </c>
      <c r="C9" s="9"/>
      <c r="D9" s="9"/>
      <c r="E9" s="9"/>
      <c r="F9" s="9"/>
      <c r="G9" s="10">
        <v>0</v>
      </c>
      <c r="H9" s="9"/>
      <c r="I9" s="9" t="s">
        <v>39</v>
      </c>
      <c r="J9" s="9"/>
      <c r="K9" s="9"/>
      <c r="L9" s="9">
        <f t="shared" si="4"/>
        <v>0</v>
      </c>
      <c r="M9" s="9"/>
      <c r="N9" s="9"/>
      <c r="O9" s="9">
        <v>0</v>
      </c>
      <c r="P9" s="9">
        <v>0</v>
      </c>
      <c r="Q9" s="9"/>
      <c r="R9" s="9"/>
      <c r="S9" s="9">
        <v>0</v>
      </c>
      <c r="T9" s="26"/>
      <c r="U9" s="9">
        <f t="shared" si="5"/>
        <v>0</v>
      </c>
      <c r="V9" s="11"/>
      <c r="W9" s="5">
        <f t="shared" ref="W9:W70" si="13">V9</f>
        <v>0</v>
      </c>
      <c r="X9" s="5">
        <f t="shared" si="8"/>
        <v>0</v>
      </c>
      <c r="Y9" s="5"/>
      <c r="Z9" s="18"/>
      <c r="AA9" s="18"/>
      <c r="AB9" s="1" t="e">
        <f t="shared" si="10"/>
        <v>#DIV/0!</v>
      </c>
      <c r="AC9" s="9" t="e">
        <f t="shared" si="6"/>
        <v>#DIV/0!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 t="s">
        <v>45</v>
      </c>
      <c r="AO9" s="1">
        <f t="shared" si="11"/>
        <v>0</v>
      </c>
      <c r="AP9" s="1">
        <f t="shared" si="12"/>
        <v>0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x14ac:dyDescent="0.25">
      <c r="A10" s="1" t="s">
        <v>46</v>
      </c>
      <c r="B10" s="1" t="s">
        <v>44</v>
      </c>
      <c r="C10" s="1">
        <v>594</v>
      </c>
      <c r="D10" s="1">
        <v>361</v>
      </c>
      <c r="E10" s="1">
        <v>848</v>
      </c>
      <c r="F10" s="1">
        <v>-2</v>
      </c>
      <c r="G10" s="7">
        <v>0.45</v>
      </c>
      <c r="H10" s="1">
        <v>45</v>
      </c>
      <c r="I10" s="1" t="s">
        <v>39</v>
      </c>
      <c r="J10" s="1"/>
      <c r="K10" s="1">
        <v>869</v>
      </c>
      <c r="L10" s="1">
        <f t="shared" si="4"/>
        <v>-21</v>
      </c>
      <c r="M10" s="1"/>
      <c r="N10" s="1"/>
      <c r="O10" s="1">
        <v>236.65000000000029</v>
      </c>
      <c r="P10" s="1">
        <v>253.32110999999989</v>
      </c>
      <c r="Q10" s="1">
        <v>381.56888999999978</v>
      </c>
      <c r="R10" s="1"/>
      <c r="S10" s="1">
        <v>385.28</v>
      </c>
      <c r="T10" s="23"/>
      <c r="U10" s="1">
        <f t="shared" si="5"/>
        <v>169.6</v>
      </c>
      <c r="V10" s="5">
        <f t="shared" ref="V10:V17" si="14">11.5*U10-S10-R10-Q10-P10-O10-F10</f>
        <v>695.57999999999993</v>
      </c>
      <c r="W10" s="5">
        <f t="shared" ref="W10:W11" si="15">V10+U10*$W$1</f>
        <v>581.09999999999991</v>
      </c>
      <c r="X10" s="5">
        <f t="shared" si="8"/>
        <v>310.30739999999992</v>
      </c>
      <c r="Y10" s="5">
        <f t="shared" ref="Y10:Y11" si="16">W10*$Y$1</f>
        <v>270.79259999999999</v>
      </c>
      <c r="Z10" s="18"/>
      <c r="AA10" s="18"/>
      <c r="AB10" s="1">
        <f t="shared" si="10"/>
        <v>10.824999999999999</v>
      </c>
      <c r="AC10" s="1">
        <f t="shared" si="6"/>
        <v>7.3987028301886788</v>
      </c>
      <c r="AD10" s="1">
        <v>163</v>
      </c>
      <c r="AE10" s="1">
        <v>150</v>
      </c>
      <c r="AF10" s="1">
        <v>131.80000000000001</v>
      </c>
      <c r="AG10" s="1">
        <v>135.6</v>
      </c>
      <c r="AH10" s="1">
        <v>150.19999999999999</v>
      </c>
      <c r="AI10" s="1">
        <v>141.80000000000001</v>
      </c>
      <c r="AJ10" s="1">
        <v>138.80000000000001</v>
      </c>
      <c r="AK10" s="1">
        <v>146</v>
      </c>
      <c r="AL10" s="1">
        <v>145.4</v>
      </c>
      <c r="AM10" s="1">
        <v>163.19999999999999</v>
      </c>
      <c r="AN10" s="1"/>
      <c r="AO10" s="1">
        <f t="shared" si="11"/>
        <v>140</v>
      </c>
      <c r="AP10" s="1">
        <f t="shared" si="12"/>
        <v>122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x14ac:dyDescent="0.25">
      <c r="A11" s="1" t="s">
        <v>47</v>
      </c>
      <c r="B11" s="1" t="s">
        <v>44</v>
      </c>
      <c r="C11" s="1">
        <v>878</v>
      </c>
      <c r="D11" s="1">
        <v>530</v>
      </c>
      <c r="E11" s="1">
        <v>1210</v>
      </c>
      <c r="F11" s="1">
        <v>21</v>
      </c>
      <c r="G11" s="7">
        <v>0.45</v>
      </c>
      <c r="H11" s="1">
        <v>45</v>
      </c>
      <c r="I11" s="1" t="s">
        <v>39</v>
      </c>
      <c r="J11" s="1"/>
      <c r="K11" s="1">
        <v>1221</v>
      </c>
      <c r="L11" s="1">
        <f t="shared" si="4"/>
        <v>-11</v>
      </c>
      <c r="M11" s="1"/>
      <c r="N11" s="1"/>
      <c r="O11" s="1">
        <v>258.09605899999929</v>
      </c>
      <c r="P11" s="1">
        <v>245.22300600000011</v>
      </c>
      <c r="Q11" s="1">
        <v>369.37099400000022</v>
      </c>
      <c r="R11" s="1"/>
      <c r="S11" s="1">
        <v>778.16594100000043</v>
      </c>
      <c r="T11" s="23"/>
      <c r="U11" s="1">
        <f t="shared" si="5"/>
        <v>242</v>
      </c>
      <c r="V11" s="5">
        <f t="shared" si="14"/>
        <v>1111.144</v>
      </c>
      <c r="W11" s="5">
        <f t="shared" si="15"/>
        <v>947.79399999999998</v>
      </c>
      <c r="X11" s="5">
        <f t="shared" si="8"/>
        <v>506.12199599999997</v>
      </c>
      <c r="Y11" s="5">
        <f t="shared" si="16"/>
        <v>441.67200400000002</v>
      </c>
      <c r="Z11" s="18"/>
      <c r="AA11" s="18"/>
      <c r="AB11" s="1">
        <f t="shared" si="10"/>
        <v>10.825000000000001</v>
      </c>
      <c r="AC11" s="1">
        <f t="shared" si="6"/>
        <v>6.9084958677685959</v>
      </c>
      <c r="AD11" s="1">
        <v>220.4</v>
      </c>
      <c r="AE11" s="1">
        <v>181.8</v>
      </c>
      <c r="AF11" s="1">
        <v>175</v>
      </c>
      <c r="AG11" s="1">
        <v>184.4</v>
      </c>
      <c r="AH11" s="1">
        <v>201.2</v>
      </c>
      <c r="AI11" s="1">
        <v>207.4</v>
      </c>
      <c r="AJ11" s="1">
        <v>199.2</v>
      </c>
      <c r="AK11" s="1">
        <v>198.6</v>
      </c>
      <c r="AL11" s="1">
        <v>206</v>
      </c>
      <c r="AM11" s="1">
        <v>206.2</v>
      </c>
      <c r="AN11" s="1"/>
      <c r="AO11" s="1">
        <f t="shared" si="11"/>
        <v>228</v>
      </c>
      <c r="AP11" s="1">
        <f t="shared" si="12"/>
        <v>199</v>
      </c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25">
      <c r="A12" s="1" t="s">
        <v>48</v>
      </c>
      <c r="B12" s="1" t="s">
        <v>44</v>
      </c>
      <c r="C12" s="1">
        <v>79</v>
      </c>
      <c r="D12" s="1">
        <v>45</v>
      </c>
      <c r="E12" s="1">
        <v>99</v>
      </c>
      <c r="F12" s="1">
        <v>-13</v>
      </c>
      <c r="G12" s="7">
        <v>0.17</v>
      </c>
      <c r="H12" s="1">
        <v>180</v>
      </c>
      <c r="I12" s="1" t="s">
        <v>39</v>
      </c>
      <c r="J12" s="1"/>
      <c r="K12" s="1">
        <v>99</v>
      </c>
      <c r="L12" s="1">
        <f t="shared" si="4"/>
        <v>0</v>
      </c>
      <c r="M12" s="1"/>
      <c r="N12" s="1"/>
      <c r="O12" s="1">
        <v>17.969999999999992</v>
      </c>
      <c r="P12" s="1">
        <v>69.430000000000007</v>
      </c>
      <c r="Q12" s="1"/>
      <c r="R12" s="1"/>
      <c r="S12" s="1">
        <v>35.400000000000013</v>
      </c>
      <c r="T12" s="23"/>
      <c r="U12" s="1">
        <f t="shared" si="5"/>
        <v>19.8</v>
      </c>
      <c r="V12" s="5">
        <f t="shared" si="14"/>
        <v>117.9</v>
      </c>
      <c r="W12" s="5">
        <f t="shared" si="13"/>
        <v>117.9</v>
      </c>
      <c r="X12" s="5">
        <f t="shared" si="8"/>
        <v>117.9</v>
      </c>
      <c r="Y12" s="5"/>
      <c r="Z12" s="18"/>
      <c r="AA12" s="18"/>
      <c r="AB12" s="1">
        <f t="shared" si="10"/>
        <v>11.5</v>
      </c>
      <c r="AC12" s="1">
        <f t="shared" si="6"/>
        <v>5.5454545454545459</v>
      </c>
      <c r="AD12" s="1">
        <v>17.600000000000001</v>
      </c>
      <c r="AE12" s="1">
        <v>16.399999999999999</v>
      </c>
      <c r="AF12" s="1">
        <v>14.6</v>
      </c>
      <c r="AG12" s="1">
        <v>13.6</v>
      </c>
      <c r="AH12" s="1">
        <v>13</v>
      </c>
      <c r="AI12" s="1">
        <v>14.4</v>
      </c>
      <c r="AJ12" s="1">
        <v>14.8</v>
      </c>
      <c r="AK12" s="1">
        <v>11.8</v>
      </c>
      <c r="AL12" s="1">
        <v>11</v>
      </c>
      <c r="AM12" s="1">
        <v>15.8</v>
      </c>
      <c r="AN12" s="1"/>
      <c r="AO12" s="1">
        <f t="shared" si="11"/>
        <v>20</v>
      </c>
      <c r="AP12" s="1">
        <f t="shared" si="12"/>
        <v>0</v>
      </c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25">
      <c r="A13" s="1" t="s">
        <v>49</v>
      </c>
      <c r="B13" s="1" t="s">
        <v>44</v>
      </c>
      <c r="C13" s="1">
        <v>49</v>
      </c>
      <c r="D13" s="1"/>
      <c r="E13" s="1">
        <v>41</v>
      </c>
      <c r="F13" s="1">
        <v>1</v>
      </c>
      <c r="G13" s="7">
        <v>0.3</v>
      </c>
      <c r="H13" s="1">
        <v>40</v>
      </c>
      <c r="I13" s="1" t="s">
        <v>39</v>
      </c>
      <c r="J13" s="1"/>
      <c r="K13" s="1">
        <v>99</v>
      </c>
      <c r="L13" s="1">
        <f t="shared" si="4"/>
        <v>-58</v>
      </c>
      <c r="M13" s="1"/>
      <c r="N13" s="1"/>
      <c r="O13" s="1">
        <v>148.44</v>
      </c>
      <c r="P13" s="1">
        <v>41.416200000000003</v>
      </c>
      <c r="Q13" s="1">
        <v>62.383800000000008</v>
      </c>
      <c r="R13" s="1"/>
      <c r="S13" s="1">
        <v>60</v>
      </c>
      <c r="T13" s="23"/>
      <c r="U13" s="1">
        <f t="shared" si="5"/>
        <v>8.1999999999999993</v>
      </c>
      <c r="V13" s="5"/>
      <c r="W13" s="5">
        <f t="shared" si="13"/>
        <v>0</v>
      </c>
      <c r="X13" s="5">
        <f t="shared" si="8"/>
        <v>0</v>
      </c>
      <c r="Y13" s="5"/>
      <c r="Z13" s="18"/>
      <c r="AA13" s="18"/>
      <c r="AB13" s="1">
        <f t="shared" si="10"/>
        <v>38.200000000000003</v>
      </c>
      <c r="AC13" s="1">
        <f t="shared" si="6"/>
        <v>38.200000000000003</v>
      </c>
      <c r="AD13" s="1">
        <v>14</v>
      </c>
      <c r="AE13" s="1">
        <v>26</v>
      </c>
      <c r="AF13" s="1">
        <v>26.8</v>
      </c>
      <c r="AG13" s="1">
        <v>28.8</v>
      </c>
      <c r="AH13" s="1">
        <v>34.799999999999997</v>
      </c>
      <c r="AI13" s="1">
        <v>24.4</v>
      </c>
      <c r="AJ13" s="1">
        <v>28.4</v>
      </c>
      <c r="AK13" s="1">
        <v>36</v>
      </c>
      <c r="AL13" s="1">
        <v>39.4</v>
      </c>
      <c r="AM13" s="1">
        <v>26</v>
      </c>
      <c r="AN13" s="1"/>
      <c r="AO13" s="1">
        <f t="shared" si="11"/>
        <v>0</v>
      </c>
      <c r="AP13" s="1">
        <f t="shared" si="12"/>
        <v>0</v>
      </c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25">
      <c r="A14" s="1" t="s">
        <v>50</v>
      </c>
      <c r="B14" s="1" t="s">
        <v>44</v>
      </c>
      <c r="C14" s="1">
        <v>275</v>
      </c>
      <c r="D14" s="1">
        <v>240</v>
      </c>
      <c r="E14" s="1">
        <v>251</v>
      </c>
      <c r="F14" s="1">
        <v>148</v>
      </c>
      <c r="G14" s="7">
        <v>0.17</v>
      </c>
      <c r="H14" s="1">
        <v>180</v>
      </c>
      <c r="I14" s="1" t="s">
        <v>39</v>
      </c>
      <c r="J14" s="1"/>
      <c r="K14" s="1">
        <v>252</v>
      </c>
      <c r="L14" s="1">
        <f t="shared" si="4"/>
        <v>-1</v>
      </c>
      <c r="M14" s="1"/>
      <c r="N14" s="1"/>
      <c r="O14" s="1">
        <v>0</v>
      </c>
      <c r="P14" s="1">
        <v>64.800000000000182</v>
      </c>
      <c r="Q14" s="1"/>
      <c r="R14" s="1"/>
      <c r="S14" s="1">
        <v>144.89999999999969</v>
      </c>
      <c r="T14" s="23"/>
      <c r="U14" s="1">
        <f t="shared" si="5"/>
        <v>50.2</v>
      </c>
      <c r="V14" s="5">
        <f t="shared" si="14"/>
        <v>219.60000000000019</v>
      </c>
      <c r="W14" s="5">
        <f t="shared" ref="W14:W16" si="17">V14+U14*$W$1</f>
        <v>185.7150000000002</v>
      </c>
      <c r="X14" s="5">
        <f t="shared" si="8"/>
        <v>185.7150000000002</v>
      </c>
      <c r="Y14" s="5"/>
      <c r="Z14" s="18"/>
      <c r="AA14" s="18"/>
      <c r="AB14" s="1">
        <f t="shared" si="10"/>
        <v>10.825000000000001</v>
      </c>
      <c r="AC14" s="1">
        <f t="shared" si="6"/>
        <v>7.1254980079681243</v>
      </c>
      <c r="AD14" s="1">
        <v>51.4</v>
      </c>
      <c r="AE14" s="1">
        <v>41.4</v>
      </c>
      <c r="AF14" s="1">
        <v>38.799999999999997</v>
      </c>
      <c r="AG14" s="1">
        <v>53.8</v>
      </c>
      <c r="AH14" s="1">
        <v>51</v>
      </c>
      <c r="AI14" s="1">
        <v>41</v>
      </c>
      <c r="AJ14" s="1">
        <v>42.6</v>
      </c>
      <c r="AK14" s="1">
        <v>45.8</v>
      </c>
      <c r="AL14" s="1">
        <v>48.6</v>
      </c>
      <c r="AM14" s="1">
        <v>53.8</v>
      </c>
      <c r="AN14" s="1"/>
      <c r="AO14" s="1">
        <f t="shared" si="11"/>
        <v>32</v>
      </c>
      <c r="AP14" s="1">
        <f t="shared" si="12"/>
        <v>0</v>
      </c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25">
      <c r="A15" s="1" t="s">
        <v>51</v>
      </c>
      <c r="B15" s="1" t="s">
        <v>38</v>
      </c>
      <c r="C15" s="1">
        <v>927.28300000000002</v>
      </c>
      <c r="D15" s="1">
        <v>1025.201</v>
      </c>
      <c r="E15" s="1">
        <v>1206.502</v>
      </c>
      <c r="F15" s="1">
        <v>429.78500000000003</v>
      </c>
      <c r="G15" s="7">
        <v>1</v>
      </c>
      <c r="H15" s="1">
        <v>70</v>
      </c>
      <c r="I15" s="1" t="s">
        <v>39</v>
      </c>
      <c r="J15" s="1"/>
      <c r="K15" s="1">
        <v>1181.1300000000001</v>
      </c>
      <c r="L15" s="1">
        <f t="shared" si="4"/>
        <v>25.371999999999844</v>
      </c>
      <c r="M15" s="1"/>
      <c r="N15" s="1"/>
      <c r="O15" s="1">
        <v>197.61519999999999</v>
      </c>
      <c r="P15" s="1">
        <v>189.69679024800001</v>
      </c>
      <c r="Q15" s="1">
        <v>285.73376175200002</v>
      </c>
      <c r="R15" s="1"/>
      <c r="S15" s="1">
        <v>799.82261599999981</v>
      </c>
      <c r="T15" s="23"/>
      <c r="U15" s="1">
        <f t="shared" si="5"/>
        <v>241.3004</v>
      </c>
      <c r="V15" s="5">
        <f t="shared" si="14"/>
        <v>872.30123200000003</v>
      </c>
      <c r="W15" s="5">
        <f t="shared" si="17"/>
        <v>709.42346199999997</v>
      </c>
      <c r="X15" s="5">
        <f t="shared" si="8"/>
        <v>378.83212870799997</v>
      </c>
      <c r="Y15" s="5">
        <f t="shared" ref="Y15:Y16" si="18">W15*$Y$1</f>
        <v>330.591333292</v>
      </c>
      <c r="Z15" s="18"/>
      <c r="AA15" s="18"/>
      <c r="AB15" s="1">
        <f t="shared" si="10"/>
        <v>10.824999999999999</v>
      </c>
      <c r="AC15" s="1">
        <f t="shared" si="6"/>
        <v>7.8849988147553827</v>
      </c>
      <c r="AD15" s="1">
        <v>251.9812</v>
      </c>
      <c r="AE15" s="1">
        <v>212.7294</v>
      </c>
      <c r="AF15" s="1">
        <v>208.01599999999999</v>
      </c>
      <c r="AG15" s="1">
        <v>228.04939999999999</v>
      </c>
      <c r="AH15" s="1">
        <v>224.29179999999999</v>
      </c>
      <c r="AI15" s="1">
        <v>230.38239999999999</v>
      </c>
      <c r="AJ15" s="1">
        <v>239.61060000000001</v>
      </c>
      <c r="AK15" s="1">
        <v>266.99099999999999</v>
      </c>
      <c r="AL15" s="1">
        <v>267.36419999999998</v>
      </c>
      <c r="AM15" s="1">
        <v>230.82159999999999</v>
      </c>
      <c r="AN15" s="1"/>
      <c r="AO15" s="1">
        <f t="shared" si="11"/>
        <v>379</v>
      </c>
      <c r="AP15" s="1">
        <f t="shared" si="12"/>
        <v>331</v>
      </c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25">
      <c r="A16" s="1" t="s">
        <v>52</v>
      </c>
      <c r="B16" s="1" t="s">
        <v>38</v>
      </c>
      <c r="C16" s="1">
        <v>1524.0630000000001</v>
      </c>
      <c r="D16" s="1">
        <v>4546.1930000000002</v>
      </c>
      <c r="E16" s="1">
        <v>4101.9709999999995</v>
      </c>
      <c r="F16" s="1">
        <v>1093.6849999999999</v>
      </c>
      <c r="G16" s="7">
        <v>1</v>
      </c>
      <c r="H16" s="1">
        <v>50</v>
      </c>
      <c r="I16" s="1" t="s">
        <v>39</v>
      </c>
      <c r="J16" s="1"/>
      <c r="K16" s="1">
        <v>4131.1000000000004</v>
      </c>
      <c r="L16" s="1">
        <f t="shared" si="4"/>
        <v>-29.129000000000815</v>
      </c>
      <c r="M16" s="1"/>
      <c r="N16" s="1"/>
      <c r="O16" s="1">
        <v>1255.168210000001</v>
      </c>
      <c r="P16" s="1">
        <v>1036.5572569379999</v>
      </c>
      <c r="Q16" s="1">
        <v>1561.3306050619999</v>
      </c>
      <c r="R16" s="1">
        <v>350</v>
      </c>
      <c r="S16" s="1">
        <v>1025.1134679999991</v>
      </c>
      <c r="T16" s="23"/>
      <c r="U16" s="1">
        <f t="shared" si="5"/>
        <v>820.39419999999996</v>
      </c>
      <c r="V16" s="5">
        <f t="shared" si="14"/>
        <v>3112.6787599999993</v>
      </c>
      <c r="W16" s="5">
        <f t="shared" si="17"/>
        <v>2558.9126749999996</v>
      </c>
      <c r="X16" s="5">
        <f t="shared" si="8"/>
        <v>1366.4593684499996</v>
      </c>
      <c r="Y16" s="5">
        <f t="shared" si="18"/>
        <v>1192.45330655</v>
      </c>
      <c r="Z16" s="18"/>
      <c r="AA16" s="18"/>
      <c r="AB16" s="1">
        <f t="shared" si="10"/>
        <v>10.825000000000001</v>
      </c>
      <c r="AC16" s="1">
        <f t="shared" si="6"/>
        <v>7.7058742492328696</v>
      </c>
      <c r="AD16" s="1">
        <v>843.31100000000004</v>
      </c>
      <c r="AE16" s="1">
        <v>795.35839999999996</v>
      </c>
      <c r="AF16" s="1">
        <v>775.00980000000004</v>
      </c>
      <c r="AG16" s="1">
        <v>780.07339999999999</v>
      </c>
      <c r="AH16" s="1">
        <v>675.8442</v>
      </c>
      <c r="AI16" s="1">
        <v>640.81600000000003</v>
      </c>
      <c r="AJ16" s="1">
        <v>767.41360000000009</v>
      </c>
      <c r="AK16" s="1">
        <v>828.15359999999998</v>
      </c>
      <c r="AL16" s="1">
        <v>790.303</v>
      </c>
      <c r="AM16" s="1">
        <v>764.45860000000005</v>
      </c>
      <c r="AN16" s="1"/>
      <c r="AO16" s="1">
        <f t="shared" si="11"/>
        <v>1366</v>
      </c>
      <c r="AP16" s="1">
        <f t="shared" si="12"/>
        <v>1192</v>
      </c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x14ac:dyDescent="0.25">
      <c r="A17" s="1" t="s">
        <v>53</v>
      </c>
      <c r="B17" s="1" t="s">
        <v>38</v>
      </c>
      <c r="C17" s="1">
        <v>64.173000000000002</v>
      </c>
      <c r="D17" s="1">
        <v>43.320999999999998</v>
      </c>
      <c r="E17" s="1">
        <v>73.244</v>
      </c>
      <c r="F17" s="12">
        <f>15.673+F18</f>
        <v>-0.33700000000000152</v>
      </c>
      <c r="G17" s="7">
        <v>1</v>
      </c>
      <c r="H17" s="1">
        <v>60</v>
      </c>
      <c r="I17" s="1" t="s">
        <v>39</v>
      </c>
      <c r="J17" s="1"/>
      <c r="K17" s="1">
        <v>71.400000000000006</v>
      </c>
      <c r="L17" s="1">
        <f t="shared" si="4"/>
        <v>1.8439999999999941</v>
      </c>
      <c r="M17" s="1"/>
      <c r="N17" s="1"/>
      <c r="O17" s="1">
        <v>48.839610000000043</v>
      </c>
      <c r="P17" s="1">
        <v>26.878889999999981</v>
      </c>
      <c r="Q17" s="1"/>
      <c r="R17" s="1"/>
      <c r="S17" s="1">
        <v>0</v>
      </c>
      <c r="T17" s="23"/>
      <c r="U17" s="1">
        <f t="shared" si="5"/>
        <v>14.6488</v>
      </c>
      <c r="V17" s="5">
        <f t="shared" si="14"/>
        <v>93.07969999999996</v>
      </c>
      <c r="W17" s="5">
        <f t="shared" si="13"/>
        <v>93.07969999999996</v>
      </c>
      <c r="X17" s="5">
        <f t="shared" si="8"/>
        <v>93.07969999999996</v>
      </c>
      <c r="Y17" s="5"/>
      <c r="Z17" s="18"/>
      <c r="AA17" s="18"/>
      <c r="AB17" s="1">
        <f t="shared" si="10"/>
        <v>11.499999999999998</v>
      </c>
      <c r="AC17" s="1">
        <f t="shared" si="6"/>
        <v>5.1459163890557598</v>
      </c>
      <c r="AD17" s="1">
        <v>13.383800000000001</v>
      </c>
      <c r="AE17" s="1">
        <v>14.3032</v>
      </c>
      <c r="AF17" s="1">
        <v>16.235800000000001</v>
      </c>
      <c r="AG17" s="1">
        <v>14.9642</v>
      </c>
      <c r="AH17" s="1">
        <v>13.9262</v>
      </c>
      <c r="AI17" s="1">
        <v>16.6556</v>
      </c>
      <c r="AJ17" s="1">
        <v>20.724799999999998</v>
      </c>
      <c r="AK17" s="1">
        <v>23.348199999999999</v>
      </c>
      <c r="AL17" s="1">
        <v>19.873799999999999</v>
      </c>
      <c r="AM17" s="1">
        <v>16.658200000000001</v>
      </c>
      <c r="AN17" s="1"/>
      <c r="AO17" s="1">
        <f t="shared" si="11"/>
        <v>93</v>
      </c>
      <c r="AP17" s="1">
        <f t="shared" si="12"/>
        <v>0</v>
      </c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x14ac:dyDescent="0.25">
      <c r="A18" s="9" t="s">
        <v>54</v>
      </c>
      <c r="B18" s="9" t="s">
        <v>38</v>
      </c>
      <c r="C18" s="9"/>
      <c r="D18" s="9"/>
      <c r="E18" s="9"/>
      <c r="F18" s="12">
        <v>-16.010000000000002</v>
      </c>
      <c r="G18" s="10">
        <v>0</v>
      </c>
      <c r="H18" s="9"/>
      <c r="I18" s="9" t="s">
        <v>55</v>
      </c>
      <c r="J18" s="9" t="s">
        <v>53</v>
      </c>
      <c r="K18" s="9"/>
      <c r="L18" s="9">
        <f t="shared" si="4"/>
        <v>0</v>
      </c>
      <c r="M18" s="9"/>
      <c r="N18" s="9"/>
      <c r="O18" s="9"/>
      <c r="P18" s="9"/>
      <c r="Q18" s="9"/>
      <c r="R18" s="9"/>
      <c r="S18" s="9"/>
      <c r="T18" s="26"/>
      <c r="U18" s="9">
        <f t="shared" si="5"/>
        <v>0</v>
      </c>
      <c r="V18" s="11"/>
      <c r="W18" s="5">
        <f t="shared" si="13"/>
        <v>0</v>
      </c>
      <c r="X18" s="5">
        <f t="shared" si="8"/>
        <v>0</v>
      </c>
      <c r="Y18" s="5"/>
      <c r="Z18" s="18"/>
      <c r="AA18" s="18"/>
      <c r="AB18" s="1" t="e">
        <f t="shared" si="10"/>
        <v>#DIV/0!</v>
      </c>
      <c r="AC18" s="9" t="e">
        <f t="shared" si="6"/>
        <v>#DIV/0!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/>
      <c r="AO18" s="1">
        <f t="shared" si="11"/>
        <v>0</v>
      </c>
      <c r="AP18" s="1">
        <f t="shared" si="12"/>
        <v>0</v>
      </c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x14ac:dyDescent="0.25">
      <c r="A19" s="1" t="s">
        <v>56</v>
      </c>
      <c r="B19" s="1" t="s">
        <v>38</v>
      </c>
      <c r="C19" s="1">
        <v>58.759</v>
      </c>
      <c r="D19" s="1">
        <v>31.82</v>
      </c>
      <c r="E19" s="1">
        <v>87.847999999999999</v>
      </c>
      <c r="F19" s="1">
        <v>-3.802</v>
      </c>
      <c r="G19" s="7">
        <v>1</v>
      </c>
      <c r="H19" s="1">
        <v>60</v>
      </c>
      <c r="I19" s="1" t="s">
        <v>39</v>
      </c>
      <c r="J19" s="1"/>
      <c r="K19" s="1">
        <v>91.04</v>
      </c>
      <c r="L19" s="1">
        <f t="shared" si="4"/>
        <v>-3.1920000000000073</v>
      </c>
      <c r="M19" s="1"/>
      <c r="N19" s="1"/>
      <c r="O19" s="1">
        <v>0</v>
      </c>
      <c r="P19" s="1">
        <v>50.497040999999982</v>
      </c>
      <c r="Q19" s="1">
        <v>76.061958999999973</v>
      </c>
      <c r="R19" s="1"/>
      <c r="S19" s="1">
        <v>82.926600000000008</v>
      </c>
      <c r="T19" s="23"/>
      <c r="U19" s="1">
        <f t="shared" si="5"/>
        <v>17.569600000000001</v>
      </c>
      <c r="V19" s="5"/>
      <c r="W19" s="5">
        <f t="shared" si="13"/>
        <v>0</v>
      </c>
      <c r="X19" s="5">
        <f t="shared" si="8"/>
        <v>0</v>
      </c>
      <c r="Y19" s="5"/>
      <c r="Z19" s="18"/>
      <c r="AA19" s="18"/>
      <c r="AB19" s="1">
        <f t="shared" si="10"/>
        <v>11.706788999180398</v>
      </c>
      <c r="AC19" s="1">
        <f t="shared" si="6"/>
        <v>11.706788999180398</v>
      </c>
      <c r="AD19" s="1">
        <v>22.449200000000001</v>
      </c>
      <c r="AE19" s="1">
        <v>16.527799999999999</v>
      </c>
      <c r="AF19" s="1">
        <v>9.158199999999999</v>
      </c>
      <c r="AG19" s="1">
        <v>12.9864</v>
      </c>
      <c r="AH19" s="1">
        <v>14.903</v>
      </c>
      <c r="AI19" s="1">
        <v>10.818</v>
      </c>
      <c r="AJ19" s="1">
        <v>13.6614</v>
      </c>
      <c r="AK19" s="1">
        <v>18.693000000000001</v>
      </c>
      <c r="AL19" s="1">
        <v>17.530200000000001</v>
      </c>
      <c r="AM19" s="1">
        <v>12.1244</v>
      </c>
      <c r="AN19" s="1"/>
      <c r="AO19" s="1">
        <f t="shared" si="11"/>
        <v>0</v>
      </c>
      <c r="AP19" s="1">
        <f t="shared" si="12"/>
        <v>0</v>
      </c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25">
      <c r="A20" s="1" t="s">
        <v>57</v>
      </c>
      <c r="B20" s="1" t="s">
        <v>38</v>
      </c>
      <c r="C20" s="1">
        <v>29.632000000000001</v>
      </c>
      <c r="D20" s="1">
        <v>13.885</v>
      </c>
      <c r="E20" s="1">
        <v>10.366</v>
      </c>
      <c r="F20" s="1">
        <v>29.141999999999999</v>
      </c>
      <c r="G20" s="7">
        <v>1</v>
      </c>
      <c r="H20" s="1">
        <v>180</v>
      </c>
      <c r="I20" s="1" t="s">
        <v>39</v>
      </c>
      <c r="J20" s="1"/>
      <c r="K20" s="1">
        <v>10.41</v>
      </c>
      <c r="L20" s="1">
        <f t="shared" si="4"/>
        <v>-4.4000000000000483E-2</v>
      </c>
      <c r="M20" s="1"/>
      <c r="N20" s="1"/>
      <c r="O20" s="1">
        <v>0</v>
      </c>
      <c r="P20" s="1">
        <v>0</v>
      </c>
      <c r="Q20" s="1"/>
      <c r="R20" s="1"/>
      <c r="S20" s="1">
        <v>0</v>
      </c>
      <c r="T20" s="23"/>
      <c r="U20" s="1">
        <f t="shared" si="5"/>
        <v>2.0731999999999999</v>
      </c>
      <c r="V20" s="5"/>
      <c r="W20" s="5">
        <f t="shared" si="13"/>
        <v>0</v>
      </c>
      <c r="X20" s="5">
        <f t="shared" si="8"/>
        <v>0</v>
      </c>
      <c r="Y20" s="5"/>
      <c r="Z20" s="18"/>
      <c r="AA20" s="18"/>
      <c r="AB20" s="1">
        <f t="shared" si="10"/>
        <v>14.056530966621647</v>
      </c>
      <c r="AC20" s="1">
        <f t="shared" si="6"/>
        <v>14.056530966621647</v>
      </c>
      <c r="AD20" s="1">
        <v>2.1372</v>
      </c>
      <c r="AE20" s="1">
        <v>2.093</v>
      </c>
      <c r="AF20" s="1">
        <v>2.0362</v>
      </c>
      <c r="AG20" s="1">
        <v>3.6604000000000001</v>
      </c>
      <c r="AH20" s="1">
        <v>3.3679999999999999</v>
      </c>
      <c r="AI20" s="1">
        <v>1.5246</v>
      </c>
      <c r="AJ20" s="1">
        <v>1.8056000000000001</v>
      </c>
      <c r="AK20" s="1">
        <v>1.9366000000000001</v>
      </c>
      <c r="AL20" s="1">
        <v>1.5718000000000001</v>
      </c>
      <c r="AM20" s="1">
        <v>1.7906</v>
      </c>
      <c r="AN20" s="1"/>
      <c r="AO20" s="1">
        <f t="shared" si="11"/>
        <v>0</v>
      </c>
      <c r="AP20" s="1">
        <f t="shared" si="12"/>
        <v>0</v>
      </c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25">
      <c r="A21" s="1" t="s">
        <v>58</v>
      </c>
      <c r="B21" s="1" t="s">
        <v>38</v>
      </c>
      <c r="C21" s="1">
        <v>636.32100000000003</v>
      </c>
      <c r="D21" s="1">
        <v>1319.508</v>
      </c>
      <c r="E21" s="1">
        <v>1273.6220000000001</v>
      </c>
      <c r="F21" s="1">
        <v>346.95800000000003</v>
      </c>
      <c r="G21" s="7">
        <v>1</v>
      </c>
      <c r="H21" s="1">
        <v>60</v>
      </c>
      <c r="I21" s="1" t="s">
        <v>39</v>
      </c>
      <c r="J21" s="1"/>
      <c r="K21" s="1">
        <v>1236.538</v>
      </c>
      <c r="L21" s="1">
        <f t="shared" si="4"/>
        <v>37.08400000000006</v>
      </c>
      <c r="M21" s="1"/>
      <c r="N21" s="1"/>
      <c r="O21" s="1">
        <v>511.51721036549549</v>
      </c>
      <c r="P21" s="1">
        <v>319.59263595000027</v>
      </c>
      <c r="Q21" s="1">
        <v>481.39141405000032</v>
      </c>
      <c r="R21" s="1"/>
      <c r="S21" s="1">
        <v>400</v>
      </c>
      <c r="T21" s="23"/>
      <c r="U21" s="1">
        <f t="shared" si="5"/>
        <v>254.7244</v>
      </c>
      <c r="V21" s="5">
        <f t="shared" ref="V21:V23" si="19">11.5*U21-S21-R21-Q21-P21-O21-F21</f>
        <v>869.87133963450424</v>
      </c>
      <c r="W21" s="5">
        <f t="shared" ref="W21:W22" si="20">V21+U21*$W$1</f>
        <v>697.9323696345042</v>
      </c>
      <c r="X21" s="5">
        <f t="shared" si="8"/>
        <v>372.6958853848252</v>
      </c>
      <c r="Y21" s="5">
        <f>W21*$Y$1</f>
        <v>325.23648424967899</v>
      </c>
      <c r="Z21" s="18"/>
      <c r="AA21" s="18"/>
      <c r="AB21" s="1">
        <f t="shared" si="10"/>
        <v>10.825000000000003</v>
      </c>
      <c r="AC21" s="1">
        <f t="shared" si="6"/>
        <v>8.085049019118296</v>
      </c>
      <c r="AD21" s="1">
        <v>268.49160000000001</v>
      </c>
      <c r="AE21" s="1">
        <v>269.43599999999998</v>
      </c>
      <c r="AF21" s="1">
        <v>262.96539999999999</v>
      </c>
      <c r="AG21" s="1">
        <v>261.03739999999999</v>
      </c>
      <c r="AH21" s="1">
        <v>231.03299999999999</v>
      </c>
      <c r="AI21" s="1">
        <v>231.0196</v>
      </c>
      <c r="AJ21" s="1">
        <v>266.68880000000001</v>
      </c>
      <c r="AK21" s="1">
        <v>289.93419999999998</v>
      </c>
      <c r="AL21" s="1">
        <v>292.35160000000002</v>
      </c>
      <c r="AM21" s="1">
        <v>267.48160000000001</v>
      </c>
      <c r="AN21" s="1"/>
      <c r="AO21" s="1">
        <f t="shared" si="11"/>
        <v>373</v>
      </c>
      <c r="AP21" s="1">
        <f t="shared" si="12"/>
        <v>325</v>
      </c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25">
      <c r="A22" s="1" t="s">
        <v>59</v>
      </c>
      <c r="B22" s="1" t="s">
        <v>38</v>
      </c>
      <c r="C22" s="1">
        <v>183.36699999999999</v>
      </c>
      <c r="D22" s="1">
        <v>127.548</v>
      </c>
      <c r="E22" s="1">
        <v>293.33499999999998</v>
      </c>
      <c r="F22" s="1">
        <v>-35.738999999999997</v>
      </c>
      <c r="G22" s="7">
        <v>1</v>
      </c>
      <c r="H22" s="1">
        <v>70</v>
      </c>
      <c r="I22" s="1" t="s">
        <v>39</v>
      </c>
      <c r="J22" s="1"/>
      <c r="K22" s="1">
        <v>278.91500000000002</v>
      </c>
      <c r="L22" s="1">
        <f t="shared" si="4"/>
        <v>14.419999999999959</v>
      </c>
      <c r="M22" s="1"/>
      <c r="N22" s="1"/>
      <c r="O22" s="1">
        <v>38.685419000000053</v>
      </c>
      <c r="P22" s="1">
        <v>55.510499940000059</v>
      </c>
      <c r="Q22" s="1">
        <v>83.613560060000069</v>
      </c>
      <c r="R22" s="1"/>
      <c r="S22" s="1">
        <v>298.31002099999978</v>
      </c>
      <c r="T22" s="23"/>
      <c r="U22" s="1">
        <f t="shared" si="5"/>
        <v>58.666999999999994</v>
      </c>
      <c r="V22" s="5">
        <f t="shared" si="19"/>
        <v>234.29000000000002</v>
      </c>
      <c r="W22" s="5">
        <f t="shared" si="20"/>
        <v>194.68977500000003</v>
      </c>
      <c r="X22" s="5">
        <f t="shared" si="8"/>
        <v>194.68977500000003</v>
      </c>
      <c r="Y22" s="5"/>
      <c r="Z22" s="18"/>
      <c r="AA22" s="18"/>
      <c r="AB22" s="1">
        <f t="shared" si="10"/>
        <v>10.825000000000001</v>
      </c>
      <c r="AC22" s="1">
        <f t="shared" si="6"/>
        <v>7.5064431452094027</v>
      </c>
      <c r="AD22" s="1">
        <v>58.697000000000003</v>
      </c>
      <c r="AE22" s="1">
        <v>36.935400000000001</v>
      </c>
      <c r="AF22" s="1">
        <v>36.135199999999998</v>
      </c>
      <c r="AG22" s="1">
        <v>38.785600000000002</v>
      </c>
      <c r="AH22" s="1">
        <v>36.6614</v>
      </c>
      <c r="AI22" s="1">
        <v>41.685199999999988</v>
      </c>
      <c r="AJ22" s="1">
        <v>47.904600000000002</v>
      </c>
      <c r="AK22" s="1">
        <v>59.2864</v>
      </c>
      <c r="AL22" s="1">
        <v>56.157799999999988</v>
      </c>
      <c r="AM22" s="1">
        <v>44.815800000000003</v>
      </c>
      <c r="AN22" s="1"/>
      <c r="AO22" s="1">
        <f t="shared" si="11"/>
        <v>195</v>
      </c>
      <c r="AP22" s="1">
        <f t="shared" si="12"/>
        <v>0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25">
      <c r="A23" s="1" t="s">
        <v>60</v>
      </c>
      <c r="B23" s="1" t="s">
        <v>38</v>
      </c>
      <c r="C23" s="1">
        <v>237.238</v>
      </c>
      <c r="D23" s="1">
        <v>501.94</v>
      </c>
      <c r="E23" s="1">
        <v>454.87900000000002</v>
      </c>
      <c r="F23" s="1">
        <v>197.13200000000001</v>
      </c>
      <c r="G23" s="7">
        <v>1</v>
      </c>
      <c r="H23" s="1">
        <v>70</v>
      </c>
      <c r="I23" s="1" t="s">
        <v>39</v>
      </c>
      <c r="J23" s="1"/>
      <c r="K23" s="1">
        <v>450.28500000000003</v>
      </c>
      <c r="L23" s="1">
        <f t="shared" si="4"/>
        <v>4.5939999999999941</v>
      </c>
      <c r="M23" s="1"/>
      <c r="N23" s="1"/>
      <c r="O23" s="1">
        <v>160.14661000000029</v>
      </c>
      <c r="P23" s="1">
        <v>159.6</v>
      </c>
      <c r="Q23" s="1">
        <v>240.4</v>
      </c>
      <c r="R23" s="1"/>
      <c r="S23" s="1">
        <v>28.20978999999971</v>
      </c>
      <c r="T23" s="23"/>
      <c r="U23" s="1">
        <f t="shared" si="5"/>
        <v>90.975800000000007</v>
      </c>
      <c r="V23" s="5">
        <f t="shared" si="19"/>
        <v>260.7333000000001</v>
      </c>
      <c r="W23" s="5">
        <f>Z23</f>
        <v>400</v>
      </c>
      <c r="X23" s="5">
        <f t="shared" si="8"/>
        <v>213.6</v>
      </c>
      <c r="Y23" s="5">
        <f>W23*$Y$1</f>
        <v>186.4</v>
      </c>
      <c r="Z23" s="18">
        <f>VLOOKUP(A23,[1]Sheet!$A:$W,22,0)</f>
        <v>400</v>
      </c>
      <c r="AA23" s="18" t="str">
        <f>VLOOKUP(A23,[1]Sheet!$A:$W,23,0)</f>
        <v>промо</v>
      </c>
      <c r="AB23" s="1">
        <f t="shared" si="10"/>
        <v>13.030810391334837</v>
      </c>
      <c r="AC23" s="1">
        <f t="shared" si="6"/>
        <v>8.6340367438373704</v>
      </c>
      <c r="AD23" s="1">
        <v>96.378799999999998</v>
      </c>
      <c r="AE23" s="1">
        <v>86.611599999999996</v>
      </c>
      <c r="AF23" s="1">
        <v>92.844200000000001</v>
      </c>
      <c r="AG23" s="1">
        <v>90.825400000000002</v>
      </c>
      <c r="AH23" s="1">
        <v>80.068399999999997</v>
      </c>
      <c r="AI23" s="1">
        <v>83.840599999999995</v>
      </c>
      <c r="AJ23" s="1">
        <v>97.186000000000007</v>
      </c>
      <c r="AK23" s="1">
        <v>100.78400000000001</v>
      </c>
      <c r="AL23" s="1">
        <v>98.3446</v>
      </c>
      <c r="AM23" s="1">
        <v>86.057199999999995</v>
      </c>
      <c r="AN23" s="1"/>
      <c r="AO23" s="1">
        <f t="shared" si="11"/>
        <v>214</v>
      </c>
      <c r="AP23" s="1">
        <f t="shared" si="12"/>
        <v>186</v>
      </c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x14ac:dyDescent="0.25">
      <c r="A24" s="9" t="s">
        <v>61</v>
      </c>
      <c r="B24" s="9" t="s">
        <v>38</v>
      </c>
      <c r="C24" s="9"/>
      <c r="D24" s="9"/>
      <c r="E24" s="9"/>
      <c r="F24" s="9"/>
      <c r="G24" s="10">
        <v>0</v>
      </c>
      <c r="H24" s="9"/>
      <c r="I24" s="9" t="s">
        <v>39</v>
      </c>
      <c r="J24" s="9"/>
      <c r="K24" s="9"/>
      <c r="L24" s="9">
        <f t="shared" si="4"/>
        <v>0</v>
      </c>
      <c r="M24" s="9"/>
      <c r="N24" s="9"/>
      <c r="O24" s="9">
        <v>0</v>
      </c>
      <c r="P24" s="9">
        <v>0</v>
      </c>
      <c r="Q24" s="9"/>
      <c r="R24" s="9"/>
      <c r="S24" s="9">
        <v>0</v>
      </c>
      <c r="T24" s="26"/>
      <c r="U24" s="9">
        <f t="shared" si="5"/>
        <v>0</v>
      </c>
      <c r="V24" s="11"/>
      <c r="W24" s="5">
        <f t="shared" si="13"/>
        <v>0</v>
      </c>
      <c r="X24" s="5">
        <f t="shared" si="8"/>
        <v>0</v>
      </c>
      <c r="Y24" s="5"/>
      <c r="Z24" s="18"/>
      <c r="AA24" s="18"/>
      <c r="AB24" s="1" t="e">
        <f t="shared" si="10"/>
        <v>#DIV/0!</v>
      </c>
      <c r="AC24" s="9" t="e">
        <f t="shared" si="6"/>
        <v>#DIV/0!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 t="s">
        <v>45</v>
      </c>
      <c r="AO24" s="1">
        <f t="shared" si="11"/>
        <v>0</v>
      </c>
      <c r="AP24" s="1">
        <f t="shared" si="12"/>
        <v>0</v>
      </c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25">
      <c r="A25" s="1" t="s">
        <v>62</v>
      </c>
      <c r="B25" s="1" t="s">
        <v>38</v>
      </c>
      <c r="C25" s="1">
        <v>261.262</v>
      </c>
      <c r="D25" s="1">
        <v>755.27599999999995</v>
      </c>
      <c r="E25" s="1">
        <v>677.04399999999998</v>
      </c>
      <c r="F25" s="1">
        <v>223.86600000000001</v>
      </c>
      <c r="G25" s="7">
        <v>1</v>
      </c>
      <c r="H25" s="1">
        <v>70</v>
      </c>
      <c r="I25" s="1" t="s">
        <v>39</v>
      </c>
      <c r="J25" s="1"/>
      <c r="K25" s="1">
        <v>657.17499999999995</v>
      </c>
      <c r="L25" s="1">
        <f t="shared" si="4"/>
        <v>19.869000000000028</v>
      </c>
      <c r="M25" s="1"/>
      <c r="N25" s="1"/>
      <c r="O25" s="1">
        <v>266.16336999999999</v>
      </c>
      <c r="P25" s="1">
        <v>168.095434584</v>
      </c>
      <c r="Q25" s="1">
        <v>253.19638141600001</v>
      </c>
      <c r="R25" s="1"/>
      <c r="S25" s="1">
        <v>211.38951400000019</v>
      </c>
      <c r="T25" s="23"/>
      <c r="U25" s="1">
        <f t="shared" si="5"/>
        <v>135.40879999999999</v>
      </c>
      <c r="V25" s="5">
        <f t="shared" ref="V25:V30" si="21">11.5*U25-S25-R25-Q25-P25-O25-F25</f>
        <v>434.49049999999966</v>
      </c>
      <c r="W25" s="5">
        <f t="shared" ref="W25" si="22">Z25</f>
        <v>620</v>
      </c>
      <c r="X25" s="5">
        <f t="shared" si="8"/>
        <v>331.08</v>
      </c>
      <c r="Y25" s="5">
        <f>W25*$Y$1</f>
        <v>288.92</v>
      </c>
      <c r="Z25" s="18">
        <f>VLOOKUP(A25,[1]Sheet!$A:$W,22,0)</f>
        <v>620</v>
      </c>
      <c r="AA25" s="18" t="str">
        <f>VLOOKUP(A25,[1]Sheet!$A:$W,23,0)</f>
        <v>промо</v>
      </c>
      <c r="AB25" s="1">
        <f t="shared" si="10"/>
        <v>12.869995893915316</v>
      </c>
      <c r="AC25" s="1">
        <f t="shared" si="6"/>
        <v>8.2912683666054221</v>
      </c>
      <c r="AD25" s="1">
        <v>142.03540000000001</v>
      </c>
      <c r="AE25" s="1">
        <v>141.16919999999999</v>
      </c>
      <c r="AF25" s="1">
        <v>138.0496</v>
      </c>
      <c r="AG25" s="1">
        <v>134.48500000000001</v>
      </c>
      <c r="AH25" s="1">
        <v>114.6332</v>
      </c>
      <c r="AI25" s="1">
        <v>122.8556</v>
      </c>
      <c r="AJ25" s="1">
        <v>154.4462</v>
      </c>
      <c r="AK25" s="1">
        <v>156.86439999999999</v>
      </c>
      <c r="AL25" s="1">
        <v>146.11439999999999</v>
      </c>
      <c r="AM25" s="1">
        <v>137.9374</v>
      </c>
      <c r="AN25" s="1"/>
      <c r="AO25" s="1">
        <f t="shared" si="11"/>
        <v>331</v>
      </c>
      <c r="AP25" s="1">
        <f t="shared" si="12"/>
        <v>289</v>
      </c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x14ac:dyDescent="0.25">
      <c r="A26" s="1" t="s">
        <v>63</v>
      </c>
      <c r="B26" s="1" t="s">
        <v>38</v>
      </c>
      <c r="C26" s="1">
        <v>198.89699999999999</v>
      </c>
      <c r="D26" s="1"/>
      <c r="E26" s="1">
        <v>56.347999999999999</v>
      </c>
      <c r="F26" s="1">
        <v>125.279</v>
      </c>
      <c r="G26" s="7">
        <v>1</v>
      </c>
      <c r="H26" s="1">
        <v>40</v>
      </c>
      <c r="I26" s="1" t="s">
        <v>39</v>
      </c>
      <c r="J26" s="1"/>
      <c r="K26" s="1">
        <v>58.45</v>
      </c>
      <c r="L26" s="1">
        <f t="shared" si="4"/>
        <v>-2.1020000000000039</v>
      </c>
      <c r="M26" s="1"/>
      <c r="N26" s="1"/>
      <c r="O26" s="1">
        <v>43.43865999999997</v>
      </c>
      <c r="P26" s="1">
        <v>27.605140000000031</v>
      </c>
      <c r="Q26" s="1"/>
      <c r="R26" s="1"/>
      <c r="S26" s="1">
        <v>0</v>
      </c>
      <c r="T26" s="23"/>
      <c r="U26" s="1">
        <f t="shared" si="5"/>
        <v>11.269600000000001</v>
      </c>
      <c r="V26" s="5"/>
      <c r="W26" s="5">
        <v>40</v>
      </c>
      <c r="X26" s="5">
        <f t="shared" si="8"/>
        <v>40</v>
      </c>
      <c r="Y26" s="5"/>
      <c r="Z26" s="18">
        <f>VLOOKUP(A26,[1]Sheet!$A:$W,22,0)</f>
        <v>60</v>
      </c>
      <c r="AA26" s="18"/>
      <c r="AB26" s="1">
        <f t="shared" si="10"/>
        <v>20.96993682118265</v>
      </c>
      <c r="AC26" s="1">
        <f t="shared" si="6"/>
        <v>17.420565059984384</v>
      </c>
      <c r="AD26" s="1">
        <v>12.119400000000001</v>
      </c>
      <c r="AE26" s="1">
        <v>22.339200000000002</v>
      </c>
      <c r="AF26" s="1">
        <v>22.230799999999999</v>
      </c>
      <c r="AG26" s="1">
        <v>20.890999999999998</v>
      </c>
      <c r="AH26" s="1">
        <v>21.743400000000001</v>
      </c>
      <c r="AI26" s="1">
        <v>31.498799999999999</v>
      </c>
      <c r="AJ26" s="1">
        <v>36.451999999999998</v>
      </c>
      <c r="AK26" s="1">
        <v>28.552800000000001</v>
      </c>
      <c r="AL26" s="1">
        <v>25.166799999999999</v>
      </c>
      <c r="AM26" s="1">
        <v>29.244199999999999</v>
      </c>
      <c r="AN26" s="1"/>
      <c r="AO26" s="1">
        <f t="shared" si="11"/>
        <v>40</v>
      </c>
      <c r="AP26" s="1">
        <f t="shared" si="12"/>
        <v>0</v>
      </c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25">
      <c r="A27" s="1" t="s">
        <v>64</v>
      </c>
      <c r="B27" s="1" t="s">
        <v>38</v>
      </c>
      <c r="C27" s="1">
        <v>263.00900000000001</v>
      </c>
      <c r="D27" s="1">
        <v>187.03399999999999</v>
      </c>
      <c r="E27" s="1">
        <v>278.303</v>
      </c>
      <c r="F27" s="1">
        <v>103.979</v>
      </c>
      <c r="G27" s="7">
        <v>1</v>
      </c>
      <c r="H27" s="1">
        <v>30</v>
      </c>
      <c r="I27" s="1" t="s">
        <v>39</v>
      </c>
      <c r="J27" s="1"/>
      <c r="K27" s="1">
        <v>268.25</v>
      </c>
      <c r="L27" s="1">
        <f t="shared" si="4"/>
        <v>10.052999999999997</v>
      </c>
      <c r="M27" s="1"/>
      <c r="N27" s="1"/>
      <c r="O27" s="1">
        <v>45.380360000000003</v>
      </c>
      <c r="P27" s="1">
        <v>44.83272528000002</v>
      </c>
      <c r="Q27" s="1">
        <v>67.529994720000033</v>
      </c>
      <c r="R27" s="1"/>
      <c r="S27" s="1">
        <v>165.20831999999999</v>
      </c>
      <c r="T27" s="23"/>
      <c r="U27" s="1">
        <f t="shared" si="5"/>
        <v>55.660600000000002</v>
      </c>
      <c r="V27" s="5">
        <f t="shared" si="21"/>
        <v>213.16649999999998</v>
      </c>
      <c r="W27" s="5">
        <f>V27+U27*$W$1</f>
        <v>175.59559499999997</v>
      </c>
      <c r="X27" s="5">
        <f t="shared" si="8"/>
        <v>175.59559499999997</v>
      </c>
      <c r="Y27" s="5"/>
      <c r="Z27" s="18"/>
      <c r="AA27" s="18"/>
      <c r="AB27" s="1">
        <f t="shared" si="10"/>
        <v>10.825000000000001</v>
      </c>
      <c r="AC27" s="1">
        <f t="shared" si="6"/>
        <v>7.6702443020736402</v>
      </c>
      <c r="AD27" s="1">
        <v>55.000800000000012</v>
      </c>
      <c r="AE27" s="1">
        <v>47.564</v>
      </c>
      <c r="AF27" s="1">
        <v>47.768799999999999</v>
      </c>
      <c r="AG27" s="1">
        <v>53.683399999999992</v>
      </c>
      <c r="AH27" s="1">
        <v>55.056600000000003</v>
      </c>
      <c r="AI27" s="1">
        <v>34.062199999999997</v>
      </c>
      <c r="AJ27" s="1">
        <v>31.221399999999999</v>
      </c>
      <c r="AK27" s="1">
        <v>46.425600000000003</v>
      </c>
      <c r="AL27" s="1">
        <v>48.891800000000003</v>
      </c>
      <c r="AM27" s="1">
        <v>43.962200000000003</v>
      </c>
      <c r="AN27" s="1"/>
      <c r="AO27" s="1">
        <f t="shared" si="11"/>
        <v>176</v>
      </c>
      <c r="AP27" s="1">
        <f t="shared" si="12"/>
        <v>0</v>
      </c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25">
      <c r="A28" s="1" t="s">
        <v>65</v>
      </c>
      <c r="B28" s="1" t="s">
        <v>38</v>
      </c>
      <c r="C28" s="1">
        <v>193.66399999999999</v>
      </c>
      <c r="D28" s="1">
        <v>98.554000000000002</v>
      </c>
      <c r="E28" s="1">
        <v>203.76900000000001</v>
      </c>
      <c r="F28" s="1">
        <v>47.567</v>
      </c>
      <c r="G28" s="7">
        <v>1</v>
      </c>
      <c r="H28" s="1">
        <v>40</v>
      </c>
      <c r="I28" s="15" t="s">
        <v>42</v>
      </c>
      <c r="J28" s="1"/>
      <c r="K28" s="1">
        <v>200.7</v>
      </c>
      <c r="L28" s="1">
        <f t="shared" si="4"/>
        <v>3.0690000000000168</v>
      </c>
      <c r="M28" s="1"/>
      <c r="N28" s="1"/>
      <c r="O28" s="1">
        <v>87.108980000000145</v>
      </c>
      <c r="P28" s="1">
        <v>60.721408019999963</v>
      </c>
      <c r="Q28" s="1">
        <v>91.462571979999922</v>
      </c>
      <c r="R28" s="1"/>
      <c r="S28" s="1">
        <v>28.729640000000021</v>
      </c>
      <c r="T28" s="23"/>
      <c r="U28" s="1">
        <f t="shared" si="5"/>
        <v>40.753799999999998</v>
      </c>
      <c r="V28" s="5">
        <f t="shared" si="21"/>
        <v>153.07909999999993</v>
      </c>
      <c r="W28" s="5">
        <f t="shared" si="13"/>
        <v>153.07909999999993</v>
      </c>
      <c r="X28" s="5">
        <f t="shared" si="8"/>
        <v>153.07909999999993</v>
      </c>
      <c r="Y28" s="5"/>
      <c r="Z28" s="18"/>
      <c r="AA28" s="18"/>
      <c r="AB28" s="1">
        <f t="shared" si="10"/>
        <v>11.5</v>
      </c>
      <c r="AC28" s="1">
        <f t="shared" si="6"/>
        <v>7.7438079393823402</v>
      </c>
      <c r="AD28" s="1">
        <v>40.241199999999999</v>
      </c>
      <c r="AE28" s="1">
        <v>43.129600000000003</v>
      </c>
      <c r="AF28" s="1">
        <v>39.3996</v>
      </c>
      <c r="AG28" s="1">
        <v>39.060400000000001</v>
      </c>
      <c r="AH28" s="1">
        <v>40.458199999999998</v>
      </c>
      <c r="AI28" s="1">
        <v>28.9742</v>
      </c>
      <c r="AJ28" s="1">
        <v>29.550999999999998</v>
      </c>
      <c r="AK28" s="1">
        <v>35.141000000000012</v>
      </c>
      <c r="AL28" s="1">
        <v>39.5794</v>
      </c>
      <c r="AM28" s="1">
        <v>32.5458</v>
      </c>
      <c r="AN28" s="1"/>
      <c r="AO28" s="1">
        <f t="shared" si="11"/>
        <v>153</v>
      </c>
      <c r="AP28" s="1">
        <f t="shared" si="12"/>
        <v>0</v>
      </c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25">
      <c r="A29" s="1" t="s">
        <v>66</v>
      </c>
      <c r="B29" s="1" t="s">
        <v>38</v>
      </c>
      <c r="C29" s="1">
        <v>930.70399999999995</v>
      </c>
      <c r="D29" s="1">
        <v>889.66800000000001</v>
      </c>
      <c r="E29" s="1">
        <v>1191.088</v>
      </c>
      <c r="F29" s="1">
        <v>242.20400000000001</v>
      </c>
      <c r="G29" s="7">
        <v>1</v>
      </c>
      <c r="H29" s="1">
        <v>30</v>
      </c>
      <c r="I29" s="15" t="s">
        <v>42</v>
      </c>
      <c r="J29" s="1"/>
      <c r="K29" s="1">
        <v>1235.3499999999999</v>
      </c>
      <c r="L29" s="1">
        <f t="shared" si="4"/>
        <v>-44.261999999999944</v>
      </c>
      <c r="M29" s="1"/>
      <c r="N29" s="1"/>
      <c r="O29" s="1">
        <v>441.44283999999948</v>
      </c>
      <c r="P29" s="1">
        <v>345.36804951600033</v>
      </c>
      <c r="Q29" s="1">
        <v>520.21603448400026</v>
      </c>
      <c r="R29" s="1"/>
      <c r="S29" s="1">
        <v>249.75496399999989</v>
      </c>
      <c r="T29" s="23"/>
      <c r="U29" s="1">
        <f t="shared" si="5"/>
        <v>238.2176</v>
      </c>
      <c r="V29" s="5">
        <f t="shared" si="21"/>
        <v>940.51651199999992</v>
      </c>
      <c r="W29" s="5">
        <f t="shared" ref="W29:W30" si="23">V29+U29*$W$1</f>
        <v>779.71963199999993</v>
      </c>
      <c r="X29" s="5">
        <f t="shared" si="8"/>
        <v>416.37028348799993</v>
      </c>
      <c r="Y29" s="5">
        <f t="shared" ref="Y29:Y30" si="24">W29*$Y$1</f>
        <v>363.34934851200001</v>
      </c>
      <c r="Z29" s="18"/>
      <c r="AA29" s="18"/>
      <c r="AB29" s="1">
        <f t="shared" si="10"/>
        <v>10.824999999999999</v>
      </c>
      <c r="AC29" s="1">
        <f t="shared" si="6"/>
        <v>7.5518596778743463</v>
      </c>
      <c r="AD29" s="1">
        <v>250.89920000000001</v>
      </c>
      <c r="AE29" s="1">
        <v>256.14980000000003</v>
      </c>
      <c r="AF29" s="1">
        <v>243.46600000000001</v>
      </c>
      <c r="AG29" s="1">
        <v>244.32079999999999</v>
      </c>
      <c r="AH29" s="1">
        <v>256.52339999999998</v>
      </c>
      <c r="AI29" s="1">
        <v>270.452</v>
      </c>
      <c r="AJ29" s="1">
        <v>280.71120000000002</v>
      </c>
      <c r="AK29" s="1">
        <v>310.25920000000002</v>
      </c>
      <c r="AL29" s="1">
        <v>314.48059999999998</v>
      </c>
      <c r="AM29" s="1">
        <v>320.68</v>
      </c>
      <c r="AN29" s="1"/>
      <c r="AO29" s="1">
        <f t="shared" si="11"/>
        <v>416</v>
      </c>
      <c r="AP29" s="1">
        <f t="shared" si="12"/>
        <v>363</v>
      </c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x14ac:dyDescent="0.25">
      <c r="A30" s="1" t="s">
        <v>67</v>
      </c>
      <c r="B30" s="1" t="s">
        <v>38</v>
      </c>
      <c r="C30" s="1">
        <v>1275.8789999999999</v>
      </c>
      <c r="D30" s="1">
        <v>1441.0719999999999</v>
      </c>
      <c r="E30" s="1">
        <v>1880.018</v>
      </c>
      <c r="F30" s="1">
        <v>461.93799999999999</v>
      </c>
      <c r="G30" s="7">
        <v>1</v>
      </c>
      <c r="H30" s="1">
        <v>40</v>
      </c>
      <c r="I30" s="1" t="s">
        <v>39</v>
      </c>
      <c r="J30" s="1"/>
      <c r="K30" s="1">
        <v>1763.2</v>
      </c>
      <c r="L30" s="1">
        <f t="shared" si="4"/>
        <v>116.81799999999998</v>
      </c>
      <c r="M30" s="1"/>
      <c r="N30" s="1"/>
      <c r="O30" s="1">
        <v>317.93592999999998</v>
      </c>
      <c r="P30" s="1">
        <v>560.12652771600028</v>
      </c>
      <c r="Q30" s="1">
        <v>843.69935628400026</v>
      </c>
      <c r="R30" s="1"/>
      <c r="S30" s="1">
        <v>631.89380599999959</v>
      </c>
      <c r="T30" s="23"/>
      <c r="U30" s="1">
        <f t="shared" si="5"/>
        <v>376.00360000000001</v>
      </c>
      <c r="V30" s="5">
        <f t="shared" si="21"/>
        <v>1508.44778</v>
      </c>
      <c r="W30" s="5">
        <f t="shared" si="23"/>
        <v>1254.64535</v>
      </c>
      <c r="X30" s="5">
        <f t="shared" si="8"/>
        <v>669.98061689999997</v>
      </c>
      <c r="Y30" s="5">
        <f t="shared" si="24"/>
        <v>584.66473310000003</v>
      </c>
      <c r="Z30" s="18"/>
      <c r="AA30" s="18"/>
      <c r="AB30" s="1">
        <f t="shared" si="10"/>
        <v>10.825000000000001</v>
      </c>
      <c r="AC30" s="1">
        <f t="shared" si="6"/>
        <v>7.4882092086352365</v>
      </c>
      <c r="AD30" s="1">
        <v>381.28300000000002</v>
      </c>
      <c r="AE30" s="1">
        <v>367.99079999999998</v>
      </c>
      <c r="AF30" s="1">
        <v>334.6694</v>
      </c>
      <c r="AG30" s="1">
        <v>360.96960000000001</v>
      </c>
      <c r="AH30" s="1">
        <v>349.10199999999998</v>
      </c>
      <c r="AI30" s="1">
        <v>355.59320000000002</v>
      </c>
      <c r="AJ30" s="1">
        <v>382.23180000000002</v>
      </c>
      <c r="AK30" s="1">
        <v>388.74599999999998</v>
      </c>
      <c r="AL30" s="1">
        <v>399.38979999999998</v>
      </c>
      <c r="AM30" s="1">
        <v>362.9348</v>
      </c>
      <c r="AN30" s="1"/>
      <c r="AO30" s="1">
        <f t="shared" si="11"/>
        <v>670</v>
      </c>
      <c r="AP30" s="1">
        <f t="shared" si="12"/>
        <v>585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25">
      <c r="A31" s="9" t="s">
        <v>68</v>
      </c>
      <c r="B31" s="9" t="s">
        <v>38</v>
      </c>
      <c r="C31" s="9"/>
      <c r="D31" s="9"/>
      <c r="E31" s="9"/>
      <c r="F31" s="9"/>
      <c r="G31" s="10">
        <v>0</v>
      </c>
      <c r="H31" s="9"/>
      <c r="I31" s="9" t="s">
        <v>39</v>
      </c>
      <c r="J31" s="9"/>
      <c r="K31" s="9"/>
      <c r="L31" s="9">
        <f t="shared" si="4"/>
        <v>0</v>
      </c>
      <c r="M31" s="9"/>
      <c r="N31" s="9"/>
      <c r="O31" s="9">
        <v>0</v>
      </c>
      <c r="P31" s="9">
        <v>0</v>
      </c>
      <c r="Q31" s="9"/>
      <c r="R31" s="9"/>
      <c r="S31" s="9">
        <v>0</v>
      </c>
      <c r="T31" s="26"/>
      <c r="U31" s="9">
        <f t="shared" si="5"/>
        <v>0</v>
      </c>
      <c r="V31" s="11"/>
      <c r="W31" s="5">
        <f t="shared" si="13"/>
        <v>0</v>
      </c>
      <c r="X31" s="5">
        <f t="shared" si="8"/>
        <v>0</v>
      </c>
      <c r="Y31" s="5"/>
      <c r="Z31" s="18"/>
      <c r="AA31" s="18"/>
      <c r="AB31" s="1" t="e">
        <f t="shared" si="10"/>
        <v>#DIV/0!</v>
      </c>
      <c r="AC31" s="9" t="e">
        <f t="shared" si="6"/>
        <v>#DIV/0!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 t="s">
        <v>45</v>
      </c>
      <c r="AO31" s="1">
        <f t="shared" si="11"/>
        <v>0</v>
      </c>
      <c r="AP31" s="1">
        <f t="shared" si="12"/>
        <v>0</v>
      </c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x14ac:dyDescent="0.25">
      <c r="A32" s="1" t="s">
        <v>69</v>
      </c>
      <c r="B32" s="1" t="s">
        <v>38</v>
      </c>
      <c r="C32" s="1">
        <v>72.463999999999999</v>
      </c>
      <c r="D32" s="1">
        <v>193.898</v>
      </c>
      <c r="E32" s="1">
        <v>211.232</v>
      </c>
      <c r="F32" s="1">
        <v>6.6950000000000003</v>
      </c>
      <c r="G32" s="7">
        <v>1</v>
      </c>
      <c r="H32" s="1">
        <v>30</v>
      </c>
      <c r="I32" s="15" t="s">
        <v>42</v>
      </c>
      <c r="J32" s="1"/>
      <c r="K32" s="1">
        <v>220.4</v>
      </c>
      <c r="L32" s="1">
        <f t="shared" si="4"/>
        <v>-9.1680000000000064</v>
      </c>
      <c r="M32" s="1"/>
      <c r="N32" s="1"/>
      <c r="O32" s="1">
        <v>119.4489490000003</v>
      </c>
      <c r="P32" s="1">
        <v>91.407149400000037</v>
      </c>
      <c r="Q32" s="1">
        <v>137.68345059999999</v>
      </c>
      <c r="R32" s="1"/>
      <c r="S32" s="1">
        <v>0</v>
      </c>
      <c r="T32" s="23"/>
      <c r="U32" s="1">
        <f t="shared" si="5"/>
        <v>42.246400000000001</v>
      </c>
      <c r="V32" s="5">
        <f>11.5*U32-S32-R32-Q32-P32-O32-F32</f>
        <v>130.59905099999969</v>
      </c>
      <c r="W32" s="5">
        <f t="shared" si="13"/>
        <v>130.59905099999969</v>
      </c>
      <c r="X32" s="5">
        <f t="shared" si="8"/>
        <v>130.59905099999969</v>
      </c>
      <c r="Y32" s="5"/>
      <c r="Z32" s="18"/>
      <c r="AA32" s="18"/>
      <c r="AB32" s="1">
        <f t="shared" si="10"/>
        <v>11.5</v>
      </c>
      <c r="AC32" s="1">
        <f t="shared" si="6"/>
        <v>8.4086347949174449</v>
      </c>
      <c r="AD32" s="1">
        <v>44.314</v>
      </c>
      <c r="AE32" s="1">
        <v>49.142000000000003</v>
      </c>
      <c r="AF32" s="1">
        <v>42.608800000000002</v>
      </c>
      <c r="AG32" s="1">
        <v>39.976999999999997</v>
      </c>
      <c r="AH32" s="1">
        <v>38.119399999999999</v>
      </c>
      <c r="AI32" s="1">
        <v>30.584399999999999</v>
      </c>
      <c r="AJ32" s="1">
        <v>31.743400000000001</v>
      </c>
      <c r="AK32" s="1">
        <v>43.1676</v>
      </c>
      <c r="AL32" s="1">
        <v>41.247399999999999</v>
      </c>
      <c r="AM32" s="1">
        <v>33.716799999999999</v>
      </c>
      <c r="AN32" s="1"/>
      <c r="AO32" s="1">
        <f t="shared" si="11"/>
        <v>131</v>
      </c>
      <c r="AP32" s="1">
        <f t="shared" si="12"/>
        <v>0</v>
      </c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x14ac:dyDescent="0.25">
      <c r="A33" s="9" t="s">
        <v>70</v>
      </c>
      <c r="B33" s="9" t="s">
        <v>38</v>
      </c>
      <c r="C33" s="9"/>
      <c r="D33" s="9"/>
      <c r="E33" s="9"/>
      <c r="F33" s="9"/>
      <c r="G33" s="10">
        <v>0</v>
      </c>
      <c r="H33" s="9"/>
      <c r="I33" s="9" t="s">
        <v>39</v>
      </c>
      <c r="J33" s="9"/>
      <c r="K33" s="9"/>
      <c r="L33" s="9">
        <f t="shared" si="4"/>
        <v>0</v>
      </c>
      <c r="M33" s="9"/>
      <c r="N33" s="9"/>
      <c r="O33" s="9">
        <v>0</v>
      </c>
      <c r="P33" s="9">
        <v>0</v>
      </c>
      <c r="Q33" s="9"/>
      <c r="R33" s="9"/>
      <c r="S33" s="9">
        <v>0</v>
      </c>
      <c r="T33" s="26"/>
      <c r="U33" s="9">
        <f t="shared" si="5"/>
        <v>0</v>
      </c>
      <c r="V33" s="11"/>
      <c r="W33" s="5">
        <f t="shared" si="13"/>
        <v>0</v>
      </c>
      <c r="X33" s="5">
        <f t="shared" si="8"/>
        <v>0</v>
      </c>
      <c r="Y33" s="5"/>
      <c r="Z33" s="18"/>
      <c r="AA33" s="18"/>
      <c r="AB33" s="1" t="e">
        <f t="shared" si="10"/>
        <v>#DIV/0!</v>
      </c>
      <c r="AC33" s="9" t="e">
        <f t="shared" si="6"/>
        <v>#DIV/0!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 t="s">
        <v>45</v>
      </c>
      <c r="AO33" s="1">
        <f t="shared" si="11"/>
        <v>0</v>
      </c>
      <c r="AP33" s="1">
        <f t="shared" si="12"/>
        <v>0</v>
      </c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x14ac:dyDescent="0.25">
      <c r="A34" s="9" t="s">
        <v>71</v>
      </c>
      <c r="B34" s="9" t="s">
        <v>38</v>
      </c>
      <c r="C34" s="9"/>
      <c r="D34" s="9"/>
      <c r="E34" s="9"/>
      <c r="F34" s="9"/>
      <c r="G34" s="10">
        <v>0</v>
      </c>
      <c r="H34" s="9"/>
      <c r="I34" s="9" t="s">
        <v>39</v>
      </c>
      <c r="J34" s="9"/>
      <c r="K34" s="9"/>
      <c r="L34" s="9">
        <f t="shared" si="4"/>
        <v>0</v>
      </c>
      <c r="M34" s="9"/>
      <c r="N34" s="9"/>
      <c r="O34" s="9">
        <v>0</v>
      </c>
      <c r="P34" s="9">
        <v>0</v>
      </c>
      <c r="Q34" s="9"/>
      <c r="R34" s="9"/>
      <c r="S34" s="9">
        <v>0</v>
      </c>
      <c r="T34" s="26"/>
      <c r="U34" s="9">
        <f t="shared" si="5"/>
        <v>0</v>
      </c>
      <c r="V34" s="11"/>
      <c r="W34" s="5">
        <f t="shared" si="13"/>
        <v>0</v>
      </c>
      <c r="X34" s="5">
        <f t="shared" si="8"/>
        <v>0</v>
      </c>
      <c r="Y34" s="5"/>
      <c r="Z34" s="18"/>
      <c r="AA34" s="18"/>
      <c r="AB34" s="1" t="e">
        <f t="shared" si="10"/>
        <v>#DIV/0!</v>
      </c>
      <c r="AC34" s="9" t="e">
        <f t="shared" si="6"/>
        <v>#DIV/0!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 t="s">
        <v>45</v>
      </c>
      <c r="AO34" s="1">
        <f t="shared" si="11"/>
        <v>0</v>
      </c>
      <c r="AP34" s="1">
        <f t="shared" si="12"/>
        <v>0</v>
      </c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x14ac:dyDescent="0.25">
      <c r="A35" s="1" t="s">
        <v>72</v>
      </c>
      <c r="B35" s="1" t="s">
        <v>44</v>
      </c>
      <c r="C35" s="1">
        <v>3130</v>
      </c>
      <c r="D35" s="1">
        <v>3675</v>
      </c>
      <c r="E35" s="1">
        <v>5074</v>
      </c>
      <c r="F35" s="1">
        <v>543</v>
      </c>
      <c r="G35" s="7">
        <v>0.4</v>
      </c>
      <c r="H35" s="1">
        <v>45</v>
      </c>
      <c r="I35" s="15" t="s">
        <v>42</v>
      </c>
      <c r="J35" s="1"/>
      <c r="K35" s="1">
        <v>5151</v>
      </c>
      <c r="L35" s="1">
        <f t="shared" si="4"/>
        <v>-77</v>
      </c>
      <c r="M35" s="1"/>
      <c r="N35" s="1"/>
      <c r="O35" s="1">
        <v>2337.751999999999</v>
      </c>
      <c r="P35" s="1">
        <v>1323.897162</v>
      </c>
      <c r="Q35" s="1">
        <v>1994.140838</v>
      </c>
      <c r="R35" s="1"/>
      <c r="S35" s="1">
        <v>1550.4820000000011</v>
      </c>
      <c r="T35" s="23"/>
      <c r="U35" s="1">
        <f t="shared" si="5"/>
        <v>1014.8</v>
      </c>
      <c r="V35" s="5">
        <f t="shared" ref="V35:V85" si="25">11.5*U35-S35-R35-Q35-P35-O35-F35</f>
        <v>3920.9279999999981</v>
      </c>
      <c r="W35" s="5">
        <f t="shared" ref="W35:W37" si="26">V35+U35*$W$1</f>
        <v>3235.9379999999983</v>
      </c>
      <c r="X35" s="5">
        <f t="shared" si="8"/>
        <v>1727.9908919999989</v>
      </c>
      <c r="Y35" s="5">
        <f>W35*$Y$1</f>
        <v>1507.9471079999994</v>
      </c>
      <c r="Z35" s="18"/>
      <c r="AA35" s="18"/>
      <c r="AB35" s="1">
        <f t="shared" si="10"/>
        <v>10.824999999999999</v>
      </c>
      <c r="AC35" s="1">
        <f t="shared" si="6"/>
        <v>7.6362554197871502</v>
      </c>
      <c r="AD35" s="1">
        <v>1044.8</v>
      </c>
      <c r="AE35" s="1">
        <v>1015.6</v>
      </c>
      <c r="AF35" s="1">
        <v>977.8</v>
      </c>
      <c r="AG35" s="1">
        <v>931.4</v>
      </c>
      <c r="AH35" s="1">
        <v>904.4</v>
      </c>
      <c r="AI35" s="1">
        <v>986.06000000000006</v>
      </c>
      <c r="AJ35" s="1">
        <v>1036.6600000000001</v>
      </c>
      <c r="AK35" s="1">
        <v>1083.5999999999999</v>
      </c>
      <c r="AL35" s="1">
        <v>1082</v>
      </c>
      <c r="AM35" s="1">
        <v>1122.8</v>
      </c>
      <c r="AN35" s="1"/>
      <c r="AO35" s="1">
        <f t="shared" si="11"/>
        <v>691</v>
      </c>
      <c r="AP35" s="1">
        <f t="shared" si="12"/>
        <v>603</v>
      </c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25">
      <c r="A36" s="1" t="s">
        <v>73</v>
      </c>
      <c r="B36" s="1" t="s">
        <v>44</v>
      </c>
      <c r="C36" s="1">
        <v>526</v>
      </c>
      <c r="D36" s="1">
        <v>19</v>
      </c>
      <c r="E36" s="1">
        <v>534</v>
      </c>
      <c r="F36" s="1">
        <v>2</v>
      </c>
      <c r="G36" s="7">
        <v>0.45</v>
      </c>
      <c r="H36" s="1">
        <v>50</v>
      </c>
      <c r="I36" s="1" t="s">
        <v>39</v>
      </c>
      <c r="J36" s="1"/>
      <c r="K36" s="1">
        <v>557</v>
      </c>
      <c r="L36" s="1">
        <f t="shared" si="4"/>
        <v>-23</v>
      </c>
      <c r="M36" s="1"/>
      <c r="N36" s="1"/>
      <c r="O36" s="1">
        <v>350.5150000000001</v>
      </c>
      <c r="P36" s="1">
        <v>152.47306199999991</v>
      </c>
      <c r="Q36" s="1">
        <v>229.66493799999989</v>
      </c>
      <c r="R36" s="1"/>
      <c r="S36" s="1">
        <v>221.54700000000011</v>
      </c>
      <c r="T36" s="23"/>
      <c r="U36" s="1">
        <f t="shared" si="5"/>
        <v>106.8</v>
      </c>
      <c r="V36" s="5">
        <f t="shared" si="25"/>
        <v>272</v>
      </c>
      <c r="W36" s="5">
        <f t="shared" si="26"/>
        <v>199.91</v>
      </c>
      <c r="X36" s="5">
        <f t="shared" si="8"/>
        <v>199.91</v>
      </c>
      <c r="Y36" s="5"/>
      <c r="Z36" s="18"/>
      <c r="AA36" s="18"/>
      <c r="AB36" s="1">
        <f t="shared" si="10"/>
        <v>10.825000000000001</v>
      </c>
      <c r="AC36" s="1">
        <f t="shared" si="6"/>
        <v>8.9531835205992518</v>
      </c>
      <c r="AD36" s="1">
        <v>106.4</v>
      </c>
      <c r="AE36" s="1">
        <v>99.6</v>
      </c>
      <c r="AF36" s="1">
        <v>93.4</v>
      </c>
      <c r="AG36" s="1">
        <v>77.2</v>
      </c>
      <c r="AH36" s="1">
        <v>88.4</v>
      </c>
      <c r="AI36" s="1">
        <v>113.2</v>
      </c>
      <c r="AJ36" s="1">
        <v>104.8</v>
      </c>
      <c r="AK36" s="1">
        <v>113.8</v>
      </c>
      <c r="AL36" s="1">
        <v>116.6</v>
      </c>
      <c r="AM36" s="1">
        <v>125.4</v>
      </c>
      <c r="AN36" s="1"/>
      <c r="AO36" s="1">
        <f t="shared" si="11"/>
        <v>90</v>
      </c>
      <c r="AP36" s="1">
        <f t="shared" si="12"/>
        <v>0</v>
      </c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x14ac:dyDescent="0.25">
      <c r="A37" s="1" t="s">
        <v>74</v>
      </c>
      <c r="B37" s="1" t="s">
        <v>44</v>
      </c>
      <c r="C37" s="1">
        <v>744</v>
      </c>
      <c r="D37" s="1">
        <v>460</v>
      </c>
      <c r="E37" s="1">
        <v>912</v>
      </c>
      <c r="F37" s="1">
        <v>105</v>
      </c>
      <c r="G37" s="7">
        <v>0.4</v>
      </c>
      <c r="H37" s="1">
        <v>45</v>
      </c>
      <c r="I37" s="1" t="s">
        <v>39</v>
      </c>
      <c r="J37" s="1"/>
      <c r="K37" s="1">
        <v>930</v>
      </c>
      <c r="L37" s="1">
        <f t="shared" si="4"/>
        <v>-18</v>
      </c>
      <c r="M37" s="1"/>
      <c r="N37" s="1"/>
      <c r="O37" s="1">
        <v>386.3700000000004</v>
      </c>
      <c r="P37" s="1">
        <v>262.45422000000002</v>
      </c>
      <c r="Q37" s="1">
        <v>395.32578000000001</v>
      </c>
      <c r="R37" s="1"/>
      <c r="S37" s="1">
        <v>400.56999999999948</v>
      </c>
      <c r="T37" s="23"/>
      <c r="U37" s="1">
        <f t="shared" si="5"/>
        <v>182.4</v>
      </c>
      <c r="V37" s="5">
        <f t="shared" si="25"/>
        <v>547.88000000000011</v>
      </c>
      <c r="W37" s="5">
        <f t="shared" si="26"/>
        <v>424.7600000000001</v>
      </c>
      <c r="X37" s="5">
        <f t="shared" si="8"/>
        <v>226.82184000000004</v>
      </c>
      <c r="Y37" s="5">
        <f>W37*$Y$1</f>
        <v>197.93816000000007</v>
      </c>
      <c r="Z37" s="18"/>
      <c r="AA37" s="18"/>
      <c r="AB37" s="1">
        <f t="shared" si="10"/>
        <v>10.824999999999999</v>
      </c>
      <c r="AC37" s="1">
        <f t="shared" si="6"/>
        <v>8.4962719298245606</v>
      </c>
      <c r="AD37" s="1">
        <v>198</v>
      </c>
      <c r="AE37" s="1">
        <v>182</v>
      </c>
      <c r="AF37" s="1">
        <v>176.4</v>
      </c>
      <c r="AG37" s="1">
        <v>177.2</v>
      </c>
      <c r="AH37" s="1">
        <v>188</v>
      </c>
      <c r="AI37" s="1">
        <v>197.4</v>
      </c>
      <c r="AJ37" s="1">
        <v>174.8</v>
      </c>
      <c r="AK37" s="1">
        <v>159.4</v>
      </c>
      <c r="AL37" s="1">
        <v>167.6</v>
      </c>
      <c r="AM37" s="1">
        <v>160.4</v>
      </c>
      <c r="AN37" s="1"/>
      <c r="AO37" s="1">
        <f t="shared" si="11"/>
        <v>91</v>
      </c>
      <c r="AP37" s="1">
        <f t="shared" si="12"/>
        <v>79</v>
      </c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x14ac:dyDescent="0.25">
      <c r="A38" s="1" t="s">
        <v>75</v>
      </c>
      <c r="B38" s="1" t="s">
        <v>44</v>
      </c>
      <c r="C38" s="1">
        <v>15</v>
      </c>
      <c r="D38" s="1">
        <v>12</v>
      </c>
      <c r="E38" s="1">
        <v>24</v>
      </c>
      <c r="F38" s="1">
        <v>3</v>
      </c>
      <c r="G38" s="7">
        <v>0.4</v>
      </c>
      <c r="H38" s="1">
        <v>40</v>
      </c>
      <c r="I38" s="1" t="s">
        <v>39</v>
      </c>
      <c r="J38" s="1"/>
      <c r="K38" s="1">
        <v>30</v>
      </c>
      <c r="L38" s="1">
        <f t="shared" ref="L38:L69" si="27">E38-K38</f>
        <v>-6</v>
      </c>
      <c r="M38" s="1"/>
      <c r="N38" s="1"/>
      <c r="O38" s="1">
        <v>9.2200000000000042</v>
      </c>
      <c r="P38" s="1">
        <v>9.8799999999999955</v>
      </c>
      <c r="Q38" s="1"/>
      <c r="R38" s="1"/>
      <c r="S38" s="1">
        <v>6</v>
      </c>
      <c r="T38" s="23"/>
      <c r="U38" s="1">
        <f t="shared" ref="U38:U69" si="28">E38/5</f>
        <v>4.8</v>
      </c>
      <c r="V38" s="5">
        <f t="shared" si="25"/>
        <v>27.099999999999994</v>
      </c>
      <c r="W38" s="5">
        <f t="shared" si="13"/>
        <v>27.099999999999994</v>
      </c>
      <c r="X38" s="5">
        <f t="shared" si="8"/>
        <v>27.099999999999994</v>
      </c>
      <c r="Y38" s="5"/>
      <c r="Z38" s="18"/>
      <c r="AA38" s="18"/>
      <c r="AB38" s="1">
        <f t="shared" si="10"/>
        <v>11.5</v>
      </c>
      <c r="AC38" s="1">
        <f t="shared" ref="AC38:AC69" si="29">(F38+O38+P38+Q38+R38+S38)/U38</f>
        <v>5.854166666666667</v>
      </c>
      <c r="AD38" s="1">
        <v>3.6</v>
      </c>
      <c r="AE38" s="1">
        <v>3.4</v>
      </c>
      <c r="AF38" s="1">
        <v>3.6</v>
      </c>
      <c r="AG38" s="1">
        <v>2.8</v>
      </c>
      <c r="AH38" s="1">
        <v>3.4</v>
      </c>
      <c r="AI38" s="1">
        <v>3.6</v>
      </c>
      <c r="AJ38" s="1">
        <v>2.6</v>
      </c>
      <c r="AK38" s="1">
        <v>1.6</v>
      </c>
      <c r="AL38" s="1">
        <v>0.6</v>
      </c>
      <c r="AM38" s="1">
        <v>2</v>
      </c>
      <c r="AN38" s="1"/>
      <c r="AO38" s="1">
        <f t="shared" si="11"/>
        <v>11</v>
      </c>
      <c r="AP38" s="1">
        <f t="shared" si="12"/>
        <v>0</v>
      </c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x14ac:dyDescent="0.25">
      <c r="A39" s="1" t="s">
        <v>76</v>
      </c>
      <c r="B39" s="1" t="s">
        <v>38</v>
      </c>
      <c r="C39" s="1">
        <v>170.87200000000001</v>
      </c>
      <c r="D39" s="1">
        <v>8.5</v>
      </c>
      <c r="E39" s="1">
        <v>136.447</v>
      </c>
      <c r="F39" s="1">
        <v>30.553000000000001</v>
      </c>
      <c r="G39" s="7">
        <v>1</v>
      </c>
      <c r="H39" s="1">
        <v>45</v>
      </c>
      <c r="I39" s="15" t="s">
        <v>42</v>
      </c>
      <c r="J39" s="1"/>
      <c r="K39" s="1">
        <v>123.8</v>
      </c>
      <c r="L39" s="1">
        <f t="shared" si="27"/>
        <v>12.647000000000006</v>
      </c>
      <c r="M39" s="1"/>
      <c r="N39" s="1"/>
      <c r="O39" s="1">
        <v>0</v>
      </c>
      <c r="P39" s="1">
        <v>54.667029900000031</v>
      </c>
      <c r="Q39" s="1">
        <v>82.343070100000048</v>
      </c>
      <c r="R39" s="1"/>
      <c r="S39" s="1">
        <v>72.540599999999955</v>
      </c>
      <c r="T39" s="23"/>
      <c r="U39" s="1">
        <f t="shared" si="28"/>
        <v>27.289400000000001</v>
      </c>
      <c r="V39" s="5">
        <f t="shared" si="25"/>
        <v>73.72439999999996</v>
      </c>
      <c r="W39" s="5">
        <f t="shared" si="13"/>
        <v>73.72439999999996</v>
      </c>
      <c r="X39" s="5">
        <f t="shared" si="8"/>
        <v>73.72439999999996</v>
      </c>
      <c r="Y39" s="5"/>
      <c r="Z39" s="18"/>
      <c r="AA39" s="18"/>
      <c r="AB39" s="1">
        <f t="shared" si="10"/>
        <v>11.5</v>
      </c>
      <c r="AC39" s="1">
        <f t="shared" si="29"/>
        <v>8.7984235637280417</v>
      </c>
      <c r="AD39" s="1">
        <v>28.3154</v>
      </c>
      <c r="AE39" s="1">
        <v>25.433800000000002</v>
      </c>
      <c r="AF39" s="1">
        <v>17.929600000000001</v>
      </c>
      <c r="AG39" s="1">
        <v>24.651</v>
      </c>
      <c r="AH39" s="1">
        <v>30.5916</v>
      </c>
      <c r="AI39" s="1">
        <v>23.4132</v>
      </c>
      <c r="AJ39" s="1">
        <v>27.113600000000002</v>
      </c>
      <c r="AK39" s="1">
        <v>26.136800000000001</v>
      </c>
      <c r="AL39" s="1">
        <v>25.5244</v>
      </c>
      <c r="AM39" s="1">
        <v>32.070399999999999</v>
      </c>
      <c r="AN39" s="1"/>
      <c r="AO39" s="1">
        <f t="shared" si="11"/>
        <v>74</v>
      </c>
      <c r="AP39" s="1">
        <f t="shared" si="12"/>
        <v>0</v>
      </c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25">
      <c r="A40" s="1" t="s">
        <v>77</v>
      </c>
      <c r="B40" s="1" t="s">
        <v>44</v>
      </c>
      <c r="C40" s="1">
        <v>233</v>
      </c>
      <c r="D40" s="1">
        <v>360</v>
      </c>
      <c r="E40" s="1">
        <v>364</v>
      </c>
      <c r="F40" s="1">
        <v>163</v>
      </c>
      <c r="G40" s="7">
        <v>0.1</v>
      </c>
      <c r="H40" s="1">
        <v>731</v>
      </c>
      <c r="I40" s="1" t="s">
        <v>39</v>
      </c>
      <c r="J40" s="1"/>
      <c r="K40" s="1">
        <v>365</v>
      </c>
      <c r="L40" s="1">
        <f t="shared" si="27"/>
        <v>-1</v>
      </c>
      <c r="M40" s="1"/>
      <c r="N40" s="1"/>
      <c r="O40" s="1">
        <v>126.6600000000002</v>
      </c>
      <c r="P40" s="1">
        <v>123.533592</v>
      </c>
      <c r="Q40" s="1">
        <v>186.07440800000001</v>
      </c>
      <c r="R40" s="1"/>
      <c r="S40" s="1">
        <v>120.33199999999979</v>
      </c>
      <c r="T40" s="23"/>
      <c r="U40" s="1">
        <f t="shared" si="28"/>
        <v>72.8</v>
      </c>
      <c r="V40" s="5">
        <f t="shared" si="25"/>
        <v>117.60000000000002</v>
      </c>
      <c r="W40" s="5">
        <f t="shared" si="13"/>
        <v>117.60000000000002</v>
      </c>
      <c r="X40" s="5">
        <f t="shared" si="8"/>
        <v>117.60000000000002</v>
      </c>
      <c r="Y40" s="5"/>
      <c r="Z40" s="18"/>
      <c r="AA40" s="18"/>
      <c r="AB40" s="1">
        <f t="shared" si="10"/>
        <v>11.500000000000002</v>
      </c>
      <c r="AC40" s="1">
        <f t="shared" si="29"/>
        <v>9.884615384615385</v>
      </c>
      <c r="AD40" s="1">
        <v>85.2</v>
      </c>
      <c r="AE40" s="1">
        <v>85.6</v>
      </c>
      <c r="AF40" s="1">
        <v>79.2</v>
      </c>
      <c r="AG40" s="1">
        <v>79</v>
      </c>
      <c r="AH40" s="1">
        <v>73.400000000000006</v>
      </c>
      <c r="AI40" s="1">
        <v>76.599999999999994</v>
      </c>
      <c r="AJ40" s="1">
        <v>83.2</v>
      </c>
      <c r="AK40" s="1">
        <v>87.4</v>
      </c>
      <c r="AL40" s="1">
        <v>84.4</v>
      </c>
      <c r="AM40" s="1">
        <v>92.8</v>
      </c>
      <c r="AN40" s="1"/>
      <c r="AO40" s="1">
        <f t="shared" si="11"/>
        <v>12</v>
      </c>
      <c r="AP40" s="1">
        <f t="shared" si="12"/>
        <v>0</v>
      </c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x14ac:dyDescent="0.25">
      <c r="A41" s="1" t="s">
        <v>78</v>
      </c>
      <c r="B41" s="1" t="s">
        <v>44</v>
      </c>
      <c r="C41" s="1">
        <v>251</v>
      </c>
      <c r="D41" s="1"/>
      <c r="E41" s="1">
        <v>235</v>
      </c>
      <c r="F41" s="1">
        <v>12</v>
      </c>
      <c r="G41" s="7">
        <v>0.35</v>
      </c>
      <c r="H41" s="1">
        <v>40</v>
      </c>
      <c r="I41" s="15" t="s">
        <v>79</v>
      </c>
      <c r="J41" s="1"/>
      <c r="K41" s="1">
        <v>417</v>
      </c>
      <c r="L41" s="1">
        <f t="shared" si="27"/>
        <v>-182</v>
      </c>
      <c r="M41" s="1"/>
      <c r="N41" s="1"/>
      <c r="O41" s="1">
        <v>0</v>
      </c>
      <c r="P41" s="1">
        <v>176.32607999999999</v>
      </c>
      <c r="Q41" s="1">
        <v>265.59392000000003</v>
      </c>
      <c r="R41" s="1"/>
      <c r="S41" s="1">
        <v>443.62799999999999</v>
      </c>
      <c r="T41" s="23"/>
      <c r="U41" s="1">
        <f t="shared" si="28"/>
        <v>47</v>
      </c>
      <c r="V41" s="5"/>
      <c r="W41" s="5">
        <f t="shared" si="13"/>
        <v>0</v>
      </c>
      <c r="X41" s="5">
        <f t="shared" si="8"/>
        <v>0</v>
      </c>
      <c r="Y41" s="5"/>
      <c r="Z41" s="18"/>
      <c r="AA41" s="18"/>
      <c r="AB41" s="1">
        <f t="shared" si="10"/>
        <v>19.096765957446809</v>
      </c>
      <c r="AC41" s="1">
        <f t="shared" si="29"/>
        <v>19.096765957446809</v>
      </c>
      <c r="AD41" s="1">
        <v>98.2</v>
      </c>
      <c r="AE41" s="1">
        <v>74</v>
      </c>
      <c r="AF41" s="1">
        <v>23</v>
      </c>
      <c r="AG41" s="1">
        <v>28.2</v>
      </c>
      <c r="AH41" s="1">
        <v>59.2</v>
      </c>
      <c r="AI41" s="1">
        <v>32.200000000000003</v>
      </c>
      <c r="AJ41" s="1">
        <v>1.2</v>
      </c>
      <c r="AK41" s="1">
        <v>-0.2</v>
      </c>
      <c r="AL41" s="1">
        <v>-0.4</v>
      </c>
      <c r="AM41" s="1">
        <v>13.8</v>
      </c>
      <c r="AN41" s="1" t="s">
        <v>80</v>
      </c>
      <c r="AO41" s="1">
        <f t="shared" si="11"/>
        <v>0</v>
      </c>
      <c r="AP41" s="1">
        <f t="shared" si="12"/>
        <v>0</v>
      </c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x14ac:dyDescent="0.25">
      <c r="A42" s="1" t="s">
        <v>81</v>
      </c>
      <c r="B42" s="1" t="s">
        <v>38</v>
      </c>
      <c r="C42" s="1">
        <v>93.721999999999994</v>
      </c>
      <c r="D42" s="1">
        <v>131.11500000000001</v>
      </c>
      <c r="E42" s="1">
        <v>108.61199999999999</v>
      </c>
      <c r="F42" s="1">
        <v>84.177000000000007</v>
      </c>
      <c r="G42" s="7">
        <v>1</v>
      </c>
      <c r="H42" s="1">
        <v>40</v>
      </c>
      <c r="I42" s="1" t="s">
        <v>39</v>
      </c>
      <c r="J42" s="1"/>
      <c r="K42" s="1">
        <v>117.67</v>
      </c>
      <c r="L42" s="1">
        <f t="shared" si="27"/>
        <v>-9.0580000000000069</v>
      </c>
      <c r="M42" s="1"/>
      <c r="N42" s="1"/>
      <c r="O42" s="1">
        <v>47.680370000000103</v>
      </c>
      <c r="P42" s="1">
        <v>35.551329999999957</v>
      </c>
      <c r="Q42" s="1"/>
      <c r="R42" s="1"/>
      <c r="S42" s="1">
        <v>100</v>
      </c>
      <c r="T42" s="23"/>
      <c r="U42" s="1">
        <f t="shared" si="28"/>
        <v>21.7224</v>
      </c>
      <c r="V42" s="5"/>
      <c r="W42" s="5">
        <v>130</v>
      </c>
      <c r="X42" s="5">
        <f t="shared" si="8"/>
        <v>130</v>
      </c>
      <c r="Y42" s="5"/>
      <c r="Z42" s="18">
        <f>VLOOKUP(A42,[1]Sheet!$A:$W,22,0)</f>
        <v>150</v>
      </c>
      <c r="AA42" s="18"/>
      <c r="AB42" s="1">
        <f t="shared" si="10"/>
        <v>18.294879939601522</v>
      </c>
      <c r="AC42" s="1">
        <f t="shared" si="29"/>
        <v>12.310274187014329</v>
      </c>
      <c r="AD42" s="1">
        <v>22.284199999999998</v>
      </c>
      <c r="AE42" s="1">
        <v>24.135400000000001</v>
      </c>
      <c r="AF42" s="1">
        <v>26.602599999999999</v>
      </c>
      <c r="AG42" s="1">
        <v>26.461400000000001</v>
      </c>
      <c r="AH42" s="1">
        <v>25.2514</v>
      </c>
      <c r="AI42" s="1">
        <v>12.7476</v>
      </c>
      <c r="AJ42" s="1">
        <v>5.3621999999999996</v>
      </c>
      <c r="AK42" s="1">
        <v>18.358599999999999</v>
      </c>
      <c r="AL42" s="1">
        <v>30.653400000000001</v>
      </c>
      <c r="AM42" s="1">
        <v>17.975200000000001</v>
      </c>
      <c r="AN42" s="1"/>
      <c r="AO42" s="1">
        <f t="shared" si="11"/>
        <v>130</v>
      </c>
      <c r="AP42" s="1">
        <f t="shared" si="12"/>
        <v>0</v>
      </c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x14ac:dyDescent="0.25">
      <c r="A43" s="1" t="s">
        <v>82</v>
      </c>
      <c r="B43" s="1" t="s">
        <v>44</v>
      </c>
      <c r="C43" s="1">
        <v>264</v>
      </c>
      <c r="D43" s="1">
        <v>300</v>
      </c>
      <c r="E43" s="1">
        <v>467</v>
      </c>
      <c r="F43" s="1">
        <v>-17</v>
      </c>
      <c r="G43" s="7">
        <v>0.4</v>
      </c>
      <c r="H43" s="1">
        <v>40</v>
      </c>
      <c r="I43" s="15" t="s">
        <v>42</v>
      </c>
      <c r="J43" s="1"/>
      <c r="K43" s="1">
        <v>474</v>
      </c>
      <c r="L43" s="1">
        <f t="shared" si="27"/>
        <v>-7</v>
      </c>
      <c r="M43" s="1"/>
      <c r="N43" s="1"/>
      <c r="O43" s="1">
        <v>0</v>
      </c>
      <c r="P43" s="1">
        <v>70.709999999999951</v>
      </c>
      <c r="Q43" s="1"/>
      <c r="R43" s="1"/>
      <c r="S43" s="1">
        <v>593.59400000000005</v>
      </c>
      <c r="T43" s="23"/>
      <c r="U43" s="1">
        <f t="shared" si="28"/>
        <v>93.4</v>
      </c>
      <c r="V43" s="5">
        <f t="shared" si="25"/>
        <v>426.79600000000016</v>
      </c>
      <c r="W43" s="5">
        <f t="shared" ref="W43:W44" si="30">V43+U43*$W$1</f>
        <v>363.75100000000015</v>
      </c>
      <c r="X43" s="5">
        <f t="shared" si="8"/>
        <v>194.24303400000008</v>
      </c>
      <c r="Y43" s="5">
        <f t="shared" ref="Y43:Y45" si="31">W43*$Y$1</f>
        <v>169.50796600000007</v>
      </c>
      <c r="Z43" s="18"/>
      <c r="AA43" s="18"/>
      <c r="AB43" s="1">
        <f t="shared" si="10"/>
        <v>10.824999999999999</v>
      </c>
      <c r="AC43" s="1">
        <f t="shared" si="29"/>
        <v>6.9304496788008558</v>
      </c>
      <c r="AD43" s="1">
        <v>93.6</v>
      </c>
      <c r="AE43" s="1">
        <v>44.8</v>
      </c>
      <c r="AF43" s="1">
        <v>29.8</v>
      </c>
      <c r="AG43" s="1">
        <v>66.8</v>
      </c>
      <c r="AH43" s="1">
        <v>81.8</v>
      </c>
      <c r="AI43" s="1">
        <v>99.6</v>
      </c>
      <c r="AJ43" s="1">
        <v>112</v>
      </c>
      <c r="AK43" s="1">
        <v>121.8</v>
      </c>
      <c r="AL43" s="1">
        <v>74</v>
      </c>
      <c r="AM43" s="1">
        <v>58.2</v>
      </c>
      <c r="AN43" s="1"/>
      <c r="AO43" s="1">
        <f t="shared" si="11"/>
        <v>78</v>
      </c>
      <c r="AP43" s="1">
        <f t="shared" si="12"/>
        <v>68</v>
      </c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25">
      <c r="A44" s="1" t="s">
        <v>83</v>
      </c>
      <c r="B44" s="1" t="s">
        <v>44</v>
      </c>
      <c r="C44" s="1">
        <v>75</v>
      </c>
      <c r="D44" s="1">
        <v>393</v>
      </c>
      <c r="E44" s="1">
        <v>358</v>
      </c>
      <c r="F44" s="1">
        <v>36</v>
      </c>
      <c r="G44" s="7">
        <v>0.4</v>
      </c>
      <c r="H44" s="1">
        <v>45</v>
      </c>
      <c r="I44" s="15" t="s">
        <v>42</v>
      </c>
      <c r="J44" s="1"/>
      <c r="K44" s="1">
        <v>455</v>
      </c>
      <c r="L44" s="1">
        <f t="shared" si="27"/>
        <v>-97</v>
      </c>
      <c r="M44" s="1"/>
      <c r="N44" s="1"/>
      <c r="O44" s="1">
        <v>99.870000000000076</v>
      </c>
      <c r="P44" s="1">
        <v>75.579377999999963</v>
      </c>
      <c r="Q44" s="1">
        <v>113.84262199999991</v>
      </c>
      <c r="R44" s="1"/>
      <c r="S44" s="1">
        <v>230.40800000000019</v>
      </c>
      <c r="T44" s="23"/>
      <c r="U44" s="1">
        <f t="shared" si="28"/>
        <v>71.599999999999994</v>
      </c>
      <c r="V44" s="5">
        <f t="shared" si="25"/>
        <v>267.69999999999982</v>
      </c>
      <c r="W44" s="5">
        <f t="shared" si="30"/>
        <v>219.36999999999983</v>
      </c>
      <c r="X44" s="5">
        <f t="shared" si="8"/>
        <v>117.1435799999999</v>
      </c>
      <c r="Y44" s="5">
        <f t="shared" si="31"/>
        <v>102.22641999999993</v>
      </c>
      <c r="Z44" s="18"/>
      <c r="AA44" s="18"/>
      <c r="AB44" s="1">
        <f t="shared" si="10"/>
        <v>10.824999999999999</v>
      </c>
      <c r="AC44" s="1">
        <f t="shared" si="29"/>
        <v>7.7611731843575429</v>
      </c>
      <c r="AD44" s="1">
        <v>69.400000000000006</v>
      </c>
      <c r="AE44" s="1">
        <v>62.4</v>
      </c>
      <c r="AF44" s="1">
        <v>58.6</v>
      </c>
      <c r="AG44" s="1">
        <v>60.4</v>
      </c>
      <c r="AH44" s="1">
        <v>45</v>
      </c>
      <c r="AI44" s="1">
        <v>33.799999999999997</v>
      </c>
      <c r="AJ44" s="1">
        <v>43.2</v>
      </c>
      <c r="AK44" s="1">
        <v>55.2</v>
      </c>
      <c r="AL44" s="1">
        <v>56.8</v>
      </c>
      <c r="AM44" s="1">
        <v>32.799999999999997</v>
      </c>
      <c r="AN44" s="1"/>
      <c r="AO44" s="1">
        <f t="shared" si="11"/>
        <v>47</v>
      </c>
      <c r="AP44" s="1">
        <f t="shared" si="12"/>
        <v>41</v>
      </c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25">
      <c r="A45" s="1" t="s">
        <v>84</v>
      </c>
      <c r="B45" s="1" t="s">
        <v>38</v>
      </c>
      <c r="C45" s="1">
        <v>428.94499999999999</v>
      </c>
      <c r="D45" s="1">
        <v>73.834000000000003</v>
      </c>
      <c r="E45" s="1">
        <v>279.42599999999999</v>
      </c>
      <c r="F45" s="1">
        <v>149.23099999999999</v>
      </c>
      <c r="G45" s="7">
        <v>1</v>
      </c>
      <c r="H45" s="1">
        <v>40</v>
      </c>
      <c r="I45" s="15" t="s">
        <v>42</v>
      </c>
      <c r="J45" s="1"/>
      <c r="K45" s="1">
        <v>284.12</v>
      </c>
      <c r="L45" s="1">
        <f t="shared" si="27"/>
        <v>-4.6940000000000168</v>
      </c>
      <c r="M45" s="1"/>
      <c r="N45" s="1"/>
      <c r="O45" s="1">
        <v>111.11937999999989</v>
      </c>
      <c r="P45" s="1">
        <v>84.999504660000014</v>
      </c>
      <c r="Q45" s="1">
        <v>128.03183533999999</v>
      </c>
      <c r="R45" s="1"/>
      <c r="S45" s="1">
        <v>116.23638</v>
      </c>
      <c r="T45" s="23"/>
      <c r="U45" s="1">
        <f t="shared" si="28"/>
        <v>55.885199999999998</v>
      </c>
      <c r="V45" s="5">
        <f t="shared" si="25"/>
        <v>53.061700000000172</v>
      </c>
      <c r="W45" s="5">
        <f t="shared" ref="W45" si="32">Z45</f>
        <v>300</v>
      </c>
      <c r="X45" s="5">
        <f t="shared" si="8"/>
        <v>160.19999999999999</v>
      </c>
      <c r="Y45" s="5">
        <f t="shared" si="31"/>
        <v>139.80000000000001</v>
      </c>
      <c r="Z45" s="18">
        <f>VLOOKUP(A45,[1]Sheet!$A:$W,22,0)</f>
        <v>300</v>
      </c>
      <c r="AA45" s="18" t="str">
        <f>VLOOKUP(A45,[1]Sheet!$A:$W,23,0)</f>
        <v>промо</v>
      </c>
      <c r="AB45" s="1">
        <f t="shared" si="10"/>
        <v>15.918670775088932</v>
      </c>
      <c r="AC45" s="1">
        <f t="shared" si="29"/>
        <v>10.550523215448813</v>
      </c>
      <c r="AD45" s="1">
        <v>68.31219999999999</v>
      </c>
      <c r="AE45" s="1">
        <v>64.00800000000001</v>
      </c>
      <c r="AF45" s="1">
        <v>63.973999999999997</v>
      </c>
      <c r="AG45" s="1">
        <v>63.660200000000003</v>
      </c>
      <c r="AH45" s="1">
        <v>81.626599999999996</v>
      </c>
      <c r="AI45" s="1">
        <v>49.550800000000002</v>
      </c>
      <c r="AJ45" s="1">
        <v>8.9260000000000002</v>
      </c>
      <c r="AK45" s="1">
        <v>-0.46539999999999998</v>
      </c>
      <c r="AL45" s="1">
        <v>37.095999999999997</v>
      </c>
      <c r="AM45" s="1">
        <v>60.197799999999987</v>
      </c>
      <c r="AN45" s="1"/>
      <c r="AO45" s="1">
        <f t="shared" si="11"/>
        <v>160</v>
      </c>
      <c r="AP45" s="1">
        <f t="shared" si="12"/>
        <v>140</v>
      </c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x14ac:dyDescent="0.25">
      <c r="A46" s="1" t="s">
        <v>85</v>
      </c>
      <c r="B46" s="1" t="s">
        <v>44</v>
      </c>
      <c r="C46" s="1">
        <v>12</v>
      </c>
      <c r="D46" s="1">
        <v>2</v>
      </c>
      <c r="E46" s="1">
        <v>5</v>
      </c>
      <c r="F46" s="1">
        <v>-1</v>
      </c>
      <c r="G46" s="7">
        <v>0.35</v>
      </c>
      <c r="H46" s="1">
        <v>40</v>
      </c>
      <c r="I46" s="15" t="s">
        <v>42</v>
      </c>
      <c r="J46" s="1"/>
      <c r="K46" s="1">
        <v>499</v>
      </c>
      <c r="L46" s="1">
        <f t="shared" si="27"/>
        <v>-494</v>
      </c>
      <c r="M46" s="1"/>
      <c r="N46" s="1"/>
      <c r="O46" s="1">
        <v>640.88000000000011</v>
      </c>
      <c r="P46" s="1">
        <v>631.03286400000002</v>
      </c>
      <c r="Q46" s="1">
        <v>950.50313600000004</v>
      </c>
      <c r="R46" s="1"/>
      <c r="S46" s="1">
        <v>0</v>
      </c>
      <c r="T46" s="23"/>
      <c r="U46" s="1">
        <f t="shared" si="28"/>
        <v>1</v>
      </c>
      <c r="V46" s="5"/>
      <c r="W46" s="5">
        <v>150</v>
      </c>
      <c r="X46" s="5">
        <f t="shared" si="8"/>
        <v>150</v>
      </c>
      <c r="Y46" s="5"/>
      <c r="Z46" s="18">
        <f>VLOOKUP(A46,[1]Sheet!$A:$W,22,0)</f>
        <v>350</v>
      </c>
      <c r="AA46" s="18"/>
      <c r="AB46" s="1">
        <f t="shared" si="10"/>
        <v>2371.4160000000002</v>
      </c>
      <c r="AC46" s="1">
        <f t="shared" si="29"/>
        <v>2221.4160000000002</v>
      </c>
      <c r="AD46" s="1">
        <v>131.6</v>
      </c>
      <c r="AE46" s="1">
        <v>245.2</v>
      </c>
      <c r="AF46" s="1">
        <v>114.4</v>
      </c>
      <c r="AG46" s="1">
        <v>137.6</v>
      </c>
      <c r="AH46" s="1">
        <v>203.4</v>
      </c>
      <c r="AI46" s="1">
        <v>106.6</v>
      </c>
      <c r="AJ46" s="1">
        <v>39.4</v>
      </c>
      <c r="AK46" s="1">
        <v>32</v>
      </c>
      <c r="AL46" s="1">
        <v>167.4</v>
      </c>
      <c r="AM46" s="1">
        <v>255.8</v>
      </c>
      <c r="AN46" s="1"/>
      <c r="AO46" s="1">
        <f t="shared" si="11"/>
        <v>53</v>
      </c>
      <c r="AP46" s="1">
        <f t="shared" si="12"/>
        <v>0</v>
      </c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x14ac:dyDescent="0.25">
      <c r="A47" s="1" t="s">
        <v>86</v>
      </c>
      <c r="B47" s="1" t="s">
        <v>44</v>
      </c>
      <c r="C47" s="1">
        <v>190</v>
      </c>
      <c r="D47" s="1">
        <v>704</v>
      </c>
      <c r="E47" s="1">
        <v>605</v>
      </c>
      <c r="F47" s="1">
        <v>102</v>
      </c>
      <c r="G47" s="7">
        <v>0.4</v>
      </c>
      <c r="H47" s="1">
        <v>40</v>
      </c>
      <c r="I47" s="1" t="s">
        <v>39</v>
      </c>
      <c r="J47" s="1"/>
      <c r="K47" s="1">
        <v>679</v>
      </c>
      <c r="L47" s="1">
        <f t="shared" si="27"/>
        <v>-74</v>
      </c>
      <c r="M47" s="1"/>
      <c r="N47" s="1"/>
      <c r="O47" s="1">
        <v>356.11000000000041</v>
      </c>
      <c r="P47" s="1">
        <v>183.77381399999999</v>
      </c>
      <c r="Q47" s="1">
        <v>276.81218599999988</v>
      </c>
      <c r="R47" s="1"/>
      <c r="S47" s="1">
        <v>0</v>
      </c>
      <c r="T47" s="23"/>
      <c r="U47" s="1">
        <f t="shared" si="28"/>
        <v>121</v>
      </c>
      <c r="V47" s="5">
        <f t="shared" si="25"/>
        <v>472.80399999999963</v>
      </c>
      <c r="W47" s="5">
        <f t="shared" ref="W47:W48" si="33">V47+U47*$W$1</f>
        <v>391.12899999999962</v>
      </c>
      <c r="X47" s="5">
        <f t="shared" si="8"/>
        <v>208.86288599999978</v>
      </c>
      <c r="Y47" s="5">
        <f t="shared" ref="Y47:Y49" si="34">W47*$Y$1</f>
        <v>182.26611399999985</v>
      </c>
      <c r="Z47" s="18"/>
      <c r="AA47" s="18"/>
      <c r="AB47" s="1">
        <f t="shared" si="10"/>
        <v>10.824999999999999</v>
      </c>
      <c r="AC47" s="1">
        <f t="shared" si="29"/>
        <v>7.5925289256198365</v>
      </c>
      <c r="AD47" s="1">
        <v>125.6</v>
      </c>
      <c r="AE47" s="1">
        <v>139.19999999999999</v>
      </c>
      <c r="AF47" s="1">
        <v>135</v>
      </c>
      <c r="AG47" s="1">
        <v>122.6</v>
      </c>
      <c r="AH47" s="1">
        <v>107.2</v>
      </c>
      <c r="AI47" s="1">
        <v>108</v>
      </c>
      <c r="AJ47" s="1">
        <v>131.80000000000001</v>
      </c>
      <c r="AK47" s="1">
        <v>146.19999999999999</v>
      </c>
      <c r="AL47" s="1">
        <v>130.19999999999999</v>
      </c>
      <c r="AM47" s="1">
        <v>140.4</v>
      </c>
      <c r="AN47" s="1"/>
      <c r="AO47" s="1">
        <f t="shared" si="11"/>
        <v>84</v>
      </c>
      <c r="AP47" s="1">
        <f t="shared" si="12"/>
        <v>73</v>
      </c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x14ac:dyDescent="0.25">
      <c r="A48" s="1" t="s">
        <v>87</v>
      </c>
      <c r="B48" s="1" t="s">
        <v>38</v>
      </c>
      <c r="C48" s="1">
        <v>444.18200000000002</v>
      </c>
      <c r="D48" s="1">
        <v>583.82600000000002</v>
      </c>
      <c r="E48" s="1">
        <v>654.59</v>
      </c>
      <c r="F48" s="1">
        <v>257.17500000000001</v>
      </c>
      <c r="G48" s="7">
        <v>1</v>
      </c>
      <c r="H48" s="1">
        <v>50</v>
      </c>
      <c r="I48" s="1" t="s">
        <v>39</v>
      </c>
      <c r="J48" s="1"/>
      <c r="K48" s="1">
        <v>638</v>
      </c>
      <c r="L48" s="1">
        <f t="shared" si="27"/>
        <v>16.590000000000032</v>
      </c>
      <c r="M48" s="1"/>
      <c r="N48" s="1"/>
      <c r="O48" s="1">
        <v>0</v>
      </c>
      <c r="P48" s="1">
        <v>49.002199153592912</v>
      </c>
      <c r="Q48" s="1">
        <v>73.810330053406872</v>
      </c>
      <c r="R48" s="1"/>
      <c r="S48" s="1">
        <v>609.392346793</v>
      </c>
      <c r="T48" s="23"/>
      <c r="U48" s="1">
        <f t="shared" si="28"/>
        <v>130.91800000000001</v>
      </c>
      <c r="V48" s="5">
        <f t="shared" si="25"/>
        <v>516.17712400000028</v>
      </c>
      <c r="W48" s="5">
        <f t="shared" si="33"/>
        <v>427.8074740000003</v>
      </c>
      <c r="X48" s="5">
        <f t="shared" si="8"/>
        <v>228.44919111600015</v>
      </c>
      <c r="Y48" s="5">
        <f t="shared" si="34"/>
        <v>199.35828288400015</v>
      </c>
      <c r="Z48" s="18"/>
      <c r="AA48" s="18"/>
      <c r="AB48" s="1">
        <f t="shared" si="10"/>
        <v>10.825000000000001</v>
      </c>
      <c r="AC48" s="1">
        <f t="shared" si="29"/>
        <v>7.5572486289127525</v>
      </c>
      <c r="AD48" s="1">
        <v>129.76339999999999</v>
      </c>
      <c r="AE48" s="1">
        <v>88.131</v>
      </c>
      <c r="AF48" s="1">
        <v>89.808199999999999</v>
      </c>
      <c r="AG48" s="1">
        <v>121.25839999999999</v>
      </c>
      <c r="AH48" s="1">
        <v>100.7212</v>
      </c>
      <c r="AI48" s="1">
        <v>84.682000000000002</v>
      </c>
      <c r="AJ48" s="1">
        <v>101.071</v>
      </c>
      <c r="AK48" s="1">
        <v>105.2124</v>
      </c>
      <c r="AL48" s="1">
        <v>95.491600000000005</v>
      </c>
      <c r="AM48" s="1">
        <v>93.509</v>
      </c>
      <c r="AN48" s="1"/>
      <c r="AO48" s="1">
        <f t="shared" si="11"/>
        <v>228</v>
      </c>
      <c r="AP48" s="1">
        <f t="shared" si="12"/>
        <v>199</v>
      </c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x14ac:dyDescent="0.25">
      <c r="A49" s="1" t="s">
        <v>88</v>
      </c>
      <c r="B49" s="1" t="s">
        <v>38</v>
      </c>
      <c r="C49" s="1">
        <v>401.18299999999999</v>
      </c>
      <c r="D49" s="1">
        <v>751.21</v>
      </c>
      <c r="E49" s="1">
        <v>741.67200000000003</v>
      </c>
      <c r="F49" s="1">
        <v>284.27100000000002</v>
      </c>
      <c r="G49" s="7">
        <v>1</v>
      </c>
      <c r="H49" s="1">
        <v>50</v>
      </c>
      <c r="I49" s="1" t="s">
        <v>39</v>
      </c>
      <c r="J49" s="1"/>
      <c r="K49" s="1">
        <v>732.25</v>
      </c>
      <c r="L49" s="1">
        <f t="shared" si="27"/>
        <v>9.4220000000000255</v>
      </c>
      <c r="M49" s="1"/>
      <c r="N49" s="1"/>
      <c r="O49" s="1">
        <v>370.35132268299958</v>
      </c>
      <c r="P49" s="1">
        <v>109.35500091600009</v>
      </c>
      <c r="Q49" s="1">
        <v>164.71768308399999</v>
      </c>
      <c r="R49" s="1"/>
      <c r="S49" s="1">
        <v>208.09389331700029</v>
      </c>
      <c r="T49" s="23"/>
      <c r="U49" s="1">
        <f t="shared" si="28"/>
        <v>148.33440000000002</v>
      </c>
      <c r="V49" s="5">
        <f t="shared" si="25"/>
        <v>569.05670000000009</v>
      </c>
      <c r="W49" s="5">
        <f>Z49</f>
        <v>730</v>
      </c>
      <c r="X49" s="5">
        <f t="shared" si="8"/>
        <v>389.82</v>
      </c>
      <c r="Y49" s="5">
        <f t="shared" si="34"/>
        <v>340.18</v>
      </c>
      <c r="Z49" s="18">
        <f>VLOOKUP(A49,[1]Sheet!$A:$W,22,0)</f>
        <v>730</v>
      </c>
      <c r="AA49" s="18" t="str">
        <f>VLOOKUP(A49,[1]Sheet!$A:$W,23,0)</f>
        <v>промо</v>
      </c>
      <c r="AB49" s="1">
        <f t="shared" si="10"/>
        <v>12.585003208965688</v>
      </c>
      <c r="AC49" s="1">
        <f t="shared" si="29"/>
        <v>7.6636902835754883</v>
      </c>
      <c r="AD49" s="1">
        <v>143.39179999999999</v>
      </c>
      <c r="AE49" s="1">
        <v>149.0598</v>
      </c>
      <c r="AF49" s="1">
        <v>155.542</v>
      </c>
      <c r="AG49" s="1">
        <v>149.3494</v>
      </c>
      <c r="AH49" s="1">
        <v>132.19200000000001</v>
      </c>
      <c r="AI49" s="1">
        <v>116.61360000000001</v>
      </c>
      <c r="AJ49" s="1">
        <v>124.0046</v>
      </c>
      <c r="AK49" s="1">
        <v>146.42580000000001</v>
      </c>
      <c r="AL49" s="1">
        <v>147.56039999999999</v>
      </c>
      <c r="AM49" s="1">
        <v>129.40299999999999</v>
      </c>
      <c r="AN49" s="1"/>
      <c r="AO49" s="1">
        <f t="shared" si="11"/>
        <v>390</v>
      </c>
      <c r="AP49" s="1">
        <f t="shared" si="12"/>
        <v>340</v>
      </c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x14ac:dyDescent="0.25">
      <c r="A50" s="1" t="s">
        <v>89</v>
      </c>
      <c r="B50" s="1" t="s">
        <v>38</v>
      </c>
      <c r="C50" s="1">
        <v>31.402000000000001</v>
      </c>
      <c r="D50" s="1"/>
      <c r="E50" s="12">
        <f>8.805+E126</f>
        <v>10.25</v>
      </c>
      <c r="F50" s="12">
        <f>21.121+F126</f>
        <v>81.760999999999996</v>
      </c>
      <c r="G50" s="7">
        <v>1</v>
      </c>
      <c r="H50" s="1">
        <v>45</v>
      </c>
      <c r="I50" s="15" t="s">
        <v>79</v>
      </c>
      <c r="J50" s="1"/>
      <c r="K50" s="1">
        <v>7.8</v>
      </c>
      <c r="L50" s="1">
        <f t="shared" si="27"/>
        <v>2.4500000000000002</v>
      </c>
      <c r="M50" s="1"/>
      <c r="N50" s="1"/>
      <c r="O50" s="1">
        <v>0</v>
      </c>
      <c r="P50" s="1">
        <v>0</v>
      </c>
      <c r="Q50" s="1"/>
      <c r="R50" s="1"/>
      <c r="S50" s="1">
        <v>0</v>
      </c>
      <c r="T50" s="23"/>
      <c r="U50" s="1">
        <f t="shared" si="28"/>
        <v>2.0499999999999998</v>
      </c>
      <c r="V50" s="5"/>
      <c r="W50" s="5">
        <f t="shared" si="13"/>
        <v>0</v>
      </c>
      <c r="X50" s="5">
        <f t="shared" si="8"/>
        <v>0</v>
      </c>
      <c r="Y50" s="5"/>
      <c r="Z50" s="18"/>
      <c r="AA50" s="18"/>
      <c r="AB50" s="1">
        <f t="shared" si="10"/>
        <v>39.883414634146341</v>
      </c>
      <c r="AC50" s="1">
        <f t="shared" si="29"/>
        <v>39.883414634146341</v>
      </c>
      <c r="AD50" s="1">
        <v>2.3620000000000001</v>
      </c>
      <c r="AE50" s="1">
        <v>0.60099999999999998</v>
      </c>
      <c r="AF50" s="1">
        <v>0</v>
      </c>
      <c r="AG50" s="1">
        <v>0</v>
      </c>
      <c r="AH50" s="1">
        <v>0</v>
      </c>
      <c r="AI50" s="1">
        <v>0.29899999999999999</v>
      </c>
      <c r="AJ50" s="1">
        <v>0.29899999999999999</v>
      </c>
      <c r="AK50" s="1">
        <v>0</v>
      </c>
      <c r="AL50" s="1">
        <v>-0.30520000000000003</v>
      </c>
      <c r="AM50" s="1">
        <v>-0.30520000000000003</v>
      </c>
      <c r="AN50" s="14" t="s">
        <v>190</v>
      </c>
      <c r="AO50" s="1">
        <f t="shared" si="11"/>
        <v>0</v>
      </c>
      <c r="AP50" s="1">
        <f t="shared" si="12"/>
        <v>0</v>
      </c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x14ac:dyDescent="0.25">
      <c r="A51" s="1" t="s">
        <v>90</v>
      </c>
      <c r="B51" s="1" t="s">
        <v>44</v>
      </c>
      <c r="C51" s="1">
        <v>211</v>
      </c>
      <c r="D51" s="1">
        <v>2</v>
      </c>
      <c r="E51" s="1">
        <v>168</v>
      </c>
      <c r="F51" s="1">
        <v>3</v>
      </c>
      <c r="G51" s="7">
        <v>0.45</v>
      </c>
      <c r="H51" s="1">
        <v>50</v>
      </c>
      <c r="I51" s="1" t="s">
        <v>39</v>
      </c>
      <c r="J51" s="1"/>
      <c r="K51" s="1">
        <v>171</v>
      </c>
      <c r="L51" s="1">
        <f t="shared" si="27"/>
        <v>-3</v>
      </c>
      <c r="M51" s="1"/>
      <c r="N51" s="1"/>
      <c r="O51" s="1">
        <v>0</v>
      </c>
      <c r="P51" s="1">
        <v>50.114399999999989</v>
      </c>
      <c r="Q51" s="1">
        <v>75.485599999999977</v>
      </c>
      <c r="R51" s="1"/>
      <c r="S51" s="1">
        <v>77.700000000000045</v>
      </c>
      <c r="T51" s="23"/>
      <c r="U51" s="1">
        <f t="shared" si="28"/>
        <v>33.6</v>
      </c>
      <c r="V51" s="5">
        <f t="shared" si="25"/>
        <v>180.10000000000002</v>
      </c>
      <c r="W51" s="5">
        <f t="shared" si="13"/>
        <v>180.10000000000002</v>
      </c>
      <c r="X51" s="5">
        <f t="shared" si="8"/>
        <v>180.10000000000002</v>
      </c>
      <c r="Y51" s="5"/>
      <c r="Z51" s="18"/>
      <c r="AA51" s="18"/>
      <c r="AB51" s="1">
        <f t="shared" si="10"/>
        <v>11.5</v>
      </c>
      <c r="AC51" s="1">
        <f t="shared" si="29"/>
        <v>6.1398809523809526</v>
      </c>
      <c r="AD51" s="1">
        <v>30.6</v>
      </c>
      <c r="AE51" s="1">
        <v>26.4</v>
      </c>
      <c r="AF51" s="1">
        <v>21.8</v>
      </c>
      <c r="AG51" s="1">
        <v>23</v>
      </c>
      <c r="AH51" s="1">
        <v>34</v>
      </c>
      <c r="AI51" s="1">
        <v>37</v>
      </c>
      <c r="AJ51" s="1">
        <v>29</v>
      </c>
      <c r="AK51" s="1">
        <v>39.200000000000003</v>
      </c>
      <c r="AL51" s="1">
        <v>49.8</v>
      </c>
      <c r="AM51" s="1">
        <v>39</v>
      </c>
      <c r="AN51" s="1"/>
      <c r="AO51" s="1">
        <f t="shared" si="11"/>
        <v>81</v>
      </c>
      <c r="AP51" s="1">
        <f t="shared" si="12"/>
        <v>0</v>
      </c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x14ac:dyDescent="0.25">
      <c r="A52" s="1" t="s">
        <v>91</v>
      </c>
      <c r="B52" s="1" t="s">
        <v>44</v>
      </c>
      <c r="C52" s="1">
        <v>395</v>
      </c>
      <c r="D52" s="1">
        <v>360</v>
      </c>
      <c r="E52" s="1">
        <v>643</v>
      </c>
      <c r="F52" s="1">
        <v>22</v>
      </c>
      <c r="G52" s="7">
        <v>0.45</v>
      </c>
      <c r="H52" s="1">
        <v>50</v>
      </c>
      <c r="I52" s="1" t="s">
        <v>39</v>
      </c>
      <c r="J52" s="1"/>
      <c r="K52" s="1">
        <v>647</v>
      </c>
      <c r="L52" s="1">
        <f t="shared" si="27"/>
        <v>-4</v>
      </c>
      <c r="M52" s="1"/>
      <c r="N52" s="1"/>
      <c r="O52" s="1">
        <v>242.69599999999991</v>
      </c>
      <c r="P52" s="1">
        <v>122.74437</v>
      </c>
      <c r="Q52" s="1">
        <v>184.88562999999999</v>
      </c>
      <c r="R52" s="1"/>
      <c r="S52" s="1">
        <v>305.97000000000008</v>
      </c>
      <c r="T52" s="23"/>
      <c r="U52" s="1">
        <f t="shared" si="28"/>
        <v>128.6</v>
      </c>
      <c r="V52" s="5">
        <f t="shared" si="25"/>
        <v>600.60399999999993</v>
      </c>
      <c r="W52" s="5">
        <f>V52+U52*$W$1</f>
        <v>513.79899999999998</v>
      </c>
      <c r="X52" s="5">
        <f t="shared" si="8"/>
        <v>274.36866599999996</v>
      </c>
      <c r="Y52" s="5">
        <f>W52*$Y$1</f>
        <v>239.43033400000002</v>
      </c>
      <c r="Z52" s="18"/>
      <c r="AA52" s="18"/>
      <c r="AB52" s="1">
        <f t="shared" si="10"/>
        <v>10.825000000000001</v>
      </c>
      <c r="AC52" s="1">
        <f t="shared" si="29"/>
        <v>6.8296734059097988</v>
      </c>
      <c r="AD52" s="1">
        <v>116.4</v>
      </c>
      <c r="AE52" s="1">
        <v>105</v>
      </c>
      <c r="AF52" s="1">
        <v>102.6</v>
      </c>
      <c r="AG52" s="1">
        <v>96</v>
      </c>
      <c r="AH52" s="1">
        <v>100.6</v>
      </c>
      <c r="AI52" s="1">
        <v>99.2</v>
      </c>
      <c r="AJ52" s="1">
        <v>100</v>
      </c>
      <c r="AK52" s="1">
        <v>113.4</v>
      </c>
      <c r="AL52" s="1">
        <v>107.6</v>
      </c>
      <c r="AM52" s="1">
        <v>84.2</v>
      </c>
      <c r="AN52" s="1"/>
      <c r="AO52" s="1">
        <f t="shared" si="11"/>
        <v>123</v>
      </c>
      <c r="AP52" s="1">
        <f t="shared" si="12"/>
        <v>108</v>
      </c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x14ac:dyDescent="0.25">
      <c r="A53" s="1" t="s">
        <v>92</v>
      </c>
      <c r="B53" s="1" t="s">
        <v>44</v>
      </c>
      <c r="C53" s="1">
        <v>44</v>
      </c>
      <c r="D53" s="1">
        <v>57</v>
      </c>
      <c r="E53" s="1">
        <v>61</v>
      </c>
      <c r="F53" s="1">
        <v>32</v>
      </c>
      <c r="G53" s="7">
        <v>0.4</v>
      </c>
      <c r="H53" s="1">
        <v>40</v>
      </c>
      <c r="I53" s="1" t="s">
        <v>39</v>
      </c>
      <c r="J53" s="1"/>
      <c r="K53" s="1">
        <v>68</v>
      </c>
      <c r="L53" s="1">
        <f t="shared" si="27"/>
        <v>-7</v>
      </c>
      <c r="M53" s="1"/>
      <c r="N53" s="1"/>
      <c r="O53" s="1">
        <v>0</v>
      </c>
      <c r="P53" s="1">
        <v>0</v>
      </c>
      <c r="Q53" s="1"/>
      <c r="R53" s="1"/>
      <c r="S53" s="1">
        <v>15.89999999999999</v>
      </c>
      <c r="T53" s="23"/>
      <c r="U53" s="1">
        <f t="shared" si="28"/>
        <v>12.2</v>
      </c>
      <c r="V53" s="5">
        <f>10.5*U53-S53-R53-Q53-P53-O53-F53</f>
        <v>80.2</v>
      </c>
      <c r="W53" s="5">
        <f t="shared" si="13"/>
        <v>80.2</v>
      </c>
      <c r="X53" s="5">
        <f t="shared" si="8"/>
        <v>80.2</v>
      </c>
      <c r="Y53" s="5"/>
      <c r="Z53" s="18"/>
      <c r="AA53" s="18"/>
      <c r="AB53" s="1">
        <f t="shared" si="10"/>
        <v>10.5</v>
      </c>
      <c r="AC53" s="1">
        <f t="shared" si="29"/>
        <v>3.9262295081967209</v>
      </c>
      <c r="AD53" s="1">
        <v>7.8</v>
      </c>
      <c r="AE53" s="1">
        <v>4.4000000000000004</v>
      </c>
      <c r="AF53" s="1">
        <v>7</v>
      </c>
      <c r="AG53" s="1">
        <v>9.6</v>
      </c>
      <c r="AH53" s="1">
        <v>7.8</v>
      </c>
      <c r="AI53" s="1">
        <v>6.2</v>
      </c>
      <c r="AJ53" s="1">
        <v>9.1999999999999993</v>
      </c>
      <c r="AK53" s="1">
        <v>9.1999999999999993</v>
      </c>
      <c r="AL53" s="1">
        <v>9.1999999999999993</v>
      </c>
      <c r="AM53" s="1">
        <v>7.2</v>
      </c>
      <c r="AN53" s="1"/>
      <c r="AO53" s="1">
        <f t="shared" si="11"/>
        <v>32</v>
      </c>
      <c r="AP53" s="1">
        <f t="shared" si="12"/>
        <v>0</v>
      </c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x14ac:dyDescent="0.25">
      <c r="A54" s="1" t="s">
        <v>93</v>
      </c>
      <c r="B54" s="1" t="s">
        <v>44</v>
      </c>
      <c r="C54" s="1">
        <v>82</v>
      </c>
      <c r="D54" s="1">
        <v>19</v>
      </c>
      <c r="E54" s="1">
        <v>98</v>
      </c>
      <c r="F54" s="1">
        <v>-2</v>
      </c>
      <c r="G54" s="7">
        <v>0.4</v>
      </c>
      <c r="H54" s="1">
        <v>40</v>
      </c>
      <c r="I54" s="1" t="s">
        <v>39</v>
      </c>
      <c r="J54" s="1"/>
      <c r="K54" s="1">
        <v>100</v>
      </c>
      <c r="L54" s="1">
        <f t="shared" si="27"/>
        <v>-2</v>
      </c>
      <c r="M54" s="1"/>
      <c r="N54" s="1"/>
      <c r="O54" s="1">
        <v>56.960000000000029</v>
      </c>
      <c r="P54" s="1">
        <v>12.51999999999998</v>
      </c>
      <c r="Q54" s="1"/>
      <c r="R54" s="1"/>
      <c r="S54" s="1">
        <v>59.019999999999982</v>
      </c>
      <c r="T54" s="23"/>
      <c r="U54" s="1">
        <f t="shared" si="28"/>
        <v>19.600000000000001</v>
      </c>
      <c r="V54" s="5">
        <f t="shared" si="25"/>
        <v>98.9</v>
      </c>
      <c r="W54" s="5">
        <f t="shared" si="13"/>
        <v>98.9</v>
      </c>
      <c r="X54" s="5">
        <f t="shared" si="8"/>
        <v>98.9</v>
      </c>
      <c r="Y54" s="5"/>
      <c r="Z54" s="18"/>
      <c r="AA54" s="18"/>
      <c r="AB54" s="1">
        <f t="shared" si="10"/>
        <v>11.499999999999998</v>
      </c>
      <c r="AC54" s="1">
        <f t="shared" si="29"/>
        <v>6.4540816326530601</v>
      </c>
      <c r="AD54" s="1">
        <v>15</v>
      </c>
      <c r="AE54" s="1">
        <v>11.6</v>
      </c>
      <c r="AF54" s="1">
        <v>14.4</v>
      </c>
      <c r="AG54" s="1">
        <v>11.2</v>
      </c>
      <c r="AH54" s="1">
        <v>17.600000000000001</v>
      </c>
      <c r="AI54" s="1">
        <v>15.8</v>
      </c>
      <c r="AJ54" s="1">
        <v>17.399999999999999</v>
      </c>
      <c r="AK54" s="1">
        <v>22.4</v>
      </c>
      <c r="AL54" s="1">
        <v>14.4</v>
      </c>
      <c r="AM54" s="1">
        <v>10.4</v>
      </c>
      <c r="AN54" s="1"/>
      <c r="AO54" s="1">
        <f t="shared" si="11"/>
        <v>40</v>
      </c>
      <c r="AP54" s="1">
        <f t="shared" si="12"/>
        <v>0</v>
      </c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x14ac:dyDescent="0.25">
      <c r="A55" s="1" t="s">
        <v>94</v>
      </c>
      <c r="B55" s="1" t="s">
        <v>38</v>
      </c>
      <c r="C55" s="1">
        <v>289.16199999999998</v>
      </c>
      <c r="D55" s="1">
        <v>916.05499999999995</v>
      </c>
      <c r="E55" s="1">
        <v>840.12699999999995</v>
      </c>
      <c r="F55" s="1">
        <v>270.76799999999997</v>
      </c>
      <c r="G55" s="7">
        <v>1</v>
      </c>
      <c r="H55" s="1">
        <v>50</v>
      </c>
      <c r="I55" s="1" t="s">
        <v>39</v>
      </c>
      <c r="J55" s="1"/>
      <c r="K55" s="1">
        <v>834.26</v>
      </c>
      <c r="L55" s="1">
        <f t="shared" si="27"/>
        <v>5.8669999999999618</v>
      </c>
      <c r="M55" s="1"/>
      <c r="N55" s="1"/>
      <c r="O55" s="1">
        <v>263.84597800000017</v>
      </c>
      <c r="P55" s="1">
        <v>379.05000000000013</v>
      </c>
      <c r="Q55" s="1">
        <v>570.94999999999993</v>
      </c>
      <c r="R55" s="1"/>
      <c r="S55" s="1">
        <v>450</v>
      </c>
      <c r="T55" s="23"/>
      <c r="U55" s="1">
        <f t="shared" si="28"/>
        <v>168.02539999999999</v>
      </c>
      <c r="V55" s="5"/>
      <c r="W55" s="5">
        <f>Z55</f>
        <v>720</v>
      </c>
      <c r="X55" s="5">
        <f t="shared" si="8"/>
        <v>384.47999999999996</v>
      </c>
      <c r="Y55" s="5">
        <f>W55*$Y$1</f>
        <v>335.52000000000004</v>
      </c>
      <c r="Z55" s="18">
        <f>VLOOKUP(A55,[1]Sheet!$A:$W,22,0)</f>
        <v>720</v>
      </c>
      <c r="AA55" s="18" t="str">
        <f>VLOOKUP(A55,[1]Sheet!$A:$W,23,0)</f>
        <v>промо</v>
      </c>
      <c r="AB55" s="1">
        <f t="shared" si="10"/>
        <v>15.798885037619316</v>
      </c>
      <c r="AC55" s="1">
        <f t="shared" si="29"/>
        <v>11.513818613138254</v>
      </c>
      <c r="AD55" s="1">
        <v>193.98859999999999</v>
      </c>
      <c r="AE55" s="1">
        <v>169.696</v>
      </c>
      <c r="AF55" s="1">
        <v>157.18799999999999</v>
      </c>
      <c r="AG55" s="1">
        <v>152.66800000000001</v>
      </c>
      <c r="AH55" s="1">
        <v>130.7808</v>
      </c>
      <c r="AI55" s="1">
        <v>123.7856</v>
      </c>
      <c r="AJ55" s="1">
        <v>130.64519999999999</v>
      </c>
      <c r="AK55" s="1">
        <v>141.1628</v>
      </c>
      <c r="AL55" s="1">
        <v>146.07660000000001</v>
      </c>
      <c r="AM55" s="1">
        <v>118.6026</v>
      </c>
      <c r="AN55" s="1"/>
      <c r="AO55" s="1">
        <f t="shared" si="11"/>
        <v>384</v>
      </c>
      <c r="AP55" s="1">
        <f t="shared" si="12"/>
        <v>336</v>
      </c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x14ac:dyDescent="0.25">
      <c r="A56" s="1" t="s">
        <v>95</v>
      </c>
      <c r="B56" s="1" t="s">
        <v>44</v>
      </c>
      <c r="C56" s="1">
        <v>136</v>
      </c>
      <c r="D56" s="1">
        <v>440</v>
      </c>
      <c r="E56" s="12">
        <f>263+E132</f>
        <v>332</v>
      </c>
      <c r="F56" s="12">
        <f>192+F132</f>
        <v>200</v>
      </c>
      <c r="G56" s="7">
        <v>0.1</v>
      </c>
      <c r="H56" s="1">
        <v>731</v>
      </c>
      <c r="I56" s="1" t="s">
        <v>39</v>
      </c>
      <c r="J56" s="1"/>
      <c r="K56" s="1">
        <v>263</v>
      </c>
      <c r="L56" s="1">
        <f t="shared" si="27"/>
        <v>69</v>
      </c>
      <c r="M56" s="1"/>
      <c r="N56" s="1"/>
      <c r="O56" s="1">
        <v>81.120000000000047</v>
      </c>
      <c r="P56" s="1">
        <v>107.24321999999999</v>
      </c>
      <c r="Q56" s="1">
        <v>161.53677999999999</v>
      </c>
      <c r="R56" s="1"/>
      <c r="S56" s="1">
        <v>136.1</v>
      </c>
      <c r="T56" s="23"/>
      <c r="U56" s="1">
        <f t="shared" si="28"/>
        <v>66.400000000000006</v>
      </c>
      <c r="V56" s="5">
        <f t="shared" si="25"/>
        <v>77.599999999999909</v>
      </c>
      <c r="W56" s="5">
        <f t="shared" si="13"/>
        <v>77.599999999999909</v>
      </c>
      <c r="X56" s="5">
        <f t="shared" si="8"/>
        <v>77.599999999999909</v>
      </c>
      <c r="Y56" s="5"/>
      <c r="Z56" s="18"/>
      <c r="AA56" s="18"/>
      <c r="AB56" s="1">
        <f t="shared" si="10"/>
        <v>11.5</v>
      </c>
      <c r="AC56" s="1">
        <f t="shared" si="29"/>
        <v>10.331325301204821</v>
      </c>
      <c r="AD56" s="1">
        <v>80</v>
      </c>
      <c r="AE56" s="1">
        <v>78</v>
      </c>
      <c r="AF56" s="1">
        <v>74.8</v>
      </c>
      <c r="AG56" s="1">
        <v>78</v>
      </c>
      <c r="AH56" s="1">
        <v>65.2</v>
      </c>
      <c r="AI56" s="1">
        <v>67.8</v>
      </c>
      <c r="AJ56" s="1">
        <v>70.8</v>
      </c>
      <c r="AK56" s="1">
        <v>73.599999999999994</v>
      </c>
      <c r="AL56" s="1">
        <v>77.2</v>
      </c>
      <c r="AM56" s="1">
        <v>84.4</v>
      </c>
      <c r="AN56" s="1"/>
      <c r="AO56" s="1">
        <f t="shared" si="11"/>
        <v>8</v>
      </c>
      <c r="AP56" s="1">
        <f t="shared" si="12"/>
        <v>0</v>
      </c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x14ac:dyDescent="0.25">
      <c r="A57" s="1" t="s">
        <v>96</v>
      </c>
      <c r="B57" s="1" t="s">
        <v>38</v>
      </c>
      <c r="C57" s="1">
        <v>698.971</v>
      </c>
      <c r="D57" s="1">
        <v>918.69399999999996</v>
      </c>
      <c r="E57" s="1">
        <v>1104.2370000000001</v>
      </c>
      <c r="F57" s="1">
        <v>336.97199999999998</v>
      </c>
      <c r="G57" s="7">
        <v>1</v>
      </c>
      <c r="H57" s="1">
        <v>50</v>
      </c>
      <c r="I57" s="1" t="s">
        <v>39</v>
      </c>
      <c r="J57" s="1"/>
      <c r="K57" s="1">
        <v>1063.8</v>
      </c>
      <c r="L57" s="1">
        <f t="shared" si="27"/>
        <v>40.437000000000126</v>
      </c>
      <c r="M57" s="1"/>
      <c r="N57" s="1"/>
      <c r="O57" s="1">
        <v>356.64641999999998</v>
      </c>
      <c r="P57" s="1">
        <v>180.2885920919999</v>
      </c>
      <c r="Q57" s="1">
        <v>271.56251590799991</v>
      </c>
      <c r="R57" s="1"/>
      <c r="S57" s="1">
        <v>517.29930000000058</v>
      </c>
      <c r="T57" s="23"/>
      <c r="U57" s="1">
        <f t="shared" si="28"/>
        <v>220.84740000000002</v>
      </c>
      <c r="V57" s="5">
        <f t="shared" si="25"/>
        <v>876.97627199999965</v>
      </c>
      <c r="W57" s="5">
        <f>Z57</f>
        <v>950</v>
      </c>
      <c r="X57" s="5">
        <f t="shared" si="8"/>
        <v>507.29999999999995</v>
      </c>
      <c r="Y57" s="5">
        <f>W57*$Y$1</f>
        <v>442.70000000000005</v>
      </c>
      <c r="Z57" s="18">
        <f>VLOOKUP(A57,[1]Sheet!$A:$W,22,0)</f>
        <v>950</v>
      </c>
      <c r="AA57" s="18" t="str">
        <f>VLOOKUP(A57,[1]Sheet!$A:$W,23,0)</f>
        <v>промо</v>
      </c>
      <c r="AB57" s="1">
        <f t="shared" si="10"/>
        <v>11.830652423347525</v>
      </c>
      <c r="AC57" s="1">
        <f t="shared" si="29"/>
        <v>7.5290396355130298</v>
      </c>
      <c r="AD57" s="1">
        <v>220.42019999999999</v>
      </c>
      <c r="AE57" s="1">
        <v>215.4616</v>
      </c>
      <c r="AF57" s="1">
        <v>209.17959999999999</v>
      </c>
      <c r="AG57" s="1">
        <v>204.97620000000001</v>
      </c>
      <c r="AH57" s="1">
        <v>199.73179999999999</v>
      </c>
      <c r="AI57" s="1">
        <v>182.82060000000001</v>
      </c>
      <c r="AJ57" s="1">
        <v>186.57300000000001</v>
      </c>
      <c r="AK57" s="1">
        <v>194.43940000000001</v>
      </c>
      <c r="AL57" s="1">
        <v>195.25960000000001</v>
      </c>
      <c r="AM57" s="1">
        <v>175.315</v>
      </c>
      <c r="AN57" s="1"/>
      <c r="AO57" s="1">
        <f t="shared" si="11"/>
        <v>507</v>
      </c>
      <c r="AP57" s="1">
        <f t="shared" si="12"/>
        <v>443</v>
      </c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x14ac:dyDescent="0.25">
      <c r="A58" s="1" t="s">
        <v>97</v>
      </c>
      <c r="B58" s="1" t="s">
        <v>38</v>
      </c>
      <c r="C58" s="1">
        <v>94.257999999999996</v>
      </c>
      <c r="D58" s="1">
        <v>91.218000000000004</v>
      </c>
      <c r="E58" s="1">
        <v>76.864000000000004</v>
      </c>
      <c r="F58" s="1">
        <v>96.491</v>
      </c>
      <c r="G58" s="7">
        <v>1</v>
      </c>
      <c r="H58" s="1">
        <v>55</v>
      </c>
      <c r="I58" s="1" t="s">
        <v>39</v>
      </c>
      <c r="J58" s="1"/>
      <c r="K58" s="1">
        <v>76.05</v>
      </c>
      <c r="L58" s="1">
        <f t="shared" si="27"/>
        <v>0.81400000000000716</v>
      </c>
      <c r="M58" s="1"/>
      <c r="N58" s="1"/>
      <c r="O58" s="1">
        <v>16.70974</v>
      </c>
      <c r="P58" s="1">
        <v>38.134720000000023</v>
      </c>
      <c r="Q58" s="1"/>
      <c r="R58" s="1"/>
      <c r="S58" s="1">
        <v>0</v>
      </c>
      <c r="T58" s="23"/>
      <c r="U58" s="1">
        <f t="shared" si="28"/>
        <v>15.372800000000002</v>
      </c>
      <c r="V58" s="5">
        <f t="shared" si="25"/>
        <v>25.451740000000001</v>
      </c>
      <c r="W58" s="5">
        <f t="shared" si="13"/>
        <v>25.451740000000001</v>
      </c>
      <c r="X58" s="5">
        <f t="shared" si="8"/>
        <v>25.451740000000001</v>
      </c>
      <c r="Y58" s="5"/>
      <c r="Z58" s="18"/>
      <c r="AA58" s="18"/>
      <c r="AB58" s="1">
        <f t="shared" si="10"/>
        <v>11.5</v>
      </c>
      <c r="AC58" s="1">
        <f t="shared" si="29"/>
        <v>9.8443653726061608</v>
      </c>
      <c r="AD58" s="1">
        <v>16.610199999999999</v>
      </c>
      <c r="AE58" s="1">
        <v>17.662600000000001</v>
      </c>
      <c r="AF58" s="1">
        <v>17.589200000000002</v>
      </c>
      <c r="AG58" s="1">
        <v>20.5428</v>
      </c>
      <c r="AH58" s="1">
        <v>19.153199999999998</v>
      </c>
      <c r="AI58" s="1">
        <v>13.6248</v>
      </c>
      <c r="AJ58" s="1">
        <v>14.4322</v>
      </c>
      <c r="AK58" s="1">
        <v>14.9146</v>
      </c>
      <c r="AL58" s="1">
        <v>20.043399999999998</v>
      </c>
      <c r="AM58" s="1">
        <v>21.0244</v>
      </c>
      <c r="AN58" s="1"/>
      <c r="AO58" s="1">
        <f t="shared" si="11"/>
        <v>25</v>
      </c>
      <c r="AP58" s="1">
        <f t="shared" si="12"/>
        <v>0</v>
      </c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x14ac:dyDescent="0.25">
      <c r="A59" s="1" t="s">
        <v>98</v>
      </c>
      <c r="B59" s="1" t="s">
        <v>44</v>
      </c>
      <c r="C59" s="1">
        <v>279</v>
      </c>
      <c r="D59" s="1">
        <v>160</v>
      </c>
      <c r="E59" s="1">
        <v>209</v>
      </c>
      <c r="F59" s="1">
        <v>199</v>
      </c>
      <c r="G59" s="7">
        <v>0.1</v>
      </c>
      <c r="H59" s="1">
        <v>731</v>
      </c>
      <c r="I59" s="1" t="s">
        <v>39</v>
      </c>
      <c r="J59" s="1"/>
      <c r="K59" s="1">
        <v>208</v>
      </c>
      <c r="L59" s="1">
        <f t="shared" si="27"/>
        <v>1</v>
      </c>
      <c r="M59" s="1"/>
      <c r="N59" s="1"/>
      <c r="O59" s="1">
        <v>0</v>
      </c>
      <c r="P59" s="1">
        <v>45.21999999999997</v>
      </c>
      <c r="Q59" s="1"/>
      <c r="R59" s="1"/>
      <c r="S59" s="1">
        <v>83.68</v>
      </c>
      <c r="T59" s="23"/>
      <c r="U59" s="1">
        <f t="shared" si="28"/>
        <v>41.8</v>
      </c>
      <c r="V59" s="5">
        <f t="shared" si="25"/>
        <v>152.80000000000001</v>
      </c>
      <c r="W59" s="5">
        <f t="shared" si="13"/>
        <v>152.80000000000001</v>
      </c>
      <c r="X59" s="5">
        <f t="shared" si="8"/>
        <v>152.80000000000001</v>
      </c>
      <c r="Y59" s="5"/>
      <c r="Z59" s="18"/>
      <c r="AA59" s="18"/>
      <c r="AB59" s="1">
        <f t="shared" si="10"/>
        <v>11.5</v>
      </c>
      <c r="AC59" s="1">
        <f t="shared" si="29"/>
        <v>7.8444976076555024</v>
      </c>
      <c r="AD59" s="1">
        <v>41.8</v>
      </c>
      <c r="AE59" s="1">
        <v>37.4</v>
      </c>
      <c r="AF59" s="1">
        <v>37.200000000000003</v>
      </c>
      <c r="AG59" s="1">
        <v>48</v>
      </c>
      <c r="AH59" s="1">
        <v>49.4</v>
      </c>
      <c r="AI59" s="1">
        <v>40.200000000000003</v>
      </c>
      <c r="AJ59" s="1">
        <v>36.6</v>
      </c>
      <c r="AK59" s="1">
        <v>38</v>
      </c>
      <c r="AL59" s="1">
        <v>36.6</v>
      </c>
      <c r="AM59" s="1">
        <v>45.8</v>
      </c>
      <c r="AN59" s="1"/>
      <c r="AO59" s="1">
        <f t="shared" si="11"/>
        <v>15</v>
      </c>
      <c r="AP59" s="1">
        <f t="shared" si="12"/>
        <v>0</v>
      </c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x14ac:dyDescent="0.25">
      <c r="A60" s="1" t="s">
        <v>99</v>
      </c>
      <c r="B60" s="1" t="s">
        <v>44</v>
      </c>
      <c r="C60" s="1">
        <v>431</v>
      </c>
      <c r="D60" s="1">
        <v>23</v>
      </c>
      <c r="E60" s="1">
        <v>409</v>
      </c>
      <c r="F60" s="1">
        <v>25</v>
      </c>
      <c r="G60" s="7">
        <v>0.4</v>
      </c>
      <c r="H60" s="1">
        <v>50</v>
      </c>
      <c r="I60" s="13" t="s">
        <v>100</v>
      </c>
      <c r="J60" s="1"/>
      <c r="K60" s="1">
        <v>478</v>
      </c>
      <c r="L60" s="1">
        <f t="shared" si="27"/>
        <v>-69</v>
      </c>
      <c r="M60" s="1"/>
      <c r="N60" s="1"/>
      <c r="O60" s="1">
        <v>0</v>
      </c>
      <c r="P60" s="1">
        <v>72.694608000000017</v>
      </c>
      <c r="Q60" s="1">
        <v>109.497392</v>
      </c>
      <c r="R60" s="1"/>
      <c r="S60" s="1">
        <v>489.21600000000012</v>
      </c>
      <c r="T60" s="23"/>
      <c r="U60" s="1">
        <f t="shared" si="28"/>
        <v>81.8</v>
      </c>
      <c r="V60" s="5">
        <f>10.5*U60-S60-R60-Q60-P60-O60-F60</f>
        <v>162.49199999999985</v>
      </c>
      <c r="W60" s="5">
        <f t="shared" si="13"/>
        <v>162.49199999999985</v>
      </c>
      <c r="X60" s="5">
        <f t="shared" si="8"/>
        <v>162.49199999999985</v>
      </c>
      <c r="Y60" s="5"/>
      <c r="Z60" s="18"/>
      <c r="AA60" s="18"/>
      <c r="AB60" s="1">
        <f t="shared" si="10"/>
        <v>10.5</v>
      </c>
      <c r="AC60" s="1">
        <f t="shared" si="29"/>
        <v>8.5135452322738399</v>
      </c>
      <c r="AD60" s="1">
        <v>87.2</v>
      </c>
      <c r="AE60" s="1">
        <v>47.4</v>
      </c>
      <c r="AF60" s="1">
        <v>32</v>
      </c>
      <c r="AG60" s="1">
        <v>18.2</v>
      </c>
      <c r="AH60" s="1">
        <v>25.8</v>
      </c>
      <c r="AI60" s="1">
        <v>47</v>
      </c>
      <c r="AJ60" s="1">
        <v>52.6</v>
      </c>
      <c r="AK60" s="1">
        <v>40</v>
      </c>
      <c r="AL60" s="1">
        <v>40.6</v>
      </c>
      <c r="AM60" s="1">
        <v>41.6</v>
      </c>
      <c r="AN60" s="1" t="s">
        <v>101</v>
      </c>
      <c r="AO60" s="1">
        <f t="shared" si="11"/>
        <v>65</v>
      </c>
      <c r="AP60" s="1">
        <f t="shared" si="12"/>
        <v>0</v>
      </c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x14ac:dyDescent="0.25">
      <c r="A61" s="1" t="s">
        <v>102</v>
      </c>
      <c r="B61" s="1" t="s">
        <v>38</v>
      </c>
      <c r="C61" s="1">
        <v>395.28800000000001</v>
      </c>
      <c r="D61" s="1">
        <v>363.255</v>
      </c>
      <c r="E61" s="1">
        <v>456.12599999999998</v>
      </c>
      <c r="F61" s="1">
        <v>184.48599999999999</v>
      </c>
      <c r="G61" s="7">
        <v>1</v>
      </c>
      <c r="H61" s="1">
        <v>40</v>
      </c>
      <c r="I61" s="15" t="s">
        <v>42</v>
      </c>
      <c r="J61" s="1"/>
      <c r="K61" s="1">
        <v>475.5</v>
      </c>
      <c r="L61" s="1">
        <f t="shared" si="27"/>
        <v>-19.374000000000024</v>
      </c>
      <c r="M61" s="1"/>
      <c r="N61" s="1"/>
      <c r="O61" s="1">
        <v>75.196870000000004</v>
      </c>
      <c r="P61" s="1">
        <v>43.515239249999993</v>
      </c>
      <c r="Q61" s="1">
        <v>65.545510749999991</v>
      </c>
      <c r="R61" s="1"/>
      <c r="S61" s="1">
        <v>19.902679999999979</v>
      </c>
      <c r="T61" s="23"/>
      <c r="U61" s="1">
        <f t="shared" si="28"/>
        <v>91.225200000000001</v>
      </c>
      <c r="V61" s="5">
        <f>10.5*U61-S61-R61-Q61-P61-O61-F61</f>
        <v>569.2183</v>
      </c>
      <c r="W61" s="5">
        <f>V61+U61*$W$1</f>
        <v>507.64129000000003</v>
      </c>
      <c r="X61" s="5">
        <f t="shared" si="8"/>
        <v>271.08044885999999</v>
      </c>
      <c r="Y61" s="5">
        <f t="shared" ref="Y61:Y67" si="35">W61*$Y$1</f>
        <v>236.56084114000004</v>
      </c>
      <c r="Z61" s="18"/>
      <c r="AA61" s="18"/>
      <c r="AB61" s="1">
        <f t="shared" si="10"/>
        <v>9.8249999999999993</v>
      </c>
      <c r="AC61" s="1">
        <f t="shared" si="29"/>
        <v>4.2602954008322254</v>
      </c>
      <c r="AD61" s="1">
        <v>67.546599999999998</v>
      </c>
      <c r="AE61" s="1">
        <v>73.622399999999999</v>
      </c>
      <c r="AF61" s="1">
        <v>79.154600000000002</v>
      </c>
      <c r="AG61" s="1">
        <v>84.038600000000002</v>
      </c>
      <c r="AH61" s="1">
        <v>84.491</v>
      </c>
      <c r="AI61" s="1">
        <v>92.173400000000001</v>
      </c>
      <c r="AJ61" s="1">
        <v>104.8788</v>
      </c>
      <c r="AK61" s="1">
        <v>105.1588</v>
      </c>
      <c r="AL61" s="1">
        <v>95.004600000000011</v>
      </c>
      <c r="AM61" s="1">
        <v>56.900799999999997</v>
      </c>
      <c r="AN61" s="1"/>
      <c r="AO61" s="1">
        <f t="shared" si="11"/>
        <v>271</v>
      </c>
      <c r="AP61" s="1">
        <f t="shared" si="12"/>
        <v>237</v>
      </c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x14ac:dyDescent="0.25">
      <c r="A62" s="1" t="s">
        <v>103</v>
      </c>
      <c r="B62" s="1" t="s">
        <v>38</v>
      </c>
      <c r="C62" s="1">
        <v>419.048</v>
      </c>
      <c r="D62" s="1"/>
      <c r="E62" s="1">
        <v>403.76400000000001</v>
      </c>
      <c r="F62" s="1">
        <v>2.5430000000000001</v>
      </c>
      <c r="G62" s="7">
        <v>1</v>
      </c>
      <c r="H62" s="1">
        <v>40</v>
      </c>
      <c r="I62" s="1" t="s">
        <v>39</v>
      </c>
      <c r="J62" s="1"/>
      <c r="K62" s="1">
        <v>420.55</v>
      </c>
      <c r="L62" s="1">
        <f t="shared" si="27"/>
        <v>-16.786000000000001</v>
      </c>
      <c r="M62" s="1"/>
      <c r="N62" s="1"/>
      <c r="O62" s="1">
        <v>167.79810000000009</v>
      </c>
      <c r="P62" s="1">
        <v>123.675762084</v>
      </c>
      <c r="Q62" s="1">
        <v>186.28855391600001</v>
      </c>
      <c r="R62" s="1"/>
      <c r="S62" s="1">
        <v>450</v>
      </c>
      <c r="T62" s="23"/>
      <c r="U62" s="1">
        <f t="shared" si="28"/>
        <v>80.752800000000008</v>
      </c>
      <c r="V62" s="5"/>
      <c r="W62" s="5">
        <f>Z62</f>
        <v>320</v>
      </c>
      <c r="X62" s="5">
        <f t="shared" si="8"/>
        <v>170.88</v>
      </c>
      <c r="Y62" s="5">
        <f t="shared" si="35"/>
        <v>149.12</v>
      </c>
      <c r="Z62" s="18">
        <f>VLOOKUP(A62,[1]Sheet!$A:$W,22,0)</f>
        <v>320</v>
      </c>
      <c r="AA62" s="18" t="str">
        <f>VLOOKUP(A62,[1]Sheet!$A:$W,23,0)</f>
        <v>промо</v>
      </c>
      <c r="AB62" s="1">
        <f t="shared" si="10"/>
        <v>15.483121526436236</v>
      </c>
      <c r="AC62" s="1">
        <f t="shared" si="29"/>
        <v>11.520410635916031</v>
      </c>
      <c r="AD62" s="1">
        <v>90.680199999999999</v>
      </c>
      <c r="AE62" s="1">
        <v>74.665199999999999</v>
      </c>
      <c r="AF62" s="1">
        <v>66.578000000000003</v>
      </c>
      <c r="AG62" s="1">
        <v>61.303600000000003</v>
      </c>
      <c r="AH62" s="1">
        <v>86.032200000000003</v>
      </c>
      <c r="AI62" s="1">
        <v>60.540200000000013</v>
      </c>
      <c r="AJ62" s="1">
        <v>16.110199999999999</v>
      </c>
      <c r="AK62" s="1">
        <v>63.010399999999997</v>
      </c>
      <c r="AL62" s="1">
        <v>100.036</v>
      </c>
      <c r="AM62" s="1">
        <v>103.18680000000001</v>
      </c>
      <c r="AN62" s="1"/>
      <c r="AO62" s="1">
        <f t="shared" si="11"/>
        <v>171</v>
      </c>
      <c r="AP62" s="1">
        <f t="shared" si="12"/>
        <v>149</v>
      </c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x14ac:dyDescent="0.25">
      <c r="A63" s="1" t="s">
        <v>104</v>
      </c>
      <c r="B63" s="1" t="s">
        <v>44</v>
      </c>
      <c r="C63" s="1">
        <v>661</v>
      </c>
      <c r="D63" s="1">
        <v>662</v>
      </c>
      <c r="E63" s="1">
        <v>911</v>
      </c>
      <c r="F63" s="1">
        <v>197</v>
      </c>
      <c r="G63" s="7">
        <v>0.4</v>
      </c>
      <c r="H63" s="1">
        <v>40</v>
      </c>
      <c r="I63" s="1" t="s">
        <v>39</v>
      </c>
      <c r="J63" s="1"/>
      <c r="K63" s="1">
        <v>925</v>
      </c>
      <c r="L63" s="1">
        <f t="shared" si="27"/>
        <v>-14</v>
      </c>
      <c r="M63" s="1"/>
      <c r="N63" s="1"/>
      <c r="O63" s="1">
        <v>298.31999999999988</v>
      </c>
      <c r="P63" s="1">
        <v>178.36656600000001</v>
      </c>
      <c r="Q63" s="1">
        <v>268.66743400000001</v>
      </c>
      <c r="R63" s="1"/>
      <c r="S63" s="1">
        <v>285.23000000000008</v>
      </c>
      <c r="T63" s="23"/>
      <c r="U63" s="1">
        <f t="shared" si="28"/>
        <v>182.2</v>
      </c>
      <c r="V63" s="5">
        <f t="shared" si="25"/>
        <v>867.71599999999989</v>
      </c>
      <c r="W63" s="5">
        <f t="shared" ref="W63:W64" si="36">V63+U63*$W$1</f>
        <v>744.73099999999988</v>
      </c>
      <c r="X63" s="5">
        <f t="shared" si="8"/>
        <v>397.68635399999994</v>
      </c>
      <c r="Y63" s="5">
        <f t="shared" si="35"/>
        <v>347.04464599999994</v>
      </c>
      <c r="Z63" s="18"/>
      <c r="AA63" s="18"/>
      <c r="AB63" s="1">
        <f t="shared" si="10"/>
        <v>10.824999999999999</v>
      </c>
      <c r="AC63" s="1">
        <f t="shared" si="29"/>
        <v>6.7375631174533472</v>
      </c>
      <c r="AD63" s="1">
        <v>175.6</v>
      </c>
      <c r="AE63" s="1">
        <v>170.8</v>
      </c>
      <c r="AF63" s="1">
        <v>173.4</v>
      </c>
      <c r="AG63" s="1">
        <v>175.2</v>
      </c>
      <c r="AH63" s="1">
        <v>177.8</v>
      </c>
      <c r="AI63" s="1">
        <v>184.4</v>
      </c>
      <c r="AJ63" s="1">
        <v>182.6</v>
      </c>
      <c r="AK63" s="1">
        <v>193.4</v>
      </c>
      <c r="AL63" s="1">
        <v>188.4</v>
      </c>
      <c r="AM63" s="1">
        <v>196.8</v>
      </c>
      <c r="AN63" s="1"/>
      <c r="AO63" s="1">
        <f t="shared" si="11"/>
        <v>159</v>
      </c>
      <c r="AP63" s="1">
        <f t="shared" si="12"/>
        <v>139</v>
      </c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x14ac:dyDescent="0.25">
      <c r="A64" s="1" t="s">
        <v>105</v>
      </c>
      <c r="B64" s="1" t="s">
        <v>44</v>
      </c>
      <c r="C64" s="1">
        <v>445</v>
      </c>
      <c r="D64" s="1">
        <v>423</v>
      </c>
      <c r="E64" s="1">
        <v>650</v>
      </c>
      <c r="F64" s="1">
        <v>96</v>
      </c>
      <c r="G64" s="7">
        <v>0.4</v>
      </c>
      <c r="H64" s="1">
        <v>40</v>
      </c>
      <c r="I64" s="15" t="s">
        <v>42</v>
      </c>
      <c r="J64" s="1"/>
      <c r="K64" s="1">
        <v>670</v>
      </c>
      <c r="L64" s="1">
        <f t="shared" si="27"/>
        <v>-20</v>
      </c>
      <c r="M64" s="1"/>
      <c r="N64" s="1"/>
      <c r="O64" s="1">
        <v>99.18</v>
      </c>
      <c r="P64" s="1">
        <v>174.62873399999981</v>
      </c>
      <c r="Q64" s="1">
        <v>263.03726599999959</v>
      </c>
      <c r="R64" s="1"/>
      <c r="S64" s="1">
        <v>370.71800000000059</v>
      </c>
      <c r="T64" s="23"/>
      <c r="U64" s="1">
        <f t="shared" si="28"/>
        <v>130</v>
      </c>
      <c r="V64" s="5">
        <f t="shared" si="25"/>
        <v>491.43600000000015</v>
      </c>
      <c r="W64" s="5">
        <f t="shared" si="36"/>
        <v>403.68600000000015</v>
      </c>
      <c r="X64" s="5">
        <f t="shared" si="8"/>
        <v>215.56832400000008</v>
      </c>
      <c r="Y64" s="5">
        <f t="shared" si="35"/>
        <v>188.11767600000007</v>
      </c>
      <c r="Z64" s="18"/>
      <c r="AA64" s="18"/>
      <c r="AB64" s="1">
        <f t="shared" si="10"/>
        <v>10.825000000000001</v>
      </c>
      <c r="AC64" s="1">
        <f t="shared" si="29"/>
        <v>7.7197230769230778</v>
      </c>
      <c r="AD64" s="1">
        <v>132.6</v>
      </c>
      <c r="AE64" s="1">
        <v>111.2</v>
      </c>
      <c r="AF64" s="1">
        <v>104.4</v>
      </c>
      <c r="AG64" s="1">
        <v>114.8</v>
      </c>
      <c r="AH64" s="1">
        <v>116.8</v>
      </c>
      <c r="AI64" s="1">
        <v>127.4</v>
      </c>
      <c r="AJ64" s="1">
        <v>128.6</v>
      </c>
      <c r="AK64" s="1">
        <v>101.8</v>
      </c>
      <c r="AL64" s="1">
        <v>61.8</v>
      </c>
      <c r="AM64" s="1">
        <v>99.6</v>
      </c>
      <c r="AN64" s="1"/>
      <c r="AO64" s="1">
        <f t="shared" si="11"/>
        <v>86</v>
      </c>
      <c r="AP64" s="1">
        <f t="shared" si="12"/>
        <v>75</v>
      </c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x14ac:dyDescent="0.25">
      <c r="A65" s="1" t="s">
        <v>106</v>
      </c>
      <c r="B65" s="1" t="s">
        <v>38</v>
      </c>
      <c r="C65" s="1">
        <v>408.26100000000002</v>
      </c>
      <c r="D65" s="1">
        <v>19.143000000000001</v>
      </c>
      <c r="E65" s="1">
        <v>414.214</v>
      </c>
      <c r="F65" s="1">
        <v>8.68</v>
      </c>
      <c r="G65" s="7">
        <v>1</v>
      </c>
      <c r="H65" s="1">
        <v>40</v>
      </c>
      <c r="I65" s="15" t="s">
        <v>42</v>
      </c>
      <c r="J65" s="1"/>
      <c r="K65" s="1">
        <v>441.37</v>
      </c>
      <c r="L65" s="1">
        <f t="shared" si="27"/>
        <v>-27.156000000000006</v>
      </c>
      <c r="M65" s="1"/>
      <c r="N65" s="1"/>
      <c r="O65" s="1">
        <v>50</v>
      </c>
      <c r="P65" s="1">
        <v>244.28141707200001</v>
      </c>
      <c r="Q65" s="1">
        <v>367.95271092799987</v>
      </c>
      <c r="R65" s="1"/>
      <c r="S65" s="1">
        <v>370.28394800000018</v>
      </c>
      <c r="T65" s="23"/>
      <c r="U65" s="1">
        <f t="shared" si="28"/>
        <v>82.842799999999997</v>
      </c>
      <c r="V65" s="5"/>
      <c r="W65" s="5">
        <v>320</v>
      </c>
      <c r="X65" s="5">
        <f t="shared" si="8"/>
        <v>170.88</v>
      </c>
      <c r="Y65" s="5">
        <f t="shared" si="35"/>
        <v>149.12</v>
      </c>
      <c r="Z65" s="18">
        <f>VLOOKUP(A65,[1]Sheet!$A:$W,22,0)</f>
        <v>400</v>
      </c>
      <c r="AA65" s="18"/>
      <c r="AB65" s="1">
        <f t="shared" si="10"/>
        <v>16.431096920915277</v>
      </c>
      <c r="AC65" s="1">
        <f t="shared" si="29"/>
        <v>12.568359302196452</v>
      </c>
      <c r="AD65" s="1">
        <v>109.9434</v>
      </c>
      <c r="AE65" s="1">
        <v>96.201599999999999</v>
      </c>
      <c r="AF65" s="1">
        <v>48.907400000000003</v>
      </c>
      <c r="AG65" s="1">
        <v>15.131</v>
      </c>
      <c r="AH65" s="1">
        <v>61.583000000000013</v>
      </c>
      <c r="AI65" s="1">
        <v>96.852400000000003</v>
      </c>
      <c r="AJ65" s="1">
        <v>77.294000000000011</v>
      </c>
      <c r="AK65" s="1">
        <v>25.259599999999999</v>
      </c>
      <c r="AL65" s="1">
        <v>18.2072</v>
      </c>
      <c r="AM65" s="1">
        <v>61.124800000000008</v>
      </c>
      <c r="AN65" s="1"/>
      <c r="AO65" s="1">
        <f t="shared" si="11"/>
        <v>171</v>
      </c>
      <c r="AP65" s="1">
        <f t="shared" si="12"/>
        <v>149</v>
      </c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x14ac:dyDescent="0.25">
      <c r="A66" s="1" t="s">
        <v>107</v>
      </c>
      <c r="B66" s="1" t="s">
        <v>38</v>
      </c>
      <c r="C66" s="1">
        <v>-8.5000000000000006E-2</v>
      </c>
      <c r="D66" s="1">
        <v>226.345</v>
      </c>
      <c r="E66" s="1">
        <v>212.63399999999999</v>
      </c>
      <c r="F66" s="1">
        <v>-2.157</v>
      </c>
      <c r="G66" s="7">
        <v>1</v>
      </c>
      <c r="H66" s="1">
        <v>40</v>
      </c>
      <c r="I66" s="15" t="s">
        <v>42</v>
      </c>
      <c r="J66" s="1"/>
      <c r="K66" s="1">
        <v>247.375</v>
      </c>
      <c r="L66" s="1">
        <f t="shared" si="27"/>
        <v>-34.741000000000014</v>
      </c>
      <c r="M66" s="1"/>
      <c r="N66" s="1"/>
      <c r="O66" s="1">
        <v>251.41919999999999</v>
      </c>
      <c r="P66" s="1">
        <v>100</v>
      </c>
      <c r="Q66" s="1"/>
      <c r="R66" s="1"/>
      <c r="S66" s="1">
        <v>100</v>
      </c>
      <c r="T66" s="23"/>
      <c r="U66" s="1">
        <f t="shared" si="28"/>
        <v>42.526799999999994</v>
      </c>
      <c r="V66" s="5">
        <f t="shared" si="25"/>
        <v>39.79599999999995</v>
      </c>
      <c r="W66" s="5">
        <v>220</v>
      </c>
      <c r="X66" s="5">
        <f t="shared" si="8"/>
        <v>117.47999999999999</v>
      </c>
      <c r="Y66" s="5">
        <f t="shared" si="35"/>
        <v>102.52000000000001</v>
      </c>
      <c r="Z66" s="18">
        <f>VLOOKUP(A66,[1]Sheet!$A:$W,22,0)</f>
        <v>300</v>
      </c>
      <c r="AA66" s="18"/>
      <c r="AB66" s="1">
        <f t="shared" si="10"/>
        <v>15.737422049154889</v>
      </c>
      <c r="AC66" s="1">
        <f t="shared" si="29"/>
        <v>10.564213625290407</v>
      </c>
      <c r="AD66" s="1">
        <v>21.747199999999999</v>
      </c>
      <c r="AE66" s="1">
        <v>16.946200000000001</v>
      </c>
      <c r="AF66" s="1">
        <v>42.628</v>
      </c>
      <c r="AG66" s="1">
        <v>29.645199999999999</v>
      </c>
      <c r="AH66" s="1">
        <v>0</v>
      </c>
      <c r="AI66" s="1">
        <v>2.3567999999999998</v>
      </c>
      <c r="AJ66" s="1">
        <v>20.276199999999999</v>
      </c>
      <c r="AK66" s="1">
        <v>17.383400000000002</v>
      </c>
      <c r="AL66" s="1">
        <v>-0.53600000000000003</v>
      </c>
      <c r="AM66" s="1">
        <v>1.5669999999999999</v>
      </c>
      <c r="AN66" s="1"/>
      <c r="AO66" s="1">
        <f t="shared" si="11"/>
        <v>117</v>
      </c>
      <c r="AP66" s="1">
        <f t="shared" si="12"/>
        <v>103</v>
      </c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x14ac:dyDescent="0.25">
      <c r="A67" s="1" t="s">
        <v>108</v>
      </c>
      <c r="B67" s="1" t="s">
        <v>38</v>
      </c>
      <c r="C67" s="1">
        <v>-7.4999999999999997E-2</v>
      </c>
      <c r="D67" s="1"/>
      <c r="E67" s="1">
        <v>-0.90200000000000002</v>
      </c>
      <c r="F67" s="1">
        <v>-7.4999999999999997E-2</v>
      </c>
      <c r="G67" s="7">
        <v>1</v>
      </c>
      <c r="H67" s="1">
        <v>40</v>
      </c>
      <c r="I67" s="15" t="s">
        <v>42</v>
      </c>
      <c r="J67" s="1"/>
      <c r="K67" s="1">
        <v>8.0500000000000007</v>
      </c>
      <c r="L67" s="1">
        <f t="shared" si="27"/>
        <v>-8.952</v>
      </c>
      <c r="M67" s="1"/>
      <c r="N67" s="1"/>
      <c r="O67" s="1">
        <v>300</v>
      </c>
      <c r="P67" s="1">
        <v>159.6</v>
      </c>
      <c r="Q67" s="1">
        <v>240.4</v>
      </c>
      <c r="R67" s="1"/>
      <c r="S67" s="1">
        <v>150</v>
      </c>
      <c r="T67" s="23"/>
      <c r="U67" s="1">
        <f t="shared" si="28"/>
        <v>-0.1804</v>
      </c>
      <c r="V67" s="5"/>
      <c r="W67" s="5">
        <f t="shared" ref="W67" si="37">Z67</f>
        <v>330</v>
      </c>
      <c r="X67" s="5">
        <f t="shared" si="8"/>
        <v>176.22</v>
      </c>
      <c r="Y67" s="5">
        <f t="shared" si="35"/>
        <v>153.78</v>
      </c>
      <c r="Z67" s="18">
        <f>VLOOKUP(A67,[1]Sheet!$A:$W,22,0)</f>
        <v>330</v>
      </c>
      <c r="AA67" s="18" t="str">
        <f>VLOOKUP(A67,[1]Sheet!$A:$W,23,0)</f>
        <v>промо</v>
      </c>
      <c r="AB67" s="1">
        <f t="shared" si="10"/>
        <v>-6540.6042128603103</v>
      </c>
      <c r="AC67" s="1">
        <f t="shared" si="29"/>
        <v>-4711.3359201773828</v>
      </c>
      <c r="AD67" s="1">
        <v>7.2888000000000002</v>
      </c>
      <c r="AE67" s="1">
        <v>51.259599999999999</v>
      </c>
      <c r="AF67" s="1">
        <v>43.880800000000001</v>
      </c>
      <c r="AG67" s="1">
        <v>-0.09</v>
      </c>
      <c r="AH67" s="1">
        <v>-0.09</v>
      </c>
      <c r="AI67" s="1">
        <v>-0.1812</v>
      </c>
      <c r="AJ67" s="1">
        <v>-0.36499999999999999</v>
      </c>
      <c r="AK67" s="1">
        <v>59.523000000000003</v>
      </c>
      <c r="AL67" s="1">
        <v>61.708000000000013</v>
      </c>
      <c r="AM67" s="1">
        <v>37.239999999999988</v>
      </c>
      <c r="AN67" s="1"/>
      <c r="AO67" s="1">
        <f t="shared" si="11"/>
        <v>176</v>
      </c>
      <c r="AP67" s="1">
        <f t="shared" si="12"/>
        <v>154</v>
      </c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x14ac:dyDescent="0.25">
      <c r="A68" s="1" t="s">
        <v>109</v>
      </c>
      <c r="B68" s="1" t="s">
        <v>38</v>
      </c>
      <c r="C68" s="1">
        <v>16.067</v>
      </c>
      <c r="D68" s="1">
        <v>16.347999999999999</v>
      </c>
      <c r="E68" s="1">
        <v>28.346</v>
      </c>
      <c r="F68" s="1">
        <v>0.745</v>
      </c>
      <c r="G68" s="7">
        <v>1</v>
      </c>
      <c r="H68" s="1">
        <v>40</v>
      </c>
      <c r="I68" s="15" t="s">
        <v>42</v>
      </c>
      <c r="J68" s="1"/>
      <c r="K68" s="1">
        <v>94.3</v>
      </c>
      <c r="L68" s="1">
        <f t="shared" si="27"/>
        <v>-65.953999999999994</v>
      </c>
      <c r="M68" s="1"/>
      <c r="N68" s="1"/>
      <c r="O68" s="1">
        <v>13.82489999999998</v>
      </c>
      <c r="P68" s="1">
        <v>63.84</v>
      </c>
      <c r="Q68" s="1">
        <v>96.16</v>
      </c>
      <c r="R68" s="1"/>
      <c r="S68" s="1">
        <v>100</v>
      </c>
      <c r="T68" s="23"/>
      <c r="U68" s="1">
        <f t="shared" si="28"/>
        <v>5.6692</v>
      </c>
      <c r="V68" s="5"/>
      <c r="W68" s="5">
        <f t="shared" si="13"/>
        <v>0</v>
      </c>
      <c r="X68" s="5">
        <f t="shared" si="8"/>
        <v>0</v>
      </c>
      <c r="Y68" s="5"/>
      <c r="Z68" s="18"/>
      <c r="AA68" s="18"/>
      <c r="AB68" s="1">
        <f t="shared" si="10"/>
        <v>48.431859874409078</v>
      </c>
      <c r="AC68" s="1">
        <f t="shared" si="29"/>
        <v>48.431859874409078</v>
      </c>
      <c r="AD68" s="1">
        <v>13.414400000000001</v>
      </c>
      <c r="AE68" s="1">
        <v>18.822199999999999</v>
      </c>
      <c r="AF68" s="1">
        <v>8.4867999999999988</v>
      </c>
      <c r="AG68" s="1">
        <v>10.5602</v>
      </c>
      <c r="AH68" s="1">
        <v>10.377800000000001</v>
      </c>
      <c r="AI68" s="1">
        <v>-0.18240000000000001</v>
      </c>
      <c r="AJ68" s="1">
        <v>-0.54620000000000002</v>
      </c>
      <c r="AK68" s="1">
        <v>-0.90079999999999993</v>
      </c>
      <c r="AL68" s="1">
        <v>-0.53520000000000001</v>
      </c>
      <c r="AM68" s="1">
        <v>16.866399999999999</v>
      </c>
      <c r="AN68" s="1"/>
      <c r="AO68" s="1">
        <f t="shared" si="11"/>
        <v>0</v>
      </c>
      <c r="AP68" s="1">
        <f t="shared" si="12"/>
        <v>0</v>
      </c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25">
      <c r="A69" s="1" t="s">
        <v>110</v>
      </c>
      <c r="B69" s="1" t="s">
        <v>44</v>
      </c>
      <c r="C69" s="1"/>
      <c r="D69" s="1">
        <v>8</v>
      </c>
      <c r="E69" s="1">
        <v>6</v>
      </c>
      <c r="F69" s="1">
        <v>1</v>
      </c>
      <c r="G69" s="7">
        <v>0.6</v>
      </c>
      <c r="H69" s="1">
        <v>70</v>
      </c>
      <c r="I69" s="1" t="s">
        <v>39</v>
      </c>
      <c r="J69" s="1"/>
      <c r="K69" s="1">
        <v>16</v>
      </c>
      <c r="L69" s="1">
        <f t="shared" si="27"/>
        <v>-10</v>
      </c>
      <c r="M69" s="1"/>
      <c r="N69" s="1"/>
      <c r="O69" s="1">
        <v>1.52</v>
      </c>
      <c r="P69" s="1">
        <v>30.28</v>
      </c>
      <c r="Q69" s="1"/>
      <c r="R69" s="1"/>
      <c r="S69" s="1">
        <v>4.0000000000000044</v>
      </c>
      <c r="T69" s="23"/>
      <c r="U69" s="1">
        <f t="shared" si="28"/>
        <v>1.2</v>
      </c>
      <c r="V69" s="5"/>
      <c r="W69" s="5">
        <f t="shared" si="13"/>
        <v>0</v>
      </c>
      <c r="X69" s="5">
        <f t="shared" si="8"/>
        <v>0</v>
      </c>
      <c r="Y69" s="5"/>
      <c r="Z69" s="18"/>
      <c r="AA69" s="18"/>
      <c r="AB69" s="1">
        <f t="shared" si="10"/>
        <v>30.666666666666679</v>
      </c>
      <c r="AC69" s="1">
        <f t="shared" si="29"/>
        <v>30.666666666666679</v>
      </c>
      <c r="AD69" s="1">
        <v>3.6</v>
      </c>
      <c r="AE69" s="1">
        <v>3.2</v>
      </c>
      <c r="AF69" s="1">
        <v>1.6</v>
      </c>
      <c r="AG69" s="1">
        <v>1.4</v>
      </c>
      <c r="AH69" s="1">
        <v>1.8</v>
      </c>
      <c r="AI69" s="1">
        <v>1.4</v>
      </c>
      <c r="AJ69" s="1">
        <v>1.2</v>
      </c>
      <c r="AK69" s="1">
        <v>1.6</v>
      </c>
      <c r="AL69" s="1">
        <v>0.6</v>
      </c>
      <c r="AM69" s="1">
        <v>1.2</v>
      </c>
      <c r="AN69" s="1"/>
      <c r="AO69" s="1">
        <f t="shared" si="11"/>
        <v>0</v>
      </c>
      <c r="AP69" s="1">
        <f t="shared" si="12"/>
        <v>0</v>
      </c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x14ac:dyDescent="0.25">
      <c r="A70" s="1" t="s">
        <v>111</v>
      </c>
      <c r="B70" s="1" t="s">
        <v>38</v>
      </c>
      <c r="C70" s="1">
        <v>161.71700000000001</v>
      </c>
      <c r="D70" s="1">
        <v>37.665999999999997</v>
      </c>
      <c r="E70" s="1">
        <v>154.93600000000001</v>
      </c>
      <c r="F70" s="1">
        <v>-0.57399999999999995</v>
      </c>
      <c r="G70" s="7">
        <v>1</v>
      </c>
      <c r="H70" s="1">
        <v>30</v>
      </c>
      <c r="I70" s="1" t="s">
        <v>39</v>
      </c>
      <c r="J70" s="1"/>
      <c r="K70" s="1">
        <v>188.3</v>
      </c>
      <c r="L70" s="1">
        <f t="shared" ref="L70:L101" si="38">E70-K70</f>
        <v>-33.364000000000004</v>
      </c>
      <c r="M70" s="1"/>
      <c r="N70" s="1"/>
      <c r="O70" s="1">
        <v>37.811599999999999</v>
      </c>
      <c r="P70" s="1">
        <v>88.609200000000016</v>
      </c>
      <c r="Q70" s="1"/>
      <c r="R70" s="1"/>
      <c r="S70" s="1">
        <v>61.694099999999978</v>
      </c>
      <c r="T70" s="23"/>
      <c r="U70" s="1">
        <f t="shared" ref="U70:U101" si="39">E70/5</f>
        <v>30.987200000000001</v>
      </c>
      <c r="V70" s="5">
        <f t="shared" si="25"/>
        <v>168.81190000000001</v>
      </c>
      <c r="W70" s="5">
        <f t="shared" si="13"/>
        <v>168.81190000000001</v>
      </c>
      <c r="X70" s="5">
        <f t="shared" si="8"/>
        <v>168.81190000000001</v>
      </c>
      <c r="Y70" s="5"/>
      <c r="Z70" s="18"/>
      <c r="AA70" s="18"/>
      <c r="AB70" s="1">
        <f t="shared" si="10"/>
        <v>11.5</v>
      </c>
      <c r="AC70" s="1">
        <f t="shared" ref="AC70:AC101" si="40">(F70+O70+P70+Q70+R70+S70)/U70</f>
        <v>6.0522054267568537</v>
      </c>
      <c r="AD70" s="1">
        <v>26.473800000000001</v>
      </c>
      <c r="AE70" s="1">
        <v>25.355</v>
      </c>
      <c r="AF70" s="1">
        <v>25.254000000000001</v>
      </c>
      <c r="AG70" s="1">
        <v>27.837800000000001</v>
      </c>
      <c r="AH70" s="1">
        <v>28.1508</v>
      </c>
      <c r="AI70" s="1">
        <v>34.746000000000002</v>
      </c>
      <c r="AJ70" s="1">
        <v>35.825400000000002</v>
      </c>
      <c r="AK70" s="1">
        <v>37.188800000000001</v>
      </c>
      <c r="AL70" s="1">
        <v>38.170999999999999</v>
      </c>
      <c r="AM70" s="1">
        <v>39.023200000000003</v>
      </c>
      <c r="AN70" s="1"/>
      <c r="AO70" s="1">
        <f t="shared" si="11"/>
        <v>169</v>
      </c>
      <c r="AP70" s="1">
        <f t="shared" si="12"/>
        <v>0</v>
      </c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x14ac:dyDescent="0.25">
      <c r="A71" s="1" t="s">
        <v>112</v>
      </c>
      <c r="B71" s="1" t="s">
        <v>44</v>
      </c>
      <c r="C71" s="1">
        <v>91</v>
      </c>
      <c r="D71" s="1">
        <v>106</v>
      </c>
      <c r="E71" s="1">
        <v>161</v>
      </c>
      <c r="F71" s="1">
        <v>-7</v>
      </c>
      <c r="G71" s="7">
        <v>0.6</v>
      </c>
      <c r="H71" s="1">
        <v>60</v>
      </c>
      <c r="I71" s="1" t="s">
        <v>39</v>
      </c>
      <c r="J71" s="1"/>
      <c r="K71" s="1">
        <v>177</v>
      </c>
      <c r="L71" s="1">
        <f t="shared" si="38"/>
        <v>-16</v>
      </c>
      <c r="M71" s="1"/>
      <c r="N71" s="1"/>
      <c r="O71" s="1">
        <v>135.55799999999999</v>
      </c>
      <c r="P71" s="1">
        <v>12.400000000000031</v>
      </c>
      <c r="Q71" s="1"/>
      <c r="R71" s="1"/>
      <c r="S71" s="1">
        <v>83.341999999999985</v>
      </c>
      <c r="T71" s="23"/>
      <c r="U71" s="1">
        <f t="shared" si="39"/>
        <v>32.200000000000003</v>
      </c>
      <c r="V71" s="5">
        <f t="shared" si="25"/>
        <v>146</v>
      </c>
      <c r="W71" s="5">
        <f t="shared" ref="W71:W134" si="41">V71</f>
        <v>146</v>
      </c>
      <c r="X71" s="5">
        <f t="shared" ref="X71:X134" si="42">W71-Y71</f>
        <v>146</v>
      </c>
      <c r="Y71" s="5"/>
      <c r="Z71" s="18"/>
      <c r="AA71" s="18"/>
      <c r="AB71" s="1">
        <f t="shared" ref="AB71:AB134" si="43">(F71+O71+P71+Q71+R71+S71+W71)/U71</f>
        <v>11.5</v>
      </c>
      <c r="AC71" s="1">
        <f t="shared" si="40"/>
        <v>6.9658385093167698</v>
      </c>
      <c r="AD71" s="1">
        <v>28.6</v>
      </c>
      <c r="AE71" s="1">
        <v>26.6</v>
      </c>
      <c r="AF71" s="1">
        <v>30</v>
      </c>
      <c r="AG71" s="1">
        <v>24</v>
      </c>
      <c r="AH71" s="1">
        <v>20.399999999999999</v>
      </c>
      <c r="AI71" s="1">
        <v>26.2</v>
      </c>
      <c r="AJ71" s="1">
        <v>30.2</v>
      </c>
      <c r="AK71" s="1">
        <v>26</v>
      </c>
      <c r="AL71" s="1">
        <v>31.2</v>
      </c>
      <c r="AM71" s="1">
        <v>26.6</v>
      </c>
      <c r="AN71" s="1"/>
      <c r="AO71" s="1">
        <f t="shared" ref="AO71:AO134" si="44">ROUND(G71*X71,0)</f>
        <v>88</v>
      </c>
      <c r="AP71" s="1">
        <f t="shared" ref="AP71:AP134" si="45">ROUND(G71*Y71,0)</f>
        <v>0</v>
      </c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x14ac:dyDescent="0.25">
      <c r="A72" s="1" t="s">
        <v>113</v>
      </c>
      <c r="B72" s="1" t="s">
        <v>44</v>
      </c>
      <c r="C72" s="1">
        <v>31</v>
      </c>
      <c r="D72" s="1">
        <v>32</v>
      </c>
      <c r="E72" s="1">
        <v>43</v>
      </c>
      <c r="F72" s="1">
        <v>13</v>
      </c>
      <c r="G72" s="7">
        <v>0.6</v>
      </c>
      <c r="H72" s="1">
        <v>60</v>
      </c>
      <c r="I72" s="1" t="s">
        <v>39</v>
      </c>
      <c r="J72" s="1"/>
      <c r="K72" s="1">
        <v>50</v>
      </c>
      <c r="L72" s="1">
        <f t="shared" si="38"/>
        <v>-7</v>
      </c>
      <c r="M72" s="1"/>
      <c r="N72" s="1"/>
      <c r="O72" s="1">
        <v>68.38000000000001</v>
      </c>
      <c r="P72" s="1">
        <v>3.6199999999999899</v>
      </c>
      <c r="Q72" s="1"/>
      <c r="R72" s="1"/>
      <c r="S72" s="1">
        <v>0</v>
      </c>
      <c r="T72" s="23"/>
      <c r="U72" s="1">
        <f t="shared" si="39"/>
        <v>8.6</v>
      </c>
      <c r="V72" s="5">
        <f t="shared" si="25"/>
        <v>13.899999999999991</v>
      </c>
      <c r="W72" s="5">
        <f t="shared" si="41"/>
        <v>13.899999999999991</v>
      </c>
      <c r="X72" s="5">
        <f t="shared" si="42"/>
        <v>13.899999999999991</v>
      </c>
      <c r="Y72" s="5"/>
      <c r="Z72" s="18"/>
      <c r="AA72" s="18"/>
      <c r="AB72" s="1">
        <f t="shared" si="43"/>
        <v>11.5</v>
      </c>
      <c r="AC72" s="1">
        <f t="shared" si="40"/>
        <v>9.8837209302325579</v>
      </c>
      <c r="AD72" s="1">
        <v>7.8</v>
      </c>
      <c r="AE72" s="1">
        <v>10.4</v>
      </c>
      <c r="AF72" s="1">
        <v>12.4</v>
      </c>
      <c r="AG72" s="1">
        <v>8.4</v>
      </c>
      <c r="AH72" s="1">
        <v>8</v>
      </c>
      <c r="AI72" s="1">
        <v>7</v>
      </c>
      <c r="AJ72" s="1">
        <v>8.1999999999999993</v>
      </c>
      <c r="AK72" s="1">
        <v>12.6</v>
      </c>
      <c r="AL72" s="1">
        <v>13.2</v>
      </c>
      <c r="AM72" s="1">
        <v>11</v>
      </c>
      <c r="AN72" s="1"/>
      <c r="AO72" s="1">
        <f t="shared" si="44"/>
        <v>8</v>
      </c>
      <c r="AP72" s="1">
        <f t="shared" si="45"/>
        <v>0</v>
      </c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x14ac:dyDescent="0.25">
      <c r="A73" s="1" t="s">
        <v>114</v>
      </c>
      <c r="B73" s="1" t="s">
        <v>44</v>
      </c>
      <c r="C73" s="1">
        <v>33</v>
      </c>
      <c r="D73" s="1">
        <v>112</v>
      </c>
      <c r="E73" s="1">
        <v>130</v>
      </c>
      <c r="F73" s="1"/>
      <c r="G73" s="7">
        <v>0.4</v>
      </c>
      <c r="H73" s="1">
        <v>90</v>
      </c>
      <c r="I73" s="1" t="s">
        <v>39</v>
      </c>
      <c r="J73" s="1"/>
      <c r="K73" s="1">
        <v>164</v>
      </c>
      <c r="L73" s="1">
        <f t="shared" si="38"/>
        <v>-34</v>
      </c>
      <c r="M73" s="1"/>
      <c r="N73" s="1"/>
      <c r="O73" s="1">
        <v>96.70999999999998</v>
      </c>
      <c r="P73" s="1">
        <v>41.63</v>
      </c>
      <c r="Q73" s="1"/>
      <c r="R73" s="1"/>
      <c r="S73" s="1">
        <v>9.4600000000000364</v>
      </c>
      <c r="T73" s="23"/>
      <c r="U73" s="1">
        <f t="shared" si="39"/>
        <v>26</v>
      </c>
      <c r="V73" s="5">
        <f t="shared" si="25"/>
        <v>151.19999999999999</v>
      </c>
      <c r="W73" s="5">
        <f t="shared" si="41"/>
        <v>151.19999999999999</v>
      </c>
      <c r="X73" s="5">
        <f t="shared" si="42"/>
        <v>151.19999999999999</v>
      </c>
      <c r="Y73" s="5"/>
      <c r="Z73" s="18"/>
      <c r="AA73" s="18"/>
      <c r="AB73" s="1">
        <f t="shared" si="43"/>
        <v>11.5</v>
      </c>
      <c r="AC73" s="1">
        <f t="shared" si="40"/>
        <v>5.6846153846153848</v>
      </c>
      <c r="AD73" s="1">
        <v>21.6</v>
      </c>
      <c r="AE73" s="1">
        <v>22.2</v>
      </c>
      <c r="AF73" s="1">
        <v>24.6</v>
      </c>
      <c r="AG73" s="1">
        <v>25.2</v>
      </c>
      <c r="AH73" s="1">
        <v>22.8</v>
      </c>
      <c r="AI73" s="1">
        <v>19.399999999999999</v>
      </c>
      <c r="AJ73" s="1">
        <v>28.2</v>
      </c>
      <c r="AK73" s="1">
        <v>31</v>
      </c>
      <c r="AL73" s="1">
        <v>25.8</v>
      </c>
      <c r="AM73" s="1">
        <v>28</v>
      </c>
      <c r="AN73" s="1"/>
      <c r="AO73" s="1">
        <f t="shared" si="44"/>
        <v>60</v>
      </c>
      <c r="AP73" s="1">
        <f t="shared" si="45"/>
        <v>0</v>
      </c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x14ac:dyDescent="0.25">
      <c r="A74" s="1" t="s">
        <v>115</v>
      </c>
      <c r="B74" s="1" t="s">
        <v>44</v>
      </c>
      <c r="C74" s="1">
        <v>152</v>
      </c>
      <c r="D74" s="1">
        <v>96</v>
      </c>
      <c r="E74" s="1">
        <v>152</v>
      </c>
      <c r="F74" s="1">
        <v>76</v>
      </c>
      <c r="G74" s="7">
        <v>0.33</v>
      </c>
      <c r="H74" s="1">
        <v>60</v>
      </c>
      <c r="I74" s="15" t="s">
        <v>42</v>
      </c>
      <c r="J74" s="1"/>
      <c r="K74" s="1">
        <v>153</v>
      </c>
      <c r="L74" s="1">
        <f t="shared" si="38"/>
        <v>-1</v>
      </c>
      <c r="M74" s="1"/>
      <c r="N74" s="1"/>
      <c r="O74" s="1">
        <v>0</v>
      </c>
      <c r="P74" s="1">
        <v>42.884519999999981</v>
      </c>
      <c r="Q74" s="1">
        <v>64.595479999999981</v>
      </c>
      <c r="R74" s="1"/>
      <c r="S74" s="1">
        <v>116.72</v>
      </c>
      <c r="T74" s="23"/>
      <c r="U74" s="1">
        <f t="shared" si="39"/>
        <v>30.4</v>
      </c>
      <c r="V74" s="5">
        <f t="shared" si="25"/>
        <v>49.400000000000006</v>
      </c>
      <c r="W74" s="5">
        <f t="shared" si="41"/>
        <v>49.400000000000006</v>
      </c>
      <c r="X74" s="5">
        <f t="shared" si="42"/>
        <v>49.400000000000006</v>
      </c>
      <c r="Y74" s="5"/>
      <c r="Z74" s="18"/>
      <c r="AA74" s="18"/>
      <c r="AB74" s="1">
        <f t="shared" si="43"/>
        <v>11.499999999999998</v>
      </c>
      <c r="AC74" s="1">
        <f t="shared" si="40"/>
        <v>9.8749999999999982</v>
      </c>
      <c r="AD74" s="1">
        <v>36.4</v>
      </c>
      <c r="AE74" s="1">
        <v>29</v>
      </c>
      <c r="AF74" s="1">
        <v>27.2</v>
      </c>
      <c r="AG74" s="1">
        <v>33</v>
      </c>
      <c r="AH74" s="1">
        <v>35.6</v>
      </c>
      <c r="AI74" s="1">
        <v>30.6</v>
      </c>
      <c r="AJ74" s="1">
        <v>23.6</v>
      </c>
      <c r="AK74" s="1">
        <v>33.6</v>
      </c>
      <c r="AL74" s="1">
        <v>41.4</v>
      </c>
      <c r="AM74" s="1">
        <v>40.799999999999997</v>
      </c>
      <c r="AN74" s="1"/>
      <c r="AO74" s="1">
        <f t="shared" si="44"/>
        <v>16</v>
      </c>
      <c r="AP74" s="1">
        <f t="shared" si="45"/>
        <v>0</v>
      </c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x14ac:dyDescent="0.25">
      <c r="A75" s="1" t="s">
        <v>116</v>
      </c>
      <c r="B75" s="1" t="s">
        <v>44</v>
      </c>
      <c r="C75" s="1">
        <v>33</v>
      </c>
      <c r="D75" s="1">
        <v>128</v>
      </c>
      <c r="E75" s="1">
        <v>112</v>
      </c>
      <c r="F75" s="1">
        <v>40</v>
      </c>
      <c r="G75" s="7">
        <v>0.35</v>
      </c>
      <c r="H75" s="1">
        <v>90</v>
      </c>
      <c r="I75" s="1" t="s">
        <v>39</v>
      </c>
      <c r="J75" s="1"/>
      <c r="K75" s="1">
        <v>112</v>
      </c>
      <c r="L75" s="1">
        <f t="shared" si="38"/>
        <v>0</v>
      </c>
      <c r="M75" s="1"/>
      <c r="N75" s="1"/>
      <c r="O75" s="1">
        <v>0</v>
      </c>
      <c r="P75" s="1">
        <v>58.645020000000017</v>
      </c>
      <c r="Q75" s="1">
        <v>88.334980000000002</v>
      </c>
      <c r="R75" s="1"/>
      <c r="S75" s="1">
        <v>8</v>
      </c>
      <c r="T75" s="23"/>
      <c r="U75" s="1">
        <f t="shared" si="39"/>
        <v>22.4</v>
      </c>
      <c r="V75" s="5">
        <f t="shared" si="25"/>
        <v>62.619999999999948</v>
      </c>
      <c r="W75" s="5">
        <f t="shared" si="41"/>
        <v>62.619999999999948</v>
      </c>
      <c r="X75" s="5">
        <f t="shared" si="42"/>
        <v>62.619999999999948</v>
      </c>
      <c r="Y75" s="5"/>
      <c r="Z75" s="18"/>
      <c r="AA75" s="18"/>
      <c r="AB75" s="1">
        <f t="shared" si="43"/>
        <v>11.5</v>
      </c>
      <c r="AC75" s="1">
        <f t="shared" si="40"/>
        <v>8.7044642857142875</v>
      </c>
      <c r="AD75" s="1">
        <v>25.2</v>
      </c>
      <c r="AE75" s="1">
        <v>25.2</v>
      </c>
      <c r="AF75" s="1">
        <v>20.399999999999999</v>
      </c>
      <c r="AG75" s="1">
        <v>23.6</v>
      </c>
      <c r="AH75" s="1">
        <v>18.600000000000001</v>
      </c>
      <c r="AI75" s="1">
        <v>17</v>
      </c>
      <c r="AJ75" s="1">
        <v>14.8</v>
      </c>
      <c r="AK75" s="1">
        <v>5.4</v>
      </c>
      <c r="AL75" s="1">
        <v>9</v>
      </c>
      <c r="AM75" s="1">
        <v>27.8</v>
      </c>
      <c r="AN75" s="1"/>
      <c r="AO75" s="1">
        <f t="shared" si="44"/>
        <v>22</v>
      </c>
      <c r="AP75" s="1">
        <f t="shared" si="45"/>
        <v>0</v>
      </c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x14ac:dyDescent="0.25">
      <c r="A76" s="1" t="s">
        <v>117</v>
      </c>
      <c r="B76" s="1" t="s">
        <v>44</v>
      </c>
      <c r="C76" s="1">
        <v>328</v>
      </c>
      <c r="D76" s="1">
        <v>291</v>
      </c>
      <c r="E76" s="1">
        <v>398</v>
      </c>
      <c r="F76" s="1">
        <v>156</v>
      </c>
      <c r="G76" s="7">
        <v>0.37</v>
      </c>
      <c r="H76" s="1">
        <v>50</v>
      </c>
      <c r="I76" s="1" t="s">
        <v>39</v>
      </c>
      <c r="J76" s="1"/>
      <c r="K76" s="1">
        <v>403</v>
      </c>
      <c r="L76" s="1">
        <f t="shared" si="38"/>
        <v>-5</v>
      </c>
      <c r="M76" s="1"/>
      <c r="N76" s="1"/>
      <c r="O76" s="1">
        <v>198.30999999999969</v>
      </c>
      <c r="P76" s="1">
        <v>56.318849999999998</v>
      </c>
      <c r="Q76" s="1">
        <v>84.83114999999998</v>
      </c>
      <c r="R76" s="1"/>
      <c r="S76" s="1">
        <v>77.74000000000035</v>
      </c>
      <c r="T76" s="23"/>
      <c r="U76" s="1">
        <f t="shared" si="39"/>
        <v>79.599999999999994</v>
      </c>
      <c r="V76" s="5">
        <f t="shared" si="25"/>
        <v>342.19999999999993</v>
      </c>
      <c r="W76" s="5">
        <f>V76+U76*$W$1</f>
        <v>288.46999999999991</v>
      </c>
      <c r="X76" s="5">
        <f t="shared" si="42"/>
        <v>154.04297999999994</v>
      </c>
      <c r="Y76" s="5">
        <f>W76*$Y$1</f>
        <v>134.42701999999997</v>
      </c>
      <c r="Z76" s="18"/>
      <c r="AA76" s="18"/>
      <c r="AB76" s="1">
        <f t="shared" si="43"/>
        <v>10.825000000000001</v>
      </c>
      <c r="AC76" s="1">
        <f t="shared" si="40"/>
        <v>7.201005025125629</v>
      </c>
      <c r="AD76" s="1">
        <v>74.400000000000006</v>
      </c>
      <c r="AE76" s="1">
        <v>75</v>
      </c>
      <c r="AF76" s="1">
        <v>83</v>
      </c>
      <c r="AG76" s="1">
        <v>77.2</v>
      </c>
      <c r="AH76" s="1">
        <v>80.2</v>
      </c>
      <c r="AI76" s="1">
        <v>85.6</v>
      </c>
      <c r="AJ76" s="1">
        <v>87.8</v>
      </c>
      <c r="AK76" s="1">
        <v>104.4</v>
      </c>
      <c r="AL76" s="1">
        <v>100.2</v>
      </c>
      <c r="AM76" s="1">
        <v>113.2</v>
      </c>
      <c r="AN76" s="1"/>
      <c r="AO76" s="1">
        <f t="shared" si="44"/>
        <v>57</v>
      </c>
      <c r="AP76" s="1">
        <f t="shared" si="45"/>
        <v>50</v>
      </c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x14ac:dyDescent="0.25">
      <c r="A77" s="1" t="s">
        <v>118</v>
      </c>
      <c r="B77" s="1" t="s">
        <v>44</v>
      </c>
      <c r="C77" s="1">
        <v>174</v>
      </c>
      <c r="D77" s="1">
        <v>40</v>
      </c>
      <c r="E77" s="1">
        <v>130</v>
      </c>
      <c r="F77" s="1">
        <v>28</v>
      </c>
      <c r="G77" s="7">
        <v>0.6</v>
      </c>
      <c r="H77" s="1">
        <v>70</v>
      </c>
      <c r="I77" s="1" t="s">
        <v>39</v>
      </c>
      <c r="J77" s="1"/>
      <c r="K77" s="1">
        <v>154</v>
      </c>
      <c r="L77" s="1">
        <f t="shared" si="38"/>
        <v>-24</v>
      </c>
      <c r="M77" s="1"/>
      <c r="N77" s="1"/>
      <c r="O77" s="1">
        <v>77.929999999999922</v>
      </c>
      <c r="P77" s="1">
        <v>77.174580000000006</v>
      </c>
      <c r="Q77" s="1">
        <v>116.24542</v>
      </c>
      <c r="R77" s="1"/>
      <c r="S77" s="1">
        <v>0</v>
      </c>
      <c r="T77" s="23"/>
      <c r="U77" s="1">
        <f t="shared" si="39"/>
        <v>26</v>
      </c>
      <c r="V77" s="5"/>
      <c r="W77" s="5">
        <f t="shared" si="41"/>
        <v>0</v>
      </c>
      <c r="X77" s="5">
        <f t="shared" si="42"/>
        <v>0</v>
      </c>
      <c r="Y77" s="5"/>
      <c r="Z77" s="18"/>
      <c r="AA77" s="18"/>
      <c r="AB77" s="1">
        <f t="shared" si="43"/>
        <v>11.513461538461534</v>
      </c>
      <c r="AC77" s="1">
        <f t="shared" si="40"/>
        <v>11.513461538461534</v>
      </c>
      <c r="AD77" s="1">
        <v>31.2</v>
      </c>
      <c r="AE77" s="1">
        <v>34.4</v>
      </c>
      <c r="AF77" s="1">
        <v>28.4</v>
      </c>
      <c r="AG77" s="1">
        <v>25.6</v>
      </c>
      <c r="AH77" s="1">
        <v>30.6</v>
      </c>
      <c r="AI77" s="1">
        <v>36.200000000000003</v>
      </c>
      <c r="AJ77" s="1">
        <v>37.6</v>
      </c>
      <c r="AK77" s="1">
        <v>36.200000000000003</v>
      </c>
      <c r="AL77" s="1">
        <v>30.2</v>
      </c>
      <c r="AM77" s="1">
        <v>45</v>
      </c>
      <c r="AN77" s="1"/>
      <c r="AO77" s="1">
        <f t="shared" si="44"/>
        <v>0</v>
      </c>
      <c r="AP77" s="1">
        <f t="shared" si="45"/>
        <v>0</v>
      </c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x14ac:dyDescent="0.25">
      <c r="A78" s="1" t="s">
        <v>119</v>
      </c>
      <c r="B78" s="1" t="s">
        <v>44</v>
      </c>
      <c r="C78" s="1">
        <v>45</v>
      </c>
      <c r="D78" s="1">
        <v>48</v>
      </c>
      <c r="E78" s="1">
        <v>48</v>
      </c>
      <c r="F78" s="1">
        <v>42</v>
      </c>
      <c r="G78" s="7">
        <v>0.33</v>
      </c>
      <c r="H78" s="1">
        <v>40</v>
      </c>
      <c r="I78" s="1" t="s">
        <v>39</v>
      </c>
      <c r="J78" s="1"/>
      <c r="K78" s="1">
        <v>52</v>
      </c>
      <c r="L78" s="1">
        <f t="shared" si="38"/>
        <v>-4</v>
      </c>
      <c r="M78" s="1"/>
      <c r="N78" s="1"/>
      <c r="O78" s="1">
        <v>0</v>
      </c>
      <c r="P78" s="1">
        <v>6</v>
      </c>
      <c r="Q78" s="1"/>
      <c r="R78" s="1"/>
      <c r="S78" s="1">
        <v>7</v>
      </c>
      <c r="T78" s="23"/>
      <c r="U78" s="1">
        <f t="shared" si="39"/>
        <v>9.6</v>
      </c>
      <c r="V78" s="5">
        <f t="shared" si="25"/>
        <v>55.399999999999991</v>
      </c>
      <c r="W78" s="5">
        <f t="shared" si="41"/>
        <v>55.399999999999991</v>
      </c>
      <c r="X78" s="5">
        <f t="shared" si="42"/>
        <v>55.399999999999991</v>
      </c>
      <c r="Y78" s="5"/>
      <c r="Z78" s="18"/>
      <c r="AA78" s="18"/>
      <c r="AB78" s="1">
        <f t="shared" si="43"/>
        <v>11.5</v>
      </c>
      <c r="AC78" s="1">
        <f t="shared" si="40"/>
        <v>5.729166666666667</v>
      </c>
      <c r="AD78" s="1">
        <v>8</v>
      </c>
      <c r="AE78" s="1">
        <v>7.6</v>
      </c>
      <c r="AF78" s="1">
        <v>7.6</v>
      </c>
      <c r="AG78" s="1">
        <v>10.4</v>
      </c>
      <c r="AH78" s="1">
        <v>9.4</v>
      </c>
      <c r="AI78" s="1">
        <v>4.4000000000000004</v>
      </c>
      <c r="AJ78" s="1">
        <v>8.1999999999999993</v>
      </c>
      <c r="AK78" s="1">
        <v>12.2</v>
      </c>
      <c r="AL78" s="1">
        <v>12.2</v>
      </c>
      <c r="AM78" s="1">
        <v>12.8</v>
      </c>
      <c r="AN78" s="1"/>
      <c r="AO78" s="1">
        <f t="shared" si="44"/>
        <v>18</v>
      </c>
      <c r="AP78" s="1">
        <f t="shared" si="45"/>
        <v>0</v>
      </c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x14ac:dyDescent="0.25">
      <c r="A79" s="1" t="s">
        <v>120</v>
      </c>
      <c r="B79" s="1" t="s">
        <v>44</v>
      </c>
      <c r="C79" s="1">
        <v>142</v>
      </c>
      <c r="D79" s="1">
        <v>156</v>
      </c>
      <c r="E79" s="1">
        <v>317</v>
      </c>
      <c r="F79" s="1">
        <v>-21</v>
      </c>
      <c r="G79" s="7">
        <v>0.4</v>
      </c>
      <c r="H79" s="1">
        <v>55</v>
      </c>
      <c r="I79" s="15" t="s">
        <v>42</v>
      </c>
      <c r="J79" s="1"/>
      <c r="K79" s="1">
        <v>358</v>
      </c>
      <c r="L79" s="1">
        <f t="shared" si="38"/>
        <v>-41</v>
      </c>
      <c r="M79" s="1"/>
      <c r="N79" s="1"/>
      <c r="O79" s="1">
        <v>294.74000000000012</v>
      </c>
      <c r="P79" s="1">
        <v>77.439515999999927</v>
      </c>
      <c r="Q79" s="1">
        <v>116.64448399999991</v>
      </c>
      <c r="R79" s="1"/>
      <c r="S79" s="1">
        <v>249.57599999999999</v>
      </c>
      <c r="T79" s="23"/>
      <c r="U79" s="1">
        <f t="shared" si="39"/>
        <v>63.4</v>
      </c>
      <c r="V79" s="5">
        <f t="shared" si="25"/>
        <v>11.700000000000045</v>
      </c>
      <c r="W79" s="5">
        <f t="shared" si="41"/>
        <v>11.700000000000045</v>
      </c>
      <c r="X79" s="5">
        <f t="shared" si="42"/>
        <v>11.700000000000045</v>
      </c>
      <c r="Y79" s="5"/>
      <c r="Z79" s="18"/>
      <c r="AA79" s="18"/>
      <c r="AB79" s="1">
        <f t="shared" si="43"/>
        <v>11.5</v>
      </c>
      <c r="AC79" s="1">
        <f t="shared" si="40"/>
        <v>11.315457413249211</v>
      </c>
      <c r="AD79" s="1">
        <v>72.8</v>
      </c>
      <c r="AE79" s="1">
        <v>62.8</v>
      </c>
      <c r="AF79" s="1">
        <v>61.2</v>
      </c>
      <c r="AG79" s="1">
        <v>41.4</v>
      </c>
      <c r="AH79" s="1">
        <v>36</v>
      </c>
      <c r="AI79" s="1">
        <v>44.4</v>
      </c>
      <c r="AJ79" s="1">
        <v>49.4</v>
      </c>
      <c r="AK79" s="1">
        <v>54.2</v>
      </c>
      <c r="AL79" s="1">
        <v>46</v>
      </c>
      <c r="AM79" s="1">
        <v>49.8</v>
      </c>
      <c r="AN79" s="1" t="s">
        <v>121</v>
      </c>
      <c r="AO79" s="1">
        <f t="shared" si="44"/>
        <v>5</v>
      </c>
      <c r="AP79" s="1">
        <f t="shared" si="45"/>
        <v>0</v>
      </c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x14ac:dyDescent="0.25">
      <c r="A80" s="1" t="s">
        <v>122</v>
      </c>
      <c r="B80" s="1" t="s">
        <v>44</v>
      </c>
      <c r="C80" s="1">
        <v>12</v>
      </c>
      <c r="D80" s="1">
        <v>12</v>
      </c>
      <c r="E80" s="1">
        <v>14</v>
      </c>
      <c r="F80" s="1">
        <v>7</v>
      </c>
      <c r="G80" s="7">
        <v>0.35</v>
      </c>
      <c r="H80" s="1">
        <v>40</v>
      </c>
      <c r="I80" s="15" t="s">
        <v>42</v>
      </c>
      <c r="J80" s="1"/>
      <c r="K80" s="1">
        <v>14</v>
      </c>
      <c r="L80" s="1">
        <f t="shared" si="38"/>
        <v>0</v>
      </c>
      <c r="M80" s="1"/>
      <c r="N80" s="1"/>
      <c r="O80" s="1">
        <v>15.2</v>
      </c>
      <c r="P80" s="1">
        <v>0</v>
      </c>
      <c r="Q80" s="1"/>
      <c r="R80" s="1"/>
      <c r="S80" s="1">
        <v>0</v>
      </c>
      <c r="T80" s="23"/>
      <c r="U80" s="1">
        <f t="shared" si="39"/>
        <v>2.8</v>
      </c>
      <c r="V80" s="5">
        <f t="shared" si="25"/>
        <v>9.9999999999999964</v>
      </c>
      <c r="W80" s="5">
        <f t="shared" si="41"/>
        <v>9.9999999999999964</v>
      </c>
      <c r="X80" s="5">
        <f t="shared" si="42"/>
        <v>9.9999999999999964</v>
      </c>
      <c r="Y80" s="5"/>
      <c r="Z80" s="18"/>
      <c r="AA80" s="18"/>
      <c r="AB80" s="1">
        <f t="shared" si="43"/>
        <v>11.5</v>
      </c>
      <c r="AC80" s="1">
        <f t="shared" si="40"/>
        <v>7.9285714285714288</v>
      </c>
      <c r="AD80" s="1">
        <v>1.6</v>
      </c>
      <c r="AE80" s="1">
        <v>0</v>
      </c>
      <c r="AF80" s="1">
        <v>2.4</v>
      </c>
      <c r="AG80" s="1">
        <v>0</v>
      </c>
      <c r="AH80" s="1">
        <v>0</v>
      </c>
      <c r="AI80" s="1">
        <v>-0.2</v>
      </c>
      <c r="AJ80" s="1">
        <v>-0.2</v>
      </c>
      <c r="AK80" s="1">
        <v>0</v>
      </c>
      <c r="AL80" s="1">
        <v>0.4</v>
      </c>
      <c r="AM80" s="1">
        <v>10.8</v>
      </c>
      <c r="AN80" s="1"/>
      <c r="AO80" s="1">
        <f t="shared" si="44"/>
        <v>4</v>
      </c>
      <c r="AP80" s="1">
        <f t="shared" si="45"/>
        <v>0</v>
      </c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x14ac:dyDescent="0.25">
      <c r="A81" s="1" t="s">
        <v>123</v>
      </c>
      <c r="B81" s="1" t="s">
        <v>44</v>
      </c>
      <c r="C81" s="1">
        <v>6</v>
      </c>
      <c r="D81" s="1"/>
      <c r="E81" s="1">
        <v>6</v>
      </c>
      <c r="F81" s="1"/>
      <c r="G81" s="7">
        <v>0.35</v>
      </c>
      <c r="H81" s="1">
        <v>45</v>
      </c>
      <c r="I81" s="15" t="s">
        <v>42</v>
      </c>
      <c r="J81" s="1"/>
      <c r="K81" s="1">
        <v>63</v>
      </c>
      <c r="L81" s="1">
        <f t="shared" si="38"/>
        <v>-57</v>
      </c>
      <c r="M81" s="1"/>
      <c r="N81" s="1"/>
      <c r="O81" s="1">
        <v>45.6</v>
      </c>
      <c r="P81" s="1">
        <v>47.000000000000007</v>
      </c>
      <c r="Q81" s="1"/>
      <c r="R81" s="1"/>
      <c r="S81" s="1">
        <v>0</v>
      </c>
      <c r="T81" s="23"/>
      <c r="U81" s="1">
        <f t="shared" si="39"/>
        <v>1.2</v>
      </c>
      <c r="V81" s="5"/>
      <c r="W81" s="5">
        <f>Z81</f>
        <v>50</v>
      </c>
      <c r="X81" s="5">
        <f t="shared" si="42"/>
        <v>50</v>
      </c>
      <c r="Y81" s="5"/>
      <c r="Z81" s="18">
        <f>VLOOKUP(A81,[1]Sheet!$A:$W,22,0)</f>
        <v>50</v>
      </c>
      <c r="AA81" s="18" t="str">
        <f>VLOOKUP(A81,[1]Sheet!$A:$W,23,0)</f>
        <v>проомо</v>
      </c>
      <c r="AB81" s="1">
        <f t="shared" si="43"/>
        <v>118.83333333333336</v>
      </c>
      <c r="AC81" s="1">
        <f t="shared" si="40"/>
        <v>77.166666666666671</v>
      </c>
      <c r="AD81" s="1">
        <v>2.4</v>
      </c>
      <c r="AE81" s="1">
        <v>8.4</v>
      </c>
      <c r="AF81" s="1">
        <v>7.2</v>
      </c>
      <c r="AG81" s="1">
        <v>0</v>
      </c>
      <c r="AH81" s="1">
        <v>-1.2</v>
      </c>
      <c r="AI81" s="1">
        <v>24.6</v>
      </c>
      <c r="AJ81" s="1">
        <v>39.4</v>
      </c>
      <c r="AK81" s="1">
        <v>36</v>
      </c>
      <c r="AL81" s="1">
        <v>24.4</v>
      </c>
      <c r="AM81" s="1">
        <v>1.8</v>
      </c>
      <c r="AN81" s="1"/>
      <c r="AO81" s="1">
        <f t="shared" si="44"/>
        <v>18</v>
      </c>
      <c r="AP81" s="1">
        <f t="shared" si="45"/>
        <v>0</v>
      </c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x14ac:dyDescent="0.25">
      <c r="A82" s="1" t="s">
        <v>124</v>
      </c>
      <c r="B82" s="1" t="s">
        <v>44</v>
      </c>
      <c r="C82" s="1">
        <v>210</v>
      </c>
      <c r="D82" s="1">
        <v>90</v>
      </c>
      <c r="E82" s="1">
        <v>183</v>
      </c>
      <c r="F82" s="1">
        <v>116</v>
      </c>
      <c r="G82" s="7">
        <v>0.4</v>
      </c>
      <c r="H82" s="1">
        <v>55</v>
      </c>
      <c r="I82" s="1" t="s">
        <v>39</v>
      </c>
      <c r="J82" s="1"/>
      <c r="K82" s="1">
        <v>185</v>
      </c>
      <c r="L82" s="1">
        <f t="shared" si="38"/>
        <v>-2</v>
      </c>
      <c r="M82" s="1"/>
      <c r="N82" s="1"/>
      <c r="O82" s="1">
        <v>0</v>
      </c>
      <c r="P82" s="1">
        <v>0</v>
      </c>
      <c r="Q82" s="1"/>
      <c r="R82" s="1"/>
      <c r="S82" s="1">
        <v>201.6</v>
      </c>
      <c r="T82" s="23"/>
      <c r="U82" s="1">
        <f t="shared" si="39"/>
        <v>36.6</v>
      </c>
      <c r="V82" s="5">
        <f t="shared" si="25"/>
        <v>103.30000000000004</v>
      </c>
      <c r="W82" s="5">
        <f t="shared" si="41"/>
        <v>103.30000000000004</v>
      </c>
      <c r="X82" s="5">
        <f t="shared" si="42"/>
        <v>103.30000000000004</v>
      </c>
      <c r="Y82" s="5"/>
      <c r="Z82" s="18"/>
      <c r="AA82" s="18"/>
      <c r="AB82" s="1">
        <f t="shared" si="43"/>
        <v>11.500000000000002</v>
      </c>
      <c r="AC82" s="1">
        <f t="shared" si="40"/>
        <v>8.6775956284153004</v>
      </c>
      <c r="AD82" s="1">
        <v>36.4</v>
      </c>
      <c r="AE82" s="1">
        <v>14.8</v>
      </c>
      <c r="AF82" s="1">
        <v>18</v>
      </c>
      <c r="AG82" s="1">
        <v>31.8</v>
      </c>
      <c r="AH82" s="1">
        <v>27.2</v>
      </c>
      <c r="AI82" s="1">
        <v>35.799999999999997</v>
      </c>
      <c r="AJ82" s="1">
        <v>35.6</v>
      </c>
      <c r="AK82" s="1">
        <v>29.6</v>
      </c>
      <c r="AL82" s="1">
        <v>29.8</v>
      </c>
      <c r="AM82" s="1">
        <v>18.600000000000001</v>
      </c>
      <c r="AN82" s="1"/>
      <c r="AO82" s="1">
        <f t="shared" si="44"/>
        <v>41</v>
      </c>
      <c r="AP82" s="1">
        <f t="shared" si="45"/>
        <v>0</v>
      </c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x14ac:dyDescent="0.25">
      <c r="A83" s="1" t="s">
        <v>125</v>
      </c>
      <c r="B83" s="1" t="s">
        <v>38</v>
      </c>
      <c r="C83" s="1">
        <v>61.170999999999999</v>
      </c>
      <c r="D83" s="1"/>
      <c r="E83" s="1">
        <v>2.8690000000000002</v>
      </c>
      <c r="F83" s="1">
        <v>55.387</v>
      </c>
      <c r="G83" s="7">
        <v>1</v>
      </c>
      <c r="H83" s="1">
        <v>55</v>
      </c>
      <c r="I83" s="1" t="s">
        <v>39</v>
      </c>
      <c r="J83" s="1"/>
      <c r="K83" s="1">
        <v>2.6</v>
      </c>
      <c r="L83" s="1">
        <f t="shared" si="38"/>
        <v>0.26900000000000013</v>
      </c>
      <c r="M83" s="1"/>
      <c r="N83" s="1"/>
      <c r="O83" s="1">
        <v>0</v>
      </c>
      <c r="P83" s="1">
        <v>0</v>
      </c>
      <c r="Q83" s="1"/>
      <c r="R83" s="1"/>
      <c r="S83" s="1">
        <v>0</v>
      </c>
      <c r="T83" s="23"/>
      <c r="U83" s="1">
        <f t="shared" si="39"/>
        <v>0.57380000000000009</v>
      </c>
      <c r="V83" s="5"/>
      <c r="W83" s="5">
        <f t="shared" si="41"/>
        <v>0</v>
      </c>
      <c r="X83" s="5">
        <f t="shared" si="42"/>
        <v>0</v>
      </c>
      <c r="Y83" s="5"/>
      <c r="Z83" s="18"/>
      <c r="AA83" s="18"/>
      <c r="AB83" s="1">
        <f t="shared" si="43"/>
        <v>96.52666434297663</v>
      </c>
      <c r="AC83" s="1">
        <f t="shared" si="40"/>
        <v>96.52666434297663</v>
      </c>
      <c r="AD83" s="1">
        <v>1.1456</v>
      </c>
      <c r="AE83" s="1">
        <v>1.4379999999999999</v>
      </c>
      <c r="AF83" s="1">
        <v>0.86620000000000008</v>
      </c>
      <c r="AG83" s="1">
        <v>0.56840000000000002</v>
      </c>
      <c r="AH83" s="1">
        <v>0.56840000000000002</v>
      </c>
      <c r="AI83" s="1">
        <v>1.1446000000000001</v>
      </c>
      <c r="AJ83" s="1">
        <v>1.4156</v>
      </c>
      <c r="AK83" s="1">
        <v>1.1512</v>
      </c>
      <c r="AL83" s="1">
        <v>3.4895999999999998</v>
      </c>
      <c r="AM83" s="1">
        <v>3.4748000000000001</v>
      </c>
      <c r="AN83" s="17" t="s">
        <v>126</v>
      </c>
      <c r="AO83" s="1">
        <f t="shared" si="44"/>
        <v>0</v>
      </c>
      <c r="AP83" s="1">
        <f t="shared" si="45"/>
        <v>0</v>
      </c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x14ac:dyDescent="0.25">
      <c r="A84" s="1" t="s">
        <v>127</v>
      </c>
      <c r="B84" s="1" t="s">
        <v>38</v>
      </c>
      <c r="C84" s="1">
        <v>152.245</v>
      </c>
      <c r="D84" s="1">
        <v>241.24799999999999</v>
      </c>
      <c r="E84" s="1">
        <v>116.94499999999999</v>
      </c>
      <c r="F84" s="1">
        <v>10.032999999999999</v>
      </c>
      <c r="G84" s="7">
        <v>1</v>
      </c>
      <c r="H84" s="1">
        <v>55</v>
      </c>
      <c r="I84" s="1" t="s">
        <v>39</v>
      </c>
      <c r="J84" s="1"/>
      <c r="K84" s="1">
        <v>112.45</v>
      </c>
      <c r="L84" s="1">
        <f t="shared" si="38"/>
        <v>4.4949999999999903</v>
      </c>
      <c r="M84" s="1"/>
      <c r="N84" s="1"/>
      <c r="O84" s="1">
        <v>67.224829999999997</v>
      </c>
      <c r="P84" s="1">
        <v>40.291370000000001</v>
      </c>
      <c r="Q84" s="1"/>
      <c r="R84" s="1"/>
      <c r="S84" s="1">
        <v>43.56219999999999</v>
      </c>
      <c r="T84" s="23"/>
      <c r="U84" s="1">
        <f t="shared" si="39"/>
        <v>23.388999999999999</v>
      </c>
      <c r="V84" s="5">
        <f t="shared" si="25"/>
        <v>107.86210000000001</v>
      </c>
      <c r="W84" s="5">
        <f t="shared" si="41"/>
        <v>107.86210000000001</v>
      </c>
      <c r="X84" s="5">
        <f t="shared" si="42"/>
        <v>107.86210000000001</v>
      </c>
      <c r="Y84" s="5"/>
      <c r="Z84" s="18"/>
      <c r="AA84" s="18"/>
      <c r="AB84" s="1">
        <f t="shared" si="43"/>
        <v>11.5</v>
      </c>
      <c r="AC84" s="1">
        <f t="shared" si="40"/>
        <v>6.8883406729659242</v>
      </c>
      <c r="AD84" s="1">
        <v>21.680800000000001</v>
      </c>
      <c r="AE84" s="1">
        <v>21.646799999999999</v>
      </c>
      <c r="AF84" s="1">
        <v>18.131399999999999</v>
      </c>
      <c r="AG84" s="1">
        <v>21.6068</v>
      </c>
      <c r="AH84" s="1">
        <v>28.839600000000001</v>
      </c>
      <c r="AI84" s="1">
        <v>25.4146</v>
      </c>
      <c r="AJ84" s="1">
        <v>20.510200000000001</v>
      </c>
      <c r="AK84" s="1">
        <v>20.4178</v>
      </c>
      <c r="AL84" s="1">
        <v>26.796399999999998</v>
      </c>
      <c r="AM84" s="1">
        <v>27.92</v>
      </c>
      <c r="AN84" s="1" t="s">
        <v>121</v>
      </c>
      <c r="AO84" s="1">
        <f t="shared" si="44"/>
        <v>108</v>
      </c>
      <c r="AP84" s="1">
        <f t="shared" si="45"/>
        <v>0</v>
      </c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x14ac:dyDescent="0.25">
      <c r="A85" s="1" t="s">
        <v>128</v>
      </c>
      <c r="B85" s="1" t="s">
        <v>38</v>
      </c>
      <c r="C85" s="1">
        <v>388.89400000000001</v>
      </c>
      <c r="D85" s="1">
        <v>909</v>
      </c>
      <c r="E85" s="1">
        <v>695.96799999999996</v>
      </c>
      <c r="F85" s="1">
        <v>404.92700000000002</v>
      </c>
      <c r="G85" s="7">
        <v>1</v>
      </c>
      <c r="H85" s="1">
        <v>60</v>
      </c>
      <c r="I85" s="1" t="s">
        <v>39</v>
      </c>
      <c r="J85" s="1"/>
      <c r="K85" s="1">
        <v>702.83799999999997</v>
      </c>
      <c r="L85" s="1">
        <f t="shared" si="38"/>
        <v>-6.8700000000000045</v>
      </c>
      <c r="M85" s="1"/>
      <c r="N85" s="1"/>
      <c r="O85" s="1">
        <v>138.46079</v>
      </c>
      <c r="P85" s="1">
        <v>138.14871435915029</v>
      </c>
      <c r="Q85" s="1">
        <v>208.08866498709111</v>
      </c>
      <c r="R85" s="1"/>
      <c r="S85" s="1">
        <v>263.88603065375878</v>
      </c>
      <c r="T85" s="23"/>
      <c r="U85" s="1">
        <f t="shared" si="39"/>
        <v>139.1936</v>
      </c>
      <c r="V85" s="5">
        <f t="shared" si="25"/>
        <v>447.21519999999987</v>
      </c>
      <c r="W85" s="5">
        <f>Z85</f>
        <v>530</v>
      </c>
      <c r="X85" s="5">
        <f t="shared" si="42"/>
        <v>283.02</v>
      </c>
      <c r="Y85" s="5">
        <f>W85*$Y$1</f>
        <v>246.98000000000002</v>
      </c>
      <c r="Z85" s="18">
        <f>VLOOKUP(A85,[1]Sheet!$A:$W,22,0)</f>
        <v>530</v>
      </c>
      <c r="AA85" s="18" t="str">
        <f>VLOOKUP(A85,[1]Sheet!$A:$W,23,0)</f>
        <v>промо</v>
      </c>
      <c r="AB85" s="1">
        <f t="shared" si="43"/>
        <v>12.094745735436113</v>
      </c>
      <c r="AC85" s="1">
        <f t="shared" si="40"/>
        <v>8.2870994068692827</v>
      </c>
      <c r="AD85" s="1">
        <v>150.78639999999999</v>
      </c>
      <c r="AE85" s="1">
        <v>144.6326</v>
      </c>
      <c r="AF85" s="1">
        <v>145.7482</v>
      </c>
      <c r="AG85" s="1">
        <v>161.48840000000001</v>
      </c>
      <c r="AH85" s="1">
        <v>133.17140000000001</v>
      </c>
      <c r="AI85" s="1">
        <v>128.61879999999999</v>
      </c>
      <c r="AJ85" s="1">
        <v>152.0676</v>
      </c>
      <c r="AK85" s="1">
        <v>157.40639999999999</v>
      </c>
      <c r="AL85" s="1">
        <v>149.3056</v>
      </c>
      <c r="AM85" s="1">
        <v>150.80600000000001</v>
      </c>
      <c r="AN85" s="1"/>
      <c r="AO85" s="1">
        <f t="shared" si="44"/>
        <v>283</v>
      </c>
      <c r="AP85" s="1">
        <f t="shared" si="45"/>
        <v>247</v>
      </c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x14ac:dyDescent="0.25">
      <c r="A86" s="9" t="s">
        <v>129</v>
      </c>
      <c r="B86" s="9" t="s">
        <v>44</v>
      </c>
      <c r="C86" s="9"/>
      <c r="D86" s="9"/>
      <c r="E86" s="9"/>
      <c r="F86" s="9"/>
      <c r="G86" s="10">
        <v>0</v>
      </c>
      <c r="H86" s="9"/>
      <c r="I86" s="9" t="s">
        <v>39</v>
      </c>
      <c r="J86" s="9"/>
      <c r="K86" s="9"/>
      <c r="L86" s="9">
        <f t="shared" si="38"/>
        <v>0</v>
      </c>
      <c r="M86" s="9"/>
      <c r="N86" s="9"/>
      <c r="O86" s="9">
        <v>0</v>
      </c>
      <c r="P86" s="9">
        <v>0</v>
      </c>
      <c r="Q86" s="9"/>
      <c r="R86" s="9"/>
      <c r="S86" s="9">
        <v>0</v>
      </c>
      <c r="T86" s="26"/>
      <c r="U86" s="9">
        <f t="shared" si="39"/>
        <v>0</v>
      </c>
      <c r="V86" s="11"/>
      <c r="W86" s="5">
        <f t="shared" si="41"/>
        <v>0</v>
      </c>
      <c r="X86" s="5">
        <f t="shared" si="42"/>
        <v>0</v>
      </c>
      <c r="Y86" s="5"/>
      <c r="Z86" s="18"/>
      <c r="AA86" s="18"/>
      <c r="AB86" s="1" t="e">
        <f t="shared" si="43"/>
        <v>#DIV/0!</v>
      </c>
      <c r="AC86" s="9" t="e">
        <f t="shared" si="40"/>
        <v>#DIV/0!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 t="s">
        <v>45</v>
      </c>
      <c r="AO86" s="1">
        <f t="shared" si="44"/>
        <v>0</v>
      </c>
      <c r="AP86" s="1">
        <f t="shared" si="45"/>
        <v>0</v>
      </c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x14ac:dyDescent="0.25">
      <c r="A87" s="1" t="s">
        <v>130</v>
      </c>
      <c r="B87" s="1" t="s">
        <v>38</v>
      </c>
      <c r="C87" s="1">
        <v>522.26499999999999</v>
      </c>
      <c r="D87" s="1">
        <v>2649.6239999999998</v>
      </c>
      <c r="E87" s="1">
        <v>2468.98</v>
      </c>
      <c r="F87" s="1">
        <v>204.20400000000001</v>
      </c>
      <c r="G87" s="7">
        <v>1</v>
      </c>
      <c r="H87" s="1">
        <v>60</v>
      </c>
      <c r="I87" s="1" t="s">
        <v>39</v>
      </c>
      <c r="J87" s="1"/>
      <c r="K87" s="1">
        <v>2690.5</v>
      </c>
      <c r="L87" s="1">
        <f t="shared" si="38"/>
        <v>-221.51999999999998</v>
      </c>
      <c r="M87" s="1"/>
      <c r="N87" s="1"/>
      <c r="O87" s="1">
        <v>1590.57431</v>
      </c>
      <c r="P87" s="1">
        <v>746.6900212380001</v>
      </c>
      <c r="Q87" s="1">
        <v>1124.7135407620001</v>
      </c>
      <c r="R87" s="1"/>
      <c r="S87" s="1">
        <v>450</v>
      </c>
      <c r="T87" s="23"/>
      <c r="U87" s="1">
        <f t="shared" si="39"/>
        <v>493.79599999999999</v>
      </c>
      <c r="V87" s="5">
        <f t="shared" ref="V87:V92" si="46">11.5*U87-S87-R87-Q87-P87-O87-F87</f>
        <v>1562.4721279999997</v>
      </c>
      <c r="W87" s="5">
        <f t="shared" ref="W87:W89" si="47">V87+U87*$W$1</f>
        <v>1229.1598279999996</v>
      </c>
      <c r="X87" s="5">
        <f t="shared" si="42"/>
        <v>656.37134815199977</v>
      </c>
      <c r="Y87" s="5">
        <f t="shared" ref="Y87:Y89" si="48">W87*$Y$1</f>
        <v>572.78847984799984</v>
      </c>
      <c r="Z87" s="18"/>
      <c r="AA87" s="18"/>
      <c r="AB87" s="1">
        <f t="shared" si="43"/>
        <v>10.824999999999999</v>
      </c>
      <c r="AC87" s="1">
        <f t="shared" si="40"/>
        <v>8.3357942794190318</v>
      </c>
      <c r="AD87" s="1">
        <v>502.71559999999999</v>
      </c>
      <c r="AE87" s="1">
        <v>542.02940000000001</v>
      </c>
      <c r="AF87" s="1">
        <v>512.76220000000001</v>
      </c>
      <c r="AG87" s="1">
        <v>459.2072</v>
      </c>
      <c r="AH87" s="1">
        <v>405.00659999999999</v>
      </c>
      <c r="AI87" s="1">
        <v>427.90280000000001</v>
      </c>
      <c r="AJ87" s="1">
        <v>494.89839999999998</v>
      </c>
      <c r="AK87" s="1">
        <v>526.31220000000008</v>
      </c>
      <c r="AL87" s="1">
        <v>493.4196</v>
      </c>
      <c r="AM87" s="1">
        <v>505.09059999999999</v>
      </c>
      <c r="AN87" s="1"/>
      <c r="AO87" s="1">
        <f t="shared" si="44"/>
        <v>656</v>
      </c>
      <c r="AP87" s="1">
        <f t="shared" si="45"/>
        <v>573</v>
      </c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x14ac:dyDescent="0.25">
      <c r="A88" s="1" t="s">
        <v>131</v>
      </c>
      <c r="B88" s="1" t="s">
        <v>38</v>
      </c>
      <c r="C88" s="1">
        <v>1816.8579999999999</v>
      </c>
      <c r="D88" s="1">
        <v>830.87800000000004</v>
      </c>
      <c r="E88" s="1">
        <v>1875.5119999999999</v>
      </c>
      <c r="F88" s="1">
        <v>310.06799999999998</v>
      </c>
      <c r="G88" s="7">
        <v>1</v>
      </c>
      <c r="H88" s="1">
        <v>60</v>
      </c>
      <c r="I88" s="1" t="s">
        <v>39</v>
      </c>
      <c r="J88" s="1"/>
      <c r="K88" s="1">
        <v>1891.8</v>
      </c>
      <c r="L88" s="1">
        <f t="shared" si="38"/>
        <v>-16.288000000000011</v>
      </c>
      <c r="M88" s="1"/>
      <c r="N88" s="1"/>
      <c r="O88" s="1">
        <v>872.44684000000052</v>
      </c>
      <c r="P88" s="1">
        <v>397.5824288099999</v>
      </c>
      <c r="Q88" s="1">
        <v>598.86476118999974</v>
      </c>
      <c r="R88" s="1"/>
      <c r="S88" s="1">
        <v>380</v>
      </c>
      <c r="T88" s="23"/>
      <c r="U88" s="1">
        <f t="shared" si="39"/>
        <v>375.10239999999999</v>
      </c>
      <c r="V88" s="5">
        <f t="shared" si="46"/>
        <v>1754.7155700000001</v>
      </c>
      <c r="W88" s="5">
        <f t="shared" si="47"/>
        <v>1501.5214500000002</v>
      </c>
      <c r="X88" s="5">
        <f t="shared" si="42"/>
        <v>801.81245430000001</v>
      </c>
      <c r="Y88" s="5">
        <f t="shared" si="48"/>
        <v>699.70899570000017</v>
      </c>
      <c r="Z88" s="18"/>
      <c r="AA88" s="18"/>
      <c r="AB88" s="1">
        <f t="shared" si="43"/>
        <v>10.825000000000001</v>
      </c>
      <c r="AC88" s="1">
        <f t="shared" si="40"/>
        <v>6.8220358760701085</v>
      </c>
      <c r="AD88" s="1">
        <v>343.6112</v>
      </c>
      <c r="AE88" s="1">
        <v>374.64</v>
      </c>
      <c r="AF88" s="1">
        <v>362.87380000000002</v>
      </c>
      <c r="AG88" s="1">
        <v>356.65640000000002</v>
      </c>
      <c r="AH88" s="1">
        <v>370.45139999999998</v>
      </c>
      <c r="AI88" s="1">
        <v>435.01280000000003</v>
      </c>
      <c r="AJ88" s="1">
        <v>454.02980000000002</v>
      </c>
      <c r="AK88" s="1">
        <v>464.01760000000002</v>
      </c>
      <c r="AL88" s="1">
        <v>470.22359999999998</v>
      </c>
      <c r="AM88" s="1">
        <v>519.2894</v>
      </c>
      <c r="AN88" s="1"/>
      <c r="AO88" s="1">
        <f t="shared" si="44"/>
        <v>802</v>
      </c>
      <c r="AP88" s="1">
        <f t="shared" si="45"/>
        <v>700</v>
      </c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25">
      <c r="A89" s="1" t="s">
        <v>132</v>
      </c>
      <c r="B89" s="1" t="s">
        <v>38</v>
      </c>
      <c r="C89" s="1">
        <v>1149.3979999999999</v>
      </c>
      <c r="D89" s="1">
        <v>3415.5590000000002</v>
      </c>
      <c r="E89" s="1">
        <v>3086.0459999999998</v>
      </c>
      <c r="F89" s="1">
        <v>805.77700000000004</v>
      </c>
      <c r="G89" s="7">
        <v>1</v>
      </c>
      <c r="H89" s="1">
        <v>60</v>
      </c>
      <c r="I89" s="1" t="s">
        <v>39</v>
      </c>
      <c r="J89" s="1"/>
      <c r="K89" s="1">
        <v>3117.2</v>
      </c>
      <c r="L89" s="1">
        <f t="shared" si="38"/>
        <v>-31.153999999999996</v>
      </c>
      <c r="M89" s="1"/>
      <c r="N89" s="1"/>
      <c r="O89" s="1">
        <v>1354.5647799999999</v>
      </c>
      <c r="P89" s="1">
        <v>629.60101419600016</v>
      </c>
      <c r="Q89" s="1">
        <v>948.3463898040003</v>
      </c>
      <c r="R89" s="1"/>
      <c r="S89" s="1">
        <v>966.84486000000015</v>
      </c>
      <c r="T89" s="23">
        <v>250</v>
      </c>
      <c r="U89" s="1">
        <f t="shared" si="39"/>
        <v>617.20920000000001</v>
      </c>
      <c r="V89" s="5">
        <f t="shared" si="46"/>
        <v>2392.7717560000001</v>
      </c>
      <c r="W89" s="5">
        <f t="shared" si="47"/>
        <v>1976.155546</v>
      </c>
      <c r="X89" s="5">
        <f t="shared" si="42"/>
        <v>1055.267061564</v>
      </c>
      <c r="Y89" s="5">
        <f t="shared" si="48"/>
        <v>920.888484436</v>
      </c>
      <c r="Z89" s="18"/>
      <c r="AA89" s="18"/>
      <c r="AB89" s="1">
        <f t="shared" si="43"/>
        <v>10.825000000000001</v>
      </c>
      <c r="AC89" s="1">
        <f t="shared" si="40"/>
        <v>7.6232402951867861</v>
      </c>
      <c r="AD89" s="1">
        <v>626.71460000000002</v>
      </c>
      <c r="AE89" s="1">
        <v>607.15480000000002</v>
      </c>
      <c r="AF89" s="1">
        <v>614.59640000000002</v>
      </c>
      <c r="AG89" s="1">
        <v>581.85900000000004</v>
      </c>
      <c r="AH89" s="1">
        <v>521.048</v>
      </c>
      <c r="AI89" s="1">
        <v>463.74439999999998</v>
      </c>
      <c r="AJ89" s="1">
        <v>532.01880000000006</v>
      </c>
      <c r="AK89" s="1">
        <v>605.65300000000002</v>
      </c>
      <c r="AL89" s="1">
        <v>579.95619999999997</v>
      </c>
      <c r="AM89" s="1">
        <v>556.60360000000003</v>
      </c>
      <c r="AN89" s="1"/>
      <c r="AO89" s="1">
        <f t="shared" si="44"/>
        <v>1055</v>
      </c>
      <c r="AP89" s="1">
        <f t="shared" si="45"/>
        <v>921</v>
      </c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x14ac:dyDescent="0.25">
      <c r="A90" s="1" t="s">
        <v>133</v>
      </c>
      <c r="B90" s="1" t="s">
        <v>38</v>
      </c>
      <c r="C90" s="1">
        <v>81.599999999999994</v>
      </c>
      <c r="D90" s="1">
        <v>21.565000000000001</v>
      </c>
      <c r="E90" s="1">
        <v>68.432000000000002</v>
      </c>
      <c r="F90" s="1">
        <v>11.827</v>
      </c>
      <c r="G90" s="7">
        <v>1</v>
      </c>
      <c r="H90" s="1">
        <v>55</v>
      </c>
      <c r="I90" s="15" t="s">
        <v>42</v>
      </c>
      <c r="J90" s="1"/>
      <c r="K90" s="1">
        <v>85.5</v>
      </c>
      <c r="L90" s="1">
        <f t="shared" si="38"/>
        <v>-17.067999999999998</v>
      </c>
      <c r="M90" s="1"/>
      <c r="N90" s="1"/>
      <c r="O90" s="1">
        <v>0</v>
      </c>
      <c r="P90" s="1">
        <v>0</v>
      </c>
      <c r="Q90" s="1"/>
      <c r="R90" s="1"/>
      <c r="S90" s="1">
        <v>95.287800000000004</v>
      </c>
      <c r="T90" s="23"/>
      <c r="U90" s="1">
        <f t="shared" si="39"/>
        <v>13.686400000000001</v>
      </c>
      <c r="V90" s="5">
        <f t="shared" si="46"/>
        <v>50.278800000000018</v>
      </c>
      <c r="W90" s="5">
        <f t="shared" si="41"/>
        <v>50.278800000000018</v>
      </c>
      <c r="X90" s="5">
        <f t="shared" si="42"/>
        <v>50.278800000000018</v>
      </c>
      <c r="Y90" s="5"/>
      <c r="Z90" s="18"/>
      <c r="AA90" s="18"/>
      <c r="AB90" s="1">
        <f t="shared" si="43"/>
        <v>11.5</v>
      </c>
      <c r="AC90" s="1">
        <f t="shared" si="40"/>
        <v>7.8263677811550147</v>
      </c>
      <c r="AD90" s="1">
        <v>13.686400000000001</v>
      </c>
      <c r="AE90" s="1">
        <v>5.3433999999999999</v>
      </c>
      <c r="AF90" s="1">
        <v>5.6134000000000004</v>
      </c>
      <c r="AG90" s="1">
        <v>9.3739999999999988</v>
      </c>
      <c r="AH90" s="1">
        <v>9.3148</v>
      </c>
      <c r="AI90" s="1">
        <v>6.9373999999999993</v>
      </c>
      <c r="AJ90" s="1">
        <v>6.7266000000000004</v>
      </c>
      <c r="AK90" s="1">
        <v>8.3040000000000003</v>
      </c>
      <c r="AL90" s="1">
        <v>8.5742000000000012</v>
      </c>
      <c r="AM90" s="1">
        <v>8.3124000000000002</v>
      </c>
      <c r="AN90" s="1"/>
      <c r="AO90" s="1">
        <f t="shared" si="44"/>
        <v>50</v>
      </c>
      <c r="AP90" s="1">
        <f t="shared" si="45"/>
        <v>0</v>
      </c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x14ac:dyDescent="0.25">
      <c r="A91" s="1" t="s">
        <v>134</v>
      </c>
      <c r="B91" s="1" t="s">
        <v>44</v>
      </c>
      <c r="C91" s="1">
        <v>9</v>
      </c>
      <c r="D91" s="1"/>
      <c r="E91" s="1">
        <v>8</v>
      </c>
      <c r="F91" s="1">
        <v>1</v>
      </c>
      <c r="G91" s="7">
        <v>0.3</v>
      </c>
      <c r="H91" s="1">
        <v>40</v>
      </c>
      <c r="I91" s="15" t="s">
        <v>42</v>
      </c>
      <c r="J91" s="1"/>
      <c r="K91" s="1">
        <v>29</v>
      </c>
      <c r="L91" s="1">
        <f t="shared" si="38"/>
        <v>-21</v>
      </c>
      <c r="M91" s="1"/>
      <c r="N91" s="1"/>
      <c r="O91" s="1">
        <v>12.09</v>
      </c>
      <c r="P91" s="1">
        <v>80</v>
      </c>
      <c r="Q91" s="1"/>
      <c r="R91" s="1"/>
      <c r="S91" s="1">
        <v>0</v>
      </c>
      <c r="T91" s="23"/>
      <c r="U91" s="1">
        <f t="shared" si="39"/>
        <v>1.6</v>
      </c>
      <c r="V91" s="5"/>
      <c r="W91" s="5">
        <v>30</v>
      </c>
      <c r="X91" s="5">
        <f t="shared" si="42"/>
        <v>30</v>
      </c>
      <c r="Y91" s="5"/>
      <c r="Z91" s="18">
        <f>VLOOKUP(A91,[1]Sheet!$A:$W,22,0)</f>
        <v>80</v>
      </c>
      <c r="AA91" s="18"/>
      <c r="AB91" s="1">
        <f t="shared" si="43"/>
        <v>76.931249999999991</v>
      </c>
      <c r="AC91" s="1">
        <f t="shared" si="40"/>
        <v>58.181249999999999</v>
      </c>
      <c r="AD91" s="1">
        <v>4.4000000000000004</v>
      </c>
      <c r="AE91" s="1">
        <v>5</v>
      </c>
      <c r="AF91" s="1">
        <v>2.2000000000000002</v>
      </c>
      <c r="AG91" s="1">
        <v>0</v>
      </c>
      <c r="AH91" s="1">
        <v>-0.2</v>
      </c>
      <c r="AI91" s="1">
        <v>-0.2</v>
      </c>
      <c r="AJ91" s="1">
        <v>-0.2</v>
      </c>
      <c r="AK91" s="1">
        <v>-0.8</v>
      </c>
      <c r="AL91" s="1">
        <v>-0.6</v>
      </c>
      <c r="AM91" s="1">
        <v>-0.4</v>
      </c>
      <c r="AN91" s="1"/>
      <c r="AO91" s="1">
        <f t="shared" si="44"/>
        <v>9</v>
      </c>
      <c r="AP91" s="1">
        <f t="shared" si="45"/>
        <v>0</v>
      </c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x14ac:dyDescent="0.25">
      <c r="A92" s="1" t="s">
        <v>135</v>
      </c>
      <c r="B92" s="1" t="s">
        <v>44</v>
      </c>
      <c r="C92" s="1">
        <v>317</v>
      </c>
      <c r="D92" s="1">
        <v>1</v>
      </c>
      <c r="E92" s="1">
        <v>57</v>
      </c>
      <c r="F92" s="1"/>
      <c r="G92" s="7">
        <v>0.3</v>
      </c>
      <c r="H92" s="1">
        <v>40</v>
      </c>
      <c r="I92" s="15" t="s">
        <v>42</v>
      </c>
      <c r="J92" s="1"/>
      <c r="K92" s="1">
        <v>64</v>
      </c>
      <c r="L92" s="1">
        <f t="shared" si="38"/>
        <v>-7</v>
      </c>
      <c r="M92" s="1"/>
      <c r="N92" s="1"/>
      <c r="O92" s="1">
        <v>0</v>
      </c>
      <c r="P92" s="1">
        <v>46.2</v>
      </c>
      <c r="Q92" s="1"/>
      <c r="R92" s="1"/>
      <c r="S92" s="1">
        <v>32.299999999999997</v>
      </c>
      <c r="T92" s="23"/>
      <c r="U92" s="1">
        <f t="shared" si="39"/>
        <v>11.4</v>
      </c>
      <c r="V92" s="5">
        <f t="shared" si="46"/>
        <v>52.599999999999994</v>
      </c>
      <c r="W92" s="5">
        <f t="shared" si="41"/>
        <v>52.599999999999994</v>
      </c>
      <c r="X92" s="5">
        <f t="shared" si="42"/>
        <v>52.599999999999994</v>
      </c>
      <c r="Y92" s="5"/>
      <c r="Z92" s="18"/>
      <c r="AA92" s="18"/>
      <c r="AB92" s="1">
        <f t="shared" si="43"/>
        <v>11.5</v>
      </c>
      <c r="AC92" s="1">
        <f t="shared" si="40"/>
        <v>6.8859649122807012</v>
      </c>
      <c r="AD92" s="1">
        <v>11</v>
      </c>
      <c r="AE92" s="1">
        <v>13.8</v>
      </c>
      <c r="AF92" s="1">
        <v>16.8</v>
      </c>
      <c r="AG92" s="1">
        <v>14.4</v>
      </c>
      <c r="AH92" s="1">
        <v>12.6</v>
      </c>
      <c r="AI92" s="1">
        <v>19.399999999999999</v>
      </c>
      <c r="AJ92" s="1">
        <v>18.8</v>
      </c>
      <c r="AK92" s="1">
        <v>15.6</v>
      </c>
      <c r="AL92" s="1">
        <v>15</v>
      </c>
      <c r="AM92" s="1">
        <v>7.8</v>
      </c>
      <c r="AN92" s="1" t="s">
        <v>136</v>
      </c>
      <c r="AO92" s="1">
        <f t="shared" si="44"/>
        <v>16</v>
      </c>
      <c r="AP92" s="1">
        <f t="shared" si="45"/>
        <v>0</v>
      </c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x14ac:dyDescent="0.25">
      <c r="A93" s="9" t="s">
        <v>137</v>
      </c>
      <c r="B93" s="9" t="s">
        <v>44</v>
      </c>
      <c r="C93" s="9"/>
      <c r="D93" s="9"/>
      <c r="E93" s="9"/>
      <c r="F93" s="9"/>
      <c r="G93" s="10">
        <v>0</v>
      </c>
      <c r="H93" s="9"/>
      <c r="I93" s="9" t="s">
        <v>42</v>
      </c>
      <c r="J93" s="9"/>
      <c r="K93" s="9"/>
      <c r="L93" s="9">
        <f t="shared" si="38"/>
        <v>0</v>
      </c>
      <c r="M93" s="9"/>
      <c r="N93" s="9"/>
      <c r="O93" s="9">
        <v>0</v>
      </c>
      <c r="P93" s="9">
        <v>0</v>
      </c>
      <c r="Q93" s="9"/>
      <c r="R93" s="9"/>
      <c r="S93" s="9">
        <v>0</v>
      </c>
      <c r="T93" s="26"/>
      <c r="U93" s="9">
        <f t="shared" si="39"/>
        <v>0</v>
      </c>
      <c r="V93" s="11"/>
      <c r="W93" s="5">
        <f t="shared" si="41"/>
        <v>0</v>
      </c>
      <c r="X93" s="5">
        <f t="shared" si="42"/>
        <v>0</v>
      </c>
      <c r="Y93" s="5"/>
      <c r="Z93" s="18"/>
      <c r="AA93" s="18"/>
      <c r="AB93" s="1" t="e">
        <f t="shared" si="43"/>
        <v>#DIV/0!</v>
      </c>
      <c r="AC93" s="9" t="e">
        <f t="shared" si="40"/>
        <v>#DIV/0!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 t="s">
        <v>45</v>
      </c>
      <c r="AO93" s="1">
        <f t="shared" si="44"/>
        <v>0</v>
      </c>
      <c r="AP93" s="1">
        <f t="shared" si="45"/>
        <v>0</v>
      </c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x14ac:dyDescent="0.25">
      <c r="A94" s="1" t="s">
        <v>138</v>
      </c>
      <c r="B94" s="1" t="s">
        <v>44</v>
      </c>
      <c r="C94" s="1">
        <v>130</v>
      </c>
      <c r="D94" s="1"/>
      <c r="E94" s="1">
        <v>129</v>
      </c>
      <c r="F94" s="1">
        <v>1</v>
      </c>
      <c r="G94" s="7">
        <v>7.0000000000000007E-2</v>
      </c>
      <c r="H94" s="1">
        <v>90</v>
      </c>
      <c r="I94" s="15" t="s">
        <v>42</v>
      </c>
      <c r="J94" s="1"/>
      <c r="K94" s="1">
        <v>134</v>
      </c>
      <c r="L94" s="1">
        <f t="shared" si="38"/>
        <v>-5</v>
      </c>
      <c r="M94" s="1"/>
      <c r="N94" s="1"/>
      <c r="O94" s="1">
        <v>0</v>
      </c>
      <c r="P94" s="1">
        <v>90.6</v>
      </c>
      <c r="Q94" s="1"/>
      <c r="R94" s="1"/>
      <c r="S94" s="1">
        <v>198.9</v>
      </c>
      <c r="T94" s="23"/>
      <c r="U94" s="1">
        <f t="shared" si="39"/>
        <v>25.8</v>
      </c>
      <c r="V94" s="5">
        <f t="shared" ref="V94:V95" si="49">11.5*U94-S94-R94-Q94-P94-O94-F94</f>
        <v>6.1999999999999886</v>
      </c>
      <c r="W94" s="5">
        <f t="shared" ref="W94:W95" si="50">Z94</f>
        <v>70</v>
      </c>
      <c r="X94" s="5">
        <f t="shared" si="42"/>
        <v>70</v>
      </c>
      <c r="Y94" s="5"/>
      <c r="Z94" s="18">
        <f>VLOOKUP(A94,[1]Sheet!$A:$W,22,0)</f>
        <v>70</v>
      </c>
      <c r="AA94" s="18"/>
      <c r="AB94" s="1">
        <f t="shared" si="43"/>
        <v>13.972868217054263</v>
      </c>
      <c r="AC94" s="1">
        <f t="shared" si="40"/>
        <v>11.25968992248062</v>
      </c>
      <c r="AD94" s="1">
        <v>31</v>
      </c>
      <c r="AE94" s="1">
        <v>16.399999999999999</v>
      </c>
      <c r="AF94" s="1">
        <v>2.8</v>
      </c>
      <c r="AG94" s="1">
        <v>2.8</v>
      </c>
      <c r="AH94" s="1">
        <v>9.1999999999999993</v>
      </c>
      <c r="AI94" s="1">
        <v>29.4</v>
      </c>
      <c r="AJ94" s="1">
        <v>32.799999999999997</v>
      </c>
      <c r="AK94" s="1">
        <v>32.200000000000003</v>
      </c>
      <c r="AL94" s="1">
        <v>32.6</v>
      </c>
      <c r="AM94" s="1">
        <v>27.2</v>
      </c>
      <c r="AN94" s="1"/>
      <c r="AO94" s="1">
        <f t="shared" si="44"/>
        <v>5</v>
      </c>
      <c r="AP94" s="1">
        <f t="shared" si="45"/>
        <v>0</v>
      </c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x14ac:dyDescent="0.25">
      <c r="A95" s="1" t="s">
        <v>139</v>
      </c>
      <c r="B95" s="1" t="s">
        <v>44</v>
      </c>
      <c r="C95" s="1">
        <v>87</v>
      </c>
      <c r="D95" s="1">
        <v>56</v>
      </c>
      <c r="E95" s="1">
        <v>125</v>
      </c>
      <c r="F95" s="1">
        <v>1</v>
      </c>
      <c r="G95" s="7">
        <v>7.0000000000000007E-2</v>
      </c>
      <c r="H95" s="1">
        <v>90</v>
      </c>
      <c r="I95" s="1" t="s">
        <v>39</v>
      </c>
      <c r="J95" s="1"/>
      <c r="K95" s="1">
        <v>143</v>
      </c>
      <c r="L95" s="1">
        <f t="shared" si="38"/>
        <v>-18</v>
      </c>
      <c r="M95" s="1"/>
      <c r="N95" s="1"/>
      <c r="O95" s="1">
        <v>71.679999999999922</v>
      </c>
      <c r="P95" s="1">
        <v>60.516330000000004</v>
      </c>
      <c r="Q95" s="1">
        <v>91.153669999999991</v>
      </c>
      <c r="R95" s="1"/>
      <c r="S95" s="1">
        <v>38.85000000000008</v>
      </c>
      <c r="T95" s="23"/>
      <c r="U95" s="1">
        <f t="shared" si="39"/>
        <v>25</v>
      </c>
      <c r="V95" s="5">
        <f t="shared" si="49"/>
        <v>24.300000000000011</v>
      </c>
      <c r="W95" s="5">
        <f t="shared" si="50"/>
        <v>70</v>
      </c>
      <c r="X95" s="5">
        <f t="shared" si="42"/>
        <v>70</v>
      </c>
      <c r="Y95" s="5"/>
      <c r="Z95" s="18">
        <f>VLOOKUP(A95,[1]Sheet!$A:$W,22,0)</f>
        <v>70</v>
      </c>
      <c r="AA95" s="18"/>
      <c r="AB95" s="1">
        <f t="shared" si="43"/>
        <v>13.327999999999999</v>
      </c>
      <c r="AC95" s="1">
        <f t="shared" si="40"/>
        <v>10.527999999999999</v>
      </c>
      <c r="AD95" s="1">
        <v>30.4</v>
      </c>
      <c r="AE95" s="1">
        <v>28.4</v>
      </c>
      <c r="AF95" s="1">
        <v>23.4</v>
      </c>
      <c r="AG95" s="1">
        <v>19.8</v>
      </c>
      <c r="AH95" s="1">
        <v>19.600000000000001</v>
      </c>
      <c r="AI95" s="1">
        <v>24.2</v>
      </c>
      <c r="AJ95" s="1">
        <v>23.2</v>
      </c>
      <c r="AK95" s="1">
        <v>21.8</v>
      </c>
      <c r="AL95" s="1">
        <v>23.2</v>
      </c>
      <c r="AM95" s="1">
        <v>22.4</v>
      </c>
      <c r="AN95" s="1"/>
      <c r="AO95" s="1">
        <f t="shared" si="44"/>
        <v>5</v>
      </c>
      <c r="AP95" s="1">
        <f t="shared" si="45"/>
        <v>0</v>
      </c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25">
      <c r="A96" s="9" t="s">
        <v>140</v>
      </c>
      <c r="B96" s="9" t="s">
        <v>44</v>
      </c>
      <c r="C96" s="9"/>
      <c r="D96" s="9"/>
      <c r="E96" s="9">
        <v>-1</v>
      </c>
      <c r="F96" s="9">
        <v>-1</v>
      </c>
      <c r="G96" s="10">
        <v>0</v>
      </c>
      <c r="H96" s="9"/>
      <c r="I96" s="9" t="s">
        <v>141</v>
      </c>
      <c r="J96" s="9"/>
      <c r="K96" s="9"/>
      <c r="L96" s="9">
        <f t="shared" si="38"/>
        <v>-1</v>
      </c>
      <c r="M96" s="9"/>
      <c r="N96" s="9"/>
      <c r="O96" s="9"/>
      <c r="P96" s="9"/>
      <c r="Q96" s="9"/>
      <c r="R96" s="9"/>
      <c r="S96" s="9"/>
      <c r="T96" s="26"/>
      <c r="U96" s="9">
        <f t="shared" si="39"/>
        <v>-0.2</v>
      </c>
      <c r="V96" s="11"/>
      <c r="W96" s="5">
        <f t="shared" si="41"/>
        <v>0</v>
      </c>
      <c r="X96" s="5">
        <f t="shared" si="42"/>
        <v>0</v>
      </c>
      <c r="Y96" s="5"/>
      <c r="Z96" s="18"/>
      <c r="AA96" s="18"/>
      <c r="AB96" s="1">
        <f t="shared" si="43"/>
        <v>5</v>
      </c>
      <c r="AC96" s="9">
        <f t="shared" si="40"/>
        <v>5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/>
      <c r="AO96" s="1">
        <f t="shared" si="44"/>
        <v>0</v>
      </c>
      <c r="AP96" s="1">
        <f t="shared" si="45"/>
        <v>0</v>
      </c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x14ac:dyDescent="0.25">
      <c r="A97" s="1" t="s">
        <v>142</v>
      </c>
      <c r="B97" s="1" t="s">
        <v>44</v>
      </c>
      <c r="C97" s="1">
        <v>39</v>
      </c>
      <c r="D97" s="1">
        <v>49</v>
      </c>
      <c r="E97" s="1">
        <v>79</v>
      </c>
      <c r="F97" s="1">
        <v>3</v>
      </c>
      <c r="G97" s="7">
        <v>0.3</v>
      </c>
      <c r="H97" s="1">
        <v>40</v>
      </c>
      <c r="I97" s="1" t="s">
        <v>39</v>
      </c>
      <c r="J97" s="1"/>
      <c r="K97" s="1">
        <v>187</v>
      </c>
      <c r="L97" s="1">
        <f t="shared" si="38"/>
        <v>-108</v>
      </c>
      <c r="M97" s="1"/>
      <c r="N97" s="1"/>
      <c r="O97" s="1">
        <v>248.9</v>
      </c>
      <c r="P97" s="1">
        <v>67.300000000000011</v>
      </c>
      <c r="Q97" s="1"/>
      <c r="R97" s="1"/>
      <c r="S97" s="1">
        <v>70</v>
      </c>
      <c r="T97" s="23"/>
      <c r="U97" s="1">
        <f t="shared" si="39"/>
        <v>15.8</v>
      </c>
      <c r="V97" s="5"/>
      <c r="W97" s="5">
        <f t="shared" si="41"/>
        <v>0</v>
      </c>
      <c r="X97" s="5">
        <f t="shared" si="42"/>
        <v>0</v>
      </c>
      <c r="Y97" s="5"/>
      <c r="Z97" s="18"/>
      <c r="AA97" s="18"/>
      <c r="AB97" s="1">
        <f t="shared" si="43"/>
        <v>24.632911392405067</v>
      </c>
      <c r="AC97" s="1">
        <f t="shared" si="40"/>
        <v>24.632911392405067</v>
      </c>
      <c r="AD97" s="1">
        <v>17.8</v>
      </c>
      <c r="AE97" s="1">
        <v>34.6</v>
      </c>
      <c r="AF97" s="1">
        <v>38.4</v>
      </c>
      <c r="AG97" s="1">
        <v>21.8</v>
      </c>
      <c r="AH97" s="1">
        <v>15.4</v>
      </c>
      <c r="AI97" s="1">
        <v>20.2</v>
      </c>
      <c r="AJ97" s="1">
        <v>25.2</v>
      </c>
      <c r="AK97" s="1">
        <v>35.799999999999997</v>
      </c>
      <c r="AL97" s="1">
        <v>35.200000000000003</v>
      </c>
      <c r="AM97" s="1">
        <v>21.2</v>
      </c>
      <c r="AN97" s="1"/>
      <c r="AO97" s="1">
        <f t="shared" si="44"/>
        <v>0</v>
      </c>
      <c r="AP97" s="1">
        <f t="shared" si="45"/>
        <v>0</v>
      </c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x14ac:dyDescent="0.25">
      <c r="A98" s="9" t="s">
        <v>143</v>
      </c>
      <c r="B98" s="9" t="s">
        <v>38</v>
      </c>
      <c r="C98" s="9">
        <v>5.5E-2</v>
      </c>
      <c r="D98" s="9"/>
      <c r="E98" s="12">
        <f>0.796+E125</f>
        <v>27.762</v>
      </c>
      <c r="F98" s="12">
        <f>-2.941+F125</f>
        <v>60.411999999999999</v>
      </c>
      <c r="G98" s="10">
        <v>0</v>
      </c>
      <c r="H98" s="9">
        <v>55</v>
      </c>
      <c r="I98" s="9" t="s">
        <v>144</v>
      </c>
      <c r="J98" s="9"/>
      <c r="K98" s="9">
        <v>2.6</v>
      </c>
      <c r="L98" s="9">
        <f t="shared" si="38"/>
        <v>25.161999999999999</v>
      </c>
      <c r="M98" s="9"/>
      <c r="N98" s="9"/>
      <c r="O98" s="9">
        <v>0</v>
      </c>
      <c r="P98" s="9">
        <v>0</v>
      </c>
      <c r="Q98" s="9"/>
      <c r="R98" s="9"/>
      <c r="S98" s="9">
        <v>0</v>
      </c>
      <c r="T98" s="26"/>
      <c r="U98" s="9">
        <f t="shared" si="39"/>
        <v>5.5524000000000004</v>
      </c>
      <c r="V98" s="11"/>
      <c r="W98" s="5">
        <f t="shared" si="41"/>
        <v>0</v>
      </c>
      <c r="X98" s="5">
        <f t="shared" si="42"/>
        <v>0</v>
      </c>
      <c r="Y98" s="5"/>
      <c r="Z98" s="18"/>
      <c r="AA98" s="18"/>
      <c r="AB98" s="1">
        <f t="shared" si="43"/>
        <v>10.880340033138822</v>
      </c>
      <c r="AC98" s="9">
        <f t="shared" si="40"/>
        <v>10.880340033138822</v>
      </c>
      <c r="AD98" s="9">
        <v>6.9555999999999996</v>
      </c>
      <c r="AE98" s="9">
        <v>6.8011999999999997</v>
      </c>
      <c r="AF98" s="9">
        <v>6.2028000000000008</v>
      </c>
      <c r="AG98" s="9">
        <v>8.6044</v>
      </c>
      <c r="AH98" s="9">
        <v>10.189</v>
      </c>
      <c r="AI98" s="9">
        <v>17.175999999999998</v>
      </c>
      <c r="AJ98" s="9">
        <v>17.811599999999999</v>
      </c>
      <c r="AK98" s="9">
        <v>16.019200000000001</v>
      </c>
      <c r="AL98" s="9">
        <v>15.393000000000001</v>
      </c>
      <c r="AM98" s="9">
        <v>14.175000000000001</v>
      </c>
      <c r="AN98" s="9"/>
      <c r="AO98" s="1">
        <f t="shared" si="44"/>
        <v>0</v>
      </c>
      <c r="AP98" s="1">
        <f t="shared" si="45"/>
        <v>0</v>
      </c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x14ac:dyDescent="0.25">
      <c r="A99" s="9" t="s">
        <v>145</v>
      </c>
      <c r="B99" s="9" t="s">
        <v>44</v>
      </c>
      <c r="C99" s="9"/>
      <c r="D99" s="9"/>
      <c r="E99" s="9"/>
      <c r="F99" s="9"/>
      <c r="G99" s="10">
        <v>0</v>
      </c>
      <c r="H99" s="9"/>
      <c r="I99" s="9" t="s">
        <v>39</v>
      </c>
      <c r="J99" s="9"/>
      <c r="K99" s="9"/>
      <c r="L99" s="9">
        <f t="shared" si="38"/>
        <v>0</v>
      </c>
      <c r="M99" s="9"/>
      <c r="N99" s="9"/>
      <c r="O99" s="9">
        <v>0</v>
      </c>
      <c r="P99" s="9">
        <v>0</v>
      </c>
      <c r="Q99" s="9"/>
      <c r="R99" s="9"/>
      <c r="S99" s="9">
        <v>0</v>
      </c>
      <c r="T99" s="26"/>
      <c r="U99" s="9">
        <f t="shared" si="39"/>
        <v>0</v>
      </c>
      <c r="V99" s="11"/>
      <c r="W99" s="5">
        <f t="shared" si="41"/>
        <v>0</v>
      </c>
      <c r="X99" s="5">
        <f t="shared" si="42"/>
        <v>0</v>
      </c>
      <c r="Y99" s="5"/>
      <c r="Z99" s="18"/>
      <c r="AA99" s="18"/>
      <c r="AB99" s="1" t="e">
        <f t="shared" si="43"/>
        <v>#DIV/0!</v>
      </c>
      <c r="AC99" s="9" t="e">
        <f t="shared" si="40"/>
        <v>#DIV/0!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 t="s">
        <v>45</v>
      </c>
      <c r="AO99" s="1">
        <f t="shared" si="44"/>
        <v>0</v>
      </c>
      <c r="AP99" s="1">
        <f t="shared" si="45"/>
        <v>0</v>
      </c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x14ac:dyDescent="0.25">
      <c r="A100" s="9" t="s">
        <v>146</v>
      </c>
      <c r="B100" s="9" t="s">
        <v>44</v>
      </c>
      <c r="C100" s="9"/>
      <c r="D100" s="9"/>
      <c r="E100" s="9"/>
      <c r="F100" s="9"/>
      <c r="G100" s="10">
        <v>0</v>
      </c>
      <c r="H100" s="9">
        <v>30</v>
      </c>
      <c r="I100" s="9" t="s">
        <v>39</v>
      </c>
      <c r="J100" s="9"/>
      <c r="K100" s="9"/>
      <c r="L100" s="9">
        <f t="shared" si="38"/>
        <v>0</v>
      </c>
      <c r="M100" s="9"/>
      <c r="N100" s="9"/>
      <c r="O100" s="9">
        <v>0</v>
      </c>
      <c r="P100" s="9">
        <v>0</v>
      </c>
      <c r="Q100" s="9"/>
      <c r="R100" s="9"/>
      <c r="S100" s="9">
        <v>0</v>
      </c>
      <c r="T100" s="26"/>
      <c r="U100" s="9">
        <f t="shared" si="39"/>
        <v>0</v>
      </c>
      <c r="V100" s="11"/>
      <c r="W100" s="5">
        <f t="shared" si="41"/>
        <v>0</v>
      </c>
      <c r="X100" s="5">
        <f t="shared" si="42"/>
        <v>0</v>
      </c>
      <c r="Y100" s="5"/>
      <c r="Z100" s="18"/>
      <c r="AA100" s="18"/>
      <c r="AB100" s="1" t="e">
        <f t="shared" si="43"/>
        <v>#DIV/0!</v>
      </c>
      <c r="AC100" s="9" t="e">
        <f t="shared" si="40"/>
        <v>#DIV/0!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 t="s">
        <v>45</v>
      </c>
      <c r="AO100" s="1">
        <f t="shared" si="44"/>
        <v>0</v>
      </c>
      <c r="AP100" s="1">
        <f t="shared" si="45"/>
        <v>0</v>
      </c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x14ac:dyDescent="0.25">
      <c r="A101" s="1" t="s">
        <v>147</v>
      </c>
      <c r="B101" s="1" t="s">
        <v>44</v>
      </c>
      <c r="C101" s="1">
        <v>37</v>
      </c>
      <c r="D101" s="1">
        <v>322</v>
      </c>
      <c r="E101" s="1">
        <v>199</v>
      </c>
      <c r="F101" s="1">
        <v>106</v>
      </c>
      <c r="G101" s="7">
        <v>0.08</v>
      </c>
      <c r="H101" s="1">
        <v>45</v>
      </c>
      <c r="I101" s="1" t="s">
        <v>39</v>
      </c>
      <c r="J101" s="1"/>
      <c r="K101" s="1">
        <v>213</v>
      </c>
      <c r="L101" s="1">
        <f t="shared" si="38"/>
        <v>-14</v>
      </c>
      <c r="M101" s="1"/>
      <c r="N101" s="1"/>
      <c r="O101" s="1">
        <v>172.41399999999999</v>
      </c>
      <c r="P101" s="1">
        <v>77.525700000000001</v>
      </c>
      <c r="Q101" s="1">
        <v>116.7743</v>
      </c>
      <c r="R101" s="1"/>
      <c r="S101" s="1">
        <v>0</v>
      </c>
      <c r="T101" s="23"/>
      <c r="U101" s="1">
        <f t="shared" si="39"/>
        <v>39.799999999999997</v>
      </c>
      <c r="V101" s="5"/>
      <c r="W101" s="5">
        <f>Z101</f>
        <v>70</v>
      </c>
      <c r="X101" s="5">
        <f t="shared" si="42"/>
        <v>70</v>
      </c>
      <c r="Y101" s="5"/>
      <c r="Z101" s="18">
        <f>VLOOKUP(A101,[1]Sheet!$A:$W,22,0)</f>
        <v>70</v>
      </c>
      <c r="AA101" s="18"/>
      <c r="AB101" s="1">
        <f t="shared" si="43"/>
        <v>13.636030150753768</v>
      </c>
      <c r="AC101" s="1">
        <f t="shared" si="40"/>
        <v>11.877236180904523</v>
      </c>
      <c r="AD101" s="1">
        <v>45</v>
      </c>
      <c r="AE101" s="1">
        <v>57.6</v>
      </c>
      <c r="AF101" s="1">
        <v>58</v>
      </c>
      <c r="AG101" s="1">
        <v>53</v>
      </c>
      <c r="AH101" s="1">
        <v>45</v>
      </c>
      <c r="AI101" s="1">
        <v>43.8</v>
      </c>
      <c r="AJ101" s="1">
        <v>45.2</v>
      </c>
      <c r="AK101" s="1">
        <v>46.8</v>
      </c>
      <c r="AL101" s="1">
        <v>48.4</v>
      </c>
      <c r="AM101" s="1">
        <v>49.6</v>
      </c>
      <c r="AN101" s="1"/>
      <c r="AO101" s="1">
        <f t="shared" si="44"/>
        <v>6</v>
      </c>
      <c r="AP101" s="1">
        <f t="shared" si="45"/>
        <v>0</v>
      </c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x14ac:dyDescent="0.25">
      <c r="A102" s="1" t="s">
        <v>148</v>
      </c>
      <c r="B102" s="1" t="s">
        <v>44</v>
      </c>
      <c r="C102" s="1">
        <v>105</v>
      </c>
      <c r="D102" s="1">
        <v>274</v>
      </c>
      <c r="E102" s="1">
        <v>203</v>
      </c>
      <c r="F102" s="1">
        <v>108</v>
      </c>
      <c r="G102" s="7">
        <v>0.08</v>
      </c>
      <c r="H102" s="1">
        <v>45</v>
      </c>
      <c r="I102" s="1" t="s">
        <v>39</v>
      </c>
      <c r="J102" s="1"/>
      <c r="K102" s="1">
        <v>226</v>
      </c>
      <c r="L102" s="1">
        <f t="shared" ref="L102:L133" si="51">E102-K102</f>
        <v>-23</v>
      </c>
      <c r="M102" s="1"/>
      <c r="N102" s="1"/>
      <c r="O102" s="1">
        <v>42.56</v>
      </c>
      <c r="P102" s="1">
        <v>54.510582000000007</v>
      </c>
      <c r="Q102" s="1">
        <v>82.10741800000001</v>
      </c>
      <c r="R102" s="1"/>
      <c r="S102" s="1">
        <v>74.822000000000003</v>
      </c>
      <c r="T102" s="23"/>
      <c r="U102" s="1">
        <f t="shared" ref="U102:U135" si="52">E102/5</f>
        <v>40.6</v>
      </c>
      <c r="V102" s="5">
        <f t="shared" ref="V102:V104" si="53">11.5*U102-S102-R102-Q102-P102-O102-F102</f>
        <v>104.90000000000003</v>
      </c>
      <c r="W102" s="5">
        <f t="shared" si="41"/>
        <v>104.90000000000003</v>
      </c>
      <c r="X102" s="5">
        <f t="shared" si="42"/>
        <v>104.90000000000003</v>
      </c>
      <c r="Y102" s="5"/>
      <c r="Z102" s="18"/>
      <c r="AA102" s="18"/>
      <c r="AB102" s="1">
        <f t="shared" si="43"/>
        <v>11.5</v>
      </c>
      <c r="AC102" s="1">
        <f t="shared" ref="AC102:AC135" si="54">(F102+O102+P102+Q102+R102+S102)/U102</f>
        <v>8.916256157635468</v>
      </c>
      <c r="AD102" s="1">
        <v>46</v>
      </c>
      <c r="AE102" s="1">
        <v>43</v>
      </c>
      <c r="AF102" s="1">
        <v>44.8</v>
      </c>
      <c r="AG102" s="1">
        <v>45.2</v>
      </c>
      <c r="AH102" s="1">
        <v>38.200000000000003</v>
      </c>
      <c r="AI102" s="1">
        <v>41</v>
      </c>
      <c r="AJ102" s="1">
        <v>38.6</v>
      </c>
      <c r="AK102" s="1">
        <v>37.6</v>
      </c>
      <c r="AL102" s="1">
        <v>37.6</v>
      </c>
      <c r="AM102" s="1">
        <v>38.6</v>
      </c>
      <c r="AN102" s="1"/>
      <c r="AO102" s="1">
        <f t="shared" si="44"/>
        <v>8</v>
      </c>
      <c r="AP102" s="1">
        <f t="shared" si="45"/>
        <v>0</v>
      </c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x14ac:dyDescent="0.25">
      <c r="A103" s="1" t="s">
        <v>149</v>
      </c>
      <c r="B103" s="1" t="s">
        <v>44</v>
      </c>
      <c r="C103" s="1">
        <v>2</v>
      </c>
      <c r="D103" s="1">
        <v>11</v>
      </c>
      <c r="E103" s="1"/>
      <c r="F103" s="1">
        <v>2</v>
      </c>
      <c r="G103" s="7">
        <v>0.17</v>
      </c>
      <c r="H103" s="1">
        <v>30</v>
      </c>
      <c r="I103" s="15" t="s">
        <v>42</v>
      </c>
      <c r="J103" s="1"/>
      <c r="K103" s="1">
        <v>11</v>
      </c>
      <c r="L103" s="1">
        <f t="shared" si="51"/>
        <v>-11</v>
      </c>
      <c r="M103" s="1"/>
      <c r="N103" s="1"/>
      <c r="O103" s="1">
        <v>43</v>
      </c>
      <c r="P103" s="1">
        <v>27.2</v>
      </c>
      <c r="Q103" s="1"/>
      <c r="R103" s="1"/>
      <c r="S103" s="1">
        <v>0</v>
      </c>
      <c r="T103" s="23"/>
      <c r="U103" s="1">
        <f t="shared" si="52"/>
        <v>0</v>
      </c>
      <c r="V103" s="5"/>
      <c r="W103" s="5">
        <f t="shared" si="41"/>
        <v>0</v>
      </c>
      <c r="X103" s="5">
        <f t="shared" si="42"/>
        <v>0</v>
      </c>
      <c r="Y103" s="5"/>
      <c r="Z103" s="18"/>
      <c r="AA103" s="18"/>
      <c r="AB103" s="1" t="e">
        <f t="shared" si="43"/>
        <v>#DIV/0!</v>
      </c>
      <c r="AC103" s="1" t="e">
        <f t="shared" si="54"/>
        <v>#DIV/0!</v>
      </c>
      <c r="AD103" s="1">
        <v>0.6</v>
      </c>
      <c r="AE103" s="1">
        <v>6.8</v>
      </c>
      <c r="AF103" s="1">
        <v>6</v>
      </c>
      <c r="AG103" s="1">
        <v>0.2</v>
      </c>
      <c r="AH103" s="1">
        <v>0.8</v>
      </c>
      <c r="AI103" s="1">
        <v>-0.6</v>
      </c>
      <c r="AJ103" s="1">
        <v>-0.2</v>
      </c>
      <c r="AK103" s="1">
        <v>3.6</v>
      </c>
      <c r="AL103" s="1">
        <v>5</v>
      </c>
      <c r="AM103" s="1">
        <v>2.2000000000000002</v>
      </c>
      <c r="AN103" s="1" t="s">
        <v>150</v>
      </c>
      <c r="AO103" s="1">
        <f t="shared" si="44"/>
        <v>0</v>
      </c>
      <c r="AP103" s="1">
        <f t="shared" si="45"/>
        <v>0</v>
      </c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x14ac:dyDescent="0.25">
      <c r="A104" s="1" t="s">
        <v>151</v>
      </c>
      <c r="B104" s="1" t="s">
        <v>38</v>
      </c>
      <c r="C104" s="1">
        <v>290.71699999999998</v>
      </c>
      <c r="D104" s="1">
        <v>1067.0260000000001</v>
      </c>
      <c r="E104" s="1">
        <v>937.19899999999996</v>
      </c>
      <c r="F104" s="1">
        <v>20.88</v>
      </c>
      <c r="G104" s="7">
        <v>1</v>
      </c>
      <c r="H104" s="1">
        <v>40</v>
      </c>
      <c r="I104" s="15" t="s">
        <v>42</v>
      </c>
      <c r="J104" s="1"/>
      <c r="K104" s="1">
        <v>954.69200000000001</v>
      </c>
      <c r="L104" s="1">
        <f t="shared" si="51"/>
        <v>-17.493000000000052</v>
      </c>
      <c r="M104" s="1"/>
      <c r="N104" s="1"/>
      <c r="O104" s="1">
        <v>0</v>
      </c>
      <c r="P104" s="1">
        <v>179.55</v>
      </c>
      <c r="Q104" s="1">
        <v>270.45</v>
      </c>
      <c r="R104" s="1"/>
      <c r="S104" s="1">
        <v>606.13349600000015</v>
      </c>
      <c r="T104" s="23"/>
      <c r="U104" s="1">
        <f t="shared" si="52"/>
        <v>187.43979999999999</v>
      </c>
      <c r="V104" s="5">
        <f t="shared" si="53"/>
        <v>1078.5442039999996</v>
      </c>
      <c r="W104" s="5">
        <f>V104+U104*$W$1</f>
        <v>952.02233899999953</v>
      </c>
      <c r="X104" s="5">
        <f t="shared" si="42"/>
        <v>508.37992902599973</v>
      </c>
      <c r="Y104" s="5">
        <f t="shared" ref="Y104:Y105" si="55">W104*$Y$1</f>
        <v>443.6424099739998</v>
      </c>
      <c r="Z104" s="18"/>
      <c r="AA104" s="18"/>
      <c r="AB104" s="1">
        <f t="shared" si="43"/>
        <v>10.824999999999999</v>
      </c>
      <c r="AC104" s="1">
        <f t="shared" si="54"/>
        <v>5.7459168010209147</v>
      </c>
      <c r="AD104" s="1">
        <v>185.25640000000001</v>
      </c>
      <c r="AE104" s="1">
        <v>94.037800000000004</v>
      </c>
      <c r="AF104" s="1">
        <v>85.136200000000002</v>
      </c>
      <c r="AG104" s="1">
        <v>180.54419999999999</v>
      </c>
      <c r="AH104" s="1">
        <v>136.57839999999999</v>
      </c>
      <c r="AI104" s="1">
        <v>26.54</v>
      </c>
      <c r="AJ104" s="1">
        <v>85.914999999999992</v>
      </c>
      <c r="AK104" s="1">
        <v>95.000599999999991</v>
      </c>
      <c r="AL104" s="1">
        <v>36.310600000000001</v>
      </c>
      <c r="AM104" s="1">
        <v>67.372</v>
      </c>
      <c r="AN104" s="1"/>
      <c r="AO104" s="1">
        <f t="shared" si="44"/>
        <v>508</v>
      </c>
      <c r="AP104" s="1">
        <f t="shared" si="45"/>
        <v>444</v>
      </c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x14ac:dyDescent="0.25">
      <c r="A105" s="1" t="s">
        <v>152</v>
      </c>
      <c r="B105" s="1" t="s">
        <v>38</v>
      </c>
      <c r="C105" s="1">
        <v>807.024</v>
      </c>
      <c r="D105" s="1">
        <v>1.4750000000000001</v>
      </c>
      <c r="E105" s="1">
        <v>802.87699999999995</v>
      </c>
      <c r="F105" s="1">
        <v>4.1470000000000002</v>
      </c>
      <c r="G105" s="7">
        <v>1</v>
      </c>
      <c r="H105" s="1">
        <v>40</v>
      </c>
      <c r="I105" s="15" t="s">
        <v>42</v>
      </c>
      <c r="J105" s="1"/>
      <c r="K105" s="1">
        <v>942.5</v>
      </c>
      <c r="L105" s="1">
        <f t="shared" si="51"/>
        <v>-139.62300000000005</v>
      </c>
      <c r="M105" s="1"/>
      <c r="N105" s="1"/>
      <c r="O105" s="1">
        <v>293.42634999999967</v>
      </c>
      <c r="P105" s="1">
        <v>427.70390758200023</v>
      </c>
      <c r="Q105" s="1">
        <v>644.23571041800017</v>
      </c>
      <c r="R105" s="1"/>
      <c r="S105" s="1">
        <v>826.88114399999984</v>
      </c>
      <c r="T105" s="23"/>
      <c r="U105" s="1">
        <f t="shared" si="52"/>
        <v>160.5754</v>
      </c>
      <c r="V105" s="5"/>
      <c r="W105" s="5">
        <f t="shared" ref="W105" si="56">Z105</f>
        <v>300</v>
      </c>
      <c r="X105" s="5">
        <f t="shared" si="42"/>
        <v>160.19999999999999</v>
      </c>
      <c r="Y105" s="5">
        <f t="shared" si="55"/>
        <v>139.80000000000001</v>
      </c>
      <c r="Z105" s="18">
        <f>VLOOKUP(A105,[1]Sheet!$A:$W,22,0)</f>
        <v>300</v>
      </c>
      <c r="AA105" s="18" t="str">
        <f>VLOOKUP(A105,[1]Sheet!$A:$W,23,0)</f>
        <v>промо</v>
      </c>
      <c r="AB105" s="1">
        <f t="shared" si="43"/>
        <v>15.546553905517284</v>
      </c>
      <c r="AC105" s="1">
        <f t="shared" si="54"/>
        <v>13.678272711760332</v>
      </c>
      <c r="AD105" s="1">
        <v>217.10079999999999</v>
      </c>
      <c r="AE105" s="1">
        <v>178.99959999999999</v>
      </c>
      <c r="AF105" s="1">
        <v>121.483</v>
      </c>
      <c r="AG105" s="1">
        <v>79.496600000000001</v>
      </c>
      <c r="AH105" s="1">
        <v>111.6002</v>
      </c>
      <c r="AI105" s="1">
        <v>179.07859999999999</v>
      </c>
      <c r="AJ105" s="1">
        <v>196.54900000000001</v>
      </c>
      <c r="AK105" s="1">
        <v>84.728999999999999</v>
      </c>
      <c r="AL105" s="1">
        <v>37.037599999999998</v>
      </c>
      <c r="AM105" s="1">
        <v>99.776600000000002</v>
      </c>
      <c r="AN105" s="1"/>
      <c r="AO105" s="1">
        <f t="shared" si="44"/>
        <v>160</v>
      </c>
      <c r="AP105" s="1">
        <f t="shared" si="45"/>
        <v>140</v>
      </c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x14ac:dyDescent="0.25">
      <c r="A106" s="1" t="s">
        <v>153</v>
      </c>
      <c r="B106" s="1" t="s">
        <v>38</v>
      </c>
      <c r="C106" s="1">
        <v>5.0919999999999996</v>
      </c>
      <c r="D106" s="1">
        <v>89.591999999999999</v>
      </c>
      <c r="E106" s="1">
        <v>97.028000000000006</v>
      </c>
      <c r="F106" s="1">
        <v>-2.3439999999999999</v>
      </c>
      <c r="G106" s="7">
        <v>1</v>
      </c>
      <c r="H106" s="1">
        <v>40</v>
      </c>
      <c r="I106" s="15" t="s">
        <v>42</v>
      </c>
      <c r="J106" s="1"/>
      <c r="K106" s="1">
        <v>320.8</v>
      </c>
      <c r="L106" s="1">
        <f t="shared" si="51"/>
        <v>-223.77199999999999</v>
      </c>
      <c r="M106" s="1"/>
      <c r="N106" s="1"/>
      <c r="O106" s="1">
        <v>31.503849999999979</v>
      </c>
      <c r="P106" s="1">
        <v>219.45</v>
      </c>
      <c r="Q106" s="1">
        <v>330.55</v>
      </c>
      <c r="R106" s="1"/>
      <c r="S106" s="1">
        <v>270</v>
      </c>
      <c r="T106" s="23"/>
      <c r="U106" s="1">
        <f t="shared" si="52"/>
        <v>19.4056</v>
      </c>
      <c r="V106" s="5"/>
      <c r="W106" s="5">
        <v>150</v>
      </c>
      <c r="X106" s="5">
        <f t="shared" si="42"/>
        <v>150</v>
      </c>
      <c r="Y106" s="5"/>
      <c r="Z106" s="18">
        <f>VLOOKUP(A106,[1]Sheet!$A:$W,22,0)</f>
        <v>340</v>
      </c>
      <c r="AA106" s="18" t="str">
        <f>VLOOKUP(A106,[1]Sheet!$A:$W,23,0)</f>
        <v>промо</v>
      </c>
      <c r="AB106" s="1">
        <f t="shared" si="43"/>
        <v>51.488222471863793</v>
      </c>
      <c r="AC106" s="1">
        <f t="shared" si="54"/>
        <v>43.758494970523977</v>
      </c>
      <c r="AD106" s="1">
        <v>53.915399999999998</v>
      </c>
      <c r="AE106" s="1">
        <v>60.767999999999986</v>
      </c>
      <c r="AF106" s="1">
        <v>26.117000000000001</v>
      </c>
      <c r="AG106" s="1">
        <v>34.499200000000002</v>
      </c>
      <c r="AH106" s="1">
        <v>34.926200000000001</v>
      </c>
      <c r="AI106" s="1">
        <v>10.3934</v>
      </c>
      <c r="AJ106" s="1">
        <v>9.5038</v>
      </c>
      <c r="AK106" s="1">
        <v>-0.74480000000000002</v>
      </c>
      <c r="AL106" s="1">
        <v>-0.85359999999999991</v>
      </c>
      <c r="AM106" s="1">
        <v>-2.0251999999999999</v>
      </c>
      <c r="AN106" s="1"/>
      <c r="AO106" s="1">
        <f t="shared" si="44"/>
        <v>150</v>
      </c>
      <c r="AP106" s="1">
        <f t="shared" si="45"/>
        <v>0</v>
      </c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x14ac:dyDescent="0.25">
      <c r="A107" s="9" t="s">
        <v>154</v>
      </c>
      <c r="B107" s="9" t="s">
        <v>44</v>
      </c>
      <c r="C107" s="9"/>
      <c r="D107" s="9"/>
      <c r="E107" s="9"/>
      <c r="F107" s="9"/>
      <c r="G107" s="10">
        <v>0</v>
      </c>
      <c r="H107" s="9"/>
      <c r="I107" s="9" t="s">
        <v>39</v>
      </c>
      <c r="J107" s="9"/>
      <c r="K107" s="9"/>
      <c r="L107" s="9">
        <f t="shared" si="51"/>
        <v>0</v>
      </c>
      <c r="M107" s="9"/>
      <c r="N107" s="9"/>
      <c r="O107" s="9">
        <v>0</v>
      </c>
      <c r="P107" s="9">
        <v>0</v>
      </c>
      <c r="Q107" s="9"/>
      <c r="R107" s="9"/>
      <c r="S107" s="9">
        <v>0</v>
      </c>
      <c r="T107" s="26"/>
      <c r="U107" s="9">
        <f t="shared" si="52"/>
        <v>0</v>
      </c>
      <c r="V107" s="11"/>
      <c r="W107" s="5">
        <f t="shared" si="41"/>
        <v>0</v>
      </c>
      <c r="X107" s="5">
        <f t="shared" si="42"/>
        <v>0</v>
      </c>
      <c r="Y107" s="5"/>
      <c r="Z107" s="18"/>
      <c r="AA107" s="18"/>
      <c r="AB107" s="1" t="e">
        <f t="shared" si="43"/>
        <v>#DIV/0!</v>
      </c>
      <c r="AC107" s="9" t="e">
        <f t="shared" si="54"/>
        <v>#DIV/0!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 t="s">
        <v>155</v>
      </c>
      <c r="AO107" s="1">
        <f t="shared" si="44"/>
        <v>0</v>
      </c>
      <c r="AP107" s="1">
        <f t="shared" si="45"/>
        <v>0</v>
      </c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x14ac:dyDescent="0.25">
      <c r="A108" s="1" t="s">
        <v>156</v>
      </c>
      <c r="B108" s="1" t="s">
        <v>38</v>
      </c>
      <c r="C108" s="1">
        <v>56.558999999999997</v>
      </c>
      <c r="D108" s="1"/>
      <c r="E108" s="1">
        <v>1.321</v>
      </c>
      <c r="F108" s="1">
        <v>52.481999999999999</v>
      </c>
      <c r="G108" s="7">
        <v>1</v>
      </c>
      <c r="H108" s="1">
        <v>55</v>
      </c>
      <c r="I108" s="15" t="s">
        <v>42</v>
      </c>
      <c r="J108" s="1"/>
      <c r="K108" s="1">
        <v>1.3</v>
      </c>
      <c r="L108" s="1">
        <f t="shared" si="51"/>
        <v>2.0999999999999908E-2</v>
      </c>
      <c r="M108" s="1"/>
      <c r="N108" s="1"/>
      <c r="O108" s="1">
        <v>0</v>
      </c>
      <c r="P108" s="1">
        <v>0</v>
      </c>
      <c r="Q108" s="1"/>
      <c r="R108" s="1"/>
      <c r="S108" s="1">
        <v>0</v>
      </c>
      <c r="T108" s="23"/>
      <c r="U108" s="1">
        <f t="shared" si="52"/>
        <v>0.26419999999999999</v>
      </c>
      <c r="V108" s="5"/>
      <c r="W108" s="5">
        <f t="shared" si="41"/>
        <v>0</v>
      </c>
      <c r="X108" s="5">
        <f t="shared" si="42"/>
        <v>0</v>
      </c>
      <c r="Y108" s="5"/>
      <c r="Z108" s="18"/>
      <c r="AA108" s="18"/>
      <c r="AB108" s="1">
        <f t="shared" si="43"/>
        <v>198.64496593489781</v>
      </c>
      <c r="AC108" s="1">
        <f t="shared" si="54"/>
        <v>198.64496593489781</v>
      </c>
      <c r="AD108" s="1">
        <v>0.26419999999999999</v>
      </c>
      <c r="AE108" s="1">
        <v>1.6339999999999999</v>
      </c>
      <c r="AF108" s="1">
        <v>2.1850000000000001</v>
      </c>
      <c r="AG108" s="1">
        <v>1.0946</v>
      </c>
      <c r="AH108" s="1">
        <v>0.54359999999999997</v>
      </c>
      <c r="AI108" s="1">
        <v>4.95</v>
      </c>
      <c r="AJ108" s="1">
        <v>4.95</v>
      </c>
      <c r="AK108" s="1">
        <v>2.1389999999999998</v>
      </c>
      <c r="AL108" s="1">
        <v>2.1389999999999998</v>
      </c>
      <c r="AM108" s="1">
        <v>3.8119999999999998</v>
      </c>
      <c r="AN108" s="14" t="s">
        <v>192</v>
      </c>
      <c r="AO108" s="1">
        <f t="shared" si="44"/>
        <v>0</v>
      </c>
      <c r="AP108" s="1">
        <f t="shared" si="45"/>
        <v>0</v>
      </c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x14ac:dyDescent="0.25">
      <c r="A109" s="1" t="s">
        <v>157</v>
      </c>
      <c r="B109" s="1" t="s">
        <v>44</v>
      </c>
      <c r="C109" s="1">
        <v>236</v>
      </c>
      <c r="D109" s="1">
        <v>6</v>
      </c>
      <c r="E109" s="1">
        <v>80</v>
      </c>
      <c r="F109" s="1">
        <v>147</v>
      </c>
      <c r="G109" s="7">
        <v>0.28000000000000003</v>
      </c>
      <c r="H109" s="1">
        <v>40</v>
      </c>
      <c r="I109" s="15" t="s">
        <v>42</v>
      </c>
      <c r="J109" s="1"/>
      <c r="K109" s="1">
        <v>481</v>
      </c>
      <c r="L109" s="1">
        <f t="shared" si="51"/>
        <v>-401</v>
      </c>
      <c r="M109" s="1"/>
      <c r="N109" s="1"/>
      <c r="O109" s="1">
        <v>0</v>
      </c>
      <c r="P109" s="1">
        <v>110.13038400000001</v>
      </c>
      <c r="Q109" s="1">
        <v>165.885616</v>
      </c>
      <c r="R109" s="1"/>
      <c r="S109" s="1">
        <v>242.68399999999991</v>
      </c>
      <c r="T109" s="23"/>
      <c r="U109" s="1">
        <f t="shared" si="52"/>
        <v>16</v>
      </c>
      <c r="V109" s="5"/>
      <c r="W109" s="5">
        <f t="shared" si="41"/>
        <v>0</v>
      </c>
      <c r="X109" s="5">
        <f t="shared" si="42"/>
        <v>0</v>
      </c>
      <c r="Y109" s="5"/>
      <c r="Z109" s="18"/>
      <c r="AA109" s="18"/>
      <c r="AB109" s="1">
        <f t="shared" si="43"/>
        <v>41.606249999999989</v>
      </c>
      <c r="AC109" s="1">
        <f t="shared" si="54"/>
        <v>41.606249999999989</v>
      </c>
      <c r="AD109" s="1">
        <v>63.4</v>
      </c>
      <c r="AE109" s="1">
        <v>50.2</v>
      </c>
      <c r="AF109" s="1">
        <v>3.6</v>
      </c>
      <c r="AG109" s="1">
        <v>50</v>
      </c>
      <c r="AH109" s="1">
        <v>59.4</v>
      </c>
      <c r="AI109" s="1">
        <v>7.2</v>
      </c>
      <c r="AJ109" s="1">
        <v>-1.8</v>
      </c>
      <c r="AK109" s="1">
        <v>60.2</v>
      </c>
      <c r="AL109" s="1">
        <v>110.8</v>
      </c>
      <c r="AM109" s="1">
        <v>85.6</v>
      </c>
      <c r="AN109" s="17" t="s">
        <v>126</v>
      </c>
      <c r="AO109" s="1">
        <f t="shared" si="44"/>
        <v>0</v>
      </c>
      <c r="AP109" s="1">
        <f t="shared" si="45"/>
        <v>0</v>
      </c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x14ac:dyDescent="0.25">
      <c r="A110" s="9" t="s">
        <v>158</v>
      </c>
      <c r="B110" s="9" t="s">
        <v>44</v>
      </c>
      <c r="C110" s="9"/>
      <c r="D110" s="9"/>
      <c r="E110" s="9"/>
      <c r="F110" s="9"/>
      <c r="G110" s="10">
        <v>0</v>
      </c>
      <c r="H110" s="9"/>
      <c r="I110" s="9" t="s">
        <v>42</v>
      </c>
      <c r="J110" s="9"/>
      <c r="K110" s="9"/>
      <c r="L110" s="9">
        <f t="shared" si="51"/>
        <v>0</v>
      </c>
      <c r="M110" s="9"/>
      <c r="N110" s="9"/>
      <c r="O110" s="9">
        <v>0</v>
      </c>
      <c r="P110" s="9">
        <v>0</v>
      </c>
      <c r="Q110" s="9"/>
      <c r="R110" s="9"/>
      <c r="S110" s="9">
        <v>0</v>
      </c>
      <c r="T110" s="26"/>
      <c r="U110" s="9">
        <f t="shared" si="52"/>
        <v>0</v>
      </c>
      <c r="V110" s="11"/>
      <c r="W110" s="5">
        <f t="shared" si="41"/>
        <v>0</v>
      </c>
      <c r="X110" s="5">
        <f t="shared" si="42"/>
        <v>0</v>
      </c>
      <c r="Y110" s="5"/>
      <c r="Z110" s="18"/>
      <c r="AA110" s="18"/>
      <c r="AB110" s="1" t="e">
        <f t="shared" si="43"/>
        <v>#DIV/0!</v>
      </c>
      <c r="AC110" s="9" t="e">
        <f t="shared" si="54"/>
        <v>#DIV/0!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 t="s">
        <v>45</v>
      </c>
      <c r="AO110" s="1">
        <f t="shared" si="44"/>
        <v>0</v>
      </c>
      <c r="AP110" s="1">
        <f t="shared" si="45"/>
        <v>0</v>
      </c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x14ac:dyDescent="0.25">
      <c r="A111" s="1" t="s">
        <v>159</v>
      </c>
      <c r="B111" s="1" t="s">
        <v>44</v>
      </c>
      <c r="C111" s="1">
        <v>143</v>
      </c>
      <c r="D111" s="1">
        <v>4</v>
      </c>
      <c r="E111" s="1">
        <v>-6</v>
      </c>
      <c r="F111" s="1">
        <v>144</v>
      </c>
      <c r="G111" s="7">
        <v>0.28000000000000003</v>
      </c>
      <c r="H111" s="1">
        <v>40</v>
      </c>
      <c r="I111" s="15" t="s">
        <v>42</v>
      </c>
      <c r="J111" s="1"/>
      <c r="K111" s="1">
        <v>563</v>
      </c>
      <c r="L111" s="1">
        <f t="shared" si="51"/>
        <v>-569</v>
      </c>
      <c r="M111" s="1"/>
      <c r="N111" s="1"/>
      <c r="O111" s="1">
        <v>0</v>
      </c>
      <c r="P111" s="1">
        <v>84.163464000000019</v>
      </c>
      <c r="Q111" s="1">
        <v>126.772536</v>
      </c>
      <c r="R111" s="1"/>
      <c r="S111" s="1">
        <v>100</v>
      </c>
      <c r="T111" s="23"/>
      <c r="U111" s="1">
        <f t="shared" si="52"/>
        <v>-1.2</v>
      </c>
      <c r="V111" s="5"/>
      <c r="W111" s="5">
        <v>100</v>
      </c>
      <c r="X111" s="5">
        <f t="shared" si="42"/>
        <v>100</v>
      </c>
      <c r="Y111" s="5"/>
      <c r="Z111" s="18">
        <f>VLOOKUP(A111,[1]Sheet!$A:$W,22,0)</f>
        <v>220</v>
      </c>
      <c r="AA111" s="18"/>
      <c r="AB111" s="1">
        <f t="shared" si="43"/>
        <v>-462.44666666666672</v>
      </c>
      <c r="AC111" s="1">
        <f t="shared" si="54"/>
        <v>-379.1133333333334</v>
      </c>
      <c r="AD111" s="1">
        <v>33.4</v>
      </c>
      <c r="AE111" s="1">
        <v>39.200000000000003</v>
      </c>
      <c r="AF111" s="1">
        <v>5</v>
      </c>
      <c r="AG111" s="1">
        <v>16.600000000000001</v>
      </c>
      <c r="AH111" s="1">
        <v>23.2</v>
      </c>
      <c r="AI111" s="1">
        <v>5.2</v>
      </c>
      <c r="AJ111" s="1">
        <v>-1.4</v>
      </c>
      <c r="AK111" s="1">
        <v>38.6</v>
      </c>
      <c r="AL111" s="1">
        <v>63</v>
      </c>
      <c r="AM111" s="1">
        <v>37.6</v>
      </c>
      <c r="AN111" s="17" t="s">
        <v>126</v>
      </c>
      <c r="AO111" s="1">
        <f t="shared" si="44"/>
        <v>28</v>
      </c>
      <c r="AP111" s="1">
        <f t="shared" si="45"/>
        <v>0</v>
      </c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x14ac:dyDescent="0.25">
      <c r="A112" s="1" t="s">
        <v>160</v>
      </c>
      <c r="B112" s="1" t="s">
        <v>44</v>
      </c>
      <c r="C112" s="1">
        <v>87</v>
      </c>
      <c r="D112" s="1">
        <v>90</v>
      </c>
      <c r="E112" s="1">
        <v>81</v>
      </c>
      <c r="F112" s="1">
        <v>78</v>
      </c>
      <c r="G112" s="7">
        <v>0.09</v>
      </c>
      <c r="H112" s="1"/>
      <c r="I112" s="1" t="s">
        <v>39</v>
      </c>
      <c r="J112" s="1"/>
      <c r="K112" s="1">
        <v>85</v>
      </c>
      <c r="L112" s="1">
        <f t="shared" si="51"/>
        <v>-4</v>
      </c>
      <c r="M112" s="1"/>
      <c r="N112" s="1"/>
      <c r="O112" s="1">
        <v>57.847999999999971</v>
      </c>
      <c r="P112" s="1">
        <v>17.799999999999979</v>
      </c>
      <c r="Q112" s="1"/>
      <c r="R112" s="1"/>
      <c r="S112" s="1">
        <v>0</v>
      </c>
      <c r="T112" s="23"/>
      <c r="U112" s="1">
        <f t="shared" si="52"/>
        <v>16.2</v>
      </c>
      <c r="V112" s="5">
        <f t="shared" ref="V112:V115" si="57">11.5*U112-S112-R112-Q112-P112-O112-F112</f>
        <v>32.652000000000029</v>
      </c>
      <c r="W112" s="5">
        <f t="shared" si="41"/>
        <v>32.652000000000029</v>
      </c>
      <c r="X112" s="5">
        <f t="shared" si="42"/>
        <v>32.652000000000029</v>
      </c>
      <c r="Y112" s="5"/>
      <c r="Z112" s="18"/>
      <c r="AA112" s="18"/>
      <c r="AB112" s="1">
        <f t="shared" si="43"/>
        <v>11.499999999999998</v>
      </c>
      <c r="AC112" s="1">
        <f t="shared" si="54"/>
        <v>9.4844444444444402</v>
      </c>
      <c r="AD112" s="1">
        <v>17</v>
      </c>
      <c r="AE112" s="1">
        <v>20.399999999999999</v>
      </c>
      <c r="AF112" s="1">
        <v>24</v>
      </c>
      <c r="AG112" s="1">
        <v>21.8</v>
      </c>
      <c r="AH112" s="1">
        <v>21</v>
      </c>
      <c r="AI112" s="1">
        <v>21</v>
      </c>
      <c r="AJ112" s="1">
        <v>21.6</v>
      </c>
      <c r="AK112" s="1">
        <v>22.4</v>
      </c>
      <c r="AL112" s="1">
        <v>19.8</v>
      </c>
      <c r="AM112" s="1">
        <v>19.600000000000001</v>
      </c>
      <c r="AN112" s="1"/>
      <c r="AO112" s="1">
        <f t="shared" si="44"/>
        <v>3</v>
      </c>
      <c r="AP112" s="1">
        <f t="shared" si="45"/>
        <v>0</v>
      </c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x14ac:dyDescent="0.25">
      <c r="A113" s="1" t="s">
        <v>161</v>
      </c>
      <c r="B113" s="1" t="s">
        <v>38</v>
      </c>
      <c r="C113" s="1">
        <v>361.80700000000002</v>
      </c>
      <c r="D113" s="1"/>
      <c r="E113" s="1">
        <v>216.739</v>
      </c>
      <c r="F113" s="1">
        <v>135.11000000000001</v>
      </c>
      <c r="G113" s="7">
        <v>1</v>
      </c>
      <c r="H113" s="1">
        <v>60</v>
      </c>
      <c r="I113" s="1" t="s">
        <v>39</v>
      </c>
      <c r="J113" s="1"/>
      <c r="K113" s="1">
        <v>215</v>
      </c>
      <c r="L113" s="1">
        <f t="shared" si="51"/>
        <v>1.7390000000000043</v>
      </c>
      <c r="M113" s="1"/>
      <c r="N113" s="1"/>
      <c r="O113" s="1">
        <v>0</v>
      </c>
      <c r="P113" s="1">
        <v>0</v>
      </c>
      <c r="Q113" s="1"/>
      <c r="R113" s="1"/>
      <c r="S113" s="1">
        <v>204.73699999999999</v>
      </c>
      <c r="T113" s="23"/>
      <c r="U113" s="1">
        <f t="shared" si="52"/>
        <v>43.347799999999999</v>
      </c>
      <c r="V113" s="5">
        <f t="shared" si="57"/>
        <v>158.65269999999998</v>
      </c>
      <c r="W113" s="5">
        <f t="shared" si="41"/>
        <v>158.65269999999998</v>
      </c>
      <c r="X113" s="5">
        <f t="shared" si="42"/>
        <v>158.65269999999998</v>
      </c>
      <c r="Y113" s="5"/>
      <c r="Z113" s="18"/>
      <c r="AA113" s="18"/>
      <c r="AB113" s="1">
        <f t="shared" si="43"/>
        <v>11.5</v>
      </c>
      <c r="AC113" s="1">
        <f t="shared" si="54"/>
        <v>7.840005721166933</v>
      </c>
      <c r="AD113" s="1">
        <v>43.808</v>
      </c>
      <c r="AE113" s="1">
        <v>13.9482</v>
      </c>
      <c r="AF113" s="1">
        <v>14.5182</v>
      </c>
      <c r="AG113" s="1">
        <v>12.6028</v>
      </c>
      <c r="AH113" s="1">
        <v>11.6654</v>
      </c>
      <c r="AI113" s="1">
        <v>14.174200000000001</v>
      </c>
      <c r="AJ113" s="1">
        <v>45.174799999999998</v>
      </c>
      <c r="AK113" s="1">
        <v>44.218200000000003</v>
      </c>
      <c r="AL113" s="1">
        <v>10.622999999999999</v>
      </c>
      <c r="AM113" s="1">
        <v>11.144600000000001</v>
      </c>
      <c r="AN113" s="1"/>
      <c r="AO113" s="1">
        <f t="shared" si="44"/>
        <v>159</v>
      </c>
      <c r="AP113" s="1">
        <f t="shared" si="45"/>
        <v>0</v>
      </c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x14ac:dyDescent="0.25">
      <c r="A114" s="1" t="s">
        <v>162</v>
      </c>
      <c r="B114" s="1" t="s">
        <v>38</v>
      </c>
      <c r="C114" s="1">
        <v>89.655000000000001</v>
      </c>
      <c r="D114" s="1"/>
      <c r="E114" s="1"/>
      <c r="F114" s="1">
        <v>89.655000000000001</v>
      </c>
      <c r="G114" s="7">
        <v>1</v>
      </c>
      <c r="H114" s="1">
        <v>50</v>
      </c>
      <c r="I114" s="1" t="s">
        <v>39</v>
      </c>
      <c r="J114" s="1"/>
      <c r="K114" s="1">
        <v>15</v>
      </c>
      <c r="L114" s="1">
        <f t="shared" si="51"/>
        <v>-15</v>
      </c>
      <c r="M114" s="1"/>
      <c r="N114" s="1"/>
      <c r="O114" s="1">
        <v>0</v>
      </c>
      <c r="P114" s="1">
        <v>0</v>
      </c>
      <c r="Q114" s="1"/>
      <c r="R114" s="1"/>
      <c r="S114" s="1">
        <v>0</v>
      </c>
      <c r="T114" s="23"/>
      <c r="U114" s="1">
        <f t="shared" si="52"/>
        <v>0</v>
      </c>
      <c r="V114" s="5"/>
      <c r="W114" s="5">
        <f t="shared" si="41"/>
        <v>0</v>
      </c>
      <c r="X114" s="5">
        <f t="shared" si="42"/>
        <v>0</v>
      </c>
      <c r="Y114" s="5"/>
      <c r="Z114" s="18"/>
      <c r="AA114" s="18"/>
      <c r="AB114" s="1" t="e">
        <f t="shared" si="43"/>
        <v>#DIV/0!</v>
      </c>
      <c r="AC114" s="1" t="e">
        <f t="shared" si="54"/>
        <v>#DIV/0!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-0.3352</v>
      </c>
      <c r="AM114" s="1">
        <v>-0.3352</v>
      </c>
      <c r="AN114" s="17" t="s">
        <v>126</v>
      </c>
      <c r="AO114" s="1">
        <f t="shared" si="44"/>
        <v>0</v>
      </c>
      <c r="AP114" s="1">
        <f t="shared" si="45"/>
        <v>0</v>
      </c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x14ac:dyDescent="0.25">
      <c r="A115" s="1" t="s">
        <v>163</v>
      </c>
      <c r="B115" s="1" t="s">
        <v>44</v>
      </c>
      <c r="C115" s="1">
        <v>42</v>
      </c>
      <c r="D115" s="1">
        <v>80</v>
      </c>
      <c r="E115" s="1">
        <v>54</v>
      </c>
      <c r="F115" s="1">
        <v>49</v>
      </c>
      <c r="G115" s="7">
        <v>0.09</v>
      </c>
      <c r="H115" s="1"/>
      <c r="I115" s="15" t="s">
        <v>42</v>
      </c>
      <c r="J115" s="1"/>
      <c r="K115" s="1">
        <v>59</v>
      </c>
      <c r="L115" s="1">
        <f t="shared" si="51"/>
        <v>-5</v>
      </c>
      <c r="M115" s="1"/>
      <c r="N115" s="1"/>
      <c r="O115" s="1">
        <v>0</v>
      </c>
      <c r="P115" s="1">
        <v>0</v>
      </c>
      <c r="Q115" s="1"/>
      <c r="R115" s="1"/>
      <c r="S115" s="1">
        <v>16.8</v>
      </c>
      <c r="T115" s="23"/>
      <c r="U115" s="1">
        <f t="shared" si="52"/>
        <v>10.8</v>
      </c>
      <c r="V115" s="5">
        <f t="shared" si="57"/>
        <v>58.400000000000006</v>
      </c>
      <c r="W115" s="5">
        <f t="shared" si="41"/>
        <v>58.400000000000006</v>
      </c>
      <c r="X115" s="5">
        <f t="shared" si="42"/>
        <v>58.400000000000006</v>
      </c>
      <c r="Y115" s="5"/>
      <c r="Z115" s="18"/>
      <c r="AA115" s="18"/>
      <c r="AB115" s="1">
        <f t="shared" si="43"/>
        <v>11.5</v>
      </c>
      <c r="AC115" s="1">
        <f t="shared" si="54"/>
        <v>6.0925925925925917</v>
      </c>
      <c r="AD115" s="1">
        <v>9.6</v>
      </c>
      <c r="AE115" s="1">
        <v>5.6</v>
      </c>
      <c r="AF115" s="1">
        <v>9.8000000000000007</v>
      </c>
      <c r="AG115" s="1">
        <v>15</v>
      </c>
      <c r="AH115" s="1">
        <v>11.6</v>
      </c>
      <c r="AI115" s="1">
        <v>11.8</v>
      </c>
      <c r="AJ115" s="1">
        <v>12.6</v>
      </c>
      <c r="AK115" s="1">
        <v>8.1999999999999993</v>
      </c>
      <c r="AL115" s="1">
        <v>6.6</v>
      </c>
      <c r="AM115" s="1">
        <v>14.8</v>
      </c>
      <c r="AN115" s="1"/>
      <c r="AO115" s="1">
        <f t="shared" si="44"/>
        <v>5</v>
      </c>
      <c r="AP115" s="1">
        <f t="shared" si="45"/>
        <v>0</v>
      </c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x14ac:dyDescent="0.25">
      <c r="A116" s="9" t="s">
        <v>164</v>
      </c>
      <c r="B116" s="9" t="s">
        <v>44</v>
      </c>
      <c r="C116" s="9"/>
      <c r="D116" s="9"/>
      <c r="E116" s="9"/>
      <c r="F116" s="9"/>
      <c r="G116" s="10">
        <v>0</v>
      </c>
      <c r="H116" s="9"/>
      <c r="I116" s="9" t="s">
        <v>39</v>
      </c>
      <c r="J116" s="9"/>
      <c r="K116" s="9">
        <v>1</v>
      </c>
      <c r="L116" s="9">
        <f t="shared" si="51"/>
        <v>-1</v>
      </c>
      <c r="M116" s="9"/>
      <c r="N116" s="9"/>
      <c r="O116" s="9">
        <v>0</v>
      </c>
      <c r="P116" s="9">
        <v>0</v>
      </c>
      <c r="Q116" s="9"/>
      <c r="R116" s="9"/>
      <c r="S116" s="9">
        <v>0</v>
      </c>
      <c r="T116" s="26"/>
      <c r="U116" s="9">
        <f t="shared" si="52"/>
        <v>0</v>
      </c>
      <c r="V116" s="11"/>
      <c r="W116" s="5">
        <f t="shared" si="41"/>
        <v>0</v>
      </c>
      <c r="X116" s="5">
        <f t="shared" si="42"/>
        <v>0</v>
      </c>
      <c r="Y116" s="5"/>
      <c r="Z116" s="18"/>
      <c r="AA116" s="18"/>
      <c r="AB116" s="1" t="e">
        <f t="shared" si="43"/>
        <v>#DIV/0!</v>
      </c>
      <c r="AC116" s="9" t="e">
        <f t="shared" si="54"/>
        <v>#DIV/0!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 t="s">
        <v>45</v>
      </c>
      <c r="AO116" s="1">
        <f t="shared" si="44"/>
        <v>0</v>
      </c>
      <c r="AP116" s="1">
        <f t="shared" si="45"/>
        <v>0</v>
      </c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x14ac:dyDescent="0.25">
      <c r="A117" s="1" t="s">
        <v>165</v>
      </c>
      <c r="B117" s="1" t="s">
        <v>38</v>
      </c>
      <c r="C117" s="1">
        <v>312.94400000000002</v>
      </c>
      <c r="D117" s="1">
        <v>522.16499999999996</v>
      </c>
      <c r="E117" s="1">
        <v>487.93400000000003</v>
      </c>
      <c r="F117" s="1">
        <v>221.51599999999999</v>
      </c>
      <c r="G117" s="7">
        <v>1</v>
      </c>
      <c r="H117" s="1">
        <v>60</v>
      </c>
      <c r="I117" s="15" t="s">
        <v>42</v>
      </c>
      <c r="J117" s="1"/>
      <c r="K117" s="1">
        <v>509.20800000000003</v>
      </c>
      <c r="L117" s="1">
        <f t="shared" si="51"/>
        <v>-21.274000000000001</v>
      </c>
      <c r="M117" s="1"/>
      <c r="N117" s="1"/>
      <c r="O117" s="1">
        <v>0</v>
      </c>
      <c r="P117" s="1">
        <v>159.6</v>
      </c>
      <c r="Q117" s="1">
        <v>240.4</v>
      </c>
      <c r="R117" s="1"/>
      <c r="S117" s="1">
        <v>106.8199</v>
      </c>
      <c r="T117" s="23"/>
      <c r="U117" s="1">
        <f t="shared" si="52"/>
        <v>97.586800000000011</v>
      </c>
      <c r="V117" s="5">
        <f t="shared" ref="V117:V120" si="58">11.5*U117-S117-R117-Q117-P117-O117-F117</f>
        <v>393.9123000000003</v>
      </c>
      <c r="W117" s="5">
        <f t="shared" ref="W117:W118" si="59">V117+U117*$W$1</f>
        <v>328.04121000000032</v>
      </c>
      <c r="X117" s="5">
        <f t="shared" si="42"/>
        <v>175.17400614000016</v>
      </c>
      <c r="Y117" s="5">
        <f t="shared" ref="Y117:Y118" si="60">W117*$Y$1</f>
        <v>152.86720386000016</v>
      </c>
      <c r="Z117" s="18"/>
      <c r="AA117" s="18"/>
      <c r="AB117" s="1">
        <f t="shared" si="43"/>
        <v>10.825000000000003</v>
      </c>
      <c r="AC117" s="1">
        <f t="shared" si="54"/>
        <v>7.4634673951804942</v>
      </c>
      <c r="AD117" s="1">
        <v>95.525800000000004</v>
      </c>
      <c r="AE117" s="1">
        <v>84.726399999999998</v>
      </c>
      <c r="AF117" s="1">
        <v>79.7958</v>
      </c>
      <c r="AG117" s="1">
        <v>96.615600000000001</v>
      </c>
      <c r="AH117" s="1">
        <v>82.1096</v>
      </c>
      <c r="AI117" s="1">
        <v>69.9298</v>
      </c>
      <c r="AJ117" s="1">
        <v>86.117800000000003</v>
      </c>
      <c r="AK117" s="1">
        <v>86.794000000000011</v>
      </c>
      <c r="AL117" s="1">
        <v>73.754199999999997</v>
      </c>
      <c r="AM117" s="1">
        <v>90.467399999999998</v>
      </c>
      <c r="AN117" s="1"/>
      <c r="AO117" s="1">
        <f t="shared" si="44"/>
        <v>175</v>
      </c>
      <c r="AP117" s="1">
        <f t="shared" si="45"/>
        <v>153</v>
      </c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x14ac:dyDescent="0.25">
      <c r="A118" s="1" t="s">
        <v>166</v>
      </c>
      <c r="B118" s="1" t="s">
        <v>38</v>
      </c>
      <c r="C118" s="1">
        <v>334.75799999999998</v>
      </c>
      <c r="D118" s="1">
        <v>661.20699999999999</v>
      </c>
      <c r="E118" s="1">
        <v>635.38699999999994</v>
      </c>
      <c r="F118" s="1">
        <v>226.09700000000001</v>
      </c>
      <c r="G118" s="7">
        <v>1</v>
      </c>
      <c r="H118" s="1">
        <v>60</v>
      </c>
      <c r="I118" s="1" t="s">
        <v>39</v>
      </c>
      <c r="J118" s="1"/>
      <c r="K118" s="1">
        <v>616.58399999999995</v>
      </c>
      <c r="L118" s="1">
        <f t="shared" si="51"/>
        <v>18.802999999999997</v>
      </c>
      <c r="M118" s="1"/>
      <c r="N118" s="1"/>
      <c r="O118" s="1">
        <v>0</v>
      </c>
      <c r="P118" s="1">
        <v>204.26588422800009</v>
      </c>
      <c r="Q118" s="1">
        <v>307.6786877720001</v>
      </c>
      <c r="R118" s="1"/>
      <c r="S118" s="1">
        <v>332.27599199999969</v>
      </c>
      <c r="T118" s="23"/>
      <c r="U118" s="1">
        <f t="shared" si="52"/>
        <v>127.07739999999998</v>
      </c>
      <c r="V118" s="5">
        <f t="shared" si="58"/>
        <v>391.07253600000001</v>
      </c>
      <c r="W118" s="5">
        <f t="shared" si="59"/>
        <v>305.29529100000002</v>
      </c>
      <c r="X118" s="5">
        <f t="shared" si="42"/>
        <v>163.027685394</v>
      </c>
      <c r="Y118" s="5">
        <f t="shared" si="60"/>
        <v>142.26760560600002</v>
      </c>
      <c r="Z118" s="18"/>
      <c r="AA118" s="18"/>
      <c r="AB118" s="1">
        <f t="shared" si="43"/>
        <v>10.825000000000001</v>
      </c>
      <c r="AC118" s="1">
        <f t="shared" si="54"/>
        <v>8.4225642325071188</v>
      </c>
      <c r="AD118" s="1">
        <v>140.6326</v>
      </c>
      <c r="AE118" s="1">
        <v>119.9984</v>
      </c>
      <c r="AF118" s="1">
        <v>104.12860000000001</v>
      </c>
      <c r="AG118" s="1">
        <v>125.753</v>
      </c>
      <c r="AH118" s="1">
        <v>106.21599999999999</v>
      </c>
      <c r="AI118" s="1">
        <v>88.082799999999992</v>
      </c>
      <c r="AJ118" s="1">
        <v>110.0094</v>
      </c>
      <c r="AK118" s="1">
        <v>126.1358</v>
      </c>
      <c r="AL118" s="1">
        <v>118.1798</v>
      </c>
      <c r="AM118" s="1">
        <v>128.58260000000001</v>
      </c>
      <c r="AN118" s="1"/>
      <c r="AO118" s="1">
        <f t="shared" si="44"/>
        <v>163</v>
      </c>
      <c r="AP118" s="1">
        <f t="shared" si="45"/>
        <v>142</v>
      </c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x14ac:dyDescent="0.25">
      <c r="A119" s="1" t="s">
        <v>167</v>
      </c>
      <c r="B119" s="1" t="s">
        <v>38</v>
      </c>
      <c r="C119" s="1">
        <v>225.47</v>
      </c>
      <c r="D119" s="1">
        <v>211.82400000000001</v>
      </c>
      <c r="E119" s="1">
        <v>177.73699999999999</v>
      </c>
      <c r="F119" s="1">
        <v>226.381</v>
      </c>
      <c r="G119" s="7">
        <v>1</v>
      </c>
      <c r="H119" s="1">
        <v>60</v>
      </c>
      <c r="I119" s="15" t="s">
        <v>42</v>
      </c>
      <c r="J119" s="1"/>
      <c r="K119" s="1">
        <v>174.9</v>
      </c>
      <c r="L119" s="1">
        <f t="shared" si="51"/>
        <v>2.8369999999999891</v>
      </c>
      <c r="M119" s="1"/>
      <c r="N119" s="1"/>
      <c r="O119" s="1">
        <v>0</v>
      </c>
      <c r="P119" s="1">
        <v>0</v>
      </c>
      <c r="Q119" s="1"/>
      <c r="R119" s="1"/>
      <c r="S119" s="1">
        <v>68.398500000000013</v>
      </c>
      <c r="T119" s="23"/>
      <c r="U119" s="1">
        <f t="shared" si="52"/>
        <v>35.547399999999996</v>
      </c>
      <c r="V119" s="5">
        <f t="shared" si="58"/>
        <v>114.01559999999992</v>
      </c>
      <c r="W119" s="5">
        <f t="shared" si="41"/>
        <v>114.01559999999992</v>
      </c>
      <c r="X119" s="5">
        <f t="shared" si="42"/>
        <v>114.01559999999992</v>
      </c>
      <c r="Y119" s="5"/>
      <c r="Z119" s="18"/>
      <c r="AA119" s="18"/>
      <c r="AB119" s="1">
        <f t="shared" si="43"/>
        <v>11.5</v>
      </c>
      <c r="AC119" s="1">
        <f t="shared" si="54"/>
        <v>8.2925755470160976</v>
      </c>
      <c r="AD119" s="1">
        <v>35.698999999999998</v>
      </c>
      <c r="AE119" s="1">
        <v>29.297999999999998</v>
      </c>
      <c r="AF119" s="1">
        <v>30.648</v>
      </c>
      <c r="AG119" s="1">
        <v>46.579000000000001</v>
      </c>
      <c r="AH119" s="1">
        <v>41.085599999999999</v>
      </c>
      <c r="AI119" s="1">
        <v>25.831600000000002</v>
      </c>
      <c r="AJ119" s="1">
        <v>33.179000000000002</v>
      </c>
      <c r="AK119" s="1">
        <v>34.262799999999999</v>
      </c>
      <c r="AL119" s="1">
        <v>34.434399999999997</v>
      </c>
      <c r="AM119" s="1">
        <v>48.102999999999987</v>
      </c>
      <c r="AN119" s="1"/>
      <c r="AO119" s="1">
        <f t="shared" si="44"/>
        <v>114</v>
      </c>
      <c r="AP119" s="1">
        <f t="shared" si="45"/>
        <v>0</v>
      </c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x14ac:dyDescent="0.25">
      <c r="A120" s="1" t="s">
        <v>168</v>
      </c>
      <c r="B120" s="1" t="s">
        <v>38</v>
      </c>
      <c r="C120" s="1">
        <v>772.31600000000003</v>
      </c>
      <c r="D120" s="1">
        <v>2226.69</v>
      </c>
      <c r="E120" s="1">
        <v>2356.4059999999999</v>
      </c>
      <c r="F120" s="1">
        <v>126.202</v>
      </c>
      <c r="G120" s="7">
        <v>1</v>
      </c>
      <c r="H120" s="1">
        <v>60</v>
      </c>
      <c r="I120" s="1" t="s">
        <v>39</v>
      </c>
      <c r="J120" s="1"/>
      <c r="K120" s="1">
        <v>2361.6999999999998</v>
      </c>
      <c r="L120" s="1">
        <f t="shared" si="51"/>
        <v>-5.293999999999869</v>
      </c>
      <c r="M120" s="1"/>
      <c r="N120" s="1"/>
      <c r="O120" s="1">
        <v>963.12235594843935</v>
      </c>
      <c r="P120" s="1">
        <v>606.79391724000027</v>
      </c>
      <c r="Q120" s="1">
        <v>913.99284276000037</v>
      </c>
      <c r="R120" s="1"/>
      <c r="S120" s="1">
        <v>1087.2451600515601</v>
      </c>
      <c r="T120" s="23"/>
      <c r="U120" s="1">
        <f t="shared" si="52"/>
        <v>471.28120000000001</v>
      </c>
      <c r="V120" s="5">
        <f t="shared" si="58"/>
        <v>1722.3775240000007</v>
      </c>
      <c r="W120" s="5">
        <f>V120+U120*$W$1</f>
        <v>1404.2627140000006</v>
      </c>
      <c r="X120" s="5">
        <f t="shared" si="42"/>
        <v>749.87628927600031</v>
      </c>
      <c r="Y120" s="5">
        <f>W120*$Y$1</f>
        <v>654.38642472400034</v>
      </c>
      <c r="Z120" s="18"/>
      <c r="AA120" s="18"/>
      <c r="AB120" s="1">
        <f t="shared" si="43"/>
        <v>10.825000000000001</v>
      </c>
      <c r="AC120" s="1">
        <f t="shared" si="54"/>
        <v>7.8453294466233743</v>
      </c>
      <c r="AD120" s="1">
        <v>487.17340000000002</v>
      </c>
      <c r="AE120" s="1">
        <v>435.375</v>
      </c>
      <c r="AF120" s="1">
        <v>425.35119999999989</v>
      </c>
      <c r="AG120" s="1">
        <v>404.13080000000002</v>
      </c>
      <c r="AH120" s="1">
        <v>357.29899999999998</v>
      </c>
      <c r="AI120" s="1">
        <v>310.04700000000003</v>
      </c>
      <c r="AJ120" s="1">
        <v>340.2808</v>
      </c>
      <c r="AK120" s="1">
        <v>387.70940000000002</v>
      </c>
      <c r="AL120" s="1">
        <v>346.7552</v>
      </c>
      <c r="AM120" s="1">
        <v>311.18439999999998</v>
      </c>
      <c r="AN120" s="1"/>
      <c r="AO120" s="1">
        <f t="shared" si="44"/>
        <v>750</v>
      </c>
      <c r="AP120" s="1">
        <f t="shared" si="45"/>
        <v>654</v>
      </c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25">
      <c r="A121" s="1" t="s">
        <v>169</v>
      </c>
      <c r="B121" s="1" t="s">
        <v>44</v>
      </c>
      <c r="C121" s="1">
        <v>345</v>
      </c>
      <c r="D121" s="1"/>
      <c r="E121" s="1">
        <v>22</v>
      </c>
      <c r="F121" s="1">
        <v>318</v>
      </c>
      <c r="G121" s="7">
        <v>0.25</v>
      </c>
      <c r="H121" s="1">
        <v>1096</v>
      </c>
      <c r="I121" s="13" t="s">
        <v>100</v>
      </c>
      <c r="J121" s="1"/>
      <c r="K121" s="1">
        <v>22</v>
      </c>
      <c r="L121" s="1">
        <f t="shared" si="51"/>
        <v>0</v>
      </c>
      <c r="M121" s="1"/>
      <c r="N121" s="1"/>
      <c r="O121" s="1">
        <v>0</v>
      </c>
      <c r="P121" s="1">
        <v>0</v>
      </c>
      <c r="Q121" s="1"/>
      <c r="R121" s="1"/>
      <c r="S121" s="1">
        <v>0</v>
      </c>
      <c r="T121" s="23"/>
      <c r="U121" s="1">
        <f t="shared" si="52"/>
        <v>4.4000000000000004</v>
      </c>
      <c r="V121" s="5"/>
      <c r="W121" s="5">
        <f t="shared" si="41"/>
        <v>0</v>
      </c>
      <c r="X121" s="5">
        <f t="shared" si="42"/>
        <v>0</v>
      </c>
      <c r="Y121" s="5"/>
      <c r="Z121" s="18"/>
      <c r="AA121" s="18"/>
      <c r="AB121" s="1">
        <f t="shared" si="43"/>
        <v>72.272727272727266</v>
      </c>
      <c r="AC121" s="1">
        <f t="shared" si="54"/>
        <v>72.272727272727266</v>
      </c>
      <c r="AD121" s="1">
        <v>4.4000000000000004</v>
      </c>
      <c r="AE121" s="1">
        <v>2.2000000000000002</v>
      </c>
      <c r="AF121" s="1">
        <v>2.4</v>
      </c>
      <c r="AG121" s="1">
        <v>6.4</v>
      </c>
      <c r="AH121" s="1">
        <v>5.6</v>
      </c>
      <c r="AI121" s="1">
        <v>3</v>
      </c>
      <c r="AJ121" s="1">
        <v>3.4</v>
      </c>
      <c r="AK121" s="1">
        <v>7.4</v>
      </c>
      <c r="AL121" s="1">
        <v>11.8</v>
      </c>
      <c r="AM121" s="1">
        <v>14.8</v>
      </c>
      <c r="AN121" s="14" t="s">
        <v>189</v>
      </c>
      <c r="AO121" s="1">
        <f t="shared" si="44"/>
        <v>0</v>
      </c>
      <c r="AP121" s="1">
        <f t="shared" si="45"/>
        <v>0</v>
      </c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25">
      <c r="A122" s="1" t="s">
        <v>170</v>
      </c>
      <c r="B122" s="1" t="s">
        <v>44</v>
      </c>
      <c r="C122" s="1">
        <v>301</v>
      </c>
      <c r="D122" s="1"/>
      <c r="E122" s="1">
        <v>1</v>
      </c>
      <c r="F122" s="1">
        <v>298</v>
      </c>
      <c r="G122" s="7">
        <v>0.32500000000000001</v>
      </c>
      <c r="H122" s="1">
        <v>1096</v>
      </c>
      <c r="I122" s="1" t="s">
        <v>39</v>
      </c>
      <c r="J122" s="1"/>
      <c r="K122" s="1">
        <v>1</v>
      </c>
      <c r="L122" s="1">
        <f t="shared" si="51"/>
        <v>0</v>
      </c>
      <c r="M122" s="1"/>
      <c r="N122" s="1"/>
      <c r="O122" s="1">
        <v>0</v>
      </c>
      <c r="P122" s="1">
        <v>0</v>
      </c>
      <c r="Q122" s="1"/>
      <c r="R122" s="1"/>
      <c r="S122" s="1">
        <v>0</v>
      </c>
      <c r="T122" s="23"/>
      <c r="U122" s="1">
        <f t="shared" si="52"/>
        <v>0.2</v>
      </c>
      <c r="V122" s="5"/>
      <c r="W122" s="5">
        <f t="shared" si="41"/>
        <v>0</v>
      </c>
      <c r="X122" s="5">
        <f t="shared" si="42"/>
        <v>0</v>
      </c>
      <c r="Y122" s="5"/>
      <c r="Z122" s="18"/>
      <c r="AA122" s="18"/>
      <c r="AB122" s="1">
        <f t="shared" si="43"/>
        <v>1490</v>
      </c>
      <c r="AC122" s="1">
        <f t="shared" si="54"/>
        <v>1490</v>
      </c>
      <c r="AD122" s="1">
        <v>1.2</v>
      </c>
      <c r="AE122" s="1">
        <v>2.6</v>
      </c>
      <c r="AF122" s="1">
        <v>3</v>
      </c>
      <c r="AG122" s="1">
        <v>2.4</v>
      </c>
      <c r="AH122" s="1">
        <v>1</v>
      </c>
      <c r="AI122" s="1">
        <v>1.8</v>
      </c>
      <c r="AJ122" s="1">
        <v>3.2</v>
      </c>
      <c r="AK122" s="1">
        <v>3.4</v>
      </c>
      <c r="AL122" s="1">
        <v>5.6</v>
      </c>
      <c r="AM122" s="1">
        <v>9.4</v>
      </c>
      <c r="AN122" s="17" t="s">
        <v>126</v>
      </c>
      <c r="AO122" s="1">
        <f t="shared" si="44"/>
        <v>0</v>
      </c>
      <c r="AP122" s="1">
        <f t="shared" si="45"/>
        <v>0</v>
      </c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x14ac:dyDescent="0.25">
      <c r="A123" s="1" t="s">
        <v>171</v>
      </c>
      <c r="B123" s="1" t="s">
        <v>44</v>
      </c>
      <c r="C123" s="1">
        <v>302</v>
      </c>
      <c r="D123" s="1"/>
      <c r="E123" s="1">
        <v>11</v>
      </c>
      <c r="F123" s="1">
        <v>284</v>
      </c>
      <c r="G123" s="7">
        <v>0.25</v>
      </c>
      <c r="H123" s="1">
        <v>1096</v>
      </c>
      <c r="I123" s="15" t="s">
        <v>79</v>
      </c>
      <c r="J123" s="1"/>
      <c r="K123" s="1">
        <v>11</v>
      </c>
      <c r="L123" s="1">
        <f t="shared" si="51"/>
        <v>0</v>
      </c>
      <c r="M123" s="1"/>
      <c r="N123" s="1"/>
      <c r="O123" s="1">
        <v>0</v>
      </c>
      <c r="P123" s="1">
        <v>0</v>
      </c>
      <c r="Q123" s="1"/>
      <c r="R123" s="1"/>
      <c r="S123" s="1">
        <v>0</v>
      </c>
      <c r="T123" s="23"/>
      <c r="U123" s="1">
        <f t="shared" si="52"/>
        <v>2.2000000000000002</v>
      </c>
      <c r="V123" s="5"/>
      <c r="W123" s="5">
        <f t="shared" si="41"/>
        <v>0</v>
      </c>
      <c r="X123" s="5">
        <f t="shared" si="42"/>
        <v>0</v>
      </c>
      <c r="Y123" s="5"/>
      <c r="Z123" s="18"/>
      <c r="AA123" s="18"/>
      <c r="AB123" s="1">
        <f t="shared" si="43"/>
        <v>129.09090909090909</v>
      </c>
      <c r="AC123" s="1">
        <f t="shared" si="54"/>
        <v>129.09090909090909</v>
      </c>
      <c r="AD123" s="1">
        <v>1.6</v>
      </c>
      <c r="AE123" s="1">
        <v>2.2000000000000002</v>
      </c>
      <c r="AF123" s="1">
        <v>3.4</v>
      </c>
      <c r="AG123" s="1">
        <v>4.8</v>
      </c>
      <c r="AH123" s="1">
        <v>4</v>
      </c>
      <c r="AI123" s="1">
        <v>4</v>
      </c>
      <c r="AJ123" s="1">
        <v>4.4000000000000004</v>
      </c>
      <c r="AK123" s="1">
        <v>8.1999999999999993</v>
      </c>
      <c r="AL123" s="1">
        <v>14</v>
      </c>
      <c r="AM123" s="1">
        <v>11.4</v>
      </c>
      <c r="AN123" s="14" t="s">
        <v>191</v>
      </c>
      <c r="AO123" s="1">
        <f t="shared" si="44"/>
        <v>0</v>
      </c>
      <c r="AP123" s="1">
        <f t="shared" si="45"/>
        <v>0</v>
      </c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x14ac:dyDescent="0.25">
      <c r="A124" s="9" t="s">
        <v>172</v>
      </c>
      <c r="B124" s="9" t="s">
        <v>38</v>
      </c>
      <c r="C124" s="9">
        <v>33.76</v>
      </c>
      <c r="D124" s="9"/>
      <c r="E124" s="9">
        <v>3.984</v>
      </c>
      <c r="F124" s="9"/>
      <c r="G124" s="10">
        <v>0</v>
      </c>
      <c r="H124" s="9"/>
      <c r="I124" s="9" t="s">
        <v>141</v>
      </c>
      <c r="J124" s="9"/>
      <c r="K124" s="9">
        <v>3.9</v>
      </c>
      <c r="L124" s="9">
        <f t="shared" si="51"/>
        <v>8.4000000000000075E-2</v>
      </c>
      <c r="M124" s="9"/>
      <c r="N124" s="9"/>
      <c r="O124" s="9">
        <v>0</v>
      </c>
      <c r="P124" s="9">
        <v>0</v>
      </c>
      <c r="Q124" s="9"/>
      <c r="R124" s="9"/>
      <c r="S124" s="9">
        <v>0</v>
      </c>
      <c r="T124" s="26"/>
      <c r="U124" s="9">
        <f t="shared" si="52"/>
        <v>0.79679999999999995</v>
      </c>
      <c r="V124" s="11"/>
      <c r="W124" s="5">
        <f t="shared" si="41"/>
        <v>0</v>
      </c>
      <c r="X124" s="5">
        <f t="shared" si="42"/>
        <v>0</v>
      </c>
      <c r="Y124" s="5"/>
      <c r="Z124" s="18"/>
      <c r="AA124" s="18"/>
      <c r="AB124" s="1">
        <f t="shared" si="43"/>
        <v>0</v>
      </c>
      <c r="AC124" s="9">
        <f t="shared" si="54"/>
        <v>0</v>
      </c>
      <c r="AD124" s="9">
        <v>1.0611999999999999</v>
      </c>
      <c r="AE124" s="9">
        <v>4.5907999999999998</v>
      </c>
      <c r="AF124" s="9">
        <v>11.111599999999999</v>
      </c>
      <c r="AG124" s="9">
        <v>7.0571999999999999</v>
      </c>
      <c r="AH124" s="9">
        <v>0.27200000000000002</v>
      </c>
      <c r="AI124" s="9">
        <v>0.26840000000000003</v>
      </c>
      <c r="AJ124" s="9">
        <v>0.26840000000000003</v>
      </c>
      <c r="AK124" s="9">
        <v>0</v>
      </c>
      <c r="AL124" s="9">
        <v>0.26960000000000001</v>
      </c>
      <c r="AM124" s="9">
        <v>0.54359999999999997</v>
      </c>
      <c r="AN124" s="9" t="s">
        <v>173</v>
      </c>
      <c r="AO124" s="1">
        <f t="shared" si="44"/>
        <v>0</v>
      </c>
      <c r="AP124" s="1">
        <f t="shared" si="45"/>
        <v>0</v>
      </c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25">
      <c r="A125" s="9" t="s">
        <v>174</v>
      </c>
      <c r="B125" s="9" t="s">
        <v>38</v>
      </c>
      <c r="C125" s="9">
        <v>99.372</v>
      </c>
      <c r="D125" s="9"/>
      <c r="E125" s="12">
        <v>26.966000000000001</v>
      </c>
      <c r="F125" s="12">
        <v>63.353000000000002</v>
      </c>
      <c r="G125" s="10">
        <v>0</v>
      </c>
      <c r="H125" s="9"/>
      <c r="I125" s="9" t="s">
        <v>175</v>
      </c>
      <c r="J125" s="9" t="s">
        <v>143</v>
      </c>
      <c r="K125" s="9">
        <v>26.4</v>
      </c>
      <c r="L125" s="9">
        <f t="shared" si="51"/>
        <v>0.5660000000000025</v>
      </c>
      <c r="M125" s="9"/>
      <c r="N125" s="9"/>
      <c r="O125" s="9">
        <v>0</v>
      </c>
      <c r="P125" s="9">
        <v>0</v>
      </c>
      <c r="Q125" s="9"/>
      <c r="R125" s="9"/>
      <c r="S125" s="9">
        <v>0</v>
      </c>
      <c r="T125" s="26"/>
      <c r="U125" s="9">
        <f t="shared" si="52"/>
        <v>5.3932000000000002</v>
      </c>
      <c r="V125" s="11"/>
      <c r="W125" s="5">
        <f t="shared" si="41"/>
        <v>0</v>
      </c>
      <c r="X125" s="5">
        <f t="shared" si="42"/>
        <v>0</v>
      </c>
      <c r="Y125" s="5"/>
      <c r="Z125" s="18"/>
      <c r="AA125" s="18"/>
      <c r="AB125" s="1">
        <f t="shared" si="43"/>
        <v>11.746829340651191</v>
      </c>
      <c r="AC125" s="9">
        <f t="shared" si="54"/>
        <v>11.746829340651191</v>
      </c>
      <c r="AD125" s="9">
        <v>7.3956</v>
      </c>
      <c r="AE125" s="9">
        <v>3.5994000000000002</v>
      </c>
      <c r="AF125" s="9">
        <v>1.7998000000000001</v>
      </c>
      <c r="AG125" s="9">
        <v>0.60199999999999998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/>
      <c r="AO125" s="1">
        <f t="shared" si="44"/>
        <v>0</v>
      </c>
      <c r="AP125" s="1">
        <f t="shared" si="45"/>
        <v>0</v>
      </c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x14ac:dyDescent="0.25">
      <c r="A126" s="9" t="s">
        <v>176</v>
      </c>
      <c r="B126" s="9" t="s">
        <v>38</v>
      </c>
      <c r="C126" s="9">
        <v>62.085000000000001</v>
      </c>
      <c r="D126" s="9"/>
      <c r="E126" s="12">
        <v>1.4450000000000001</v>
      </c>
      <c r="F126" s="12">
        <v>60.64</v>
      </c>
      <c r="G126" s="10">
        <v>0</v>
      </c>
      <c r="H126" s="9"/>
      <c r="I126" s="9" t="s">
        <v>175</v>
      </c>
      <c r="J126" s="9" t="s">
        <v>89</v>
      </c>
      <c r="K126" s="9">
        <v>1.4</v>
      </c>
      <c r="L126" s="9">
        <f t="shared" si="51"/>
        <v>4.5000000000000151E-2</v>
      </c>
      <c r="M126" s="9"/>
      <c r="N126" s="9"/>
      <c r="O126" s="9">
        <v>0</v>
      </c>
      <c r="P126" s="9">
        <v>0</v>
      </c>
      <c r="Q126" s="9"/>
      <c r="R126" s="9"/>
      <c r="S126" s="9">
        <v>0</v>
      </c>
      <c r="T126" s="26"/>
      <c r="U126" s="9">
        <f t="shared" si="52"/>
        <v>0.28900000000000003</v>
      </c>
      <c r="V126" s="11"/>
      <c r="W126" s="5">
        <f t="shared" si="41"/>
        <v>0</v>
      </c>
      <c r="X126" s="5">
        <f t="shared" si="42"/>
        <v>0</v>
      </c>
      <c r="Y126" s="5"/>
      <c r="Z126" s="18"/>
      <c r="AA126" s="18"/>
      <c r="AB126" s="1">
        <f t="shared" si="43"/>
        <v>209.82698961937714</v>
      </c>
      <c r="AC126" s="9">
        <f t="shared" si="54"/>
        <v>209.82698961937714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/>
      <c r="AO126" s="1">
        <f t="shared" si="44"/>
        <v>0</v>
      </c>
      <c r="AP126" s="1">
        <f t="shared" si="45"/>
        <v>0</v>
      </c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25">
      <c r="A127" s="1" t="s">
        <v>177</v>
      </c>
      <c r="B127" s="1" t="s">
        <v>44</v>
      </c>
      <c r="C127" s="1">
        <v>1</v>
      </c>
      <c r="D127" s="1"/>
      <c r="E127" s="1">
        <v>-4</v>
      </c>
      <c r="F127" s="1"/>
      <c r="G127" s="7">
        <v>0.3</v>
      </c>
      <c r="H127" s="1">
        <v>40</v>
      </c>
      <c r="I127" s="15" t="s">
        <v>42</v>
      </c>
      <c r="J127" s="1"/>
      <c r="K127" s="1">
        <v>7</v>
      </c>
      <c r="L127" s="1">
        <f t="shared" si="51"/>
        <v>-11</v>
      </c>
      <c r="M127" s="1"/>
      <c r="N127" s="1"/>
      <c r="O127" s="1">
        <v>44.4</v>
      </c>
      <c r="P127" s="1">
        <v>23.6</v>
      </c>
      <c r="Q127" s="1"/>
      <c r="R127" s="1"/>
      <c r="S127" s="1">
        <v>0</v>
      </c>
      <c r="T127" s="23"/>
      <c r="U127" s="1">
        <f t="shared" si="52"/>
        <v>-0.8</v>
      </c>
      <c r="V127" s="5"/>
      <c r="W127" s="5">
        <f t="shared" si="41"/>
        <v>0</v>
      </c>
      <c r="X127" s="5">
        <f t="shared" si="42"/>
        <v>0</v>
      </c>
      <c r="Y127" s="5"/>
      <c r="Z127" s="18"/>
      <c r="AA127" s="18"/>
      <c r="AB127" s="1">
        <f t="shared" si="43"/>
        <v>-85</v>
      </c>
      <c r="AC127" s="1">
        <f t="shared" si="54"/>
        <v>-85</v>
      </c>
      <c r="AD127" s="1">
        <v>0.2</v>
      </c>
      <c r="AE127" s="1">
        <v>6</v>
      </c>
      <c r="AF127" s="1">
        <v>4.8</v>
      </c>
      <c r="AG127" s="1">
        <v>-0.4</v>
      </c>
      <c r="AH127" s="1">
        <v>-0.2</v>
      </c>
      <c r="AI127" s="1">
        <v>-0.8</v>
      </c>
      <c r="AJ127" s="1">
        <v>-2.6</v>
      </c>
      <c r="AK127" s="1">
        <v>18</v>
      </c>
      <c r="AL127" s="1">
        <v>19</v>
      </c>
      <c r="AM127" s="1">
        <v>-2</v>
      </c>
      <c r="AN127" s="1"/>
      <c r="AO127" s="1">
        <f t="shared" si="44"/>
        <v>0</v>
      </c>
      <c r="AP127" s="1">
        <f t="shared" si="45"/>
        <v>0</v>
      </c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25">
      <c r="A128" s="16" t="s">
        <v>178</v>
      </c>
      <c r="B128" s="1" t="s">
        <v>44</v>
      </c>
      <c r="C128" s="1"/>
      <c r="D128" s="1"/>
      <c r="E128" s="1"/>
      <c r="F128" s="1"/>
      <c r="G128" s="7">
        <v>0.3</v>
      </c>
      <c r="H128" s="1">
        <v>40</v>
      </c>
      <c r="I128" s="15" t="s">
        <v>42</v>
      </c>
      <c r="J128" s="1"/>
      <c r="K128" s="1">
        <v>1</v>
      </c>
      <c r="L128" s="1">
        <f t="shared" si="51"/>
        <v>-1</v>
      </c>
      <c r="M128" s="1"/>
      <c r="N128" s="1"/>
      <c r="O128" s="1">
        <v>103.6</v>
      </c>
      <c r="P128" s="1">
        <v>52.800000000000011</v>
      </c>
      <c r="Q128" s="1"/>
      <c r="R128" s="1"/>
      <c r="S128" s="1">
        <v>0</v>
      </c>
      <c r="T128" s="23"/>
      <c r="U128" s="1">
        <f t="shared" si="52"/>
        <v>0</v>
      </c>
      <c r="V128" s="5"/>
      <c r="W128" s="5">
        <f t="shared" si="41"/>
        <v>0</v>
      </c>
      <c r="X128" s="5">
        <f t="shared" si="42"/>
        <v>0</v>
      </c>
      <c r="Y128" s="5"/>
      <c r="Z128" s="18"/>
      <c r="AA128" s="18"/>
      <c r="AB128" s="1" t="e">
        <f t="shared" si="43"/>
        <v>#DIV/0!</v>
      </c>
      <c r="AC128" s="1" t="e">
        <f t="shared" si="54"/>
        <v>#DIV/0!</v>
      </c>
      <c r="AD128" s="1">
        <v>2.4</v>
      </c>
      <c r="AE128" s="1">
        <v>13.6</v>
      </c>
      <c r="AF128" s="1">
        <v>11.2</v>
      </c>
      <c r="AG128" s="1">
        <v>0</v>
      </c>
      <c r="AH128" s="1">
        <v>2.2000000000000002</v>
      </c>
      <c r="AI128" s="1">
        <v>4.5999999999999996</v>
      </c>
      <c r="AJ128" s="1">
        <v>1.2</v>
      </c>
      <c r="AK128" s="1">
        <v>-1.8</v>
      </c>
      <c r="AL128" s="1">
        <v>-0.6</v>
      </c>
      <c r="AM128" s="1">
        <v>-1.4</v>
      </c>
      <c r="AN128" s="1"/>
      <c r="AO128" s="1">
        <f t="shared" si="44"/>
        <v>0</v>
      </c>
      <c r="AP128" s="1">
        <f t="shared" si="45"/>
        <v>0</v>
      </c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x14ac:dyDescent="0.25">
      <c r="A129" s="1" t="s">
        <v>179</v>
      </c>
      <c r="B129" s="1" t="s">
        <v>38</v>
      </c>
      <c r="C129" s="1">
        <v>280.166</v>
      </c>
      <c r="D129" s="1">
        <v>56.335000000000001</v>
      </c>
      <c r="E129" s="1">
        <v>254.65799999999999</v>
      </c>
      <c r="F129" s="1">
        <v>39.984000000000002</v>
      </c>
      <c r="G129" s="7">
        <v>1</v>
      </c>
      <c r="H129" s="1">
        <v>50</v>
      </c>
      <c r="I129" s="1" t="s">
        <v>39</v>
      </c>
      <c r="J129" s="1"/>
      <c r="K129" s="1">
        <v>248.85</v>
      </c>
      <c r="L129" s="1">
        <f t="shared" si="51"/>
        <v>5.8079999999999927</v>
      </c>
      <c r="M129" s="1"/>
      <c r="N129" s="1"/>
      <c r="O129" s="1">
        <v>104.1514050000001</v>
      </c>
      <c r="P129" s="1">
        <v>95.720247629999989</v>
      </c>
      <c r="Q129" s="1">
        <v>144.18012236999999</v>
      </c>
      <c r="R129" s="1"/>
      <c r="S129" s="1">
        <v>28.476024999999879</v>
      </c>
      <c r="T129" s="23"/>
      <c r="U129" s="1">
        <f t="shared" si="52"/>
        <v>50.931599999999996</v>
      </c>
      <c r="V129" s="5">
        <f t="shared" ref="V129:V131" si="61">11.5*U129-S129-R129-Q129-P129-O129-F129</f>
        <v>173.2016000000001</v>
      </c>
      <c r="W129" s="5">
        <f t="shared" si="41"/>
        <v>173.2016000000001</v>
      </c>
      <c r="X129" s="5">
        <f t="shared" si="42"/>
        <v>173.2016000000001</v>
      </c>
      <c r="Y129" s="5"/>
      <c r="Z129" s="18"/>
      <c r="AA129" s="18"/>
      <c r="AB129" s="1">
        <f t="shared" si="43"/>
        <v>11.500000000000004</v>
      </c>
      <c r="AC129" s="1">
        <f t="shared" si="54"/>
        <v>8.0993292965467401</v>
      </c>
      <c r="AD129" s="1">
        <v>52.135599999999997</v>
      </c>
      <c r="AE129" s="1">
        <v>56.380999999999993</v>
      </c>
      <c r="AF129" s="1">
        <v>47.3718</v>
      </c>
      <c r="AG129" s="1">
        <v>45.901799999999987</v>
      </c>
      <c r="AH129" s="1">
        <v>47.190600000000003</v>
      </c>
      <c r="AI129" s="1">
        <v>48.5548</v>
      </c>
      <c r="AJ129" s="1">
        <v>73.612200000000001</v>
      </c>
      <c r="AK129" s="1">
        <v>75.552800000000005</v>
      </c>
      <c r="AL129" s="1">
        <v>57.231399999999987</v>
      </c>
      <c r="AM129" s="1">
        <v>55.252400000000002</v>
      </c>
      <c r="AN129" s="1"/>
      <c r="AO129" s="1">
        <f t="shared" si="44"/>
        <v>173</v>
      </c>
      <c r="AP129" s="1">
        <f t="shared" si="45"/>
        <v>0</v>
      </c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x14ac:dyDescent="0.25">
      <c r="A130" s="16" t="s">
        <v>180</v>
      </c>
      <c r="B130" s="1" t="s">
        <v>44</v>
      </c>
      <c r="C130" s="1"/>
      <c r="D130" s="1"/>
      <c r="E130" s="1"/>
      <c r="F130" s="1"/>
      <c r="G130" s="7">
        <v>0.3</v>
      </c>
      <c r="H130" s="1">
        <v>40</v>
      </c>
      <c r="I130" s="15" t="s">
        <v>42</v>
      </c>
      <c r="J130" s="1"/>
      <c r="K130" s="1">
        <v>1</v>
      </c>
      <c r="L130" s="1">
        <f t="shared" si="51"/>
        <v>-1</v>
      </c>
      <c r="M130" s="1"/>
      <c r="N130" s="1"/>
      <c r="O130" s="1">
        <v>24.5</v>
      </c>
      <c r="P130" s="1">
        <v>60</v>
      </c>
      <c r="Q130" s="1"/>
      <c r="R130" s="1"/>
      <c r="S130" s="1">
        <v>50</v>
      </c>
      <c r="T130" s="23"/>
      <c r="U130" s="1">
        <f t="shared" si="52"/>
        <v>0</v>
      </c>
      <c r="V130" s="5"/>
      <c r="W130" s="5">
        <v>50</v>
      </c>
      <c r="X130" s="5">
        <f t="shared" si="42"/>
        <v>50</v>
      </c>
      <c r="Y130" s="5"/>
      <c r="Z130" s="18">
        <f>VLOOKUP(A130,[1]Sheet!$A:$W,22,0)</f>
        <v>300</v>
      </c>
      <c r="AA130" s="18"/>
      <c r="AB130" s="1" t="e">
        <f t="shared" si="43"/>
        <v>#DIV/0!</v>
      </c>
      <c r="AC130" s="1" t="e">
        <f t="shared" si="54"/>
        <v>#DIV/0!</v>
      </c>
      <c r="AD130" s="1">
        <v>1.2</v>
      </c>
      <c r="AE130" s="1">
        <v>4.4000000000000004</v>
      </c>
      <c r="AF130" s="1">
        <v>3</v>
      </c>
      <c r="AG130" s="1">
        <v>-0.2</v>
      </c>
      <c r="AH130" s="1">
        <v>0</v>
      </c>
      <c r="AI130" s="1">
        <v>0</v>
      </c>
      <c r="AJ130" s="1">
        <v>1</v>
      </c>
      <c r="AK130" s="1">
        <v>1</v>
      </c>
      <c r="AL130" s="1">
        <v>-0.2</v>
      </c>
      <c r="AM130" s="1">
        <v>-0.2</v>
      </c>
      <c r="AN130" s="1"/>
      <c r="AO130" s="1">
        <f t="shared" si="44"/>
        <v>15</v>
      </c>
      <c r="AP130" s="1">
        <f t="shared" si="45"/>
        <v>0</v>
      </c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x14ac:dyDescent="0.25">
      <c r="A131" s="1" t="s">
        <v>181</v>
      </c>
      <c r="B131" s="1" t="s">
        <v>44</v>
      </c>
      <c r="C131" s="1">
        <v>94</v>
      </c>
      <c r="D131" s="1">
        <v>30</v>
      </c>
      <c r="E131" s="1">
        <v>73</v>
      </c>
      <c r="F131" s="1">
        <v>29</v>
      </c>
      <c r="G131" s="7">
        <v>0.12</v>
      </c>
      <c r="H131" s="1">
        <v>45</v>
      </c>
      <c r="I131" s="15" t="s">
        <v>42</v>
      </c>
      <c r="J131" s="1"/>
      <c r="K131" s="1">
        <v>75</v>
      </c>
      <c r="L131" s="1">
        <f t="shared" si="51"/>
        <v>-2</v>
      </c>
      <c r="M131" s="1"/>
      <c r="N131" s="1"/>
      <c r="O131" s="1">
        <v>27.890000000000011</v>
      </c>
      <c r="P131" s="1">
        <v>45.740000000000009</v>
      </c>
      <c r="Q131" s="1"/>
      <c r="R131" s="1"/>
      <c r="S131" s="1">
        <v>10.76999999999998</v>
      </c>
      <c r="T131" s="23"/>
      <c r="U131" s="1">
        <f t="shared" si="52"/>
        <v>14.6</v>
      </c>
      <c r="V131" s="5">
        <f t="shared" si="61"/>
        <v>54.5</v>
      </c>
      <c r="W131" s="5">
        <f t="shared" si="41"/>
        <v>54.5</v>
      </c>
      <c r="X131" s="5">
        <f t="shared" si="42"/>
        <v>54.5</v>
      </c>
      <c r="Y131" s="5"/>
      <c r="Z131" s="18"/>
      <c r="AA131" s="18"/>
      <c r="AB131" s="1">
        <f t="shared" si="43"/>
        <v>11.5</v>
      </c>
      <c r="AC131" s="1">
        <f t="shared" si="54"/>
        <v>7.7671232876712333</v>
      </c>
      <c r="AD131" s="1">
        <v>14.8</v>
      </c>
      <c r="AE131" s="1">
        <v>14.8</v>
      </c>
      <c r="AF131" s="1">
        <v>14.8</v>
      </c>
      <c r="AG131" s="1">
        <v>13.4</v>
      </c>
      <c r="AH131" s="1">
        <v>13.6</v>
      </c>
      <c r="AI131" s="1">
        <v>16.8</v>
      </c>
      <c r="AJ131" s="1">
        <v>16.2</v>
      </c>
      <c r="AK131" s="1">
        <v>14.2</v>
      </c>
      <c r="AL131" s="1">
        <v>13.8</v>
      </c>
      <c r="AM131" s="1">
        <v>10</v>
      </c>
      <c r="AN131" s="1"/>
      <c r="AO131" s="1">
        <f t="shared" si="44"/>
        <v>7</v>
      </c>
      <c r="AP131" s="1">
        <f t="shared" si="45"/>
        <v>0</v>
      </c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x14ac:dyDescent="0.25">
      <c r="A132" s="9" t="s">
        <v>182</v>
      </c>
      <c r="B132" s="9" t="s">
        <v>44</v>
      </c>
      <c r="C132" s="9">
        <v>9</v>
      </c>
      <c r="D132" s="9">
        <v>86</v>
      </c>
      <c r="E132" s="12">
        <v>69</v>
      </c>
      <c r="F132" s="12">
        <v>8</v>
      </c>
      <c r="G132" s="10">
        <v>0</v>
      </c>
      <c r="H132" s="9"/>
      <c r="I132" s="9" t="s">
        <v>183</v>
      </c>
      <c r="J132" s="9" t="s">
        <v>95</v>
      </c>
      <c r="K132" s="9">
        <v>79</v>
      </c>
      <c r="L132" s="9">
        <f t="shared" si="51"/>
        <v>-10</v>
      </c>
      <c r="M132" s="9"/>
      <c r="N132" s="9"/>
      <c r="O132" s="9">
        <v>0</v>
      </c>
      <c r="P132" s="9">
        <v>0</v>
      </c>
      <c r="Q132" s="9"/>
      <c r="R132" s="9"/>
      <c r="S132" s="9">
        <v>0</v>
      </c>
      <c r="T132" s="26"/>
      <c r="U132" s="9">
        <f t="shared" si="52"/>
        <v>13.8</v>
      </c>
      <c r="V132" s="11"/>
      <c r="W132" s="5">
        <f t="shared" si="41"/>
        <v>0</v>
      </c>
      <c r="X132" s="5">
        <f t="shared" si="42"/>
        <v>0</v>
      </c>
      <c r="Y132" s="5"/>
      <c r="Z132" s="18"/>
      <c r="AA132" s="18"/>
      <c r="AB132" s="1">
        <f t="shared" si="43"/>
        <v>0.57971014492753625</v>
      </c>
      <c r="AC132" s="9">
        <f t="shared" si="54"/>
        <v>0.57971014492753625</v>
      </c>
      <c r="AD132" s="9">
        <v>20.399999999999999</v>
      </c>
      <c r="AE132" s="9">
        <v>27.6</v>
      </c>
      <c r="AF132" s="9">
        <v>24.6</v>
      </c>
      <c r="AG132" s="9">
        <v>23.8</v>
      </c>
      <c r="AH132" s="9">
        <v>19</v>
      </c>
      <c r="AI132" s="9">
        <v>19.399999999999999</v>
      </c>
      <c r="AJ132" s="9">
        <v>19.2</v>
      </c>
      <c r="AK132" s="9">
        <v>21.6</v>
      </c>
      <c r="AL132" s="9">
        <v>26</v>
      </c>
      <c r="AM132" s="9">
        <v>31</v>
      </c>
      <c r="AN132" s="9"/>
      <c r="AO132" s="1">
        <f t="shared" si="44"/>
        <v>0</v>
      </c>
      <c r="AP132" s="1">
        <f t="shared" si="45"/>
        <v>0</v>
      </c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25">
      <c r="A133" s="1" t="s">
        <v>184</v>
      </c>
      <c r="B133" s="1" t="s">
        <v>38</v>
      </c>
      <c r="C133" s="1"/>
      <c r="D133" s="1"/>
      <c r="E133" s="1"/>
      <c r="F133" s="1"/>
      <c r="G133" s="7">
        <v>1</v>
      </c>
      <c r="H133" s="1"/>
      <c r="I133" s="1" t="s">
        <v>39</v>
      </c>
      <c r="J133" s="1"/>
      <c r="K133" s="1"/>
      <c r="L133" s="1">
        <f t="shared" si="51"/>
        <v>0</v>
      </c>
      <c r="M133" s="1"/>
      <c r="N133" s="1"/>
      <c r="O133" s="1">
        <v>0</v>
      </c>
      <c r="P133" s="1">
        <v>0</v>
      </c>
      <c r="Q133" s="1"/>
      <c r="R133" s="1"/>
      <c r="S133" s="1">
        <v>0</v>
      </c>
      <c r="T133" s="23"/>
      <c r="U133" s="1">
        <f t="shared" si="52"/>
        <v>0</v>
      </c>
      <c r="V133" s="5"/>
      <c r="W133" s="5">
        <f>Z133</f>
        <v>300</v>
      </c>
      <c r="X133" s="5">
        <f t="shared" si="42"/>
        <v>160.19999999999999</v>
      </c>
      <c r="Y133" s="5">
        <f>W133*$Y$1</f>
        <v>139.80000000000001</v>
      </c>
      <c r="Z133" s="18">
        <f>VLOOKUP(A133,[1]Sheet!$A:$W,22,0)</f>
        <v>300</v>
      </c>
      <c r="AA133" s="18" t="str">
        <f>VLOOKUP(A133,[1]Sheet!$A:$W,23,0)</f>
        <v>промо</v>
      </c>
      <c r="AB133" s="1" t="e">
        <f t="shared" si="43"/>
        <v>#DIV/0!</v>
      </c>
      <c r="AC133" s="1" t="e">
        <f t="shared" si="54"/>
        <v>#DIV/0!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 t="s">
        <v>185</v>
      </c>
      <c r="AO133" s="1">
        <f t="shared" si="44"/>
        <v>160</v>
      </c>
      <c r="AP133" s="1">
        <f t="shared" si="45"/>
        <v>140</v>
      </c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x14ac:dyDescent="0.25">
      <c r="A134" s="1" t="s">
        <v>186</v>
      </c>
      <c r="B134" s="1" t="s">
        <v>38</v>
      </c>
      <c r="C134" s="1"/>
      <c r="D134" s="1"/>
      <c r="E134" s="1"/>
      <c r="F134" s="1"/>
      <c r="G134" s="7">
        <v>1</v>
      </c>
      <c r="H134" s="1"/>
      <c r="I134" s="1" t="s">
        <v>39</v>
      </c>
      <c r="J134" s="1"/>
      <c r="K134" s="1"/>
      <c r="L134" s="1">
        <f t="shared" ref="L134:L135" si="62">E134-K134</f>
        <v>0</v>
      </c>
      <c r="M134" s="1"/>
      <c r="N134" s="1"/>
      <c r="O134" s="1">
        <v>100</v>
      </c>
      <c r="P134" s="1">
        <v>0</v>
      </c>
      <c r="Q134" s="1"/>
      <c r="R134" s="1"/>
      <c r="S134" s="1">
        <v>50</v>
      </c>
      <c r="T134" s="23"/>
      <c r="U134" s="1">
        <f t="shared" si="52"/>
        <v>0</v>
      </c>
      <c r="V134" s="5"/>
      <c r="W134" s="5">
        <f t="shared" si="41"/>
        <v>0</v>
      </c>
      <c r="X134" s="5">
        <f t="shared" si="42"/>
        <v>0</v>
      </c>
      <c r="Y134" s="5"/>
      <c r="Z134" s="18"/>
      <c r="AA134" s="18"/>
      <c r="AB134" s="1" t="e">
        <f t="shared" si="43"/>
        <v>#DIV/0!</v>
      </c>
      <c r="AC134" s="1" t="e">
        <f t="shared" si="54"/>
        <v>#DIV/0!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 t="s">
        <v>187</v>
      </c>
      <c r="AO134" s="1">
        <f t="shared" si="44"/>
        <v>0</v>
      </c>
      <c r="AP134" s="1">
        <f t="shared" si="45"/>
        <v>0</v>
      </c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25">
      <c r="A135" s="1" t="s">
        <v>188</v>
      </c>
      <c r="B135" s="1" t="s">
        <v>38</v>
      </c>
      <c r="C135" s="1"/>
      <c r="D135" s="1"/>
      <c r="E135" s="1"/>
      <c r="F135" s="1"/>
      <c r="G135" s="7">
        <v>1</v>
      </c>
      <c r="H135" s="1"/>
      <c r="I135" s="1" t="s">
        <v>39</v>
      </c>
      <c r="J135" s="1"/>
      <c r="K135" s="1"/>
      <c r="L135" s="1">
        <f t="shared" si="62"/>
        <v>0</v>
      </c>
      <c r="M135" s="1"/>
      <c r="N135" s="1"/>
      <c r="O135" s="1">
        <v>100</v>
      </c>
      <c r="P135" s="1">
        <v>0</v>
      </c>
      <c r="Q135" s="1"/>
      <c r="R135" s="1"/>
      <c r="S135" s="1">
        <v>50</v>
      </c>
      <c r="T135" s="23"/>
      <c r="U135" s="1">
        <f t="shared" si="52"/>
        <v>0</v>
      </c>
      <c r="V135" s="5"/>
      <c r="W135" s="5">
        <f t="shared" ref="W135" si="63">V135</f>
        <v>0</v>
      </c>
      <c r="X135" s="5">
        <f t="shared" ref="X135" si="64">W135-Y135</f>
        <v>0</v>
      </c>
      <c r="Y135" s="5"/>
      <c r="Z135" s="18"/>
      <c r="AA135" s="18"/>
      <c r="AB135" s="1" t="e">
        <f t="shared" ref="AB135" si="65">(F135+O135+P135+Q135+R135+S135+W135)/U135</f>
        <v>#DIV/0!</v>
      </c>
      <c r="AC135" s="1" t="e">
        <f t="shared" si="54"/>
        <v>#DIV/0!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 t="s">
        <v>187</v>
      </c>
      <c r="AO135" s="1">
        <f t="shared" ref="AO135" si="66">ROUND(G135*X135,0)</f>
        <v>0</v>
      </c>
      <c r="AP135" s="1">
        <f t="shared" ref="AP135" si="67">ROUND(G135*Y135,0)</f>
        <v>0</v>
      </c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3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3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23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23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23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23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23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23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23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23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23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23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23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23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23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23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23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23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23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23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23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23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23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23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23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23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23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23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23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23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23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23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23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23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23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23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23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23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23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23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23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23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23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23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23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23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23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23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23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23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23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23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23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23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23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23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23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23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23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23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23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23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23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23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23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23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23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23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23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23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23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23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23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23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23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23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23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23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23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23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23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23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23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23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23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23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23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23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23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23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23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23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23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3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23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23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23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23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23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23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23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23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23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23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23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23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3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3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3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3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3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3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3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3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3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3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3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3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23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23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23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23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23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23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23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23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23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23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23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23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23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23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23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23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23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23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23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23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23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23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23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23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23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23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23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23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23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23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23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23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23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23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23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23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23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23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23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23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23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23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23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23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23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23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23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23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23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23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23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23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23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23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23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23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23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23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23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23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23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23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23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23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23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23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23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23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23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23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23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23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23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23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23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23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23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23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23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23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23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23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23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23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23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23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23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23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23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23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23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23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23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23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23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23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23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23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23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23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23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23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23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23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23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23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23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23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23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23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23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23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23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23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23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23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23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23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23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23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23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23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23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23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23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23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23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23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23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23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23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23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23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23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23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23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23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23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23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23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23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23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23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23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23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3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23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23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23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23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23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23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3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23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3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3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3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3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3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3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3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3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3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3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3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3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3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3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3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3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3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3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3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3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3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3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3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3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3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3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3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3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3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3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3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3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3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3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3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3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3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3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3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3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3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3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3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3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3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3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3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3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3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3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3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3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3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3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3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3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3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3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3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3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3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3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3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3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3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3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3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3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3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3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3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3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3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3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3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3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3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3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3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3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3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3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3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3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23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23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23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23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23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23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23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</sheetData>
  <autoFilter ref="A3:AO135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2026-10-22T16:40:28Z</dcterms:created>
  <dcterms:modified xsi:type="dcterms:W3CDTF">2026-10-23T12:38:05Z</dcterms:modified>
</cp:coreProperties>
</file>