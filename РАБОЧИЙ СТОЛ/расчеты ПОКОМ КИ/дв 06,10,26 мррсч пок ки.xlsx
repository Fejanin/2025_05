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51F700F-548C-4849-B472-DAA63769B9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30" i="1" l="1"/>
  <c r="Z125" i="1"/>
  <c r="Z105" i="1"/>
  <c r="Z53" i="1"/>
  <c r="R132" i="1"/>
  <c r="U132" i="1" s="1"/>
  <c r="L132" i="1"/>
  <c r="R131" i="1"/>
  <c r="L131" i="1"/>
  <c r="R130" i="1"/>
  <c r="U130" i="1" s="1"/>
  <c r="L130" i="1"/>
  <c r="R129" i="1"/>
  <c r="L129" i="1"/>
  <c r="R128" i="1"/>
  <c r="U128" i="1" s="1"/>
  <c r="L128" i="1"/>
  <c r="R127" i="1"/>
  <c r="L127" i="1"/>
  <c r="R126" i="1"/>
  <c r="T126" i="1" s="1"/>
  <c r="L126" i="1"/>
  <c r="R125" i="1"/>
  <c r="U125" i="1" s="1"/>
  <c r="L125" i="1"/>
  <c r="R124" i="1"/>
  <c r="L124" i="1"/>
  <c r="R123" i="1"/>
  <c r="U123" i="1" s="1"/>
  <c r="L123" i="1"/>
  <c r="F122" i="1"/>
  <c r="E122" i="1"/>
  <c r="L122" i="1" s="1"/>
  <c r="Z121" i="1"/>
  <c r="R121" i="1"/>
  <c r="U121" i="1" s="1"/>
  <c r="L121" i="1"/>
  <c r="R120" i="1"/>
  <c r="U120" i="1" s="1"/>
  <c r="L120" i="1"/>
  <c r="R119" i="1"/>
  <c r="U119" i="1" s="1"/>
  <c r="L119" i="1"/>
  <c r="R118" i="1"/>
  <c r="L118" i="1"/>
  <c r="Z117" i="1"/>
  <c r="R117" i="1"/>
  <c r="U117" i="1" s="1"/>
  <c r="L117" i="1"/>
  <c r="R116" i="1"/>
  <c r="U116" i="1" s="1"/>
  <c r="L116" i="1"/>
  <c r="R115" i="1"/>
  <c r="U115" i="1" s="1"/>
  <c r="L115" i="1"/>
  <c r="R114" i="1"/>
  <c r="L114" i="1"/>
  <c r="Z113" i="1"/>
  <c r="R113" i="1"/>
  <c r="U113" i="1" s="1"/>
  <c r="L113" i="1"/>
  <c r="R112" i="1"/>
  <c r="U112" i="1" s="1"/>
  <c r="L112" i="1"/>
  <c r="R111" i="1"/>
  <c r="U111" i="1" s="1"/>
  <c r="L111" i="1"/>
  <c r="R110" i="1"/>
  <c r="U110" i="1" s="1"/>
  <c r="L110" i="1"/>
  <c r="R109" i="1"/>
  <c r="U109" i="1" s="1"/>
  <c r="L109" i="1"/>
  <c r="R108" i="1"/>
  <c r="U108" i="1" s="1"/>
  <c r="L108" i="1"/>
  <c r="R107" i="1"/>
  <c r="U107" i="1" s="1"/>
  <c r="L107" i="1"/>
  <c r="R106" i="1"/>
  <c r="L106" i="1"/>
  <c r="R105" i="1"/>
  <c r="U105" i="1" s="1"/>
  <c r="L105" i="1"/>
  <c r="R104" i="1"/>
  <c r="U104" i="1" s="1"/>
  <c r="L104" i="1"/>
  <c r="R103" i="1"/>
  <c r="U103" i="1" s="1"/>
  <c r="L103" i="1"/>
  <c r="R102" i="1"/>
  <c r="U102" i="1" s="1"/>
  <c r="L102" i="1"/>
  <c r="R101" i="1"/>
  <c r="L101" i="1"/>
  <c r="R100" i="1"/>
  <c r="L100" i="1"/>
  <c r="F100" i="1"/>
  <c r="U100" i="1" s="1"/>
  <c r="R99" i="1"/>
  <c r="L99" i="1"/>
  <c r="R98" i="1"/>
  <c r="S98" i="1" s="1"/>
  <c r="Z98" i="1" s="1"/>
  <c r="L98" i="1"/>
  <c r="R97" i="1"/>
  <c r="L97" i="1"/>
  <c r="R96" i="1"/>
  <c r="S96" i="1" s="1"/>
  <c r="Z96" i="1" s="1"/>
  <c r="L96" i="1"/>
  <c r="R95" i="1"/>
  <c r="T95" i="1" s="1"/>
  <c r="L95" i="1"/>
  <c r="R94" i="1"/>
  <c r="L94" i="1"/>
  <c r="R93" i="1"/>
  <c r="U93" i="1" s="1"/>
  <c r="L93" i="1"/>
  <c r="F92" i="1"/>
  <c r="E92" i="1"/>
  <c r="L92" i="1" s="1"/>
  <c r="R91" i="1"/>
  <c r="U91" i="1" s="1"/>
  <c r="L91" i="1"/>
  <c r="R90" i="1"/>
  <c r="Z90" i="1" s="1"/>
  <c r="L90" i="1"/>
  <c r="R89" i="1"/>
  <c r="T89" i="1" s="1"/>
  <c r="L89" i="1"/>
  <c r="R88" i="1"/>
  <c r="L88" i="1"/>
  <c r="R87" i="1"/>
  <c r="U87" i="1" s="1"/>
  <c r="L87" i="1"/>
  <c r="R86" i="1"/>
  <c r="U86" i="1" s="1"/>
  <c r="L86" i="1"/>
  <c r="R85" i="1"/>
  <c r="U85" i="1" s="1"/>
  <c r="L85" i="1"/>
  <c r="R84" i="1"/>
  <c r="L84" i="1"/>
  <c r="R83" i="1"/>
  <c r="L83" i="1"/>
  <c r="R82" i="1"/>
  <c r="Z82" i="1" s="1"/>
  <c r="L82" i="1"/>
  <c r="R81" i="1"/>
  <c r="S81" i="1" s="1"/>
  <c r="L81" i="1"/>
  <c r="R80" i="1"/>
  <c r="Z80" i="1" s="1"/>
  <c r="L80" i="1"/>
  <c r="R79" i="1"/>
  <c r="L79" i="1"/>
  <c r="R78" i="1"/>
  <c r="L78" i="1"/>
  <c r="R77" i="1"/>
  <c r="L77" i="1"/>
  <c r="R76" i="1"/>
  <c r="L76" i="1"/>
  <c r="R75" i="1"/>
  <c r="L75" i="1"/>
  <c r="R74" i="1"/>
  <c r="Z74" i="1" s="1"/>
  <c r="L74" i="1"/>
  <c r="R73" i="1"/>
  <c r="L73" i="1"/>
  <c r="R72" i="1"/>
  <c r="U72" i="1" s="1"/>
  <c r="L72" i="1"/>
  <c r="R71" i="1"/>
  <c r="Z71" i="1" s="1"/>
  <c r="L71" i="1"/>
  <c r="R70" i="1"/>
  <c r="L70" i="1"/>
  <c r="R69" i="1"/>
  <c r="U69" i="1" s="1"/>
  <c r="L69" i="1"/>
  <c r="R68" i="1"/>
  <c r="L68" i="1"/>
  <c r="R67" i="1"/>
  <c r="Z67" i="1" s="1"/>
  <c r="L67" i="1"/>
  <c r="R66" i="1"/>
  <c r="L66" i="1"/>
  <c r="R65" i="1"/>
  <c r="U65" i="1" s="1"/>
  <c r="L65" i="1"/>
  <c r="R64" i="1"/>
  <c r="L64" i="1"/>
  <c r="R63" i="1"/>
  <c r="Z63" i="1" s="1"/>
  <c r="L63" i="1"/>
  <c r="R62" i="1"/>
  <c r="L62" i="1"/>
  <c r="R61" i="1"/>
  <c r="U61" i="1" s="1"/>
  <c r="L61" i="1"/>
  <c r="R60" i="1"/>
  <c r="L60" i="1"/>
  <c r="F59" i="1"/>
  <c r="E59" i="1"/>
  <c r="L59" i="1" s="1"/>
  <c r="R58" i="1"/>
  <c r="L58" i="1"/>
  <c r="Z57" i="1"/>
  <c r="R57" i="1"/>
  <c r="L57" i="1"/>
  <c r="R56" i="1"/>
  <c r="L56" i="1"/>
  <c r="R55" i="1"/>
  <c r="S55" i="1" s="1"/>
  <c r="Z55" i="1" s="1"/>
  <c r="L55" i="1"/>
  <c r="R54" i="1"/>
  <c r="L54" i="1"/>
  <c r="R53" i="1"/>
  <c r="L53" i="1"/>
  <c r="R52" i="1"/>
  <c r="L52" i="1"/>
  <c r="R51" i="1"/>
  <c r="L51" i="1"/>
  <c r="R50" i="1"/>
  <c r="L50" i="1"/>
  <c r="Z49" i="1"/>
  <c r="R49" i="1"/>
  <c r="L49" i="1"/>
  <c r="R48" i="1"/>
  <c r="L48" i="1"/>
  <c r="R47" i="1"/>
  <c r="Z47" i="1" s="1"/>
  <c r="L47" i="1"/>
  <c r="R46" i="1"/>
  <c r="L46" i="1"/>
  <c r="R45" i="1"/>
  <c r="Z45" i="1" s="1"/>
  <c r="L45" i="1"/>
  <c r="R44" i="1"/>
  <c r="L44" i="1"/>
  <c r="R43" i="1"/>
  <c r="L43" i="1"/>
  <c r="R42" i="1"/>
  <c r="L42" i="1"/>
  <c r="R41" i="1"/>
  <c r="Z41" i="1" s="1"/>
  <c r="L41" i="1"/>
  <c r="R40" i="1"/>
  <c r="L40" i="1"/>
  <c r="R39" i="1"/>
  <c r="Z39" i="1" s="1"/>
  <c r="L39" i="1"/>
  <c r="R38" i="1"/>
  <c r="L38" i="1"/>
  <c r="R37" i="1"/>
  <c r="Z37" i="1" s="1"/>
  <c r="L37" i="1"/>
  <c r="R36" i="1"/>
  <c r="T36" i="1" s="1"/>
  <c r="L36" i="1"/>
  <c r="R35" i="1"/>
  <c r="L35" i="1"/>
  <c r="R34" i="1"/>
  <c r="L34" i="1"/>
  <c r="R33" i="1"/>
  <c r="L33" i="1"/>
  <c r="R32" i="1"/>
  <c r="Z32" i="1" s="1"/>
  <c r="L32" i="1"/>
  <c r="R31" i="1"/>
  <c r="L31" i="1"/>
  <c r="R30" i="1"/>
  <c r="Z30" i="1" s="1"/>
  <c r="L30" i="1"/>
  <c r="R29" i="1"/>
  <c r="L29" i="1"/>
  <c r="R28" i="1"/>
  <c r="U28" i="1" s="1"/>
  <c r="L28" i="1"/>
  <c r="R27" i="1"/>
  <c r="S27" i="1" s="1"/>
  <c r="Z27" i="1" s="1"/>
  <c r="L27" i="1"/>
  <c r="R26" i="1"/>
  <c r="L26" i="1"/>
  <c r="R25" i="1"/>
  <c r="Z25" i="1" s="1"/>
  <c r="L25" i="1"/>
  <c r="R24" i="1"/>
  <c r="L24" i="1"/>
  <c r="R23" i="1"/>
  <c r="U23" i="1" s="1"/>
  <c r="L23" i="1"/>
  <c r="R22" i="1"/>
  <c r="L22" i="1"/>
  <c r="R21" i="1"/>
  <c r="L21" i="1"/>
  <c r="R20" i="1"/>
  <c r="L20" i="1"/>
  <c r="R19" i="1"/>
  <c r="T19" i="1" s="1"/>
  <c r="L19" i="1"/>
  <c r="R18" i="1"/>
  <c r="T18" i="1" s="1"/>
  <c r="L18" i="1"/>
  <c r="R17" i="1"/>
  <c r="L17" i="1"/>
  <c r="R16" i="1"/>
  <c r="Z16" i="1" s="1"/>
  <c r="L16" i="1"/>
  <c r="R15" i="1"/>
  <c r="L15" i="1"/>
  <c r="R14" i="1"/>
  <c r="Z14" i="1" s="1"/>
  <c r="L14" i="1"/>
  <c r="R13" i="1"/>
  <c r="L13" i="1"/>
  <c r="R12" i="1"/>
  <c r="Z12" i="1" s="1"/>
  <c r="L12" i="1"/>
  <c r="R11" i="1"/>
  <c r="L11" i="1"/>
  <c r="R10" i="1"/>
  <c r="L10" i="1"/>
  <c r="R9" i="1"/>
  <c r="T9" i="1" s="1"/>
  <c r="L9" i="1"/>
  <c r="R8" i="1"/>
  <c r="L8" i="1"/>
  <c r="R7" i="1"/>
  <c r="L7" i="1"/>
  <c r="R6" i="1"/>
  <c r="L6" i="1"/>
  <c r="X5" i="1"/>
  <c r="W5" i="1"/>
  <c r="V5" i="1"/>
  <c r="Q5" i="1"/>
  <c r="P5" i="1"/>
  <c r="O5" i="1"/>
  <c r="N5" i="1"/>
  <c r="M5" i="1"/>
  <c r="K5" i="1"/>
  <c r="T86" i="1" l="1"/>
  <c r="F5" i="1"/>
  <c r="U67" i="1"/>
  <c r="S115" i="1"/>
  <c r="Z115" i="1" s="1"/>
  <c r="T100" i="1"/>
  <c r="T121" i="1"/>
  <c r="U63" i="1"/>
  <c r="U71" i="1"/>
  <c r="T93" i="1"/>
  <c r="T109" i="1"/>
  <c r="T113" i="1"/>
  <c r="T117" i="1"/>
  <c r="Z123" i="1"/>
  <c r="Z100" i="1"/>
  <c r="U6" i="1"/>
  <c r="S6" i="1"/>
  <c r="Z6" i="1" s="1"/>
  <c r="U8" i="1"/>
  <c r="Z8" i="1"/>
  <c r="U13" i="1"/>
  <c r="S13" i="1"/>
  <c r="U31" i="1"/>
  <c r="Z31" i="1"/>
  <c r="U33" i="1"/>
  <c r="U35" i="1"/>
  <c r="Z35" i="1"/>
  <c r="U40" i="1"/>
  <c r="Z40" i="1"/>
  <c r="U42" i="1"/>
  <c r="U44" i="1"/>
  <c r="Z44" i="1"/>
  <c r="U48" i="1"/>
  <c r="S48" i="1"/>
  <c r="Z48" i="1" s="1"/>
  <c r="U50" i="1"/>
  <c r="U52" i="1"/>
  <c r="S52" i="1"/>
  <c r="Z52" i="1" s="1"/>
  <c r="U56" i="1"/>
  <c r="Z56" i="1"/>
  <c r="U58" i="1"/>
  <c r="S58" i="1"/>
  <c r="U60" i="1"/>
  <c r="S60" i="1"/>
  <c r="U64" i="1"/>
  <c r="U68" i="1"/>
  <c r="U79" i="1"/>
  <c r="U88" i="1"/>
  <c r="U97" i="1"/>
  <c r="Z97" i="1"/>
  <c r="Z114" i="1"/>
  <c r="U114" i="1"/>
  <c r="T129" i="1"/>
  <c r="Z129" i="1"/>
  <c r="Z7" i="1"/>
  <c r="Z22" i="1"/>
  <c r="Z61" i="1"/>
  <c r="Z65" i="1"/>
  <c r="S69" i="1"/>
  <c r="Z69" i="1" s="1"/>
  <c r="Z78" i="1"/>
  <c r="T115" i="1"/>
  <c r="Z128" i="1"/>
  <c r="U11" i="1"/>
  <c r="S11" i="1"/>
  <c r="Z11" i="1" s="1"/>
  <c r="U15" i="1"/>
  <c r="Z15" i="1"/>
  <c r="U17" i="1"/>
  <c r="U21" i="1"/>
  <c r="Z21" i="1"/>
  <c r="T23" i="1"/>
  <c r="U24" i="1"/>
  <c r="S24" i="1"/>
  <c r="Z24" i="1" s="1"/>
  <c r="U26" i="1"/>
  <c r="T27" i="1"/>
  <c r="U29" i="1"/>
  <c r="S29" i="1"/>
  <c r="T37" i="1"/>
  <c r="U38" i="1"/>
  <c r="T45" i="1"/>
  <c r="U46" i="1"/>
  <c r="T53" i="1"/>
  <c r="U54" i="1"/>
  <c r="U62" i="1"/>
  <c r="U66" i="1"/>
  <c r="S66" i="1"/>
  <c r="U70" i="1"/>
  <c r="T72" i="1"/>
  <c r="U73" i="1"/>
  <c r="Z73" i="1"/>
  <c r="U75" i="1"/>
  <c r="U77" i="1"/>
  <c r="Z77" i="1"/>
  <c r="U81" i="1"/>
  <c r="Z81" i="1"/>
  <c r="U83" i="1"/>
  <c r="U89" i="1"/>
  <c r="U94" i="1"/>
  <c r="Z94" i="1"/>
  <c r="U99" i="1"/>
  <c r="Z99" i="1"/>
  <c r="T105" i="1"/>
  <c r="Z106" i="1"/>
  <c r="U106" i="1"/>
  <c r="S118" i="1"/>
  <c r="Z118" i="1" s="1"/>
  <c r="U118" i="1"/>
  <c r="T123" i="1"/>
  <c r="Z124" i="1"/>
  <c r="Z10" i="1"/>
  <c r="Z20" i="1"/>
  <c r="Z34" i="1"/>
  <c r="Z43" i="1"/>
  <c r="Z51" i="1"/>
  <c r="Z76" i="1"/>
  <c r="Z84" i="1"/>
  <c r="Z101" i="1"/>
  <c r="S104" i="1"/>
  <c r="Z104" i="1" s="1"/>
  <c r="Z108" i="1"/>
  <c r="S112" i="1"/>
  <c r="Z112" i="1" s="1"/>
  <c r="Z116" i="1"/>
  <c r="Z120" i="1"/>
  <c r="Z127" i="1"/>
  <c r="S131" i="1"/>
  <c r="Z131" i="1" s="1"/>
  <c r="T14" i="1"/>
  <c r="T16" i="1"/>
  <c r="T25" i="1"/>
  <c r="T30" i="1"/>
  <c r="T32" i="1"/>
  <c r="T39" i="1"/>
  <c r="T41" i="1"/>
  <c r="T47" i="1"/>
  <c r="T49" i="1"/>
  <c r="T55" i="1"/>
  <c r="T57" i="1"/>
  <c r="T63" i="1"/>
  <c r="T65" i="1"/>
  <c r="T67" i="1"/>
  <c r="T71" i="1"/>
  <c r="T74" i="1"/>
  <c r="T80" i="1"/>
  <c r="T82" i="1"/>
  <c r="T90" i="1"/>
  <c r="T96" i="1"/>
  <c r="T98" i="1"/>
  <c r="R59" i="1"/>
  <c r="S59" i="1" s="1"/>
  <c r="Z59" i="1" s="1"/>
  <c r="R92" i="1"/>
  <c r="U92" i="1" s="1"/>
  <c r="R122" i="1"/>
  <c r="Z122" i="1" s="1"/>
  <c r="E5" i="1"/>
  <c r="L5" i="1"/>
  <c r="U7" i="1"/>
  <c r="T8" i="1"/>
  <c r="U9" i="1"/>
  <c r="T24" i="1"/>
  <c r="T28" i="1"/>
  <c r="T31" i="1"/>
  <c r="T40" i="1"/>
  <c r="T73" i="1"/>
  <c r="T77" i="1"/>
  <c r="T81" i="1"/>
  <c r="T85" i="1"/>
  <c r="T87" i="1"/>
  <c r="T94" i="1"/>
  <c r="U96" i="1"/>
  <c r="T97" i="1"/>
  <c r="U98" i="1"/>
  <c r="T102" i="1"/>
  <c r="T110" i="1"/>
  <c r="T125" i="1"/>
  <c r="U127" i="1"/>
  <c r="U129" i="1"/>
  <c r="T130" i="1"/>
  <c r="U131" i="1"/>
  <c r="T132" i="1"/>
  <c r="T12" i="1"/>
  <c r="U12" i="1"/>
  <c r="U10" i="1"/>
  <c r="U14" i="1"/>
  <c r="U16" i="1"/>
  <c r="U18" i="1"/>
  <c r="U19" i="1"/>
  <c r="U20" i="1"/>
  <c r="U22" i="1"/>
  <c r="U25" i="1"/>
  <c r="U27" i="1"/>
  <c r="U30" i="1"/>
  <c r="U32" i="1"/>
  <c r="U34" i="1"/>
  <c r="U36" i="1"/>
  <c r="U37" i="1"/>
  <c r="U39" i="1"/>
  <c r="U41" i="1"/>
  <c r="U43" i="1"/>
  <c r="U45" i="1"/>
  <c r="U47" i="1"/>
  <c r="U49" i="1"/>
  <c r="U51" i="1"/>
  <c r="U53" i="1"/>
  <c r="U55" i="1"/>
  <c r="U57" i="1"/>
  <c r="U74" i="1"/>
  <c r="U76" i="1"/>
  <c r="U78" i="1"/>
  <c r="U80" i="1"/>
  <c r="U82" i="1"/>
  <c r="U84" i="1"/>
  <c r="U90" i="1"/>
  <c r="U95" i="1"/>
  <c r="U101" i="1"/>
  <c r="T122" i="1"/>
  <c r="U124" i="1"/>
  <c r="U126" i="1"/>
  <c r="T52" i="1" l="1"/>
  <c r="T11" i="1"/>
  <c r="T124" i="1"/>
  <c r="T118" i="1"/>
  <c r="T43" i="1"/>
  <c r="T22" i="1"/>
  <c r="T120" i="1"/>
  <c r="T104" i="1"/>
  <c r="T99" i="1"/>
  <c r="T56" i="1"/>
  <c r="T48" i="1"/>
  <c r="T35" i="1"/>
  <c r="T15" i="1"/>
  <c r="T131" i="1"/>
  <c r="T112" i="1"/>
  <c r="T20" i="1"/>
  <c r="T78" i="1"/>
  <c r="Z107" i="1"/>
  <c r="T107" i="1"/>
  <c r="T84" i="1"/>
  <c r="Z75" i="1"/>
  <c r="T75" i="1"/>
  <c r="Z46" i="1"/>
  <c r="T46" i="1"/>
  <c r="Z29" i="1"/>
  <c r="T29" i="1"/>
  <c r="T111" i="1"/>
  <c r="Z111" i="1"/>
  <c r="T88" i="1"/>
  <c r="Z88" i="1"/>
  <c r="T79" i="1"/>
  <c r="Z79" i="1"/>
  <c r="T50" i="1"/>
  <c r="Z50" i="1"/>
  <c r="T33" i="1"/>
  <c r="Z33" i="1"/>
  <c r="U122" i="1"/>
  <c r="U59" i="1"/>
  <c r="T128" i="1"/>
  <c r="T59" i="1"/>
  <c r="T44" i="1"/>
  <c r="T21" i="1"/>
  <c r="T6" i="1"/>
  <c r="R5" i="1"/>
  <c r="S92" i="1"/>
  <c r="T69" i="1"/>
  <c r="T61" i="1"/>
  <c r="Z91" i="1"/>
  <c r="T91" i="1"/>
  <c r="T127" i="1"/>
  <c r="T116" i="1"/>
  <c r="T108" i="1"/>
  <c r="T101" i="1"/>
  <c r="Z103" i="1"/>
  <c r="T103" i="1"/>
  <c r="T106" i="1"/>
  <c r="Z83" i="1"/>
  <c r="T83" i="1"/>
  <c r="T76" i="1"/>
  <c r="Z70" i="1"/>
  <c r="T70" i="1"/>
  <c r="Z66" i="1"/>
  <c r="T66" i="1"/>
  <c r="Z62" i="1"/>
  <c r="T62" i="1"/>
  <c r="Z54" i="1"/>
  <c r="T54" i="1"/>
  <c r="Z38" i="1"/>
  <c r="T38" i="1"/>
  <c r="Z26" i="1"/>
  <c r="T26" i="1"/>
  <c r="Z17" i="1"/>
  <c r="T17" i="1"/>
  <c r="T10" i="1"/>
  <c r="T119" i="1"/>
  <c r="Z119" i="1"/>
  <c r="T114" i="1"/>
  <c r="T68" i="1"/>
  <c r="Z68" i="1"/>
  <c r="T64" i="1"/>
  <c r="Z64" i="1"/>
  <c r="T60" i="1"/>
  <c r="Z60" i="1"/>
  <c r="T58" i="1"/>
  <c r="Z58" i="1"/>
  <c r="T51" i="1"/>
  <c r="T42" i="1"/>
  <c r="Z42" i="1"/>
  <c r="T34" i="1"/>
  <c r="T13" i="1"/>
  <c r="Z13" i="1"/>
  <c r="T7" i="1"/>
  <c r="Z92" i="1" l="1"/>
  <c r="T92" i="1"/>
  <c r="Z5" i="1"/>
  <c r="S5" i="1"/>
</calcChain>
</file>

<file path=xl/sharedStrings.xml><?xml version="1.0" encoding="utf-8"?>
<sst xmlns="http://schemas.openxmlformats.org/spreadsheetml/2006/main" count="452" uniqueCount="169">
  <si>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</si>
  <si>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</si>
  <si>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</si>
  <si>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</si>
  <si>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</si>
  <si>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</si>
  <si>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</si>
  <si>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</si>
  <si>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</si>
  <si>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</si>
  <si>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</si>
  <si>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</si>
  <si>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</si>
  <si>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</si>
  <si>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</si>
  <si>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</si>
  <si>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</si>
  <si>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</si>
  <si>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</si>
  <si>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</si>
  <si>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</si>
  <si>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</si>
  <si>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</si>
  <si>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03,10,</t>
  </si>
  <si>
    <t>05,10,</t>
  </si>
  <si>
    <t>06,10,</t>
  </si>
  <si>
    <t>01,10,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</si>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</sst>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5" sqref="Y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4" width="6" customWidth="1"/>
    <col min="25" max="25" width="43.28515625" customWidth="1"/>
    <col min="26" max="26" width="7" customWidth="1"/>
    <col min="27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22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8095.2820000000002</v>
      </c>
      <c r="F5" s="4">
        <f>SUM(F6:F498)</f>
        <v>11752.605000000001</v>
      </c>
      <c r="G5" s="7"/>
      <c r="H5" s="1"/>
      <c r="I5" s="1"/>
      <c r="J5" s="1"/>
      <c r="K5" s="4">
        <f t="shared" ref="K5:S5" si="0">SUM(K6:K498)</f>
        <v>10071.869999999999</v>
      </c>
      <c r="L5" s="4">
        <f t="shared" si="0"/>
        <v>-1976.5880000000004</v>
      </c>
      <c r="M5" s="4">
        <f t="shared" si="0"/>
        <v>0</v>
      </c>
      <c r="N5" s="4">
        <f t="shared" si="0"/>
        <v>0</v>
      </c>
      <c r="O5" s="4">
        <f t="shared" si="0"/>
        <v>4608.5156793737242</v>
      </c>
      <c r="P5" s="4">
        <f t="shared" si="0"/>
        <v>4295.6332802177858</v>
      </c>
      <c r="Q5" s="4">
        <f t="shared" si="0"/>
        <v>3516.1213999175316</v>
      </c>
      <c r="R5" s="4">
        <f t="shared" si="0"/>
        <v>1619.0564000000002</v>
      </c>
      <c r="S5" s="4">
        <f t="shared" si="0"/>
        <v>2383.3471999269786</v>
      </c>
      <c r="T5" s="1"/>
      <c r="U5" s="1"/>
      <c r="V5" s="4">
        <f>SUM(V6:V498)</f>
        <v>1535.2779999999998</v>
      </c>
      <c r="W5" s="4">
        <f>SUM(W6:W498)</f>
        <v>1488.0051999999996</v>
      </c>
      <c r="X5" s="4">
        <f>SUM(X6:X498)</f>
        <v>1172.1378</v>
      </c>
      <c r="Y5" s="1"/>
      <c r="Z5" s="4">
        <f>SUM(Z6:Z498)</f>
        <v>1771.4897169367382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28</v>
      </c>
      <c r="B6" s="1" t="s">
        <v>29</v>
      </c>
      <c r="C6" s="1">
        <v>-30.513999999999999</v>
      </c>
      <c r="D6" s="1">
        <v>165.86099999999999</v>
      </c>
      <c r="E6" s="1">
        <v>122.441</v>
      </c>
      <c r="F6" s="1">
        <v>2.1040000000000001</v>
      </c>
      <c r="G6" s="7">
        <v>1</v>
      </c>
      <c r="H6" s="1">
        <v>50</v>
      </c>
      <c r="I6" s="1" t="s">
        <v>30</v>
      </c>
      <c r="J6" s="1"/>
      <c r="K6" s="1">
        <v>158.74</v>
      </c>
      <c r="L6" s="1">
        <f t="shared" ref="L6:L37" si="1">E6-K6</f>
        <v>-36.299000000000007</v>
      </c>
      <c r="M6" s="1"/>
      <c r="N6" s="1"/>
      <c r="O6" s="1">
        <v>224.64779999999999</v>
      </c>
      <c r="P6" s="1">
        <v>0</v>
      </c>
      <c r="Q6" s="1"/>
      <c r="R6" s="1">
        <f t="shared" ref="R6:R37" si="2">E6/5</f>
        <v>24.488199999999999</v>
      </c>
      <c r="S6" s="5">
        <f>11*R6-Q6-P6-O6-F6</f>
        <v>42.618400000000022</v>
      </c>
      <c r="T6" s="1">
        <f t="shared" ref="T6:T37" si="3">(F6+O6+P6+Q6+S6)/R6</f>
        <v>11</v>
      </c>
      <c r="U6" s="1">
        <f t="shared" ref="U6:U37" si="4">(F6+O6+P6+Q6)/R6</f>
        <v>9.2596352528973149</v>
      </c>
      <c r="V6" s="1">
        <v>15.6044</v>
      </c>
      <c r="W6" s="1">
        <v>21.5792</v>
      </c>
      <c r="X6" s="1">
        <v>26.789200000000001</v>
      </c>
      <c r="Y6" s="1"/>
      <c r="Z6" s="1">
        <f>G6*S6</f>
        <v>42.618400000000022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31</v>
      </c>
      <c r="B7" s="1" t="s">
        <v>29</v>
      </c>
      <c r="C7" s="1">
        <v>100.736</v>
      </c>
      <c r="D7" s="1">
        <v>488.733</v>
      </c>
      <c r="E7" s="1">
        <v>120.589</v>
      </c>
      <c r="F7" s="1">
        <v>443.161</v>
      </c>
      <c r="G7" s="7">
        <v>1</v>
      </c>
      <c r="H7" s="1">
        <v>45</v>
      </c>
      <c r="I7" s="1" t="s">
        <v>30</v>
      </c>
      <c r="J7" s="1"/>
      <c r="K7" s="1">
        <v>140.59</v>
      </c>
      <c r="L7" s="1">
        <f t="shared" si="1"/>
        <v>-20.001000000000005</v>
      </c>
      <c r="M7" s="1"/>
      <c r="N7" s="1"/>
      <c r="O7" s="1">
        <v>0</v>
      </c>
      <c r="P7" s="1">
        <v>0</v>
      </c>
      <c r="Q7" s="1"/>
      <c r="R7" s="1">
        <f t="shared" si="2"/>
        <v>24.117799999999999</v>
      </c>
      <c r="S7" s="5"/>
      <c r="T7" s="1">
        <f t="shared" si="3"/>
        <v>18.374851769232684</v>
      </c>
      <c r="U7" s="1">
        <f t="shared" si="4"/>
        <v>18.374851769232684</v>
      </c>
      <c r="V7" s="1">
        <v>22.6374</v>
      </c>
      <c r="W7" s="1">
        <v>20.7254</v>
      </c>
      <c r="X7" s="1">
        <v>21.689</v>
      </c>
      <c r="Y7" s="1"/>
      <c r="Z7" s="1">
        <f>G7*S7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33</v>
      </c>
      <c r="B8" s="1" t="s">
        <v>29</v>
      </c>
      <c r="C8" s="1">
        <v>171.14099999999999</v>
      </c>
      <c r="D8" s="1">
        <v>124.146</v>
      </c>
      <c r="E8" s="1">
        <v>111.19499999999999</v>
      </c>
      <c r="F8" s="1">
        <v>118.202</v>
      </c>
      <c r="G8" s="7">
        <v>1</v>
      </c>
      <c r="H8" s="1">
        <v>45</v>
      </c>
      <c r="I8" s="10" t="s">
        <v>34</v>
      </c>
      <c r="J8" s="1"/>
      <c r="K8" s="1">
        <v>173.7</v>
      </c>
      <c r="L8" s="1">
        <f t="shared" si="1"/>
        <v>-62.504999999999995</v>
      </c>
      <c r="M8" s="1"/>
      <c r="N8" s="1"/>
      <c r="O8" s="1">
        <v>0</v>
      </c>
      <c r="P8" s="1">
        <v>99</v>
      </c>
      <c r="Q8" s="1">
        <v>30</v>
      </c>
      <c r="R8" s="1">
        <f t="shared" si="2"/>
        <v>22.238999999999997</v>
      </c>
      <c r="S8" s="5">
        <v>40</v>
      </c>
      <c r="T8" s="1">
        <f t="shared" si="3"/>
        <v>12.914339673546474</v>
      </c>
      <c r="U8" s="1">
        <f t="shared" si="4"/>
        <v>11.115697648275553</v>
      </c>
      <c r="V8" s="1">
        <v>23.381799999999998</v>
      </c>
      <c r="W8" s="1">
        <v>24.181999999999999</v>
      </c>
      <c r="X8" s="1">
        <v>21.139399999999998</v>
      </c>
      <c r="Y8" s="1"/>
      <c r="Z8" s="1">
        <f>G8*S8</f>
        <v>40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1" t="s">
        <v>35</v>
      </c>
      <c r="B9" s="11" t="s">
        <v>36</v>
      </c>
      <c r="C9" s="11"/>
      <c r="D9" s="11"/>
      <c r="E9" s="11"/>
      <c r="F9" s="11"/>
      <c r="G9" s="12">
        <v>0</v>
      </c>
      <c r="H9" s="11"/>
      <c r="I9" s="11" t="s">
        <v>30</v>
      </c>
      <c r="J9" s="11"/>
      <c r="K9" s="11"/>
      <c r="L9" s="11">
        <f t="shared" si="1"/>
        <v>0</v>
      </c>
      <c r="M9" s="11"/>
      <c r="N9" s="11"/>
      <c r="O9" s="11">
        <v>0</v>
      </c>
      <c r="P9" s="11">
        <v>0</v>
      </c>
      <c r="Q9" s="11"/>
      <c r="R9" s="11">
        <f t="shared" si="2"/>
        <v>0</v>
      </c>
      <c r="S9" s="13"/>
      <c r="T9" s="11" t="e">
        <f t="shared" si="3"/>
        <v>#DIV/0!</v>
      </c>
      <c r="U9" s="11" t="e">
        <f t="shared" si="4"/>
        <v>#DIV/0!</v>
      </c>
      <c r="V9" s="11">
        <v>0</v>
      </c>
      <c r="W9" s="11">
        <v>0</v>
      </c>
      <c r="X9" s="11">
        <v>0</v>
      </c>
      <c r="Y9" s="11" t="s">
        <v>37</v>
      </c>
      <c r="Z9" s="1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38</v>
      </c>
      <c r="B10" s="1" t="s">
        <v>36</v>
      </c>
      <c r="C10" s="1">
        <v>11</v>
      </c>
      <c r="D10" s="1">
        <v>516</v>
      </c>
      <c r="E10" s="1">
        <v>131</v>
      </c>
      <c r="F10" s="1">
        <v>383</v>
      </c>
      <c r="G10" s="7">
        <v>0.45</v>
      </c>
      <c r="H10" s="1">
        <v>45</v>
      </c>
      <c r="I10" s="1" t="s">
        <v>30</v>
      </c>
      <c r="J10" s="1"/>
      <c r="K10" s="1">
        <v>167</v>
      </c>
      <c r="L10" s="1">
        <f t="shared" si="1"/>
        <v>-36</v>
      </c>
      <c r="M10" s="1"/>
      <c r="N10" s="1"/>
      <c r="O10" s="1">
        <v>0</v>
      </c>
      <c r="P10" s="1">
        <v>300</v>
      </c>
      <c r="Q10" s="1"/>
      <c r="R10" s="1">
        <f t="shared" si="2"/>
        <v>26.2</v>
      </c>
      <c r="S10" s="5"/>
      <c r="T10" s="1">
        <f t="shared" si="3"/>
        <v>26.068702290076338</v>
      </c>
      <c r="U10" s="1">
        <f t="shared" si="4"/>
        <v>26.068702290076338</v>
      </c>
      <c r="V10" s="1">
        <v>23.6</v>
      </c>
      <c r="W10" s="1">
        <v>21.8</v>
      </c>
      <c r="X10" s="1">
        <v>-0.6</v>
      </c>
      <c r="Y10" s="1"/>
      <c r="Z10" s="1">
        <f t="shared" ref="Z10:Z17" si="5">G10*S10</f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39</v>
      </c>
      <c r="B11" s="1" t="s">
        <v>36</v>
      </c>
      <c r="C11" s="1">
        <v>447</v>
      </c>
      <c r="D11" s="1">
        <v>506</v>
      </c>
      <c r="E11" s="1">
        <v>410</v>
      </c>
      <c r="F11" s="1">
        <v>431</v>
      </c>
      <c r="G11" s="7">
        <v>0.45</v>
      </c>
      <c r="H11" s="1">
        <v>45</v>
      </c>
      <c r="I11" s="1" t="s">
        <v>30</v>
      </c>
      <c r="J11" s="1"/>
      <c r="K11" s="1">
        <v>432</v>
      </c>
      <c r="L11" s="1">
        <f t="shared" si="1"/>
        <v>-22</v>
      </c>
      <c r="M11" s="1"/>
      <c r="N11" s="1"/>
      <c r="O11" s="1">
        <v>0</v>
      </c>
      <c r="P11" s="1">
        <v>0</v>
      </c>
      <c r="Q11" s="1">
        <v>342.29294306335203</v>
      </c>
      <c r="R11" s="1">
        <f t="shared" si="2"/>
        <v>82</v>
      </c>
      <c r="S11" s="5">
        <f t="shared" ref="S10:S17" si="6">11*R11-Q11-P11-O11-F11</f>
        <v>128.70705693664797</v>
      </c>
      <c r="T11" s="1">
        <f t="shared" si="3"/>
        <v>11</v>
      </c>
      <c r="U11" s="1">
        <f t="shared" si="4"/>
        <v>9.4304017446750255</v>
      </c>
      <c r="V11" s="1">
        <v>82.6</v>
      </c>
      <c r="W11" s="1">
        <v>72.2</v>
      </c>
      <c r="X11" s="1">
        <v>58.4</v>
      </c>
      <c r="Y11" s="1"/>
      <c r="Z11" s="1">
        <f t="shared" si="5"/>
        <v>57.918175621491592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40</v>
      </c>
      <c r="B12" s="1" t="s">
        <v>36</v>
      </c>
      <c r="C12" s="1">
        <v>-6</v>
      </c>
      <c r="D12" s="1">
        <v>150</v>
      </c>
      <c r="E12" s="1">
        <v>35</v>
      </c>
      <c r="F12" s="1">
        <v>104</v>
      </c>
      <c r="G12" s="7">
        <v>0.17</v>
      </c>
      <c r="H12" s="1">
        <v>180</v>
      </c>
      <c r="I12" s="1" t="s">
        <v>30</v>
      </c>
      <c r="J12" s="1"/>
      <c r="K12" s="1">
        <v>35</v>
      </c>
      <c r="L12" s="1">
        <f t="shared" si="1"/>
        <v>0</v>
      </c>
      <c r="M12" s="1"/>
      <c r="N12" s="1"/>
      <c r="O12" s="1">
        <v>0</v>
      </c>
      <c r="P12" s="1">
        <v>0</v>
      </c>
      <c r="Q12" s="1"/>
      <c r="R12" s="1">
        <f t="shared" si="2"/>
        <v>7</v>
      </c>
      <c r="S12" s="5"/>
      <c r="T12" s="1">
        <f t="shared" si="3"/>
        <v>14.857142857142858</v>
      </c>
      <c r="U12" s="1">
        <f t="shared" si="4"/>
        <v>14.857142857142858</v>
      </c>
      <c r="V12" s="1">
        <v>6</v>
      </c>
      <c r="W12" s="1">
        <v>2.8</v>
      </c>
      <c r="X12" s="1">
        <v>4.8</v>
      </c>
      <c r="Y12" s="1"/>
      <c r="Z12" s="1">
        <f t="shared" si="5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41</v>
      </c>
      <c r="B13" s="1" t="s">
        <v>36</v>
      </c>
      <c r="C13" s="1">
        <v>-15</v>
      </c>
      <c r="D13" s="1">
        <v>84</v>
      </c>
      <c r="E13" s="1">
        <v>34</v>
      </c>
      <c r="F13" s="1">
        <v>32</v>
      </c>
      <c r="G13" s="7">
        <v>0.3</v>
      </c>
      <c r="H13" s="1">
        <v>40</v>
      </c>
      <c r="I13" s="1" t="s">
        <v>30</v>
      </c>
      <c r="J13" s="1"/>
      <c r="K13" s="1">
        <v>36</v>
      </c>
      <c r="L13" s="1">
        <f t="shared" si="1"/>
        <v>-2</v>
      </c>
      <c r="M13" s="1"/>
      <c r="N13" s="1"/>
      <c r="O13" s="1">
        <v>0</v>
      </c>
      <c r="P13" s="1">
        <v>0</v>
      </c>
      <c r="Q13" s="1">
        <v>18.5089005235602</v>
      </c>
      <c r="R13" s="1">
        <f t="shared" si="2"/>
        <v>6.8</v>
      </c>
      <c r="S13" s="5">
        <f t="shared" si="6"/>
        <v>24.291099476439797</v>
      </c>
      <c r="T13" s="1">
        <f t="shared" si="3"/>
        <v>11</v>
      </c>
      <c r="U13" s="1">
        <f t="shared" si="4"/>
        <v>7.4277794887588531</v>
      </c>
      <c r="V13" s="1">
        <v>5.6</v>
      </c>
      <c r="W13" s="1">
        <v>3</v>
      </c>
      <c r="X13" s="1">
        <v>0</v>
      </c>
      <c r="Y13" s="1"/>
      <c r="Z13" s="1">
        <f t="shared" si="5"/>
        <v>7.2873298429319391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42</v>
      </c>
      <c r="B14" s="1" t="s">
        <v>36</v>
      </c>
      <c r="C14" s="1">
        <v>183</v>
      </c>
      <c r="D14" s="1">
        <v>115</v>
      </c>
      <c r="E14" s="1">
        <v>91</v>
      </c>
      <c r="F14" s="1">
        <v>189</v>
      </c>
      <c r="G14" s="7">
        <v>0.17</v>
      </c>
      <c r="H14" s="1">
        <v>180</v>
      </c>
      <c r="I14" s="1" t="s">
        <v>30</v>
      </c>
      <c r="J14" s="1"/>
      <c r="K14" s="1">
        <v>107</v>
      </c>
      <c r="L14" s="1">
        <f t="shared" si="1"/>
        <v>-16</v>
      </c>
      <c r="M14" s="1"/>
      <c r="N14" s="1"/>
      <c r="O14" s="1">
        <v>0</v>
      </c>
      <c r="P14" s="1">
        <v>0</v>
      </c>
      <c r="Q14" s="1">
        <v>10.600000000000019</v>
      </c>
      <c r="R14" s="1">
        <f t="shared" si="2"/>
        <v>18.2</v>
      </c>
      <c r="S14" s="5">
        <v>10</v>
      </c>
      <c r="T14" s="1">
        <f t="shared" si="3"/>
        <v>11.516483516483518</v>
      </c>
      <c r="U14" s="1">
        <f t="shared" si="4"/>
        <v>10.967032967032969</v>
      </c>
      <c r="V14" s="1">
        <v>20.8</v>
      </c>
      <c r="W14" s="1">
        <v>17.8</v>
      </c>
      <c r="X14" s="1">
        <v>12.8</v>
      </c>
      <c r="Y14" s="1"/>
      <c r="Z14" s="1">
        <f t="shared" si="5"/>
        <v>1.7000000000000002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43</v>
      </c>
      <c r="B15" s="1" t="s">
        <v>29</v>
      </c>
      <c r="C15" s="1">
        <v>-110.52</v>
      </c>
      <c r="D15" s="1">
        <v>472.69</v>
      </c>
      <c r="E15" s="1">
        <v>192.179</v>
      </c>
      <c r="F15" s="1">
        <v>167.33</v>
      </c>
      <c r="G15" s="7">
        <v>1</v>
      </c>
      <c r="H15" s="1">
        <v>70</v>
      </c>
      <c r="I15" s="1" t="s">
        <v>30</v>
      </c>
      <c r="J15" s="1"/>
      <c r="K15" s="1">
        <v>346.58</v>
      </c>
      <c r="L15" s="1">
        <f t="shared" si="1"/>
        <v>-154.40099999999998</v>
      </c>
      <c r="M15" s="1"/>
      <c r="N15" s="1"/>
      <c r="O15" s="1">
        <v>240</v>
      </c>
      <c r="P15" s="1">
        <v>50</v>
      </c>
      <c r="Q15" s="1"/>
      <c r="R15" s="1">
        <f t="shared" si="2"/>
        <v>38.4358</v>
      </c>
      <c r="S15" s="5">
        <v>100</v>
      </c>
      <c r="T15" s="1">
        <f t="shared" si="3"/>
        <v>14.500283589778281</v>
      </c>
      <c r="U15" s="1">
        <f t="shared" si="4"/>
        <v>11.898542504644109</v>
      </c>
      <c r="V15" s="1">
        <v>20.296600000000002</v>
      </c>
      <c r="W15" s="1">
        <v>45.934399999999997</v>
      </c>
      <c r="X15" s="1">
        <v>54.014000000000003</v>
      </c>
      <c r="Y15" s="1"/>
      <c r="Z15" s="1">
        <f t="shared" si="5"/>
        <v>100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44</v>
      </c>
      <c r="B16" s="1" t="s">
        <v>29</v>
      </c>
      <c r="C16" s="1">
        <v>587.11300000000006</v>
      </c>
      <c r="D16" s="1">
        <v>1863.2739999999999</v>
      </c>
      <c r="E16" s="1">
        <v>767.35199999999998</v>
      </c>
      <c r="F16" s="1">
        <v>1595.42</v>
      </c>
      <c r="G16" s="7">
        <v>1</v>
      </c>
      <c r="H16" s="1">
        <v>50</v>
      </c>
      <c r="I16" s="1" t="s">
        <v>30</v>
      </c>
      <c r="J16" s="1"/>
      <c r="K16" s="1">
        <v>844.8</v>
      </c>
      <c r="L16" s="1">
        <f t="shared" si="1"/>
        <v>-77.447999999999979</v>
      </c>
      <c r="M16" s="1"/>
      <c r="N16" s="1"/>
      <c r="O16" s="1">
        <v>0</v>
      </c>
      <c r="P16" s="1">
        <v>0</v>
      </c>
      <c r="Q16" s="1">
        <v>348.0912000000003</v>
      </c>
      <c r="R16" s="1">
        <f t="shared" si="2"/>
        <v>153.47039999999998</v>
      </c>
      <c r="S16" s="5"/>
      <c r="T16" s="1">
        <f t="shared" si="3"/>
        <v>12.663752749715909</v>
      </c>
      <c r="U16" s="1">
        <f t="shared" si="4"/>
        <v>12.663752749715909</v>
      </c>
      <c r="V16" s="1">
        <v>191.55760000000001</v>
      </c>
      <c r="W16" s="1">
        <v>201.6146</v>
      </c>
      <c r="X16" s="1">
        <v>130.29419999999999</v>
      </c>
      <c r="Y16" s="1"/>
      <c r="Z16" s="1">
        <f t="shared" si="5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45</v>
      </c>
      <c r="B17" s="1" t="s">
        <v>29</v>
      </c>
      <c r="C17" s="1">
        <v>30.827000000000002</v>
      </c>
      <c r="D17" s="1"/>
      <c r="E17" s="1">
        <v>22.814</v>
      </c>
      <c r="F17" s="1">
        <v>8.0129999999999999</v>
      </c>
      <c r="G17" s="7">
        <v>1</v>
      </c>
      <c r="H17" s="1">
        <v>60</v>
      </c>
      <c r="I17" s="1" t="s">
        <v>30</v>
      </c>
      <c r="J17" s="1"/>
      <c r="K17" s="1">
        <v>88.6</v>
      </c>
      <c r="L17" s="1">
        <f t="shared" si="1"/>
        <v>-65.786000000000001</v>
      </c>
      <c r="M17" s="1"/>
      <c r="N17" s="1"/>
      <c r="O17" s="1">
        <v>60.634399999999992</v>
      </c>
      <c r="P17" s="1">
        <v>85.312799999999982</v>
      </c>
      <c r="Q17" s="1">
        <v>34.571599999999997</v>
      </c>
      <c r="R17" s="1">
        <f t="shared" si="2"/>
        <v>4.5628000000000002</v>
      </c>
      <c r="S17" s="5"/>
      <c r="T17" s="1">
        <f t="shared" si="3"/>
        <v>41.319321469273248</v>
      </c>
      <c r="U17" s="1">
        <f t="shared" si="4"/>
        <v>41.319321469273248</v>
      </c>
      <c r="V17" s="1">
        <v>15.856400000000001</v>
      </c>
      <c r="W17" s="1">
        <v>15.5992</v>
      </c>
      <c r="X17" s="1">
        <v>9.6205999999999996</v>
      </c>
      <c r="Y17" s="1"/>
      <c r="Z17" s="1">
        <f t="shared" si="5"/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1" t="s">
        <v>46</v>
      </c>
      <c r="B18" s="11" t="s">
        <v>29</v>
      </c>
      <c r="C18" s="11"/>
      <c r="D18" s="11"/>
      <c r="E18" s="11">
        <v>0.86099999999999999</v>
      </c>
      <c r="F18" s="11">
        <v>-0.86099999999999999</v>
      </c>
      <c r="G18" s="12">
        <v>0</v>
      </c>
      <c r="H18" s="11"/>
      <c r="I18" s="14" t="s">
        <v>47</v>
      </c>
      <c r="J18" s="11"/>
      <c r="K18" s="11">
        <v>0.8</v>
      </c>
      <c r="L18" s="11">
        <f t="shared" si="1"/>
        <v>6.0999999999999943E-2</v>
      </c>
      <c r="M18" s="11"/>
      <c r="N18" s="11"/>
      <c r="O18" s="11"/>
      <c r="P18" s="11">
        <v>0</v>
      </c>
      <c r="Q18" s="11"/>
      <c r="R18" s="11">
        <f t="shared" si="2"/>
        <v>0.17219999999999999</v>
      </c>
      <c r="S18" s="13"/>
      <c r="T18" s="11">
        <f t="shared" si="3"/>
        <v>-5</v>
      </c>
      <c r="U18" s="11">
        <f t="shared" si="4"/>
        <v>-5</v>
      </c>
      <c r="V18" s="11">
        <v>0.17219999999999999</v>
      </c>
      <c r="W18" s="11">
        <v>0</v>
      </c>
      <c r="X18" s="11">
        <v>0</v>
      </c>
      <c r="Y18" s="11"/>
      <c r="Z18" s="1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1" t="s">
        <v>48</v>
      </c>
      <c r="B19" s="11" t="s">
        <v>29</v>
      </c>
      <c r="C19" s="11"/>
      <c r="D19" s="11"/>
      <c r="E19" s="15">
        <v>12.473000000000001</v>
      </c>
      <c r="F19" s="15">
        <v>-12.473000000000001</v>
      </c>
      <c r="G19" s="12">
        <v>0</v>
      </c>
      <c r="H19" s="11"/>
      <c r="I19" s="14" t="s">
        <v>47</v>
      </c>
      <c r="J19" s="11" t="s">
        <v>49</v>
      </c>
      <c r="K19" s="11">
        <v>12.5</v>
      </c>
      <c r="L19" s="11">
        <f t="shared" si="1"/>
        <v>-2.6999999999999247E-2</v>
      </c>
      <c r="M19" s="11"/>
      <c r="N19" s="11"/>
      <c r="O19" s="11"/>
      <c r="P19" s="11">
        <v>0</v>
      </c>
      <c r="Q19" s="11"/>
      <c r="R19" s="11">
        <f t="shared" si="2"/>
        <v>2.4946000000000002</v>
      </c>
      <c r="S19" s="13"/>
      <c r="T19" s="11">
        <f t="shared" si="3"/>
        <v>-5</v>
      </c>
      <c r="U19" s="11">
        <f t="shared" si="4"/>
        <v>-5</v>
      </c>
      <c r="V19" s="11">
        <v>2.4946000000000002</v>
      </c>
      <c r="W19" s="11">
        <v>0</v>
      </c>
      <c r="X19" s="11">
        <v>0</v>
      </c>
      <c r="Y19" s="11"/>
      <c r="Z19" s="1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50</v>
      </c>
      <c r="B20" s="1" t="s">
        <v>29</v>
      </c>
      <c r="C20" s="1">
        <v>2.956</v>
      </c>
      <c r="D20" s="1"/>
      <c r="E20" s="1">
        <v>1.7829999999999999</v>
      </c>
      <c r="F20" s="1">
        <v>0.29599999999999999</v>
      </c>
      <c r="G20" s="7">
        <v>1</v>
      </c>
      <c r="H20" s="1">
        <v>60</v>
      </c>
      <c r="I20" s="1" t="s">
        <v>30</v>
      </c>
      <c r="J20" s="1"/>
      <c r="K20" s="1">
        <v>26.6</v>
      </c>
      <c r="L20" s="1">
        <f t="shared" si="1"/>
        <v>-24.817</v>
      </c>
      <c r="M20" s="1"/>
      <c r="N20" s="1"/>
      <c r="O20" s="1">
        <v>48</v>
      </c>
      <c r="P20" s="1">
        <v>20.084199999999999</v>
      </c>
      <c r="Q20" s="1"/>
      <c r="R20" s="1">
        <f t="shared" si="2"/>
        <v>0.35659999999999997</v>
      </c>
      <c r="S20" s="5"/>
      <c r="T20" s="1">
        <f t="shared" si="3"/>
        <v>191.75602916432979</v>
      </c>
      <c r="U20" s="1">
        <f t="shared" si="4"/>
        <v>191.75602916432979</v>
      </c>
      <c r="V20" s="1">
        <v>3.3452000000000002</v>
      </c>
      <c r="W20" s="1">
        <v>6.4581999999999997</v>
      </c>
      <c r="X20" s="1">
        <v>6.0523999999999996</v>
      </c>
      <c r="Y20" s="1"/>
      <c r="Z20" s="1">
        <f>G20*S20</f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51</v>
      </c>
      <c r="B21" s="1" t="s">
        <v>29</v>
      </c>
      <c r="C21" s="1">
        <v>33.020000000000003</v>
      </c>
      <c r="D21" s="1">
        <v>38.454000000000001</v>
      </c>
      <c r="E21" s="1">
        <v>5.367</v>
      </c>
      <c r="F21" s="1">
        <v>65.738</v>
      </c>
      <c r="G21" s="7">
        <v>1</v>
      </c>
      <c r="H21" s="1">
        <v>180</v>
      </c>
      <c r="I21" s="1" t="s">
        <v>30</v>
      </c>
      <c r="J21" s="1"/>
      <c r="K21" s="1">
        <v>4.95</v>
      </c>
      <c r="L21" s="1">
        <f t="shared" si="1"/>
        <v>0.41699999999999982</v>
      </c>
      <c r="M21" s="1"/>
      <c r="N21" s="1"/>
      <c r="O21" s="1">
        <v>0</v>
      </c>
      <c r="P21" s="1">
        <v>0</v>
      </c>
      <c r="Q21" s="1"/>
      <c r="R21" s="1">
        <f t="shared" si="2"/>
        <v>1.0733999999999999</v>
      </c>
      <c r="S21" s="5"/>
      <c r="T21" s="1">
        <f t="shared" si="3"/>
        <v>61.242779951555811</v>
      </c>
      <c r="U21" s="1">
        <f t="shared" si="4"/>
        <v>61.242779951555811</v>
      </c>
      <c r="V21" s="1">
        <v>0.58299999999999996</v>
      </c>
      <c r="W21" s="1">
        <v>0.36120000000000002</v>
      </c>
      <c r="X21" s="1">
        <v>0.43280000000000002</v>
      </c>
      <c r="Y21" s="17" t="s">
        <v>52</v>
      </c>
      <c r="Z21" s="1">
        <f>G21*S21</f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53</v>
      </c>
      <c r="B22" s="1" t="s">
        <v>29</v>
      </c>
      <c r="C22" s="1">
        <v>-11.92</v>
      </c>
      <c r="D22" s="1">
        <v>179.547</v>
      </c>
      <c r="E22" s="1">
        <v>124.20099999999999</v>
      </c>
      <c r="F22" s="1">
        <v>31.085000000000001</v>
      </c>
      <c r="G22" s="7">
        <v>1</v>
      </c>
      <c r="H22" s="1">
        <v>60</v>
      </c>
      <c r="I22" s="1" t="s">
        <v>30</v>
      </c>
      <c r="J22" s="1"/>
      <c r="K22" s="1">
        <v>163.4</v>
      </c>
      <c r="L22" s="1">
        <f t="shared" si="1"/>
        <v>-39.199000000000012</v>
      </c>
      <c r="M22" s="1"/>
      <c r="N22" s="1"/>
      <c r="O22" s="1">
        <v>526.61617532058835</v>
      </c>
      <c r="P22" s="1">
        <v>0</v>
      </c>
      <c r="Q22" s="1"/>
      <c r="R22" s="1">
        <f t="shared" si="2"/>
        <v>24.840199999999999</v>
      </c>
      <c r="S22" s="5"/>
      <c r="T22" s="1">
        <f t="shared" si="3"/>
        <v>22.451557367516703</v>
      </c>
      <c r="U22" s="1">
        <f t="shared" si="4"/>
        <v>22.451557367516703</v>
      </c>
      <c r="V22" s="1">
        <v>17.950800000000001</v>
      </c>
      <c r="W22" s="1">
        <v>46.0608</v>
      </c>
      <c r="X22" s="1">
        <v>52.321800000000003</v>
      </c>
      <c r="Y22" s="1"/>
      <c r="Z22" s="1">
        <f>G22*S22</f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1" t="s">
        <v>54</v>
      </c>
      <c r="B23" s="11" t="s">
        <v>29</v>
      </c>
      <c r="C23" s="11"/>
      <c r="D23" s="11">
        <v>2.4820000000000002</v>
      </c>
      <c r="E23" s="15">
        <v>22.350999999999999</v>
      </c>
      <c r="F23" s="15">
        <v>-22.350999999999999</v>
      </c>
      <c r="G23" s="12">
        <v>0</v>
      </c>
      <c r="H23" s="11"/>
      <c r="I23" s="14" t="s">
        <v>47</v>
      </c>
      <c r="J23" s="11" t="s">
        <v>55</v>
      </c>
      <c r="K23" s="11">
        <v>25</v>
      </c>
      <c r="L23" s="11">
        <f t="shared" si="1"/>
        <v>-2.6490000000000009</v>
      </c>
      <c r="M23" s="11"/>
      <c r="N23" s="11"/>
      <c r="O23" s="11"/>
      <c r="P23" s="11">
        <v>0</v>
      </c>
      <c r="Q23" s="11"/>
      <c r="R23" s="11">
        <f t="shared" si="2"/>
        <v>4.4702000000000002</v>
      </c>
      <c r="S23" s="13"/>
      <c r="T23" s="11">
        <f t="shared" si="3"/>
        <v>-5</v>
      </c>
      <c r="U23" s="11">
        <f t="shared" si="4"/>
        <v>-5</v>
      </c>
      <c r="V23" s="11">
        <v>4.4702000000000002</v>
      </c>
      <c r="W23" s="11">
        <v>0</v>
      </c>
      <c r="X23" s="11">
        <v>0</v>
      </c>
      <c r="Y23" s="11"/>
      <c r="Z23" s="1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56</v>
      </c>
      <c r="B24" s="1" t="s">
        <v>29</v>
      </c>
      <c r="C24" s="1">
        <v>-14.288</v>
      </c>
      <c r="D24" s="1">
        <v>175.517</v>
      </c>
      <c r="E24" s="1">
        <v>93.3</v>
      </c>
      <c r="F24" s="1">
        <v>50.319000000000003</v>
      </c>
      <c r="G24" s="7">
        <v>1</v>
      </c>
      <c r="H24" s="1">
        <v>70</v>
      </c>
      <c r="I24" s="1" t="s">
        <v>30</v>
      </c>
      <c r="J24" s="1"/>
      <c r="K24" s="1">
        <v>97.88</v>
      </c>
      <c r="L24" s="1">
        <f t="shared" si="1"/>
        <v>-4.5799999999999983</v>
      </c>
      <c r="M24" s="1"/>
      <c r="N24" s="1"/>
      <c r="O24" s="1">
        <v>0</v>
      </c>
      <c r="P24" s="1">
        <v>0</v>
      </c>
      <c r="Q24" s="1">
        <v>51.844200000000029</v>
      </c>
      <c r="R24" s="1">
        <f t="shared" si="2"/>
        <v>18.66</v>
      </c>
      <c r="S24" s="5">
        <f t="shared" ref="S24:S27" si="7">11*R24-Q24-P24-O24-F24</f>
        <v>103.09679999999996</v>
      </c>
      <c r="T24" s="1">
        <f t="shared" si="3"/>
        <v>11</v>
      </c>
      <c r="U24" s="1">
        <f t="shared" si="4"/>
        <v>5.4749839228295833</v>
      </c>
      <c r="V24" s="1">
        <v>13.150600000000001</v>
      </c>
      <c r="W24" s="1">
        <v>8.1453999999999986</v>
      </c>
      <c r="X24" s="1">
        <v>4.9426000000000014</v>
      </c>
      <c r="Y24" s="1"/>
      <c r="Z24" s="1">
        <f>G24*S24</f>
        <v>103.09679999999996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57</v>
      </c>
      <c r="B25" s="1" t="s">
        <v>29</v>
      </c>
      <c r="C25" s="1">
        <v>-47.627000000000002</v>
      </c>
      <c r="D25" s="1">
        <v>107.212</v>
      </c>
      <c r="E25" s="1">
        <v>51.093000000000004</v>
      </c>
      <c r="F25" s="1">
        <v>3.2469999999999999</v>
      </c>
      <c r="G25" s="7">
        <v>1</v>
      </c>
      <c r="H25" s="1">
        <v>70</v>
      </c>
      <c r="I25" s="1" t="s">
        <v>30</v>
      </c>
      <c r="J25" s="1"/>
      <c r="K25" s="1">
        <v>117.5</v>
      </c>
      <c r="L25" s="1">
        <f t="shared" si="1"/>
        <v>-66.406999999999996</v>
      </c>
      <c r="M25" s="1"/>
      <c r="N25" s="1"/>
      <c r="O25" s="1">
        <v>180</v>
      </c>
      <c r="P25" s="1">
        <v>80</v>
      </c>
      <c r="Q25" s="1">
        <v>17.31960000000003</v>
      </c>
      <c r="R25" s="1">
        <f t="shared" si="2"/>
        <v>10.2186</v>
      </c>
      <c r="S25" s="5"/>
      <c r="T25" s="1">
        <f t="shared" si="3"/>
        <v>27.456461746227472</v>
      </c>
      <c r="U25" s="1">
        <f t="shared" si="4"/>
        <v>27.456461746227472</v>
      </c>
      <c r="V25" s="1">
        <v>23.747800000000002</v>
      </c>
      <c r="W25" s="1">
        <v>26.411799999999999</v>
      </c>
      <c r="X25" s="1">
        <v>22.914000000000001</v>
      </c>
      <c r="Y25" s="1" t="s">
        <v>58</v>
      </c>
      <c r="Z25" s="1">
        <f>G25*S25</f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59</v>
      </c>
      <c r="B26" s="1" t="s">
        <v>29</v>
      </c>
      <c r="C26" s="1">
        <v>29.414999999999999</v>
      </c>
      <c r="D26" s="1">
        <v>36.941000000000003</v>
      </c>
      <c r="E26" s="1">
        <v>5.91</v>
      </c>
      <c r="F26" s="1">
        <v>59.737000000000002</v>
      </c>
      <c r="G26" s="7">
        <v>1</v>
      </c>
      <c r="H26" s="1">
        <v>180</v>
      </c>
      <c r="I26" s="1" t="s">
        <v>30</v>
      </c>
      <c r="J26" s="1"/>
      <c r="K26" s="1">
        <v>6.83</v>
      </c>
      <c r="L26" s="1">
        <f t="shared" si="1"/>
        <v>-0.91999999999999993</v>
      </c>
      <c r="M26" s="1"/>
      <c r="N26" s="1"/>
      <c r="O26" s="1">
        <v>0</v>
      </c>
      <c r="P26" s="1">
        <v>0</v>
      </c>
      <c r="Q26" s="1"/>
      <c r="R26" s="1">
        <f t="shared" si="2"/>
        <v>1.1819999999999999</v>
      </c>
      <c r="S26" s="5"/>
      <c r="T26" s="1">
        <f t="shared" si="3"/>
        <v>50.538917089678513</v>
      </c>
      <c r="U26" s="1">
        <f t="shared" si="4"/>
        <v>50.538917089678513</v>
      </c>
      <c r="V26" s="1">
        <v>0.97240000000000004</v>
      </c>
      <c r="W26" s="1">
        <v>0.84079999999999999</v>
      </c>
      <c r="X26" s="1">
        <v>0.34420000000000001</v>
      </c>
      <c r="Y26" s="17" t="s">
        <v>52</v>
      </c>
      <c r="Z26" s="1">
        <f>G26*S26</f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60</v>
      </c>
      <c r="B27" s="1" t="s">
        <v>29</v>
      </c>
      <c r="C27" s="1">
        <v>-32.749000000000002</v>
      </c>
      <c r="D27" s="1">
        <v>311.80900000000003</v>
      </c>
      <c r="E27" s="1">
        <v>171.374</v>
      </c>
      <c r="F27" s="1">
        <v>94.534999999999997</v>
      </c>
      <c r="G27" s="7">
        <v>1</v>
      </c>
      <c r="H27" s="1">
        <v>70</v>
      </c>
      <c r="I27" s="1" t="s">
        <v>30</v>
      </c>
      <c r="J27" s="1"/>
      <c r="K27" s="1">
        <v>166.6</v>
      </c>
      <c r="L27" s="1">
        <f t="shared" si="1"/>
        <v>4.7740000000000009</v>
      </c>
      <c r="M27" s="1"/>
      <c r="N27" s="1"/>
      <c r="O27" s="1">
        <v>120</v>
      </c>
      <c r="P27" s="1">
        <v>0</v>
      </c>
      <c r="Q27" s="1">
        <v>25</v>
      </c>
      <c r="R27" s="1">
        <f t="shared" si="2"/>
        <v>34.274799999999999</v>
      </c>
      <c r="S27" s="5">
        <f t="shared" si="7"/>
        <v>137.48779999999996</v>
      </c>
      <c r="T27" s="1">
        <f t="shared" si="3"/>
        <v>11</v>
      </c>
      <c r="U27" s="1">
        <f t="shared" si="4"/>
        <v>6.9886622241413514</v>
      </c>
      <c r="V27" s="1">
        <v>25.488199999999999</v>
      </c>
      <c r="W27" s="1">
        <v>14.996600000000001</v>
      </c>
      <c r="X27" s="1">
        <v>18.1692</v>
      </c>
      <c r="Y27" s="1" t="s">
        <v>58</v>
      </c>
      <c r="Z27" s="1">
        <f>G27*S27</f>
        <v>137.48779999999996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1" t="s">
        <v>61</v>
      </c>
      <c r="B28" s="11" t="s">
        <v>29</v>
      </c>
      <c r="C28" s="11"/>
      <c r="D28" s="11"/>
      <c r="E28" s="11"/>
      <c r="F28" s="11"/>
      <c r="G28" s="12">
        <v>0</v>
      </c>
      <c r="H28" s="11"/>
      <c r="I28" s="11" t="s">
        <v>30</v>
      </c>
      <c r="J28" s="11"/>
      <c r="K28" s="11"/>
      <c r="L28" s="11">
        <f t="shared" si="1"/>
        <v>0</v>
      </c>
      <c r="M28" s="11"/>
      <c r="N28" s="11"/>
      <c r="O28" s="11">
        <v>0</v>
      </c>
      <c r="P28" s="11">
        <v>0</v>
      </c>
      <c r="Q28" s="11"/>
      <c r="R28" s="11">
        <f t="shared" si="2"/>
        <v>0</v>
      </c>
      <c r="S28" s="13"/>
      <c r="T28" s="11" t="e">
        <f t="shared" si="3"/>
        <v>#DIV/0!</v>
      </c>
      <c r="U28" s="11" t="e">
        <f t="shared" si="4"/>
        <v>#DIV/0!</v>
      </c>
      <c r="V28" s="11">
        <v>0</v>
      </c>
      <c r="W28" s="11">
        <v>0</v>
      </c>
      <c r="X28" s="11">
        <v>0</v>
      </c>
      <c r="Y28" s="11" t="s">
        <v>37</v>
      </c>
      <c r="Z28" s="1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62</v>
      </c>
      <c r="B29" s="1" t="s">
        <v>29</v>
      </c>
      <c r="C29" s="1">
        <v>12.301</v>
      </c>
      <c r="D29" s="1">
        <v>64.963999999999999</v>
      </c>
      <c r="E29" s="1">
        <v>43.698999999999998</v>
      </c>
      <c r="F29" s="1">
        <v>32.247999999999998</v>
      </c>
      <c r="G29" s="7">
        <v>1</v>
      </c>
      <c r="H29" s="1"/>
      <c r="I29" s="1" t="s">
        <v>30</v>
      </c>
      <c r="J29" s="1"/>
      <c r="K29" s="1">
        <v>45.5</v>
      </c>
      <c r="L29" s="1">
        <f t="shared" si="1"/>
        <v>-1.8010000000000019</v>
      </c>
      <c r="M29" s="1"/>
      <c r="N29" s="1"/>
      <c r="O29" s="1">
        <v>0</v>
      </c>
      <c r="P29" s="1">
        <v>0</v>
      </c>
      <c r="Q29" s="1">
        <v>14.7133870310641</v>
      </c>
      <c r="R29" s="1">
        <f t="shared" si="2"/>
        <v>8.7397999999999989</v>
      </c>
      <c r="S29" s="5">
        <f t="shared" ref="S29:S35" si="8">11*R29-Q29-P29-O29-F29</f>
        <v>49.176412968935885</v>
      </c>
      <c r="T29" s="1">
        <f t="shared" si="3"/>
        <v>11</v>
      </c>
      <c r="U29" s="1">
        <f t="shared" si="4"/>
        <v>5.3732793692148686</v>
      </c>
      <c r="V29" s="1">
        <v>4.5697999999999999</v>
      </c>
      <c r="W29" s="1">
        <v>0.8044</v>
      </c>
      <c r="X29" s="1">
        <v>1.3652</v>
      </c>
      <c r="Y29" s="1"/>
      <c r="Z29" s="1">
        <f t="shared" ref="Z29:Z35" si="9">G29*S29</f>
        <v>49.176412968935885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63</v>
      </c>
      <c r="B30" s="1" t="s">
        <v>29</v>
      </c>
      <c r="C30" s="1"/>
      <c r="D30" s="1">
        <v>18.414000000000001</v>
      </c>
      <c r="E30" s="1">
        <v>7.6449999999999996</v>
      </c>
      <c r="F30" s="1">
        <v>10.769</v>
      </c>
      <c r="G30" s="7">
        <v>1</v>
      </c>
      <c r="H30" s="1">
        <v>40</v>
      </c>
      <c r="I30" s="10" t="s">
        <v>34</v>
      </c>
      <c r="J30" s="1"/>
      <c r="K30" s="1">
        <v>6.5</v>
      </c>
      <c r="L30" s="1">
        <f t="shared" si="1"/>
        <v>1.1449999999999996</v>
      </c>
      <c r="M30" s="1"/>
      <c r="N30" s="1"/>
      <c r="O30" s="1">
        <v>4.8</v>
      </c>
      <c r="P30" s="1">
        <v>0</v>
      </c>
      <c r="Q30" s="1"/>
      <c r="R30" s="1">
        <f t="shared" si="2"/>
        <v>1.5289999999999999</v>
      </c>
      <c r="S30" s="5">
        <v>4</v>
      </c>
      <c r="T30" s="1">
        <f t="shared" si="3"/>
        <v>12.798561151079136</v>
      </c>
      <c r="U30" s="1">
        <f t="shared" si="4"/>
        <v>10.182472204054937</v>
      </c>
      <c r="V30" s="1">
        <v>0</v>
      </c>
      <c r="W30" s="1">
        <v>0</v>
      </c>
      <c r="X30" s="1">
        <v>0</v>
      </c>
      <c r="Y30" s="1"/>
      <c r="Z30" s="1">
        <f t="shared" si="9"/>
        <v>4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64</v>
      </c>
      <c r="B31" s="1" t="s">
        <v>29</v>
      </c>
      <c r="C31" s="1">
        <v>4.0110000000000001</v>
      </c>
      <c r="D31" s="1"/>
      <c r="E31" s="1">
        <v>5.391</v>
      </c>
      <c r="F31" s="1">
        <v>-1.38</v>
      </c>
      <c r="G31" s="7">
        <v>1</v>
      </c>
      <c r="H31" s="1">
        <v>30</v>
      </c>
      <c r="I31" s="10" t="s">
        <v>34</v>
      </c>
      <c r="J31" s="1"/>
      <c r="K31" s="1">
        <v>18.2</v>
      </c>
      <c r="L31" s="1">
        <f t="shared" si="1"/>
        <v>-12.808999999999999</v>
      </c>
      <c r="M31" s="1"/>
      <c r="N31" s="1"/>
      <c r="O31" s="1">
        <v>0</v>
      </c>
      <c r="P31" s="1">
        <v>250</v>
      </c>
      <c r="Q31" s="1"/>
      <c r="R31" s="1">
        <f t="shared" si="2"/>
        <v>1.0782</v>
      </c>
      <c r="S31" s="5"/>
      <c r="T31" s="1">
        <f t="shared" si="3"/>
        <v>230.58801706547951</v>
      </c>
      <c r="U31" s="1">
        <f t="shared" si="4"/>
        <v>230.58801706547951</v>
      </c>
      <c r="V31" s="1">
        <v>10.61</v>
      </c>
      <c r="W31" s="1">
        <v>10.623799999999999</v>
      </c>
      <c r="X31" s="1">
        <v>1.38</v>
      </c>
      <c r="Y31" s="1"/>
      <c r="Z31" s="1">
        <f t="shared" si="9"/>
        <v>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65</v>
      </c>
      <c r="B32" s="1" t="s">
        <v>29</v>
      </c>
      <c r="C32" s="1">
        <v>-8.6679999999999993</v>
      </c>
      <c r="D32" s="1">
        <v>308.142</v>
      </c>
      <c r="E32" s="1">
        <v>279.79199999999997</v>
      </c>
      <c r="F32" s="1">
        <v>19.681999999999999</v>
      </c>
      <c r="G32" s="7">
        <v>1</v>
      </c>
      <c r="H32" s="1">
        <v>40</v>
      </c>
      <c r="I32" s="1" t="s">
        <v>30</v>
      </c>
      <c r="J32" s="1"/>
      <c r="K32" s="1">
        <v>305.39999999999998</v>
      </c>
      <c r="L32" s="1">
        <f t="shared" si="1"/>
        <v>-25.608000000000004</v>
      </c>
      <c r="M32" s="1"/>
      <c r="N32" s="1"/>
      <c r="O32" s="1">
        <v>420</v>
      </c>
      <c r="P32" s="1">
        <v>0</v>
      </c>
      <c r="Q32" s="1">
        <v>357.00320000000011</v>
      </c>
      <c r="R32" s="1">
        <f t="shared" si="2"/>
        <v>55.958399999999997</v>
      </c>
      <c r="S32" s="5"/>
      <c r="T32" s="1">
        <f t="shared" si="3"/>
        <v>14.237097558186084</v>
      </c>
      <c r="U32" s="1">
        <f t="shared" si="4"/>
        <v>14.237097558186084</v>
      </c>
      <c r="V32" s="1">
        <v>72.36760000000001</v>
      </c>
      <c r="W32" s="1">
        <v>47.904000000000003</v>
      </c>
      <c r="X32" s="1">
        <v>60.401599999999988</v>
      </c>
      <c r="Y32" s="1"/>
      <c r="Z32" s="1">
        <f t="shared" si="9"/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66</v>
      </c>
      <c r="B33" s="1" t="s">
        <v>29</v>
      </c>
      <c r="C33" s="1"/>
      <c r="D33" s="1">
        <v>34.688000000000002</v>
      </c>
      <c r="E33" s="1"/>
      <c r="F33" s="1">
        <v>34.688000000000002</v>
      </c>
      <c r="G33" s="7">
        <v>1</v>
      </c>
      <c r="H33" s="1">
        <v>40</v>
      </c>
      <c r="I33" s="1" t="s">
        <v>30</v>
      </c>
      <c r="J33" s="1"/>
      <c r="K33" s="1"/>
      <c r="L33" s="1">
        <f t="shared" si="1"/>
        <v>0</v>
      </c>
      <c r="M33" s="1"/>
      <c r="N33" s="1"/>
      <c r="O33" s="1">
        <v>0</v>
      </c>
      <c r="P33" s="1">
        <v>0</v>
      </c>
      <c r="Q33" s="1">
        <v>10</v>
      </c>
      <c r="R33" s="1">
        <f t="shared" si="2"/>
        <v>0</v>
      </c>
      <c r="S33" s="5"/>
      <c r="T33" s="1" t="e">
        <f t="shared" si="3"/>
        <v>#DIV/0!</v>
      </c>
      <c r="U33" s="1" t="e">
        <f t="shared" si="4"/>
        <v>#DIV/0!</v>
      </c>
      <c r="V33" s="1">
        <v>0</v>
      </c>
      <c r="W33" s="1">
        <v>0</v>
      </c>
      <c r="X33" s="1">
        <v>0</v>
      </c>
      <c r="Y33" s="1"/>
      <c r="Z33" s="1">
        <f t="shared" si="9"/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67</v>
      </c>
      <c r="B34" s="1" t="s">
        <v>29</v>
      </c>
      <c r="C34" s="1">
        <v>40.838999999999999</v>
      </c>
      <c r="D34" s="1"/>
      <c r="E34" s="1">
        <v>1.3480000000000001</v>
      </c>
      <c r="F34" s="1">
        <v>39.491</v>
      </c>
      <c r="G34" s="7">
        <v>1</v>
      </c>
      <c r="H34" s="1">
        <v>30</v>
      </c>
      <c r="I34" s="10" t="s">
        <v>34</v>
      </c>
      <c r="J34" s="1"/>
      <c r="K34" s="1">
        <v>1.3</v>
      </c>
      <c r="L34" s="1">
        <f t="shared" si="1"/>
        <v>4.8000000000000043E-2</v>
      </c>
      <c r="M34" s="1"/>
      <c r="N34" s="1"/>
      <c r="O34" s="1">
        <v>0</v>
      </c>
      <c r="P34" s="1">
        <v>0</v>
      </c>
      <c r="Q34" s="1"/>
      <c r="R34" s="1">
        <f t="shared" si="2"/>
        <v>0.26960000000000001</v>
      </c>
      <c r="S34" s="5"/>
      <c r="T34" s="1">
        <f t="shared" si="3"/>
        <v>146.4799703264095</v>
      </c>
      <c r="U34" s="1">
        <f t="shared" si="4"/>
        <v>146.4799703264095</v>
      </c>
      <c r="V34" s="1">
        <v>0.26960000000000001</v>
      </c>
      <c r="W34" s="1">
        <v>0</v>
      </c>
      <c r="X34" s="1">
        <v>0</v>
      </c>
      <c r="Y34" s="17" t="s">
        <v>52</v>
      </c>
      <c r="Z34" s="1">
        <f t="shared" si="9"/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68</v>
      </c>
      <c r="B35" s="1" t="s">
        <v>29</v>
      </c>
      <c r="C35" s="1">
        <v>-6.3840000000000003</v>
      </c>
      <c r="D35" s="1">
        <v>213.096</v>
      </c>
      <c r="E35" s="1">
        <v>10.884</v>
      </c>
      <c r="F35" s="1">
        <v>193.999</v>
      </c>
      <c r="G35" s="7">
        <v>1</v>
      </c>
      <c r="H35" s="1">
        <v>50</v>
      </c>
      <c r="I35" s="1" t="s">
        <v>30</v>
      </c>
      <c r="J35" s="1"/>
      <c r="K35" s="1">
        <v>10.199999999999999</v>
      </c>
      <c r="L35" s="1">
        <f t="shared" si="1"/>
        <v>0.68400000000000105</v>
      </c>
      <c r="M35" s="1"/>
      <c r="N35" s="1"/>
      <c r="O35" s="1">
        <v>12</v>
      </c>
      <c r="P35" s="1">
        <v>0</v>
      </c>
      <c r="Q35" s="1"/>
      <c r="R35" s="1">
        <f t="shared" si="2"/>
        <v>2.1768000000000001</v>
      </c>
      <c r="S35" s="5"/>
      <c r="T35" s="1">
        <f t="shared" si="3"/>
        <v>94.633866225652326</v>
      </c>
      <c r="U35" s="1">
        <f t="shared" si="4"/>
        <v>94.633866225652326</v>
      </c>
      <c r="V35" s="1">
        <v>2.9064000000000001</v>
      </c>
      <c r="W35" s="1">
        <v>1.2767999999999999</v>
      </c>
      <c r="X35" s="1">
        <v>-0.1764</v>
      </c>
      <c r="Y35" s="1" t="s">
        <v>58</v>
      </c>
      <c r="Z35" s="1">
        <f t="shared" si="9"/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4" t="s">
        <v>69</v>
      </c>
      <c r="B36" s="11" t="s">
        <v>29</v>
      </c>
      <c r="C36" s="11">
        <v>-6.3449999999999998</v>
      </c>
      <c r="D36" s="11"/>
      <c r="E36" s="11">
        <v>3.5670000000000002</v>
      </c>
      <c r="F36" s="11">
        <v>-9.9120000000000008</v>
      </c>
      <c r="G36" s="12">
        <v>0</v>
      </c>
      <c r="H36" s="11"/>
      <c r="I36" s="14" t="s">
        <v>47</v>
      </c>
      <c r="J36" s="11"/>
      <c r="K36" s="11">
        <v>3.6</v>
      </c>
      <c r="L36" s="11">
        <f t="shared" si="1"/>
        <v>-3.2999999999999918E-2</v>
      </c>
      <c r="M36" s="11"/>
      <c r="N36" s="11"/>
      <c r="O36" s="11"/>
      <c r="P36" s="11">
        <v>0</v>
      </c>
      <c r="Q36" s="11"/>
      <c r="R36" s="11">
        <f t="shared" si="2"/>
        <v>0.71340000000000003</v>
      </c>
      <c r="S36" s="13"/>
      <c r="T36" s="11">
        <f t="shared" si="3"/>
        <v>-13.894028595458369</v>
      </c>
      <c r="U36" s="11">
        <f t="shared" si="4"/>
        <v>-13.894028595458369</v>
      </c>
      <c r="V36" s="11">
        <v>1.6186</v>
      </c>
      <c r="W36" s="11">
        <v>1.2689999999999999</v>
      </c>
      <c r="X36" s="11">
        <v>0</v>
      </c>
      <c r="Y36" s="11"/>
      <c r="Z36" s="1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70</v>
      </c>
      <c r="B37" s="1" t="s">
        <v>29</v>
      </c>
      <c r="C37" s="1"/>
      <c r="D37" s="1">
        <v>103.932</v>
      </c>
      <c r="E37" s="1">
        <v>5.4119999999999999</v>
      </c>
      <c r="F37" s="1">
        <v>97.603999999999999</v>
      </c>
      <c r="G37" s="7">
        <v>1</v>
      </c>
      <c r="H37" s="1">
        <v>50</v>
      </c>
      <c r="I37" s="1" t="s">
        <v>30</v>
      </c>
      <c r="J37" s="1"/>
      <c r="K37" s="1">
        <v>5.8</v>
      </c>
      <c r="L37" s="1">
        <f t="shared" si="1"/>
        <v>-0.3879999999999999</v>
      </c>
      <c r="M37" s="1"/>
      <c r="N37" s="1"/>
      <c r="O37" s="1">
        <v>0</v>
      </c>
      <c r="P37" s="1">
        <v>0</v>
      </c>
      <c r="Q37" s="1"/>
      <c r="R37" s="1">
        <f t="shared" si="2"/>
        <v>1.0824</v>
      </c>
      <c r="S37" s="5"/>
      <c r="T37" s="1">
        <f t="shared" si="3"/>
        <v>90.173688100517367</v>
      </c>
      <c r="U37" s="1">
        <f t="shared" si="4"/>
        <v>90.173688100517367</v>
      </c>
      <c r="V37" s="1">
        <v>0.90259999999999996</v>
      </c>
      <c r="W37" s="1">
        <v>0</v>
      </c>
      <c r="X37" s="1">
        <v>0.36520000000000002</v>
      </c>
      <c r="Y37" s="1"/>
      <c r="Z37" s="1">
        <f t="shared" ref="Z37:Z71" si="10">G37*S37</f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9" t="s">
        <v>71</v>
      </c>
      <c r="B38" s="1" t="s">
        <v>36</v>
      </c>
      <c r="C38" s="1">
        <v>7</v>
      </c>
      <c r="D38" s="1">
        <v>462</v>
      </c>
      <c r="E38" s="1">
        <v>267</v>
      </c>
      <c r="F38" s="1">
        <v>156</v>
      </c>
      <c r="G38" s="7">
        <v>0.4</v>
      </c>
      <c r="H38" s="1">
        <v>45</v>
      </c>
      <c r="I38" s="10" t="s">
        <v>34</v>
      </c>
      <c r="J38" s="1"/>
      <c r="K38" s="1">
        <v>399</v>
      </c>
      <c r="L38" s="1">
        <f t="shared" ref="L38:L69" si="11">E38-K38</f>
        <v>-132</v>
      </c>
      <c r="M38" s="1"/>
      <c r="N38" s="1"/>
      <c r="O38" s="1">
        <v>60</v>
      </c>
      <c r="P38" s="1">
        <v>300</v>
      </c>
      <c r="Q38" s="1">
        <v>200</v>
      </c>
      <c r="R38" s="1">
        <f t="shared" ref="R38:R69" si="12">E38/5</f>
        <v>53.4</v>
      </c>
      <c r="S38" s="5">
        <v>100</v>
      </c>
      <c r="T38" s="1">
        <f t="shared" ref="T38:T69" si="13">(F38+O38+P38+Q38+S38)/R38</f>
        <v>15.280898876404494</v>
      </c>
      <c r="U38" s="1">
        <f t="shared" ref="U38:U69" si="14">(F38+O38+P38+Q38)/R38</f>
        <v>13.408239700374532</v>
      </c>
      <c r="V38" s="1">
        <v>26.6</v>
      </c>
      <c r="W38" s="1">
        <v>28.2</v>
      </c>
      <c r="X38" s="1">
        <v>39</v>
      </c>
      <c r="Y38" s="1"/>
      <c r="Z38" s="1">
        <f t="shared" si="10"/>
        <v>40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72</v>
      </c>
      <c r="B39" s="1" t="s">
        <v>36</v>
      </c>
      <c r="C39" s="1">
        <v>500</v>
      </c>
      <c r="D39" s="1">
        <v>8</v>
      </c>
      <c r="E39" s="1">
        <v>197</v>
      </c>
      <c r="F39" s="1">
        <v>306</v>
      </c>
      <c r="G39" s="7">
        <v>0.45</v>
      </c>
      <c r="H39" s="1">
        <v>50</v>
      </c>
      <c r="I39" s="1" t="s">
        <v>30</v>
      </c>
      <c r="J39" s="1"/>
      <c r="K39" s="1">
        <v>198</v>
      </c>
      <c r="L39" s="1">
        <f t="shared" si="11"/>
        <v>-1</v>
      </c>
      <c r="M39" s="1"/>
      <c r="N39" s="1"/>
      <c r="O39" s="1">
        <v>0</v>
      </c>
      <c r="P39" s="1">
        <v>0</v>
      </c>
      <c r="Q39" s="1">
        <v>127.4</v>
      </c>
      <c r="R39" s="1">
        <f t="shared" si="12"/>
        <v>39.4</v>
      </c>
      <c r="S39" s="5"/>
      <c r="T39" s="1">
        <f t="shared" si="13"/>
        <v>11</v>
      </c>
      <c r="U39" s="1">
        <f t="shared" si="14"/>
        <v>11</v>
      </c>
      <c r="V39" s="1">
        <v>42.2</v>
      </c>
      <c r="W39" s="1">
        <v>30.8</v>
      </c>
      <c r="X39" s="1">
        <v>24.6</v>
      </c>
      <c r="Y39" s="1"/>
      <c r="Z39" s="1">
        <f t="shared" si="10"/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73</v>
      </c>
      <c r="B40" s="1" t="s">
        <v>36</v>
      </c>
      <c r="C40" s="1">
        <v>-85</v>
      </c>
      <c r="D40" s="1">
        <v>269</v>
      </c>
      <c r="E40" s="1">
        <v>140</v>
      </c>
      <c r="F40" s="1">
        <v>31</v>
      </c>
      <c r="G40" s="7">
        <v>0.4</v>
      </c>
      <c r="H40" s="1">
        <v>45</v>
      </c>
      <c r="I40" s="1" t="s">
        <v>30</v>
      </c>
      <c r="J40" s="1"/>
      <c r="K40" s="1">
        <v>267</v>
      </c>
      <c r="L40" s="1">
        <f t="shared" si="11"/>
        <v>-127</v>
      </c>
      <c r="M40" s="1"/>
      <c r="N40" s="1"/>
      <c r="O40" s="1">
        <v>180</v>
      </c>
      <c r="P40" s="1">
        <v>250</v>
      </c>
      <c r="Q40" s="1">
        <v>150</v>
      </c>
      <c r="R40" s="1">
        <f t="shared" si="12"/>
        <v>28</v>
      </c>
      <c r="S40" s="5"/>
      <c r="T40" s="1">
        <f t="shared" si="13"/>
        <v>21.821428571428573</v>
      </c>
      <c r="U40" s="1">
        <f t="shared" si="14"/>
        <v>21.821428571428573</v>
      </c>
      <c r="V40" s="1">
        <v>30.6</v>
      </c>
      <c r="W40" s="1">
        <v>40.799999999999997</v>
      </c>
      <c r="X40" s="1">
        <v>33</v>
      </c>
      <c r="Y40" s="1"/>
      <c r="Z40" s="1">
        <f t="shared" si="10"/>
        <v>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74</v>
      </c>
      <c r="B41" s="1" t="s">
        <v>36</v>
      </c>
      <c r="C41" s="1">
        <v>-4</v>
      </c>
      <c r="D41" s="1">
        <v>180</v>
      </c>
      <c r="E41" s="1">
        <v>84</v>
      </c>
      <c r="F41" s="1">
        <v>90</v>
      </c>
      <c r="G41" s="7">
        <v>0.4</v>
      </c>
      <c r="H41" s="1">
        <v>40</v>
      </c>
      <c r="I41" s="1" t="s">
        <v>30</v>
      </c>
      <c r="J41" s="1"/>
      <c r="K41" s="1">
        <v>135</v>
      </c>
      <c r="L41" s="1">
        <f t="shared" si="11"/>
        <v>-51</v>
      </c>
      <c r="M41" s="1"/>
      <c r="N41" s="1"/>
      <c r="O41" s="1">
        <v>60</v>
      </c>
      <c r="P41" s="1">
        <v>60</v>
      </c>
      <c r="Q41" s="1">
        <v>50</v>
      </c>
      <c r="R41" s="1">
        <f t="shared" si="12"/>
        <v>16.8</v>
      </c>
      <c r="S41" s="5">
        <v>30</v>
      </c>
      <c r="T41" s="1">
        <f t="shared" si="13"/>
        <v>17.261904761904763</v>
      </c>
      <c r="U41" s="1">
        <f t="shared" si="14"/>
        <v>15.476190476190476</v>
      </c>
      <c r="V41" s="1">
        <v>14.4</v>
      </c>
      <c r="W41" s="1">
        <v>0.8</v>
      </c>
      <c r="X41" s="1">
        <v>0</v>
      </c>
      <c r="Y41" s="1"/>
      <c r="Z41" s="1">
        <f t="shared" si="10"/>
        <v>12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9" t="s">
        <v>75</v>
      </c>
      <c r="B42" s="1" t="s">
        <v>29</v>
      </c>
      <c r="C42" s="1">
        <v>32.734000000000002</v>
      </c>
      <c r="D42" s="1">
        <v>30.923999999999999</v>
      </c>
      <c r="E42" s="1"/>
      <c r="F42" s="1">
        <v>58</v>
      </c>
      <c r="G42" s="7">
        <v>1</v>
      </c>
      <c r="H42" s="1">
        <v>45</v>
      </c>
      <c r="I42" s="10" t="s">
        <v>34</v>
      </c>
      <c r="J42" s="1"/>
      <c r="K42" s="1">
        <v>6</v>
      </c>
      <c r="L42" s="1">
        <f t="shared" si="11"/>
        <v>-6</v>
      </c>
      <c r="M42" s="1"/>
      <c r="N42" s="1"/>
      <c r="O42" s="1">
        <v>0</v>
      </c>
      <c r="P42" s="1">
        <v>0</v>
      </c>
      <c r="Q42" s="1"/>
      <c r="R42" s="1">
        <f t="shared" si="12"/>
        <v>0</v>
      </c>
      <c r="S42" s="5"/>
      <c r="T42" s="1" t="e">
        <f t="shared" si="13"/>
        <v>#DIV/0!</v>
      </c>
      <c r="U42" s="1" t="e">
        <f t="shared" si="14"/>
        <v>#DIV/0!</v>
      </c>
      <c r="V42" s="1">
        <v>0.28079999999999999</v>
      </c>
      <c r="W42" s="1">
        <v>0.28079999999999999</v>
      </c>
      <c r="X42" s="1">
        <v>0.86159999999999992</v>
      </c>
      <c r="Y42" s="18" t="s">
        <v>167</v>
      </c>
      <c r="Z42" s="1">
        <f t="shared" si="10"/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76</v>
      </c>
      <c r="B43" s="1" t="s">
        <v>36</v>
      </c>
      <c r="C43" s="1">
        <v>133</v>
      </c>
      <c r="D43" s="1">
        <v>260</v>
      </c>
      <c r="E43" s="1">
        <v>50</v>
      </c>
      <c r="F43" s="1">
        <v>333</v>
      </c>
      <c r="G43" s="7">
        <v>0.1</v>
      </c>
      <c r="H43" s="1">
        <v>731</v>
      </c>
      <c r="I43" s="1" t="s">
        <v>30</v>
      </c>
      <c r="J43" s="1"/>
      <c r="K43" s="1">
        <v>50</v>
      </c>
      <c r="L43" s="1">
        <f t="shared" si="11"/>
        <v>0</v>
      </c>
      <c r="M43" s="1"/>
      <c r="N43" s="1"/>
      <c r="O43" s="1">
        <v>0</v>
      </c>
      <c r="P43" s="1">
        <v>0</v>
      </c>
      <c r="Q43" s="1"/>
      <c r="R43" s="1">
        <f t="shared" si="12"/>
        <v>10</v>
      </c>
      <c r="S43" s="5"/>
      <c r="T43" s="1">
        <f t="shared" si="13"/>
        <v>33.299999999999997</v>
      </c>
      <c r="U43" s="1">
        <f t="shared" si="14"/>
        <v>33.299999999999997</v>
      </c>
      <c r="V43" s="1">
        <v>7.4</v>
      </c>
      <c r="W43" s="1">
        <v>3.4</v>
      </c>
      <c r="X43" s="1">
        <v>6.6</v>
      </c>
      <c r="Y43" s="18" t="s">
        <v>168</v>
      </c>
      <c r="Z43" s="1">
        <f t="shared" si="10"/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9" t="s">
        <v>77</v>
      </c>
      <c r="B44" s="1" t="s">
        <v>36</v>
      </c>
      <c r="C44" s="1"/>
      <c r="D44" s="1"/>
      <c r="E44" s="1"/>
      <c r="F44" s="1"/>
      <c r="G44" s="7">
        <v>0.35</v>
      </c>
      <c r="H44" s="1">
        <v>40</v>
      </c>
      <c r="I44" s="10" t="s">
        <v>34</v>
      </c>
      <c r="J44" s="1"/>
      <c r="K44" s="1">
        <v>6</v>
      </c>
      <c r="L44" s="1">
        <f t="shared" si="11"/>
        <v>-6</v>
      </c>
      <c r="M44" s="1"/>
      <c r="N44" s="1"/>
      <c r="O44" s="1">
        <v>4.8</v>
      </c>
      <c r="P44" s="1">
        <v>60</v>
      </c>
      <c r="Q44" s="1"/>
      <c r="R44" s="1">
        <f t="shared" si="12"/>
        <v>0</v>
      </c>
      <c r="S44" s="5"/>
      <c r="T44" s="1" t="e">
        <f t="shared" si="13"/>
        <v>#DIV/0!</v>
      </c>
      <c r="U44" s="1" t="e">
        <f t="shared" si="14"/>
        <v>#DIV/0!</v>
      </c>
      <c r="V44" s="1">
        <v>0</v>
      </c>
      <c r="W44" s="1">
        <v>0</v>
      </c>
      <c r="X44" s="1">
        <v>0.2</v>
      </c>
      <c r="Y44" s="1"/>
      <c r="Z44" s="1">
        <f t="shared" si="10"/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78</v>
      </c>
      <c r="B45" s="1" t="s">
        <v>29</v>
      </c>
      <c r="C45" s="1">
        <v>-5.0449999999999999</v>
      </c>
      <c r="D45" s="1">
        <v>69.281000000000006</v>
      </c>
      <c r="E45" s="1">
        <v>29.539000000000001</v>
      </c>
      <c r="F45" s="1">
        <v>33.255000000000003</v>
      </c>
      <c r="G45" s="7">
        <v>1</v>
      </c>
      <c r="H45" s="1">
        <v>40</v>
      </c>
      <c r="I45" s="1" t="s">
        <v>30</v>
      </c>
      <c r="J45" s="1"/>
      <c r="K45" s="1">
        <v>40.6</v>
      </c>
      <c r="L45" s="1">
        <f t="shared" si="11"/>
        <v>-11.061</v>
      </c>
      <c r="M45" s="1"/>
      <c r="N45" s="1"/>
      <c r="O45" s="1">
        <v>48</v>
      </c>
      <c r="P45" s="1">
        <v>0</v>
      </c>
      <c r="Q45" s="1">
        <v>10</v>
      </c>
      <c r="R45" s="1">
        <f t="shared" si="12"/>
        <v>5.9077999999999999</v>
      </c>
      <c r="S45" s="5"/>
      <c r="T45" s="1">
        <f t="shared" si="13"/>
        <v>15.446528318494193</v>
      </c>
      <c r="U45" s="1">
        <f t="shared" si="14"/>
        <v>15.446528318494193</v>
      </c>
      <c r="V45" s="1">
        <v>5.9042000000000003</v>
      </c>
      <c r="W45" s="1">
        <v>1.0089999999999999</v>
      </c>
      <c r="X45" s="1">
        <v>0</v>
      </c>
      <c r="Y45" s="1" t="s">
        <v>58</v>
      </c>
      <c r="Z45" s="1">
        <f t="shared" si="10"/>
        <v>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9" t="s">
        <v>79</v>
      </c>
      <c r="B46" s="1" t="s">
        <v>36</v>
      </c>
      <c r="C46" s="1">
        <v>-3</v>
      </c>
      <c r="D46" s="1">
        <v>90</v>
      </c>
      <c r="E46" s="1">
        <v>67</v>
      </c>
      <c r="F46" s="1">
        <v>19</v>
      </c>
      <c r="G46" s="7">
        <v>0.4</v>
      </c>
      <c r="H46" s="1">
        <v>40</v>
      </c>
      <c r="I46" s="10" t="s">
        <v>34</v>
      </c>
      <c r="J46" s="1"/>
      <c r="K46" s="1">
        <v>113</v>
      </c>
      <c r="L46" s="1">
        <f t="shared" si="11"/>
        <v>-46</v>
      </c>
      <c r="M46" s="1"/>
      <c r="N46" s="1"/>
      <c r="O46" s="1">
        <v>180</v>
      </c>
      <c r="P46" s="1">
        <v>150</v>
      </c>
      <c r="Q46" s="1"/>
      <c r="R46" s="1">
        <f t="shared" si="12"/>
        <v>13.4</v>
      </c>
      <c r="S46" s="5"/>
      <c r="T46" s="1">
        <f t="shared" si="13"/>
        <v>26.044776119402986</v>
      </c>
      <c r="U46" s="1">
        <f t="shared" si="14"/>
        <v>26.044776119402986</v>
      </c>
      <c r="V46" s="1">
        <v>1</v>
      </c>
      <c r="W46" s="1">
        <v>6.4</v>
      </c>
      <c r="X46" s="1">
        <v>11.2</v>
      </c>
      <c r="Y46" s="1"/>
      <c r="Z46" s="1">
        <f t="shared" si="10"/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9" t="s">
        <v>80</v>
      </c>
      <c r="B47" s="1" t="s">
        <v>36</v>
      </c>
      <c r="C47" s="1">
        <v>-6</v>
      </c>
      <c r="D47" s="1">
        <v>180</v>
      </c>
      <c r="E47" s="1">
        <v>51</v>
      </c>
      <c r="F47" s="1">
        <v>116</v>
      </c>
      <c r="G47" s="7">
        <v>0.4</v>
      </c>
      <c r="H47" s="1">
        <v>45</v>
      </c>
      <c r="I47" s="10" t="s">
        <v>34</v>
      </c>
      <c r="J47" s="1"/>
      <c r="K47" s="1">
        <v>108</v>
      </c>
      <c r="L47" s="1">
        <f t="shared" si="11"/>
        <v>-57</v>
      </c>
      <c r="M47" s="1"/>
      <c r="N47" s="1"/>
      <c r="O47" s="1">
        <v>30</v>
      </c>
      <c r="P47" s="1">
        <v>0</v>
      </c>
      <c r="Q47" s="1"/>
      <c r="R47" s="1">
        <f t="shared" si="12"/>
        <v>10.199999999999999</v>
      </c>
      <c r="S47" s="5">
        <v>20</v>
      </c>
      <c r="T47" s="1">
        <f t="shared" si="13"/>
        <v>16.274509803921571</v>
      </c>
      <c r="U47" s="1">
        <f t="shared" si="14"/>
        <v>14.313725490196079</v>
      </c>
      <c r="V47" s="1">
        <v>2.8</v>
      </c>
      <c r="W47" s="1">
        <v>16.8</v>
      </c>
      <c r="X47" s="1">
        <v>13.6</v>
      </c>
      <c r="Y47" s="1"/>
      <c r="Z47" s="1">
        <f t="shared" si="10"/>
        <v>8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9" t="s">
        <v>81</v>
      </c>
      <c r="B48" s="1" t="s">
        <v>29</v>
      </c>
      <c r="C48" s="1">
        <v>-9.4909999999999997</v>
      </c>
      <c r="D48" s="1">
        <v>102.254</v>
      </c>
      <c r="E48" s="1">
        <v>72.686999999999998</v>
      </c>
      <c r="F48" s="1">
        <v>19.167999999999999</v>
      </c>
      <c r="G48" s="7">
        <v>1</v>
      </c>
      <c r="H48" s="1">
        <v>40</v>
      </c>
      <c r="I48" s="10" t="s">
        <v>34</v>
      </c>
      <c r="J48" s="1"/>
      <c r="K48" s="1">
        <v>77.8</v>
      </c>
      <c r="L48" s="1">
        <f t="shared" si="11"/>
        <v>-5.1129999999999995</v>
      </c>
      <c r="M48" s="1"/>
      <c r="N48" s="1"/>
      <c r="O48" s="1">
        <v>60</v>
      </c>
      <c r="P48" s="1">
        <v>20</v>
      </c>
      <c r="Q48" s="1">
        <v>52.641200000000012</v>
      </c>
      <c r="R48" s="1">
        <f t="shared" si="12"/>
        <v>14.5374</v>
      </c>
      <c r="S48" s="5">
        <f t="shared" ref="S37:S71" si="15">11*R48-Q48-P48-O48-F48</f>
        <v>8.102199999999975</v>
      </c>
      <c r="T48" s="1">
        <f t="shared" si="13"/>
        <v>11.000000000000002</v>
      </c>
      <c r="U48" s="1">
        <f t="shared" si="14"/>
        <v>10.442665125813422</v>
      </c>
      <c r="V48" s="1">
        <v>13.6366</v>
      </c>
      <c r="W48" s="1">
        <v>1.7524</v>
      </c>
      <c r="X48" s="1">
        <v>0</v>
      </c>
      <c r="Y48" s="1" t="s">
        <v>58</v>
      </c>
      <c r="Z48" s="1">
        <f t="shared" si="10"/>
        <v>8.102199999999975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9" t="s">
        <v>82</v>
      </c>
      <c r="B49" s="1" t="s">
        <v>36</v>
      </c>
      <c r="C49" s="1"/>
      <c r="D49" s="1"/>
      <c r="E49" s="1"/>
      <c r="F49" s="1"/>
      <c r="G49" s="7">
        <v>0.35</v>
      </c>
      <c r="H49" s="1">
        <v>40</v>
      </c>
      <c r="I49" s="10" t="s">
        <v>34</v>
      </c>
      <c r="J49" s="1"/>
      <c r="K49" s="1">
        <v>24</v>
      </c>
      <c r="L49" s="1">
        <f t="shared" si="11"/>
        <v>-24</v>
      </c>
      <c r="M49" s="1"/>
      <c r="N49" s="1"/>
      <c r="O49" s="1">
        <v>0</v>
      </c>
      <c r="P49" s="1">
        <v>250</v>
      </c>
      <c r="Q49" s="1"/>
      <c r="R49" s="1">
        <f t="shared" si="12"/>
        <v>0</v>
      </c>
      <c r="S49" s="5"/>
      <c r="T49" s="1" t="e">
        <f t="shared" si="13"/>
        <v>#DIV/0!</v>
      </c>
      <c r="U49" s="1" t="e">
        <f t="shared" si="14"/>
        <v>#DIV/0!</v>
      </c>
      <c r="V49" s="1">
        <v>0</v>
      </c>
      <c r="W49" s="1">
        <v>0</v>
      </c>
      <c r="X49" s="1">
        <v>0.2</v>
      </c>
      <c r="Y49" s="1"/>
      <c r="Z49" s="1">
        <f t="shared" si="10"/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83</v>
      </c>
      <c r="B50" s="1" t="s">
        <v>36</v>
      </c>
      <c r="C50" s="1">
        <v>280</v>
      </c>
      <c r="D50" s="1">
        <v>16</v>
      </c>
      <c r="E50" s="1">
        <v>159</v>
      </c>
      <c r="F50" s="1">
        <v>119</v>
      </c>
      <c r="G50" s="7">
        <v>0.4</v>
      </c>
      <c r="H50" s="1">
        <v>40</v>
      </c>
      <c r="I50" s="1" t="s">
        <v>30</v>
      </c>
      <c r="J50" s="1"/>
      <c r="K50" s="1">
        <v>179</v>
      </c>
      <c r="L50" s="1">
        <f t="shared" si="11"/>
        <v>-20</v>
      </c>
      <c r="M50" s="1"/>
      <c r="N50" s="1"/>
      <c r="O50" s="1">
        <v>0</v>
      </c>
      <c r="P50" s="1">
        <v>141.19999999999999</v>
      </c>
      <c r="Q50" s="1">
        <v>201.6</v>
      </c>
      <c r="R50" s="1">
        <f t="shared" si="12"/>
        <v>31.8</v>
      </c>
      <c r="S50" s="5"/>
      <c r="T50" s="1">
        <f t="shared" si="13"/>
        <v>14.52201257861635</v>
      </c>
      <c r="U50" s="1">
        <f t="shared" si="14"/>
        <v>14.52201257861635</v>
      </c>
      <c r="V50" s="1">
        <v>42.4</v>
      </c>
      <c r="W50" s="1">
        <v>36.200000000000003</v>
      </c>
      <c r="X50" s="1">
        <v>21.6</v>
      </c>
      <c r="Y50" s="1"/>
      <c r="Z50" s="1">
        <f t="shared" si="10"/>
        <v>0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84</v>
      </c>
      <c r="B51" s="1" t="s">
        <v>29</v>
      </c>
      <c r="C51" s="1">
        <v>-5.444</v>
      </c>
      <c r="D51" s="1">
        <v>25.693999999999999</v>
      </c>
      <c r="E51" s="1">
        <v>16.495999999999999</v>
      </c>
      <c r="F51" s="1">
        <v>-0.311</v>
      </c>
      <c r="G51" s="7">
        <v>1</v>
      </c>
      <c r="H51" s="1">
        <v>50</v>
      </c>
      <c r="I51" s="1" t="s">
        <v>30</v>
      </c>
      <c r="J51" s="1"/>
      <c r="K51" s="1">
        <v>45</v>
      </c>
      <c r="L51" s="1">
        <f t="shared" si="11"/>
        <v>-28.504000000000001</v>
      </c>
      <c r="M51" s="1"/>
      <c r="N51" s="1"/>
      <c r="O51" s="1">
        <v>126.0875110301284</v>
      </c>
      <c r="P51" s="1">
        <v>0</v>
      </c>
      <c r="Q51" s="1"/>
      <c r="R51" s="1">
        <f t="shared" si="12"/>
        <v>3.2991999999999999</v>
      </c>
      <c r="S51" s="5"/>
      <c r="T51" s="1">
        <f t="shared" si="13"/>
        <v>38.123336272468599</v>
      </c>
      <c r="U51" s="1">
        <f t="shared" si="14"/>
        <v>38.123336272468599</v>
      </c>
      <c r="V51" s="1">
        <v>0.27300000000000002</v>
      </c>
      <c r="W51" s="1">
        <v>4.8428000000000004</v>
      </c>
      <c r="X51" s="1">
        <v>10.234400000000001</v>
      </c>
      <c r="Y51" s="1"/>
      <c r="Z51" s="1">
        <f t="shared" si="10"/>
        <v>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85</v>
      </c>
      <c r="B52" s="1" t="s">
        <v>29</v>
      </c>
      <c r="C52" s="1">
        <v>-31.928000000000001</v>
      </c>
      <c r="D52" s="1">
        <v>136.87700000000001</v>
      </c>
      <c r="E52" s="1">
        <v>102.15300000000001</v>
      </c>
      <c r="F52" s="1">
        <v>-2.5999999999999999E-2</v>
      </c>
      <c r="G52" s="7">
        <v>1</v>
      </c>
      <c r="H52" s="1">
        <v>50</v>
      </c>
      <c r="I52" s="1" t="s">
        <v>30</v>
      </c>
      <c r="J52" s="1"/>
      <c r="K52" s="1">
        <v>104.7</v>
      </c>
      <c r="L52" s="1">
        <f t="shared" si="11"/>
        <v>-2.546999999999997</v>
      </c>
      <c r="M52" s="1"/>
      <c r="N52" s="1"/>
      <c r="O52" s="1">
        <v>0</v>
      </c>
      <c r="P52" s="1">
        <v>54.752200000000023</v>
      </c>
      <c r="Q52" s="1">
        <v>112.13199999999991</v>
      </c>
      <c r="R52" s="1">
        <f t="shared" si="12"/>
        <v>20.430600000000002</v>
      </c>
      <c r="S52" s="5">
        <f t="shared" si="15"/>
        <v>57.878400000000084</v>
      </c>
      <c r="T52" s="1">
        <f t="shared" si="13"/>
        <v>11</v>
      </c>
      <c r="U52" s="1">
        <f t="shared" si="14"/>
        <v>8.1670729200317123</v>
      </c>
      <c r="V52" s="1">
        <v>18.401599999999998</v>
      </c>
      <c r="W52" s="1">
        <v>12.501200000000001</v>
      </c>
      <c r="X52" s="1">
        <v>3.7355999999999998</v>
      </c>
      <c r="Y52" s="1" t="s">
        <v>58</v>
      </c>
      <c r="Z52" s="1">
        <f t="shared" si="10"/>
        <v>57.878400000000084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9" t="s">
        <v>86</v>
      </c>
      <c r="B53" s="1" t="s">
        <v>29</v>
      </c>
      <c r="C53" s="1"/>
      <c r="D53" s="1">
        <v>155.71100000000001</v>
      </c>
      <c r="E53" s="1">
        <v>24.593</v>
      </c>
      <c r="F53" s="1">
        <v>131.11799999999999</v>
      </c>
      <c r="G53" s="7">
        <v>1</v>
      </c>
      <c r="H53" s="1">
        <v>45</v>
      </c>
      <c r="I53" s="10" t="s">
        <v>34</v>
      </c>
      <c r="J53" s="1"/>
      <c r="K53" s="1">
        <v>20.8</v>
      </c>
      <c r="L53" s="1">
        <f t="shared" si="11"/>
        <v>3.7929999999999993</v>
      </c>
      <c r="M53" s="1"/>
      <c r="N53" s="1"/>
      <c r="O53" s="1">
        <v>0</v>
      </c>
      <c r="P53" s="1">
        <v>0</v>
      </c>
      <c r="Q53" s="1"/>
      <c r="R53" s="1">
        <f t="shared" si="12"/>
        <v>4.9185999999999996</v>
      </c>
      <c r="S53" s="5"/>
      <c r="T53" s="1">
        <f t="shared" si="13"/>
        <v>26.657585491806614</v>
      </c>
      <c r="U53" s="1">
        <f t="shared" si="14"/>
        <v>26.657585491806614</v>
      </c>
      <c r="V53" s="1">
        <v>2.7618</v>
      </c>
      <c r="W53" s="1">
        <v>0</v>
      </c>
      <c r="X53" s="1">
        <v>0</v>
      </c>
      <c r="Y53" s="1"/>
      <c r="Z53" s="1">
        <f t="shared" si="10"/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87</v>
      </c>
      <c r="B54" s="1" t="s">
        <v>36</v>
      </c>
      <c r="C54" s="1">
        <v>134</v>
      </c>
      <c r="D54" s="1">
        <v>108</v>
      </c>
      <c r="E54" s="1">
        <v>46</v>
      </c>
      <c r="F54" s="1">
        <v>193</v>
      </c>
      <c r="G54" s="7">
        <v>0.45</v>
      </c>
      <c r="H54" s="1">
        <v>50</v>
      </c>
      <c r="I54" s="1" t="s">
        <v>30</v>
      </c>
      <c r="J54" s="1"/>
      <c r="K54" s="1">
        <v>48</v>
      </c>
      <c r="L54" s="1">
        <f t="shared" si="11"/>
        <v>-2</v>
      </c>
      <c r="M54" s="1"/>
      <c r="N54" s="1"/>
      <c r="O54" s="1">
        <v>0</v>
      </c>
      <c r="P54" s="1">
        <v>0</v>
      </c>
      <c r="Q54" s="1"/>
      <c r="R54" s="1">
        <f t="shared" si="12"/>
        <v>9.1999999999999993</v>
      </c>
      <c r="S54" s="5"/>
      <c r="T54" s="1">
        <f t="shared" si="13"/>
        <v>20.978260869565219</v>
      </c>
      <c r="U54" s="1">
        <f t="shared" si="14"/>
        <v>20.978260869565219</v>
      </c>
      <c r="V54" s="1">
        <v>16</v>
      </c>
      <c r="W54" s="1">
        <v>15.4</v>
      </c>
      <c r="X54" s="1">
        <v>9.6</v>
      </c>
      <c r="Y54" s="16" t="s">
        <v>32</v>
      </c>
      <c r="Z54" s="1">
        <f t="shared" si="10"/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88</v>
      </c>
      <c r="B55" s="1" t="s">
        <v>36</v>
      </c>
      <c r="C55" s="1">
        <v>172</v>
      </c>
      <c r="D55" s="1">
        <v>93</v>
      </c>
      <c r="E55" s="1">
        <v>122</v>
      </c>
      <c r="F55" s="1">
        <v>133</v>
      </c>
      <c r="G55" s="7">
        <v>0.45</v>
      </c>
      <c r="H55" s="1">
        <v>50</v>
      </c>
      <c r="I55" s="1" t="s">
        <v>30</v>
      </c>
      <c r="J55" s="1"/>
      <c r="K55" s="1">
        <v>126</v>
      </c>
      <c r="L55" s="1">
        <f t="shared" si="11"/>
        <v>-4</v>
      </c>
      <c r="M55" s="1"/>
      <c r="N55" s="1"/>
      <c r="O55" s="1">
        <v>0</v>
      </c>
      <c r="P55" s="1">
        <v>47.111627906976743</v>
      </c>
      <c r="Q55" s="1">
        <v>81.19999999999996</v>
      </c>
      <c r="R55" s="1">
        <f t="shared" si="12"/>
        <v>24.4</v>
      </c>
      <c r="S55" s="5">
        <f t="shared" si="15"/>
        <v>7.0883720930232812</v>
      </c>
      <c r="T55" s="1">
        <f t="shared" si="13"/>
        <v>11</v>
      </c>
      <c r="U55" s="1">
        <f t="shared" si="14"/>
        <v>10.709492947007242</v>
      </c>
      <c r="V55" s="1">
        <v>26</v>
      </c>
      <c r="W55" s="1">
        <v>25.8</v>
      </c>
      <c r="X55" s="1">
        <v>21.2</v>
      </c>
      <c r="Y55" s="1"/>
      <c r="Z55" s="1">
        <f t="shared" si="10"/>
        <v>3.1897674418604764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89</v>
      </c>
      <c r="B56" s="1" t="s">
        <v>36</v>
      </c>
      <c r="C56" s="1"/>
      <c r="D56" s="1">
        <v>6</v>
      </c>
      <c r="E56" s="1"/>
      <c r="F56" s="1">
        <v>6</v>
      </c>
      <c r="G56" s="7">
        <v>0.4</v>
      </c>
      <c r="H56" s="1">
        <v>40</v>
      </c>
      <c r="I56" s="1" t="s">
        <v>30</v>
      </c>
      <c r="J56" s="1"/>
      <c r="K56" s="1"/>
      <c r="L56" s="1">
        <f t="shared" si="11"/>
        <v>0</v>
      </c>
      <c r="M56" s="1"/>
      <c r="N56" s="1"/>
      <c r="O56" s="1">
        <v>9.6</v>
      </c>
      <c r="P56" s="1">
        <v>5</v>
      </c>
      <c r="Q56" s="1"/>
      <c r="R56" s="1">
        <f t="shared" si="12"/>
        <v>0</v>
      </c>
      <c r="S56" s="5"/>
      <c r="T56" s="1" t="e">
        <f t="shared" si="13"/>
        <v>#DIV/0!</v>
      </c>
      <c r="U56" s="1" t="e">
        <f t="shared" si="14"/>
        <v>#DIV/0!</v>
      </c>
      <c r="V56" s="1">
        <v>0</v>
      </c>
      <c r="W56" s="1">
        <v>0</v>
      </c>
      <c r="X56" s="1">
        <v>0</v>
      </c>
      <c r="Y56" s="1"/>
      <c r="Z56" s="1">
        <f t="shared" si="10"/>
        <v>0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90</v>
      </c>
      <c r="B57" s="1" t="s">
        <v>36</v>
      </c>
      <c r="C57" s="1"/>
      <c r="D57" s="1">
        <v>18</v>
      </c>
      <c r="E57" s="1"/>
      <c r="F57" s="1">
        <v>18</v>
      </c>
      <c r="G57" s="7">
        <v>0.4</v>
      </c>
      <c r="H57" s="1">
        <v>40</v>
      </c>
      <c r="I57" s="1" t="s">
        <v>30</v>
      </c>
      <c r="J57" s="1"/>
      <c r="K57" s="1">
        <v>2</v>
      </c>
      <c r="L57" s="1">
        <f t="shared" si="11"/>
        <v>-2</v>
      </c>
      <c r="M57" s="1"/>
      <c r="N57" s="1"/>
      <c r="O57" s="1">
        <v>9.6</v>
      </c>
      <c r="P57" s="1">
        <v>5</v>
      </c>
      <c r="Q57" s="1"/>
      <c r="R57" s="1">
        <f t="shared" si="12"/>
        <v>0</v>
      </c>
      <c r="S57" s="5"/>
      <c r="T57" s="1" t="e">
        <f t="shared" si="13"/>
        <v>#DIV/0!</v>
      </c>
      <c r="U57" s="1" t="e">
        <f t="shared" si="14"/>
        <v>#DIV/0!</v>
      </c>
      <c r="V57" s="1">
        <v>0</v>
      </c>
      <c r="W57" s="1">
        <v>0</v>
      </c>
      <c r="X57" s="1">
        <v>0</v>
      </c>
      <c r="Y57" s="1"/>
      <c r="Z57" s="1">
        <f t="shared" si="10"/>
        <v>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91</v>
      </c>
      <c r="B58" s="1" t="s">
        <v>29</v>
      </c>
      <c r="C58" s="1">
        <v>-12.266999999999999</v>
      </c>
      <c r="D58" s="1">
        <v>156.827</v>
      </c>
      <c r="E58" s="1">
        <v>63.881</v>
      </c>
      <c r="F58" s="1">
        <v>73.866</v>
      </c>
      <c r="G58" s="7">
        <v>1</v>
      </c>
      <c r="H58" s="1">
        <v>50</v>
      </c>
      <c r="I58" s="1" t="s">
        <v>30</v>
      </c>
      <c r="J58" s="1"/>
      <c r="K58" s="1">
        <v>69.5</v>
      </c>
      <c r="L58" s="1">
        <f t="shared" si="11"/>
        <v>-5.6189999999999998</v>
      </c>
      <c r="M58" s="1"/>
      <c r="N58" s="1"/>
      <c r="O58" s="1">
        <v>0</v>
      </c>
      <c r="P58" s="1">
        <v>0</v>
      </c>
      <c r="Q58" s="1">
        <v>10</v>
      </c>
      <c r="R58" s="1">
        <f t="shared" si="12"/>
        <v>12.776199999999999</v>
      </c>
      <c r="S58" s="5">
        <f t="shared" si="15"/>
        <v>56.672199999999989</v>
      </c>
      <c r="T58" s="1">
        <f t="shared" si="13"/>
        <v>11</v>
      </c>
      <c r="U58" s="1">
        <f t="shared" si="14"/>
        <v>6.5642366274792199</v>
      </c>
      <c r="V58" s="1">
        <v>9.5141999999999989</v>
      </c>
      <c r="W58" s="1">
        <v>3.2652000000000001</v>
      </c>
      <c r="X58" s="1">
        <v>7.0168000000000008</v>
      </c>
      <c r="Y58" s="1" t="s">
        <v>58</v>
      </c>
      <c r="Z58" s="1">
        <f t="shared" si="10"/>
        <v>56.672199999999989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92</v>
      </c>
      <c r="B59" s="1" t="s">
        <v>36</v>
      </c>
      <c r="C59" s="1">
        <v>173</v>
      </c>
      <c r="D59" s="1">
        <v>60</v>
      </c>
      <c r="E59" s="15">
        <f>50+E132</f>
        <v>85</v>
      </c>
      <c r="F59" s="15">
        <f>78+F132</f>
        <v>126</v>
      </c>
      <c r="G59" s="7">
        <v>0.1</v>
      </c>
      <c r="H59" s="1">
        <v>731</v>
      </c>
      <c r="I59" s="1" t="s">
        <v>30</v>
      </c>
      <c r="J59" s="1"/>
      <c r="K59" s="1">
        <v>50</v>
      </c>
      <c r="L59" s="1">
        <f t="shared" si="11"/>
        <v>35</v>
      </c>
      <c r="M59" s="1"/>
      <c r="N59" s="1"/>
      <c r="O59" s="1">
        <v>0</v>
      </c>
      <c r="P59" s="1">
        <v>0</v>
      </c>
      <c r="Q59" s="1"/>
      <c r="R59" s="1">
        <f t="shared" si="12"/>
        <v>17</v>
      </c>
      <c r="S59" s="5">
        <f t="shared" si="15"/>
        <v>61</v>
      </c>
      <c r="T59" s="1">
        <f t="shared" si="13"/>
        <v>11</v>
      </c>
      <c r="U59" s="1">
        <f t="shared" si="14"/>
        <v>7.4117647058823533</v>
      </c>
      <c r="V59" s="1">
        <v>12.2</v>
      </c>
      <c r="W59" s="1">
        <v>6.2</v>
      </c>
      <c r="X59" s="1">
        <v>5.8</v>
      </c>
      <c r="Y59" s="1" t="s">
        <v>58</v>
      </c>
      <c r="Z59" s="1">
        <f t="shared" si="10"/>
        <v>6.1000000000000005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93</v>
      </c>
      <c r="B60" s="1" t="s">
        <v>29</v>
      </c>
      <c r="C60" s="1">
        <v>-22.789000000000001</v>
      </c>
      <c r="D60" s="1">
        <v>263.21100000000001</v>
      </c>
      <c r="E60" s="1">
        <v>107.621</v>
      </c>
      <c r="F60" s="1">
        <v>117.499</v>
      </c>
      <c r="G60" s="7">
        <v>1</v>
      </c>
      <c r="H60" s="1">
        <v>50</v>
      </c>
      <c r="I60" s="1" t="s">
        <v>30</v>
      </c>
      <c r="J60" s="1"/>
      <c r="K60" s="1">
        <v>151.19999999999999</v>
      </c>
      <c r="L60" s="1">
        <f t="shared" si="11"/>
        <v>-43.578999999999994</v>
      </c>
      <c r="M60" s="1"/>
      <c r="N60" s="1"/>
      <c r="O60" s="1">
        <v>0</v>
      </c>
      <c r="P60" s="1">
        <v>0</v>
      </c>
      <c r="Q60" s="1"/>
      <c r="R60" s="1">
        <f t="shared" si="12"/>
        <v>21.5242</v>
      </c>
      <c r="S60" s="5">
        <f t="shared" si="15"/>
        <v>119.2672</v>
      </c>
      <c r="T60" s="1">
        <f t="shared" si="13"/>
        <v>11</v>
      </c>
      <c r="U60" s="1">
        <f t="shared" si="14"/>
        <v>5.4589253026825615</v>
      </c>
      <c r="V60" s="1">
        <v>11.835599999999999</v>
      </c>
      <c r="W60" s="1">
        <v>11.785399999999999</v>
      </c>
      <c r="X60" s="1">
        <v>12.861000000000001</v>
      </c>
      <c r="Y60" s="1" t="s">
        <v>58</v>
      </c>
      <c r="Z60" s="1">
        <f t="shared" si="10"/>
        <v>119.2672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94</v>
      </c>
      <c r="B61" s="1" t="s">
        <v>29</v>
      </c>
      <c r="C61" s="1"/>
      <c r="D61" s="1">
        <v>21.61</v>
      </c>
      <c r="E61" s="1">
        <v>1.3520000000000001</v>
      </c>
      <c r="F61" s="1">
        <v>20.257999999999999</v>
      </c>
      <c r="G61" s="7">
        <v>1</v>
      </c>
      <c r="H61" s="1">
        <v>55</v>
      </c>
      <c r="I61" s="1" t="s">
        <v>30</v>
      </c>
      <c r="J61" s="1"/>
      <c r="K61" s="1">
        <v>2.6</v>
      </c>
      <c r="L61" s="1">
        <f t="shared" si="11"/>
        <v>-1.248</v>
      </c>
      <c r="M61" s="1"/>
      <c r="N61" s="1"/>
      <c r="O61" s="1">
        <v>4</v>
      </c>
      <c r="P61" s="1">
        <v>10</v>
      </c>
      <c r="Q61" s="1"/>
      <c r="R61" s="1">
        <f t="shared" si="12"/>
        <v>0.27040000000000003</v>
      </c>
      <c r="S61" s="5"/>
      <c r="T61" s="1">
        <f t="shared" si="13"/>
        <v>126.6937869822485</v>
      </c>
      <c r="U61" s="1">
        <f t="shared" si="14"/>
        <v>126.6937869822485</v>
      </c>
      <c r="V61" s="1">
        <v>0</v>
      </c>
      <c r="W61" s="1">
        <v>0</v>
      </c>
      <c r="X61" s="1">
        <v>0.54339999999999999</v>
      </c>
      <c r="Y61" s="1"/>
      <c r="Z61" s="1">
        <f t="shared" si="10"/>
        <v>0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95</v>
      </c>
      <c r="B62" s="1" t="s">
        <v>36</v>
      </c>
      <c r="C62" s="1">
        <v>214</v>
      </c>
      <c r="D62" s="1">
        <v>20</v>
      </c>
      <c r="E62" s="1">
        <v>47</v>
      </c>
      <c r="F62" s="1">
        <v>180</v>
      </c>
      <c r="G62" s="7">
        <v>0.1</v>
      </c>
      <c r="H62" s="1">
        <v>731</v>
      </c>
      <c r="I62" s="1" t="s">
        <v>30</v>
      </c>
      <c r="J62" s="1"/>
      <c r="K62" s="1">
        <v>47</v>
      </c>
      <c r="L62" s="1">
        <f t="shared" si="11"/>
        <v>0</v>
      </c>
      <c r="M62" s="1"/>
      <c r="N62" s="1"/>
      <c r="O62" s="1">
        <v>0</v>
      </c>
      <c r="P62" s="1">
        <v>0</v>
      </c>
      <c r="Q62" s="1"/>
      <c r="R62" s="1">
        <f t="shared" si="12"/>
        <v>9.4</v>
      </c>
      <c r="S62" s="5"/>
      <c r="T62" s="1">
        <f t="shared" si="13"/>
        <v>19.148936170212764</v>
      </c>
      <c r="U62" s="1">
        <f t="shared" si="14"/>
        <v>19.148936170212764</v>
      </c>
      <c r="V62" s="1">
        <v>6.6</v>
      </c>
      <c r="W62" s="1">
        <v>3.8</v>
      </c>
      <c r="X62" s="1">
        <v>3.2</v>
      </c>
      <c r="Y62" s="18" t="s">
        <v>168</v>
      </c>
      <c r="Z62" s="1">
        <f t="shared" si="10"/>
        <v>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96</v>
      </c>
      <c r="B63" s="1" t="s">
        <v>36</v>
      </c>
      <c r="C63" s="1">
        <v>-2</v>
      </c>
      <c r="D63" s="1">
        <v>23</v>
      </c>
      <c r="E63" s="1">
        <v>4</v>
      </c>
      <c r="F63" s="1">
        <v>14</v>
      </c>
      <c r="G63" s="7">
        <v>0.4</v>
      </c>
      <c r="H63" s="1">
        <v>50</v>
      </c>
      <c r="I63" s="1" t="s">
        <v>30</v>
      </c>
      <c r="J63" s="1"/>
      <c r="K63" s="1">
        <v>7</v>
      </c>
      <c r="L63" s="1">
        <f t="shared" si="11"/>
        <v>-3</v>
      </c>
      <c r="M63" s="1"/>
      <c r="N63" s="1"/>
      <c r="O63" s="1">
        <v>0</v>
      </c>
      <c r="P63" s="1">
        <v>0</v>
      </c>
      <c r="Q63" s="1">
        <v>6</v>
      </c>
      <c r="R63" s="1">
        <f t="shared" si="12"/>
        <v>0.8</v>
      </c>
      <c r="S63" s="5"/>
      <c r="T63" s="1">
        <f t="shared" si="13"/>
        <v>25</v>
      </c>
      <c r="U63" s="1">
        <f t="shared" si="14"/>
        <v>25</v>
      </c>
      <c r="V63" s="1">
        <v>1</v>
      </c>
      <c r="W63" s="1">
        <v>0.4</v>
      </c>
      <c r="X63" s="1">
        <v>0</v>
      </c>
      <c r="Y63" s="1"/>
      <c r="Z63" s="1">
        <f t="shared" si="10"/>
        <v>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9" t="s">
        <v>97</v>
      </c>
      <c r="B64" s="1" t="s">
        <v>29</v>
      </c>
      <c r="C64" s="1">
        <v>1.2E-2</v>
      </c>
      <c r="D64" s="1">
        <v>78.593000000000004</v>
      </c>
      <c r="E64" s="1">
        <v>23.702000000000002</v>
      </c>
      <c r="F64" s="1">
        <v>0.06</v>
      </c>
      <c r="G64" s="7">
        <v>1</v>
      </c>
      <c r="H64" s="1">
        <v>40</v>
      </c>
      <c r="I64" s="10" t="s">
        <v>34</v>
      </c>
      <c r="J64" s="1"/>
      <c r="K64" s="1">
        <v>100</v>
      </c>
      <c r="L64" s="1">
        <f t="shared" si="11"/>
        <v>-76.298000000000002</v>
      </c>
      <c r="M64" s="1"/>
      <c r="N64" s="1"/>
      <c r="O64" s="1">
        <v>48</v>
      </c>
      <c r="P64" s="1">
        <v>50</v>
      </c>
      <c r="Q64" s="1"/>
      <c r="R64" s="1">
        <f t="shared" si="12"/>
        <v>4.7404000000000002</v>
      </c>
      <c r="S64" s="5">
        <v>20</v>
      </c>
      <c r="T64" s="1">
        <f t="shared" si="13"/>
        <v>24.905071301999829</v>
      </c>
      <c r="U64" s="1">
        <f t="shared" si="14"/>
        <v>20.686018057547887</v>
      </c>
      <c r="V64" s="1">
        <v>0</v>
      </c>
      <c r="W64" s="1">
        <v>7.9903999999999993</v>
      </c>
      <c r="X64" s="1">
        <v>7.9903999999999993</v>
      </c>
      <c r="Y64" s="1"/>
      <c r="Z64" s="1">
        <f t="shared" si="10"/>
        <v>20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98</v>
      </c>
      <c r="B65" s="1" t="s">
        <v>29</v>
      </c>
      <c r="C65" s="1"/>
      <c r="D65" s="1">
        <v>16.701000000000001</v>
      </c>
      <c r="E65" s="1"/>
      <c r="F65" s="1">
        <v>16.701000000000001</v>
      </c>
      <c r="G65" s="7">
        <v>1</v>
      </c>
      <c r="H65" s="1">
        <v>40</v>
      </c>
      <c r="I65" s="1" t="s">
        <v>30</v>
      </c>
      <c r="J65" s="1"/>
      <c r="K65" s="1"/>
      <c r="L65" s="1">
        <f t="shared" si="11"/>
        <v>0</v>
      </c>
      <c r="M65" s="1"/>
      <c r="N65" s="1"/>
      <c r="O65" s="1">
        <v>4.8</v>
      </c>
      <c r="P65" s="1">
        <v>50</v>
      </c>
      <c r="Q65" s="1"/>
      <c r="R65" s="1">
        <f t="shared" si="12"/>
        <v>0</v>
      </c>
      <c r="S65" s="5"/>
      <c r="T65" s="1" t="e">
        <f t="shared" si="13"/>
        <v>#DIV/0!</v>
      </c>
      <c r="U65" s="1" t="e">
        <f t="shared" si="14"/>
        <v>#DIV/0!</v>
      </c>
      <c r="V65" s="1">
        <v>0</v>
      </c>
      <c r="W65" s="1">
        <v>0</v>
      </c>
      <c r="X65" s="1">
        <v>0.26440000000000002</v>
      </c>
      <c r="Y65" s="1"/>
      <c r="Z65" s="1">
        <f t="shared" si="10"/>
        <v>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99</v>
      </c>
      <c r="B66" s="1" t="s">
        <v>36</v>
      </c>
      <c r="C66" s="1">
        <v>-40</v>
      </c>
      <c r="D66" s="1">
        <v>511</v>
      </c>
      <c r="E66" s="1">
        <v>231</v>
      </c>
      <c r="F66" s="1">
        <v>212</v>
      </c>
      <c r="G66" s="7">
        <v>0.4</v>
      </c>
      <c r="H66" s="1">
        <v>40</v>
      </c>
      <c r="I66" s="1" t="s">
        <v>30</v>
      </c>
      <c r="J66" s="1"/>
      <c r="K66" s="1">
        <v>286</v>
      </c>
      <c r="L66" s="1">
        <f t="shared" si="11"/>
        <v>-55</v>
      </c>
      <c r="M66" s="1"/>
      <c r="N66" s="1"/>
      <c r="O66" s="1">
        <v>0</v>
      </c>
      <c r="P66" s="1">
        <v>0</v>
      </c>
      <c r="Q66" s="1">
        <v>115.0649199417758</v>
      </c>
      <c r="R66" s="1">
        <f t="shared" si="12"/>
        <v>46.2</v>
      </c>
      <c r="S66" s="5">
        <f t="shared" si="15"/>
        <v>181.13508005822428</v>
      </c>
      <c r="T66" s="1">
        <f t="shared" si="13"/>
        <v>11</v>
      </c>
      <c r="U66" s="1">
        <f t="shared" si="14"/>
        <v>7.0793272714670072</v>
      </c>
      <c r="V66" s="1">
        <v>34.4</v>
      </c>
      <c r="W66" s="1">
        <v>15.4</v>
      </c>
      <c r="X66" s="1">
        <v>15.8</v>
      </c>
      <c r="Y66" s="1"/>
      <c r="Z66" s="1">
        <f t="shared" si="10"/>
        <v>72.454032023289713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9" t="s">
        <v>100</v>
      </c>
      <c r="B67" s="1" t="s">
        <v>36</v>
      </c>
      <c r="C67" s="1"/>
      <c r="D67" s="1">
        <v>61</v>
      </c>
      <c r="E67" s="1">
        <v>30</v>
      </c>
      <c r="F67" s="1">
        <v>26</v>
      </c>
      <c r="G67" s="7">
        <v>0.4</v>
      </c>
      <c r="H67" s="1">
        <v>40</v>
      </c>
      <c r="I67" s="10" t="s">
        <v>34</v>
      </c>
      <c r="J67" s="1"/>
      <c r="K67" s="1">
        <v>32</v>
      </c>
      <c r="L67" s="1">
        <f t="shared" si="11"/>
        <v>-2</v>
      </c>
      <c r="M67" s="1"/>
      <c r="N67" s="1"/>
      <c r="O67" s="1">
        <v>40</v>
      </c>
      <c r="P67" s="1">
        <v>100</v>
      </c>
      <c r="Q67" s="1"/>
      <c r="R67" s="1">
        <f t="shared" si="12"/>
        <v>6</v>
      </c>
      <c r="S67" s="5"/>
      <c r="T67" s="1">
        <f t="shared" si="13"/>
        <v>27.666666666666668</v>
      </c>
      <c r="U67" s="1">
        <f t="shared" si="14"/>
        <v>27.666666666666668</v>
      </c>
      <c r="V67" s="1">
        <v>0</v>
      </c>
      <c r="W67" s="1">
        <v>0</v>
      </c>
      <c r="X67" s="1">
        <v>0</v>
      </c>
      <c r="Y67" s="1"/>
      <c r="Z67" s="1">
        <f t="shared" si="10"/>
        <v>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9" t="s">
        <v>101</v>
      </c>
      <c r="B68" s="1" t="s">
        <v>29</v>
      </c>
      <c r="C68" s="1">
        <v>-16.018000000000001</v>
      </c>
      <c r="D68" s="1">
        <v>78.683000000000007</v>
      </c>
      <c r="E68" s="1">
        <v>55.228000000000002</v>
      </c>
      <c r="F68" s="1">
        <v>6.5359999999999996</v>
      </c>
      <c r="G68" s="7">
        <v>1</v>
      </c>
      <c r="H68" s="1">
        <v>40</v>
      </c>
      <c r="I68" s="10" t="s">
        <v>34</v>
      </c>
      <c r="J68" s="1"/>
      <c r="K68" s="1">
        <v>81.5</v>
      </c>
      <c r="L68" s="1">
        <f t="shared" si="11"/>
        <v>-26.271999999999998</v>
      </c>
      <c r="M68" s="1"/>
      <c r="N68" s="1"/>
      <c r="O68" s="1">
        <v>12</v>
      </c>
      <c r="P68" s="1">
        <v>0</v>
      </c>
      <c r="Q68" s="1">
        <v>100</v>
      </c>
      <c r="R68" s="1">
        <f t="shared" si="12"/>
        <v>11.0456</v>
      </c>
      <c r="S68" s="5">
        <v>10</v>
      </c>
      <c r="T68" s="1">
        <f t="shared" si="13"/>
        <v>11.636850872745708</v>
      </c>
      <c r="U68" s="1">
        <f t="shared" si="14"/>
        <v>10.731513000651843</v>
      </c>
      <c r="V68" s="1">
        <v>15.014200000000001</v>
      </c>
      <c r="W68" s="1">
        <v>4.5118</v>
      </c>
      <c r="X68" s="1">
        <v>5.2612000000000014</v>
      </c>
      <c r="Y68" s="1"/>
      <c r="Z68" s="1">
        <f t="shared" si="10"/>
        <v>10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9" t="s">
        <v>102</v>
      </c>
      <c r="B69" s="1" t="s">
        <v>29</v>
      </c>
      <c r="C69" s="1">
        <v>-21.556000000000001</v>
      </c>
      <c r="D69" s="1">
        <v>108.578</v>
      </c>
      <c r="E69" s="1">
        <v>82.564999999999998</v>
      </c>
      <c r="F69" s="1">
        <v>3.5680000000000001</v>
      </c>
      <c r="G69" s="7">
        <v>1</v>
      </c>
      <c r="H69" s="1">
        <v>40</v>
      </c>
      <c r="I69" s="10" t="s">
        <v>34</v>
      </c>
      <c r="J69" s="1"/>
      <c r="K69" s="1">
        <v>96.7</v>
      </c>
      <c r="L69" s="1">
        <f t="shared" si="11"/>
        <v>-14.135000000000005</v>
      </c>
      <c r="M69" s="1"/>
      <c r="N69" s="1"/>
      <c r="O69" s="1">
        <v>0</v>
      </c>
      <c r="P69" s="1">
        <v>0</v>
      </c>
      <c r="Q69" s="1">
        <v>100</v>
      </c>
      <c r="R69" s="1">
        <f t="shared" si="12"/>
        <v>16.512999999999998</v>
      </c>
      <c r="S69" s="5">
        <f t="shared" si="15"/>
        <v>78.074999999999974</v>
      </c>
      <c r="T69" s="1">
        <f t="shared" si="13"/>
        <v>11</v>
      </c>
      <c r="U69" s="1">
        <f t="shared" si="14"/>
        <v>6.2719069823775211</v>
      </c>
      <c r="V69" s="1">
        <v>15.0838</v>
      </c>
      <c r="W69" s="1">
        <v>4.3112000000000004</v>
      </c>
      <c r="X69" s="1">
        <v>0</v>
      </c>
      <c r="Y69" s="1"/>
      <c r="Z69" s="1">
        <f t="shared" si="10"/>
        <v>78.074999999999974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9" t="s">
        <v>103</v>
      </c>
      <c r="B70" s="1" t="s">
        <v>29</v>
      </c>
      <c r="C70" s="1">
        <v>-2.04</v>
      </c>
      <c r="D70" s="1"/>
      <c r="E70" s="1">
        <v>3.65</v>
      </c>
      <c r="F70" s="1">
        <v>-5.69</v>
      </c>
      <c r="G70" s="7">
        <v>1</v>
      </c>
      <c r="H70" s="1">
        <v>40</v>
      </c>
      <c r="I70" s="10" t="s">
        <v>34</v>
      </c>
      <c r="J70" s="1"/>
      <c r="K70" s="1">
        <v>33.200000000000003</v>
      </c>
      <c r="L70" s="1">
        <f t="shared" ref="L70:L101" si="16">E70-K70</f>
        <v>-29.550000000000004</v>
      </c>
      <c r="M70" s="1"/>
      <c r="N70" s="1"/>
      <c r="O70" s="1">
        <v>180</v>
      </c>
      <c r="P70" s="1">
        <v>0</v>
      </c>
      <c r="Q70" s="1">
        <v>50</v>
      </c>
      <c r="R70" s="1">
        <f t="shared" ref="R70:R101" si="17">E70/5</f>
        <v>0.73</v>
      </c>
      <c r="S70" s="5"/>
      <c r="T70" s="1">
        <f t="shared" ref="T70:T101" si="18">(F70+O70+P70+Q70+S70)/R70</f>
        <v>307.27397260273972</v>
      </c>
      <c r="U70" s="1">
        <f t="shared" ref="U70:U101" si="19">(F70+O70+P70+Q70)/R70</f>
        <v>307.27397260273972</v>
      </c>
      <c r="V70" s="1">
        <v>4.1936</v>
      </c>
      <c r="W70" s="1">
        <v>18.5868</v>
      </c>
      <c r="X70" s="1">
        <v>23.832799999999999</v>
      </c>
      <c r="Y70" s="1"/>
      <c r="Z70" s="1">
        <f t="shared" si="10"/>
        <v>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9" t="s">
        <v>104</v>
      </c>
      <c r="B71" s="1" t="s">
        <v>29</v>
      </c>
      <c r="C71" s="1"/>
      <c r="D71" s="1">
        <v>43.862000000000002</v>
      </c>
      <c r="E71" s="1">
        <v>12.801</v>
      </c>
      <c r="F71" s="1">
        <v>29.242000000000001</v>
      </c>
      <c r="G71" s="7">
        <v>1</v>
      </c>
      <c r="H71" s="1">
        <v>40</v>
      </c>
      <c r="I71" s="10" t="s">
        <v>34</v>
      </c>
      <c r="J71" s="1"/>
      <c r="K71" s="1">
        <v>16.899999999999999</v>
      </c>
      <c r="L71" s="1">
        <f t="shared" si="16"/>
        <v>-4.0989999999999984</v>
      </c>
      <c r="M71" s="1"/>
      <c r="N71" s="1"/>
      <c r="O71" s="1">
        <v>0</v>
      </c>
      <c r="P71" s="1">
        <v>0</v>
      </c>
      <c r="Q71" s="1"/>
      <c r="R71" s="1">
        <f t="shared" si="17"/>
        <v>2.5602</v>
      </c>
      <c r="S71" s="5">
        <v>4</v>
      </c>
      <c r="T71" s="1">
        <f t="shared" si="18"/>
        <v>12.984141863916882</v>
      </c>
      <c r="U71" s="1">
        <f t="shared" si="19"/>
        <v>11.421763924693384</v>
      </c>
      <c r="V71" s="1">
        <v>0</v>
      </c>
      <c r="W71" s="1">
        <v>0</v>
      </c>
      <c r="X71" s="1">
        <v>0</v>
      </c>
      <c r="Y71" s="1"/>
      <c r="Z71" s="1">
        <f t="shared" si="10"/>
        <v>4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1" t="s">
        <v>105</v>
      </c>
      <c r="B72" s="11" t="s">
        <v>36</v>
      </c>
      <c r="C72" s="11"/>
      <c r="D72" s="11"/>
      <c r="E72" s="11"/>
      <c r="F72" s="11"/>
      <c r="G72" s="12">
        <v>0</v>
      </c>
      <c r="H72" s="11"/>
      <c r="I72" s="11" t="s">
        <v>30</v>
      </c>
      <c r="J72" s="11"/>
      <c r="K72" s="11"/>
      <c r="L72" s="11">
        <f t="shared" si="16"/>
        <v>0</v>
      </c>
      <c r="M72" s="11"/>
      <c r="N72" s="11"/>
      <c r="O72" s="11">
        <v>0</v>
      </c>
      <c r="P72" s="11">
        <v>0</v>
      </c>
      <c r="Q72" s="11"/>
      <c r="R72" s="11">
        <f t="shared" si="17"/>
        <v>0</v>
      </c>
      <c r="S72" s="13"/>
      <c r="T72" s="11" t="e">
        <f t="shared" si="18"/>
        <v>#DIV/0!</v>
      </c>
      <c r="U72" s="11" t="e">
        <f t="shared" si="19"/>
        <v>#DIV/0!</v>
      </c>
      <c r="V72" s="11">
        <v>0</v>
      </c>
      <c r="W72" s="11">
        <v>0</v>
      </c>
      <c r="X72" s="11">
        <v>0</v>
      </c>
      <c r="Y72" s="11" t="s">
        <v>37</v>
      </c>
      <c r="Z72" s="1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106</v>
      </c>
      <c r="B73" s="1" t="s">
        <v>29</v>
      </c>
      <c r="C73" s="1">
        <v>0.02</v>
      </c>
      <c r="D73" s="1">
        <v>7.8979999999999997</v>
      </c>
      <c r="E73" s="1">
        <v>2.6360000000000001</v>
      </c>
      <c r="F73" s="1">
        <v>3.95</v>
      </c>
      <c r="G73" s="7">
        <v>1</v>
      </c>
      <c r="H73" s="1">
        <v>30</v>
      </c>
      <c r="I73" s="1" t="s">
        <v>30</v>
      </c>
      <c r="J73" s="1"/>
      <c r="K73" s="1">
        <v>2.6</v>
      </c>
      <c r="L73" s="1">
        <f t="shared" si="16"/>
        <v>3.6000000000000032E-2</v>
      </c>
      <c r="M73" s="1"/>
      <c r="N73" s="1"/>
      <c r="O73" s="1">
        <v>48</v>
      </c>
      <c r="P73" s="1">
        <v>120</v>
      </c>
      <c r="Q73" s="1"/>
      <c r="R73" s="1">
        <f t="shared" si="17"/>
        <v>0.5272</v>
      </c>
      <c r="S73" s="5"/>
      <c r="T73" s="1">
        <f t="shared" si="18"/>
        <v>326.15705614567526</v>
      </c>
      <c r="U73" s="1">
        <f t="shared" si="19"/>
        <v>326.15705614567526</v>
      </c>
      <c r="V73" s="1">
        <v>0</v>
      </c>
      <c r="W73" s="1">
        <v>0</v>
      </c>
      <c r="X73" s="1">
        <v>4.5743999999999998</v>
      </c>
      <c r="Y73" s="1"/>
      <c r="Z73" s="1">
        <f t="shared" ref="Z73:Z84" si="20">G73*S73</f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107</v>
      </c>
      <c r="B74" s="1" t="s">
        <v>36</v>
      </c>
      <c r="C74" s="1">
        <v>167.26300000000001</v>
      </c>
      <c r="D74" s="1">
        <v>155.73699999999999</v>
      </c>
      <c r="E74" s="1">
        <v>19</v>
      </c>
      <c r="F74" s="1">
        <v>302</v>
      </c>
      <c r="G74" s="7">
        <v>0.6</v>
      </c>
      <c r="H74" s="1">
        <v>60</v>
      </c>
      <c r="I74" s="1" t="s">
        <v>30</v>
      </c>
      <c r="J74" s="1"/>
      <c r="K74" s="1">
        <v>47</v>
      </c>
      <c r="L74" s="1">
        <f t="shared" si="16"/>
        <v>-28</v>
      </c>
      <c r="M74" s="1"/>
      <c r="N74" s="1"/>
      <c r="O74" s="1">
        <v>0</v>
      </c>
      <c r="P74" s="1">
        <v>0</v>
      </c>
      <c r="Q74" s="1"/>
      <c r="R74" s="1">
        <f t="shared" si="17"/>
        <v>3.8</v>
      </c>
      <c r="S74" s="5"/>
      <c r="T74" s="1">
        <f t="shared" si="18"/>
        <v>79.473684210526315</v>
      </c>
      <c r="U74" s="1">
        <f t="shared" si="19"/>
        <v>79.473684210526315</v>
      </c>
      <c r="V74" s="1">
        <v>3.6</v>
      </c>
      <c r="W74" s="1">
        <v>5.9474</v>
      </c>
      <c r="X74" s="1">
        <v>7</v>
      </c>
      <c r="Y74" s="17" t="s">
        <v>52</v>
      </c>
      <c r="Z74" s="1">
        <f t="shared" si="20"/>
        <v>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108</v>
      </c>
      <c r="B75" s="1" t="s">
        <v>36</v>
      </c>
      <c r="C75" s="1">
        <v>94</v>
      </c>
      <c r="D75" s="1">
        <v>176</v>
      </c>
      <c r="E75" s="1">
        <v>30</v>
      </c>
      <c r="F75" s="1">
        <v>240</v>
      </c>
      <c r="G75" s="7">
        <v>0.6</v>
      </c>
      <c r="H75" s="1">
        <v>60</v>
      </c>
      <c r="I75" s="1" t="s">
        <v>30</v>
      </c>
      <c r="J75" s="1"/>
      <c r="K75" s="1">
        <v>72</v>
      </c>
      <c r="L75" s="1">
        <f t="shared" si="16"/>
        <v>-42</v>
      </c>
      <c r="M75" s="1"/>
      <c r="N75" s="1"/>
      <c r="O75" s="1">
        <v>0</v>
      </c>
      <c r="P75" s="1">
        <v>0</v>
      </c>
      <c r="Q75" s="1"/>
      <c r="R75" s="1">
        <f t="shared" si="17"/>
        <v>6</v>
      </c>
      <c r="S75" s="5"/>
      <c r="T75" s="1">
        <f t="shared" si="18"/>
        <v>40</v>
      </c>
      <c r="U75" s="1">
        <f t="shared" si="19"/>
        <v>40</v>
      </c>
      <c r="V75" s="1">
        <v>3.6</v>
      </c>
      <c r="W75" s="1">
        <v>9.4</v>
      </c>
      <c r="X75" s="1">
        <v>10.6</v>
      </c>
      <c r="Y75" s="17" t="s">
        <v>52</v>
      </c>
      <c r="Z75" s="1">
        <f t="shared" si="20"/>
        <v>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109</v>
      </c>
      <c r="B76" s="1" t="s">
        <v>36</v>
      </c>
      <c r="C76" s="1"/>
      <c r="D76" s="1">
        <v>177</v>
      </c>
      <c r="E76" s="1">
        <v>48</v>
      </c>
      <c r="F76" s="1">
        <v>123</v>
      </c>
      <c r="G76" s="7">
        <v>0.4</v>
      </c>
      <c r="H76" s="1">
        <v>90</v>
      </c>
      <c r="I76" s="1" t="s">
        <v>30</v>
      </c>
      <c r="J76" s="1"/>
      <c r="K76" s="1">
        <v>49</v>
      </c>
      <c r="L76" s="1">
        <f t="shared" si="16"/>
        <v>-1</v>
      </c>
      <c r="M76" s="1"/>
      <c r="N76" s="1"/>
      <c r="O76" s="1">
        <v>0</v>
      </c>
      <c r="P76" s="1">
        <v>0</v>
      </c>
      <c r="Q76" s="1"/>
      <c r="R76" s="1">
        <f t="shared" si="17"/>
        <v>9.6</v>
      </c>
      <c r="S76" s="5"/>
      <c r="T76" s="1">
        <f t="shared" si="18"/>
        <v>12.8125</v>
      </c>
      <c r="U76" s="1">
        <f t="shared" si="19"/>
        <v>12.8125</v>
      </c>
      <c r="V76" s="1">
        <v>6.2</v>
      </c>
      <c r="W76" s="1">
        <v>1.8</v>
      </c>
      <c r="X76" s="1">
        <v>5.4</v>
      </c>
      <c r="Y76" s="1"/>
      <c r="Z76" s="1">
        <f t="shared" si="20"/>
        <v>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9" t="s">
        <v>110</v>
      </c>
      <c r="B77" s="1" t="s">
        <v>36</v>
      </c>
      <c r="C77" s="1">
        <v>1</v>
      </c>
      <c r="D77" s="1">
        <v>242</v>
      </c>
      <c r="E77" s="1">
        <v>66</v>
      </c>
      <c r="F77" s="1">
        <v>165</v>
      </c>
      <c r="G77" s="7">
        <v>0.33</v>
      </c>
      <c r="H77" s="1">
        <v>60</v>
      </c>
      <c r="I77" s="10" t="s">
        <v>34</v>
      </c>
      <c r="J77" s="1"/>
      <c r="K77" s="1">
        <v>66</v>
      </c>
      <c r="L77" s="1">
        <f t="shared" si="16"/>
        <v>0</v>
      </c>
      <c r="M77" s="1"/>
      <c r="N77" s="1"/>
      <c r="O77" s="1">
        <v>0</v>
      </c>
      <c r="P77" s="1">
        <v>0</v>
      </c>
      <c r="Q77" s="1"/>
      <c r="R77" s="1">
        <f t="shared" si="17"/>
        <v>13.2</v>
      </c>
      <c r="S77" s="5"/>
      <c r="T77" s="1">
        <f t="shared" si="18"/>
        <v>12.5</v>
      </c>
      <c r="U77" s="1">
        <f t="shared" si="19"/>
        <v>12.5</v>
      </c>
      <c r="V77" s="1">
        <v>10</v>
      </c>
      <c r="W77" s="1">
        <v>9.4</v>
      </c>
      <c r="X77" s="1">
        <v>7.2</v>
      </c>
      <c r="Y77" s="1"/>
      <c r="Z77" s="1">
        <f t="shared" si="20"/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111</v>
      </c>
      <c r="B78" s="1" t="s">
        <v>36</v>
      </c>
      <c r="C78" s="1"/>
      <c r="D78" s="1">
        <v>265</v>
      </c>
      <c r="E78" s="1">
        <v>65</v>
      </c>
      <c r="F78" s="1">
        <v>189</v>
      </c>
      <c r="G78" s="7">
        <v>0.35</v>
      </c>
      <c r="H78" s="1">
        <v>90</v>
      </c>
      <c r="I78" s="1" t="s">
        <v>30</v>
      </c>
      <c r="J78" s="1"/>
      <c r="K78" s="1">
        <v>66</v>
      </c>
      <c r="L78" s="1">
        <f t="shared" si="16"/>
        <v>-1</v>
      </c>
      <c r="M78" s="1"/>
      <c r="N78" s="1"/>
      <c r="O78" s="1">
        <v>0</v>
      </c>
      <c r="P78" s="1">
        <v>0</v>
      </c>
      <c r="Q78" s="1"/>
      <c r="R78" s="1">
        <f t="shared" si="17"/>
        <v>13</v>
      </c>
      <c r="S78" s="5"/>
      <c r="T78" s="1">
        <f t="shared" si="18"/>
        <v>14.538461538461538</v>
      </c>
      <c r="U78" s="1">
        <f t="shared" si="19"/>
        <v>14.538461538461538</v>
      </c>
      <c r="V78" s="1">
        <v>9.1999999999999993</v>
      </c>
      <c r="W78" s="1">
        <v>2</v>
      </c>
      <c r="X78" s="1">
        <v>5.8</v>
      </c>
      <c r="Y78" s="1"/>
      <c r="Z78" s="1">
        <f t="shared" si="20"/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112</v>
      </c>
      <c r="B79" s="1" t="s">
        <v>36</v>
      </c>
      <c r="C79" s="1">
        <v>-2</v>
      </c>
      <c r="D79" s="1">
        <v>31</v>
      </c>
      <c r="E79" s="1">
        <v>2</v>
      </c>
      <c r="F79" s="1">
        <v>27</v>
      </c>
      <c r="G79" s="7">
        <v>0.37</v>
      </c>
      <c r="H79" s="1"/>
      <c r="I79" s="1" t="s">
        <v>30</v>
      </c>
      <c r="J79" s="1"/>
      <c r="K79" s="1">
        <v>12</v>
      </c>
      <c r="L79" s="1">
        <f t="shared" si="16"/>
        <v>-10</v>
      </c>
      <c r="M79" s="1"/>
      <c r="N79" s="1"/>
      <c r="O79" s="1">
        <v>0</v>
      </c>
      <c r="P79" s="1">
        <v>0</v>
      </c>
      <c r="Q79" s="1"/>
      <c r="R79" s="1">
        <f t="shared" si="17"/>
        <v>0.4</v>
      </c>
      <c r="S79" s="5"/>
      <c r="T79" s="1">
        <f t="shared" si="18"/>
        <v>67.5</v>
      </c>
      <c r="U79" s="1">
        <f t="shared" si="19"/>
        <v>67.5</v>
      </c>
      <c r="V79" s="1">
        <v>0.2</v>
      </c>
      <c r="W79" s="1">
        <v>0.4</v>
      </c>
      <c r="X79" s="1">
        <v>0</v>
      </c>
      <c r="Y79" s="1"/>
      <c r="Z79" s="1">
        <f t="shared" si="20"/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113</v>
      </c>
      <c r="B80" s="1" t="s">
        <v>36</v>
      </c>
      <c r="C80" s="1">
        <v>97.2</v>
      </c>
      <c r="D80" s="1">
        <v>163</v>
      </c>
      <c r="E80" s="1">
        <v>6</v>
      </c>
      <c r="F80" s="1">
        <v>243.2</v>
      </c>
      <c r="G80" s="7">
        <v>0.6</v>
      </c>
      <c r="H80" s="1">
        <v>70</v>
      </c>
      <c r="I80" s="1" t="s">
        <v>30</v>
      </c>
      <c r="J80" s="1"/>
      <c r="K80" s="1">
        <v>84</v>
      </c>
      <c r="L80" s="1">
        <f t="shared" si="16"/>
        <v>-78</v>
      </c>
      <c r="M80" s="1"/>
      <c r="N80" s="1"/>
      <c r="O80" s="1">
        <v>0</v>
      </c>
      <c r="P80" s="1">
        <v>0</v>
      </c>
      <c r="Q80" s="1"/>
      <c r="R80" s="1">
        <f t="shared" si="17"/>
        <v>1.2</v>
      </c>
      <c r="S80" s="5"/>
      <c r="T80" s="1">
        <f t="shared" si="18"/>
        <v>202.66666666666666</v>
      </c>
      <c r="U80" s="1">
        <f t="shared" si="19"/>
        <v>202.66666666666666</v>
      </c>
      <c r="V80" s="1">
        <v>4.2</v>
      </c>
      <c r="W80" s="1">
        <v>7</v>
      </c>
      <c r="X80" s="1">
        <v>7.6</v>
      </c>
      <c r="Y80" s="17" t="s">
        <v>52</v>
      </c>
      <c r="Z80" s="1">
        <f t="shared" si="20"/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114</v>
      </c>
      <c r="B81" s="1" t="s">
        <v>36</v>
      </c>
      <c r="C81" s="1"/>
      <c r="D81" s="1">
        <v>42</v>
      </c>
      <c r="E81" s="1">
        <v>48</v>
      </c>
      <c r="F81" s="1">
        <v>-6</v>
      </c>
      <c r="G81" s="7">
        <v>0.33</v>
      </c>
      <c r="H81" s="1">
        <v>40</v>
      </c>
      <c r="I81" s="1" t="s">
        <v>30</v>
      </c>
      <c r="J81" s="1"/>
      <c r="K81" s="1">
        <v>67</v>
      </c>
      <c r="L81" s="1">
        <f t="shared" si="16"/>
        <v>-19</v>
      </c>
      <c r="M81" s="1"/>
      <c r="N81" s="1"/>
      <c r="O81" s="1">
        <v>10</v>
      </c>
      <c r="P81" s="1">
        <v>0</v>
      </c>
      <c r="Q81" s="1">
        <v>10.981659388646291</v>
      </c>
      <c r="R81" s="1">
        <f t="shared" si="17"/>
        <v>9.6</v>
      </c>
      <c r="S81" s="5">
        <f>9*R81-Q81-P81-O81-F81</f>
        <v>71.418340611353699</v>
      </c>
      <c r="T81" s="1">
        <f t="shared" si="18"/>
        <v>9</v>
      </c>
      <c r="U81" s="1">
        <f t="shared" si="19"/>
        <v>1.5605895196506554</v>
      </c>
      <c r="V81" s="1">
        <v>3.6</v>
      </c>
      <c r="W81" s="1">
        <v>0</v>
      </c>
      <c r="X81" s="1">
        <v>-0.6</v>
      </c>
      <c r="Y81" s="1"/>
      <c r="Z81" s="1">
        <f t="shared" si="20"/>
        <v>23.568052401746723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9" t="s">
        <v>115</v>
      </c>
      <c r="B82" s="1" t="s">
        <v>36</v>
      </c>
      <c r="C82" s="1">
        <v>13</v>
      </c>
      <c r="D82" s="1">
        <v>30</v>
      </c>
      <c r="E82" s="1">
        <v>1</v>
      </c>
      <c r="F82" s="1">
        <v>42</v>
      </c>
      <c r="G82" s="7">
        <v>0.4</v>
      </c>
      <c r="H82" s="1">
        <v>55</v>
      </c>
      <c r="I82" s="10" t="s">
        <v>34</v>
      </c>
      <c r="J82" s="1"/>
      <c r="K82" s="1">
        <v>3</v>
      </c>
      <c r="L82" s="1">
        <f t="shared" si="16"/>
        <v>-2</v>
      </c>
      <c r="M82" s="1"/>
      <c r="N82" s="1"/>
      <c r="O82" s="1">
        <v>0</v>
      </c>
      <c r="P82" s="1">
        <v>0</v>
      </c>
      <c r="Q82" s="1"/>
      <c r="R82" s="1">
        <f t="shared" si="17"/>
        <v>0.2</v>
      </c>
      <c r="S82" s="5"/>
      <c r="T82" s="1">
        <f t="shared" si="18"/>
        <v>210</v>
      </c>
      <c r="U82" s="1">
        <f t="shared" si="19"/>
        <v>210</v>
      </c>
      <c r="V82" s="1">
        <v>2</v>
      </c>
      <c r="W82" s="1">
        <v>2.2000000000000002</v>
      </c>
      <c r="X82" s="1">
        <v>0.6</v>
      </c>
      <c r="Y82" s="17" t="s">
        <v>52</v>
      </c>
      <c r="Z82" s="1">
        <f t="shared" si="20"/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9" t="s">
        <v>116</v>
      </c>
      <c r="B83" s="1" t="s">
        <v>36</v>
      </c>
      <c r="C83" s="1">
        <v>-2</v>
      </c>
      <c r="D83" s="1">
        <v>36</v>
      </c>
      <c r="E83" s="1">
        <v>2</v>
      </c>
      <c r="F83" s="1">
        <v>29</v>
      </c>
      <c r="G83" s="7">
        <v>0.35</v>
      </c>
      <c r="H83" s="1">
        <v>40</v>
      </c>
      <c r="I83" s="10" t="s">
        <v>34</v>
      </c>
      <c r="J83" s="1"/>
      <c r="K83" s="1">
        <v>2</v>
      </c>
      <c r="L83" s="1">
        <f t="shared" si="16"/>
        <v>0</v>
      </c>
      <c r="M83" s="1"/>
      <c r="N83" s="1"/>
      <c r="O83" s="1">
        <v>0</v>
      </c>
      <c r="P83" s="1">
        <v>0</v>
      </c>
      <c r="Q83" s="1"/>
      <c r="R83" s="1">
        <f t="shared" si="17"/>
        <v>0.4</v>
      </c>
      <c r="S83" s="5"/>
      <c r="T83" s="1">
        <f t="shared" si="18"/>
        <v>72.5</v>
      </c>
      <c r="U83" s="1">
        <f t="shared" si="19"/>
        <v>72.5</v>
      </c>
      <c r="V83" s="1">
        <v>0.2</v>
      </c>
      <c r="W83" s="1">
        <v>0.4</v>
      </c>
      <c r="X83" s="1">
        <v>0.4</v>
      </c>
      <c r="Y83" s="1"/>
      <c r="Z83" s="1">
        <f t="shared" si="20"/>
        <v>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9" t="s">
        <v>117</v>
      </c>
      <c r="B84" s="1" t="s">
        <v>36</v>
      </c>
      <c r="C84" s="1"/>
      <c r="D84" s="1">
        <v>36</v>
      </c>
      <c r="E84" s="1">
        <v>14</v>
      </c>
      <c r="F84" s="1">
        <v>19</v>
      </c>
      <c r="G84" s="7">
        <v>0.35</v>
      </c>
      <c r="H84" s="1">
        <v>45</v>
      </c>
      <c r="I84" s="10" t="s">
        <v>34</v>
      </c>
      <c r="J84" s="1"/>
      <c r="K84" s="1">
        <v>14</v>
      </c>
      <c r="L84" s="1">
        <f t="shared" si="16"/>
        <v>0</v>
      </c>
      <c r="M84" s="1"/>
      <c r="N84" s="1"/>
      <c r="O84" s="1">
        <v>12</v>
      </c>
      <c r="P84" s="1">
        <v>0</v>
      </c>
      <c r="Q84" s="1"/>
      <c r="R84" s="1">
        <f t="shared" si="17"/>
        <v>2.8</v>
      </c>
      <c r="S84" s="5"/>
      <c r="T84" s="1">
        <f t="shared" si="18"/>
        <v>11.071428571428573</v>
      </c>
      <c r="U84" s="1">
        <f t="shared" si="19"/>
        <v>11.071428571428573</v>
      </c>
      <c r="V84" s="1">
        <v>2.2000000000000002</v>
      </c>
      <c r="W84" s="1">
        <v>0</v>
      </c>
      <c r="X84" s="1">
        <v>-0.4</v>
      </c>
      <c r="Y84" s="1"/>
      <c r="Z84" s="1">
        <f t="shared" si="20"/>
        <v>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1" t="s">
        <v>118</v>
      </c>
      <c r="B85" s="11" t="s">
        <v>36</v>
      </c>
      <c r="C85" s="11"/>
      <c r="D85" s="11"/>
      <c r="E85" s="11"/>
      <c r="F85" s="11"/>
      <c r="G85" s="12">
        <v>0</v>
      </c>
      <c r="H85" s="11"/>
      <c r="I85" s="11" t="s">
        <v>30</v>
      </c>
      <c r="J85" s="11"/>
      <c r="K85" s="11"/>
      <c r="L85" s="11">
        <f t="shared" si="16"/>
        <v>0</v>
      </c>
      <c r="M85" s="11"/>
      <c r="N85" s="11"/>
      <c r="O85" s="11">
        <v>0</v>
      </c>
      <c r="P85" s="11">
        <v>0</v>
      </c>
      <c r="Q85" s="11"/>
      <c r="R85" s="11">
        <f t="shared" si="17"/>
        <v>0</v>
      </c>
      <c r="S85" s="13"/>
      <c r="T85" s="11" t="e">
        <f t="shared" si="18"/>
        <v>#DIV/0!</v>
      </c>
      <c r="U85" s="11" t="e">
        <f t="shared" si="19"/>
        <v>#DIV/0!</v>
      </c>
      <c r="V85" s="11">
        <v>0</v>
      </c>
      <c r="W85" s="11">
        <v>0</v>
      </c>
      <c r="X85" s="11">
        <v>0</v>
      </c>
      <c r="Y85" s="11" t="s">
        <v>37</v>
      </c>
      <c r="Z85" s="1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1" t="s">
        <v>119</v>
      </c>
      <c r="B86" s="11" t="s">
        <v>29</v>
      </c>
      <c r="C86" s="11"/>
      <c r="D86" s="11"/>
      <c r="E86" s="11"/>
      <c r="F86" s="11"/>
      <c r="G86" s="12">
        <v>0</v>
      </c>
      <c r="H86" s="11"/>
      <c r="I86" s="11" t="s">
        <v>30</v>
      </c>
      <c r="J86" s="11"/>
      <c r="K86" s="11"/>
      <c r="L86" s="11">
        <f t="shared" si="16"/>
        <v>0</v>
      </c>
      <c r="M86" s="11"/>
      <c r="N86" s="11"/>
      <c r="O86" s="11">
        <v>0</v>
      </c>
      <c r="P86" s="11">
        <v>0</v>
      </c>
      <c r="Q86" s="11"/>
      <c r="R86" s="11">
        <f t="shared" si="17"/>
        <v>0</v>
      </c>
      <c r="S86" s="13"/>
      <c r="T86" s="11" t="e">
        <f t="shared" si="18"/>
        <v>#DIV/0!</v>
      </c>
      <c r="U86" s="11" t="e">
        <f t="shared" si="19"/>
        <v>#DIV/0!</v>
      </c>
      <c r="V86" s="11">
        <v>0</v>
      </c>
      <c r="W86" s="11">
        <v>0</v>
      </c>
      <c r="X86" s="11">
        <v>0</v>
      </c>
      <c r="Y86" s="11" t="s">
        <v>37</v>
      </c>
      <c r="Z86" s="1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1" t="s">
        <v>120</v>
      </c>
      <c r="B87" s="11" t="s">
        <v>29</v>
      </c>
      <c r="C87" s="11"/>
      <c r="D87" s="11"/>
      <c r="E87" s="11"/>
      <c r="F87" s="11"/>
      <c r="G87" s="12">
        <v>0</v>
      </c>
      <c r="H87" s="11"/>
      <c r="I87" s="11" t="s">
        <v>30</v>
      </c>
      <c r="J87" s="11"/>
      <c r="K87" s="11"/>
      <c r="L87" s="11">
        <f t="shared" si="16"/>
        <v>0</v>
      </c>
      <c r="M87" s="11"/>
      <c r="N87" s="11"/>
      <c r="O87" s="11">
        <v>0</v>
      </c>
      <c r="P87" s="11">
        <v>0</v>
      </c>
      <c r="Q87" s="11"/>
      <c r="R87" s="11">
        <f t="shared" si="17"/>
        <v>0</v>
      </c>
      <c r="S87" s="13"/>
      <c r="T87" s="11" t="e">
        <f t="shared" si="18"/>
        <v>#DIV/0!</v>
      </c>
      <c r="U87" s="11" t="e">
        <f t="shared" si="19"/>
        <v>#DIV/0!</v>
      </c>
      <c r="V87" s="11">
        <v>0</v>
      </c>
      <c r="W87" s="11">
        <v>0</v>
      </c>
      <c r="X87" s="11">
        <v>0</v>
      </c>
      <c r="Y87" s="11" t="s">
        <v>37</v>
      </c>
      <c r="Z87" s="1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121</v>
      </c>
      <c r="B88" s="1" t="s">
        <v>29</v>
      </c>
      <c r="C88" s="1">
        <v>0.121</v>
      </c>
      <c r="D88" s="1">
        <v>68.945999999999998</v>
      </c>
      <c r="E88" s="1">
        <v>71.623000000000005</v>
      </c>
      <c r="F88" s="1">
        <v>-5.1079999999999997</v>
      </c>
      <c r="G88" s="7">
        <v>1</v>
      </c>
      <c r="H88" s="1">
        <v>60</v>
      </c>
      <c r="I88" s="1" t="s">
        <v>30</v>
      </c>
      <c r="J88" s="1"/>
      <c r="K88" s="1">
        <v>120.6</v>
      </c>
      <c r="L88" s="1">
        <f t="shared" si="16"/>
        <v>-48.97699999999999</v>
      </c>
      <c r="M88" s="1"/>
      <c r="N88" s="1"/>
      <c r="O88" s="1">
        <v>209.13635472513329</v>
      </c>
      <c r="P88" s="1">
        <v>0</v>
      </c>
      <c r="Q88" s="1"/>
      <c r="R88" s="1">
        <f t="shared" si="17"/>
        <v>14.3246</v>
      </c>
      <c r="S88" s="5">
        <v>30</v>
      </c>
      <c r="T88" s="1">
        <f t="shared" si="18"/>
        <v>16.337514117331953</v>
      </c>
      <c r="U88" s="1">
        <f t="shared" si="19"/>
        <v>14.243214800073529</v>
      </c>
      <c r="V88" s="1">
        <v>2.42</v>
      </c>
      <c r="W88" s="1">
        <v>12.898199999999999</v>
      </c>
      <c r="X88" s="1">
        <v>19.516999999999999</v>
      </c>
      <c r="Y88" s="1"/>
      <c r="Z88" s="1">
        <f>G88*S88</f>
        <v>30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1" t="s">
        <v>122</v>
      </c>
      <c r="B89" s="11" t="s">
        <v>36</v>
      </c>
      <c r="C89" s="11"/>
      <c r="D89" s="11"/>
      <c r="E89" s="11"/>
      <c r="F89" s="11"/>
      <c r="G89" s="12">
        <v>0</v>
      </c>
      <c r="H89" s="11"/>
      <c r="I89" s="11" t="s">
        <v>30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v>0</v>
      </c>
      <c r="Q89" s="11"/>
      <c r="R89" s="11">
        <f t="shared" si="17"/>
        <v>0</v>
      </c>
      <c r="S89" s="13"/>
      <c r="T89" s="11" t="e">
        <f t="shared" si="18"/>
        <v>#DIV/0!</v>
      </c>
      <c r="U89" s="11" t="e">
        <f t="shared" si="19"/>
        <v>#DIV/0!</v>
      </c>
      <c r="V89" s="11">
        <v>0</v>
      </c>
      <c r="W89" s="11">
        <v>0</v>
      </c>
      <c r="X89" s="11">
        <v>0</v>
      </c>
      <c r="Y89" s="11" t="s">
        <v>37</v>
      </c>
      <c r="Z89" s="1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123</v>
      </c>
      <c r="B90" s="1" t="s">
        <v>29</v>
      </c>
      <c r="C90" s="1">
        <v>334.87900000000002</v>
      </c>
      <c r="D90" s="1">
        <v>1190.9290000000001</v>
      </c>
      <c r="E90" s="1">
        <v>384.15600000000001</v>
      </c>
      <c r="F90" s="1">
        <v>1090.915</v>
      </c>
      <c r="G90" s="7">
        <v>1</v>
      </c>
      <c r="H90" s="1">
        <v>60</v>
      </c>
      <c r="I90" s="1" t="s">
        <v>30</v>
      </c>
      <c r="J90" s="1"/>
      <c r="K90" s="1">
        <v>437</v>
      </c>
      <c r="L90" s="1">
        <f t="shared" si="16"/>
        <v>-52.843999999999994</v>
      </c>
      <c r="M90" s="1"/>
      <c r="N90" s="1"/>
      <c r="O90" s="1">
        <v>0</v>
      </c>
      <c r="P90" s="1">
        <v>0</v>
      </c>
      <c r="Q90" s="1">
        <v>27.225830600724521</v>
      </c>
      <c r="R90" s="1">
        <f t="shared" si="17"/>
        <v>76.831199999999995</v>
      </c>
      <c r="S90" s="5"/>
      <c r="T90" s="1">
        <f t="shared" si="18"/>
        <v>14.553213155602471</v>
      </c>
      <c r="U90" s="1">
        <f t="shared" si="19"/>
        <v>14.553213155602471</v>
      </c>
      <c r="V90" s="1">
        <v>111.5638</v>
      </c>
      <c r="W90" s="1">
        <v>119.0112</v>
      </c>
      <c r="X90" s="1">
        <v>67.967799999999997</v>
      </c>
      <c r="Y90" s="1"/>
      <c r="Z90" s="1">
        <f>G90*S90</f>
        <v>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124</v>
      </c>
      <c r="B91" s="1" t="s">
        <v>29</v>
      </c>
      <c r="C91" s="1">
        <v>-206.596</v>
      </c>
      <c r="D91" s="1">
        <v>1140.068</v>
      </c>
      <c r="E91" s="1">
        <v>380.86900000000003</v>
      </c>
      <c r="F91" s="1">
        <v>520.54399999999998</v>
      </c>
      <c r="G91" s="7">
        <v>1</v>
      </c>
      <c r="H91" s="1">
        <v>60</v>
      </c>
      <c r="I91" s="1" t="s">
        <v>30</v>
      </c>
      <c r="J91" s="1"/>
      <c r="K91" s="1">
        <v>407</v>
      </c>
      <c r="L91" s="1">
        <f t="shared" si="16"/>
        <v>-26.130999999999972</v>
      </c>
      <c r="M91" s="1"/>
      <c r="N91" s="1"/>
      <c r="O91" s="1">
        <v>0</v>
      </c>
      <c r="P91" s="1">
        <v>0</v>
      </c>
      <c r="Q91" s="1">
        <v>479.92177665822271</v>
      </c>
      <c r="R91" s="1">
        <f t="shared" si="17"/>
        <v>76.1738</v>
      </c>
      <c r="S91" s="5"/>
      <c r="T91" s="1">
        <f t="shared" si="18"/>
        <v>13.133988020267109</v>
      </c>
      <c r="U91" s="1">
        <f t="shared" si="19"/>
        <v>13.133988020267109</v>
      </c>
      <c r="V91" s="1">
        <v>98.932400000000001</v>
      </c>
      <c r="W91" s="1">
        <v>67.966399999999993</v>
      </c>
      <c r="X91" s="1">
        <v>26.086600000000001</v>
      </c>
      <c r="Y91" s="1"/>
      <c r="Z91" s="1">
        <f>G91*S91</f>
        <v>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55</v>
      </c>
      <c r="B92" s="1" t="s">
        <v>29</v>
      </c>
      <c r="C92" s="1">
        <v>-175.09100000000001</v>
      </c>
      <c r="D92" s="1">
        <v>1419.5060000000001</v>
      </c>
      <c r="E92" s="15">
        <f>801.702+E23</f>
        <v>824.053</v>
      </c>
      <c r="F92" s="15">
        <f>360.229+F23</f>
        <v>337.87799999999999</v>
      </c>
      <c r="G92" s="7">
        <v>1</v>
      </c>
      <c r="H92" s="1">
        <v>60</v>
      </c>
      <c r="I92" s="1" t="s">
        <v>30</v>
      </c>
      <c r="J92" s="1"/>
      <c r="K92" s="1">
        <v>875.5</v>
      </c>
      <c r="L92" s="1">
        <f t="shared" si="16"/>
        <v>-51.447000000000003</v>
      </c>
      <c r="M92" s="1"/>
      <c r="N92" s="1"/>
      <c r="O92" s="1">
        <v>400</v>
      </c>
      <c r="P92" s="1">
        <v>251.10125231080929</v>
      </c>
      <c r="Q92" s="1">
        <v>234.9879999999996</v>
      </c>
      <c r="R92" s="1">
        <f t="shared" si="17"/>
        <v>164.81059999999999</v>
      </c>
      <c r="S92" s="5">
        <f t="shared" ref="S90:S92" si="21">11*R92-Q92-P92-O92-F92</f>
        <v>588.9493476891912</v>
      </c>
      <c r="T92" s="1">
        <f t="shared" si="18"/>
        <v>11</v>
      </c>
      <c r="U92" s="1">
        <f t="shared" si="19"/>
        <v>7.4265080784294755</v>
      </c>
      <c r="V92" s="1">
        <v>136.1634</v>
      </c>
      <c r="W92" s="1">
        <v>154.62280000000001</v>
      </c>
      <c r="X92" s="1">
        <v>109.41240000000001</v>
      </c>
      <c r="Y92" s="1"/>
      <c r="Z92" s="1">
        <f>G92*S92</f>
        <v>588.9493476891912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1" t="s">
        <v>125</v>
      </c>
      <c r="B93" s="11" t="s">
        <v>29</v>
      </c>
      <c r="C93" s="11"/>
      <c r="D93" s="11"/>
      <c r="E93" s="11"/>
      <c r="F93" s="11"/>
      <c r="G93" s="12">
        <v>0</v>
      </c>
      <c r="H93" s="11"/>
      <c r="I93" s="11" t="s">
        <v>34</v>
      </c>
      <c r="J93" s="11"/>
      <c r="K93" s="11"/>
      <c r="L93" s="11">
        <f t="shared" si="16"/>
        <v>0</v>
      </c>
      <c r="M93" s="11"/>
      <c r="N93" s="11"/>
      <c r="O93" s="11">
        <v>0</v>
      </c>
      <c r="P93" s="11">
        <v>0</v>
      </c>
      <c r="Q93" s="11"/>
      <c r="R93" s="11">
        <f t="shared" si="17"/>
        <v>0</v>
      </c>
      <c r="S93" s="13"/>
      <c r="T93" s="11" t="e">
        <f t="shared" si="18"/>
        <v>#DIV/0!</v>
      </c>
      <c r="U93" s="11" t="e">
        <f t="shared" si="19"/>
        <v>#DIV/0!</v>
      </c>
      <c r="V93" s="11">
        <v>0</v>
      </c>
      <c r="W93" s="11">
        <v>0</v>
      </c>
      <c r="X93" s="11">
        <v>0</v>
      </c>
      <c r="Y93" s="11" t="s">
        <v>37</v>
      </c>
      <c r="Z93" s="1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9" t="s">
        <v>126</v>
      </c>
      <c r="B94" s="1" t="s">
        <v>36</v>
      </c>
      <c r="C94" s="1"/>
      <c r="D94" s="1"/>
      <c r="E94" s="1"/>
      <c r="F94" s="1"/>
      <c r="G94" s="7">
        <v>0.3</v>
      </c>
      <c r="H94" s="1">
        <v>40</v>
      </c>
      <c r="I94" s="10" t="s">
        <v>34</v>
      </c>
      <c r="J94" s="1"/>
      <c r="K94" s="1"/>
      <c r="L94" s="1">
        <f t="shared" si="16"/>
        <v>0</v>
      </c>
      <c r="M94" s="1"/>
      <c r="N94" s="1"/>
      <c r="O94" s="1">
        <v>0</v>
      </c>
      <c r="P94" s="1">
        <v>100</v>
      </c>
      <c r="Q94" s="1"/>
      <c r="R94" s="1">
        <f t="shared" si="17"/>
        <v>0</v>
      </c>
      <c r="S94" s="5"/>
      <c r="T94" s="1" t="e">
        <f t="shared" si="18"/>
        <v>#DIV/0!</v>
      </c>
      <c r="U94" s="1" t="e">
        <f t="shared" si="19"/>
        <v>#DIV/0!</v>
      </c>
      <c r="V94" s="1">
        <v>0</v>
      </c>
      <c r="W94" s="1">
        <v>0</v>
      </c>
      <c r="X94" s="1">
        <v>0</v>
      </c>
      <c r="Y94" s="1"/>
      <c r="Z94" s="1">
        <f>G94*S94</f>
        <v>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1" t="s">
        <v>127</v>
      </c>
      <c r="B95" s="11" t="s">
        <v>36</v>
      </c>
      <c r="C95" s="11"/>
      <c r="D95" s="11"/>
      <c r="E95" s="11"/>
      <c r="F95" s="11"/>
      <c r="G95" s="12">
        <v>0</v>
      </c>
      <c r="H95" s="11"/>
      <c r="I95" s="11" t="s">
        <v>34</v>
      </c>
      <c r="J95" s="11"/>
      <c r="K95" s="11"/>
      <c r="L95" s="11">
        <f t="shared" si="16"/>
        <v>0</v>
      </c>
      <c r="M95" s="11"/>
      <c r="N95" s="11"/>
      <c r="O95" s="11">
        <v>0</v>
      </c>
      <c r="P95" s="11">
        <v>0</v>
      </c>
      <c r="Q95" s="11"/>
      <c r="R95" s="11">
        <f t="shared" si="17"/>
        <v>0</v>
      </c>
      <c r="S95" s="13"/>
      <c r="T95" s="11" t="e">
        <f t="shared" si="18"/>
        <v>#DIV/0!</v>
      </c>
      <c r="U95" s="11" t="e">
        <f t="shared" si="19"/>
        <v>#DIV/0!</v>
      </c>
      <c r="V95" s="11">
        <v>0</v>
      </c>
      <c r="W95" s="11">
        <v>0</v>
      </c>
      <c r="X95" s="11">
        <v>0</v>
      </c>
      <c r="Y95" s="11" t="s">
        <v>37</v>
      </c>
      <c r="Z95" s="1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9" t="s">
        <v>128</v>
      </c>
      <c r="B96" s="1" t="s">
        <v>36</v>
      </c>
      <c r="C96" s="1">
        <v>-3</v>
      </c>
      <c r="D96" s="1">
        <v>36</v>
      </c>
      <c r="E96" s="1">
        <v>30</v>
      </c>
      <c r="F96" s="1">
        <v>3</v>
      </c>
      <c r="G96" s="7">
        <v>7.0000000000000007E-2</v>
      </c>
      <c r="H96" s="1">
        <v>90</v>
      </c>
      <c r="I96" s="10" t="s">
        <v>34</v>
      </c>
      <c r="J96" s="1"/>
      <c r="K96" s="1">
        <v>30</v>
      </c>
      <c r="L96" s="1">
        <f t="shared" si="16"/>
        <v>0</v>
      </c>
      <c r="M96" s="1"/>
      <c r="N96" s="1"/>
      <c r="O96" s="1">
        <v>0</v>
      </c>
      <c r="P96" s="1">
        <v>50</v>
      </c>
      <c r="Q96" s="1"/>
      <c r="R96" s="1">
        <f t="shared" si="17"/>
        <v>6</v>
      </c>
      <c r="S96" s="5">
        <f t="shared" ref="S96:S101" si="22">11*R96-Q96-P96-O96-F96</f>
        <v>13</v>
      </c>
      <c r="T96" s="1">
        <f t="shared" si="18"/>
        <v>11</v>
      </c>
      <c r="U96" s="1">
        <f t="shared" si="19"/>
        <v>8.8333333333333339</v>
      </c>
      <c r="V96" s="1">
        <v>2</v>
      </c>
      <c r="W96" s="1">
        <v>0.6</v>
      </c>
      <c r="X96" s="1">
        <v>0</v>
      </c>
      <c r="Y96" s="1"/>
      <c r="Z96" s="1">
        <f t="shared" ref="Z96:Z101" si="23">G96*S96</f>
        <v>0.91000000000000014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9" t="s">
        <v>129</v>
      </c>
      <c r="B97" s="1" t="s">
        <v>36</v>
      </c>
      <c r="C97" s="1">
        <v>-3</v>
      </c>
      <c r="D97" s="1"/>
      <c r="E97" s="1"/>
      <c r="F97" s="1">
        <v>-3</v>
      </c>
      <c r="G97" s="7">
        <v>7.0000000000000007E-2</v>
      </c>
      <c r="H97" s="1">
        <v>90</v>
      </c>
      <c r="I97" s="10" t="s">
        <v>34</v>
      </c>
      <c r="J97" s="1"/>
      <c r="K97" s="1"/>
      <c r="L97" s="1">
        <f t="shared" si="16"/>
        <v>0</v>
      </c>
      <c r="M97" s="1"/>
      <c r="N97" s="1"/>
      <c r="O97" s="1">
        <v>24</v>
      </c>
      <c r="P97" s="1">
        <v>40</v>
      </c>
      <c r="Q97" s="1">
        <v>10</v>
      </c>
      <c r="R97" s="1">
        <f t="shared" si="17"/>
        <v>0</v>
      </c>
      <c r="S97" s="5"/>
      <c r="T97" s="1" t="e">
        <f t="shared" si="18"/>
        <v>#DIV/0!</v>
      </c>
      <c r="U97" s="1" t="e">
        <f t="shared" si="19"/>
        <v>#DIV/0!</v>
      </c>
      <c r="V97" s="1">
        <v>0.6</v>
      </c>
      <c r="W97" s="1">
        <v>0.6</v>
      </c>
      <c r="X97" s="1">
        <v>0</v>
      </c>
      <c r="Y97" s="1"/>
      <c r="Z97" s="1">
        <f t="shared" si="23"/>
        <v>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130</v>
      </c>
      <c r="B98" s="1" t="s">
        <v>36</v>
      </c>
      <c r="C98" s="1">
        <v>-13</v>
      </c>
      <c r="D98" s="1">
        <v>90</v>
      </c>
      <c r="E98" s="1">
        <v>28</v>
      </c>
      <c r="F98" s="1">
        <v>46</v>
      </c>
      <c r="G98" s="7">
        <v>7.0000000000000007E-2</v>
      </c>
      <c r="H98" s="1">
        <v>90</v>
      </c>
      <c r="I98" s="1" t="s">
        <v>30</v>
      </c>
      <c r="J98" s="1"/>
      <c r="K98" s="1">
        <v>31</v>
      </c>
      <c r="L98" s="1">
        <f t="shared" si="16"/>
        <v>-3</v>
      </c>
      <c r="M98" s="1"/>
      <c r="N98" s="1"/>
      <c r="O98" s="1">
        <v>0</v>
      </c>
      <c r="P98" s="1">
        <v>0</v>
      </c>
      <c r="Q98" s="1">
        <v>10</v>
      </c>
      <c r="R98" s="1">
        <f t="shared" si="17"/>
        <v>5.6</v>
      </c>
      <c r="S98" s="5">
        <f t="shared" si="22"/>
        <v>5.5999999999999943</v>
      </c>
      <c r="T98" s="1">
        <f t="shared" si="18"/>
        <v>11</v>
      </c>
      <c r="U98" s="1">
        <f t="shared" si="19"/>
        <v>10</v>
      </c>
      <c r="V98" s="1">
        <v>3.8</v>
      </c>
      <c r="W98" s="1">
        <v>2.6</v>
      </c>
      <c r="X98" s="1">
        <v>0.8</v>
      </c>
      <c r="Y98" s="1"/>
      <c r="Z98" s="1">
        <f t="shared" si="23"/>
        <v>0.39199999999999963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131</v>
      </c>
      <c r="B99" s="1" t="s">
        <v>36</v>
      </c>
      <c r="C99" s="1">
        <v>40</v>
      </c>
      <c r="D99" s="1">
        <v>13</v>
      </c>
      <c r="E99" s="1">
        <v>24</v>
      </c>
      <c r="F99" s="1">
        <v>24</v>
      </c>
      <c r="G99" s="7">
        <v>0.3</v>
      </c>
      <c r="H99" s="1"/>
      <c r="I99" s="1" t="s">
        <v>30</v>
      </c>
      <c r="J99" s="1"/>
      <c r="K99" s="1">
        <v>25</v>
      </c>
      <c r="L99" s="1">
        <f t="shared" si="16"/>
        <v>-1</v>
      </c>
      <c r="M99" s="1"/>
      <c r="N99" s="1"/>
      <c r="O99" s="1">
        <v>0</v>
      </c>
      <c r="P99" s="1">
        <v>20</v>
      </c>
      <c r="Q99" s="1">
        <v>20</v>
      </c>
      <c r="R99" s="1">
        <f t="shared" si="17"/>
        <v>4.8</v>
      </c>
      <c r="S99" s="5"/>
      <c r="T99" s="1">
        <f t="shared" si="18"/>
        <v>13.333333333333334</v>
      </c>
      <c r="U99" s="1">
        <f t="shared" si="19"/>
        <v>13.333333333333334</v>
      </c>
      <c r="V99" s="1">
        <v>6</v>
      </c>
      <c r="W99" s="1">
        <v>4</v>
      </c>
      <c r="X99" s="1">
        <v>0</v>
      </c>
      <c r="Y99" s="1"/>
      <c r="Z99" s="1">
        <f t="shared" si="23"/>
        <v>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132</v>
      </c>
      <c r="B100" s="1" t="s">
        <v>29</v>
      </c>
      <c r="C100" s="1">
        <v>18.190999999999999</v>
      </c>
      <c r="D100" s="1">
        <v>4.0380000000000003</v>
      </c>
      <c r="E100" s="1">
        <v>15.51</v>
      </c>
      <c r="F100" s="15">
        <f>2.681+F126</f>
        <v>18.649999999999999</v>
      </c>
      <c r="G100" s="7">
        <v>1</v>
      </c>
      <c r="H100" s="1">
        <v>55</v>
      </c>
      <c r="I100" s="1" t="s">
        <v>30</v>
      </c>
      <c r="J100" s="1"/>
      <c r="K100" s="1">
        <v>21.9</v>
      </c>
      <c r="L100" s="1">
        <f t="shared" si="16"/>
        <v>-6.3899999999999988</v>
      </c>
      <c r="M100" s="1"/>
      <c r="N100" s="1"/>
      <c r="O100" s="1">
        <v>0</v>
      </c>
      <c r="P100" s="1">
        <v>0</v>
      </c>
      <c r="Q100" s="1">
        <v>20.95419999999999</v>
      </c>
      <c r="R100" s="1">
        <f t="shared" si="17"/>
        <v>3.1019999999999999</v>
      </c>
      <c r="S100" s="5"/>
      <c r="T100" s="1">
        <f t="shared" si="18"/>
        <v>12.76731141199226</v>
      </c>
      <c r="U100" s="1">
        <f t="shared" si="19"/>
        <v>12.76731141199226</v>
      </c>
      <c r="V100" s="1">
        <v>3.3056000000000001</v>
      </c>
      <c r="W100" s="1">
        <v>1.2108000000000001</v>
      </c>
      <c r="X100" s="1">
        <v>0.40079999999999999</v>
      </c>
      <c r="Y100" s="1"/>
      <c r="Z100" s="1">
        <f t="shared" si="23"/>
        <v>0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133</v>
      </c>
      <c r="B101" s="1" t="s">
        <v>36</v>
      </c>
      <c r="C101" s="1">
        <v>96</v>
      </c>
      <c r="D101" s="1"/>
      <c r="E101" s="1">
        <v>21</v>
      </c>
      <c r="F101" s="1">
        <v>75</v>
      </c>
      <c r="G101" s="7">
        <v>0.11</v>
      </c>
      <c r="H101" s="1">
        <v>30</v>
      </c>
      <c r="I101" s="1" t="s">
        <v>30</v>
      </c>
      <c r="J101" s="1"/>
      <c r="K101" s="1">
        <v>43</v>
      </c>
      <c r="L101" s="1">
        <f t="shared" si="16"/>
        <v>-22</v>
      </c>
      <c r="M101" s="1"/>
      <c r="N101" s="1"/>
      <c r="O101" s="1">
        <v>0</v>
      </c>
      <c r="P101" s="1">
        <v>0</v>
      </c>
      <c r="Q101" s="1"/>
      <c r="R101" s="1">
        <f t="shared" si="17"/>
        <v>4.2</v>
      </c>
      <c r="S101" s="5"/>
      <c r="T101" s="1">
        <f t="shared" si="18"/>
        <v>17.857142857142858</v>
      </c>
      <c r="U101" s="1">
        <f t="shared" si="19"/>
        <v>17.857142857142858</v>
      </c>
      <c r="V101" s="1">
        <v>4</v>
      </c>
      <c r="W101" s="1">
        <v>2</v>
      </c>
      <c r="X101" s="1">
        <v>2</v>
      </c>
      <c r="Y101" s="16" t="s">
        <v>32</v>
      </c>
      <c r="Z101" s="1">
        <f t="shared" si="23"/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1" t="s">
        <v>134</v>
      </c>
      <c r="B102" s="11" t="s">
        <v>36</v>
      </c>
      <c r="C102" s="11"/>
      <c r="D102" s="11"/>
      <c r="E102" s="11"/>
      <c r="F102" s="11"/>
      <c r="G102" s="12">
        <v>0</v>
      </c>
      <c r="H102" s="11"/>
      <c r="I102" s="11" t="s">
        <v>30</v>
      </c>
      <c r="J102" s="11"/>
      <c r="K102" s="11"/>
      <c r="L102" s="11">
        <f t="shared" ref="L102:L133" si="24">E102-K102</f>
        <v>0</v>
      </c>
      <c r="M102" s="11"/>
      <c r="N102" s="11"/>
      <c r="O102" s="11">
        <v>0</v>
      </c>
      <c r="P102" s="11">
        <v>0</v>
      </c>
      <c r="Q102" s="11"/>
      <c r="R102" s="11">
        <f t="shared" ref="R102:R132" si="25">E102/5</f>
        <v>0</v>
      </c>
      <c r="S102" s="13"/>
      <c r="T102" s="11" t="e">
        <f t="shared" ref="T102:T133" si="26">(F102+O102+P102+Q102+S102)/R102</f>
        <v>#DIV/0!</v>
      </c>
      <c r="U102" s="11" t="e">
        <f t="shared" ref="U102:U132" si="27">(F102+O102+P102+Q102)/R102</f>
        <v>#DIV/0!</v>
      </c>
      <c r="V102" s="11">
        <v>0</v>
      </c>
      <c r="W102" s="11">
        <v>0</v>
      </c>
      <c r="X102" s="11">
        <v>0</v>
      </c>
      <c r="Y102" s="11" t="s">
        <v>135</v>
      </c>
      <c r="Z102" s="1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136</v>
      </c>
      <c r="B103" s="1" t="s">
        <v>36</v>
      </c>
      <c r="C103" s="1"/>
      <c r="D103" s="1">
        <v>40</v>
      </c>
      <c r="E103" s="1">
        <v>17</v>
      </c>
      <c r="F103" s="1">
        <v>6</v>
      </c>
      <c r="G103" s="7">
        <v>0.08</v>
      </c>
      <c r="H103" s="1">
        <v>45</v>
      </c>
      <c r="I103" s="1" t="s">
        <v>30</v>
      </c>
      <c r="J103" s="1"/>
      <c r="K103" s="1">
        <v>19</v>
      </c>
      <c r="L103" s="1">
        <f t="shared" si="24"/>
        <v>-2</v>
      </c>
      <c r="M103" s="1"/>
      <c r="N103" s="1"/>
      <c r="O103" s="1">
        <v>40</v>
      </c>
      <c r="P103" s="1">
        <v>30</v>
      </c>
      <c r="Q103" s="1"/>
      <c r="R103" s="1">
        <f t="shared" si="25"/>
        <v>3.4</v>
      </c>
      <c r="S103" s="5"/>
      <c r="T103" s="1">
        <f t="shared" si="26"/>
        <v>22.352941176470591</v>
      </c>
      <c r="U103" s="1">
        <f t="shared" si="27"/>
        <v>22.352941176470591</v>
      </c>
      <c r="V103" s="1">
        <v>0</v>
      </c>
      <c r="W103" s="1">
        <v>0</v>
      </c>
      <c r="X103" s="1">
        <v>-0.2</v>
      </c>
      <c r="Y103" s="1"/>
      <c r="Z103" s="1">
        <f t="shared" ref="Z103:Z108" si="28">G103*S103</f>
        <v>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137</v>
      </c>
      <c r="B104" s="1" t="s">
        <v>36</v>
      </c>
      <c r="C104" s="1">
        <v>20</v>
      </c>
      <c r="D104" s="1">
        <v>80</v>
      </c>
      <c r="E104" s="1">
        <v>47</v>
      </c>
      <c r="F104" s="1">
        <v>36</v>
      </c>
      <c r="G104" s="7">
        <v>0.08</v>
      </c>
      <c r="H104" s="1">
        <v>45</v>
      </c>
      <c r="I104" s="1" t="s">
        <v>30</v>
      </c>
      <c r="J104" s="1"/>
      <c r="K104" s="1">
        <v>49</v>
      </c>
      <c r="L104" s="1">
        <f t="shared" si="24"/>
        <v>-2</v>
      </c>
      <c r="M104" s="1"/>
      <c r="N104" s="1"/>
      <c r="O104" s="1">
        <v>0</v>
      </c>
      <c r="P104" s="1">
        <v>0</v>
      </c>
      <c r="Q104" s="1">
        <v>5.7756838905775041</v>
      </c>
      <c r="R104" s="1">
        <f t="shared" si="25"/>
        <v>9.4</v>
      </c>
      <c r="S104" s="5">
        <f t="shared" ref="S103:S108" si="29">11*R104-Q104-P104-O104-F104</f>
        <v>61.624316109422494</v>
      </c>
      <c r="T104" s="1">
        <f t="shared" si="26"/>
        <v>11</v>
      </c>
      <c r="U104" s="1">
        <f t="shared" si="27"/>
        <v>4.4442216904869687</v>
      </c>
      <c r="V104" s="1">
        <v>6.8</v>
      </c>
      <c r="W104" s="1">
        <v>4</v>
      </c>
      <c r="X104" s="1">
        <v>1</v>
      </c>
      <c r="Y104" s="1"/>
      <c r="Z104" s="1">
        <f t="shared" si="28"/>
        <v>4.9299452887537996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9" t="s">
        <v>138</v>
      </c>
      <c r="B105" s="1" t="s">
        <v>36</v>
      </c>
      <c r="C105" s="1"/>
      <c r="D105" s="1">
        <v>24</v>
      </c>
      <c r="E105" s="1"/>
      <c r="F105" s="1">
        <v>24</v>
      </c>
      <c r="G105" s="7">
        <v>0.17</v>
      </c>
      <c r="H105" s="1">
        <v>30</v>
      </c>
      <c r="I105" s="10" t="s">
        <v>34</v>
      </c>
      <c r="J105" s="1"/>
      <c r="K105" s="1"/>
      <c r="L105" s="1">
        <f t="shared" si="24"/>
        <v>0</v>
      </c>
      <c r="M105" s="1"/>
      <c r="N105" s="1"/>
      <c r="O105" s="1">
        <v>10</v>
      </c>
      <c r="P105" s="1">
        <v>0</v>
      </c>
      <c r="Q105" s="1"/>
      <c r="R105" s="1">
        <f t="shared" si="25"/>
        <v>0</v>
      </c>
      <c r="S105" s="5"/>
      <c r="T105" s="1" t="e">
        <f t="shared" si="26"/>
        <v>#DIV/0!</v>
      </c>
      <c r="U105" s="1" t="e">
        <f t="shared" si="27"/>
        <v>#DIV/0!</v>
      </c>
      <c r="V105" s="1">
        <v>0</v>
      </c>
      <c r="W105" s="1">
        <v>0</v>
      </c>
      <c r="X105" s="1">
        <v>0</v>
      </c>
      <c r="Y105" s="1"/>
      <c r="Z105" s="1">
        <f t="shared" si="28"/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9" t="s">
        <v>139</v>
      </c>
      <c r="B106" s="1" t="s">
        <v>29</v>
      </c>
      <c r="C106" s="1"/>
      <c r="D106" s="1">
        <v>26.693000000000001</v>
      </c>
      <c r="E106" s="1">
        <v>13.728999999999999</v>
      </c>
      <c r="F106" s="1">
        <v>9.36</v>
      </c>
      <c r="G106" s="7">
        <v>1</v>
      </c>
      <c r="H106" s="1">
        <v>40</v>
      </c>
      <c r="I106" s="10" t="s">
        <v>34</v>
      </c>
      <c r="J106" s="1"/>
      <c r="K106" s="1">
        <v>23.2</v>
      </c>
      <c r="L106" s="1">
        <f t="shared" si="24"/>
        <v>-9.4710000000000001</v>
      </c>
      <c r="M106" s="1"/>
      <c r="N106" s="1"/>
      <c r="O106" s="1">
        <v>18</v>
      </c>
      <c r="P106" s="1">
        <v>200</v>
      </c>
      <c r="Q106" s="1"/>
      <c r="R106" s="1">
        <f t="shared" si="25"/>
        <v>2.7458</v>
      </c>
      <c r="S106" s="5"/>
      <c r="T106" s="1">
        <f t="shared" si="26"/>
        <v>82.802826134459906</v>
      </c>
      <c r="U106" s="1">
        <f t="shared" si="27"/>
        <v>82.802826134459906</v>
      </c>
      <c r="V106" s="1">
        <v>0</v>
      </c>
      <c r="W106" s="1">
        <v>0</v>
      </c>
      <c r="X106" s="1">
        <v>0</v>
      </c>
      <c r="Y106" s="1"/>
      <c r="Z106" s="1">
        <f t="shared" si="28"/>
        <v>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9" t="s">
        <v>140</v>
      </c>
      <c r="B107" s="1" t="s">
        <v>29</v>
      </c>
      <c r="C107" s="1">
        <v>-15.02</v>
      </c>
      <c r="D107" s="1">
        <v>261.27100000000002</v>
      </c>
      <c r="E107" s="1">
        <v>60.898000000000003</v>
      </c>
      <c r="F107" s="1">
        <v>175.90299999999999</v>
      </c>
      <c r="G107" s="7">
        <v>1</v>
      </c>
      <c r="H107" s="1">
        <v>40</v>
      </c>
      <c r="I107" s="10" t="s">
        <v>34</v>
      </c>
      <c r="J107" s="1"/>
      <c r="K107" s="1">
        <v>76.8</v>
      </c>
      <c r="L107" s="1">
        <f t="shared" si="24"/>
        <v>-15.901999999999994</v>
      </c>
      <c r="M107" s="1"/>
      <c r="N107" s="1"/>
      <c r="O107" s="1">
        <v>0</v>
      </c>
      <c r="P107" s="1">
        <v>0</v>
      </c>
      <c r="Q107" s="1"/>
      <c r="R107" s="1">
        <f t="shared" si="25"/>
        <v>12.179600000000001</v>
      </c>
      <c r="S107" s="5"/>
      <c r="T107" s="1">
        <f t="shared" si="26"/>
        <v>14.442428322769219</v>
      </c>
      <c r="U107" s="1">
        <f t="shared" si="27"/>
        <v>14.442428322769219</v>
      </c>
      <c r="V107" s="1">
        <v>7.9207999999999998</v>
      </c>
      <c r="W107" s="1">
        <v>2.3073999999999999</v>
      </c>
      <c r="X107" s="1">
        <v>0</v>
      </c>
      <c r="Y107" s="1"/>
      <c r="Z107" s="1">
        <f t="shared" si="28"/>
        <v>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9" t="s">
        <v>141</v>
      </c>
      <c r="B108" s="1" t="s">
        <v>29</v>
      </c>
      <c r="C108" s="1"/>
      <c r="D108" s="1"/>
      <c r="E108" s="1"/>
      <c r="F108" s="1"/>
      <c r="G108" s="7">
        <v>1</v>
      </c>
      <c r="H108" s="1">
        <v>40</v>
      </c>
      <c r="I108" s="10" t="s">
        <v>34</v>
      </c>
      <c r="J108" s="1"/>
      <c r="K108" s="1">
        <v>3.8</v>
      </c>
      <c r="L108" s="1">
        <f t="shared" si="24"/>
        <v>-3.8</v>
      </c>
      <c r="M108" s="1"/>
      <c r="N108" s="1"/>
      <c r="O108" s="1">
        <v>4.8</v>
      </c>
      <c r="P108" s="1">
        <v>200</v>
      </c>
      <c r="Q108" s="1"/>
      <c r="R108" s="1">
        <f t="shared" si="25"/>
        <v>0</v>
      </c>
      <c r="S108" s="5"/>
      <c r="T108" s="1" t="e">
        <f t="shared" si="26"/>
        <v>#DIV/0!</v>
      </c>
      <c r="U108" s="1" t="e">
        <f t="shared" si="27"/>
        <v>#DIV/0!</v>
      </c>
      <c r="V108" s="1">
        <v>0</v>
      </c>
      <c r="W108" s="1">
        <v>0</v>
      </c>
      <c r="X108" s="1">
        <v>-0.14399999999999999</v>
      </c>
      <c r="Y108" s="1"/>
      <c r="Z108" s="1">
        <f t="shared" si="28"/>
        <v>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1" t="s">
        <v>142</v>
      </c>
      <c r="B109" s="11" t="s">
        <v>36</v>
      </c>
      <c r="C109" s="11"/>
      <c r="D109" s="11"/>
      <c r="E109" s="11"/>
      <c r="F109" s="11"/>
      <c r="G109" s="12">
        <v>0</v>
      </c>
      <c r="H109" s="11"/>
      <c r="I109" s="11" t="s">
        <v>30</v>
      </c>
      <c r="J109" s="11"/>
      <c r="K109" s="11"/>
      <c r="L109" s="11">
        <f t="shared" si="24"/>
        <v>0</v>
      </c>
      <c r="M109" s="11"/>
      <c r="N109" s="11"/>
      <c r="O109" s="11">
        <v>0</v>
      </c>
      <c r="P109" s="11">
        <v>0</v>
      </c>
      <c r="Q109" s="11"/>
      <c r="R109" s="11">
        <f t="shared" si="25"/>
        <v>0</v>
      </c>
      <c r="S109" s="13"/>
      <c r="T109" s="11" t="e">
        <f t="shared" si="26"/>
        <v>#DIV/0!</v>
      </c>
      <c r="U109" s="11" t="e">
        <f t="shared" si="27"/>
        <v>#DIV/0!</v>
      </c>
      <c r="V109" s="11">
        <v>0</v>
      </c>
      <c r="W109" s="11">
        <v>0</v>
      </c>
      <c r="X109" s="11">
        <v>0</v>
      </c>
      <c r="Y109" s="11" t="s">
        <v>37</v>
      </c>
      <c r="Z109" s="1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1" t="s">
        <v>143</v>
      </c>
      <c r="B110" s="11" t="s">
        <v>29</v>
      </c>
      <c r="C110" s="11"/>
      <c r="D110" s="11"/>
      <c r="E110" s="11"/>
      <c r="F110" s="11"/>
      <c r="G110" s="12">
        <v>0</v>
      </c>
      <c r="H110" s="11"/>
      <c r="I110" s="11" t="s">
        <v>34</v>
      </c>
      <c r="J110" s="11"/>
      <c r="K110" s="11"/>
      <c r="L110" s="11">
        <f t="shared" si="24"/>
        <v>0</v>
      </c>
      <c r="M110" s="11"/>
      <c r="N110" s="11"/>
      <c r="O110" s="11">
        <v>0</v>
      </c>
      <c r="P110" s="11">
        <v>0</v>
      </c>
      <c r="Q110" s="11"/>
      <c r="R110" s="11">
        <f t="shared" si="25"/>
        <v>0</v>
      </c>
      <c r="S110" s="13"/>
      <c r="T110" s="11" t="e">
        <f t="shared" si="26"/>
        <v>#DIV/0!</v>
      </c>
      <c r="U110" s="11" t="e">
        <f t="shared" si="27"/>
        <v>#DIV/0!</v>
      </c>
      <c r="V110" s="11">
        <v>0</v>
      </c>
      <c r="W110" s="11">
        <v>0</v>
      </c>
      <c r="X110" s="11">
        <v>0</v>
      </c>
      <c r="Y110" s="11" t="s">
        <v>37</v>
      </c>
      <c r="Z110" s="1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9" t="s">
        <v>144</v>
      </c>
      <c r="B111" s="1" t="s">
        <v>36</v>
      </c>
      <c r="C111" s="1"/>
      <c r="D111" s="1">
        <v>78</v>
      </c>
      <c r="E111" s="1">
        <v>7</v>
      </c>
      <c r="F111" s="1">
        <v>70</v>
      </c>
      <c r="G111" s="7">
        <v>0.28000000000000003</v>
      </c>
      <c r="H111" s="1">
        <v>40</v>
      </c>
      <c r="I111" s="10" t="s">
        <v>34</v>
      </c>
      <c r="J111" s="1"/>
      <c r="K111" s="1">
        <v>17</v>
      </c>
      <c r="L111" s="1">
        <f t="shared" si="24"/>
        <v>-10</v>
      </c>
      <c r="M111" s="1"/>
      <c r="N111" s="1"/>
      <c r="O111" s="1">
        <v>48</v>
      </c>
      <c r="P111" s="1">
        <v>150</v>
      </c>
      <c r="Q111" s="1"/>
      <c r="R111" s="1">
        <f t="shared" si="25"/>
        <v>1.4</v>
      </c>
      <c r="S111" s="5"/>
      <c r="T111" s="1">
        <f t="shared" si="26"/>
        <v>191.42857142857144</v>
      </c>
      <c r="U111" s="1">
        <f t="shared" si="27"/>
        <v>191.42857142857144</v>
      </c>
      <c r="V111" s="1">
        <v>0</v>
      </c>
      <c r="W111" s="1">
        <v>0</v>
      </c>
      <c r="X111" s="1">
        <v>-0.4</v>
      </c>
      <c r="Y111" s="1"/>
      <c r="Z111" s="1">
        <f t="shared" ref="Z111:Z125" si="30">G111*S111</f>
        <v>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9" t="s">
        <v>145</v>
      </c>
      <c r="B112" s="1" t="s">
        <v>36</v>
      </c>
      <c r="C112" s="1">
        <v>-6</v>
      </c>
      <c r="D112" s="1">
        <v>257</v>
      </c>
      <c r="E112" s="1">
        <v>130</v>
      </c>
      <c r="F112" s="1">
        <v>105</v>
      </c>
      <c r="G112" s="7">
        <v>0.28000000000000003</v>
      </c>
      <c r="H112" s="1">
        <v>40</v>
      </c>
      <c r="I112" s="10" t="s">
        <v>34</v>
      </c>
      <c r="J112" s="1"/>
      <c r="K112" s="1">
        <v>140</v>
      </c>
      <c r="L112" s="1">
        <f t="shared" si="24"/>
        <v>-10</v>
      </c>
      <c r="M112" s="1"/>
      <c r="N112" s="1"/>
      <c r="O112" s="1">
        <v>60</v>
      </c>
      <c r="P112" s="1">
        <v>0</v>
      </c>
      <c r="Q112" s="1"/>
      <c r="R112" s="1">
        <f t="shared" si="25"/>
        <v>26</v>
      </c>
      <c r="S112" s="5">
        <f t="shared" ref="S111:S125" si="31">11*R112-Q112-P112-O112-F112</f>
        <v>121</v>
      </c>
      <c r="T112" s="1">
        <f t="shared" si="26"/>
        <v>11</v>
      </c>
      <c r="U112" s="1">
        <f t="shared" si="27"/>
        <v>6.3461538461538458</v>
      </c>
      <c r="V112" s="1">
        <v>15.2</v>
      </c>
      <c r="W112" s="1">
        <v>1.2</v>
      </c>
      <c r="X112" s="1">
        <v>0</v>
      </c>
      <c r="Y112" s="1"/>
      <c r="Z112" s="1">
        <f t="shared" si="30"/>
        <v>33.880000000000003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9" t="s">
        <v>146</v>
      </c>
      <c r="B113" s="1" t="s">
        <v>36</v>
      </c>
      <c r="C113" s="1"/>
      <c r="D113" s="1"/>
      <c r="E113" s="1"/>
      <c r="F113" s="1"/>
      <c r="G113" s="7">
        <v>0.28000000000000003</v>
      </c>
      <c r="H113" s="1">
        <v>40</v>
      </c>
      <c r="I113" s="10" t="s">
        <v>34</v>
      </c>
      <c r="J113" s="1"/>
      <c r="K113" s="1">
        <v>3</v>
      </c>
      <c r="L113" s="1">
        <f t="shared" si="24"/>
        <v>-3</v>
      </c>
      <c r="M113" s="1"/>
      <c r="N113" s="1"/>
      <c r="O113" s="1">
        <v>48</v>
      </c>
      <c r="P113" s="1">
        <v>150</v>
      </c>
      <c r="Q113" s="1"/>
      <c r="R113" s="1">
        <f t="shared" si="25"/>
        <v>0</v>
      </c>
      <c r="S113" s="5"/>
      <c r="T113" s="1" t="e">
        <f t="shared" si="26"/>
        <v>#DIV/0!</v>
      </c>
      <c r="U113" s="1" t="e">
        <f t="shared" si="27"/>
        <v>#DIV/0!</v>
      </c>
      <c r="V113" s="1">
        <v>0</v>
      </c>
      <c r="W113" s="1">
        <v>0</v>
      </c>
      <c r="X113" s="1">
        <v>0</v>
      </c>
      <c r="Y113" s="1"/>
      <c r="Z113" s="1">
        <f t="shared" si="30"/>
        <v>0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147</v>
      </c>
      <c r="B114" s="1" t="s">
        <v>36</v>
      </c>
      <c r="C114" s="1">
        <v>26</v>
      </c>
      <c r="D114" s="1">
        <v>20</v>
      </c>
      <c r="E114" s="1">
        <v>19</v>
      </c>
      <c r="F114" s="1">
        <v>27</v>
      </c>
      <c r="G114" s="7">
        <v>0.09</v>
      </c>
      <c r="H114" s="1">
        <v>45</v>
      </c>
      <c r="I114" s="1" t="s">
        <v>30</v>
      </c>
      <c r="J114" s="1"/>
      <c r="K114" s="1">
        <v>19</v>
      </c>
      <c r="L114" s="1">
        <f t="shared" si="24"/>
        <v>0</v>
      </c>
      <c r="M114" s="1"/>
      <c r="N114" s="1"/>
      <c r="O114" s="1">
        <v>0</v>
      </c>
      <c r="P114" s="1">
        <v>0</v>
      </c>
      <c r="Q114" s="1">
        <v>17.03347280334728</v>
      </c>
      <c r="R114" s="1">
        <f t="shared" si="25"/>
        <v>3.8</v>
      </c>
      <c r="S114" s="5"/>
      <c r="T114" s="1">
        <f t="shared" si="26"/>
        <v>11.587756000880864</v>
      </c>
      <c r="U114" s="1">
        <f t="shared" si="27"/>
        <v>11.587756000880864</v>
      </c>
      <c r="V114" s="1">
        <v>3</v>
      </c>
      <c r="W114" s="1">
        <v>0.8</v>
      </c>
      <c r="X114" s="1">
        <v>0.8</v>
      </c>
      <c r="Y114" s="1"/>
      <c r="Z114" s="1">
        <f t="shared" si="30"/>
        <v>0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148</v>
      </c>
      <c r="B115" s="1" t="s">
        <v>29</v>
      </c>
      <c r="C115" s="1">
        <v>-2.5</v>
      </c>
      <c r="D115" s="1">
        <v>30.143999999999998</v>
      </c>
      <c r="E115" s="1">
        <v>27.643999999999998</v>
      </c>
      <c r="F115" s="1"/>
      <c r="G115" s="7">
        <v>1</v>
      </c>
      <c r="H115" s="1">
        <v>60</v>
      </c>
      <c r="I115" s="1" t="s">
        <v>30</v>
      </c>
      <c r="J115" s="1"/>
      <c r="K115" s="1">
        <v>52.5</v>
      </c>
      <c r="L115" s="1">
        <f t="shared" si="24"/>
        <v>-24.856000000000002</v>
      </c>
      <c r="M115" s="1"/>
      <c r="N115" s="1"/>
      <c r="O115" s="1">
        <v>0</v>
      </c>
      <c r="P115" s="1">
        <v>0</v>
      </c>
      <c r="Q115" s="1">
        <v>20.856000000000002</v>
      </c>
      <c r="R115" s="1">
        <f t="shared" si="25"/>
        <v>5.5287999999999995</v>
      </c>
      <c r="S115" s="5">
        <f t="shared" si="31"/>
        <v>39.960799999999992</v>
      </c>
      <c r="T115" s="1">
        <f t="shared" si="26"/>
        <v>11</v>
      </c>
      <c r="U115" s="1">
        <f t="shared" si="27"/>
        <v>3.7722471422370143</v>
      </c>
      <c r="V115" s="1">
        <v>3</v>
      </c>
      <c r="W115" s="1">
        <v>0.5</v>
      </c>
      <c r="X115" s="1">
        <v>0</v>
      </c>
      <c r="Y115" s="1"/>
      <c r="Z115" s="1">
        <f t="shared" si="30"/>
        <v>39.960799999999992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149</v>
      </c>
      <c r="B116" s="1" t="s">
        <v>29</v>
      </c>
      <c r="C116" s="1">
        <v>-2.4980000000000002</v>
      </c>
      <c r="D116" s="1">
        <v>59.86</v>
      </c>
      <c r="E116" s="1">
        <v>10.010999999999999</v>
      </c>
      <c r="F116" s="1">
        <v>47.350999999999999</v>
      </c>
      <c r="G116" s="7">
        <v>1</v>
      </c>
      <c r="H116" s="1">
        <v>50</v>
      </c>
      <c r="I116" s="1" t="s">
        <v>30</v>
      </c>
      <c r="J116" s="1"/>
      <c r="K116" s="1">
        <v>35</v>
      </c>
      <c r="L116" s="1">
        <f t="shared" si="24"/>
        <v>-24.989000000000001</v>
      </c>
      <c r="M116" s="1"/>
      <c r="N116" s="1"/>
      <c r="O116" s="1">
        <v>0</v>
      </c>
      <c r="P116" s="1">
        <v>0</v>
      </c>
      <c r="Q116" s="1"/>
      <c r="R116" s="1">
        <f t="shared" si="25"/>
        <v>2.0021999999999998</v>
      </c>
      <c r="S116" s="5"/>
      <c r="T116" s="1">
        <f t="shared" si="26"/>
        <v>23.649485565877537</v>
      </c>
      <c r="U116" s="1">
        <f t="shared" si="27"/>
        <v>23.649485565877537</v>
      </c>
      <c r="V116" s="1">
        <v>2.5017999999999998</v>
      </c>
      <c r="W116" s="1">
        <v>0.49959999999999999</v>
      </c>
      <c r="X116" s="1">
        <v>0</v>
      </c>
      <c r="Y116" s="1"/>
      <c r="Z116" s="1">
        <f t="shared" si="30"/>
        <v>0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9" t="s">
        <v>150</v>
      </c>
      <c r="B117" s="1" t="s">
        <v>36</v>
      </c>
      <c r="C117" s="1">
        <v>9</v>
      </c>
      <c r="D117" s="1">
        <v>20</v>
      </c>
      <c r="E117" s="1">
        <v>11</v>
      </c>
      <c r="F117" s="1">
        <v>18</v>
      </c>
      <c r="G117" s="7">
        <v>0.09</v>
      </c>
      <c r="H117" s="1">
        <v>45</v>
      </c>
      <c r="I117" s="10" t="s">
        <v>34</v>
      </c>
      <c r="J117" s="1"/>
      <c r="K117" s="1">
        <v>36</v>
      </c>
      <c r="L117" s="1">
        <f t="shared" si="24"/>
        <v>-25</v>
      </c>
      <c r="M117" s="1"/>
      <c r="N117" s="1"/>
      <c r="O117" s="1">
        <v>46.160638297872339</v>
      </c>
      <c r="P117" s="1">
        <v>0</v>
      </c>
      <c r="Q117" s="1">
        <v>10</v>
      </c>
      <c r="R117" s="1">
        <f t="shared" si="25"/>
        <v>2.2000000000000002</v>
      </c>
      <c r="S117" s="5"/>
      <c r="T117" s="1">
        <f t="shared" si="26"/>
        <v>33.709381044487422</v>
      </c>
      <c r="U117" s="1">
        <f t="shared" si="27"/>
        <v>33.709381044487422</v>
      </c>
      <c r="V117" s="1">
        <v>1.8</v>
      </c>
      <c r="W117" s="1">
        <v>4.2</v>
      </c>
      <c r="X117" s="1">
        <v>4.5999999999999996</v>
      </c>
      <c r="Y117" s="1"/>
      <c r="Z117" s="1">
        <f t="shared" si="30"/>
        <v>0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151</v>
      </c>
      <c r="B118" s="1" t="s">
        <v>36</v>
      </c>
      <c r="C118" s="1">
        <v>29</v>
      </c>
      <c r="D118" s="1"/>
      <c r="E118" s="1">
        <v>20</v>
      </c>
      <c r="F118" s="1">
        <v>6</v>
      </c>
      <c r="G118" s="7">
        <v>0.09</v>
      </c>
      <c r="H118" s="1">
        <v>45</v>
      </c>
      <c r="I118" s="1" t="s">
        <v>30</v>
      </c>
      <c r="J118" s="1"/>
      <c r="K118" s="1">
        <v>20</v>
      </c>
      <c r="L118" s="1">
        <f t="shared" si="24"/>
        <v>0</v>
      </c>
      <c r="M118" s="1"/>
      <c r="N118" s="1"/>
      <c r="O118" s="1">
        <v>0</v>
      </c>
      <c r="P118" s="1">
        <v>0</v>
      </c>
      <c r="Q118" s="1">
        <v>13.06829268292682</v>
      </c>
      <c r="R118" s="1">
        <f t="shared" si="25"/>
        <v>4</v>
      </c>
      <c r="S118" s="5">
        <f t="shared" si="31"/>
        <v>24.93170731707318</v>
      </c>
      <c r="T118" s="1">
        <f t="shared" si="26"/>
        <v>11</v>
      </c>
      <c r="U118" s="1">
        <f t="shared" si="27"/>
        <v>4.7670731707317051</v>
      </c>
      <c r="V118" s="1">
        <v>2.8</v>
      </c>
      <c r="W118" s="1">
        <v>0.2</v>
      </c>
      <c r="X118" s="1">
        <v>0.6</v>
      </c>
      <c r="Y118" s="1"/>
      <c r="Z118" s="1">
        <f t="shared" si="30"/>
        <v>2.2438536585365862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9" t="s">
        <v>152</v>
      </c>
      <c r="B119" s="1" t="s">
        <v>29</v>
      </c>
      <c r="C119" s="1">
        <v>26.163</v>
      </c>
      <c r="D119" s="1">
        <v>24.693999999999999</v>
      </c>
      <c r="E119" s="1">
        <v>12.352</v>
      </c>
      <c r="F119" s="1">
        <v>37.131</v>
      </c>
      <c r="G119" s="7">
        <v>1</v>
      </c>
      <c r="H119" s="1">
        <v>60</v>
      </c>
      <c r="I119" s="10" t="s">
        <v>34</v>
      </c>
      <c r="J119" s="1"/>
      <c r="K119" s="1">
        <v>11.6</v>
      </c>
      <c r="L119" s="1">
        <f t="shared" si="24"/>
        <v>0.75200000000000067</v>
      </c>
      <c r="M119" s="1"/>
      <c r="N119" s="1"/>
      <c r="O119" s="1">
        <v>0</v>
      </c>
      <c r="P119" s="1">
        <v>50</v>
      </c>
      <c r="Q119" s="1"/>
      <c r="R119" s="1">
        <f t="shared" si="25"/>
        <v>2.4704000000000002</v>
      </c>
      <c r="S119" s="5"/>
      <c r="T119" s="1">
        <f t="shared" si="26"/>
        <v>35.269996761658028</v>
      </c>
      <c r="U119" s="1">
        <f t="shared" si="27"/>
        <v>35.269996761658028</v>
      </c>
      <c r="V119" s="1">
        <v>2.1956000000000002</v>
      </c>
      <c r="W119" s="1">
        <v>2.9826000000000001</v>
      </c>
      <c r="X119" s="1">
        <v>2.9758</v>
      </c>
      <c r="Y119" s="1"/>
      <c r="Z119" s="1">
        <f t="shared" si="30"/>
        <v>0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153</v>
      </c>
      <c r="B120" s="1" t="s">
        <v>29</v>
      </c>
      <c r="C120" s="1">
        <v>127.839</v>
      </c>
      <c r="D120" s="1">
        <v>64.808999999999997</v>
      </c>
      <c r="E120" s="1">
        <v>50.447000000000003</v>
      </c>
      <c r="F120" s="1">
        <v>127.155</v>
      </c>
      <c r="G120" s="7">
        <v>1</v>
      </c>
      <c r="H120" s="1">
        <v>60</v>
      </c>
      <c r="I120" s="1" t="s">
        <v>30</v>
      </c>
      <c r="J120" s="1"/>
      <c r="K120" s="1">
        <v>59</v>
      </c>
      <c r="L120" s="1">
        <f t="shared" si="24"/>
        <v>-8.5529999999999973</v>
      </c>
      <c r="M120" s="1"/>
      <c r="N120" s="1"/>
      <c r="O120" s="1">
        <v>0</v>
      </c>
      <c r="P120" s="1">
        <v>70</v>
      </c>
      <c r="Q120" s="1"/>
      <c r="R120" s="1">
        <f t="shared" si="25"/>
        <v>10.089400000000001</v>
      </c>
      <c r="S120" s="5"/>
      <c r="T120" s="1">
        <f t="shared" si="26"/>
        <v>19.5408052014986</v>
      </c>
      <c r="U120" s="1">
        <f t="shared" si="27"/>
        <v>19.5408052014986</v>
      </c>
      <c r="V120" s="1">
        <v>12.381</v>
      </c>
      <c r="W120" s="1">
        <v>7.4349999999999996</v>
      </c>
      <c r="X120" s="1">
        <v>1.6252</v>
      </c>
      <c r="Y120" s="1"/>
      <c r="Z120" s="1">
        <f t="shared" si="30"/>
        <v>0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9" t="s">
        <v>154</v>
      </c>
      <c r="B121" s="1" t="s">
        <v>29</v>
      </c>
      <c r="C121" s="1">
        <v>5.3979999999999997</v>
      </c>
      <c r="D121" s="1">
        <v>18.861999999999998</v>
      </c>
      <c r="E121" s="1">
        <v>9.4329999999999998</v>
      </c>
      <c r="F121" s="1">
        <v>10.807</v>
      </c>
      <c r="G121" s="7">
        <v>1</v>
      </c>
      <c r="H121" s="1">
        <v>60</v>
      </c>
      <c r="I121" s="10" t="s">
        <v>34</v>
      </c>
      <c r="J121" s="1"/>
      <c r="K121" s="1">
        <v>12.3</v>
      </c>
      <c r="L121" s="1">
        <f t="shared" si="24"/>
        <v>-2.8670000000000009</v>
      </c>
      <c r="M121" s="1"/>
      <c r="N121" s="1"/>
      <c r="O121" s="1">
        <v>7.2328000000000028</v>
      </c>
      <c r="P121" s="1">
        <v>0</v>
      </c>
      <c r="Q121" s="1"/>
      <c r="R121" s="1">
        <f t="shared" si="25"/>
        <v>1.8866000000000001</v>
      </c>
      <c r="S121" s="5">
        <v>4</v>
      </c>
      <c r="T121" s="1">
        <f t="shared" si="26"/>
        <v>11.682285593130501</v>
      </c>
      <c r="U121" s="1">
        <f t="shared" si="27"/>
        <v>9.5620693310717702</v>
      </c>
      <c r="V121" s="1">
        <v>1.3388</v>
      </c>
      <c r="W121" s="1">
        <v>2.1850000000000001</v>
      </c>
      <c r="X121" s="1">
        <v>1.911</v>
      </c>
      <c r="Y121" s="1"/>
      <c r="Z121" s="1">
        <f t="shared" si="30"/>
        <v>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49</v>
      </c>
      <c r="B122" s="1" t="s">
        <v>29</v>
      </c>
      <c r="C122" s="1">
        <v>-77.628</v>
      </c>
      <c r="D122" s="1">
        <v>745.81</v>
      </c>
      <c r="E122" s="15">
        <f>330.035+E19</f>
        <v>342.50800000000004</v>
      </c>
      <c r="F122" s="15">
        <f>315.552+F19</f>
        <v>303.07900000000001</v>
      </c>
      <c r="G122" s="7">
        <v>1</v>
      </c>
      <c r="H122" s="1">
        <v>60</v>
      </c>
      <c r="I122" s="1" t="s">
        <v>30</v>
      </c>
      <c r="J122" s="1"/>
      <c r="K122" s="1">
        <v>354.5</v>
      </c>
      <c r="L122" s="1">
        <f t="shared" si="24"/>
        <v>-11.991999999999962</v>
      </c>
      <c r="M122" s="1"/>
      <c r="N122" s="1"/>
      <c r="O122" s="1">
        <v>700</v>
      </c>
      <c r="P122" s="1">
        <v>187.0712</v>
      </c>
      <c r="Q122" s="1"/>
      <c r="R122" s="1">
        <f t="shared" si="25"/>
        <v>68.50160000000001</v>
      </c>
      <c r="S122" s="5"/>
      <c r="T122" s="1">
        <f t="shared" si="26"/>
        <v>17.374049657234281</v>
      </c>
      <c r="U122" s="1">
        <f t="shared" si="27"/>
        <v>17.374049657234281</v>
      </c>
      <c r="V122" s="1">
        <v>70.50160000000001</v>
      </c>
      <c r="W122" s="1">
        <v>132.61420000000001</v>
      </c>
      <c r="X122" s="1">
        <v>90.657399999999996</v>
      </c>
      <c r="Y122" s="1"/>
      <c r="Z122" s="1">
        <f t="shared" si="30"/>
        <v>0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155</v>
      </c>
      <c r="B123" s="1" t="s">
        <v>36</v>
      </c>
      <c r="C123" s="1">
        <v>223</v>
      </c>
      <c r="D123" s="1">
        <v>60</v>
      </c>
      <c r="E123" s="1">
        <v>32</v>
      </c>
      <c r="F123" s="1">
        <v>248</v>
      </c>
      <c r="G123" s="7">
        <v>0.25</v>
      </c>
      <c r="H123" s="1">
        <v>1096</v>
      </c>
      <c r="I123" s="1" t="s">
        <v>30</v>
      </c>
      <c r="J123" s="1"/>
      <c r="K123" s="1">
        <v>37</v>
      </c>
      <c r="L123" s="1">
        <f t="shared" si="24"/>
        <v>-5</v>
      </c>
      <c r="M123" s="1"/>
      <c r="N123" s="1"/>
      <c r="O123" s="1">
        <v>0</v>
      </c>
      <c r="P123" s="1">
        <v>0</v>
      </c>
      <c r="Q123" s="1"/>
      <c r="R123" s="1">
        <f t="shared" si="25"/>
        <v>6.4</v>
      </c>
      <c r="S123" s="5"/>
      <c r="T123" s="1">
        <f t="shared" si="26"/>
        <v>38.75</v>
      </c>
      <c r="U123" s="1">
        <f t="shared" si="27"/>
        <v>38.75</v>
      </c>
      <c r="V123" s="1">
        <v>3</v>
      </c>
      <c r="W123" s="1">
        <v>1</v>
      </c>
      <c r="X123" s="1">
        <v>0.6</v>
      </c>
      <c r="Y123" s="17" t="s">
        <v>52</v>
      </c>
      <c r="Z123" s="1">
        <f t="shared" si="30"/>
        <v>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156</v>
      </c>
      <c r="B124" s="1" t="s">
        <v>36</v>
      </c>
      <c r="C124" s="1">
        <v>129</v>
      </c>
      <c r="D124" s="1"/>
      <c r="E124" s="1">
        <v>36</v>
      </c>
      <c r="F124" s="1">
        <v>93</v>
      </c>
      <c r="G124" s="7">
        <v>0.32500000000000001</v>
      </c>
      <c r="H124" s="1">
        <v>1096</v>
      </c>
      <c r="I124" s="1" t="s">
        <v>30</v>
      </c>
      <c r="J124" s="1"/>
      <c r="K124" s="1">
        <v>41</v>
      </c>
      <c r="L124" s="1">
        <f t="shared" si="24"/>
        <v>-5</v>
      </c>
      <c r="M124" s="1"/>
      <c r="N124" s="1"/>
      <c r="O124" s="1">
        <v>0</v>
      </c>
      <c r="P124" s="1">
        <v>0</v>
      </c>
      <c r="Q124" s="1"/>
      <c r="R124" s="1">
        <f t="shared" si="25"/>
        <v>7.2</v>
      </c>
      <c r="S124" s="5"/>
      <c r="T124" s="1">
        <f t="shared" si="26"/>
        <v>12.916666666666666</v>
      </c>
      <c r="U124" s="1">
        <f t="shared" si="27"/>
        <v>12.916666666666666</v>
      </c>
      <c r="V124" s="1">
        <v>3.2</v>
      </c>
      <c r="W124" s="1">
        <v>3</v>
      </c>
      <c r="X124" s="1">
        <v>3.4</v>
      </c>
      <c r="Y124" s="1"/>
      <c r="Z124" s="1">
        <f t="shared" si="30"/>
        <v>0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9" t="s">
        <v>157</v>
      </c>
      <c r="B125" s="1" t="s">
        <v>36</v>
      </c>
      <c r="C125" s="1">
        <v>129</v>
      </c>
      <c r="D125" s="1"/>
      <c r="E125" s="1">
        <v>39</v>
      </c>
      <c r="F125" s="1">
        <v>90</v>
      </c>
      <c r="G125" s="7">
        <v>0.25</v>
      </c>
      <c r="H125" s="1">
        <v>1096</v>
      </c>
      <c r="I125" s="10" t="s">
        <v>34</v>
      </c>
      <c r="J125" s="1"/>
      <c r="K125" s="1">
        <v>44</v>
      </c>
      <c r="L125" s="1">
        <f t="shared" si="24"/>
        <v>-5</v>
      </c>
      <c r="M125" s="1"/>
      <c r="N125" s="1"/>
      <c r="O125" s="1">
        <v>0</v>
      </c>
      <c r="P125" s="1">
        <v>0</v>
      </c>
      <c r="Q125" s="1"/>
      <c r="R125" s="1">
        <f t="shared" si="25"/>
        <v>7.8</v>
      </c>
      <c r="S125" s="5"/>
      <c r="T125" s="1">
        <f t="shared" si="26"/>
        <v>11.538461538461538</v>
      </c>
      <c r="U125" s="1">
        <f t="shared" si="27"/>
        <v>11.538461538461538</v>
      </c>
      <c r="V125" s="1">
        <v>4.2</v>
      </c>
      <c r="W125" s="1">
        <v>3</v>
      </c>
      <c r="X125" s="1">
        <v>2.4</v>
      </c>
      <c r="Y125" s="1"/>
      <c r="Z125" s="1">
        <f t="shared" si="30"/>
        <v>0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4" t="s">
        <v>158</v>
      </c>
      <c r="B126" s="11" t="s">
        <v>29</v>
      </c>
      <c r="C126" s="11"/>
      <c r="D126" s="11">
        <v>17.984000000000002</v>
      </c>
      <c r="E126" s="11"/>
      <c r="F126" s="15">
        <v>15.968999999999999</v>
      </c>
      <c r="G126" s="12">
        <v>0</v>
      </c>
      <c r="H126" s="11"/>
      <c r="I126" s="14" t="s">
        <v>159</v>
      </c>
      <c r="J126" s="14" t="s">
        <v>132</v>
      </c>
      <c r="K126" s="11"/>
      <c r="L126" s="11">
        <f t="shared" si="24"/>
        <v>0</v>
      </c>
      <c r="M126" s="11"/>
      <c r="N126" s="11"/>
      <c r="O126" s="11"/>
      <c r="P126" s="11"/>
      <c r="Q126" s="11"/>
      <c r="R126" s="11">
        <f t="shared" si="25"/>
        <v>0</v>
      </c>
      <c r="S126" s="13"/>
      <c r="T126" s="11" t="e">
        <f t="shared" si="26"/>
        <v>#DIV/0!</v>
      </c>
      <c r="U126" s="11" t="e">
        <f t="shared" si="27"/>
        <v>#DIV/0!</v>
      </c>
      <c r="V126" s="11">
        <v>0</v>
      </c>
      <c r="W126" s="11">
        <v>0</v>
      </c>
      <c r="X126" s="11">
        <v>0</v>
      </c>
      <c r="Y126" s="11"/>
      <c r="Z126" s="1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9" t="s">
        <v>160</v>
      </c>
      <c r="B127" s="1" t="s">
        <v>36</v>
      </c>
      <c r="C127" s="1"/>
      <c r="D127" s="1"/>
      <c r="E127" s="1"/>
      <c r="F127" s="1"/>
      <c r="G127" s="7">
        <v>0.3</v>
      </c>
      <c r="H127" s="1">
        <v>40</v>
      </c>
      <c r="I127" s="10" t="s">
        <v>34</v>
      </c>
      <c r="J127" s="1"/>
      <c r="K127" s="1"/>
      <c r="L127" s="1">
        <f t="shared" si="24"/>
        <v>0</v>
      </c>
      <c r="M127" s="1"/>
      <c r="N127" s="1"/>
      <c r="O127" s="1">
        <v>9.6</v>
      </c>
      <c r="P127" s="1">
        <v>80</v>
      </c>
      <c r="Q127" s="1"/>
      <c r="R127" s="1">
        <f t="shared" si="25"/>
        <v>0</v>
      </c>
      <c r="S127" s="5"/>
      <c r="T127" s="1" t="e">
        <f t="shared" si="26"/>
        <v>#DIV/0!</v>
      </c>
      <c r="U127" s="1" t="e">
        <f t="shared" si="27"/>
        <v>#DIV/0!</v>
      </c>
      <c r="V127" s="1">
        <v>0</v>
      </c>
      <c r="W127" s="1">
        <v>0</v>
      </c>
      <c r="X127" s="1">
        <v>-0.2</v>
      </c>
      <c r="Y127" s="1"/>
      <c r="Z127" s="1">
        <f>G127*S127</f>
        <v>0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9" t="s">
        <v>161</v>
      </c>
      <c r="B128" s="1" t="s">
        <v>36</v>
      </c>
      <c r="C128" s="1"/>
      <c r="D128" s="1"/>
      <c r="E128" s="1"/>
      <c r="F128" s="1"/>
      <c r="G128" s="7">
        <v>0.3</v>
      </c>
      <c r="H128" s="1">
        <v>40</v>
      </c>
      <c r="I128" s="10" t="s">
        <v>34</v>
      </c>
      <c r="J128" s="1"/>
      <c r="K128" s="1"/>
      <c r="L128" s="1">
        <f t="shared" si="24"/>
        <v>0</v>
      </c>
      <c r="M128" s="1"/>
      <c r="N128" s="1"/>
      <c r="O128" s="1">
        <v>0</v>
      </c>
      <c r="P128" s="1">
        <v>80</v>
      </c>
      <c r="Q128" s="1"/>
      <c r="R128" s="1">
        <f t="shared" si="25"/>
        <v>0</v>
      </c>
      <c r="S128" s="5"/>
      <c r="T128" s="1" t="e">
        <f t="shared" si="26"/>
        <v>#DIV/0!</v>
      </c>
      <c r="U128" s="1" t="e">
        <f t="shared" si="27"/>
        <v>#DIV/0!</v>
      </c>
      <c r="V128" s="1">
        <v>0</v>
      </c>
      <c r="W128" s="1">
        <v>0</v>
      </c>
      <c r="X128" s="1">
        <v>0</v>
      </c>
      <c r="Y128" s="1"/>
      <c r="Z128" s="1">
        <f>G128*S128</f>
        <v>0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162</v>
      </c>
      <c r="B129" s="1" t="s">
        <v>29</v>
      </c>
      <c r="C129" s="1"/>
      <c r="D129" s="1">
        <v>11.01</v>
      </c>
      <c r="E129" s="1">
        <v>4.1239999999999997</v>
      </c>
      <c r="F129" s="1">
        <v>6.8860000000000001</v>
      </c>
      <c r="G129" s="7">
        <v>1</v>
      </c>
      <c r="H129" s="1">
        <v>50</v>
      </c>
      <c r="I129" s="1" t="s">
        <v>30</v>
      </c>
      <c r="J129" s="1"/>
      <c r="K129" s="1">
        <v>6.5</v>
      </c>
      <c r="L129" s="1">
        <f t="shared" si="24"/>
        <v>-2.3760000000000003</v>
      </c>
      <c r="M129" s="1"/>
      <c r="N129" s="1"/>
      <c r="O129" s="1">
        <v>20</v>
      </c>
      <c r="P129" s="1">
        <v>0</v>
      </c>
      <c r="Q129" s="1"/>
      <c r="R129" s="1">
        <f t="shared" si="25"/>
        <v>0.82479999999999998</v>
      </c>
      <c r="S129" s="5"/>
      <c r="T129" s="1">
        <f t="shared" si="26"/>
        <v>32.596993210475269</v>
      </c>
      <c r="U129" s="1">
        <f t="shared" si="27"/>
        <v>32.596993210475269</v>
      </c>
      <c r="V129" s="1">
        <v>0</v>
      </c>
      <c r="W129" s="1">
        <v>0</v>
      </c>
      <c r="X129" s="1">
        <v>-0.1072</v>
      </c>
      <c r="Y129" s="1"/>
      <c r="Z129" s="1">
        <f>G129*S129</f>
        <v>0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9" t="s">
        <v>163</v>
      </c>
      <c r="B130" s="1" t="s">
        <v>36</v>
      </c>
      <c r="C130" s="1"/>
      <c r="D130" s="1"/>
      <c r="E130" s="1"/>
      <c r="F130" s="1"/>
      <c r="G130" s="7">
        <v>0.3</v>
      </c>
      <c r="H130" s="1">
        <v>40</v>
      </c>
      <c r="I130" s="10" t="s">
        <v>34</v>
      </c>
      <c r="J130" s="1"/>
      <c r="K130" s="1"/>
      <c r="L130" s="1">
        <f t="shared" si="24"/>
        <v>0</v>
      </c>
      <c r="M130" s="1"/>
      <c r="N130" s="1"/>
      <c r="O130" s="1">
        <v>0</v>
      </c>
      <c r="P130" s="1">
        <v>80</v>
      </c>
      <c r="Q130" s="1"/>
      <c r="R130" s="1">
        <f t="shared" si="25"/>
        <v>0</v>
      </c>
      <c r="S130" s="5"/>
      <c r="T130" s="1" t="e">
        <f t="shared" si="26"/>
        <v>#DIV/0!</v>
      </c>
      <c r="U130" s="1" t="e">
        <f t="shared" si="27"/>
        <v>#DIV/0!</v>
      </c>
      <c r="V130" s="1">
        <v>0</v>
      </c>
      <c r="W130" s="1">
        <v>0</v>
      </c>
      <c r="X130" s="1">
        <v>0</v>
      </c>
      <c r="Y130" s="1"/>
      <c r="Z130" s="1">
        <f>G130*S130</f>
        <v>0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9" t="s">
        <v>164</v>
      </c>
      <c r="B131" s="1" t="s">
        <v>36</v>
      </c>
      <c r="C131" s="1">
        <v>-7</v>
      </c>
      <c r="D131" s="1">
        <v>60</v>
      </c>
      <c r="E131" s="1">
        <v>28</v>
      </c>
      <c r="F131" s="1">
        <v>22</v>
      </c>
      <c r="G131" s="7">
        <v>0.12</v>
      </c>
      <c r="H131" s="1">
        <v>45</v>
      </c>
      <c r="I131" s="10" t="s">
        <v>34</v>
      </c>
      <c r="J131" s="1"/>
      <c r="K131" s="1">
        <v>28</v>
      </c>
      <c r="L131" s="1">
        <f t="shared" si="24"/>
        <v>0</v>
      </c>
      <c r="M131" s="1"/>
      <c r="N131" s="1"/>
      <c r="O131" s="1">
        <v>0</v>
      </c>
      <c r="P131" s="1">
        <v>0</v>
      </c>
      <c r="Q131" s="1">
        <v>9.3333333333333286</v>
      </c>
      <c r="R131" s="1">
        <f t="shared" si="25"/>
        <v>5.6</v>
      </c>
      <c r="S131" s="5">
        <f t="shared" ref="S127:S131" si="32">11*R131-Q131-P131-O131-F131</f>
        <v>30.266666666666666</v>
      </c>
      <c r="T131" s="1">
        <f t="shared" si="26"/>
        <v>11</v>
      </c>
      <c r="U131" s="1">
        <f t="shared" si="27"/>
        <v>5.5952380952380949</v>
      </c>
      <c r="V131" s="1">
        <v>3</v>
      </c>
      <c r="W131" s="1">
        <v>1.4</v>
      </c>
      <c r="X131" s="1">
        <v>0</v>
      </c>
      <c r="Y131" s="1"/>
      <c r="Z131" s="1">
        <f>G131*S131</f>
        <v>3.6319999999999997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1" t="s">
        <v>165</v>
      </c>
      <c r="B132" s="11" t="s">
        <v>36</v>
      </c>
      <c r="C132" s="11">
        <v>-15</v>
      </c>
      <c r="D132" s="11">
        <v>101</v>
      </c>
      <c r="E132" s="15">
        <v>35</v>
      </c>
      <c r="F132" s="15">
        <v>48</v>
      </c>
      <c r="G132" s="12">
        <v>0</v>
      </c>
      <c r="H132" s="11"/>
      <c r="I132" s="11" t="s">
        <v>166</v>
      </c>
      <c r="J132" s="11" t="s">
        <v>92</v>
      </c>
      <c r="K132" s="11">
        <v>36</v>
      </c>
      <c r="L132" s="11">
        <f t="shared" si="24"/>
        <v>-1</v>
      </c>
      <c r="M132" s="11"/>
      <c r="N132" s="11"/>
      <c r="O132" s="11">
        <v>0</v>
      </c>
      <c r="P132" s="11">
        <v>0</v>
      </c>
      <c r="Q132" s="11"/>
      <c r="R132" s="11">
        <f t="shared" si="25"/>
        <v>7</v>
      </c>
      <c r="S132" s="13"/>
      <c r="T132" s="11">
        <f t="shared" si="26"/>
        <v>6.8571428571428568</v>
      </c>
      <c r="U132" s="11">
        <f t="shared" si="27"/>
        <v>6.8571428571428568</v>
      </c>
      <c r="V132" s="11">
        <v>4.5999999999999996</v>
      </c>
      <c r="W132" s="11">
        <v>3</v>
      </c>
      <c r="X132" s="11">
        <v>2.6</v>
      </c>
      <c r="Y132" s="11"/>
      <c r="Z132" s="1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Z13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2026-10-06T11:31:36Z</dcterms:created>
  <dcterms:modified xsi:type="dcterms:W3CDTF">2026-10-06T12:03:33Z</dcterms:modified>
</cp:coreProperties>
</file>