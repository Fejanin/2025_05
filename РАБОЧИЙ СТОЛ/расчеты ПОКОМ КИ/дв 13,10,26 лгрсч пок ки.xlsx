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E19D0E0-9C42-41E0-B557-0A3B51C973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0" i="1" l="1"/>
  <c r="T130" i="1" s="1"/>
  <c r="L130" i="1"/>
  <c r="Q129" i="1"/>
  <c r="L129" i="1"/>
  <c r="Q128" i="1"/>
  <c r="T128" i="1" s="1"/>
  <c r="L128" i="1"/>
  <c r="Q127" i="1"/>
  <c r="L127" i="1"/>
  <c r="Q126" i="1"/>
  <c r="T126" i="1" s="1"/>
  <c r="L126" i="1"/>
  <c r="Q125" i="1"/>
  <c r="L125" i="1"/>
  <c r="Q124" i="1"/>
  <c r="S124" i="1" s="1"/>
  <c r="L124" i="1"/>
  <c r="Q123" i="1"/>
  <c r="S123" i="1" s="1"/>
  <c r="L123" i="1"/>
  <c r="Q122" i="1"/>
  <c r="S122" i="1" s="1"/>
  <c r="L122" i="1"/>
  <c r="Q121" i="1"/>
  <c r="T121" i="1" s="1"/>
  <c r="L121" i="1"/>
  <c r="Q120" i="1"/>
  <c r="L120" i="1"/>
  <c r="Q119" i="1"/>
  <c r="T119" i="1" s="1"/>
  <c r="L119" i="1"/>
  <c r="Q118" i="1"/>
  <c r="L118" i="1"/>
  <c r="Q117" i="1"/>
  <c r="T117" i="1" s="1"/>
  <c r="L117" i="1"/>
  <c r="Q116" i="1"/>
  <c r="L116" i="1"/>
  <c r="Q115" i="1"/>
  <c r="T115" i="1" s="1"/>
  <c r="L115" i="1"/>
  <c r="Q114" i="1"/>
  <c r="L114" i="1"/>
  <c r="Q113" i="1"/>
  <c r="L113" i="1"/>
  <c r="Q112" i="1"/>
  <c r="T112" i="1" s="1"/>
  <c r="L112" i="1"/>
  <c r="Q111" i="1"/>
  <c r="L111" i="1"/>
  <c r="Q110" i="1"/>
  <c r="T110" i="1" s="1"/>
  <c r="L110" i="1"/>
  <c r="Q109" i="1"/>
  <c r="T109" i="1" s="1"/>
  <c r="L109" i="1"/>
  <c r="Q108" i="1"/>
  <c r="S108" i="1" s="1"/>
  <c r="L108" i="1"/>
  <c r="Q107" i="1"/>
  <c r="T107" i="1" s="1"/>
  <c r="L107" i="1"/>
  <c r="Q106" i="1"/>
  <c r="L106" i="1"/>
  <c r="Q105" i="1"/>
  <c r="S105" i="1" s="1"/>
  <c r="L105" i="1"/>
  <c r="Q104" i="1"/>
  <c r="T104" i="1" s="1"/>
  <c r="L104" i="1"/>
  <c r="Q103" i="1"/>
  <c r="L103" i="1"/>
  <c r="Q102" i="1"/>
  <c r="T102" i="1" s="1"/>
  <c r="L102" i="1"/>
  <c r="Q101" i="1"/>
  <c r="R101" i="1" s="1"/>
  <c r="L101" i="1"/>
  <c r="Q100" i="1"/>
  <c r="T100" i="1" s="1"/>
  <c r="L100" i="1"/>
  <c r="Q99" i="1"/>
  <c r="T99" i="1" s="1"/>
  <c r="L99" i="1"/>
  <c r="Q98" i="1"/>
  <c r="S98" i="1" s="1"/>
  <c r="L98" i="1"/>
  <c r="Q97" i="1"/>
  <c r="S97" i="1" s="1"/>
  <c r="L97" i="1"/>
  <c r="F96" i="1"/>
  <c r="E96" i="1"/>
  <c r="L96" i="1" s="1"/>
  <c r="Q95" i="1"/>
  <c r="T95" i="1" s="1"/>
  <c r="L95" i="1"/>
  <c r="Q94" i="1"/>
  <c r="T94" i="1" s="1"/>
  <c r="L94" i="1"/>
  <c r="Q93" i="1"/>
  <c r="T93" i="1" s="1"/>
  <c r="L93" i="1"/>
  <c r="Q92" i="1"/>
  <c r="T92" i="1" s="1"/>
  <c r="L92" i="1"/>
  <c r="Q91" i="1"/>
  <c r="L91" i="1"/>
  <c r="Q90" i="1"/>
  <c r="T90" i="1" s="1"/>
  <c r="L90" i="1"/>
  <c r="Q89" i="1"/>
  <c r="L89" i="1"/>
  <c r="Q88" i="1"/>
  <c r="T88" i="1" s="1"/>
  <c r="L88" i="1"/>
  <c r="Q87" i="1"/>
  <c r="L87" i="1"/>
  <c r="Q86" i="1"/>
  <c r="T86" i="1" s="1"/>
  <c r="L86" i="1"/>
  <c r="Q85" i="1"/>
  <c r="T85" i="1" s="1"/>
  <c r="L85" i="1"/>
  <c r="Q84" i="1"/>
  <c r="L84" i="1"/>
  <c r="Q83" i="1"/>
  <c r="T83" i="1" s="1"/>
  <c r="L83" i="1"/>
  <c r="Q82" i="1"/>
  <c r="L82" i="1"/>
  <c r="Q81" i="1"/>
  <c r="T81" i="1" s="1"/>
  <c r="L81" i="1"/>
  <c r="Q80" i="1"/>
  <c r="R80" i="1" s="1"/>
  <c r="L80" i="1"/>
  <c r="Q79" i="1"/>
  <c r="T79" i="1" s="1"/>
  <c r="L79" i="1"/>
  <c r="Q78" i="1"/>
  <c r="L78" i="1"/>
  <c r="Q77" i="1"/>
  <c r="T77" i="1" s="1"/>
  <c r="L77" i="1"/>
  <c r="Q76" i="1"/>
  <c r="L76" i="1"/>
  <c r="Q75" i="1"/>
  <c r="T75" i="1" s="1"/>
  <c r="L75" i="1"/>
  <c r="Q74" i="1"/>
  <c r="L74" i="1"/>
  <c r="Q73" i="1"/>
  <c r="T73" i="1" s="1"/>
  <c r="L73" i="1"/>
  <c r="Q72" i="1"/>
  <c r="L72" i="1"/>
  <c r="Q71" i="1"/>
  <c r="T71" i="1" s="1"/>
  <c r="L71" i="1"/>
  <c r="Q70" i="1"/>
  <c r="L70" i="1"/>
  <c r="Q69" i="1"/>
  <c r="T69" i="1" s="1"/>
  <c r="L69" i="1"/>
  <c r="Q68" i="1"/>
  <c r="L68" i="1"/>
  <c r="Q67" i="1"/>
  <c r="T67" i="1" s="1"/>
  <c r="L67" i="1"/>
  <c r="Q66" i="1"/>
  <c r="L66" i="1"/>
  <c r="Q65" i="1"/>
  <c r="T65" i="1" s="1"/>
  <c r="L65" i="1"/>
  <c r="Q64" i="1"/>
  <c r="L64" i="1"/>
  <c r="Q63" i="1"/>
  <c r="T63" i="1" s="1"/>
  <c r="L63" i="1"/>
  <c r="Q62" i="1"/>
  <c r="L62" i="1"/>
  <c r="Q61" i="1"/>
  <c r="T61" i="1" s="1"/>
  <c r="L61" i="1"/>
  <c r="Q60" i="1"/>
  <c r="L60" i="1"/>
  <c r="Q59" i="1"/>
  <c r="T59" i="1" s="1"/>
  <c r="L59" i="1"/>
  <c r="Q58" i="1"/>
  <c r="L58" i="1"/>
  <c r="Q57" i="1"/>
  <c r="T57" i="1" s="1"/>
  <c r="L57" i="1"/>
  <c r="Q56" i="1"/>
  <c r="L56" i="1"/>
  <c r="F55" i="1"/>
  <c r="E55" i="1"/>
  <c r="Q55" i="1" s="1"/>
  <c r="Q54" i="1"/>
  <c r="L54" i="1"/>
  <c r="Q53" i="1"/>
  <c r="T53" i="1" s="1"/>
  <c r="L53" i="1"/>
  <c r="Q52" i="1"/>
  <c r="L52" i="1"/>
  <c r="Q51" i="1"/>
  <c r="T51" i="1" s="1"/>
  <c r="L51" i="1"/>
  <c r="Q50" i="1"/>
  <c r="L50" i="1"/>
  <c r="Q49" i="1"/>
  <c r="AF49" i="1" s="1"/>
  <c r="L49" i="1"/>
  <c r="F49" i="1"/>
  <c r="T49" i="1" s="1"/>
  <c r="Q48" i="1"/>
  <c r="L48" i="1"/>
  <c r="Q47" i="1"/>
  <c r="AF47" i="1" s="1"/>
  <c r="L47" i="1"/>
  <c r="Q46" i="1"/>
  <c r="L46" i="1"/>
  <c r="Q45" i="1"/>
  <c r="R45" i="1" s="1"/>
  <c r="AF45" i="1" s="1"/>
  <c r="L45" i="1"/>
  <c r="Q44" i="1"/>
  <c r="L44" i="1"/>
  <c r="Q43" i="1"/>
  <c r="R43" i="1" s="1"/>
  <c r="AF43" i="1" s="1"/>
  <c r="L43" i="1"/>
  <c r="Q42" i="1"/>
  <c r="L42" i="1"/>
  <c r="Q41" i="1"/>
  <c r="L41" i="1"/>
  <c r="Q40" i="1"/>
  <c r="L40" i="1"/>
  <c r="Q39" i="1"/>
  <c r="R39" i="1" s="1"/>
  <c r="AF39" i="1" s="1"/>
  <c r="L39" i="1"/>
  <c r="Q38" i="1"/>
  <c r="L38" i="1"/>
  <c r="Q37" i="1"/>
  <c r="R37" i="1" s="1"/>
  <c r="AF37" i="1" s="1"/>
  <c r="L37" i="1"/>
  <c r="Q36" i="1"/>
  <c r="L36" i="1"/>
  <c r="Q35" i="1"/>
  <c r="R35" i="1" s="1"/>
  <c r="AF35" i="1" s="1"/>
  <c r="L35" i="1"/>
  <c r="Q34" i="1"/>
  <c r="L34" i="1"/>
  <c r="Q33" i="1"/>
  <c r="T33" i="1" s="1"/>
  <c r="L33" i="1"/>
  <c r="Q32" i="1"/>
  <c r="T32" i="1" s="1"/>
  <c r="L32" i="1"/>
  <c r="Q31" i="1"/>
  <c r="R31" i="1" s="1"/>
  <c r="AF31" i="1" s="1"/>
  <c r="L31" i="1"/>
  <c r="Q30" i="1"/>
  <c r="S30" i="1" s="1"/>
  <c r="L30" i="1"/>
  <c r="Q29" i="1"/>
  <c r="L29" i="1"/>
  <c r="Q28" i="1"/>
  <c r="R28" i="1" s="1"/>
  <c r="AF28" i="1" s="1"/>
  <c r="L28" i="1"/>
  <c r="Q27" i="1"/>
  <c r="L27" i="1"/>
  <c r="Q26" i="1"/>
  <c r="L26" i="1"/>
  <c r="Q25" i="1"/>
  <c r="L25" i="1"/>
  <c r="Q24" i="1"/>
  <c r="R24" i="1" s="1"/>
  <c r="AF24" i="1" s="1"/>
  <c r="L24" i="1"/>
  <c r="Q23" i="1"/>
  <c r="S23" i="1" s="1"/>
  <c r="L23" i="1"/>
  <c r="Q22" i="1"/>
  <c r="L22" i="1"/>
  <c r="Q21" i="1"/>
  <c r="R21" i="1" s="1"/>
  <c r="AF21" i="1" s="1"/>
  <c r="L21" i="1"/>
  <c r="Q20" i="1"/>
  <c r="L20" i="1"/>
  <c r="Q19" i="1"/>
  <c r="AF19" i="1" s="1"/>
  <c r="L19" i="1"/>
  <c r="Q18" i="1"/>
  <c r="L18" i="1"/>
  <c r="Q17" i="1"/>
  <c r="L17" i="1"/>
  <c r="Q16" i="1"/>
  <c r="L16" i="1"/>
  <c r="Q15" i="1"/>
  <c r="AF15" i="1" s="1"/>
  <c r="L15" i="1"/>
  <c r="Q14" i="1"/>
  <c r="L14" i="1"/>
  <c r="Q13" i="1"/>
  <c r="L13" i="1"/>
  <c r="Q12" i="1"/>
  <c r="L12" i="1"/>
  <c r="Q11" i="1"/>
  <c r="R11" i="1" s="1"/>
  <c r="AF11" i="1" s="1"/>
  <c r="L11" i="1"/>
  <c r="Q10" i="1"/>
  <c r="L10" i="1"/>
  <c r="Q9" i="1"/>
  <c r="T9" i="1" s="1"/>
  <c r="L9" i="1"/>
  <c r="Q8" i="1"/>
  <c r="L8" i="1"/>
  <c r="Q7" i="1"/>
  <c r="L7" i="1"/>
  <c r="Q6" i="1"/>
  <c r="R6" i="1" s="1"/>
  <c r="AF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13" i="1" l="1"/>
  <c r="AF13" i="1" s="1"/>
  <c r="R95" i="1"/>
  <c r="AF95" i="1" s="1"/>
  <c r="T105" i="1"/>
  <c r="AF100" i="1"/>
  <c r="S107" i="1"/>
  <c r="AF115" i="1"/>
  <c r="T55" i="1"/>
  <c r="T123" i="1"/>
  <c r="R104" i="1"/>
  <c r="S104" i="1" s="1"/>
  <c r="R110" i="1"/>
  <c r="R126" i="1"/>
  <c r="AF126" i="1" s="1"/>
  <c r="T14" i="1"/>
  <c r="T16" i="1"/>
  <c r="R16" i="1"/>
  <c r="AF16" i="1" s="1"/>
  <c r="T22" i="1"/>
  <c r="R22" i="1"/>
  <c r="T25" i="1"/>
  <c r="R25" i="1"/>
  <c r="AF25" i="1" s="1"/>
  <c r="T38" i="1"/>
  <c r="T40" i="1"/>
  <c r="AF40" i="1"/>
  <c r="T46" i="1"/>
  <c r="R46" i="1"/>
  <c r="T48" i="1"/>
  <c r="R48" i="1"/>
  <c r="AF48" i="1" s="1"/>
  <c r="AF52" i="1"/>
  <c r="R56" i="1"/>
  <c r="AF56" i="1" s="1"/>
  <c r="AF60" i="1"/>
  <c r="AF64" i="1"/>
  <c r="AF68" i="1"/>
  <c r="R72" i="1"/>
  <c r="AF72" i="1" s="1"/>
  <c r="R76" i="1"/>
  <c r="AF76" i="1" s="1"/>
  <c r="AF80" i="1"/>
  <c r="AF84" i="1"/>
  <c r="AF89" i="1"/>
  <c r="R103" i="1"/>
  <c r="AF103" i="1" s="1"/>
  <c r="T103" i="1"/>
  <c r="S106" i="1"/>
  <c r="AF106" i="1"/>
  <c r="AF111" i="1"/>
  <c r="T111" i="1"/>
  <c r="T114" i="1"/>
  <c r="S114" i="1"/>
  <c r="R125" i="1"/>
  <c r="AF125" i="1" s="1"/>
  <c r="R51" i="1"/>
  <c r="AF51" i="1" s="1"/>
  <c r="R55" i="1"/>
  <c r="AF55" i="1" s="1"/>
  <c r="AF59" i="1"/>
  <c r="AF63" i="1"/>
  <c r="R67" i="1"/>
  <c r="AF67" i="1" s="1"/>
  <c r="R71" i="1"/>
  <c r="AF71" i="1" s="1"/>
  <c r="R75" i="1"/>
  <c r="AF75" i="1" s="1"/>
  <c r="R79" i="1"/>
  <c r="AF79" i="1" s="1"/>
  <c r="AF83" i="1"/>
  <c r="R88" i="1"/>
  <c r="AF88" i="1" s="1"/>
  <c r="AF104" i="1"/>
  <c r="AF119" i="1"/>
  <c r="F5" i="1"/>
  <c r="T7" i="1"/>
  <c r="R7" i="1"/>
  <c r="T10" i="1"/>
  <c r="R10" i="1"/>
  <c r="T12" i="1"/>
  <c r="R12" i="1"/>
  <c r="AF12" i="1" s="1"/>
  <c r="T18" i="1"/>
  <c r="T20" i="1"/>
  <c r="R20" i="1"/>
  <c r="AF20" i="1" s="1"/>
  <c r="T27" i="1"/>
  <c r="R27" i="1"/>
  <c r="T29" i="1"/>
  <c r="AF29" i="1"/>
  <c r="S32" i="1"/>
  <c r="T34" i="1"/>
  <c r="R34" i="1"/>
  <c r="T36" i="1"/>
  <c r="R36" i="1"/>
  <c r="AF36" i="1" s="1"/>
  <c r="T42" i="1"/>
  <c r="T44" i="1"/>
  <c r="R44" i="1"/>
  <c r="AF44" i="1" s="1"/>
  <c r="S49" i="1"/>
  <c r="AF50" i="1"/>
  <c r="R54" i="1"/>
  <c r="AF54" i="1" s="1"/>
  <c r="AF58" i="1"/>
  <c r="R62" i="1"/>
  <c r="AF62" i="1" s="1"/>
  <c r="AF66" i="1"/>
  <c r="R70" i="1"/>
  <c r="AF70" i="1" s="1"/>
  <c r="AF74" i="1"/>
  <c r="R78" i="1"/>
  <c r="AF78" i="1" s="1"/>
  <c r="AF82" i="1"/>
  <c r="R87" i="1"/>
  <c r="AF87" i="1" s="1"/>
  <c r="AF101" i="1"/>
  <c r="T101" i="1"/>
  <c r="S113" i="1"/>
  <c r="AF113" i="1"/>
  <c r="T113" i="1"/>
  <c r="R129" i="1"/>
  <c r="AF129" i="1" s="1"/>
  <c r="R8" i="1"/>
  <c r="AF8" i="1" s="1"/>
  <c r="R17" i="1"/>
  <c r="AF17" i="1" s="1"/>
  <c r="AF26" i="1"/>
  <c r="R41" i="1"/>
  <c r="AF41" i="1" s="1"/>
  <c r="R53" i="1"/>
  <c r="S53" i="1" s="1"/>
  <c r="AF57" i="1"/>
  <c r="R61" i="1"/>
  <c r="AF61" i="1" s="1"/>
  <c r="R65" i="1"/>
  <c r="AF65" i="1" s="1"/>
  <c r="R69" i="1"/>
  <c r="AF69" i="1" s="1"/>
  <c r="AF73" i="1"/>
  <c r="AF77" i="1"/>
  <c r="AF81" i="1"/>
  <c r="R86" i="1"/>
  <c r="AF107" i="1"/>
  <c r="R128" i="1"/>
  <c r="AF128" i="1" s="1"/>
  <c r="AF91" i="1"/>
  <c r="R94" i="1"/>
  <c r="AF94" i="1" s="1"/>
  <c r="R99" i="1"/>
  <c r="AF99" i="1" s="1"/>
  <c r="AF109" i="1"/>
  <c r="AF116" i="1"/>
  <c r="R118" i="1"/>
  <c r="AF118" i="1" s="1"/>
  <c r="AF120" i="1"/>
  <c r="R127" i="1"/>
  <c r="AF127" i="1" s="1"/>
  <c r="S15" i="1"/>
  <c r="S24" i="1"/>
  <c r="S39" i="1"/>
  <c r="S47" i="1"/>
  <c r="S11" i="1"/>
  <c r="S13" i="1"/>
  <c r="S19" i="1"/>
  <c r="S21" i="1"/>
  <c r="S28" i="1"/>
  <c r="S31" i="1"/>
  <c r="S35" i="1"/>
  <c r="S37" i="1"/>
  <c r="S43" i="1"/>
  <c r="S45" i="1"/>
  <c r="S6" i="1"/>
  <c r="Q96" i="1"/>
  <c r="Q5" i="1" s="1"/>
  <c r="E5" i="1"/>
  <c r="S9" i="1"/>
  <c r="S33" i="1"/>
  <c r="S40" i="1"/>
  <c r="T56" i="1"/>
  <c r="T58" i="1"/>
  <c r="T60" i="1"/>
  <c r="T62" i="1"/>
  <c r="S63" i="1"/>
  <c r="T64" i="1"/>
  <c r="T66" i="1"/>
  <c r="T68" i="1"/>
  <c r="T70" i="1"/>
  <c r="T72" i="1"/>
  <c r="S73" i="1"/>
  <c r="T74" i="1"/>
  <c r="T76" i="1"/>
  <c r="T78" i="1"/>
  <c r="T80" i="1"/>
  <c r="T82" i="1"/>
  <c r="T84" i="1"/>
  <c r="S85" i="1"/>
  <c r="S92" i="1"/>
  <c r="T97" i="1"/>
  <c r="S115" i="1"/>
  <c r="T125" i="1"/>
  <c r="S126" i="1"/>
  <c r="T127" i="1"/>
  <c r="T129" i="1"/>
  <c r="S130" i="1"/>
  <c r="T6" i="1"/>
  <c r="T8" i="1"/>
  <c r="T11" i="1"/>
  <c r="T13" i="1"/>
  <c r="T15" i="1"/>
  <c r="T17" i="1"/>
  <c r="T19" i="1"/>
  <c r="T21" i="1"/>
  <c r="T23" i="1"/>
  <c r="T24" i="1"/>
  <c r="T26" i="1"/>
  <c r="T28" i="1"/>
  <c r="T30" i="1"/>
  <c r="T31" i="1"/>
  <c r="T35" i="1"/>
  <c r="T37" i="1"/>
  <c r="T39" i="1"/>
  <c r="T41" i="1"/>
  <c r="T43" i="1"/>
  <c r="T45" i="1"/>
  <c r="T47" i="1"/>
  <c r="T50" i="1"/>
  <c r="T52" i="1"/>
  <c r="T54" i="1"/>
  <c r="L55" i="1"/>
  <c r="L5" i="1" s="1"/>
  <c r="T87" i="1"/>
  <c r="T89" i="1"/>
  <c r="T91" i="1"/>
  <c r="T98" i="1"/>
  <c r="T106" i="1"/>
  <c r="T108" i="1"/>
  <c r="T116" i="1"/>
  <c r="T118" i="1"/>
  <c r="T120" i="1"/>
  <c r="T122" i="1"/>
  <c r="T124" i="1"/>
  <c r="S25" i="1" l="1"/>
  <c r="S128" i="1"/>
  <c r="S16" i="1"/>
  <c r="S48" i="1"/>
  <c r="S36" i="1"/>
  <c r="S20" i="1"/>
  <c r="S95" i="1"/>
  <c r="S81" i="1"/>
  <c r="S79" i="1"/>
  <c r="S71" i="1"/>
  <c r="S65" i="1"/>
  <c r="S57" i="1"/>
  <c r="S55" i="1"/>
  <c r="S111" i="1"/>
  <c r="S51" i="1"/>
  <c r="AF53" i="1"/>
  <c r="S100" i="1"/>
  <c r="S26" i="1"/>
  <c r="AF110" i="1"/>
  <c r="S110" i="1"/>
  <c r="S96" i="1"/>
  <c r="S83" i="1"/>
  <c r="S77" i="1"/>
  <c r="S75" i="1"/>
  <c r="S69" i="1"/>
  <c r="S67" i="1"/>
  <c r="S61" i="1"/>
  <c r="S59" i="1"/>
  <c r="S87" i="1"/>
  <c r="S82" i="1"/>
  <c r="S78" i="1"/>
  <c r="S74" i="1"/>
  <c r="S70" i="1"/>
  <c r="S66" i="1"/>
  <c r="S62" i="1"/>
  <c r="S58" i="1"/>
  <c r="S54" i="1"/>
  <c r="S50" i="1"/>
  <c r="S8" i="1"/>
  <c r="S120" i="1"/>
  <c r="S116" i="1"/>
  <c r="S99" i="1"/>
  <c r="S91" i="1"/>
  <c r="AF121" i="1"/>
  <c r="S121" i="1"/>
  <c r="S112" i="1"/>
  <c r="AF112" i="1"/>
  <c r="AF90" i="1"/>
  <c r="S90" i="1"/>
  <c r="AF42" i="1"/>
  <c r="S42" i="1"/>
  <c r="S41" i="1"/>
  <c r="AF27" i="1"/>
  <c r="S27" i="1"/>
  <c r="AF10" i="1"/>
  <c r="S10" i="1"/>
  <c r="S46" i="1"/>
  <c r="AF46" i="1"/>
  <c r="S38" i="1"/>
  <c r="AF38" i="1"/>
  <c r="S22" i="1"/>
  <c r="AF22" i="1"/>
  <c r="S14" i="1"/>
  <c r="AF14" i="1"/>
  <c r="T96" i="1"/>
  <c r="S119" i="1"/>
  <c r="S88" i="1"/>
  <c r="S44" i="1"/>
  <c r="S29" i="1"/>
  <c r="S12" i="1"/>
  <c r="R5" i="1"/>
  <c r="S127" i="1"/>
  <c r="S118" i="1"/>
  <c r="S109" i="1"/>
  <c r="S94" i="1"/>
  <c r="S117" i="1"/>
  <c r="AF117" i="1"/>
  <c r="S102" i="1"/>
  <c r="AF102" i="1"/>
  <c r="S86" i="1"/>
  <c r="AF86" i="1"/>
  <c r="S129" i="1"/>
  <c r="S101" i="1"/>
  <c r="AF34" i="1"/>
  <c r="S34" i="1"/>
  <c r="AF18" i="1"/>
  <c r="S18" i="1"/>
  <c r="S17" i="1"/>
  <c r="AF7" i="1"/>
  <c r="S7" i="1"/>
  <c r="AF93" i="1"/>
  <c r="S93" i="1"/>
  <c r="S125" i="1"/>
  <c r="S103" i="1"/>
  <c r="S89" i="1"/>
  <c r="S84" i="1"/>
  <c r="S80" i="1"/>
  <c r="S76" i="1"/>
  <c r="S72" i="1"/>
  <c r="S68" i="1"/>
  <c r="S64" i="1"/>
  <c r="S60" i="1"/>
  <c r="S56" i="1"/>
  <c r="S52" i="1"/>
  <c r="AF5" i="1" l="1"/>
</calcChain>
</file>

<file path=xl/sharedStrings.xml><?xml version="1.0" encoding="utf-8"?>
<sst xmlns="http://schemas.openxmlformats.org/spreadsheetml/2006/main" count="458" uniqueCount="183">
  <si>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</si>
  <si>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</si>
  <si>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</si>
  <si>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</si>
  <si>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</si>
  <si>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</si>
  <si>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</si>
  <si>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</si>
  <si>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</si>
  <si>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</si>
  <si>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</si>
  <si>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</si>
  <si>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</si>
  <si>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</si>
  <si>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</si>
  <si>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</si>
  <si>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</si>
  <si>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</si>
  <si>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</si>
  <si>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</si>
  <si>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</si>
  <si>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</si>
  <si>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</si>
  <si>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</si>
  <si>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</si>
  <si>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</si>
  <si>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</si>
  <si>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</si>
  <si>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</si>
  <si>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</si>
  <si>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</si>
  <si>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</si>
  <si>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</si>
  <si>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</si>
  <si>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</si>
  <si>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</si>
  <si>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</si>
  <si>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</si>
  <si>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</si>
  <si>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</si>
  <si>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</si>
  <si>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</si>
  <si>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</si>
  <si>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</si>
  <si>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</si>
  <si>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</si>
  <si>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</si>
  <si>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</si>
  <si>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</si>
  <si>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</si>
  <si>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</si>
  <si>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</si>
  <si>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</si>
  <si>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</si>
  <si>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</si>
  <si>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</si>
  <si>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</si>
  <si>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</si>
  <si>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</si>
  <si>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</si>
  <si>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</si>
  <si>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</si>
  <si>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</si>
  <si>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</si>
  <si>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</si>
  <si>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</si>
  <si>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</si>
  <si>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</si>
  <si>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</si>
  <si>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</si>
  <si>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</si>
  <si>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</si>
  <si>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</si>
  <si>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</si>
  <si>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</si>
  <si>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</si>
  <si>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</si>
  <si>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</si>
  <si>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</si>
  <si>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</si>
  <si>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</si>
  <si>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</si>
  <si>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</si>
  <si>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</si>
  <si>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</si>
  <si>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</si>
  <si>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</si>
  <si>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</si>
  <si>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</si>
  <si>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</si>
  <si>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</si>
  <si>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</si>
  <si>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</si>
  <si>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</si>
  <si>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</si>
  <si>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</si>
  <si>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</si>
  <si>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</si>
  <si>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</si>
  <si>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</si>
  <si>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</si>
  <si>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</si>
  <si>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</si>
  <si>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</si>
  <si>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</si>
  <si>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</si>
  <si>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</si>
  <si>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</si>
  <si>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</si>
  <si>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</si>
  <si>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</si>
  <si>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</si>
  <si>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</si>
  <si>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</si>
  <si>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</si>
  <si>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</si>
  <si>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</si>
  <si>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</si>
  <si>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</si>
  <si>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</si>
  <si>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</si>
  <si>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</si>
  <si>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</si>
  <si>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</si>
  <si>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</si>
  <si>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</si>
  <si>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</si>
  <si>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</si>
  <si>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</si>
  <si>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</si>
  <si>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</si>
  <si>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</si>
  <si>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</si>
  <si>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</si>
  <si>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</si>
  <si>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</si>
  <si>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</si>
  <si>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</si>
  <si>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</si>
  <si>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</si>
  <si>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</si>
  <si>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</si>
  <si>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</si>
  <si>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</si>
  <si>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</si>
  <si>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</si>
  <si>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</si>
  <si>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</si>
  <si>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</si>
  <si>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</si>
  <si>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</si>
  <si>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</si>
  <si>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</si>
  <si>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</si>
  <si>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</si>
  <si>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</si>
  <si>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</si>
  <si>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</si>
  <si>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</si>
  <si>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</si>
  <si>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</si>
  <si>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</si>
  <si>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</si>
  <si>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</si>
  <si>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</si>
  <si>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</si>
  <si>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</si>
  <si>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</si>
  <si>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</si>
  <si>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</si>
  <si>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</si>
  <si>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</si>
  <si>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</si>
  <si>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</si>
  <si>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</si>
  <si>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</si>
  <si>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</si>
  <si>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</si>
  <si>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</si>
  <si>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200 заказ под спар (07,10,26) / ПРОМ сентябрь (н+1)</t>
    </r>
  </si>
  <si>
    <t>21 шт в уценку 04,09,26 / 21 шт в уценку 30,06,26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</si>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</sst>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1" width="6.42578125" customWidth="1"/>
    <col min="22" max="23" width="6" customWidth="1"/>
    <col min="24" max="30" width="6.42578125" customWidth="1"/>
    <col min="31" max="31" width="49.85546875" customWidth="1"/>
    <col min="32" max="32" width="7" customWidth="1"/>
    <col min="33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51067.331000000006</v>
      </c>
      <c r="F5" s="4">
        <f>SUM(F6:F500)</f>
        <v>58142.244999999988</v>
      </c>
      <c r="G5" s="7"/>
      <c r="H5" s="1"/>
      <c r="I5" s="1"/>
      <c r="J5" s="1"/>
      <c r="K5" s="4">
        <f t="shared" ref="K5:R5" si="0">SUM(K6:K500)</f>
        <v>54123.744999999988</v>
      </c>
      <c r="L5" s="4">
        <f t="shared" si="0"/>
        <v>-3056.4140000000007</v>
      </c>
      <c r="M5" s="4">
        <f t="shared" si="0"/>
        <v>0</v>
      </c>
      <c r="N5" s="4">
        <f t="shared" si="0"/>
        <v>0</v>
      </c>
      <c r="O5" s="4">
        <f t="shared" si="0"/>
        <v>21446.763140655392</v>
      </c>
      <c r="P5" s="4">
        <f t="shared" si="0"/>
        <v>20393.552839794433</v>
      </c>
      <c r="Q5" s="4">
        <f t="shared" si="0"/>
        <v>10213.466199999997</v>
      </c>
      <c r="R5" s="4">
        <f t="shared" si="0"/>
        <v>13352.859658996942</v>
      </c>
      <c r="S5" s="1"/>
      <c r="T5" s="1"/>
      <c r="U5" s="4">
        <f t="shared" ref="U5:AD5" si="1">SUM(U6:U500)</f>
        <v>10078.527999999997</v>
      </c>
      <c r="V5" s="4">
        <f t="shared" si="1"/>
        <v>9816.7540000000026</v>
      </c>
      <c r="W5" s="4">
        <f t="shared" si="1"/>
        <v>9688.5272000000023</v>
      </c>
      <c r="X5" s="4">
        <f t="shared" si="1"/>
        <v>10274.442600000009</v>
      </c>
      <c r="Y5" s="4">
        <f t="shared" si="1"/>
        <v>10906.315000000001</v>
      </c>
      <c r="Z5" s="4">
        <f t="shared" si="1"/>
        <v>10747.732599999996</v>
      </c>
      <c r="AA5" s="4">
        <f t="shared" si="1"/>
        <v>10833.357999999998</v>
      </c>
      <c r="AB5" s="4">
        <f t="shared" si="1"/>
        <v>11492.782400000011</v>
      </c>
      <c r="AC5" s="4">
        <f t="shared" si="1"/>
        <v>11039.104400000004</v>
      </c>
      <c r="AD5" s="4">
        <f t="shared" si="1"/>
        <v>10515.967599999998</v>
      </c>
      <c r="AE5" s="1"/>
      <c r="AF5" s="4">
        <f>SUM(AF6:AF500)</f>
        <v>10336.967616546941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2828.0160000000001</v>
      </c>
      <c r="D6" s="1">
        <v>2478.5819999999999</v>
      </c>
      <c r="E6" s="1">
        <v>2979.4670000000001</v>
      </c>
      <c r="F6" s="1">
        <v>2309.4299999999998</v>
      </c>
      <c r="G6" s="7">
        <v>1</v>
      </c>
      <c r="H6" s="1">
        <v>50</v>
      </c>
      <c r="I6" s="1" t="s">
        <v>36</v>
      </c>
      <c r="J6" s="1"/>
      <c r="K6" s="1">
        <v>2952.33</v>
      </c>
      <c r="L6" s="1">
        <f t="shared" ref="L6:L37" si="2">E6-K6</f>
        <v>27.137000000000171</v>
      </c>
      <c r="M6" s="1"/>
      <c r="N6" s="1"/>
      <c r="O6" s="1">
        <v>991.00000000000011</v>
      </c>
      <c r="P6" s="1">
        <v>1009</v>
      </c>
      <c r="Q6" s="1">
        <f t="shared" ref="Q6:Q37" si="3">E6/5</f>
        <v>595.89340000000004</v>
      </c>
      <c r="R6" s="5">
        <f>10.5*Q6-P6-O6-F6</f>
        <v>1947.4507000000008</v>
      </c>
      <c r="S6" s="1">
        <f t="shared" ref="S6:S37" si="4">(F6+O6+P6+R6)/Q6</f>
        <v>10.500000000000002</v>
      </c>
      <c r="T6" s="1">
        <f t="shared" ref="T6:T37" si="5">(F6+O6+P6)/Q6</f>
        <v>7.2318807357154817</v>
      </c>
      <c r="U6" s="1">
        <v>466.50080000000003</v>
      </c>
      <c r="V6" s="1">
        <v>492.22899999999998</v>
      </c>
      <c r="W6" s="1">
        <v>529.75339999999994</v>
      </c>
      <c r="X6" s="1">
        <v>513.3356</v>
      </c>
      <c r="Y6" s="1">
        <v>551.42700000000002</v>
      </c>
      <c r="Z6" s="1">
        <v>517.61120000000005</v>
      </c>
      <c r="AA6" s="1">
        <v>560.27980000000002</v>
      </c>
      <c r="AB6" s="1">
        <v>683.02780000000007</v>
      </c>
      <c r="AC6" s="1">
        <v>629.77780000000007</v>
      </c>
      <c r="AD6" s="1">
        <v>485.76420000000002</v>
      </c>
      <c r="AE6" s="1"/>
      <c r="AF6" s="1">
        <f>G6*R6</f>
        <v>1947.4507000000008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922.55100000000004</v>
      </c>
      <c r="D7" s="1">
        <v>1089.136</v>
      </c>
      <c r="E7" s="1">
        <v>1003.131</v>
      </c>
      <c r="F7" s="1">
        <v>992.85799999999995</v>
      </c>
      <c r="G7" s="7">
        <v>1</v>
      </c>
      <c r="H7" s="1">
        <v>45</v>
      </c>
      <c r="I7" s="1" t="s">
        <v>36</v>
      </c>
      <c r="J7" s="1"/>
      <c r="K7" s="1">
        <v>970.48</v>
      </c>
      <c r="L7" s="1">
        <f t="shared" si="2"/>
        <v>32.650999999999954</v>
      </c>
      <c r="M7" s="1"/>
      <c r="N7" s="1"/>
      <c r="O7" s="1">
        <v>396.4</v>
      </c>
      <c r="P7" s="1">
        <v>403.6</v>
      </c>
      <c r="Q7" s="1">
        <f t="shared" si="3"/>
        <v>200.62619999999998</v>
      </c>
      <c r="R7" s="5">
        <f t="shared" ref="R7:R8" si="6">10.5*Q7-P7-O7-F7</f>
        <v>313.71710000000007</v>
      </c>
      <c r="S7" s="1">
        <f t="shared" si="4"/>
        <v>10.500000000000002</v>
      </c>
      <c r="T7" s="1">
        <f t="shared" si="5"/>
        <v>8.936310412099715</v>
      </c>
      <c r="U7" s="1">
        <v>184.89920000000001</v>
      </c>
      <c r="V7" s="1">
        <v>182.24600000000001</v>
      </c>
      <c r="W7" s="1">
        <v>212.876</v>
      </c>
      <c r="X7" s="1">
        <v>220.70779999999999</v>
      </c>
      <c r="Y7" s="1">
        <v>207.75020000000001</v>
      </c>
      <c r="Z7" s="1">
        <v>215.72300000000001</v>
      </c>
      <c r="AA7" s="1">
        <v>234.3954</v>
      </c>
      <c r="AB7" s="1">
        <v>230.3776</v>
      </c>
      <c r="AC7" s="1">
        <v>285.33019999999999</v>
      </c>
      <c r="AD7" s="1">
        <v>305.41860000000003</v>
      </c>
      <c r="AE7" s="1"/>
      <c r="AF7" s="1">
        <f>G7*R7</f>
        <v>313.71710000000007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884.01099999999997</v>
      </c>
      <c r="D8" s="1">
        <v>1277.9880000000001</v>
      </c>
      <c r="E8" s="1">
        <v>1027.047</v>
      </c>
      <c r="F8" s="1">
        <v>1092.896</v>
      </c>
      <c r="G8" s="7">
        <v>1</v>
      </c>
      <c r="H8" s="1">
        <v>45</v>
      </c>
      <c r="I8" s="10" t="s">
        <v>39</v>
      </c>
      <c r="J8" s="1"/>
      <c r="K8" s="1">
        <v>1043.3499999999999</v>
      </c>
      <c r="L8" s="1">
        <f t="shared" si="2"/>
        <v>-16.302999999999884</v>
      </c>
      <c r="M8" s="1"/>
      <c r="N8" s="1"/>
      <c r="O8" s="1">
        <v>346.85</v>
      </c>
      <c r="P8" s="1">
        <v>353.15</v>
      </c>
      <c r="Q8" s="1">
        <f t="shared" si="3"/>
        <v>205.40940000000001</v>
      </c>
      <c r="R8" s="5">
        <f t="shared" si="6"/>
        <v>363.90270000000032</v>
      </c>
      <c r="S8" s="1">
        <f t="shared" si="4"/>
        <v>10.500000000000002</v>
      </c>
      <c r="T8" s="1">
        <f t="shared" si="5"/>
        <v>8.7284028871122743</v>
      </c>
      <c r="U8" s="1">
        <v>190.92339999999999</v>
      </c>
      <c r="V8" s="1">
        <v>198.07759999999999</v>
      </c>
      <c r="W8" s="1">
        <v>222.83099999999999</v>
      </c>
      <c r="X8" s="1">
        <v>217.4478</v>
      </c>
      <c r="Y8" s="1">
        <v>214.1678</v>
      </c>
      <c r="Z8" s="1">
        <v>218.27119999999999</v>
      </c>
      <c r="AA8" s="1">
        <v>225.20240000000001</v>
      </c>
      <c r="AB8" s="1">
        <v>269.71019999999999</v>
      </c>
      <c r="AC8" s="1">
        <v>293.387</v>
      </c>
      <c r="AD8" s="1">
        <v>257.86320000000001</v>
      </c>
      <c r="AE8" s="1"/>
      <c r="AF8" s="1">
        <f>G8*R8</f>
        <v>363.90270000000032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1" t="s">
        <v>40</v>
      </c>
      <c r="B9" s="11" t="s">
        <v>41</v>
      </c>
      <c r="C9" s="11"/>
      <c r="D9" s="11"/>
      <c r="E9" s="11"/>
      <c r="F9" s="11"/>
      <c r="G9" s="12">
        <v>0</v>
      </c>
      <c r="H9" s="11"/>
      <c r="I9" s="11" t="s">
        <v>36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>
        <f t="shared" si="3"/>
        <v>0</v>
      </c>
      <c r="R9" s="13"/>
      <c r="S9" s="11" t="e">
        <f t="shared" si="4"/>
        <v>#DIV/0!</v>
      </c>
      <c r="T9" s="11" t="e">
        <f t="shared" si="5"/>
        <v>#DIV/0!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 t="s">
        <v>42</v>
      </c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43</v>
      </c>
      <c r="B10" s="1" t="s">
        <v>41</v>
      </c>
      <c r="C10" s="1">
        <v>685</v>
      </c>
      <c r="D10" s="1">
        <v>1092</v>
      </c>
      <c r="E10" s="1">
        <v>659</v>
      </c>
      <c r="F10" s="1">
        <v>916</v>
      </c>
      <c r="G10" s="7">
        <v>0.45</v>
      </c>
      <c r="H10" s="1">
        <v>45</v>
      </c>
      <c r="I10" s="1" t="s">
        <v>36</v>
      </c>
      <c r="J10" s="1"/>
      <c r="K10" s="1">
        <v>702</v>
      </c>
      <c r="L10" s="1">
        <f t="shared" si="2"/>
        <v>-43</v>
      </c>
      <c r="M10" s="1"/>
      <c r="N10" s="1"/>
      <c r="O10" s="1">
        <v>176.62593000000001</v>
      </c>
      <c r="P10" s="1">
        <v>179.83407</v>
      </c>
      <c r="Q10" s="1">
        <f t="shared" si="3"/>
        <v>131.80000000000001</v>
      </c>
      <c r="R10" s="5">
        <f t="shared" ref="R10:R22" si="7">10.5*Q10-P10-O10-F10</f>
        <v>111.44000000000028</v>
      </c>
      <c r="S10" s="1">
        <f t="shared" si="4"/>
        <v>10.500000000000002</v>
      </c>
      <c r="T10" s="1">
        <f t="shared" si="5"/>
        <v>9.6544764795144147</v>
      </c>
      <c r="U10" s="1">
        <v>135.6</v>
      </c>
      <c r="V10" s="1">
        <v>150.19999999999999</v>
      </c>
      <c r="W10" s="1">
        <v>141.80000000000001</v>
      </c>
      <c r="X10" s="1">
        <v>138.80000000000001</v>
      </c>
      <c r="Y10" s="1">
        <v>146</v>
      </c>
      <c r="Z10" s="1">
        <v>145.4</v>
      </c>
      <c r="AA10" s="1">
        <v>163.19999999999999</v>
      </c>
      <c r="AB10" s="1">
        <v>166.4</v>
      </c>
      <c r="AC10" s="1">
        <v>157.4</v>
      </c>
      <c r="AD10" s="1">
        <v>159.4</v>
      </c>
      <c r="AE10" s="1"/>
      <c r="AF10" s="1">
        <f t="shared" ref="AF10:AF22" si="8">G10*R10</f>
        <v>50.148000000000131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41</v>
      </c>
      <c r="C11" s="1">
        <v>858</v>
      </c>
      <c r="D11" s="1">
        <v>1299</v>
      </c>
      <c r="E11" s="1">
        <v>875</v>
      </c>
      <c r="F11" s="1">
        <v>1245</v>
      </c>
      <c r="G11" s="7">
        <v>0.45</v>
      </c>
      <c r="H11" s="1">
        <v>45</v>
      </c>
      <c r="I11" s="1" t="s">
        <v>36</v>
      </c>
      <c r="J11" s="1"/>
      <c r="K11" s="1">
        <v>923</v>
      </c>
      <c r="L11" s="1">
        <f t="shared" si="2"/>
        <v>-48</v>
      </c>
      <c r="M11" s="1"/>
      <c r="N11" s="1"/>
      <c r="O11" s="1">
        <v>248.0740277655004</v>
      </c>
      <c r="P11" s="1">
        <v>252.57991323450031</v>
      </c>
      <c r="Q11" s="1">
        <f t="shared" si="3"/>
        <v>175</v>
      </c>
      <c r="R11" s="5">
        <f t="shared" si="7"/>
        <v>91.846058999999286</v>
      </c>
      <c r="S11" s="1">
        <f t="shared" si="4"/>
        <v>10.5</v>
      </c>
      <c r="T11" s="1">
        <f t="shared" si="5"/>
        <v>9.9751653771428614</v>
      </c>
      <c r="U11" s="1">
        <v>184.4</v>
      </c>
      <c r="V11" s="1">
        <v>201.2</v>
      </c>
      <c r="W11" s="1">
        <v>207.4</v>
      </c>
      <c r="X11" s="1">
        <v>199.2</v>
      </c>
      <c r="Y11" s="1">
        <v>198.6</v>
      </c>
      <c r="Z11" s="1">
        <v>206</v>
      </c>
      <c r="AA11" s="1">
        <v>206.2</v>
      </c>
      <c r="AB11" s="1">
        <v>205.4</v>
      </c>
      <c r="AC11" s="1">
        <v>250.2</v>
      </c>
      <c r="AD11" s="1">
        <v>262.2</v>
      </c>
      <c r="AE11" s="1"/>
      <c r="AF11" s="1">
        <f t="shared" si="8"/>
        <v>41.330726549999682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41</v>
      </c>
      <c r="C12" s="1">
        <v>62</v>
      </c>
      <c r="D12" s="1">
        <v>120</v>
      </c>
      <c r="E12" s="1">
        <v>73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72</v>
      </c>
      <c r="L12" s="1">
        <f t="shared" si="2"/>
        <v>1</v>
      </c>
      <c r="M12" s="1"/>
      <c r="N12" s="1"/>
      <c r="O12" s="1">
        <v>40.199999999999989</v>
      </c>
      <c r="P12" s="1"/>
      <c r="Q12" s="1">
        <f t="shared" si="3"/>
        <v>14.6</v>
      </c>
      <c r="R12" s="5">
        <f t="shared" si="7"/>
        <v>4.0999999999999943</v>
      </c>
      <c r="S12" s="1">
        <f t="shared" si="4"/>
        <v>10.499999999999998</v>
      </c>
      <c r="T12" s="1">
        <f t="shared" si="5"/>
        <v>10.21917808219178</v>
      </c>
      <c r="U12" s="1">
        <v>13.6</v>
      </c>
      <c r="V12" s="1">
        <v>13</v>
      </c>
      <c r="W12" s="1">
        <v>14.4</v>
      </c>
      <c r="X12" s="1">
        <v>14.8</v>
      </c>
      <c r="Y12" s="1">
        <v>11.8</v>
      </c>
      <c r="Z12" s="1">
        <v>11</v>
      </c>
      <c r="AA12" s="1">
        <v>15.8</v>
      </c>
      <c r="AB12" s="1">
        <v>20.399999999999999</v>
      </c>
      <c r="AC12" s="1">
        <v>21.4</v>
      </c>
      <c r="AD12" s="1">
        <v>18.600000000000001</v>
      </c>
      <c r="AE12" s="1"/>
      <c r="AF12" s="1">
        <f t="shared" si="8"/>
        <v>0.69699999999999906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41</v>
      </c>
      <c r="C13" s="1">
        <v>204</v>
      </c>
      <c r="D13" s="1">
        <v>59</v>
      </c>
      <c r="E13" s="1">
        <v>134</v>
      </c>
      <c r="F13" s="1">
        <v>82</v>
      </c>
      <c r="G13" s="7">
        <v>0.3</v>
      </c>
      <c r="H13" s="1">
        <v>40</v>
      </c>
      <c r="I13" s="1" t="s">
        <v>36</v>
      </c>
      <c r="J13" s="1"/>
      <c r="K13" s="1">
        <v>136</v>
      </c>
      <c r="L13" s="1">
        <f t="shared" si="2"/>
        <v>-2</v>
      </c>
      <c r="M13" s="1"/>
      <c r="N13" s="1"/>
      <c r="O13" s="1">
        <v>10.759999999999989</v>
      </c>
      <c r="P13" s="1"/>
      <c r="Q13" s="1">
        <f t="shared" si="3"/>
        <v>26.8</v>
      </c>
      <c r="R13" s="5">
        <f>9*Q13-P13-O13-F13</f>
        <v>148.44000000000003</v>
      </c>
      <c r="S13" s="1">
        <f t="shared" si="4"/>
        <v>9</v>
      </c>
      <c r="T13" s="1">
        <f t="shared" si="5"/>
        <v>3.4611940298507458</v>
      </c>
      <c r="U13" s="1">
        <v>28.8</v>
      </c>
      <c r="V13" s="1">
        <v>34.799999999999997</v>
      </c>
      <c r="W13" s="1">
        <v>24.4</v>
      </c>
      <c r="X13" s="1">
        <v>28.4</v>
      </c>
      <c r="Y13" s="1">
        <v>36</v>
      </c>
      <c r="Z13" s="1">
        <v>39.4</v>
      </c>
      <c r="AA13" s="1">
        <v>26</v>
      </c>
      <c r="AB13" s="1">
        <v>10.8</v>
      </c>
      <c r="AC13" s="1">
        <v>12.4</v>
      </c>
      <c r="AD13" s="1">
        <v>11.2</v>
      </c>
      <c r="AE13" s="1"/>
      <c r="AF13" s="1">
        <f t="shared" si="8"/>
        <v>44.532000000000004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41</v>
      </c>
      <c r="C14" s="1">
        <v>209</v>
      </c>
      <c r="D14" s="1">
        <v>360</v>
      </c>
      <c r="E14" s="1">
        <v>194</v>
      </c>
      <c r="F14" s="1">
        <v>360</v>
      </c>
      <c r="G14" s="7">
        <v>0.17</v>
      </c>
      <c r="H14" s="1">
        <v>180</v>
      </c>
      <c r="I14" s="1" t="s">
        <v>36</v>
      </c>
      <c r="J14" s="1"/>
      <c r="K14" s="1">
        <v>193</v>
      </c>
      <c r="L14" s="1">
        <f t="shared" si="2"/>
        <v>1</v>
      </c>
      <c r="M14" s="1"/>
      <c r="N14" s="1"/>
      <c r="O14" s="1">
        <v>103.7081499999999</v>
      </c>
      <c r="P14" s="1">
        <v>105.59184999999989</v>
      </c>
      <c r="Q14" s="1">
        <f t="shared" si="3"/>
        <v>38.799999999999997</v>
      </c>
      <c r="R14" s="5"/>
      <c r="S14" s="1">
        <f t="shared" si="4"/>
        <v>14.672680412371131</v>
      </c>
      <c r="T14" s="1">
        <f t="shared" si="5"/>
        <v>14.672680412371131</v>
      </c>
      <c r="U14" s="1">
        <v>53.8</v>
      </c>
      <c r="V14" s="1">
        <v>51</v>
      </c>
      <c r="W14" s="1">
        <v>41</v>
      </c>
      <c r="X14" s="1">
        <v>42.6</v>
      </c>
      <c r="Y14" s="1">
        <v>45.8</v>
      </c>
      <c r="Z14" s="1">
        <v>48.6</v>
      </c>
      <c r="AA14" s="1">
        <v>53.8</v>
      </c>
      <c r="AB14" s="1">
        <v>56.6</v>
      </c>
      <c r="AC14" s="1">
        <v>54.4</v>
      </c>
      <c r="AD14" s="1">
        <v>61.4</v>
      </c>
      <c r="AE14" s="1"/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1515.9259999999999</v>
      </c>
      <c r="D15" s="1">
        <v>919.96299999999997</v>
      </c>
      <c r="E15" s="1">
        <v>1040.08</v>
      </c>
      <c r="F15" s="1">
        <v>1387.9069999999999</v>
      </c>
      <c r="G15" s="7">
        <v>1</v>
      </c>
      <c r="H15" s="1">
        <v>70</v>
      </c>
      <c r="I15" s="1" t="s">
        <v>36</v>
      </c>
      <c r="J15" s="1"/>
      <c r="K15" s="1">
        <v>1018.105</v>
      </c>
      <c r="L15" s="1">
        <f t="shared" si="2"/>
        <v>21.974999999999909</v>
      </c>
      <c r="M15" s="1"/>
      <c r="N15" s="1"/>
      <c r="O15" s="1">
        <v>495.50000000000011</v>
      </c>
      <c r="P15" s="1">
        <v>504.49999999999989</v>
      </c>
      <c r="Q15" s="1">
        <f t="shared" si="3"/>
        <v>208.01599999999999</v>
      </c>
      <c r="R15" s="5"/>
      <c r="S15" s="1">
        <f t="shared" si="4"/>
        <v>11.479439081609108</v>
      </c>
      <c r="T15" s="1">
        <f t="shared" si="5"/>
        <v>11.479439081609108</v>
      </c>
      <c r="U15" s="1">
        <v>228.04939999999999</v>
      </c>
      <c r="V15" s="1">
        <v>224.29179999999999</v>
      </c>
      <c r="W15" s="1">
        <v>230.38239999999999</v>
      </c>
      <c r="X15" s="1">
        <v>239.61060000000001</v>
      </c>
      <c r="Y15" s="1">
        <v>266.99099999999999</v>
      </c>
      <c r="Z15" s="1">
        <v>267.36419999999998</v>
      </c>
      <c r="AA15" s="1">
        <v>230.82159999999999</v>
      </c>
      <c r="AB15" s="1">
        <v>233.12559999999999</v>
      </c>
      <c r="AC15" s="1">
        <v>259.81060000000002</v>
      </c>
      <c r="AD15" s="1">
        <v>267.96080000000001</v>
      </c>
      <c r="AE15" s="1"/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5010.8029999999999</v>
      </c>
      <c r="D16" s="1">
        <v>1991.2940000000001</v>
      </c>
      <c r="E16" s="1">
        <v>3875.049</v>
      </c>
      <c r="F16" s="1">
        <v>3118.694</v>
      </c>
      <c r="G16" s="7">
        <v>1</v>
      </c>
      <c r="H16" s="1">
        <v>50</v>
      </c>
      <c r="I16" s="1" t="s">
        <v>36</v>
      </c>
      <c r="J16" s="1"/>
      <c r="K16" s="1">
        <v>3905.8</v>
      </c>
      <c r="L16" s="1">
        <f t="shared" si="2"/>
        <v>-30.751000000000204</v>
      </c>
      <c r="M16" s="1"/>
      <c r="N16" s="1"/>
      <c r="O16" s="1">
        <v>2229.75</v>
      </c>
      <c r="P16" s="1">
        <v>2270.25</v>
      </c>
      <c r="Q16" s="1">
        <f t="shared" si="3"/>
        <v>775.00980000000004</v>
      </c>
      <c r="R16" s="5">
        <f t="shared" si="7"/>
        <v>518.90890000000081</v>
      </c>
      <c r="S16" s="1">
        <f t="shared" si="4"/>
        <v>10.5</v>
      </c>
      <c r="T16" s="1">
        <f t="shared" si="5"/>
        <v>9.8304485956177583</v>
      </c>
      <c r="U16" s="1">
        <v>780.07339999999999</v>
      </c>
      <c r="V16" s="1">
        <v>675.8442</v>
      </c>
      <c r="W16" s="1">
        <v>640.81600000000003</v>
      </c>
      <c r="X16" s="1">
        <v>767.41360000000009</v>
      </c>
      <c r="Y16" s="1">
        <v>828.15359999999998</v>
      </c>
      <c r="Z16" s="1">
        <v>790.303</v>
      </c>
      <c r="AA16" s="1">
        <v>764.45860000000005</v>
      </c>
      <c r="AB16" s="1">
        <v>816.20259999999996</v>
      </c>
      <c r="AC16" s="1">
        <v>828.27839999999992</v>
      </c>
      <c r="AD16" s="1">
        <v>796.69399999999996</v>
      </c>
      <c r="AE16" s="1"/>
      <c r="AF16" s="1">
        <f t="shared" si="8"/>
        <v>518.90890000000081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178.477</v>
      </c>
      <c r="D17" s="1"/>
      <c r="E17" s="1">
        <v>81.179000000000002</v>
      </c>
      <c r="F17" s="1">
        <v>95.837999999999994</v>
      </c>
      <c r="G17" s="7">
        <v>1</v>
      </c>
      <c r="H17" s="1">
        <v>60</v>
      </c>
      <c r="I17" s="1" t="s">
        <v>36</v>
      </c>
      <c r="J17" s="1"/>
      <c r="K17" s="1">
        <v>78.459999999999994</v>
      </c>
      <c r="L17" s="1">
        <f t="shared" si="2"/>
        <v>2.7190000000000083</v>
      </c>
      <c r="M17" s="1"/>
      <c r="N17" s="1"/>
      <c r="O17" s="1">
        <v>41.22229999999999</v>
      </c>
      <c r="P17" s="1"/>
      <c r="Q17" s="1">
        <f t="shared" si="3"/>
        <v>16.235800000000001</v>
      </c>
      <c r="R17" s="5">
        <f t="shared" si="7"/>
        <v>33.41560000000004</v>
      </c>
      <c r="S17" s="1">
        <f t="shared" si="4"/>
        <v>10.5</v>
      </c>
      <c r="T17" s="1">
        <f t="shared" si="5"/>
        <v>8.4418568841695496</v>
      </c>
      <c r="U17" s="1">
        <v>14.9642</v>
      </c>
      <c r="V17" s="1">
        <v>13.9262</v>
      </c>
      <c r="W17" s="1">
        <v>16.6556</v>
      </c>
      <c r="X17" s="1">
        <v>20.724799999999998</v>
      </c>
      <c r="Y17" s="1">
        <v>23.348199999999999</v>
      </c>
      <c r="Z17" s="1">
        <v>19.873799999999999</v>
      </c>
      <c r="AA17" s="1">
        <v>16.658200000000001</v>
      </c>
      <c r="AB17" s="1">
        <v>19.036799999999999</v>
      </c>
      <c r="AC17" s="1">
        <v>21.176200000000001</v>
      </c>
      <c r="AD17" s="1">
        <v>19.1052</v>
      </c>
      <c r="AE17" s="1"/>
      <c r="AF17" s="1">
        <f t="shared" si="8"/>
        <v>33.41560000000004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119.383</v>
      </c>
      <c r="D18" s="1">
        <v>42.26</v>
      </c>
      <c r="E18" s="1">
        <v>45.790999999999997</v>
      </c>
      <c r="F18" s="1">
        <v>114.086</v>
      </c>
      <c r="G18" s="7">
        <v>1</v>
      </c>
      <c r="H18" s="1">
        <v>60</v>
      </c>
      <c r="I18" s="1" t="s">
        <v>36</v>
      </c>
      <c r="J18" s="1"/>
      <c r="K18" s="1">
        <v>44.73</v>
      </c>
      <c r="L18" s="1">
        <f t="shared" si="2"/>
        <v>1.0609999999999999</v>
      </c>
      <c r="M18" s="1"/>
      <c r="N18" s="1"/>
      <c r="O18" s="1">
        <v>28.44770000000003</v>
      </c>
      <c r="P18" s="1"/>
      <c r="Q18" s="1">
        <f t="shared" si="3"/>
        <v>9.158199999999999</v>
      </c>
      <c r="R18" s="5"/>
      <c r="S18" s="1">
        <f t="shared" si="4"/>
        <v>15.563505929112713</v>
      </c>
      <c r="T18" s="1">
        <f t="shared" si="5"/>
        <v>15.563505929112713</v>
      </c>
      <c r="U18" s="1">
        <v>12.9864</v>
      </c>
      <c r="V18" s="1">
        <v>14.903</v>
      </c>
      <c r="W18" s="1">
        <v>10.818</v>
      </c>
      <c r="X18" s="1">
        <v>13.6614</v>
      </c>
      <c r="Y18" s="1">
        <v>18.693000000000001</v>
      </c>
      <c r="Z18" s="1">
        <v>17.530200000000001</v>
      </c>
      <c r="AA18" s="1">
        <v>12.1244</v>
      </c>
      <c r="AB18" s="1">
        <v>14.151199999999999</v>
      </c>
      <c r="AC18" s="1">
        <v>20.768999999999998</v>
      </c>
      <c r="AD18" s="1">
        <v>18.800599999999999</v>
      </c>
      <c r="AE18" s="1"/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35</v>
      </c>
      <c r="C19" s="1">
        <v>-0.755</v>
      </c>
      <c r="D19" s="1">
        <v>45.16</v>
      </c>
      <c r="E19" s="1">
        <v>10.180999999999999</v>
      </c>
      <c r="F19" s="1">
        <v>33.564999999999998</v>
      </c>
      <c r="G19" s="7">
        <v>1</v>
      </c>
      <c r="H19" s="1">
        <v>180</v>
      </c>
      <c r="I19" s="1" t="s">
        <v>36</v>
      </c>
      <c r="J19" s="1"/>
      <c r="K19" s="1">
        <v>10.98</v>
      </c>
      <c r="L19" s="1">
        <f t="shared" si="2"/>
        <v>-0.79900000000000126</v>
      </c>
      <c r="M19" s="1"/>
      <c r="N19" s="1"/>
      <c r="O19" s="1">
        <v>10.338200000000001</v>
      </c>
      <c r="P19" s="1"/>
      <c r="Q19" s="1">
        <f t="shared" si="3"/>
        <v>2.0362</v>
      </c>
      <c r="R19" s="5"/>
      <c r="S19" s="1">
        <f t="shared" si="4"/>
        <v>21.561339750515664</v>
      </c>
      <c r="T19" s="1">
        <f t="shared" si="5"/>
        <v>21.561339750515664</v>
      </c>
      <c r="U19" s="1">
        <v>3.6604000000000001</v>
      </c>
      <c r="V19" s="1">
        <v>3.3679999999999999</v>
      </c>
      <c r="W19" s="1">
        <v>1.5246</v>
      </c>
      <c r="X19" s="1">
        <v>1.8056000000000001</v>
      </c>
      <c r="Y19" s="1">
        <v>1.9366000000000001</v>
      </c>
      <c r="Z19" s="1">
        <v>1.5718000000000001</v>
      </c>
      <c r="AA19" s="1">
        <v>1.7906</v>
      </c>
      <c r="AB19" s="1">
        <v>2.5901999999999998</v>
      </c>
      <c r="AC19" s="1">
        <v>1.7988</v>
      </c>
      <c r="AD19" s="1">
        <v>1.4292</v>
      </c>
      <c r="AE19" s="1"/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35</v>
      </c>
      <c r="C20" s="1">
        <v>1711.3050000000001</v>
      </c>
      <c r="D20" s="1">
        <v>804.07100000000003</v>
      </c>
      <c r="E20" s="1">
        <v>1314.827</v>
      </c>
      <c r="F20" s="1">
        <v>1192.607</v>
      </c>
      <c r="G20" s="7">
        <v>1</v>
      </c>
      <c r="H20" s="1">
        <v>60</v>
      </c>
      <c r="I20" s="1" t="s">
        <v>36</v>
      </c>
      <c r="J20" s="1"/>
      <c r="K20" s="1">
        <v>1283.47</v>
      </c>
      <c r="L20" s="1">
        <f t="shared" si="2"/>
        <v>31.356999999999971</v>
      </c>
      <c r="M20" s="1"/>
      <c r="N20" s="1"/>
      <c r="O20" s="1">
        <v>647.53407652889712</v>
      </c>
      <c r="P20" s="1">
        <v>659.29554310560763</v>
      </c>
      <c r="Q20" s="1">
        <f t="shared" si="3"/>
        <v>262.96539999999999</v>
      </c>
      <c r="R20" s="5">
        <f t="shared" si="7"/>
        <v>261.70008036549552</v>
      </c>
      <c r="S20" s="1">
        <f t="shared" si="4"/>
        <v>10.5</v>
      </c>
      <c r="T20" s="1">
        <f t="shared" si="5"/>
        <v>9.5048117342985226</v>
      </c>
      <c r="U20" s="1">
        <v>261.03739999999999</v>
      </c>
      <c r="V20" s="1">
        <v>231.03299999999999</v>
      </c>
      <c r="W20" s="1">
        <v>231.0196</v>
      </c>
      <c r="X20" s="1">
        <v>266.68880000000001</v>
      </c>
      <c r="Y20" s="1">
        <v>289.93419999999998</v>
      </c>
      <c r="Z20" s="1">
        <v>292.35160000000002</v>
      </c>
      <c r="AA20" s="1">
        <v>267.48160000000001</v>
      </c>
      <c r="AB20" s="1">
        <v>272.67099999999999</v>
      </c>
      <c r="AC20" s="1">
        <v>299.54820000000001</v>
      </c>
      <c r="AD20" s="1">
        <v>310.22800000000001</v>
      </c>
      <c r="AE20" s="1"/>
      <c r="AF20" s="1">
        <f t="shared" si="8"/>
        <v>261.70008036549552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35</v>
      </c>
      <c r="C21" s="1">
        <v>331.01499999999999</v>
      </c>
      <c r="D21" s="1">
        <v>100.114</v>
      </c>
      <c r="E21" s="1">
        <v>180.67599999999999</v>
      </c>
      <c r="F21" s="1">
        <v>250.453</v>
      </c>
      <c r="G21" s="7">
        <v>1</v>
      </c>
      <c r="H21" s="1">
        <v>70</v>
      </c>
      <c r="I21" s="1" t="s">
        <v>36</v>
      </c>
      <c r="J21" s="1"/>
      <c r="K21" s="1">
        <v>176.185</v>
      </c>
      <c r="L21" s="1">
        <f t="shared" si="2"/>
        <v>4.4909999999999854</v>
      </c>
      <c r="M21" s="1"/>
      <c r="N21" s="1"/>
      <c r="O21" s="1">
        <v>61.744067205499952</v>
      </c>
      <c r="P21" s="1">
        <v>62.865553794499938</v>
      </c>
      <c r="Q21" s="1">
        <f t="shared" si="3"/>
        <v>36.135199999999998</v>
      </c>
      <c r="R21" s="5">
        <f t="shared" si="7"/>
        <v>4.3569790000000523</v>
      </c>
      <c r="S21" s="1">
        <f t="shared" si="4"/>
        <v>10.5</v>
      </c>
      <c r="T21" s="1">
        <f t="shared" si="5"/>
        <v>10.379425629303281</v>
      </c>
      <c r="U21" s="1">
        <v>38.785600000000002</v>
      </c>
      <c r="V21" s="1">
        <v>36.6614</v>
      </c>
      <c r="W21" s="1">
        <v>41.685199999999988</v>
      </c>
      <c r="X21" s="1">
        <v>47.904600000000002</v>
      </c>
      <c r="Y21" s="1">
        <v>59.2864</v>
      </c>
      <c r="Z21" s="1">
        <v>56.157799999999988</v>
      </c>
      <c r="AA21" s="1">
        <v>44.815800000000003</v>
      </c>
      <c r="AB21" s="1">
        <v>46.234999999999999</v>
      </c>
      <c r="AC21" s="1">
        <v>51.521799999999999</v>
      </c>
      <c r="AD21" s="1">
        <v>51.721600000000002</v>
      </c>
      <c r="AE21" s="1"/>
      <c r="AF21" s="1">
        <f t="shared" si="8"/>
        <v>4.3569790000000523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55</v>
      </c>
      <c r="B22" s="1" t="s">
        <v>35</v>
      </c>
      <c r="C22" s="1">
        <v>661.23400000000004</v>
      </c>
      <c r="D22" s="1">
        <v>216.69399999999999</v>
      </c>
      <c r="E22" s="1">
        <v>464.221</v>
      </c>
      <c r="F22" s="1">
        <v>422.03800000000001</v>
      </c>
      <c r="G22" s="7">
        <v>1</v>
      </c>
      <c r="H22" s="1">
        <v>70</v>
      </c>
      <c r="I22" s="1" t="s">
        <v>36</v>
      </c>
      <c r="J22" s="1"/>
      <c r="K22" s="1">
        <v>438.13</v>
      </c>
      <c r="L22" s="1">
        <f t="shared" si="2"/>
        <v>26.091000000000008</v>
      </c>
      <c r="M22" s="1"/>
      <c r="N22" s="1"/>
      <c r="O22" s="1">
        <v>238.27677333999989</v>
      </c>
      <c r="P22" s="1">
        <v>242.60470665999981</v>
      </c>
      <c r="Q22" s="1">
        <f t="shared" si="3"/>
        <v>92.844200000000001</v>
      </c>
      <c r="R22" s="5">
        <f t="shared" si="7"/>
        <v>71.944620000000327</v>
      </c>
      <c r="S22" s="1">
        <f t="shared" si="4"/>
        <v>10.5</v>
      </c>
      <c r="T22" s="1">
        <f t="shared" si="5"/>
        <v>9.7251037760032357</v>
      </c>
      <c r="U22" s="1">
        <v>90.825400000000002</v>
      </c>
      <c r="V22" s="1">
        <v>80.068399999999997</v>
      </c>
      <c r="W22" s="1">
        <v>83.840599999999995</v>
      </c>
      <c r="X22" s="1">
        <v>97.186000000000007</v>
      </c>
      <c r="Y22" s="1">
        <v>100.78400000000001</v>
      </c>
      <c r="Z22" s="1">
        <v>98.3446</v>
      </c>
      <c r="AA22" s="1">
        <v>86.057199999999995</v>
      </c>
      <c r="AB22" s="1">
        <v>89.749800000000008</v>
      </c>
      <c r="AC22" s="1">
        <v>107.6352</v>
      </c>
      <c r="AD22" s="1">
        <v>111.0834</v>
      </c>
      <c r="AE22" s="1" t="s">
        <v>56</v>
      </c>
      <c r="AF22" s="1">
        <f t="shared" si="8"/>
        <v>71.944620000000327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57</v>
      </c>
      <c r="B23" s="11" t="s">
        <v>35</v>
      </c>
      <c r="C23" s="11"/>
      <c r="D23" s="11"/>
      <c r="E23" s="11"/>
      <c r="F23" s="11"/>
      <c r="G23" s="12">
        <v>0</v>
      </c>
      <c r="H23" s="11"/>
      <c r="I23" s="11" t="s">
        <v>36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/>
      <c r="Q23" s="11">
        <f t="shared" si="3"/>
        <v>0</v>
      </c>
      <c r="R23" s="13"/>
      <c r="S23" s="11" t="e">
        <f t="shared" si="4"/>
        <v>#DIV/0!</v>
      </c>
      <c r="T23" s="11" t="e">
        <f t="shared" si="5"/>
        <v>#DIV/0!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 t="s">
        <v>42</v>
      </c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35</v>
      </c>
      <c r="C24" s="1">
        <v>904.37599999999998</v>
      </c>
      <c r="D24" s="1">
        <v>347.93799999999999</v>
      </c>
      <c r="E24" s="1">
        <v>690.24800000000005</v>
      </c>
      <c r="F24" s="1">
        <v>562.97400000000005</v>
      </c>
      <c r="G24" s="7">
        <v>1</v>
      </c>
      <c r="H24" s="1">
        <v>70</v>
      </c>
      <c r="I24" s="1" t="s">
        <v>36</v>
      </c>
      <c r="J24" s="1"/>
      <c r="K24" s="1">
        <v>664.125</v>
      </c>
      <c r="L24" s="1">
        <f t="shared" si="2"/>
        <v>26.123000000000047</v>
      </c>
      <c r="M24" s="1"/>
      <c r="N24" s="1"/>
      <c r="O24" s="1">
        <v>372.38338752499999</v>
      </c>
      <c r="P24" s="1">
        <v>379.14716247500002</v>
      </c>
      <c r="Q24" s="1">
        <f t="shared" si="3"/>
        <v>138.0496</v>
      </c>
      <c r="R24" s="5">
        <f t="shared" ref="R24:R29" si="9">10.5*Q24-P24-O24-F24</f>
        <v>135.01625000000001</v>
      </c>
      <c r="S24" s="1">
        <f t="shared" si="4"/>
        <v>10.500000000000002</v>
      </c>
      <c r="T24" s="1">
        <f t="shared" si="5"/>
        <v>9.5219728995955091</v>
      </c>
      <c r="U24" s="1">
        <v>134.48500000000001</v>
      </c>
      <c r="V24" s="1">
        <v>114.6332</v>
      </c>
      <c r="W24" s="1">
        <v>122.8556</v>
      </c>
      <c r="X24" s="1">
        <v>154.4462</v>
      </c>
      <c r="Y24" s="1">
        <v>156.86439999999999</v>
      </c>
      <c r="Z24" s="1">
        <v>146.11439999999999</v>
      </c>
      <c r="AA24" s="1">
        <v>137.9374</v>
      </c>
      <c r="AB24" s="1">
        <v>140.28139999999999</v>
      </c>
      <c r="AC24" s="1">
        <v>155.126</v>
      </c>
      <c r="AD24" s="1">
        <v>164.63640000000001</v>
      </c>
      <c r="AE24" s="1" t="s">
        <v>56</v>
      </c>
      <c r="AF24" s="1">
        <f t="shared" ref="AF24:AF29" si="10">G24*R24</f>
        <v>135.01625000000001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59</v>
      </c>
      <c r="B25" s="1" t="s">
        <v>35</v>
      </c>
      <c r="C25" s="1">
        <v>106.179</v>
      </c>
      <c r="D25" s="1">
        <v>213.149</v>
      </c>
      <c r="E25" s="1">
        <v>111.154</v>
      </c>
      <c r="F25" s="1">
        <v>211.10400000000001</v>
      </c>
      <c r="G25" s="7">
        <v>1</v>
      </c>
      <c r="H25" s="1">
        <v>40</v>
      </c>
      <c r="I25" s="1" t="s">
        <v>36</v>
      </c>
      <c r="J25" s="1"/>
      <c r="K25" s="1">
        <v>113.1</v>
      </c>
      <c r="L25" s="1">
        <f t="shared" si="2"/>
        <v>-1.945999999999998</v>
      </c>
      <c r="M25" s="1"/>
      <c r="N25" s="1"/>
      <c r="O25" s="1">
        <v>0</v>
      </c>
      <c r="P25" s="1"/>
      <c r="Q25" s="1">
        <f t="shared" si="3"/>
        <v>22.230799999999999</v>
      </c>
      <c r="R25" s="5">
        <f t="shared" si="9"/>
        <v>22.319399999999973</v>
      </c>
      <c r="S25" s="1">
        <f t="shared" si="4"/>
        <v>10.5</v>
      </c>
      <c r="T25" s="1">
        <f t="shared" si="5"/>
        <v>9.4960145383881827</v>
      </c>
      <c r="U25" s="1">
        <v>20.890999999999998</v>
      </c>
      <c r="V25" s="1">
        <v>21.743400000000001</v>
      </c>
      <c r="W25" s="1">
        <v>31.498799999999999</v>
      </c>
      <c r="X25" s="1">
        <v>36.451999999999998</v>
      </c>
      <c r="Y25" s="1">
        <v>28.552800000000001</v>
      </c>
      <c r="Z25" s="1">
        <v>25.166799999999999</v>
      </c>
      <c r="AA25" s="1">
        <v>29.244199999999999</v>
      </c>
      <c r="AB25" s="1">
        <v>30.193000000000001</v>
      </c>
      <c r="AC25" s="1">
        <v>20.341200000000001</v>
      </c>
      <c r="AD25" s="1">
        <v>17.2774</v>
      </c>
      <c r="AE25" s="1"/>
      <c r="AF25" s="1">
        <f t="shared" si="10"/>
        <v>22.319399999999973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60</v>
      </c>
      <c r="B26" s="1" t="s">
        <v>35</v>
      </c>
      <c r="C26" s="1">
        <v>248.83500000000001</v>
      </c>
      <c r="D26" s="1">
        <v>366.84699999999998</v>
      </c>
      <c r="E26" s="1">
        <v>238.84399999999999</v>
      </c>
      <c r="F26" s="1">
        <v>368.77600000000001</v>
      </c>
      <c r="G26" s="7">
        <v>1</v>
      </c>
      <c r="H26" s="1">
        <v>30</v>
      </c>
      <c r="I26" s="1" t="s">
        <v>36</v>
      </c>
      <c r="J26" s="1"/>
      <c r="K26" s="1">
        <v>242.1</v>
      </c>
      <c r="L26" s="1">
        <f t="shared" si="2"/>
        <v>-3.2560000000000002</v>
      </c>
      <c r="M26" s="1"/>
      <c r="N26" s="1"/>
      <c r="O26" s="1">
        <v>89.066580860000002</v>
      </c>
      <c r="P26" s="1">
        <v>90.684339139999977</v>
      </c>
      <c r="Q26" s="1">
        <f t="shared" si="3"/>
        <v>47.768799999999999</v>
      </c>
      <c r="R26" s="5"/>
      <c r="S26" s="1">
        <f t="shared" si="4"/>
        <v>11.482953727118957</v>
      </c>
      <c r="T26" s="1">
        <f t="shared" si="5"/>
        <v>11.482953727118957</v>
      </c>
      <c r="U26" s="1">
        <v>53.683399999999992</v>
      </c>
      <c r="V26" s="1">
        <v>55.056600000000003</v>
      </c>
      <c r="W26" s="1">
        <v>34.062199999999997</v>
      </c>
      <c r="X26" s="1">
        <v>31.221399999999999</v>
      </c>
      <c r="Y26" s="1">
        <v>46.425600000000003</v>
      </c>
      <c r="Z26" s="1">
        <v>48.891800000000003</v>
      </c>
      <c r="AA26" s="1">
        <v>43.962200000000003</v>
      </c>
      <c r="AB26" s="1">
        <v>33.269799999999996</v>
      </c>
      <c r="AC26" s="1">
        <v>13.7828</v>
      </c>
      <c r="AD26" s="1">
        <v>31.713999999999999</v>
      </c>
      <c r="AE26" s="1"/>
      <c r="AF26" s="1">
        <f t="shared" si="10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61</v>
      </c>
      <c r="B27" s="1" t="s">
        <v>35</v>
      </c>
      <c r="C27" s="1">
        <v>159.20400000000001</v>
      </c>
      <c r="D27" s="1">
        <v>305.58999999999997</v>
      </c>
      <c r="E27" s="1">
        <v>196.99799999999999</v>
      </c>
      <c r="F27" s="1">
        <v>266.22899999999998</v>
      </c>
      <c r="G27" s="7">
        <v>1</v>
      </c>
      <c r="H27" s="1">
        <v>40</v>
      </c>
      <c r="I27" s="10" t="s">
        <v>39</v>
      </c>
      <c r="J27" s="1"/>
      <c r="K27" s="1">
        <v>172.8</v>
      </c>
      <c r="L27" s="1">
        <f t="shared" si="2"/>
        <v>24.197999999999979</v>
      </c>
      <c r="M27" s="1"/>
      <c r="N27" s="1"/>
      <c r="O27" s="1">
        <v>97.787439999999918</v>
      </c>
      <c r="P27" s="1"/>
      <c r="Q27" s="1">
        <f t="shared" si="3"/>
        <v>39.3996</v>
      </c>
      <c r="R27" s="5">
        <f t="shared" si="9"/>
        <v>49.679360000000145</v>
      </c>
      <c r="S27" s="1">
        <f t="shared" si="4"/>
        <v>10.5</v>
      </c>
      <c r="T27" s="1">
        <f t="shared" si="5"/>
        <v>9.2390897369516409</v>
      </c>
      <c r="U27" s="1">
        <v>39.060400000000001</v>
      </c>
      <c r="V27" s="1">
        <v>40.458199999999998</v>
      </c>
      <c r="W27" s="1">
        <v>28.9742</v>
      </c>
      <c r="X27" s="1">
        <v>29.550999999999998</v>
      </c>
      <c r="Y27" s="1">
        <v>35.141000000000012</v>
      </c>
      <c r="Z27" s="1">
        <v>39.5794</v>
      </c>
      <c r="AA27" s="1">
        <v>32.5458</v>
      </c>
      <c r="AB27" s="1">
        <v>22.7224</v>
      </c>
      <c r="AC27" s="1">
        <v>6.7043999999999997</v>
      </c>
      <c r="AD27" s="1">
        <v>-0.26340000000000002</v>
      </c>
      <c r="AE27" s="1"/>
      <c r="AF27" s="1">
        <f t="shared" si="10"/>
        <v>49.679360000000145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35</v>
      </c>
      <c r="C28" s="1">
        <v>1680.453</v>
      </c>
      <c r="D28" s="1">
        <v>1113.134</v>
      </c>
      <c r="E28" s="1">
        <v>1217.33</v>
      </c>
      <c r="F28" s="1">
        <v>1477.9349999999999</v>
      </c>
      <c r="G28" s="7">
        <v>1</v>
      </c>
      <c r="H28" s="1">
        <v>30</v>
      </c>
      <c r="I28" s="10" t="s">
        <v>39</v>
      </c>
      <c r="J28" s="1"/>
      <c r="K28" s="1">
        <v>1308.0999999999999</v>
      </c>
      <c r="L28" s="1">
        <f t="shared" si="2"/>
        <v>-90.769999999999982</v>
      </c>
      <c r="M28" s="1"/>
      <c r="N28" s="1"/>
      <c r="O28" s="1">
        <v>430.24654463000007</v>
      </c>
      <c r="P28" s="1">
        <v>438.06131536999999</v>
      </c>
      <c r="Q28" s="1">
        <f t="shared" si="3"/>
        <v>243.46599999999998</v>
      </c>
      <c r="R28" s="5">
        <f t="shared" si="9"/>
        <v>210.15013999999951</v>
      </c>
      <c r="S28" s="1">
        <f t="shared" si="4"/>
        <v>10.499999999999996</v>
      </c>
      <c r="T28" s="1">
        <f t="shared" si="5"/>
        <v>9.6368398872943253</v>
      </c>
      <c r="U28" s="1">
        <v>244.32079999999999</v>
      </c>
      <c r="V28" s="1">
        <v>256.52339999999998</v>
      </c>
      <c r="W28" s="1">
        <v>270.452</v>
      </c>
      <c r="X28" s="1">
        <v>280.71120000000002</v>
      </c>
      <c r="Y28" s="1">
        <v>310.25920000000002</v>
      </c>
      <c r="Z28" s="1">
        <v>314.48059999999998</v>
      </c>
      <c r="AA28" s="1">
        <v>320.68</v>
      </c>
      <c r="AB28" s="1">
        <v>316.95460000000003</v>
      </c>
      <c r="AC28" s="1">
        <v>308.58339999999998</v>
      </c>
      <c r="AD28" s="1">
        <v>309.00920000000002</v>
      </c>
      <c r="AE28" s="1"/>
      <c r="AF28" s="1">
        <f t="shared" si="10"/>
        <v>210.15013999999951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63</v>
      </c>
      <c r="B29" s="1" t="s">
        <v>35</v>
      </c>
      <c r="C29" s="1">
        <v>1852.973</v>
      </c>
      <c r="D29" s="1">
        <v>1958.2159999999999</v>
      </c>
      <c r="E29" s="1">
        <v>1673.347</v>
      </c>
      <c r="F29" s="1">
        <v>2119.7730000000001</v>
      </c>
      <c r="G29" s="7">
        <v>1</v>
      </c>
      <c r="H29" s="1">
        <v>40</v>
      </c>
      <c r="I29" s="1" t="s">
        <v>36</v>
      </c>
      <c r="J29" s="1"/>
      <c r="K29" s="1">
        <v>1562.35</v>
      </c>
      <c r="L29" s="1">
        <f t="shared" si="2"/>
        <v>110.99700000000007</v>
      </c>
      <c r="M29" s="1"/>
      <c r="N29" s="1"/>
      <c r="O29" s="1">
        <v>703.82120687499969</v>
      </c>
      <c r="P29" s="1">
        <v>716.60504312499961</v>
      </c>
      <c r="Q29" s="1">
        <f t="shared" si="3"/>
        <v>334.6694</v>
      </c>
      <c r="R29" s="5"/>
      <c r="S29" s="1">
        <f t="shared" si="4"/>
        <v>10.578198215910986</v>
      </c>
      <c r="T29" s="1">
        <f t="shared" si="5"/>
        <v>10.578198215910986</v>
      </c>
      <c r="U29" s="1">
        <v>360.96960000000001</v>
      </c>
      <c r="V29" s="1">
        <v>349.10199999999998</v>
      </c>
      <c r="W29" s="1">
        <v>355.59320000000002</v>
      </c>
      <c r="X29" s="1">
        <v>382.23180000000002</v>
      </c>
      <c r="Y29" s="1">
        <v>388.74599999999998</v>
      </c>
      <c r="Z29" s="1">
        <v>399.38979999999998</v>
      </c>
      <c r="AA29" s="1">
        <v>362.9348</v>
      </c>
      <c r="AB29" s="1">
        <v>381.44900000000001</v>
      </c>
      <c r="AC29" s="1">
        <v>488.75020000000012</v>
      </c>
      <c r="AD29" s="1">
        <v>422.90960000000001</v>
      </c>
      <c r="AE29" s="1"/>
      <c r="AF29" s="1">
        <f t="shared" si="10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1" t="s">
        <v>64</v>
      </c>
      <c r="B30" s="11" t="s">
        <v>35</v>
      </c>
      <c r="C30" s="11"/>
      <c r="D30" s="11"/>
      <c r="E30" s="11"/>
      <c r="F30" s="11"/>
      <c r="G30" s="12">
        <v>0</v>
      </c>
      <c r="H30" s="11"/>
      <c r="I30" s="11" t="s">
        <v>36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/>
      <c r="Q30" s="11">
        <f t="shared" si="3"/>
        <v>0</v>
      </c>
      <c r="R30" s="13"/>
      <c r="S30" s="11" t="e">
        <f t="shared" si="4"/>
        <v>#DIV/0!</v>
      </c>
      <c r="T30" s="11" t="e">
        <f t="shared" si="5"/>
        <v>#DIV/0!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 t="s">
        <v>42</v>
      </c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65</v>
      </c>
      <c r="B31" s="1" t="s">
        <v>35</v>
      </c>
      <c r="C31" s="1">
        <v>195.97200000000001</v>
      </c>
      <c r="D31" s="1">
        <v>225.36199999999999</v>
      </c>
      <c r="E31" s="1">
        <v>213.04400000000001</v>
      </c>
      <c r="F31" s="1">
        <v>192.66800000000001</v>
      </c>
      <c r="G31" s="7">
        <v>1</v>
      </c>
      <c r="H31" s="1">
        <v>30</v>
      </c>
      <c r="I31" s="10" t="s">
        <v>39</v>
      </c>
      <c r="J31" s="1"/>
      <c r="K31" s="1">
        <v>207.9</v>
      </c>
      <c r="L31" s="1">
        <f t="shared" si="2"/>
        <v>5.1440000000000055</v>
      </c>
      <c r="M31" s="1"/>
      <c r="N31" s="1"/>
      <c r="O31" s="1">
        <v>87.086013350499869</v>
      </c>
      <c r="P31" s="1">
        <v>88.66779764949986</v>
      </c>
      <c r="Q31" s="1">
        <f t="shared" si="3"/>
        <v>42.608800000000002</v>
      </c>
      <c r="R31" s="5">
        <f>10.5*Q31-P31-O31-F31</f>
        <v>78.970589000000302</v>
      </c>
      <c r="S31" s="1">
        <f t="shared" si="4"/>
        <v>10.5</v>
      </c>
      <c r="T31" s="1">
        <f t="shared" si="5"/>
        <v>8.646613164416733</v>
      </c>
      <c r="U31" s="1">
        <v>39.976999999999997</v>
      </c>
      <c r="V31" s="1">
        <v>38.119399999999999</v>
      </c>
      <c r="W31" s="1">
        <v>30.584399999999999</v>
      </c>
      <c r="X31" s="1">
        <v>31.743400000000001</v>
      </c>
      <c r="Y31" s="1">
        <v>43.1676</v>
      </c>
      <c r="Z31" s="1">
        <v>41.247399999999999</v>
      </c>
      <c r="AA31" s="1">
        <v>33.716799999999999</v>
      </c>
      <c r="AB31" s="1">
        <v>37.151000000000003</v>
      </c>
      <c r="AC31" s="1">
        <v>40.635000000000012</v>
      </c>
      <c r="AD31" s="1">
        <v>42.814599999999999</v>
      </c>
      <c r="AE31" s="1"/>
      <c r="AF31" s="1">
        <f>G31*R31</f>
        <v>78.970589000000302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66</v>
      </c>
      <c r="B32" s="11" t="s">
        <v>35</v>
      </c>
      <c r="C32" s="11"/>
      <c r="D32" s="11"/>
      <c r="E32" s="11"/>
      <c r="F32" s="11"/>
      <c r="G32" s="12">
        <v>0</v>
      </c>
      <c r="H32" s="11"/>
      <c r="I32" s="11" t="s">
        <v>36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/>
      <c r="Q32" s="11">
        <f t="shared" si="3"/>
        <v>0</v>
      </c>
      <c r="R32" s="13"/>
      <c r="S32" s="11" t="e">
        <f t="shared" si="4"/>
        <v>#DIV/0!</v>
      </c>
      <c r="T32" s="11" t="e">
        <f t="shared" si="5"/>
        <v>#DIV/0!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 t="s">
        <v>42</v>
      </c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1" t="s">
        <v>67</v>
      </c>
      <c r="B33" s="11" t="s">
        <v>35</v>
      </c>
      <c r="C33" s="11"/>
      <c r="D33" s="11"/>
      <c r="E33" s="11"/>
      <c r="F33" s="11"/>
      <c r="G33" s="12">
        <v>0</v>
      </c>
      <c r="H33" s="11"/>
      <c r="I33" s="11" t="s">
        <v>36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>
        <f t="shared" si="3"/>
        <v>0</v>
      </c>
      <c r="R33" s="13"/>
      <c r="S33" s="11" t="e">
        <f t="shared" si="4"/>
        <v>#DIV/0!</v>
      </c>
      <c r="T33" s="11" t="e">
        <f t="shared" si="5"/>
        <v>#DIV/0!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 t="s">
        <v>42</v>
      </c>
      <c r="AF33" s="1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68</v>
      </c>
      <c r="B34" s="1" t="s">
        <v>41</v>
      </c>
      <c r="C34" s="1">
        <v>6032</v>
      </c>
      <c r="D34" s="1">
        <v>4152</v>
      </c>
      <c r="E34" s="1">
        <v>4889</v>
      </c>
      <c r="F34" s="1">
        <v>5249</v>
      </c>
      <c r="G34" s="7">
        <v>0.4</v>
      </c>
      <c r="H34" s="1">
        <v>45</v>
      </c>
      <c r="I34" s="10" t="s">
        <v>39</v>
      </c>
      <c r="J34" s="1"/>
      <c r="K34" s="1">
        <v>4981</v>
      </c>
      <c r="L34" s="1">
        <f t="shared" si="2"/>
        <v>-92</v>
      </c>
      <c r="M34" s="1"/>
      <c r="N34" s="1"/>
      <c r="O34" s="1">
        <v>1788.2882390000011</v>
      </c>
      <c r="P34" s="1">
        <v>1820.769761</v>
      </c>
      <c r="Q34" s="1">
        <f t="shared" si="3"/>
        <v>977.8</v>
      </c>
      <c r="R34" s="5">
        <f t="shared" ref="R34:R84" si="11">10.5*Q34-P34-O34-F34</f>
        <v>1408.8419999999987</v>
      </c>
      <c r="S34" s="1">
        <f t="shared" si="4"/>
        <v>10.5</v>
      </c>
      <c r="T34" s="1">
        <f t="shared" si="5"/>
        <v>9.0591716097361434</v>
      </c>
      <c r="U34" s="1">
        <v>931.4</v>
      </c>
      <c r="V34" s="1">
        <v>904.4</v>
      </c>
      <c r="W34" s="1">
        <v>986.06000000000006</v>
      </c>
      <c r="X34" s="1">
        <v>1036.6600000000001</v>
      </c>
      <c r="Y34" s="1">
        <v>1083.5999999999999</v>
      </c>
      <c r="Z34" s="1">
        <v>1082</v>
      </c>
      <c r="AA34" s="1">
        <v>1122.8</v>
      </c>
      <c r="AB34" s="1">
        <v>1122</v>
      </c>
      <c r="AC34" s="1">
        <v>775</v>
      </c>
      <c r="AD34" s="1">
        <v>836.2</v>
      </c>
      <c r="AE34" s="1"/>
      <c r="AF34" s="1">
        <f t="shared" ref="AF34:AF65" si="12">G34*R34</f>
        <v>563.53679999999952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69</v>
      </c>
      <c r="B35" s="1" t="s">
        <v>41</v>
      </c>
      <c r="C35" s="1">
        <v>689</v>
      </c>
      <c r="D35" s="1">
        <v>492</v>
      </c>
      <c r="E35" s="1">
        <v>467</v>
      </c>
      <c r="F35" s="1">
        <v>710</v>
      </c>
      <c r="G35" s="7">
        <v>0.45</v>
      </c>
      <c r="H35" s="1">
        <v>50</v>
      </c>
      <c r="I35" s="1" t="s">
        <v>36</v>
      </c>
      <c r="J35" s="1"/>
      <c r="K35" s="1">
        <v>488</v>
      </c>
      <c r="L35" s="1">
        <f t="shared" si="2"/>
        <v>-21</v>
      </c>
      <c r="M35" s="1"/>
      <c r="N35" s="1"/>
      <c r="O35" s="1">
        <v>8.9149999999999636</v>
      </c>
      <c r="P35" s="1"/>
      <c r="Q35" s="1">
        <f t="shared" si="3"/>
        <v>93.4</v>
      </c>
      <c r="R35" s="5">
        <f t="shared" si="11"/>
        <v>261.78500000000008</v>
      </c>
      <c r="S35" s="1">
        <f t="shared" si="4"/>
        <v>10.5</v>
      </c>
      <c r="T35" s="1">
        <f t="shared" si="5"/>
        <v>7.6971627408993566</v>
      </c>
      <c r="U35" s="1">
        <v>77.2</v>
      </c>
      <c r="V35" s="1">
        <v>88.4</v>
      </c>
      <c r="W35" s="1">
        <v>113.2</v>
      </c>
      <c r="X35" s="1">
        <v>104.8</v>
      </c>
      <c r="Y35" s="1">
        <v>113.8</v>
      </c>
      <c r="Z35" s="1">
        <v>116.6</v>
      </c>
      <c r="AA35" s="1">
        <v>125.4</v>
      </c>
      <c r="AB35" s="1">
        <v>125.8</v>
      </c>
      <c r="AC35" s="1">
        <v>125.6</v>
      </c>
      <c r="AD35" s="1">
        <v>116.8</v>
      </c>
      <c r="AE35" s="1"/>
      <c r="AF35" s="1">
        <f t="shared" si="12"/>
        <v>117.80325000000003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70</v>
      </c>
      <c r="B36" s="1" t="s">
        <v>41</v>
      </c>
      <c r="C36" s="1">
        <v>621</v>
      </c>
      <c r="D36" s="1">
        <v>1479</v>
      </c>
      <c r="E36" s="1">
        <v>882</v>
      </c>
      <c r="F36" s="1">
        <v>1182</v>
      </c>
      <c r="G36" s="7">
        <v>0.4</v>
      </c>
      <c r="H36" s="1">
        <v>45</v>
      </c>
      <c r="I36" s="1" t="s">
        <v>36</v>
      </c>
      <c r="J36" s="1"/>
      <c r="K36" s="1">
        <v>1017</v>
      </c>
      <c r="L36" s="1">
        <f t="shared" si="2"/>
        <v>-135</v>
      </c>
      <c r="M36" s="1"/>
      <c r="N36" s="1"/>
      <c r="O36" s="1">
        <v>223.67365499999991</v>
      </c>
      <c r="P36" s="1">
        <v>227.73634499999989</v>
      </c>
      <c r="Q36" s="1">
        <f t="shared" si="3"/>
        <v>176.4</v>
      </c>
      <c r="R36" s="5">
        <f t="shared" si="11"/>
        <v>218.79000000000042</v>
      </c>
      <c r="S36" s="1">
        <f t="shared" si="4"/>
        <v>10.5</v>
      </c>
      <c r="T36" s="1">
        <f t="shared" si="5"/>
        <v>9.2596938775510171</v>
      </c>
      <c r="U36" s="1">
        <v>177.2</v>
      </c>
      <c r="V36" s="1">
        <v>188</v>
      </c>
      <c r="W36" s="1">
        <v>197.4</v>
      </c>
      <c r="X36" s="1">
        <v>174.8</v>
      </c>
      <c r="Y36" s="1">
        <v>159.4</v>
      </c>
      <c r="Z36" s="1">
        <v>167.6</v>
      </c>
      <c r="AA36" s="1">
        <v>160.4</v>
      </c>
      <c r="AB36" s="1">
        <v>185.2</v>
      </c>
      <c r="AC36" s="1">
        <v>146</v>
      </c>
      <c r="AD36" s="1">
        <v>110.2</v>
      </c>
      <c r="AE36" s="1"/>
      <c r="AF36" s="1">
        <f t="shared" si="12"/>
        <v>87.516000000000176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71</v>
      </c>
      <c r="B37" s="1" t="s">
        <v>41</v>
      </c>
      <c r="C37" s="1">
        <v>30</v>
      </c>
      <c r="D37" s="1">
        <v>12</v>
      </c>
      <c r="E37" s="1">
        <v>18</v>
      </c>
      <c r="F37" s="1">
        <v>24</v>
      </c>
      <c r="G37" s="7">
        <v>0.4</v>
      </c>
      <c r="H37" s="1">
        <v>40</v>
      </c>
      <c r="I37" s="1" t="s">
        <v>36</v>
      </c>
      <c r="J37" s="1"/>
      <c r="K37" s="1">
        <v>18</v>
      </c>
      <c r="L37" s="1">
        <f t="shared" si="2"/>
        <v>0</v>
      </c>
      <c r="M37" s="1"/>
      <c r="N37" s="1"/>
      <c r="O37" s="1">
        <v>8</v>
      </c>
      <c r="P37" s="1"/>
      <c r="Q37" s="1">
        <f t="shared" si="3"/>
        <v>3.6</v>
      </c>
      <c r="R37" s="5">
        <f t="shared" si="11"/>
        <v>5.8000000000000043</v>
      </c>
      <c r="S37" s="1">
        <f t="shared" si="4"/>
        <v>10.500000000000002</v>
      </c>
      <c r="T37" s="1">
        <f t="shared" si="5"/>
        <v>8.8888888888888893</v>
      </c>
      <c r="U37" s="1">
        <v>2.8</v>
      </c>
      <c r="V37" s="1">
        <v>3.4</v>
      </c>
      <c r="W37" s="1">
        <v>3.6</v>
      </c>
      <c r="X37" s="1">
        <v>2.6</v>
      </c>
      <c r="Y37" s="1">
        <v>1.6</v>
      </c>
      <c r="Z37" s="1">
        <v>0.6</v>
      </c>
      <c r="AA37" s="1">
        <v>2</v>
      </c>
      <c r="AB37" s="1">
        <v>2.8</v>
      </c>
      <c r="AC37" s="1">
        <v>1.4</v>
      </c>
      <c r="AD37" s="1">
        <v>0</v>
      </c>
      <c r="AE37" s="1"/>
      <c r="AF37" s="1">
        <f t="shared" si="12"/>
        <v>2.3200000000000016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72</v>
      </c>
      <c r="B38" s="1" t="s">
        <v>35</v>
      </c>
      <c r="C38" s="1">
        <v>28.459</v>
      </c>
      <c r="D38" s="1">
        <v>303.154</v>
      </c>
      <c r="E38" s="1">
        <v>89.647999999999996</v>
      </c>
      <c r="F38" s="1">
        <v>235.292</v>
      </c>
      <c r="G38" s="7">
        <v>1</v>
      </c>
      <c r="H38" s="1">
        <v>45</v>
      </c>
      <c r="I38" s="10" t="s">
        <v>39</v>
      </c>
      <c r="J38" s="1"/>
      <c r="K38" s="1">
        <v>120.7</v>
      </c>
      <c r="L38" s="1">
        <f t="shared" ref="L38:L69" si="13">E38-K38</f>
        <v>-31.052000000000007</v>
      </c>
      <c r="M38" s="1"/>
      <c r="N38" s="1"/>
      <c r="O38" s="1">
        <v>4.9765999999999204</v>
      </c>
      <c r="P38" s="1"/>
      <c r="Q38" s="1">
        <f t="shared" ref="Q38:Q69" si="14">E38/5</f>
        <v>17.929600000000001</v>
      </c>
      <c r="R38" s="5"/>
      <c r="S38" s="1">
        <f t="shared" ref="S38:S69" si="15">(F38+O38+P38+R38)/Q38</f>
        <v>13.400667053364264</v>
      </c>
      <c r="T38" s="1">
        <f t="shared" ref="T38:T69" si="16">(F38+O38+P38)/Q38</f>
        <v>13.400667053364264</v>
      </c>
      <c r="U38" s="1">
        <v>24.651</v>
      </c>
      <c r="V38" s="1">
        <v>30.5916</v>
      </c>
      <c r="W38" s="1">
        <v>23.4132</v>
      </c>
      <c r="X38" s="1">
        <v>27.113600000000002</v>
      </c>
      <c r="Y38" s="1">
        <v>26.136800000000001</v>
      </c>
      <c r="Z38" s="1">
        <v>25.5244</v>
      </c>
      <c r="AA38" s="1">
        <v>32.070399999999999</v>
      </c>
      <c r="AB38" s="1">
        <v>33.582999999999998</v>
      </c>
      <c r="AC38" s="1">
        <v>38.2774</v>
      </c>
      <c r="AD38" s="1">
        <v>46.067599999999999</v>
      </c>
      <c r="AE38" s="1"/>
      <c r="AF38" s="1">
        <f t="shared" si="12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73</v>
      </c>
      <c r="B39" s="1" t="s">
        <v>41</v>
      </c>
      <c r="C39" s="1">
        <v>467</v>
      </c>
      <c r="D39" s="1">
        <v>347</v>
      </c>
      <c r="E39" s="1">
        <v>396</v>
      </c>
      <c r="F39" s="1">
        <v>414</v>
      </c>
      <c r="G39" s="7">
        <v>0.1</v>
      </c>
      <c r="H39" s="1">
        <v>731</v>
      </c>
      <c r="I39" s="1" t="s">
        <v>36</v>
      </c>
      <c r="J39" s="1"/>
      <c r="K39" s="1">
        <v>405</v>
      </c>
      <c r="L39" s="1">
        <f t="shared" si="13"/>
        <v>-9</v>
      </c>
      <c r="M39" s="1"/>
      <c r="N39" s="1"/>
      <c r="O39" s="1">
        <v>181.4421899999999</v>
      </c>
      <c r="P39" s="1">
        <v>184.73780999999991</v>
      </c>
      <c r="Q39" s="1">
        <f t="shared" si="14"/>
        <v>79.2</v>
      </c>
      <c r="R39" s="5">
        <f t="shared" si="11"/>
        <v>51.420000000000186</v>
      </c>
      <c r="S39" s="1">
        <f t="shared" si="15"/>
        <v>10.5</v>
      </c>
      <c r="T39" s="1">
        <f t="shared" si="16"/>
        <v>9.8507575757575729</v>
      </c>
      <c r="U39" s="1">
        <v>79</v>
      </c>
      <c r="V39" s="1">
        <v>73.400000000000006</v>
      </c>
      <c r="W39" s="1">
        <v>76.599999999999994</v>
      </c>
      <c r="X39" s="1">
        <v>83.2</v>
      </c>
      <c r="Y39" s="1">
        <v>87.4</v>
      </c>
      <c r="Z39" s="1">
        <v>84.4</v>
      </c>
      <c r="AA39" s="1">
        <v>92.8</v>
      </c>
      <c r="AB39" s="1">
        <v>98.6</v>
      </c>
      <c r="AC39" s="1">
        <v>79.8</v>
      </c>
      <c r="AD39" s="1">
        <v>76.2</v>
      </c>
      <c r="AE39" s="1"/>
      <c r="AF39" s="1">
        <f t="shared" si="12"/>
        <v>5.142000000000019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74</v>
      </c>
      <c r="B40" s="1" t="s">
        <v>41</v>
      </c>
      <c r="C40" s="1">
        <v>9</v>
      </c>
      <c r="D40" s="1">
        <v>615</v>
      </c>
      <c r="E40" s="1">
        <v>115</v>
      </c>
      <c r="F40" s="1">
        <v>506</v>
      </c>
      <c r="G40" s="7">
        <v>0.35</v>
      </c>
      <c r="H40" s="1">
        <v>40</v>
      </c>
      <c r="I40" s="10" t="s">
        <v>75</v>
      </c>
      <c r="J40" s="1"/>
      <c r="K40" s="1">
        <v>183</v>
      </c>
      <c r="L40" s="1">
        <f t="shared" si="13"/>
        <v>-68</v>
      </c>
      <c r="M40" s="1"/>
      <c r="N40" s="1"/>
      <c r="O40" s="1">
        <v>50</v>
      </c>
      <c r="P40" s="1"/>
      <c r="Q40" s="1">
        <f t="shared" si="14"/>
        <v>23</v>
      </c>
      <c r="R40" s="5"/>
      <c r="S40" s="1">
        <f t="shared" si="15"/>
        <v>24.173913043478262</v>
      </c>
      <c r="T40" s="1">
        <f t="shared" si="16"/>
        <v>24.173913043478262</v>
      </c>
      <c r="U40" s="1">
        <v>28.2</v>
      </c>
      <c r="V40" s="1">
        <v>59.2</v>
      </c>
      <c r="W40" s="1">
        <v>32.200000000000003</v>
      </c>
      <c r="X40" s="1">
        <v>1.2</v>
      </c>
      <c r="Y40" s="1">
        <v>-0.2</v>
      </c>
      <c r="Z40" s="1">
        <v>-0.4</v>
      </c>
      <c r="AA40" s="1">
        <v>13.8</v>
      </c>
      <c r="AB40" s="1">
        <v>24</v>
      </c>
      <c r="AC40" s="1">
        <v>8.8000000000000007</v>
      </c>
      <c r="AD40" s="1">
        <v>-1.8</v>
      </c>
      <c r="AE40" s="1" t="s">
        <v>76</v>
      </c>
      <c r="AF40" s="1">
        <f t="shared" si="12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35</v>
      </c>
      <c r="C41" s="1">
        <v>77.790000000000006</v>
      </c>
      <c r="D41" s="1">
        <v>184.66499999999999</v>
      </c>
      <c r="E41" s="1">
        <v>133.01300000000001</v>
      </c>
      <c r="F41" s="1">
        <v>133.79400000000001</v>
      </c>
      <c r="G41" s="7">
        <v>1</v>
      </c>
      <c r="H41" s="1">
        <v>40</v>
      </c>
      <c r="I41" s="1" t="s">
        <v>36</v>
      </c>
      <c r="J41" s="1"/>
      <c r="K41" s="1">
        <v>135.75</v>
      </c>
      <c r="L41" s="1">
        <f t="shared" si="13"/>
        <v>-2.7369999999999948</v>
      </c>
      <c r="M41" s="1"/>
      <c r="N41" s="1"/>
      <c r="O41" s="1">
        <v>61.008635699999978</v>
      </c>
      <c r="P41" s="1">
        <v>62.116764299999957</v>
      </c>
      <c r="Q41" s="1">
        <f t="shared" si="14"/>
        <v>26.602600000000002</v>
      </c>
      <c r="R41" s="5">
        <f t="shared" si="11"/>
        <v>22.407900000000097</v>
      </c>
      <c r="S41" s="1">
        <f t="shared" si="15"/>
        <v>10.5</v>
      </c>
      <c r="T41" s="1">
        <f t="shared" si="16"/>
        <v>9.6576800763835084</v>
      </c>
      <c r="U41" s="1">
        <v>26.461400000000001</v>
      </c>
      <c r="V41" s="1">
        <v>25.2514</v>
      </c>
      <c r="W41" s="1">
        <v>12.7476</v>
      </c>
      <c r="X41" s="1">
        <v>5.3621999999999996</v>
      </c>
      <c r="Y41" s="1">
        <v>18.358599999999999</v>
      </c>
      <c r="Z41" s="1">
        <v>30.653400000000001</v>
      </c>
      <c r="AA41" s="1">
        <v>17.975200000000001</v>
      </c>
      <c r="AB41" s="1">
        <v>13.5848</v>
      </c>
      <c r="AC41" s="1">
        <v>8.2422000000000004</v>
      </c>
      <c r="AD41" s="1">
        <v>4.5888</v>
      </c>
      <c r="AE41" s="1"/>
      <c r="AF41" s="1">
        <f t="shared" si="12"/>
        <v>22.407900000000097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78</v>
      </c>
      <c r="B42" s="1" t="s">
        <v>41</v>
      </c>
      <c r="C42" s="1">
        <v>109</v>
      </c>
      <c r="D42" s="1">
        <v>486</v>
      </c>
      <c r="E42" s="1">
        <v>149</v>
      </c>
      <c r="F42" s="1">
        <v>442</v>
      </c>
      <c r="G42" s="7">
        <v>0.4</v>
      </c>
      <c r="H42" s="1">
        <v>40</v>
      </c>
      <c r="I42" s="10" t="s">
        <v>39</v>
      </c>
      <c r="J42" s="1"/>
      <c r="K42" s="1">
        <v>297</v>
      </c>
      <c r="L42" s="1">
        <f t="shared" si="13"/>
        <v>-148</v>
      </c>
      <c r="M42" s="1"/>
      <c r="N42" s="1"/>
      <c r="O42" s="1">
        <v>145.424295</v>
      </c>
      <c r="P42" s="1">
        <v>148.06570500000001</v>
      </c>
      <c r="Q42" s="1">
        <f t="shared" si="14"/>
        <v>29.8</v>
      </c>
      <c r="R42" s="5"/>
      <c r="S42" s="1">
        <f t="shared" si="15"/>
        <v>24.680872483221478</v>
      </c>
      <c r="T42" s="1">
        <f t="shared" si="16"/>
        <v>24.680872483221478</v>
      </c>
      <c r="U42" s="1">
        <v>66.8</v>
      </c>
      <c r="V42" s="1">
        <v>81.8</v>
      </c>
      <c r="W42" s="1">
        <v>99.6</v>
      </c>
      <c r="X42" s="1">
        <v>112</v>
      </c>
      <c r="Y42" s="1">
        <v>121.8</v>
      </c>
      <c r="Z42" s="1">
        <v>74</v>
      </c>
      <c r="AA42" s="1">
        <v>58.2</v>
      </c>
      <c r="AB42" s="1">
        <v>100</v>
      </c>
      <c r="AC42" s="1">
        <v>68.400000000000006</v>
      </c>
      <c r="AD42" s="1">
        <v>43.4</v>
      </c>
      <c r="AE42" s="1"/>
      <c r="AF42" s="1">
        <f t="shared" si="12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41</v>
      </c>
      <c r="C43" s="1">
        <v>293</v>
      </c>
      <c r="D43" s="1">
        <v>202</v>
      </c>
      <c r="E43" s="1">
        <v>293</v>
      </c>
      <c r="F43" s="1">
        <v>191</v>
      </c>
      <c r="G43" s="7">
        <v>0.4</v>
      </c>
      <c r="H43" s="1">
        <v>45</v>
      </c>
      <c r="I43" s="10" t="s">
        <v>39</v>
      </c>
      <c r="J43" s="1"/>
      <c r="K43" s="1">
        <v>304</v>
      </c>
      <c r="L43" s="1">
        <f t="shared" si="13"/>
        <v>-11</v>
      </c>
      <c r="M43" s="1"/>
      <c r="N43" s="1"/>
      <c r="O43" s="1">
        <v>188.33955</v>
      </c>
      <c r="P43" s="1">
        <v>191.76044999999999</v>
      </c>
      <c r="Q43" s="1">
        <f t="shared" si="14"/>
        <v>58.6</v>
      </c>
      <c r="R43" s="5">
        <f t="shared" si="11"/>
        <v>44.200000000000074</v>
      </c>
      <c r="S43" s="1">
        <f t="shared" si="15"/>
        <v>10.500000000000002</v>
      </c>
      <c r="T43" s="1">
        <f t="shared" si="16"/>
        <v>9.7457337883959045</v>
      </c>
      <c r="U43" s="1">
        <v>60.4</v>
      </c>
      <c r="V43" s="1">
        <v>45</v>
      </c>
      <c r="W43" s="1">
        <v>33.799999999999997</v>
      </c>
      <c r="X43" s="1">
        <v>43.2</v>
      </c>
      <c r="Y43" s="1">
        <v>55.2</v>
      </c>
      <c r="Z43" s="1">
        <v>56.8</v>
      </c>
      <c r="AA43" s="1">
        <v>32.799999999999997</v>
      </c>
      <c r="AB43" s="1">
        <v>43</v>
      </c>
      <c r="AC43" s="1">
        <v>54.2</v>
      </c>
      <c r="AD43" s="1">
        <v>52</v>
      </c>
      <c r="AE43" s="1"/>
      <c r="AF43" s="1">
        <f t="shared" si="12"/>
        <v>17.680000000000032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35</v>
      </c>
      <c r="C44" s="1">
        <v>353.03699999999998</v>
      </c>
      <c r="D44" s="1">
        <v>516.34299999999996</v>
      </c>
      <c r="E44" s="1">
        <v>319.87</v>
      </c>
      <c r="F44" s="1">
        <v>552.06500000000005</v>
      </c>
      <c r="G44" s="7">
        <v>1</v>
      </c>
      <c r="H44" s="1">
        <v>40</v>
      </c>
      <c r="I44" s="10" t="s">
        <v>39</v>
      </c>
      <c r="J44" s="1"/>
      <c r="K44" s="1">
        <v>313.7</v>
      </c>
      <c r="L44" s="1">
        <f t="shared" si="13"/>
        <v>6.1700000000000159</v>
      </c>
      <c r="M44" s="1"/>
      <c r="N44" s="1"/>
      <c r="O44" s="1">
        <v>69.317920000000129</v>
      </c>
      <c r="P44" s="1"/>
      <c r="Q44" s="1">
        <f t="shared" si="14"/>
        <v>63.974000000000004</v>
      </c>
      <c r="R44" s="5">
        <f t="shared" si="11"/>
        <v>50.344079999999849</v>
      </c>
      <c r="S44" s="1">
        <f t="shared" si="15"/>
        <v>10.5</v>
      </c>
      <c r="T44" s="1">
        <f t="shared" si="16"/>
        <v>9.7130540532091185</v>
      </c>
      <c r="U44" s="1">
        <v>63.660200000000003</v>
      </c>
      <c r="V44" s="1">
        <v>81.626599999999996</v>
      </c>
      <c r="W44" s="1">
        <v>49.550800000000002</v>
      </c>
      <c r="X44" s="1">
        <v>8.9260000000000002</v>
      </c>
      <c r="Y44" s="1">
        <v>-0.46539999999999998</v>
      </c>
      <c r="Z44" s="1">
        <v>37.095999999999997</v>
      </c>
      <c r="AA44" s="1">
        <v>60.197799999999987</v>
      </c>
      <c r="AB44" s="1">
        <v>34.119799999999998</v>
      </c>
      <c r="AC44" s="1">
        <v>15.690799999999999</v>
      </c>
      <c r="AD44" s="1">
        <v>19.270199999999999</v>
      </c>
      <c r="AE44" s="1"/>
      <c r="AF44" s="1">
        <f t="shared" si="12"/>
        <v>50.344079999999849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81</v>
      </c>
      <c r="B45" s="1" t="s">
        <v>41</v>
      </c>
      <c r="C45" s="1">
        <v>-5</v>
      </c>
      <c r="D45" s="1">
        <v>1311</v>
      </c>
      <c r="E45" s="1">
        <v>572</v>
      </c>
      <c r="F45" s="1">
        <v>669</v>
      </c>
      <c r="G45" s="7">
        <v>0.35</v>
      </c>
      <c r="H45" s="1">
        <v>40</v>
      </c>
      <c r="I45" s="10" t="s">
        <v>39</v>
      </c>
      <c r="J45" s="1"/>
      <c r="K45" s="1">
        <v>700</v>
      </c>
      <c r="L45" s="1">
        <f t="shared" si="13"/>
        <v>-128</v>
      </c>
      <c r="M45" s="1"/>
      <c r="N45" s="1"/>
      <c r="O45" s="1">
        <v>0</v>
      </c>
      <c r="P45" s="1"/>
      <c r="Q45" s="1">
        <f t="shared" si="14"/>
        <v>114.4</v>
      </c>
      <c r="R45" s="5">
        <f t="shared" si="11"/>
        <v>532.20000000000005</v>
      </c>
      <c r="S45" s="1">
        <f t="shared" si="15"/>
        <v>10.5</v>
      </c>
      <c r="T45" s="1">
        <f t="shared" si="16"/>
        <v>5.8479020979020975</v>
      </c>
      <c r="U45" s="1">
        <v>137.6</v>
      </c>
      <c r="V45" s="1">
        <v>203.4</v>
      </c>
      <c r="W45" s="1">
        <v>106.6</v>
      </c>
      <c r="X45" s="1">
        <v>39.4</v>
      </c>
      <c r="Y45" s="1">
        <v>32</v>
      </c>
      <c r="Z45" s="1">
        <v>167.4</v>
      </c>
      <c r="AA45" s="1">
        <v>255.8</v>
      </c>
      <c r="AB45" s="1">
        <v>270</v>
      </c>
      <c r="AC45" s="1">
        <v>263.60000000000002</v>
      </c>
      <c r="AD45" s="1">
        <v>224.4</v>
      </c>
      <c r="AE45" s="1"/>
      <c r="AF45" s="1">
        <f t="shared" si="12"/>
        <v>186.27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82</v>
      </c>
      <c r="B46" s="1" t="s">
        <v>41</v>
      </c>
      <c r="C46" s="1">
        <v>946</v>
      </c>
      <c r="D46" s="1">
        <v>270</v>
      </c>
      <c r="E46" s="1">
        <v>675</v>
      </c>
      <c r="F46" s="1">
        <v>499</v>
      </c>
      <c r="G46" s="7">
        <v>0.4</v>
      </c>
      <c r="H46" s="1">
        <v>40</v>
      </c>
      <c r="I46" s="1" t="s">
        <v>36</v>
      </c>
      <c r="J46" s="1"/>
      <c r="K46" s="1">
        <v>720</v>
      </c>
      <c r="L46" s="1">
        <f t="shared" si="13"/>
        <v>-45</v>
      </c>
      <c r="M46" s="1"/>
      <c r="N46" s="1"/>
      <c r="O46" s="1">
        <v>342.21211999999991</v>
      </c>
      <c r="P46" s="1">
        <v>348.42787999999979</v>
      </c>
      <c r="Q46" s="1">
        <f t="shared" si="14"/>
        <v>135</v>
      </c>
      <c r="R46" s="5">
        <f t="shared" si="11"/>
        <v>227.86000000000035</v>
      </c>
      <c r="S46" s="1">
        <f t="shared" si="15"/>
        <v>10.5</v>
      </c>
      <c r="T46" s="1">
        <f t="shared" si="16"/>
        <v>8.812148148148145</v>
      </c>
      <c r="U46" s="1">
        <v>122.6</v>
      </c>
      <c r="V46" s="1">
        <v>107.2</v>
      </c>
      <c r="W46" s="1">
        <v>108</v>
      </c>
      <c r="X46" s="1">
        <v>131.80000000000001</v>
      </c>
      <c r="Y46" s="1">
        <v>146.19999999999999</v>
      </c>
      <c r="Z46" s="1">
        <v>130.19999999999999</v>
      </c>
      <c r="AA46" s="1">
        <v>140.4</v>
      </c>
      <c r="AB46" s="1">
        <v>153.6</v>
      </c>
      <c r="AC46" s="1">
        <v>183.2</v>
      </c>
      <c r="AD46" s="1">
        <v>176.6</v>
      </c>
      <c r="AE46" s="1"/>
      <c r="AF46" s="1">
        <f t="shared" si="12"/>
        <v>91.144000000000148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83</v>
      </c>
      <c r="B47" s="1" t="s">
        <v>35</v>
      </c>
      <c r="C47" s="1">
        <v>285.399</v>
      </c>
      <c r="D47" s="1">
        <v>858.49800000000005</v>
      </c>
      <c r="E47" s="1">
        <v>449.041</v>
      </c>
      <c r="F47" s="1">
        <v>684.40599999999995</v>
      </c>
      <c r="G47" s="7">
        <v>1</v>
      </c>
      <c r="H47" s="1">
        <v>50</v>
      </c>
      <c r="I47" s="1" t="s">
        <v>36</v>
      </c>
      <c r="J47" s="1"/>
      <c r="K47" s="1">
        <v>585.35</v>
      </c>
      <c r="L47" s="1">
        <f t="shared" si="13"/>
        <v>-136.30900000000003</v>
      </c>
      <c r="M47" s="1"/>
      <c r="N47" s="1"/>
      <c r="O47" s="1">
        <v>282.1773255279316</v>
      </c>
      <c r="P47" s="1">
        <v>287.30264526506852</v>
      </c>
      <c r="Q47" s="1">
        <f t="shared" si="14"/>
        <v>89.808199999999999</v>
      </c>
      <c r="R47" s="5"/>
      <c r="S47" s="1">
        <f t="shared" si="15"/>
        <v>13.96182053301369</v>
      </c>
      <c r="T47" s="1">
        <f t="shared" si="16"/>
        <v>13.96182053301369</v>
      </c>
      <c r="U47" s="1">
        <v>121.25839999999999</v>
      </c>
      <c r="V47" s="1">
        <v>100.7212</v>
      </c>
      <c r="W47" s="1">
        <v>84.682000000000002</v>
      </c>
      <c r="X47" s="1">
        <v>101.071</v>
      </c>
      <c r="Y47" s="1">
        <v>105.2124</v>
      </c>
      <c r="Z47" s="1">
        <v>95.491600000000005</v>
      </c>
      <c r="AA47" s="1">
        <v>93.509</v>
      </c>
      <c r="AB47" s="1">
        <v>94.5214</v>
      </c>
      <c r="AC47" s="1">
        <v>94.858399999999989</v>
      </c>
      <c r="AD47" s="1">
        <v>83.390799999999999</v>
      </c>
      <c r="AE47" s="1"/>
      <c r="AF47" s="1">
        <f t="shared" si="12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84</v>
      </c>
      <c r="B48" s="1" t="s">
        <v>35</v>
      </c>
      <c r="C48" s="1">
        <v>761.09500000000003</v>
      </c>
      <c r="D48" s="1">
        <v>699.279</v>
      </c>
      <c r="E48" s="1">
        <v>777.71</v>
      </c>
      <c r="F48" s="1">
        <v>670.52499999999998</v>
      </c>
      <c r="G48" s="7">
        <v>1</v>
      </c>
      <c r="H48" s="1">
        <v>50</v>
      </c>
      <c r="I48" s="1" t="s">
        <v>36</v>
      </c>
      <c r="J48" s="1"/>
      <c r="K48" s="1">
        <v>787.8</v>
      </c>
      <c r="L48" s="1">
        <f t="shared" si="13"/>
        <v>-10.089999999999918</v>
      </c>
      <c r="M48" s="1"/>
      <c r="N48" s="1"/>
      <c r="O48" s="1">
        <v>366.70943056057371</v>
      </c>
      <c r="P48" s="1">
        <v>373.37014675642661</v>
      </c>
      <c r="Q48" s="1">
        <f t="shared" si="14"/>
        <v>155.542</v>
      </c>
      <c r="R48" s="5">
        <f t="shared" si="11"/>
        <v>222.58642268299957</v>
      </c>
      <c r="S48" s="1">
        <f t="shared" si="15"/>
        <v>10.499999999999998</v>
      </c>
      <c r="T48" s="1">
        <f t="shared" si="16"/>
        <v>9.0689625780625196</v>
      </c>
      <c r="U48" s="1">
        <v>149.3494</v>
      </c>
      <c r="V48" s="1">
        <v>132.19200000000001</v>
      </c>
      <c r="W48" s="1">
        <v>116.61360000000001</v>
      </c>
      <c r="X48" s="1">
        <v>124.0046</v>
      </c>
      <c r="Y48" s="1">
        <v>146.42580000000001</v>
      </c>
      <c r="Z48" s="1">
        <v>147.56039999999999</v>
      </c>
      <c r="AA48" s="1">
        <v>129.40299999999999</v>
      </c>
      <c r="AB48" s="1">
        <v>132.53659999999999</v>
      </c>
      <c r="AC48" s="1">
        <v>146.15979999999999</v>
      </c>
      <c r="AD48" s="1">
        <v>135.85380000000001</v>
      </c>
      <c r="AE48" s="1"/>
      <c r="AF48" s="1">
        <f t="shared" si="12"/>
        <v>222.58642268299957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85</v>
      </c>
      <c r="B49" s="1" t="s">
        <v>35</v>
      </c>
      <c r="C49" s="1">
        <v>34.406999999999996</v>
      </c>
      <c r="D49" s="1"/>
      <c r="E49" s="1"/>
      <c r="F49" s="15">
        <f>34.407+F124</f>
        <v>96.49199999999999</v>
      </c>
      <c r="G49" s="7">
        <v>1</v>
      </c>
      <c r="H49" s="1">
        <v>45</v>
      </c>
      <c r="I49" s="10" t="s">
        <v>75</v>
      </c>
      <c r="J49" s="1"/>
      <c r="K49" s="1"/>
      <c r="L49" s="1">
        <f t="shared" si="13"/>
        <v>0</v>
      </c>
      <c r="M49" s="1"/>
      <c r="N49" s="1"/>
      <c r="O49" s="1">
        <v>0</v>
      </c>
      <c r="P49" s="1"/>
      <c r="Q49" s="1">
        <f t="shared" si="14"/>
        <v>0</v>
      </c>
      <c r="R49" s="5"/>
      <c r="S49" s="1" t="e">
        <f t="shared" si="15"/>
        <v>#DIV/0!</v>
      </c>
      <c r="T49" s="1" t="e">
        <f t="shared" si="16"/>
        <v>#DIV/0!</v>
      </c>
      <c r="U49" s="1">
        <v>0</v>
      </c>
      <c r="V49" s="1">
        <v>0</v>
      </c>
      <c r="W49" s="1">
        <v>0.29899999999999999</v>
      </c>
      <c r="X49" s="1">
        <v>0.29899999999999999</v>
      </c>
      <c r="Y49" s="1">
        <v>0</v>
      </c>
      <c r="Z49" s="1">
        <v>-0.30520000000000003</v>
      </c>
      <c r="AA49" s="1">
        <v>-0.30520000000000003</v>
      </c>
      <c r="AB49" s="1">
        <v>0</v>
      </c>
      <c r="AC49" s="1">
        <v>0</v>
      </c>
      <c r="AD49" s="1">
        <v>0</v>
      </c>
      <c r="AE49" s="16" t="s">
        <v>178</v>
      </c>
      <c r="AF49" s="1">
        <f t="shared" si="12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86</v>
      </c>
      <c r="B50" s="1" t="s">
        <v>41</v>
      </c>
      <c r="C50" s="1">
        <v>258</v>
      </c>
      <c r="D50" s="1">
        <v>132</v>
      </c>
      <c r="E50" s="1">
        <v>109</v>
      </c>
      <c r="F50" s="1">
        <v>276</v>
      </c>
      <c r="G50" s="7">
        <v>0.45</v>
      </c>
      <c r="H50" s="1">
        <v>50</v>
      </c>
      <c r="I50" s="1" t="s">
        <v>36</v>
      </c>
      <c r="J50" s="1"/>
      <c r="K50" s="1">
        <v>119</v>
      </c>
      <c r="L50" s="1">
        <f t="shared" si="13"/>
        <v>-10</v>
      </c>
      <c r="M50" s="1"/>
      <c r="N50" s="1"/>
      <c r="O50" s="1">
        <v>0</v>
      </c>
      <c r="P50" s="1"/>
      <c r="Q50" s="1">
        <f t="shared" si="14"/>
        <v>21.8</v>
      </c>
      <c r="R50" s="5"/>
      <c r="S50" s="1">
        <f t="shared" si="15"/>
        <v>12.660550458715596</v>
      </c>
      <c r="T50" s="1">
        <f t="shared" si="16"/>
        <v>12.660550458715596</v>
      </c>
      <c r="U50" s="1">
        <v>23</v>
      </c>
      <c r="V50" s="1">
        <v>34</v>
      </c>
      <c r="W50" s="1">
        <v>37</v>
      </c>
      <c r="X50" s="1">
        <v>29</v>
      </c>
      <c r="Y50" s="1">
        <v>39.200000000000003</v>
      </c>
      <c r="Z50" s="1">
        <v>49.8</v>
      </c>
      <c r="AA50" s="1">
        <v>39</v>
      </c>
      <c r="AB50" s="1">
        <v>34.4</v>
      </c>
      <c r="AC50" s="1">
        <v>39.4</v>
      </c>
      <c r="AD50" s="1">
        <v>44.6</v>
      </c>
      <c r="AE50" s="1"/>
      <c r="AF50" s="1">
        <f t="shared" si="12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87</v>
      </c>
      <c r="B51" s="1" t="s">
        <v>41</v>
      </c>
      <c r="C51" s="1">
        <v>616</v>
      </c>
      <c r="D51" s="1">
        <v>482</v>
      </c>
      <c r="E51" s="1">
        <v>513</v>
      </c>
      <c r="F51" s="1">
        <v>583</v>
      </c>
      <c r="G51" s="7">
        <v>0.45</v>
      </c>
      <c r="H51" s="1">
        <v>50</v>
      </c>
      <c r="I51" s="1" t="s">
        <v>36</v>
      </c>
      <c r="J51" s="1"/>
      <c r="K51" s="1">
        <v>527</v>
      </c>
      <c r="L51" s="1">
        <f t="shared" si="13"/>
        <v>-14</v>
      </c>
      <c r="M51" s="1"/>
      <c r="N51" s="1"/>
      <c r="O51" s="1">
        <v>172.96616700000001</v>
      </c>
      <c r="P51" s="1">
        <v>176.107833</v>
      </c>
      <c r="Q51" s="1">
        <f t="shared" si="14"/>
        <v>102.6</v>
      </c>
      <c r="R51" s="5">
        <f t="shared" si="11"/>
        <v>145.22599999999989</v>
      </c>
      <c r="S51" s="1">
        <f t="shared" si="15"/>
        <v>10.5</v>
      </c>
      <c r="T51" s="1">
        <f t="shared" si="16"/>
        <v>9.0845419103313851</v>
      </c>
      <c r="U51" s="1">
        <v>96</v>
      </c>
      <c r="V51" s="1">
        <v>100.6</v>
      </c>
      <c r="W51" s="1">
        <v>99.2</v>
      </c>
      <c r="X51" s="1">
        <v>100</v>
      </c>
      <c r="Y51" s="1">
        <v>113.4</v>
      </c>
      <c r="Z51" s="1">
        <v>107.6</v>
      </c>
      <c r="AA51" s="1">
        <v>84.2</v>
      </c>
      <c r="AB51" s="1">
        <v>90.2</v>
      </c>
      <c r="AC51" s="1">
        <v>119.8</v>
      </c>
      <c r="AD51" s="1">
        <v>126</v>
      </c>
      <c r="AE51" s="1"/>
      <c r="AF51" s="1">
        <f t="shared" si="12"/>
        <v>65.351699999999951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88</v>
      </c>
      <c r="B52" s="1" t="s">
        <v>41</v>
      </c>
      <c r="C52" s="1">
        <v>48</v>
      </c>
      <c r="D52" s="1">
        <v>42</v>
      </c>
      <c r="E52" s="1">
        <v>35</v>
      </c>
      <c r="F52" s="1">
        <v>52</v>
      </c>
      <c r="G52" s="7">
        <v>0.4</v>
      </c>
      <c r="H52" s="1">
        <v>40</v>
      </c>
      <c r="I52" s="1" t="s">
        <v>36</v>
      </c>
      <c r="J52" s="1"/>
      <c r="K52" s="1">
        <v>39</v>
      </c>
      <c r="L52" s="1">
        <f t="shared" si="13"/>
        <v>-4</v>
      </c>
      <c r="M52" s="1"/>
      <c r="N52" s="1"/>
      <c r="O52" s="1">
        <v>51.059999999999988</v>
      </c>
      <c r="P52" s="1"/>
      <c r="Q52" s="1">
        <f t="shared" si="14"/>
        <v>7</v>
      </c>
      <c r="R52" s="5"/>
      <c r="S52" s="1">
        <f t="shared" si="15"/>
        <v>14.722857142857141</v>
      </c>
      <c r="T52" s="1">
        <f t="shared" si="16"/>
        <v>14.722857142857141</v>
      </c>
      <c r="U52" s="1">
        <v>9.6</v>
      </c>
      <c r="V52" s="1">
        <v>7.8</v>
      </c>
      <c r="W52" s="1">
        <v>6.2</v>
      </c>
      <c r="X52" s="1">
        <v>9.1999999999999993</v>
      </c>
      <c r="Y52" s="1">
        <v>9.1999999999999993</v>
      </c>
      <c r="Z52" s="1">
        <v>9.1999999999999993</v>
      </c>
      <c r="AA52" s="1">
        <v>7.2</v>
      </c>
      <c r="AB52" s="1">
        <v>1.2</v>
      </c>
      <c r="AC52" s="1">
        <v>-0.8</v>
      </c>
      <c r="AD52" s="1">
        <v>-0.2</v>
      </c>
      <c r="AE52" s="1"/>
      <c r="AF52" s="1">
        <f t="shared" si="12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89</v>
      </c>
      <c r="B53" s="1" t="s">
        <v>41</v>
      </c>
      <c r="C53" s="1">
        <v>142</v>
      </c>
      <c r="D53" s="1">
        <v>31</v>
      </c>
      <c r="E53" s="1">
        <v>72</v>
      </c>
      <c r="F53" s="1">
        <v>99</v>
      </c>
      <c r="G53" s="7">
        <v>0.4</v>
      </c>
      <c r="H53" s="1">
        <v>40</v>
      </c>
      <c r="I53" s="1" t="s">
        <v>36</v>
      </c>
      <c r="J53" s="1"/>
      <c r="K53" s="1">
        <v>77</v>
      </c>
      <c r="L53" s="1">
        <f t="shared" si="13"/>
        <v>-5</v>
      </c>
      <c r="M53" s="1"/>
      <c r="N53" s="1"/>
      <c r="O53" s="1">
        <v>8.9199999999999875</v>
      </c>
      <c r="P53" s="1"/>
      <c r="Q53" s="1">
        <f t="shared" si="14"/>
        <v>14.4</v>
      </c>
      <c r="R53" s="5">
        <f t="shared" si="11"/>
        <v>43.28000000000003</v>
      </c>
      <c r="S53" s="1">
        <f t="shared" si="15"/>
        <v>10.500000000000002</v>
      </c>
      <c r="T53" s="1">
        <f t="shared" si="16"/>
        <v>7.4944444444444436</v>
      </c>
      <c r="U53" s="1">
        <v>11.2</v>
      </c>
      <c r="V53" s="1">
        <v>17.600000000000001</v>
      </c>
      <c r="W53" s="1">
        <v>15.8</v>
      </c>
      <c r="X53" s="1">
        <v>17.399999999999999</v>
      </c>
      <c r="Y53" s="1">
        <v>22.4</v>
      </c>
      <c r="Z53" s="1">
        <v>14.4</v>
      </c>
      <c r="AA53" s="1">
        <v>10.4</v>
      </c>
      <c r="AB53" s="1">
        <v>13</v>
      </c>
      <c r="AC53" s="1">
        <v>16.600000000000001</v>
      </c>
      <c r="AD53" s="1">
        <v>22.8</v>
      </c>
      <c r="AE53" s="1"/>
      <c r="AF53" s="1">
        <f t="shared" si="12"/>
        <v>17.312000000000012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90</v>
      </c>
      <c r="B54" s="1" t="s">
        <v>35</v>
      </c>
      <c r="C54" s="1">
        <v>753.70100000000002</v>
      </c>
      <c r="D54" s="1">
        <v>696.42100000000005</v>
      </c>
      <c r="E54" s="1">
        <v>785.94</v>
      </c>
      <c r="F54" s="1">
        <v>648.91099999999994</v>
      </c>
      <c r="G54" s="7">
        <v>1</v>
      </c>
      <c r="H54" s="1">
        <v>50</v>
      </c>
      <c r="I54" s="1" t="s">
        <v>36</v>
      </c>
      <c r="J54" s="1"/>
      <c r="K54" s="1">
        <v>775.45</v>
      </c>
      <c r="L54" s="1">
        <f t="shared" si="13"/>
        <v>10.490000000000009</v>
      </c>
      <c r="M54" s="1"/>
      <c r="N54" s="1"/>
      <c r="O54" s="1">
        <v>439.53110570100017</v>
      </c>
      <c r="P54" s="1">
        <v>447.51451629899998</v>
      </c>
      <c r="Q54" s="1">
        <f t="shared" si="14"/>
        <v>157.18800000000002</v>
      </c>
      <c r="R54" s="5">
        <f t="shared" si="11"/>
        <v>114.51737800000012</v>
      </c>
      <c r="S54" s="1">
        <f t="shared" si="15"/>
        <v>10.5</v>
      </c>
      <c r="T54" s="1">
        <f t="shared" si="16"/>
        <v>9.7714623380919665</v>
      </c>
      <c r="U54" s="1">
        <v>152.66800000000001</v>
      </c>
      <c r="V54" s="1">
        <v>130.7808</v>
      </c>
      <c r="W54" s="1">
        <v>123.7856</v>
      </c>
      <c r="X54" s="1">
        <v>130.64519999999999</v>
      </c>
      <c r="Y54" s="1">
        <v>141.1628</v>
      </c>
      <c r="Z54" s="1">
        <v>146.07660000000001</v>
      </c>
      <c r="AA54" s="1">
        <v>118.6026</v>
      </c>
      <c r="AB54" s="1">
        <v>123.30800000000001</v>
      </c>
      <c r="AC54" s="1">
        <v>169.84139999999999</v>
      </c>
      <c r="AD54" s="1">
        <v>161.1634</v>
      </c>
      <c r="AE54" s="1"/>
      <c r="AF54" s="1">
        <f t="shared" si="12"/>
        <v>114.51737800000012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91</v>
      </c>
      <c r="B55" s="1" t="s">
        <v>41</v>
      </c>
      <c r="C55" s="1">
        <v>250</v>
      </c>
      <c r="D55" s="1">
        <v>327</v>
      </c>
      <c r="E55" s="15">
        <f>251+E130</f>
        <v>374</v>
      </c>
      <c r="F55" s="15">
        <f>322+F130</f>
        <v>332</v>
      </c>
      <c r="G55" s="7">
        <v>0.1</v>
      </c>
      <c r="H55" s="1">
        <v>731</v>
      </c>
      <c r="I55" s="1" t="s">
        <v>36</v>
      </c>
      <c r="J55" s="1"/>
      <c r="K55" s="1">
        <v>255</v>
      </c>
      <c r="L55" s="1">
        <f t="shared" si="13"/>
        <v>119</v>
      </c>
      <c r="M55" s="1"/>
      <c r="N55" s="1"/>
      <c r="O55" s="1">
        <v>219.67497</v>
      </c>
      <c r="P55" s="1">
        <v>223.66502999999989</v>
      </c>
      <c r="Q55" s="1">
        <f t="shared" si="14"/>
        <v>74.8</v>
      </c>
      <c r="R55" s="5">
        <f t="shared" si="11"/>
        <v>10.060000000000059</v>
      </c>
      <c r="S55" s="1">
        <f t="shared" si="15"/>
        <v>10.5</v>
      </c>
      <c r="T55" s="1">
        <f t="shared" si="16"/>
        <v>10.365508021390374</v>
      </c>
      <c r="U55" s="1">
        <v>78</v>
      </c>
      <c r="V55" s="1">
        <v>65.2</v>
      </c>
      <c r="W55" s="1">
        <v>67.8</v>
      </c>
      <c r="X55" s="1">
        <v>70.8</v>
      </c>
      <c r="Y55" s="1">
        <v>73.599999999999994</v>
      </c>
      <c r="Z55" s="1">
        <v>77.2</v>
      </c>
      <c r="AA55" s="1">
        <v>84.4</v>
      </c>
      <c r="AB55" s="1">
        <v>84.4</v>
      </c>
      <c r="AC55" s="1">
        <v>66.400000000000006</v>
      </c>
      <c r="AD55" s="1">
        <v>53.4</v>
      </c>
      <c r="AE55" s="1"/>
      <c r="AF55" s="1">
        <f t="shared" si="12"/>
        <v>1.006000000000006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92</v>
      </c>
      <c r="B56" s="1" t="s">
        <v>35</v>
      </c>
      <c r="C56" s="1">
        <v>723.83399999999995</v>
      </c>
      <c r="D56" s="1">
        <v>1468.181</v>
      </c>
      <c r="E56" s="1">
        <v>1045.8979999999999</v>
      </c>
      <c r="F56" s="1">
        <v>1138.46</v>
      </c>
      <c r="G56" s="7">
        <v>1</v>
      </c>
      <c r="H56" s="1">
        <v>50</v>
      </c>
      <c r="I56" s="1" t="s">
        <v>36</v>
      </c>
      <c r="J56" s="1"/>
      <c r="K56" s="1">
        <v>1036.45</v>
      </c>
      <c r="L56" s="1">
        <f t="shared" si="13"/>
        <v>9.4479999999998654</v>
      </c>
      <c r="M56" s="1"/>
      <c r="N56" s="1"/>
      <c r="O56" s="1">
        <v>445.95</v>
      </c>
      <c r="P56" s="1">
        <v>454.05</v>
      </c>
      <c r="Q56" s="1">
        <f t="shared" si="14"/>
        <v>209.17959999999999</v>
      </c>
      <c r="R56" s="5">
        <f t="shared" si="11"/>
        <v>157.92579999999998</v>
      </c>
      <c r="S56" s="1">
        <f t="shared" si="15"/>
        <v>10.5</v>
      </c>
      <c r="T56" s="1">
        <f t="shared" si="16"/>
        <v>9.745022937227148</v>
      </c>
      <c r="U56" s="1">
        <v>204.97620000000001</v>
      </c>
      <c r="V56" s="1">
        <v>199.73179999999999</v>
      </c>
      <c r="W56" s="1">
        <v>182.82060000000001</v>
      </c>
      <c r="X56" s="1">
        <v>186.57300000000001</v>
      </c>
      <c r="Y56" s="1">
        <v>194.43940000000001</v>
      </c>
      <c r="Z56" s="1">
        <v>195.25960000000001</v>
      </c>
      <c r="AA56" s="1">
        <v>175.315</v>
      </c>
      <c r="AB56" s="1">
        <v>180.76220000000001</v>
      </c>
      <c r="AC56" s="1">
        <v>194.12440000000001</v>
      </c>
      <c r="AD56" s="1">
        <v>183.68260000000001</v>
      </c>
      <c r="AE56" s="1"/>
      <c r="AF56" s="1">
        <f t="shared" si="12"/>
        <v>157.92579999999998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35</v>
      </c>
      <c r="C57" s="1">
        <v>98.07</v>
      </c>
      <c r="D57" s="1">
        <v>113.608</v>
      </c>
      <c r="E57" s="1">
        <v>87.945999999999998</v>
      </c>
      <c r="F57" s="1">
        <v>121.236</v>
      </c>
      <c r="G57" s="7">
        <v>1</v>
      </c>
      <c r="H57" s="1">
        <v>55</v>
      </c>
      <c r="I57" s="1" t="s">
        <v>36</v>
      </c>
      <c r="J57" s="1"/>
      <c r="K57" s="1">
        <v>89.3</v>
      </c>
      <c r="L57" s="1">
        <f t="shared" si="13"/>
        <v>-1.3539999999999992</v>
      </c>
      <c r="M57" s="1"/>
      <c r="N57" s="1"/>
      <c r="O57" s="1">
        <v>76.960439999999977</v>
      </c>
      <c r="P57" s="1"/>
      <c r="Q57" s="1">
        <f t="shared" si="14"/>
        <v>17.589199999999998</v>
      </c>
      <c r="R57" s="5"/>
      <c r="S57" s="1">
        <f t="shared" si="15"/>
        <v>11.268075864735179</v>
      </c>
      <c r="T57" s="1">
        <f t="shared" si="16"/>
        <v>11.268075864735179</v>
      </c>
      <c r="U57" s="1">
        <v>20.5428</v>
      </c>
      <c r="V57" s="1">
        <v>19.153199999999998</v>
      </c>
      <c r="W57" s="1">
        <v>13.6248</v>
      </c>
      <c r="X57" s="1">
        <v>14.4322</v>
      </c>
      <c r="Y57" s="1">
        <v>14.9146</v>
      </c>
      <c r="Z57" s="1">
        <v>20.043399999999998</v>
      </c>
      <c r="AA57" s="1">
        <v>21.0244</v>
      </c>
      <c r="AB57" s="1">
        <v>18.474</v>
      </c>
      <c r="AC57" s="1">
        <v>16.654399999999999</v>
      </c>
      <c r="AD57" s="1">
        <v>12.705399999999999</v>
      </c>
      <c r="AE57" s="1"/>
      <c r="AF57" s="1">
        <f t="shared" si="12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94</v>
      </c>
      <c r="B58" s="1" t="s">
        <v>41</v>
      </c>
      <c r="C58" s="1">
        <v>132</v>
      </c>
      <c r="D58" s="1">
        <v>427</v>
      </c>
      <c r="E58" s="1">
        <v>186</v>
      </c>
      <c r="F58" s="1">
        <v>368</v>
      </c>
      <c r="G58" s="7">
        <v>0.1</v>
      </c>
      <c r="H58" s="1">
        <v>731</v>
      </c>
      <c r="I58" s="1" t="s">
        <v>36</v>
      </c>
      <c r="J58" s="1"/>
      <c r="K58" s="1">
        <v>191</v>
      </c>
      <c r="L58" s="1">
        <f t="shared" si="13"/>
        <v>-5</v>
      </c>
      <c r="M58" s="1"/>
      <c r="N58" s="1"/>
      <c r="O58" s="1">
        <v>74.265540000000001</v>
      </c>
      <c r="P58" s="1">
        <v>75.614459999999994</v>
      </c>
      <c r="Q58" s="1">
        <f t="shared" si="14"/>
        <v>37.200000000000003</v>
      </c>
      <c r="R58" s="5"/>
      <c r="S58" s="1">
        <f t="shared" si="15"/>
        <v>13.921505376344085</v>
      </c>
      <c r="T58" s="1">
        <f t="shared" si="16"/>
        <v>13.921505376344085</v>
      </c>
      <c r="U58" s="1">
        <v>48</v>
      </c>
      <c r="V58" s="1">
        <v>49.4</v>
      </c>
      <c r="W58" s="1">
        <v>40.200000000000003</v>
      </c>
      <c r="X58" s="1">
        <v>36.6</v>
      </c>
      <c r="Y58" s="1">
        <v>38</v>
      </c>
      <c r="Z58" s="1">
        <v>36.6</v>
      </c>
      <c r="AA58" s="1">
        <v>45.8</v>
      </c>
      <c r="AB58" s="1">
        <v>49.2</v>
      </c>
      <c r="AC58" s="1">
        <v>39.4</v>
      </c>
      <c r="AD58" s="1">
        <v>37.4</v>
      </c>
      <c r="AE58" s="1"/>
      <c r="AF58" s="1">
        <f t="shared" si="12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95</v>
      </c>
      <c r="B59" s="1" t="s">
        <v>41</v>
      </c>
      <c r="C59" s="1">
        <v>131</v>
      </c>
      <c r="D59" s="1">
        <v>576</v>
      </c>
      <c r="E59" s="1">
        <v>160</v>
      </c>
      <c r="F59" s="1">
        <v>541</v>
      </c>
      <c r="G59" s="7">
        <v>0.4</v>
      </c>
      <c r="H59" s="1">
        <v>50</v>
      </c>
      <c r="I59" s="9" t="s">
        <v>96</v>
      </c>
      <c r="J59" s="1"/>
      <c r="K59" s="1">
        <v>181</v>
      </c>
      <c r="L59" s="1">
        <f t="shared" si="13"/>
        <v>-21</v>
      </c>
      <c r="M59" s="1"/>
      <c r="N59" s="1"/>
      <c r="O59" s="1">
        <v>0</v>
      </c>
      <c r="P59" s="1"/>
      <c r="Q59" s="1">
        <f t="shared" si="14"/>
        <v>32</v>
      </c>
      <c r="R59" s="5"/>
      <c r="S59" s="1">
        <f t="shared" si="15"/>
        <v>16.90625</v>
      </c>
      <c r="T59" s="1">
        <f t="shared" si="16"/>
        <v>16.90625</v>
      </c>
      <c r="U59" s="1">
        <v>18.2</v>
      </c>
      <c r="V59" s="1">
        <v>25.8</v>
      </c>
      <c r="W59" s="1">
        <v>47</v>
      </c>
      <c r="X59" s="1">
        <v>52.6</v>
      </c>
      <c r="Y59" s="1">
        <v>40</v>
      </c>
      <c r="Z59" s="1">
        <v>40.6</v>
      </c>
      <c r="AA59" s="1">
        <v>41.6</v>
      </c>
      <c r="AB59" s="1">
        <v>40.799999999999997</v>
      </c>
      <c r="AC59" s="1">
        <v>54.8</v>
      </c>
      <c r="AD59" s="1">
        <v>47.4</v>
      </c>
      <c r="AE59" s="1" t="s">
        <v>97</v>
      </c>
      <c r="AF59" s="1">
        <f t="shared" si="12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35</v>
      </c>
      <c r="C60" s="1">
        <v>558.93799999999999</v>
      </c>
      <c r="D60" s="1">
        <v>371.98</v>
      </c>
      <c r="E60" s="1">
        <v>395.77300000000002</v>
      </c>
      <c r="F60" s="1">
        <v>516.98099999999999</v>
      </c>
      <c r="G60" s="7">
        <v>1</v>
      </c>
      <c r="H60" s="1">
        <v>40</v>
      </c>
      <c r="I60" s="10" t="s">
        <v>39</v>
      </c>
      <c r="J60" s="1"/>
      <c r="K60" s="1">
        <v>415.55</v>
      </c>
      <c r="L60" s="1">
        <f t="shared" si="13"/>
        <v>-19.776999999999987</v>
      </c>
      <c r="M60" s="1"/>
      <c r="N60" s="1"/>
      <c r="O60" s="1">
        <v>171.30573659000001</v>
      </c>
      <c r="P60" s="1">
        <v>174.41724341</v>
      </c>
      <c r="Q60" s="1">
        <f t="shared" si="14"/>
        <v>79.154600000000002</v>
      </c>
      <c r="R60" s="5"/>
      <c r="S60" s="1">
        <f t="shared" si="15"/>
        <v>10.898974664769955</v>
      </c>
      <c r="T60" s="1">
        <f t="shared" si="16"/>
        <v>10.898974664769955</v>
      </c>
      <c r="U60" s="1">
        <v>84.038600000000002</v>
      </c>
      <c r="V60" s="1">
        <v>84.491</v>
      </c>
      <c r="W60" s="1">
        <v>92.173400000000001</v>
      </c>
      <c r="X60" s="1">
        <v>104.8788</v>
      </c>
      <c r="Y60" s="1">
        <v>105.1588</v>
      </c>
      <c r="Z60" s="1">
        <v>95.004600000000011</v>
      </c>
      <c r="AA60" s="1">
        <v>56.900799999999997</v>
      </c>
      <c r="AB60" s="1">
        <v>72.902999999999992</v>
      </c>
      <c r="AC60" s="1">
        <v>117.24079999999999</v>
      </c>
      <c r="AD60" s="1">
        <v>108.114</v>
      </c>
      <c r="AE60" s="1"/>
      <c r="AF60" s="1">
        <f t="shared" si="12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35</v>
      </c>
      <c r="C61" s="1">
        <v>249.26900000000001</v>
      </c>
      <c r="D61" s="1">
        <v>676.79300000000001</v>
      </c>
      <c r="E61" s="1">
        <v>332.89</v>
      </c>
      <c r="F61" s="1">
        <v>594.52</v>
      </c>
      <c r="G61" s="7">
        <v>1</v>
      </c>
      <c r="H61" s="1">
        <v>40</v>
      </c>
      <c r="I61" s="1" t="s">
        <v>36</v>
      </c>
      <c r="J61" s="1"/>
      <c r="K61" s="1">
        <v>326.7</v>
      </c>
      <c r="L61" s="1">
        <f t="shared" si="13"/>
        <v>6.1899999999999977</v>
      </c>
      <c r="M61" s="1"/>
      <c r="N61" s="1"/>
      <c r="O61" s="1">
        <v>0</v>
      </c>
      <c r="P61" s="1"/>
      <c r="Q61" s="1">
        <f t="shared" si="14"/>
        <v>66.578000000000003</v>
      </c>
      <c r="R61" s="5">
        <f t="shared" si="11"/>
        <v>104.54900000000009</v>
      </c>
      <c r="S61" s="1">
        <f t="shared" si="15"/>
        <v>10.5</v>
      </c>
      <c r="T61" s="1">
        <f t="shared" si="16"/>
        <v>8.929676469704706</v>
      </c>
      <c r="U61" s="1">
        <v>61.303600000000003</v>
      </c>
      <c r="V61" s="1">
        <v>86.032200000000003</v>
      </c>
      <c r="W61" s="1">
        <v>60.540200000000013</v>
      </c>
      <c r="X61" s="1">
        <v>16.110199999999999</v>
      </c>
      <c r="Y61" s="1">
        <v>63.010399999999997</v>
      </c>
      <c r="Z61" s="1">
        <v>100.036</v>
      </c>
      <c r="AA61" s="1">
        <v>103.18680000000001</v>
      </c>
      <c r="AB61" s="1">
        <v>88.636200000000002</v>
      </c>
      <c r="AC61" s="1">
        <v>68.945799999999991</v>
      </c>
      <c r="AD61" s="1">
        <v>82.884799999999998</v>
      </c>
      <c r="AE61" s="1" t="s">
        <v>56</v>
      </c>
      <c r="AF61" s="1">
        <f t="shared" si="12"/>
        <v>104.54900000000009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100</v>
      </c>
      <c r="B62" s="1" t="s">
        <v>41</v>
      </c>
      <c r="C62" s="1">
        <v>903</v>
      </c>
      <c r="D62" s="1">
        <v>1024</v>
      </c>
      <c r="E62" s="1">
        <v>867</v>
      </c>
      <c r="F62" s="1">
        <v>1031</v>
      </c>
      <c r="G62" s="7">
        <v>0.4</v>
      </c>
      <c r="H62" s="1">
        <v>40</v>
      </c>
      <c r="I62" s="1" t="s">
        <v>36</v>
      </c>
      <c r="J62" s="1"/>
      <c r="K62" s="1">
        <v>900</v>
      </c>
      <c r="L62" s="1">
        <f t="shared" si="13"/>
        <v>-33</v>
      </c>
      <c r="M62" s="1"/>
      <c r="N62" s="1"/>
      <c r="O62" s="1">
        <v>325.10250500000012</v>
      </c>
      <c r="P62" s="1">
        <v>331.00749500000001</v>
      </c>
      <c r="Q62" s="1">
        <f t="shared" si="14"/>
        <v>173.4</v>
      </c>
      <c r="R62" s="5">
        <f t="shared" si="11"/>
        <v>133.58999999999992</v>
      </c>
      <c r="S62" s="1">
        <f t="shared" si="15"/>
        <v>10.5</v>
      </c>
      <c r="T62" s="1">
        <f t="shared" si="16"/>
        <v>9.7295847750865061</v>
      </c>
      <c r="U62" s="1">
        <v>175.2</v>
      </c>
      <c r="V62" s="1">
        <v>177.8</v>
      </c>
      <c r="W62" s="1">
        <v>184.4</v>
      </c>
      <c r="X62" s="1">
        <v>182.6</v>
      </c>
      <c r="Y62" s="1">
        <v>193.4</v>
      </c>
      <c r="Z62" s="1">
        <v>188.4</v>
      </c>
      <c r="AA62" s="1">
        <v>196.8</v>
      </c>
      <c r="AB62" s="1">
        <v>233</v>
      </c>
      <c r="AC62" s="1">
        <v>274.2</v>
      </c>
      <c r="AD62" s="1">
        <v>247.6</v>
      </c>
      <c r="AE62" s="1"/>
      <c r="AF62" s="1">
        <f t="shared" si="12"/>
        <v>53.435999999999972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101</v>
      </c>
      <c r="B63" s="1" t="s">
        <v>41</v>
      </c>
      <c r="C63" s="1">
        <v>368</v>
      </c>
      <c r="D63" s="1">
        <v>881</v>
      </c>
      <c r="E63" s="1">
        <v>522</v>
      </c>
      <c r="F63" s="1">
        <v>714</v>
      </c>
      <c r="G63" s="7">
        <v>0.4</v>
      </c>
      <c r="H63" s="1">
        <v>40</v>
      </c>
      <c r="I63" s="10" t="s">
        <v>39</v>
      </c>
      <c r="J63" s="1"/>
      <c r="K63" s="1">
        <v>583</v>
      </c>
      <c r="L63" s="1">
        <f t="shared" si="13"/>
        <v>-61</v>
      </c>
      <c r="M63" s="1"/>
      <c r="N63" s="1"/>
      <c r="O63" s="1">
        <v>203.77437500000019</v>
      </c>
      <c r="P63" s="1">
        <v>207.47562500000021</v>
      </c>
      <c r="Q63" s="1">
        <f t="shared" si="14"/>
        <v>104.4</v>
      </c>
      <c r="R63" s="5"/>
      <c r="S63" s="1">
        <f t="shared" si="15"/>
        <v>10.778256704980846</v>
      </c>
      <c r="T63" s="1">
        <f t="shared" si="16"/>
        <v>10.778256704980846</v>
      </c>
      <c r="U63" s="1">
        <v>114.8</v>
      </c>
      <c r="V63" s="1">
        <v>116.8</v>
      </c>
      <c r="W63" s="1">
        <v>127.4</v>
      </c>
      <c r="X63" s="1">
        <v>128.6</v>
      </c>
      <c r="Y63" s="1">
        <v>101.8</v>
      </c>
      <c r="Z63" s="1">
        <v>61.8</v>
      </c>
      <c r="AA63" s="1">
        <v>99.6</v>
      </c>
      <c r="AB63" s="1">
        <v>148.4</v>
      </c>
      <c r="AC63" s="1">
        <v>73.599999999999994</v>
      </c>
      <c r="AD63" s="1">
        <v>47.8</v>
      </c>
      <c r="AE63" s="1"/>
      <c r="AF63" s="1">
        <f t="shared" si="12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102</v>
      </c>
      <c r="B64" s="1" t="s">
        <v>35</v>
      </c>
      <c r="C64" s="1">
        <v>7.0369999999999999</v>
      </c>
      <c r="D64" s="1">
        <v>904.80100000000004</v>
      </c>
      <c r="E64" s="1">
        <v>244.53700000000001</v>
      </c>
      <c r="F64" s="1">
        <v>663.87699999999995</v>
      </c>
      <c r="G64" s="7">
        <v>1</v>
      </c>
      <c r="H64" s="1">
        <v>40</v>
      </c>
      <c r="I64" s="10" t="s">
        <v>39</v>
      </c>
      <c r="J64" s="1"/>
      <c r="K64" s="1">
        <v>275.42</v>
      </c>
      <c r="L64" s="1">
        <f t="shared" si="13"/>
        <v>-30.88300000000001</v>
      </c>
      <c r="M64" s="1"/>
      <c r="N64" s="1"/>
      <c r="O64" s="1">
        <v>0</v>
      </c>
      <c r="P64" s="1"/>
      <c r="Q64" s="1">
        <f t="shared" si="14"/>
        <v>48.907400000000003</v>
      </c>
      <c r="R64" s="5">
        <v>50</v>
      </c>
      <c r="S64" s="1">
        <f t="shared" si="15"/>
        <v>14.5965027787206</v>
      </c>
      <c r="T64" s="1">
        <f t="shared" si="16"/>
        <v>13.574162601160559</v>
      </c>
      <c r="U64" s="1">
        <v>15.131</v>
      </c>
      <c r="V64" s="1">
        <v>61.583000000000013</v>
      </c>
      <c r="W64" s="1">
        <v>96.852400000000003</v>
      </c>
      <c r="X64" s="1">
        <v>77.294000000000011</v>
      </c>
      <c r="Y64" s="1">
        <v>25.259599999999999</v>
      </c>
      <c r="Z64" s="1">
        <v>18.2072</v>
      </c>
      <c r="AA64" s="1">
        <v>61.124800000000008</v>
      </c>
      <c r="AB64" s="1">
        <v>70.778999999999996</v>
      </c>
      <c r="AC64" s="1">
        <v>27.305800000000001</v>
      </c>
      <c r="AD64" s="1">
        <v>-1.0952</v>
      </c>
      <c r="AE64" s="1"/>
      <c r="AF64" s="1">
        <f t="shared" si="12"/>
        <v>50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103</v>
      </c>
      <c r="B65" s="1" t="s">
        <v>35</v>
      </c>
      <c r="C65" s="1">
        <v>205.87299999999999</v>
      </c>
      <c r="D65" s="1">
        <v>29.725999999999999</v>
      </c>
      <c r="E65" s="1">
        <v>213.14</v>
      </c>
      <c r="F65" s="1">
        <v>19.731999999999999</v>
      </c>
      <c r="G65" s="7">
        <v>1</v>
      </c>
      <c r="H65" s="1">
        <v>40</v>
      </c>
      <c r="I65" s="10" t="s">
        <v>39</v>
      </c>
      <c r="J65" s="1"/>
      <c r="K65" s="1">
        <v>234.35</v>
      </c>
      <c r="L65" s="1">
        <f t="shared" si="13"/>
        <v>-21.210000000000008</v>
      </c>
      <c r="M65" s="1"/>
      <c r="N65" s="1"/>
      <c r="O65" s="1">
        <v>107.4934727</v>
      </c>
      <c r="P65" s="1">
        <v>109.44592729999999</v>
      </c>
      <c r="Q65" s="1">
        <f t="shared" si="14"/>
        <v>42.628</v>
      </c>
      <c r="R65" s="5">
        <f t="shared" si="11"/>
        <v>210.92260000000002</v>
      </c>
      <c r="S65" s="1">
        <f t="shared" si="15"/>
        <v>10.500000000000002</v>
      </c>
      <c r="T65" s="1">
        <f t="shared" si="16"/>
        <v>5.5520174533170685</v>
      </c>
      <c r="U65" s="1">
        <v>29.645199999999999</v>
      </c>
      <c r="V65" s="1">
        <v>0</v>
      </c>
      <c r="W65" s="1">
        <v>2.3567999999999998</v>
      </c>
      <c r="X65" s="1">
        <v>20.276199999999999</v>
      </c>
      <c r="Y65" s="1">
        <v>17.383400000000002</v>
      </c>
      <c r="Z65" s="1">
        <v>-0.53600000000000003</v>
      </c>
      <c r="AA65" s="1">
        <v>1.5669999999999999</v>
      </c>
      <c r="AB65" s="1">
        <v>1.5669999999999999</v>
      </c>
      <c r="AC65" s="1">
        <v>-0.7268</v>
      </c>
      <c r="AD65" s="1">
        <v>-0.90999999999999992</v>
      </c>
      <c r="AE65" s="1"/>
      <c r="AF65" s="1">
        <f t="shared" si="12"/>
        <v>210.92260000000002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104</v>
      </c>
      <c r="B66" s="1" t="s">
        <v>35</v>
      </c>
      <c r="C66" s="1"/>
      <c r="D66" s="1">
        <v>258.35000000000002</v>
      </c>
      <c r="E66" s="1">
        <v>219.404</v>
      </c>
      <c r="F66" s="1">
        <v>36.369</v>
      </c>
      <c r="G66" s="7">
        <v>1</v>
      </c>
      <c r="H66" s="1">
        <v>40</v>
      </c>
      <c r="I66" s="10" t="s">
        <v>39</v>
      </c>
      <c r="J66" s="1"/>
      <c r="K66" s="1">
        <v>323.125</v>
      </c>
      <c r="L66" s="1">
        <f t="shared" si="13"/>
        <v>-103.721</v>
      </c>
      <c r="M66" s="1"/>
      <c r="N66" s="1"/>
      <c r="O66" s="1">
        <v>0</v>
      </c>
      <c r="P66" s="1"/>
      <c r="Q66" s="1">
        <f t="shared" si="14"/>
        <v>43.880800000000001</v>
      </c>
      <c r="R66" s="5">
        <v>300</v>
      </c>
      <c r="S66" s="1">
        <f t="shared" si="15"/>
        <v>7.6655165812838426</v>
      </c>
      <c r="T66" s="1">
        <f t="shared" si="16"/>
        <v>0.82881351297150463</v>
      </c>
      <c r="U66" s="1">
        <v>-0.09</v>
      </c>
      <c r="V66" s="1">
        <v>-0.09</v>
      </c>
      <c r="W66" s="1">
        <v>-0.1812</v>
      </c>
      <c r="X66" s="1">
        <v>-0.36499999999999999</v>
      </c>
      <c r="Y66" s="1">
        <v>59.523000000000003</v>
      </c>
      <c r="Z66" s="1">
        <v>61.708000000000013</v>
      </c>
      <c r="AA66" s="1">
        <v>37.239999999999988</v>
      </c>
      <c r="AB66" s="1">
        <v>34.334000000000003</v>
      </c>
      <c r="AC66" s="1">
        <v>-2.6212</v>
      </c>
      <c r="AD66" s="1">
        <v>-3.4367999999999999</v>
      </c>
      <c r="AE66" s="1"/>
      <c r="AF66" s="1">
        <f t="shared" ref="AF66:AF84" si="17">G66*R66</f>
        <v>300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105</v>
      </c>
      <c r="B67" s="1" t="s">
        <v>35</v>
      </c>
      <c r="C67" s="1">
        <v>1.0999999999999999E-2</v>
      </c>
      <c r="D67" s="1">
        <v>113.79</v>
      </c>
      <c r="E67" s="1">
        <v>42.433999999999997</v>
      </c>
      <c r="F67" s="1">
        <v>71.356999999999999</v>
      </c>
      <c r="G67" s="7">
        <v>1</v>
      </c>
      <c r="H67" s="1">
        <v>40</v>
      </c>
      <c r="I67" s="10" t="s">
        <v>39</v>
      </c>
      <c r="J67" s="1"/>
      <c r="K67" s="1">
        <v>64.150000000000006</v>
      </c>
      <c r="L67" s="1">
        <f t="shared" si="13"/>
        <v>-21.716000000000008</v>
      </c>
      <c r="M67" s="1"/>
      <c r="N67" s="1"/>
      <c r="O67" s="1">
        <v>11.991960000000001</v>
      </c>
      <c r="P67" s="1"/>
      <c r="Q67" s="1">
        <f t="shared" si="14"/>
        <v>8.4867999999999988</v>
      </c>
      <c r="R67" s="5">
        <f t="shared" si="11"/>
        <v>5.7624399999999838</v>
      </c>
      <c r="S67" s="1">
        <f t="shared" si="15"/>
        <v>10.5</v>
      </c>
      <c r="T67" s="1">
        <f t="shared" si="16"/>
        <v>9.8210114530800787</v>
      </c>
      <c r="U67" s="1">
        <v>10.5602</v>
      </c>
      <c r="V67" s="1">
        <v>10.377800000000001</v>
      </c>
      <c r="W67" s="1">
        <v>-0.18240000000000001</v>
      </c>
      <c r="X67" s="1">
        <v>-0.54620000000000002</v>
      </c>
      <c r="Y67" s="1">
        <v>-0.90079999999999993</v>
      </c>
      <c r="Z67" s="1">
        <v>-0.53520000000000001</v>
      </c>
      <c r="AA67" s="1">
        <v>16.866399999999999</v>
      </c>
      <c r="AB67" s="1">
        <v>33.512999999999998</v>
      </c>
      <c r="AC67" s="1">
        <v>40.464799999999997</v>
      </c>
      <c r="AD67" s="1">
        <v>40.846600000000002</v>
      </c>
      <c r="AE67" s="1"/>
      <c r="AF67" s="1">
        <f t="shared" si="17"/>
        <v>5.7624399999999838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106</v>
      </c>
      <c r="B68" s="1" t="s">
        <v>41</v>
      </c>
      <c r="C68" s="1">
        <v>20</v>
      </c>
      <c r="D68" s="1"/>
      <c r="E68" s="1">
        <v>8</v>
      </c>
      <c r="F68" s="1">
        <v>12</v>
      </c>
      <c r="G68" s="7">
        <v>0.6</v>
      </c>
      <c r="H68" s="1">
        <v>70</v>
      </c>
      <c r="I68" s="1" t="s">
        <v>36</v>
      </c>
      <c r="J68" s="1"/>
      <c r="K68" s="1">
        <v>11</v>
      </c>
      <c r="L68" s="1">
        <f t="shared" si="13"/>
        <v>-3</v>
      </c>
      <c r="M68" s="1"/>
      <c r="N68" s="1"/>
      <c r="O68" s="1">
        <v>5</v>
      </c>
      <c r="P68" s="1"/>
      <c r="Q68" s="1">
        <f t="shared" si="14"/>
        <v>1.6</v>
      </c>
      <c r="R68" s="5"/>
      <c r="S68" s="1">
        <f t="shared" si="15"/>
        <v>10.625</v>
      </c>
      <c r="T68" s="1">
        <f t="shared" si="16"/>
        <v>10.625</v>
      </c>
      <c r="U68" s="1">
        <v>1.4</v>
      </c>
      <c r="V68" s="1">
        <v>1.8</v>
      </c>
      <c r="W68" s="1">
        <v>1.4</v>
      </c>
      <c r="X68" s="1">
        <v>1.2</v>
      </c>
      <c r="Y68" s="1">
        <v>1.6</v>
      </c>
      <c r="Z68" s="1">
        <v>0.6</v>
      </c>
      <c r="AA68" s="1">
        <v>1.2</v>
      </c>
      <c r="AB68" s="1">
        <v>1.2</v>
      </c>
      <c r="AC68" s="1">
        <v>0</v>
      </c>
      <c r="AD68" s="1">
        <v>1.2</v>
      </c>
      <c r="AE68" s="1"/>
      <c r="AF68" s="1">
        <f t="shared" si="1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107</v>
      </c>
      <c r="B69" s="1" t="s">
        <v>35</v>
      </c>
      <c r="C69" s="1">
        <v>202.04599999999999</v>
      </c>
      <c r="D69" s="1">
        <v>169.78800000000001</v>
      </c>
      <c r="E69" s="1">
        <v>126.27</v>
      </c>
      <c r="F69" s="1">
        <v>215.88200000000001</v>
      </c>
      <c r="G69" s="7">
        <v>1</v>
      </c>
      <c r="H69" s="1">
        <v>30</v>
      </c>
      <c r="I69" s="1" t="s">
        <v>36</v>
      </c>
      <c r="J69" s="1"/>
      <c r="K69" s="1">
        <v>157.6</v>
      </c>
      <c r="L69" s="1">
        <f t="shared" si="13"/>
        <v>-31.33</v>
      </c>
      <c r="M69" s="1"/>
      <c r="N69" s="1"/>
      <c r="O69" s="1">
        <v>35.464699999999972</v>
      </c>
      <c r="P69" s="1"/>
      <c r="Q69" s="1">
        <f t="shared" si="14"/>
        <v>25.253999999999998</v>
      </c>
      <c r="R69" s="5">
        <f t="shared" si="11"/>
        <v>13.820300000000003</v>
      </c>
      <c r="S69" s="1">
        <f t="shared" si="15"/>
        <v>10.5</v>
      </c>
      <c r="T69" s="1">
        <f t="shared" si="16"/>
        <v>9.9527480795121566</v>
      </c>
      <c r="U69" s="1">
        <v>27.837800000000001</v>
      </c>
      <c r="V69" s="1">
        <v>28.1508</v>
      </c>
      <c r="W69" s="1">
        <v>34.746000000000002</v>
      </c>
      <c r="X69" s="1">
        <v>35.825400000000002</v>
      </c>
      <c r="Y69" s="1">
        <v>37.188800000000001</v>
      </c>
      <c r="Z69" s="1">
        <v>38.170999999999999</v>
      </c>
      <c r="AA69" s="1">
        <v>39.023200000000003</v>
      </c>
      <c r="AB69" s="1">
        <v>41.531599999999997</v>
      </c>
      <c r="AC69" s="1">
        <v>38.9026</v>
      </c>
      <c r="AD69" s="1">
        <v>42.365200000000002</v>
      </c>
      <c r="AE69" s="1"/>
      <c r="AF69" s="1">
        <f t="shared" si="17"/>
        <v>13.820300000000003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108</v>
      </c>
      <c r="B70" s="1" t="s">
        <v>41</v>
      </c>
      <c r="C70" s="1">
        <v>146</v>
      </c>
      <c r="D70" s="1">
        <v>120</v>
      </c>
      <c r="E70" s="1">
        <v>150</v>
      </c>
      <c r="F70" s="1">
        <v>116</v>
      </c>
      <c r="G70" s="7">
        <v>0.6</v>
      </c>
      <c r="H70" s="1">
        <v>60</v>
      </c>
      <c r="I70" s="1" t="s">
        <v>36</v>
      </c>
      <c r="J70" s="1"/>
      <c r="K70" s="1">
        <v>150</v>
      </c>
      <c r="L70" s="1">
        <f t="shared" ref="L70:L101" si="18">E70-K70</f>
        <v>0</v>
      </c>
      <c r="M70" s="1"/>
      <c r="N70" s="1"/>
      <c r="O70" s="1">
        <v>91.942000000000007</v>
      </c>
      <c r="P70" s="1"/>
      <c r="Q70" s="1">
        <f t="shared" ref="Q70:Q101" si="19">E70/5</f>
        <v>30</v>
      </c>
      <c r="R70" s="5">
        <f t="shared" si="11"/>
        <v>107.05799999999999</v>
      </c>
      <c r="S70" s="1">
        <f t="shared" ref="S70:S101" si="20">(F70+O70+P70+R70)/Q70</f>
        <v>10.5</v>
      </c>
      <c r="T70" s="1">
        <f t="shared" ref="T70:T101" si="21">(F70+O70+P70)/Q70</f>
        <v>6.9314</v>
      </c>
      <c r="U70" s="1">
        <v>24</v>
      </c>
      <c r="V70" s="1">
        <v>20.399999999999999</v>
      </c>
      <c r="W70" s="1">
        <v>26.2</v>
      </c>
      <c r="X70" s="1">
        <v>30.2</v>
      </c>
      <c r="Y70" s="1">
        <v>26</v>
      </c>
      <c r="Z70" s="1">
        <v>31.2</v>
      </c>
      <c r="AA70" s="1">
        <v>26.6</v>
      </c>
      <c r="AB70" s="1">
        <v>23.6</v>
      </c>
      <c r="AC70" s="1">
        <v>26.2</v>
      </c>
      <c r="AD70" s="1">
        <v>25.8</v>
      </c>
      <c r="AE70" s="1"/>
      <c r="AF70" s="1">
        <f t="shared" si="17"/>
        <v>64.234799999999993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109</v>
      </c>
      <c r="B71" s="1" t="s">
        <v>41</v>
      </c>
      <c r="C71" s="1">
        <v>111</v>
      </c>
      <c r="D71" s="1"/>
      <c r="E71" s="1">
        <v>62</v>
      </c>
      <c r="F71" s="1">
        <v>49</v>
      </c>
      <c r="G71" s="7">
        <v>0.6</v>
      </c>
      <c r="H71" s="1">
        <v>60</v>
      </c>
      <c r="I71" s="1" t="s">
        <v>36</v>
      </c>
      <c r="J71" s="1"/>
      <c r="K71" s="1">
        <v>67</v>
      </c>
      <c r="L71" s="1">
        <f t="shared" si="18"/>
        <v>-5</v>
      </c>
      <c r="M71" s="1"/>
      <c r="N71" s="1"/>
      <c r="O71" s="1">
        <v>24.600000000000009</v>
      </c>
      <c r="P71" s="1"/>
      <c r="Q71" s="1">
        <f t="shared" si="19"/>
        <v>12.4</v>
      </c>
      <c r="R71" s="5">
        <f t="shared" si="11"/>
        <v>56.600000000000009</v>
      </c>
      <c r="S71" s="1">
        <f t="shared" si="20"/>
        <v>10.500000000000002</v>
      </c>
      <c r="T71" s="1">
        <f t="shared" si="21"/>
        <v>5.9354838709677429</v>
      </c>
      <c r="U71" s="1">
        <v>8.4</v>
      </c>
      <c r="V71" s="1">
        <v>8</v>
      </c>
      <c r="W71" s="1">
        <v>7</v>
      </c>
      <c r="X71" s="1">
        <v>8.1999999999999993</v>
      </c>
      <c r="Y71" s="1">
        <v>12.6</v>
      </c>
      <c r="Z71" s="1">
        <v>13.2</v>
      </c>
      <c r="AA71" s="1">
        <v>11</v>
      </c>
      <c r="AB71" s="1">
        <v>8.8000000000000007</v>
      </c>
      <c r="AC71" s="1">
        <v>6.4</v>
      </c>
      <c r="AD71" s="1">
        <v>9.6</v>
      </c>
      <c r="AE71" s="1"/>
      <c r="AF71" s="1">
        <f t="shared" si="17"/>
        <v>33.96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110</v>
      </c>
      <c r="B72" s="1" t="s">
        <v>41</v>
      </c>
      <c r="C72" s="1">
        <v>208</v>
      </c>
      <c r="D72" s="1">
        <v>16</v>
      </c>
      <c r="E72" s="1">
        <v>123</v>
      </c>
      <c r="F72" s="1">
        <v>84</v>
      </c>
      <c r="G72" s="7">
        <v>0.4</v>
      </c>
      <c r="H72" s="1">
        <v>90</v>
      </c>
      <c r="I72" s="1" t="s">
        <v>36</v>
      </c>
      <c r="J72" s="1"/>
      <c r="K72" s="1">
        <v>140</v>
      </c>
      <c r="L72" s="1">
        <f t="shared" si="18"/>
        <v>-17</v>
      </c>
      <c r="M72" s="1"/>
      <c r="N72" s="1"/>
      <c r="O72" s="1">
        <v>50.025680000000008</v>
      </c>
      <c r="P72" s="1">
        <v>50.93432</v>
      </c>
      <c r="Q72" s="1">
        <f t="shared" si="19"/>
        <v>24.6</v>
      </c>
      <c r="R72" s="5">
        <f t="shared" si="11"/>
        <v>73.339999999999975</v>
      </c>
      <c r="S72" s="1">
        <f t="shared" si="20"/>
        <v>10.5</v>
      </c>
      <c r="T72" s="1">
        <f t="shared" si="21"/>
        <v>7.5186991869918707</v>
      </c>
      <c r="U72" s="1">
        <v>25.2</v>
      </c>
      <c r="V72" s="1">
        <v>22.8</v>
      </c>
      <c r="W72" s="1">
        <v>19.399999999999999</v>
      </c>
      <c r="X72" s="1">
        <v>28.2</v>
      </c>
      <c r="Y72" s="1">
        <v>31</v>
      </c>
      <c r="Z72" s="1">
        <v>25.8</v>
      </c>
      <c r="AA72" s="1">
        <v>28</v>
      </c>
      <c r="AB72" s="1">
        <v>30</v>
      </c>
      <c r="AC72" s="1">
        <v>36.799999999999997</v>
      </c>
      <c r="AD72" s="1">
        <v>39.6</v>
      </c>
      <c r="AE72" s="1"/>
      <c r="AF72" s="1">
        <f t="shared" si="17"/>
        <v>29.335999999999991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111</v>
      </c>
      <c r="B73" s="1" t="s">
        <v>41</v>
      </c>
      <c r="C73" s="1">
        <v>267</v>
      </c>
      <c r="D73" s="1">
        <v>126</v>
      </c>
      <c r="E73" s="1">
        <v>136</v>
      </c>
      <c r="F73" s="1">
        <v>249</v>
      </c>
      <c r="G73" s="7">
        <v>0.33</v>
      </c>
      <c r="H73" s="1">
        <v>60</v>
      </c>
      <c r="I73" s="10" t="s">
        <v>39</v>
      </c>
      <c r="J73" s="1"/>
      <c r="K73" s="1">
        <v>144</v>
      </c>
      <c r="L73" s="1">
        <f t="shared" si="18"/>
        <v>-8</v>
      </c>
      <c r="M73" s="1"/>
      <c r="N73" s="1"/>
      <c r="O73" s="1">
        <v>93.020000000000039</v>
      </c>
      <c r="P73" s="1"/>
      <c r="Q73" s="1">
        <f t="shared" si="19"/>
        <v>27.2</v>
      </c>
      <c r="R73" s="5"/>
      <c r="S73" s="1">
        <f t="shared" si="20"/>
        <v>12.574264705882355</v>
      </c>
      <c r="T73" s="1">
        <f t="shared" si="21"/>
        <v>12.574264705882355</v>
      </c>
      <c r="U73" s="1">
        <v>33</v>
      </c>
      <c r="V73" s="1">
        <v>35.6</v>
      </c>
      <c r="W73" s="1">
        <v>30.6</v>
      </c>
      <c r="X73" s="1">
        <v>23.6</v>
      </c>
      <c r="Y73" s="1">
        <v>33.6</v>
      </c>
      <c r="Z73" s="1">
        <v>41.4</v>
      </c>
      <c r="AA73" s="1">
        <v>40.799999999999997</v>
      </c>
      <c r="AB73" s="1">
        <v>37.6</v>
      </c>
      <c r="AC73" s="1">
        <v>24</v>
      </c>
      <c r="AD73" s="1">
        <v>30</v>
      </c>
      <c r="AE73" s="1"/>
      <c r="AF73" s="1">
        <f t="shared" si="17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112</v>
      </c>
      <c r="B74" s="1" t="s">
        <v>41</v>
      </c>
      <c r="C74" s="1">
        <v>142</v>
      </c>
      <c r="D74" s="1">
        <v>90</v>
      </c>
      <c r="E74" s="1">
        <v>102</v>
      </c>
      <c r="F74" s="1">
        <v>120</v>
      </c>
      <c r="G74" s="7">
        <v>0.35</v>
      </c>
      <c r="H74" s="1">
        <v>90</v>
      </c>
      <c r="I74" s="1" t="s">
        <v>36</v>
      </c>
      <c r="J74" s="1"/>
      <c r="K74" s="1">
        <v>112</v>
      </c>
      <c r="L74" s="1">
        <f t="shared" si="18"/>
        <v>-10</v>
      </c>
      <c r="M74" s="1"/>
      <c r="N74" s="1"/>
      <c r="O74" s="1">
        <v>62.839309999999998</v>
      </c>
      <c r="P74" s="1">
        <v>63.980689999999989</v>
      </c>
      <c r="Q74" s="1">
        <f t="shared" si="19"/>
        <v>20.399999999999999</v>
      </c>
      <c r="R74" s="5"/>
      <c r="S74" s="1">
        <f t="shared" si="20"/>
        <v>12.099019607843138</v>
      </c>
      <c r="T74" s="1">
        <f t="shared" si="21"/>
        <v>12.099019607843138</v>
      </c>
      <c r="U74" s="1">
        <v>23.6</v>
      </c>
      <c r="V74" s="1">
        <v>18.600000000000001</v>
      </c>
      <c r="W74" s="1">
        <v>17</v>
      </c>
      <c r="X74" s="1">
        <v>14.8</v>
      </c>
      <c r="Y74" s="1">
        <v>5.4</v>
      </c>
      <c r="Z74" s="1">
        <v>9</v>
      </c>
      <c r="AA74" s="1">
        <v>27.8</v>
      </c>
      <c r="AB74" s="1">
        <v>31</v>
      </c>
      <c r="AC74" s="1">
        <v>23.2</v>
      </c>
      <c r="AD74" s="1">
        <v>17</v>
      </c>
      <c r="AE74" s="1"/>
      <c r="AF74" s="1">
        <f t="shared" si="17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113</v>
      </c>
      <c r="B75" s="1" t="s">
        <v>41</v>
      </c>
      <c r="C75" s="1">
        <v>648</v>
      </c>
      <c r="D75" s="1">
        <v>252</v>
      </c>
      <c r="E75" s="1">
        <v>415</v>
      </c>
      <c r="F75" s="1">
        <v>483</v>
      </c>
      <c r="G75" s="7">
        <v>0.37</v>
      </c>
      <c r="H75" s="1">
        <v>50</v>
      </c>
      <c r="I75" s="1" t="s">
        <v>36</v>
      </c>
      <c r="J75" s="1"/>
      <c r="K75" s="1">
        <v>431</v>
      </c>
      <c r="L75" s="1">
        <f t="shared" si="18"/>
        <v>-16</v>
      </c>
      <c r="M75" s="1"/>
      <c r="N75" s="1"/>
      <c r="O75" s="1">
        <v>133.30932000000021</v>
      </c>
      <c r="P75" s="1">
        <v>135.73068000000009</v>
      </c>
      <c r="Q75" s="1">
        <f t="shared" si="19"/>
        <v>83</v>
      </c>
      <c r="R75" s="5">
        <f t="shared" si="11"/>
        <v>119.4599999999997</v>
      </c>
      <c r="S75" s="1">
        <f t="shared" si="20"/>
        <v>10.5</v>
      </c>
      <c r="T75" s="1">
        <f t="shared" si="21"/>
        <v>9.0607228915662681</v>
      </c>
      <c r="U75" s="1">
        <v>77.2</v>
      </c>
      <c r="V75" s="1">
        <v>80.2</v>
      </c>
      <c r="W75" s="1">
        <v>85.6</v>
      </c>
      <c r="X75" s="1">
        <v>87.8</v>
      </c>
      <c r="Y75" s="1">
        <v>104.4</v>
      </c>
      <c r="Z75" s="1">
        <v>100.2</v>
      </c>
      <c r="AA75" s="1">
        <v>113.2</v>
      </c>
      <c r="AB75" s="1">
        <v>114.4</v>
      </c>
      <c r="AC75" s="1">
        <v>101.2</v>
      </c>
      <c r="AD75" s="1">
        <v>91.8</v>
      </c>
      <c r="AE75" s="1"/>
      <c r="AF75" s="1">
        <f t="shared" si="17"/>
        <v>44.200199999999889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114</v>
      </c>
      <c r="B76" s="1" t="s">
        <v>41</v>
      </c>
      <c r="C76" s="1">
        <v>186</v>
      </c>
      <c r="D76" s="1">
        <v>192</v>
      </c>
      <c r="E76" s="1">
        <v>142</v>
      </c>
      <c r="F76" s="1">
        <v>236</v>
      </c>
      <c r="G76" s="7">
        <v>0.6</v>
      </c>
      <c r="H76" s="1">
        <v>70</v>
      </c>
      <c r="I76" s="1" t="s">
        <v>36</v>
      </c>
      <c r="J76" s="1"/>
      <c r="K76" s="1">
        <v>142</v>
      </c>
      <c r="L76" s="1">
        <f t="shared" si="18"/>
        <v>0</v>
      </c>
      <c r="M76" s="1"/>
      <c r="N76" s="1"/>
      <c r="O76" s="1">
        <v>11.25000000000003</v>
      </c>
      <c r="P76" s="1"/>
      <c r="Q76" s="1">
        <f t="shared" si="19"/>
        <v>28.4</v>
      </c>
      <c r="R76" s="5">
        <f t="shared" si="11"/>
        <v>50.949999999999932</v>
      </c>
      <c r="S76" s="1">
        <f t="shared" si="20"/>
        <v>10.499999999999998</v>
      </c>
      <c r="T76" s="1">
        <f t="shared" si="21"/>
        <v>8.7059859154929597</v>
      </c>
      <c r="U76" s="1">
        <v>25.6</v>
      </c>
      <c r="V76" s="1">
        <v>30.6</v>
      </c>
      <c r="W76" s="1">
        <v>36.200000000000003</v>
      </c>
      <c r="X76" s="1">
        <v>37.6</v>
      </c>
      <c r="Y76" s="1">
        <v>36.200000000000003</v>
      </c>
      <c r="Z76" s="1">
        <v>30.2</v>
      </c>
      <c r="AA76" s="1">
        <v>45</v>
      </c>
      <c r="AB76" s="1">
        <v>48.6</v>
      </c>
      <c r="AC76" s="1">
        <v>30.2</v>
      </c>
      <c r="AD76" s="1">
        <v>27.8</v>
      </c>
      <c r="AE76" s="1"/>
      <c r="AF76" s="1">
        <f t="shared" si="17"/>
        <v>30.569999999999958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115</v>
      </c>
      <c r="B77" s="1" t="s">
        <v>41</v>
      </c>
      <c r="C77" s="1">
        <v>75</v>
      </c>
      <c r="D77" s="1">
        <v>30</v>
      </c>
      <c r="E77" s="1">
        <v>38</v>
      </c>
      <c r="F77" s="1">
        <v>65</v>
      </c>
      <c r="G77" s="7">
        <v>0.33</v>
      </c>
      <c r="H77" s="1">
        <v>40</v>
      </c>
      <c r="I77" s="1" t="s">
        <v>36</v>
      </c>
      <c r="J77" s="1"/>
      <c r="K77" s="1">
        <v>40</v>
      </c>
      <c r="L77" s="1">
        <f t="shared" si="18"/>
        <v>-2</v>
      </c>
      <c r="M77" s="1"/>
      <c r="N77" s="1"/>
      <c r="O77" s="1">
        <v>41.78</v>
      </c>
      <c r="P77" s="1"/>
      <c r="Q77" s="1">
        <f t="shared" si="19"/>
        <v>7.6</v>
      </c>
      <c r="R77" s="5"/>
      <c r="S77" s="1">
        <f t="shared" si="20"/>
        <v>14.05</v>
      </c>
      <c r="T77" s="1">
        <f t="shared" si="21"/>
        <v>14.05</v>
      </c>
      <c r="U77" s="1">
        <v>10.4</v>
      </c>
      <c r="V77" s="1">
        <v>9.4</v>
      </c>
      <c r="W77" s="1">
        <v>4.4000000000000004</v>
      </c>
      <c r="X77" s="1">
        <v>8.1999999999999993</v>
      </c>
      <c r="Y77" s="1">
        <v>12.2</v>
      </c>
      <c r="Z77" s="1">
        <v>12.2</v>
      </c>
      <c r="AA77" s="1">
        <v>12.8</v>
      </c>
      <c r="AB77" s="1">
        <v>9</v>
      </c>
      <c r="AC77" s="1">
        <v>8.1999999999999993</v>
      </c>
      <c r="AD77" s="1">
        <v>11.4</v>
      </c>
      <c r="AE77" s="1"/>
      <c r="AF77" s="1">
        <f t="shared" si="17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116</v>
      </c>
      <c r="B78" s="1" t="s">
        <v>41</v>
      </c>
      <c r="C78" s="1">
        <v>315</v>
      </c>
      <c r="D78" s="1">
        <v>248</v>
      </c>
      <c r="E78" s="1">
        <v>306</v>
      </c>
      <c r="F78" s="1">
        <v>256</v>
      </c>
      <c r="G78" s="7">
        <v>0.4</v>
      </c>
      <c r="H78" s="1">
        <v>55</v>
      </c>
      <c r="I78" s="10" t="s">
        <v>39</v>
      </c>
      <c r="J78" s="1"/>
      <c r="K78" s="1">
        <v>307</v>
      </c>
      <c r="L78" s="1">
        <f t="shared" si="18"/>
        <v>-1</v>
      </c>
      <c r="M78" s="1"/>
      <c r="N78" s="1"/>
      <c r="O78" s="1">
        <v>74.325000000000003</v>
      </c>
      <c r="P78" s="1">
        <v>75.674999999999997</v>
      </c>
      <c r="Q78" s="1">
        <f t="shared" si="19"/>
        <v>61.2</v>
      </c>
      <c r="R78" s="5">
        <f t="shared" si="11"/>
        <v>236.60000000000008</v>
      </c>
      <c r="S78" s="1">
        <f t="shared" si="20"/>
        <v>10.500000000000002</v>
      </c>
      <c r="T78" s="1">
        <f t="shared" si="21"/>
        <v>6.6339869281045747</v>
      </c>
      <c r="U78" s="1">
        <v>41.4</v>
      </c>
      <c r="V78" s="1">
        <v>36</v>
      </c>
      <c r="W78" s="1">
        <v>44.4</v>
      </c>
      <c r="X78" s="1">
        <v>49.4</v>
      </c>
      <c r="Y78" s="1">
        <v>54.2</v>
      </c>
      <c r="Z78" s="1">
        <v>46</v>
      </c>
      <c r="AA78" s="1">
        <v>49.8</v>
      </c>
      <c r="AB78" s="1">
        <v>56.4</v>
      </c>
      <c r="AC78" s="1">
        <v>55.6</v>
      </c>
      <c r="AD78" s="1">
        <v>60.4</v>
      </c>
      <c r="AE78" s="1" t="s">
        <v>117</v>
      </c>
      <c r="AF78" s="1">
        <f t="shared" si="17"/>
        <v>94.640000000000043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118</v>
      </c>
      <c r="B79" s="1" t="s">
        <v>41</v>
      </c>
      <c r="C79" s="1"/>
      <c r="D79" s="1">
        <v>12</v>
      </c>
      <c r="E79" s="1">
        <v>12</v>
      </c>
      <c r="F79" s="1"/>
      <c r="G79" s="7">
        <v>0.35</v>
      </c>
      <c r="H79" s="1">
        <v>40</v>
      </c>
      <c r="I79" s="10" t="s">
        <v>39</v>
      </c>
      <c r="J79" s="1"/>
      <c r="K79" s="1">
        <v>24</v>
      </c>
      <c r="L79" s="1">
        <f t="shared" si="18"/>
        <v>-12</v>
      </c>
      <c r="M79" s="1"/>
      <c r="N79" s="1"/>
      <c r="O79" s="1">
        <v>10</v>
      </c>
      <c r="P79" s="1"/>
      <c r="Q79" s="1">
        <f t="shared" si="19"/>
        <v>2.4</v>
      </c>
      <c r="R79" s="5">
        <f t="shared" si="11"/>
        <v>15.2</v>
      </c>
      <c r="S79" s="1">
        <f t="shared" si="20"/>
        <v>10.5</v>
      </c>
      <c r="T79" s="1">
        <f t="shared" si="21"/>
        <v>4.166666666666667</v>
      </c>
      <c r="U79" s="1">
        <v>0</v>
      </c>
      <c r="V79" s="1">
        <v>0</v>
      </c>
      <c r="W79" s="1">
        <v>-0.2</v>
      </c>
      <c r="X79" s="1">
        <v>-0.2</v>
      </c>
      <c r="Y79" s="1">
        <v>0</v>
      </c>
      <c r="Z79" s="1">
        <v>0.4</v>
      </c>
      <c r="AA79" s="1">
        <v>10.8</v>
      </c>
      <c r="AB79" s="1">
        <v>10.199999999999999</v>
      </c>
      <c r="AC79" s="1">
        <v>-0.4</v>
      </c>
      <c r="AD79" s="1">
        <v>-0.4</v>
      </c>
      <c r="AE79" s="1"/>
      <c r="AF79" s="1">
        <f t="shared" si="17"/>
        <v>5.3199999999999994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119</v>
      </c>
      <c r="B80" s="1" t="s">
        <v>41</v>
      </c>
      <c r="C80" s="1"/>
      <c r="D80" s="1">
        <v>48</v>
      </c>
      <c r="E80" s="1">
        <v>36</v>
      </c>
      <c r="F80" s="1">
        <v>12</v>
      </c>
      <c r="G80" s="7">
        <v>0.35</v>
      </c>
      <c r="H80" s="1">
        <v>45</v>
      </c>
      <c r="I80" s="10" t="s">
        <v>39</v>
      </c>
      <c r="J80" s="1"/>
      <c r="K80" s="1">
        <v>51</v>
      </c>
      <c r="L80" s="1">
        <f t="shared" si="18"/>
        <v>-15</v>
      </c>
      <c r="M80" s="1"/>
      <c r="N80" s="1"/>
      <c r="O80" s="1">
        <v>0</v>
      </c>
      <c r="P80" s="1"/>
      <c r="Q80" s="1">
        <f t="shared" si="19"/>
        <v>7.2</v>
      </c>
      <c r="R80" s="5">
        <f>8*Q80-P80-O80-F80</f>
        <v>45.6</v>
      </c>
      <c r="S80" s="1">
        <f t="shared" si="20"/>
        <v>8</v>
      </c>
      <c r="T80" s="1">
        <f t="shared" si="21"/>
        <v>1.6666666666666665</v>
      </c>
      <c r="U80" s="1">
        <v>0</v>
      </c>
      <c r="V80" s="1">
        <v>-1.2</v>
      </c>
      <c r="W80" s="1">
        <v>24.6</v>
      </c>
      <c r="X80" s="1">
        <v>39.4</v>
      </c>
      <c r="Y80" s="1">
        <v>36</v>
      </c>
      <c r="Z80" s="1">
        <v>24.4</v>
      </c>
      <c r="AA80" s="1">
        <v>1.8</v>
      </c>
      <c r="AB80" s="1">
        <v>0</v>
      </c>
      <c r="AC80" s="1">
        <v>26.4</v>
      </c>
      <c r="AD80" s="1">
        <v>35.6</v>
      </c>
      <c r="AE80" s="1"/>
      <c r="AF80" s="1">
        <f t="shared" si="17"/>
        <v>15.959999999999999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120</v>
      </c>
      <c r="B81" s="1" t="s">
        <v>41</v>
      </c>
      <c r="C81" s="1">
        <v>40</v>
      </c>
      <c r="D81" s="1">
        <v>270</v>
      </c>
      <c r="E81" s="1">
        <v>90</v>
      </c>
      <c r="F81" s="1">
        <v>220</v>
      </c>
      <c r="G81" s="7">
        <v>0.4</v>
      </c>
      <c r="H81" s="1">
        <v>55</v>
      </c>
      <c r="I81" s="1" t="s">
        <v>36</v>
      </c>
      <c r="J81" s="1"/>
      <c r="K81" s="1">
        <v>166</v>
      </c>
      <c r="L81" s="1">
        <f t="shared" si="18"/>
        <v>-76</v>
      </c>
      <c r="M81" s="1"/>
      <c r="N81" s="1"/>
      <c r="O81" s="1">
        <v>87.539999999999964</v>
      </c>
      <c r="P81" s="1"/>
      <c r="Q81" s="1">
        <f t="shared" si="19"/>
        <v>18</v>
      </c>
      <c r="R81" s="5"/>
      <c r="S81" s="1">
        <f t="shared" si="20"/>
        <v>17.085555555555555</v>
      </c>
      <c r="T81" s="1">
        <f t="shared" si="21"/>
        <v>17.085555555555555</v>
      </c>
      <c r="U81" s="1">
        <v>31.8</v>
      </c>
      <c r="V81" s="1">
        <v>27.2</v>
      </c>
      <c r="W81" s="1">
        <v>35.799999999999997</v>
      </c>
      <c r="X81" s="1">
        <v>35.6</v>
      </c>
      <c r="Y81" s="1">
        <v>29.6</v>
      </c>
      <c r="Z81" s="1">
        <v>29.8</v>
      </c>
      <c r="AA81" s="1">
        <v>18.600000000000001</v>
      </c>
      <c r="AB81" s="1">
        <v>19.2</v>
      </c>
      <c r="AC81" s="1">
        <v>36</v>
      </c>
      <c r="AD81" s="1">
        <v>36.200000000000003</v>
      </c>
      <c r="AE81" s="1"/>
      <c r="AF81" s="1">
        <f t="shared" si="17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121</v>
      </c>
      <c r="B82" s="1" t="s">
        <v>35</v>
      </c>
      <c r="C82" s="1">
        <v>68.361000000000004</v>
      </c>
      <c r="D82" s="1"/>
      <c r="E82" s="1">
        <v>4.3310000000000004</v>
      </c>
      <c r="F82" s="1">
        <v>64.03</v>
      </c>
      <c r="G82" s="7">
        <v>1</v>
      </c>
      <c r="H82" s="1">
        <v>55</v>
      </c>
      <c r="I82" s="1" t="s">
        <v>36</v>
      </c>
      <c r="J82" s="1"/>
      <c r="K82" s="1">
        <v>4</v>
      </c>
      <c r="L82" s="1">
        <f t="shared" si="18"/>
        <v>0.33100000000000041</v>
      </c>
      <c r="M82" s="1"/>
      <c r="N82" s="1"/>
      <c r="O82" s="1">
        <v>0</v>
      </c>
      <c r="P82" s="1"/>
      <c r="Q82" s="1">
        <f t="shared" si="19"/>
        <v>0.86620000000000008</v>
      </c>
      <c r="R82" s="5"/>
      <c r="S82" s="1">
        <f t="shared" si="20"/>
        <v>73.920572616024003</v>
      </c>
      <c r="T82" s="1">
        <f t="shared" si="21"/>
        <v>73.920572616024003</v>
      </c>
      <c r="U82" s="1">
        <v>0.56840000000000002</v>
      </c>
      <c r="V82" s="1">
        <v>0.56840000000000002</v>
      </c>
      <c r="W82" s="1">
        <v>1.1446000000000001</v>
      </c>
      <c r="X82" s="1">
        <v>1.4156</v>
      </c>
      <c r="Y82" s="1">
        <v>1.1512</v>
      </c>
      <c r="Z82" s="1">
        <v>3.4895999999999998</v>
      </c>
      <c r="AA82" s="1">
        <v>3.4748000000000001</v>
      </c>
      <c r="AB82" s="1">
        <v>3.3445999999999998</v>
      </c>
      <c r="AC82" s="1">
        <v>3.0251999999999999</v>
      </c>
      <c r="AD82" s="1">
        <v>1.9418</v>
      </c>
      <c r="AE82" s="14" t="s">
        <v>122</v>
      </c>
      <c r="AF82" s="1">
        <f t="shared" si="17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123</v>
      </c>
      <c r="B83" s="1" t="s">
        <v>35</v>
      </c>
      <c r="C83" s="1">
        <v>99.287999999999997</v>
      </c>
      <c r="D83" s="1">
        <v>264.65699999999998</v>
      </c>
      <c r="E83" s="1">
        <v>90.656999999999996</v>
      </c>
      <c r="F83" s="1">
        <v>195.74600000000001</v>
      </c>
      <c r="G83" s="7">
        <v>1</v>
      </c>
      <c r="H83" s="1">
        <v>55</v>
      </c>
      <c r="I83" s="1" t="s">
        <v>36</v>
      </c>
      <c r="J83" s="1"/>
      <c r="K83" s="1">
        <v>117.5</v>
      </c>
      <c r="L83" s="1">
        <f t="shared" si="18"/>
        <v>-26.843000000000004</v>
      </c>
      <c r="M83" s="1"/>
      <c r="N83" s="1"/>
      <c r="O83" s="1">
        <v>0</v>
      </c>
      <c r="P83" s="1"/>
      <c r="Q83" s="1">
        <f t="shared" si="19"/>
        <v>18.131399999999999</v>
      </c>
      <c r="R83" s="5">
        <v>50</v>
      </c>
      <c r="S83" s="1">
        <f t="shared" si="20"/>
        <v>13.553614172099232</v>
      </c>
      <c r="T83" s="1">
        <f t="shared" si="21"/>
        <v>10.795967217093001</v>
      </c>
      <c r="U83" s="1">
        <v>21.6068</v>
      </c>
      <c r="V83" s="1">
        <v>28.839600000000001</v>
      </c>
      <c r="W83" s="1">
        <v>25.4146</v>
      </c>
      <c r="X83" s="1">
        <v>20.510200000000001</v>
      </c>
      <c r="Y83" s="1">
        <v>20.4178</v>
      </c>
      <c r="Z83" s="1">
        <v>26.796399999999998</v>
      </c>
      <c r="AA83" s="1">
        <v>27.92</v>
      </c>
      <c r="AB83" s="1">
        <v>28.6614</v>
      </c>
      <c r="AC83" s="1">
        <v>27.568000000000001</v>
      </c>
      <c r="AD83" s="1">
        <v>29.284600000000001</v>
      </c>
      <c r="AE83" s="1" t="s">
        <v>117</v>
      </c>
      <c r="AF83" s="1">
        <f t="shared" si="17"/>
        <v>50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124</v>
      </c>
      <c r="B84" s="1" t="s">
        <v>35</v>
      </c>
      <c r="C84" s="1">
        <v>897.33299999999997</v>
      </c>
      <c r="D84" s="1">
        <v>552.95899999999995</v>
      </c>
      <c r="E84" s="1">
        <v>728.74099999999999</v>
      </c>
      <c r="F84" s="1">
        <v>719.84400000000005</v>
      </c>
      <c r="G84" s="7">
        <v>1</v>
      </c>
      <c r="H84" s="1">
        <v>60</v>
      </c>
      <c r="I84" s="1" t="s">
        <v>36</v>
      </c>
      <c r="J84" s="1"/>
      <c r="K84" s="1">
        <v>723.505</v>
      </c>
      <c r="L84" s="1">
        <f t="shared" si="18"/>
        <v>5.23599999999999</v>
      </c>
      <c r="M84" s="1"/>
      <c r="N84" s="1"/>
      <c r="O84" s="1">
        <v>444.8430721529374</v>
      </c>
      <c r="P84" s="1">
        <v>452.92296650082108</v>
      </c>
      <c r="Q84" s="1">
        <f t="shared" si="19"/>
        <v>145.7482</v>
      </c>
      <c r="R84" s="5"/>
      <c r="S84" s="1">
        <f t="shared" si="20"/>
        <v>11.098662204087313</v>
      </c>
      <c r="T84" s="1">
        <f t="shared" si="21"/>
        <v>11.098662204087313</v>
      </c>
      <c r="U84" s="1">
        <v>161.48840000000001</v>
      </c>
      <c r="V84" s="1">
        <v>133.17140000000001</v>
      </c>
      <c r="W84" s="1">
        <v>128.61879999999999</v>
      </c>
      <c r="X84" s="1">
        <v>152.0676</v>
      </c>
      <c r="Y84" s="1">
        <v>157.40639999999999</v>
      </c>
      <c r="Z84" s="1">
        <v>149.3056</v>
      </c>
      <c r="AA84" s="1">
        <v>150.80600000000001</v>
      </c>
      <c r="AB84" s="1">
        <v>161.60239999999999</v>
      </c>
      <c r="AC84" s="1">
        <v>168.8852</v>
      </c>
      <c r="AD84" s="1">
        <v>173.46860000000001</v>
      </c>
      <c r="AE84" s="1"/>
      <c r="AF84" s="1">
        <f t="shared" si="17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1" t="s">
        <v>125</v>
      </c>
      <c r="B85" s="11" t="s">
        <v>41</v>
      </c>
      <c r="C85" s="11"/>
      <c r="D85" s="11"/>
      <c r="E85" s="11"/>
      <c r="F85" s="11"/>
      <c r="G85" s="12">
        <v>0</v>
      </c>
      <c r="H85" s="11"/>
      <c r="I85" s="11" t="s">
        <v>36</v>
      </c>
      <c r="J85" s="11"/>
      <c r="K85" s="11"/>
      <c r="L85" s="11">
        <f t="shared" si="18"/>
        <v>0</v>
      </c>
      <c r="M85" s="11"/>
      <c r="N85" s="11"/>
      <c r="O85" s="11">
        <v>0</v>
      </c>
      <c r="P85" s="11"/>
      <c r="Q85" s="11">
        <f t="shared" si="19"/>
        <v>0</v>
      </c>
      <c r="R85" s="13"/>
      <c r="S85" s="11" t="e">
        <f t="shared" si="20"/>
        <v>#DIV/0!</v>
      </c>
      <c r="T85" s="11" t="e">
        <f t="shared" si="21"/>
        <v>#DIV/0!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 t="s">
        <v>42</v>
      </c>
      <c r="AF85" s="1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126</v>
      </c>
      <c r="B86" s="1" t="s">
        <v>35</v>
      </c>
      <c r="C86" s="1">
        <v>3401.4960000000001</v>
      </c>
      <c r="D86" s="1">
        <v>853.83</v>
      </c>
      <c r="E86" s="1">
        <v>2563.8110000000001</v>
      </c>
      <c r="F86" s="1">
        <v>1665.3630000000001</v>
      </c>
      <c r="G86" s="7">
        <v>1</v>
      </c>
      <c r="H86" s="1">
        <v>60</v>
      </c>
      <c r="I86" s="1" t="s">
        <v>36</v>
      </c>
      <c r="J86" s="1"/>
      <c r="K86" s="1">
        <v>2612</v>
      </c>
      <c r="L86" s="1">
        <f t="shared" si="18"/>
        <v>-48.188999999999851</v>
      </c>
      <c r="M86" s="1"/>
      <c r="N86" s="1"/>
      <c r="O86" s="1">
        <v>1295.82658554</v>
      </c>
      <c r="P86" s="1">
        <v>1319.3632944599999</v>
      </c>
      <c r="Q86" s="1">
        <f t="shared" si="19"/>
        <v>512.76220000000001</v>
      </c>
      <c r="R86" s="5">
        <f t="shared" ref="R86:R91" si="22">10.5*Q86-P86-O86-F86</f>
        <v>1103.4502199999999</v>
      </c>
      <c r="S86" s="1">
        <f t="shared" si="20"/>
        <v>10.499999999999998</v>
      </c>
      <c r="T86" s="1">
        <f t="shared" si="21"/>
        <v>8.3480273701922627</v>
      </c>
      <c r="U86" s="1">
        <v>459.2072</v>
      </c>
      <c r="V86" s="1">
        <v>405.00659999999999</v>
      </c>
      <c r="W86" s="1">
        <v>427.90280000000001</v>
      </c>
      <c r="X86" s="1">
        <v>494.89839999999998</v>
      </c>
      <c r="Y86" s="1">
        <v>526.31220000000008</v>
      </c>
      <c r="Z86" s="1">
        <v>493.4196</v>
      </c>
      <c r="AA86" s="1">
        <v>505.09059999999999</v>
      </c>
      <c r="AB86" s="1">
        <v>580.20420000000001</v>
      </c>
      <c r="AC86" s="1">
        <v>540.80640000000005</v>
      </c>
      <c r="AD86" s="1">
        <v>482.77339999999998</v>
      </c>
      <c r="AE86" s="1"/>
      <c r="AF86" s="1">
        <f t="shared" ref="AF86:AF91" si="23">G86*R86</f>
        <v>1103.4502199999999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127</v>
      </c>
      <c r="B87" s="1" t="s">
        <v>35</v>
      </c>
      <c r="C87" s="1">
        <v>3006.8519999999999</v>
      </c>
      <c r="D87" s="1">
        <v>1279.4100000000001</v>
      </c>
      <c r="E87" s="1">
        <v>1814.3689999999999</v>
      </c>
      <c r="F87" s="1">
        <v>2469.5329999999999</v>
      </c>
      <c r="G87" s="7">
        <v>1</v>
      </c>
      <c r="H87" s="1">
        <v>60</v>
      </c>
      <c r="I87" s="1" t="s">
        <v>36</v>
      </c>
      <c r="J87" s="1"/>
      <c r="K87" s="1">
        <v>1820.7</v>
      </c>
      <c r="L87" s="1">
        <f t="shared" si="18"/>
        <v>-6.331000000000131</v>
      </c>
      <c r="M87" s="1"/>
      <c r="N87" s="1"/>
      <c r="O87" s="1">
        <v>402.80442173499961</v>
      </c>
      <c r="P87" s="1">
        <v>410.12074826499952</v>
      </c>
      <c r="Q87" s="1">
        <f t="shared" si="19"/>
        <v>362.87379999999996</v>
      </c>
      <c r="R87" s="5">
        <f t="shared" si="22"/>
        <v>527.71673000000055</v>
      </c>
      <c r="S87" s="1">
        <f t="shared" si="20"/>
        <v>10.5</v>
      </c>
      <c r="T87" s="1">
        <f t="shared" si="21"/>
        <v>9.0457293141582529</v>
      </c>
      <c r="U87" s="1">
        <v>356.65640000000002</v>
      </c>
      <c r="V87" s="1">
        <v>370.45139999999998</v>
      </c>
      <c r="W87" s="1">
        <v>435.01280000000003</v>
      </c>
      <c r="X87" s="1">
        <v>454.02980000000002</v>
      </c>
      <c r="Y87" s="1">
        <v>464.01760000000002</v>
      </c>
      <c r="Z87" s="1">
        <v>470.22359999999998</v>
      </c>
      <c r="AA87" s="1">
        <v>519.2894</v>
      </c>
      <c r="AB87" s="1">
        <v>564.46319999999992</v>
      </c>
      <c r="AC87" s="1">
        <v>484.53480000000002</v>
      </c>
      <c r="AD87" s="1">
        <v>439.11</v>
      </c>
      <c r="AE87" s="1"/>
      <c r="AF87" s="1">
        <f t="shared" si="23"/>
        <v>527.71673000000055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128</v>
      </c>
      <c r="B88" s="1" t="s">
        <v>35</v>
      </c>
      <c r="C88" s="1">
        <v>3574.9349999999999</v>
      </c>
      <c r="D88" s="1">
        <v>1827.568</v>
      </c>
      <c r="E88" s="1">
        <v>3072.982</v>
      </c>
      <c r="F88" s="1">
        <v>2322.5639999999999</v>
      </c>
      <c r="G88" s="7">
        <v>1</v>
      </c>
      <c r="H88" s="1">
        <v>60</v>
      </c>
      <c r="I88" s="1" t="s">
        <v>36</v>
      </c>
      <c r="J88" s="1"/>
      <c r="K88" s="1">
        <v>3120.8</v>
      </c>
      <c r="L88" s="1">
        <f t="shared" si="18"/>
        <v>-47.818000000000211</v>
      </c>
      <c r="M88" s="1"/>
      <c r="N88" s="1"/>
      <c r="O88" s="1">
        <v>1664.88</v>
      </c>
      <c r="P88" s="1">
        <v>1695.12</v>
      </c>
      <c r="Q88" s="1">
        <f t="shared" si="19"/>
        <v>614.59640000000002</v>
      </c>
      <c r="R88" s="5">
        <f t="shared" si="22"/>
        <v>770.69820000000027</v>
      </c>
      <c r="S88" s="1">
        <f t="shared" si="20"/>
        <v>10.500000000000002</v>
      </c>
      <c r="T88" s="1">
        <f t="shared" si="21"/>
        <v>9.2460092509490792</v>
      </c>
      <c r="U88" s="1">
        <v>581.85900000000004</v>
      </c>
      <c r="V88" s="1">
        <v>521.048</v>
      </c>
      <c r="W88" s="1">
        <v>463.74439999999998</v>
      </c>
      <c r="X88" s="1">
        <v>532.01880000000006</v>
      </c>
      <c r="Y88" s="1">
        <v>605.65300000000002</v>
      </c>
      <c r="Z88" s="1">
        <v>579.95619999999997</v>
      </c>
      <c r="AA88" s="1">
        <v>556.60360000000003</v>
      </c>
      <c r="AB88" s="1">
        <v>587.1934</v>
      </c>
      <c r="AC88" s="1">
        <v>598.42560000000003</v>
      </c>
      <c r="AD88" s="1">
        <v>557.10379999999998</v>
      </c>
      <c r="AE88" s="1"/>
      <c r="AF88" s="1">
        <f t="shared" si="23"/>
        <v>770.69820000000027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129</v>
      </c>
      <c r="B89" s="1" t="s">
        <v>35</v>
      </c>
      <c r="C89" s="1">
        <v>88.13</v>
      </c>
      <c r="D89" s="1">
        <v>21.536999999999999</v>
      </c>
      <c r="E89" s="1">
        <v>28.067</v>
      </c>
      <c r="F89" s="1">
        <v>81.599999999999994</v>
      </c>
      <c r="G89" s="7">
        <v>1</v>
      </c>
      <c r="H89" s="1">
        <v>55</v>
      </c>
      <c r="I89" s="10" t="s">
        <v>39</v>
      </c>
      <c r="J89" s="1"/>
      <c r="K89" s="1">
        <v>29</v>
      </c>
      <c r="L89" s="1">
        <f t="shared" si="18"/>
        <v>-0.93299999999999983</v>
      </c>
      <c r="M89" s="1"/>
      <c r="N89" s="1"/>
      <c r="O89" s="1">
        <v>10.698199999999989</v>
      </c>
      <c r="P89" s="1"/>
      <c r="Q89" s="1">
        <f t="shared" si="19"/>
        <v>5.6134000000000004</v>
      </c>
      <c r="R89" s="5"/>
      <c r="S89" s="1">
        <f t="shared" si="20"/>
        <v>16.442476930202723</v>
      </c>
      <c r="T89" s="1">
        <f t="shared" si="21"/>
        <v>16.442476930202723</v>
      </c>
      <c r="U89" s="1">
        <v>9.3739999999999988</v>
      </c>
      <c r="V89" s="1">
        <v>9.3148</v>
      </c>
      <c r="W89" s="1">
        <v>6.9373999999999993</v>
      </c>
      <c r="X89" s="1">
        <v>6.7266000000000004</v>
      </c>
      <c r="Y89" s="1">
        <v>8.3040000000000003</v>
      </c>
      <c r="Z89" s="1">
        <v>8.5742000000000012</v>
      </c>
      <c r="AA89" s="1">
        <v>8.3124000000000002</v>
      </c>
      <c r="AB89" s="1">
        <v>8.0421999999999993</v>
      </c>
      <c r="AC89" s="1">
        <v>5.9122000000000003</v>
      </c>
      <c r="AD89" s="1">
        <v>6.9909999999999997</v>
      </c>
      <c r="AE89" s="1"/>
      <c r="AF89" s="1">
        <f t="shared" si="23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130</v>
      </c>
      <c r="B90" s="1" t="s">
        <v>41</v>
      </c>
      <c r="C90" s="1"/>
      <c r="D90" s="1">
        <v>36</v>
      </c>
      <c r="E90" s="1">
        <v>11</v>
      </c>
      <c r="F90" s="1">
        <v>24</v>
      </c>
      <c r="G90" s="7">
        <v>0.3</v>
      </c>
      <c r="H90" s="1">
        <v>40</v>
      </c>
      <c r="I90" s="10" t="s">
        <v>39</v>
      </c>
      <c r="J90" s="1"/>
      <c r="K90" s="1">
        <v>26</v>
      </c>
      <c r="L90" s="1">
        <f t="shared" si="18"/>
        <v>-15</v>
      </c>
      <c r="M90" s="1"/>
      <c r="N90" s="1"/>
      <c r="O90" s="1">
        <v>0</v>
      </c>
      <c r="P90" s="1"/>
      <c r="Q90" s="1">
        <f t="shared" si="19"/>
        <v>2.2000000000000002</v>
      </c>
      <c r="R90" s="5">
        <v>10</v>
      </c>
      <c r="S90" s="1">
        <f t="shared" si="20"/>
        <v>15.454545454545453</v>
      </c>
      <c r="T90" s="1">
        <f t="shared" si="21"/>
        <v>10.909090909090908</v>
      </c>
      <c r="U90" s="1">
        <v>0</v>
      </c>
      <c r="V90" s="1">
        <v>-0.2</v>
      </c>
      <c r="W90" s="1">
        <v>-0.2</v>
      </c>
      <c r="X90" s="1">
        <v>-0.2</v>
      </c>
      <c r="Y90" s="1">
        <v>-0.8</v>
      </c>
      <c r="Z90" s="1">
        <v>-0.6</v>
      </c>
      <c r="AA90" s="1">
        <v>-0.4</v>
      </c>
      <c r="AB90" s="1">
        <v>-2</v>
      </c>
      <c r="AC90" s="1">
        <v>-3.2</v>
      </c>
      <c r="AD90" s="1">
        <v>-2.2000000000000002</v>
      </c>
      <c r="AE90" s="1"/>
      <c r="AF90" s="1">
        <f t="shared" si="23"/>
        <v>3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131</v>
      </c>
      <c r="B91" s="1" t="s">
        <v>41</v>
      </c>
      <c r="C91" s="1">
        <v>423</v>
      </c>
      <c r="D91" s="1">
        <v>4</v>
      </c>
      <c r="E91" s="1">
        <v>84</v>
      </c>
      <c r="F91" s="1">
        <v>337</v>
      </c>
      <c r="G91" s="7">
        <v>0.3</v>
      </c>
      <c r="H91" s="1">
        <v>40</v>
      </c>
      <c r="I91" s="10" t="s">
        <v>39</v>
      </c>
      <c r="J91" s="1"/>
      <c r="K91" s="1">
        <v>84</v>
      </c>
      <c r="L91" s="1">
        <f t="shared" si="18"/>
        <v>0</v>
      </c>
      <c r="M91" s="1"/>
      <c r="N91" s="1"/>
      <c r="O91" s="1">
        <v>0</v>
      </c>
      <c r="P91" s="1"/>
      <c r="Q91" s="1">
        <f t="shared" si="19"/>
        <v>16.8</v>
      </c>
      <c r="R91" s="5"/>
      <c r="S91" s="1">
        <f t="shared" si="20"/>
        <v>20.05952380952381</v>
      </c>
      <c r="T91" s="1">
        <f t="shared" si="21"/>
        <v>20.05952380952381</v>
      </c>
      <c r="U91" s="1">
        <v>14.4</v>
      </c>
      <c r="V91" s="1">
        <v>12.6</v>
      </c>
      <c r="W91" s="1">
        <v>19.399999999999999</v>
      </c>
      <c r="X91" s="1">
        <v>18.8</v>
      </c>
      <c r="Y91" s="1">
        <v>15.6</v>
      </c>
      <c r="Z91" s="1">
        <v>15</v>
      </c>
      <c r="AA91" s="1">
        <v>7.8</v>
      </c>
      <c r="AB91" s="1">
        <v>9.4</v>
      </c>
      <c r="AC91" s="1">
        <v>58.2</v>
      </c>
      <c r="AD91" s="1">
        <v>58.8</v>
      </c>
      <c r="AE91" s="14" t="s">
        <v>122</v>
      </c>
      <c r="AF91" s="1">
        <f t="shared" si="23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1" t="s">
        <v>132</v>
      </c>
      <c r="B92" s="11" t="s">
        <v>41</v>
      </c>
      <c r="C92" s="11"/>
      <c r="D92" s="11"/>
      <c r="E92" s="11"/>
      <c r="F92" s="11"/>
      <c r="G92" s="12">
        <v>0</v>
      </c>
      <c r="H92" s="11"/>
      <c r="I92" s="11" t="s">
        <v>39</v>
      </c>
      <c r="J92" s="11"/>
      <c r="K92" s="11"/>
      <c r="L92" s="11">
        <f t="shared" si="18"/>
        <v>0</v>
      </c>
      <c r="M92" s="11"/>
      <c r="N92" s="11"/>
      <c r="O92" s="11">
        <v>0</v>
      </c>
      <c r="P92" s="11"/>
      <c r="Q92" s="11">
        <f t="shared" si="19"/>
        <v>0</v>
      </c>
      <c r="R92" s="13"/>
      <c r="S92" s="11" t="e">
        <f t="shared" si="20"/>
        <v>#DIV/0!</v>
      </c>
      <c r="T92" s="11" t="e">
        <f t="shared" si="21"/>
        <v>#DIV/0!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 t="s">
        <v>42</v>
      </c>
      <c r="AF92" s="1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133</v>
      </c>
      <c r="B93" s="1" t="s">
        <v>41</v>
      </c>
      <c r="C93" s="1">
        <v>-1</v>
      </c>
      <c r="D93" s="1">
        <v>217</v>
      </c>
      <c r="E93" s="1">
        <v>14</v>
      </c>
      <c r="F93" s="1">
        <v>201</v>
      </c>
      <c r="G93" s="7">
        <v>7.0000000000000007E-2</v>
      </c>
      <c r="H93" s="1">
        <v>90</v>
      </c>
      <c r="I93" s="10" t="s">
        <v>39</v>
      </c>
      <c r="J93" s="1"/>
      <c r="K93" s="1">
        <v>21</v>
      </c>
      <c r="L93" s="1">
        <f t="shared" si="18"/>
        <v>-7</v>
      </c>
      <c r="M93" s="1"/>
      <c r="N93" s="1"/>
      <c r="O93" s="1">
        <v>0</v>
      </c>
      <c r="P93" s="1"/>
      <c r="Q93" s="1">
        <f t="shared" si="19"/>
        <v>2.8</v>
      </c>
      <c r="R93" s="5"/>
      <c r="S93" s="1">
        <f t="shared" si="20"/>
        <v>71.785714285714292</v>
      </c>
      <c r="T93" s="1">
        <f t="shared" si="21"/>
        <v>71.785714285714292</v>
      </c>
      <c r="U93" s="1">
        <v>2.8</v>
      </c>
      <c r="V93" s="1">
        <v>9.1999999999999993</v>
      </c>
      <c r="W93" s="1">
        <v>29.4</v>
      </c>
      <c r="X93" s="1">
        <v>32.799999999999997</v>
      </c>
      <c r="Y93" s="1">
        <v>32.200000000000003</v>
      </c>
      <c r="Z93" s="1">
        <v>32.6</v>
      </c>
      <c r="AA93" s="1">
        <v>27.2</v>
      </c>
      <c r="AB93" s="1">
        <v>27.8</v>
      </c>
      <c r="AC93" s="1">
        <v>25.6</v>
      </c>
      <c r="AD93" s="1">
        <v>31.8</v>
      </c>
      <c r="AE93" s="1"/>
      <c r="AF93" s="1">
        <f>G93*R93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134</v>
      </c>
      <c r="B94" s="1" t="s">
        <v>41</v>
      </c>
      <c r="C94" s="1">
        <v>118</v>
      </c>
      <c r="D94" s="1">
        <v>164</v>
      </c>
      <c r="E94" s="1">
        <v>117</v>
      </c>
      <c r="F94" s="1">
        <v>158</v>
      </c>
      <c r="G94" s="7">
        <v>7.0000000000000007E-2</v>
      </c>
      <c r="H94" s="1">
        <v>90</v>
      </c>
      <c r="I94" s="1" t="s">
        <v>36</v>
      </c>
      <c r="J94" s="1"/>
      <c r="K94" s="1">
        <v>125</v>
      </c>
      <c r="L94" s="1">
        <f t="shared" si="18"/>
        <v>-8</v>
      </c>
      <c r="M94" s="1"/>
      <c r="N94" s="1"/>
      <c r="O94" s="1">
        <v>38.250000000000057</v>
      </c>
      <c r="P94" s="1"/>
      <c r="Q94" s="1">
        <f t="shared" si="19"/>
        <v>23.4</v>
      </c>
      <c r="R94" s="5">
        <f t="shared" ref="R93:R95" si="24">10.5*Q94-P94-O94-F94</f>
        <v>49.449999999999932</v>
      </c>
      <c r="S94" s="1">
        <f t="shared" si="20"/>
        <v>10.5</v>
      </c>
      <c r="T94" s="1">
        <f t="shared" si="21"/>
        <v>8.3867521367521398</v>
      </c>
      <c r="U94" s="1">
        <v>19.8</v>
      </c>
      <c r="V94" s="1">
        <v>19.600000000000001</v>
      </c>
      <c r="W94" s="1">
        <v>24.2</v>
      </c>
      <c r="X94" s="1">
        <v>23.2</v>
      </c>
      <c r="Y94" s="1">
        <v>21.8</v>
      </c>
      <c r="Z94" s="1">
        <v>23.2</v>
      </c>
      <c r="AA94" s="1">
        <v>22.4</v>
      </c>
      <c r="AB94" s="1">
        <v>26.4</v>
      </c>
      <c r="AC94" s="1">
        <v>33.200000000000003</v>
      </c>
      <c r="AD94" s="1">
        <v>32.6</v>
      </c>
      <c r="AE94" s="1"/>
      <c r="AF94" s="1">
        <f>G94*R94</f>
        <v>3.4614999999999956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135</v>
      </c>
      <c r="B95" s="1" t="s">
        <v>41</v>
      </c>
      <c r="C95" s="1">
        <v>243</v>
      </c>
      <c r="D95" s="1">
        <v>9</v>
      </c>
      <c r="E95" s="1">
        <v>192</v>
      </c>
      <c r="F95" s="1">
        <v>50</v>
      </c>
      <c r="G95" s="7">
        <v>0.3</v>
      </c>
      <c r="H95" s="1">
        <v>40</v>
      </c>
      <c r="I95" s="1" t="s">
        <v>36</v>
      </c>
      <c r="J95" s="1"/>
      <c r="K95" s="1">
        <v>195</v>
      </c>
      <c r="L95" s="1">
        <f t="shared" si="18"/>
        <v>-3</v>
      </c>
      <c r="M95" s="1"/>
      <c r="N95" s="1"/>
      <c r="O95" s="1">
        <v>46.700000000000017</v>
      </c>
      <c r="P95" s="1"/>
      <c r="Q95" s="1">
        <f t="shared" si="19"/>
        <v>38.4</v>
      </c>
      <c r="R95" s="5">
        <f>9*Q95-P95-O95-F95</f>
        <v>248.89999999999998</v>
      </c>
      <c r="S95" s="1">
        <f t="shared" si="20"/>
        <v>9.0000000000000018</v>
      </c>
      <c r="T95" s="1">
        <f t="shared" si="21"/>
        <v>2.5182291666666674</v>
      </c>
      <c r="U95" s="1">
        <v>21.8</v>
      </c>
      <c r="V95" s="1">
        <v>15.4</v>
      </c>
      <c r="W95" s="1">
        <v>20.2</v>
      </c>
      <c r="X95" s="1">
        <v>25.2</v>
      </c>
      <c r="Y95" s="1">
        <v>35.799999999999997</v>
      </c>
      <c r="Z95" s="1">
        <v>35.200000000000003</v>
      </c>
      <c r="AA95" s="1">
        <v>21.2</v>
      </c>
      <c r="AB95" s="1">
        <v>23.2</v>
      </c>
      <c r="AC95" s="1">
        <v>33.799999999999997</v>
      </c>
      <c r="AD95" s="1">
        <v>32</v>
      </c>
      <c r="AE95" s="1"/>
      <c r="AF95" s="1">
        <f>G95*R95</f>
        <v>74.669999999999987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1" t="s">
        <v>136</v>
      </c>
      <c r="B96" s="11" t="s">
        <v>35</v>
      </c>
      <c r="C96" s="11">
        <v>22.07</v>
      </c>
      <c r="D96" s="11">
        <v>1.0069999999999999</v>
      </c>
      <c r="E96" s="15">
        <f>22.015+E123</f>
        <v>31.014000000000003</v>
      </c>
      <c r="F96" s="15">
        <f>0.055+F123</f>
        <v>111.435</v>
      </c>
      <c r="G96" s="12">
        <v>0</v>
      </c>
      <c r="H96" s="11">
        <v>55</v>
      </c>
      <c r="I96" s="11" t="s">
        <v>137</v>
      </c>
      <c r="J96" s="11"/>
      <c r="K96" s="11">
        <v>26.5</v>
      </c>
      <c r="L96" s="11">
        <f t="shared" si="18"/>
        <v>4.5140000000000029</v>
      </c>
      <c r="M96" s="11"/>
      <c r="N96" s="11"/>
      <c r="O96" s="11">
        <v>0</v>
      </c>
      <c r="P96" s="11"/>
      <c r="Q96" s="11">
        <f t="shared" si="19"/>
        <v>6.2028000000000008</v>
      </c>
      <c r="R96" s="13"/>
      <c r="S96" s="11">
        <f t="shared" si="20"/>
        <v>17.965273747339911</v>
      </c>
      <c r="T96" s="11">
        <f t="shared" si="21"/>
        <v>17.965273747339911</v>
      </c>
      <c r="U96" s="11">
        <v>8.6044</v>
      </c>
      <c r="V96" s="11">
        <v>10.189</v>
      </c>
      <c r="W96" s="11">
        <v>17.175999999999998</v>
      </c>
      <c r="X96" s="11">
        <v>17.811599999999999</v>
      </c>
      <c r="Y96" s="11">
        <v>16.019200000000001</v>
      </c>
      <c r="Z96" s="11">
        <v>15.393000000000001</v>
      </c>
      <c r="AA96" s="11">
        <v>14.175000000000001</v>
      </c>
      <c r="AB96" s="11">
        <v>19.166799999999999</v>
      </c>
      <c r="AC96" s="11">
        <v>18.487400000000001</v>
      </c>
      <c r="AD96" s="11">
        <v>14.2752</v>
      </c>
      <c r="AE96" s="11" t="s">
        <v>138</v>
      </c>
      <c r="AF96" s="1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1" t="s">
        <v>139</v>
      </c>
      <c r="B97" s="11" t="s">
        <v>41</v>
      </c>
      <c r="C97" s="11"/>
      <c r="D97" s="11"/>
      <c r="E97" s="11"/>
      <c r="F97" s="11"/>
      <c r="G97" s="12">
        <v>0</v>
      </c>
      <c r="H97" s="11"/>
      <c r="I97" s="11" t="s">
        <v>36</v>
      </c>
      <c r="J97" s="11"/>
      <c r="K97" s="11"/>
      <c r="L97" s="11">
        <f t="shared" si="18"/>
        <v>0</v>
      </c>
      <c r="M97" s="11"/>
      <c r="N97" s="11"/>
      <c r="O97" s="11">
        <v>0</v>
      </c>
      <c r="P97" s="11"/>
      <c r="Q97" s="11">
        <f t="shared" si="19"/>
        <v>0</v>
      </c>
      <c r="R97" s="13"/>
      <c r="S97" s="11" t="e">
        <f t="shared" si="20"/>
        <v>#DIV/0!</v>
      </c>
      <c r="T97" s="11" t="e">
        <f t="shared" si="21"/>
        <v>#DIV/0!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 t="s">
        <v>42</v>
      </c>
      <c r="AF97" s="1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1" t="s">
        <v>140</v>
      </c>
      <c r="B98" s="11" t="s">
        <v>41</v>
      </c>
      <c r="C98" s="11"/>
      <c r="D98" s="11"/>
      <c r="E98" s="11"/>
      <c r="F98" s="11"/>
      <c r="G98" s="12">
        <v>0</v>
      </c>
      <c r="H98" s="11">
        <v>30</v>
      </c>
      <c r="I98" s="11" t="s">
        <v>36</v>
      </c>
      <c r="J98" s="11"/>
      <c r="K98" s="11"/>
      <c r="L98" s="11">
        <f t="shared" si="18"/>
        <v>0</v>
      </c>
      <c r="M98" s="11"/>
      <c r="N98" s="11"/>
      <c r="O98" s="11">
        <v>0</v>
      </c>
      <c r="P98" s="11"/>
      <c r="Q98" s="11">
        <f t="shared" si="19"/>
        <v>0</v>
      </c>
      <c r="R98" s="13"/>
      <c r="S98" s="11" t="e">
        <f t="shared" si="20"/>
        <v>#DIV/0!</v>
      </c>
      <c r="T98" s="11" t="e">
        <f t="shared" si="21"/>
        <v>#DIV/0!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-0.2</v>
      </c>
      <c r="AE98" s="11" t="s">
        <v>42</v>
      </c>
      <c r="AF98" s="1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141</v>
      </c>
      <c r="B99" s="1" t="s">
        <v>41</v>
      </c>
      <c r="C99" s="1">
        <v>218</v>
      </c>
      <c r="D99" s="1">
        <v>285</v>
      </c>
      <c r="E99" s="1">
        <v>290</v>
      </c>
      <c r="F99" s="1">
        <v>180</v>
      </c>
      <c r="G99" s="7">
        <v>0.08</v>
      </c>
      <c r="H99" s="1">
        <v>45</v>
      </c>
      <c r="I99" s="1" t="s">
        <v>36</v>
      </c>
      <c r="J99" s="1"/>
      <c r="K99" s="1">
        <v>323</v>
      </c>
      <c r="L99" s="1">
        <f t="shared" si="18"/>
        <v>-33</v>
      </c>
      <c r="M99" s="1"/>
      <c r="N99" s="1"/>
      <c r="O99" s="1">
        <v>154.44041300000001</v>
      </c>
      <c r="P99" s="1">
        <v>157.245587</v>
      </c>
      <c r="Q99" s="1">
        <f t="shared" si="19"/>
        <v>58</v>
      </c>
      <c r="R99" s="5">
        <f t="shared" ref="R99:R104" si="25">10.5*Q99-P99-O99-F99</f>
        <v>117.31399999999996</v>
      </c>
      <c r="S99" s="1">
        <f t="shared" si="20"/>
        <v>10.5</v>
      </c>
      <c r="T99" s="1">
        <f t="shared" si="21"/>
        <v>8.477344827586208</v>
      </c>
      <c r="U99" s="1">
        <v>53</v>
      </c>
      <c r="V99" s="1">
        <v>45</v>
      </c>
      <c r="W99" s="1">
        <v>43.8</v>
      </c>
      <c r="X99" s="1">
        <v>45.2</v>
      </c>
      <c r="Y99" s="1">
        <v>46.8</v>
      </c>
      <c r="Z99" s="1">
        <v>48.4</v>
      </c>
      <c r="AA99" s="1">
        <v>49.6</v>
      </c>
      <c r="AB99" s="1">
        <v>51.6</v>
      </c>
      <c r="AC99" s="1">
        <v>58.6</v>
      </c>
      <c r="AD99" s="1">
        <v>63</v>
      </c>
      <c r="AE99" s="1"/>
      <c r="AF99" s="1">
        <f t="shared" ref="AF99:AF104" si="26">G99*R99</f>
        <v>9.385119999999997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142</v>
      </c>
      <c r="B100" s="1" t="s">
        <v>41</v>
      </c>
      <c r="C100" s="1">
        <v>181</v>
      </c>
      <c r="D100" s="1">
        <v>264</v>
      </c>
      <c r="E100" s="1">
        <v>224</v>
      </c>
      <c r="F100" s="1">
        <v>214</v>
      </c>
      <c r="G100" s="7">
        <v>0.08</v>
      </c>
      <c r="H100" s="1">
        <v>45</v>
      </c>
      <c r="I100" s="1" t="s">
        <v>36</v>
      </c>
      <c r="J100" s="1"/>
      <c r="K100" s="1">
        <v>238</v>
      </c>
      <c r="L100" s="1">
        <f t="shared" si="18"/>
        <v>-14</v>
      </c>
      <c r="M100" s="1"/>
      <c r="N100" s="1"/>
      <c r="O100" s="1">
        <v>130.97155100000001</v>
      </c>
      <c r="P100" s="1">
        <v>133.350449</v>
      </c>
      <c r="Q100" s="1">
        <f t="shared" si="19"/>
        <v>44.8</v>
      </c>
      <c r="R100" s="5"/>
      <c r="S100" s="1">
        <f t="shared" si="20"/>
        <v>10.676830357142858</v>
      </c>
      <c r="T100" s="1">
        <f t="shared" si="21"/>
        <v>10.676830357142858</v>
      </c>
      <c r="U100" s="1">
        <v>45.2</v>
      </c>
      <c r="V100" s="1">
        <v>38.200000000000003</v>
      </c>
      <c r="W100" s="1">
        <v>41</v>
      </c>
      <c r="X100" s="1">
        <v>38.6</v>
      </c>
      <c r="Y100" s="1">
        <v>37.6</v>
      </c>
      <c r="Z100" s="1">
        <v>37.6</v>
      </c>
      <c r="AA100" s="1">
        <v>38.6</v>
      </c>
      <c r="AB100" s="1">
        <v>42.2</v>
      </c>
      <c r="AC100" s="1">
        <v>49</v>
      </c>
      <c r="AD100" s="1">
        <v>51.6</v>
      </c>
      <c r="AE100" s="1"/>
      <c r="AF100" s="1">
        <f t="shared" si="26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143</v>
      </c>
      <c r="B101" s="1" t="s">
        <v>41</v>
      </c>
      <c r="C101" s="1">
        <v>47</v>
      </c>
      <c r="D101" s="1">
        <v>7</v>
      </c>
      <c r="E101" s="1">
        <v>30</v>
      </c>
      <c r="F101" s="1">
        <v>5</v>
      </c>
      <c r="G101" s="7">
        <v>0.17</v>
      </c>
      <c r="H101" s="1">
        <v>30</v>
      </c>
      <c r="I101" s="10" t="s">
        <v>39</v>
      </c>
      <c r="J101" s="1"/>
      <c r="K101" s="1">
        <v>38</v>
      </c>
      <c r="L101" s="1">
        <f t="shared" si="18"/>
        <v>-8</v>
      </c>
      <c r="M101" s="1"/>
      <c r="N101" s="1"/>
      <c r="O101" s="1">
        <v>0</v>
      </c>
      <c r="P101" s="1"/>
      <c r="Q101" s="1">
        <f t="shared" si="19"/>
        <v>6</v>
      </c>
      <c r="R101" s="5">
        <f>8*Q101-P101-O101-F101</f>
        <v>43</v>
      </c>
      <c r="S101" s="1">
        <f t="shared" si="20"/>
        <v>8</v>
      </c>
      <c r="T101" s="1">
        <f t="shared" si="21"/>
        <v>0.83333333333333337</v>
      </c>
      <c r="U101" s="1">
        <v>0.2</v>
      </c>
      <c r="V101" s="1">
        <v>0.8</v>
      </c>
      <c r="W101" s="1">
        <v>-0.6</v>
      </c>
      <c r="X101" s="1">
        <v>-0.2</v>
      </c>
      <c r="Y101" s="1">
        <v>3.6</v>
      </c>
      <c r="Z101" s="1">
        <v>5</v>
      </c>
      <c r="AA101" s="1">
        <v>2.2000000000000002</v>
      </c>
      <c r="AB101" s="1">
        <v>1.2</v>
      </c>
      <c r="AC101" s="1">
        <v>2</v>
      </c>
      <c r="AD101" s="1">
        <v>2</v>
      </c>
      <c r="AE101" s="17" t="s">
        <v>180</v>
      </c>
      <c r="AF101" s="1">
        <f t="shared" si="26"/>
        <v>7.3100000000000005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144</v>
      </c>
      <c r="B102" s="1" t="s">
        <v>35</v>
      </c>
      <c r="C102" s="1">
        <v>226.09399999999999</v>
      </c>
      <c r="D102" s="1">
        <v>765.76700000000005</v>
      </c>
      <c r="E102" s="1">
        <v>425.68099999999998</v>
      </c>
      <c r="F102" s="1">
        <v>562.34699999999998</v>
      </c>
      <c r="G102" s="7">
        <v>1</v>
      </c>
      <c r="H102" s="1">
        <v>40</v>
      </c>
      <c r="I102" s="10" t="s">
        <v>39</v>
      </c>
      <c r="J102" s="1"/>
      <c r="K102" s="1">
        <v>629.45000000000005</v>
      </c>
      <c r="L102" s="1">
        <f t="shared" ref="L102:L133" si="27">E102-K102</f>
        <v>-203.76900000000006</v>
      </c>
      <c r="M102" s="1"/>
      <c r="N102" s="1"/>
      <c r="O102" s="1">
        <v>521.54050700000005</v>
      </c>
      <c r="P102" s="1">
        <v>531.01349300000004</v>
      </c>
      <c r="Q102" s="1">
        <f t="shared" ref="Q102:Q130" si="28">E102/5</f>
        <v>85.136200000000002</v>
      </c>
      <c r="R102" s="5"/>
      <c r="S102" s="1">
        <f t="shared" ref="S102:S133" si="29">(F102+O102+P102+R102)/Q102</f>
        <v>18.968441156640768</v>
      </c>
      <c r="T102" s="1">
        <f t="shared" ref="T102:T130" si="30">(F102+O102+P102)/Q102</f>
        <v>18.968441156640768</v>
      </c>
      <c r="U102" s="1">
        <v>180.54419999999999</v>
      </c>
      <c r="V102" s="1">
        <v>136.57839999999999</v>
      </c>
      <c r="W102" s="1">
        <v>26.54</v>
      </c>
      <c r="X102" s="1">
        <v>85.914999999999992</v>
      </c>
      <c r="Y102" s="1">
        <v>95.000599999999991</v>
      </c>
      <c r="Z102" s="1">
        <v>36.310600000000001</v>
      </c>
      <c r="AA102" s="1">
        <v>67.372</v>
      </c>
      <c r="AB102" s="1">
        <v>87.045000000000002</v>
      </c>
      <c r="AC102" s="1">
        <v>19.298999999999999</v>
      </c>
      <c r="AD102" s="1">
        <v>3.8765999999999998</v>
      </c>
      <c r="AE102" s="1" t="s">
        <v>56</v>
      </c>
      <c r="AF102" s="1">
        <f t="shared" si="26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145</v>
      </c>
      <c r="B103" s="1" t="s">
        <v>35</v>
      </c>
      <c r="C103" s="1">
        <v>7.8230000000000004</v>
      </c>
      <c r="D103" s="1">
        <v>1703.6569999999999</v>
      </c>
      <c r="E103" s="1">
        <v>607.41499999999996</v>
      </c>
      <c r="F103" s="1">
        <v>1097.5540000000001</v>
      </c>
      <c r="G103" s="7">
        <v>1</v>
      </c>
      <c r="H103" s="1">
        <v>40</v>
      </c>
      <c r="I103" s="10" t="s">
        <v>39</v>
      </c>
      <c r="J103" s="1"/>
      <c r="K103" s="1">
        <v>725.4</v>
      </c>
      <c r="L103" s="1">
        <f t="shared" si="27"/>
        <v>-117.98500000000001</v>
      </c>
      <c r="M103" s="1"/>
      <c r="N103" s="1"/>
      <c r="O103" s="1">
        <v>0</v>
      </c>
      <c r="P103" s="1"/>
      <c r="Q103" s="1">
        <f t="shared" si="28"/>
        <v>121.48299999999999</v>
      </c>
      <c r="R103" s="5">
        <f t="shared" si="25"/>
        <v>178.0174999999997</v>
      </c>
      <c r="S103" s="1">
        <f t="shared" si="29"/>
        <v>10.5</v>
      </c>
      <c r="T103" s="1">
        <f t="shared" si="30"/>
        <v>9.0346303598034314</v>
      </c>
      <c r="U103" s="1">
        <v>79.496600000000001</v>
      </c>
      <c r="V103" s="1">
        <v>111.6002</v>
      </c>
      <c r="W103" s="1">
        <v>179.07859999999999</v>
      </c>
      <c r="X103" s="1">
        <v>196.54900000000001</v>
      </c>
      <c r="Y103" s="1">
        <v>84.728999999999999</v>
      </c>
      <c r="Z103" s="1">
        <v>37.037599999999998</v>
      </c>
      <c r="AA103" s="1">
        <v>99.776600000000002</v>
      </c>
      <c r="AB103" s="1">
        <v>121.7056</v>
      </c>
      <c r="AC103" s="1">
        <v>49.871600000000001</v>
      </c>
      <c r="AD103" s="1">
        <v>59.215599999999988</v>
      </c>
      <c r="AE103" s="1" t="s">
        <v>56</v>
      </c>
      <c r="AF103" s="1">
        <f t="shared" si="26"/>
        <v>178.0174999999997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146</v>
      </c>
      <c r="B104" s="1" t="s">
        <v>35</v>
      </c>
      <c r="C104" s="1">
        <v>0.57699999999999996</v>
      </c>
      <c r="D104" s="1">
        <v>313.94499999999999</v>
      </c>
      <c r="E104" s="1">
        <v>130.58500000000001</v>
      </c>
      <c r="F104" s="1">
        <v>180.453</v>
      </c>
      <c r="G104" s="7">
        <v>1</v>
      </c>
      <c r="H104" s="1">
        <v>40</v>
      </c>
      <c r="I104" s="10" t="s">
        <v>39</v>
      </c>
      <c r="J104" s="1"/>
      <c r="K104" s="1">
        <v>324.39999999999998</v>
      </c>
      <c r="L104" s="1">
        <f t="shared" si="27"/>
        <v>-193.81499999999997</v>
      </c>
      <c r="M104" s="1"/>
      <c r="N104" s="1"/>
      <c r="O104" s="1">
        <v>87.082800000000034</v>
      </c>
      <c r="P104" s="1"/>
      <c r="Q104" s="1">
        <f t="shared" si="28"/>
        <v>26.117000000000001</v>
      </c>
      <c r="R104" s="5">
        <f t="shared" si="25"/>
        <v>6.6926999999999737</v>
      </c>
      <c r="S104" s="1">
        <f t="shared" si="29"/>
        <v>10.500000000000002</v>
      </c>
      <c r="T104" s="1">
        <f t="shared" si="30"/>
        <v>10.243741624229431</v>
      </c>
      <c r="U104" s="1">
        <v>34.499200000000002</v>
      </c>
      <c r="V104" s="1">
        <v>34.926200000000001</v>
      </c>
      <c r="W104" s="1">
        <v>10.3934</v>
      </c>
      <c r="X104" s="1">
        <v>9.5038</v>
      </c>
      <c r="Y104" s="1">
        <v>-0.74480000000000002</v>
      </c>
      <c r="Z104" s="1">
        <v>-0.85359999999999991</v>
      </c>
      <c r="AA104" s="1">
        <v>-2.0251999999999999</v>
      </c>
      <c r="AB104" s="1">
        <v>-1.8894</v>
      </c>
      <c r="AC104" s="1">
        <v>-2.2866</v>
      </c>
      <c r="AD104" s="1">
        <v>-2.1309999999999998</v>
      </c>
      <c r="AE104" s="1"/>
      <c r="AF104" s="1">
        <f t="shared" si="26"/>
        <v>6.6926999999999737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1" t="s">
        <v>147</v>
      </c>
      <c r="B105" s="11" t="s">
        <v>41</v>
      </c>
      <c r="C105" s="11"/>
      <c r="D105" s="11"/>
      <c r="E105" s="11"/>
      <c r="F105" s="11"/>
      <c r="G105" s="12">
        <v>0</v>
      </c>
      <c r="H105" s="11"/>
      <c r="I105" s="11" t="s">
        <v>36</v>
      </c>
      <c r="J105" s="11"/>
      <c r="K105" s="11"/>
      <c r="L105" s="11">
        <f t="shared" si="27"/>
        <v>0</v>
      </c>
      <c r="M105" s="11"/>
      <c r="N105" s="11"/>
      <c r="O105" s="11">
        <v>0</v>
      </c>
      <c r="P105" s="11"/>
      <c r="Q105" s="11">
        <f t="shared" si="28"/>
        <v>0</v>
      </c>
      <c r="R105" s="13"/>
      <c r="S105" s="11" t="e">
        <f t="shared" si="29"/>
        <v>#DIV/0!</v>
      </c>
      <c r="T105" s="11" t="e">
        <f t="shared" si="30"/>
        <v>#DIV/0!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 t="s">
        <v>148</v>
      </c>
      <c r="AF105" s="1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149</v>
      </c>
      <c r="B106" s="1" t="s">
        <v>35</v>
      </c>
      <c r="C106" s="1">
        <v>24.111999999999998</v>
      </c>
      <c r="D106" s="1">
        <v>43.372</v>
      </c>
      <c r="E106" s="1">
        <v>10.925000000000001</v>
      </c>
      <c r="F106" s="1">
        <v>56.558999999999997</v>
      </c>
      <c r="G106" s="7">
        <v>1</v>
      </c>
      <c r="H106" s="1">
        <v>55</v>
      </c>
      <c r="I106" s="10" t="s">
        <v>39</v>
      </c>
      <c r="J106" s="1"/>
      <c r="K106" s="1">
        <v>10.6</v>
      </c>
      <c r="L106" s="1">
        <f t="shared" si="27"/>
        <v>0.32500000000000107</v>
      </c>
      <c r="M106" s="1"/>
      <c r="N106" s="1"/>
      <c r="O106" s="1">
        <v>0</v>
      </c>
      <c r="P106" s="1"/>
      <c r="Q106" s="1">
        <f t="shared" si="28"/>
        <v>2.1850000000000001</v>
      </c>
      <c r="R106" s="5"/>
      <c r="S106" s="1">
        <f t="shared" si="29"/>
        <v>25.885125858123569</v>
      </c>
      <c r="T106" s="1">
        <f t="shared" si="30"/>
        <v>25.885125858123569</v>
      </c>
      <c r="U106" s="1">
        <v>1.0946</v>
      </c>
      <c r="V106" s="1">
        <v>0.54359999999999997</v>
      </c>
      <c r="W106" s="1">
        <v>4.95</v>
      </c>
      <c r="X106" s="1">
        <v>4.95</v>
      </c>
      <c r="Y106" s="1">
        <v>2.1389999999999998</v>
      </c>
      <c r="Z106" s="1">
        <v>2.1389999999999998</v>
      </c>
      <c r="AA106" s="1">
        <v>3.8119999999999998</v>
      </c>
      <c r="AB106" s="1">
        <v>4.6360000000000001</v>
      </c>
      <c r="AC106" s="1">
        <v>0.82400000000000007</v>
      </c>
      <c r="AD106" s="1">
        <v>0.27460000000000001</v>
      </c>
      <c r="AE106" s="16" t="s">
        <v>181</v>
      </c>
      <c r="AF106" s="1">
        <f>G106*R106</f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150</v>
      </c>
      <c r="B107" s="1" t="s">
        <v>41</v>
      </c>
      <c r="C107" s="1">
        <v>141</v>
      </c>
      <c r="D107" s="1">
        <v>359</v>
      </c>
      <c r="E107" s="1">
        <v>18</v>
      </c>
      <c r="F107" s="1">
        <v>473</v>
      </c>
      <c r="G107" s="7">
        <v>0.28000000000000003</v>
      </c>
      <c r="H107" s="1">
        <v>40</v>
      </c>
      <c r="I107" s="10" t="s">
        <v>39</v>
      </c>
      <c r="J107" s="1"/>
      <c r="K107" s="1">
        <v>558</v>
      </c>
      <c r="L107" s="1">
        <f t="shared" si="27"/>
        <v>-540</v>
      </c>
      <c r="M107" s="1"/>
      <c r="N107" s="1"/>
      <c r="O107" s="1">
        <v>79</v>
      </c>
      <c r="P107" s="1"/>
      <c r="Q107" s="1">
        <f t="shared" si="28"/>
        <v>3.6</v>
      </c>
      <c r="R107" s="5"/>
      <c r="S107" s="1">
        <f t="shared" si="29"/>
        <v>153.33333333333334</v>
      </c>
      <c r="T107" s="1">
        <f t="shared" si="30"/>
        <v>153.33333333333334</v>
      </c>
      <c r="U107" s="1">
        <v>50</v>
      </c>
      <c r="V107" s="1">
        <v>59.4</v>
      </c>
      <c r="W107" s="1">
        <v>7.2</v>
      </c>
      <c r="X107" s="1">
        <v>-1.8</v>
      </c>
      <c r="Y107" s="1">
        <v>60.2</v>
      </c>
      <c r="Z107" s="1">
        <v>110.8</v>
      </c>
      <c r="AA107" s="1">
        <v>85.6</v>
      </c>
      <c r="AB107" s="1">
        <v>33</v>
      </c>
      <c r="AC107" s="1">
        <v>-2.8</v>
      </c>
      <c r="AD107" s="1">
        <v>44</v>
      </c>
      <c r="AE107" s="14" t="s">
        <v>122</v>
      </c>
      <c r="AF107" s="1">
        <f>G107*R107</f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151</v>
      </c>
      <c r="B108" s="11" t="s">
        <v>41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7"/>
        <v>0</v>
      </c>
      <c r="M108" s="11"/>
      <c r="N108" s="11"/>
      <c r="O108" s="11">
        <v>0</v>
      </c>
      <c r="P108" s="11"/>
      <c r="Q108" s="11">
        <f t="shared" si="28"/>
        <v>0</v>
      </c>
      <c r="R108" s="13"/>
      <c r="S108" s="11" t="e">
        <f t="shared" si="29"/>
        <v>#DIV/0!</v>
      </c>
      <c r="T108" s="11" t="e">
        <f t="shared" si="30"/>
        <v>#DIV/0!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 t="s">
        <v>42</v>
      </c>
      <c r="AF108" s="1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152</v>
      </c>
      <c r="B109" s="1" t="s">
        <v>41</v>
      </c>
      <c r="C109" s="1">
        <v>144</v>
      </c>
      <c r="D109" s="1">
        <v>204</v>
      </c>
      <c r="E109" s="1">
        <v>25</v>
      </c>
      <c r="F109" s="1">
        <v>320</v>
      </c>
      <c r="G109" s="7">
        <v>0.28000000000000003</v>
      </c>
      <c r="H109" s="1">
        <v>40</v>
      </c>
      <c r="I109" s="10" t="s">
        <v>39</v>
      </c>
      <c r="J109" s="1"/>
      <c r="K109" s="1">
        <v>603</v>
      </c>
      <c r="L109" s="1">
        <f t="shared" si="27"/>
        <v>-578</v>
      </c>
      <c r="M109" s="1"/>
      <c r="N109" s="1"/>
      <c r="O109" s="1">
        <v>0</v>
      </c>
      <c r="P109" s="1"/>
      <c r="Q109" s="1">
        <f t="shared" si="28"/>
        <v>5</v>
      </c>
      <c r="R109" s="5"/>
      <c r="S109" s="1">
        <f t="shared" si="29"/>
        <v>64</v>
      </c>
      <c r="T109" s="1">
        <f t="shared" si="30"/>
        <v>64</v>
      </c>
      <c r="U109" s="1">
        <v>16.600000000000001</v>
      </c>
      <c r="V109" s="1">
        <v>23.2</v>
      </c>
      <c r="W109" s="1">
        <v>5.2</v>
      </c>
      <c r="X109" s="1">
        <v>-1.4</v>
      </c>
      <c r="Y109" s="1">
        <v>38.6</v>
      </c>
      <c r="Z109" s="1">
        <v>63</v>
      </c>
      <c r="AA109" s="1">
        <v>37.6</v>
      </c>
      <c r="AB109" s="1">
        <v>11.4</v>
      </c>
      <c r="AC109" s="1">
        <v>18.600000000000001</v>
      </c>
      <c r="AD109" s="1">
        <v>57.8</v>
      </c>
      <c r="AE109" s="14" t="s">
        <v>122</v>
      </c>
      <c r="AF109" s="1">
        <f>G109*R109</f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153</v>
      </c>
      <c r="B110" s="1" t="s">
        <v>41</v>
      </c>
      <c r="C110" s="1">
        <v>124</v>
      </c>
      <c r="D110" s="1">
        <v>122</v>
      </c>
      <c r="E110" s="1">
        <v>120</v>
      </c>
      <c r="F110" s="1">
        <v>123</v>
      </c>
      <c r="G110" s="7">
        <v>0.09</v>
      </c>
      <c r="H110" s="1"/>
      <c r="I110" s="1" t="s">
        <v>36</v>
      </c>
      <c r="J110" s="1"/>
      <c r="K110" s="1">
        <v>127</v>
      </c>
      <c r="L110" s="1">
        <f t="shared" si="27"/>
        <v>-7</v>
      </c>
      <c r="M110" s="1"/>
      <c r="N110" s="1"/>
      <c r="O110" s="1">
        <v>93.952000000000027</v>
      </c>
      <c r="P110" s="1"/>
      <c r="Q110" s="1">
        <f t="shared" si="28"/>
        <v>24</v>
      </c>
      <c r="R110" s="5">
        <f t="shared" ref="R109:R113" si="31">10.5*Q110-P110-O110-F110</f>
        <v>35.047999999999973</v>
      </c>
      <c r="S110" s="1">
        <f t="shared" si="29"/>
        <v>10.5</v>
      </c>
      <c r="T110" s="1">
        <f t="shared" si="30"/>
        <v>9.0396666666666672</v>
      </c>
      <c r="U110" s="1">
        <v>21.8</v>
      </c>
      <c r="V110" s="1">
        <v>21</v>
      </c>
      <c r="W110" s="1">
        <v>21</v>
      </c>
      <c r="X110" s="1">
        <v>21.6</v>
      </c>
      <c r="Y110" s="1">
        <v>22.4</v>
      </c>
      <c r="Z110" s="1">
        <v>19.8</v>
      </c>
      <c r="AA110" s="1">
        <v>19.600000000000001</v>
      </c>
      <c r="AB110" s="1">
        <v>24</v>
      </c>
      <c r="AC110" s="1">
        <v>23.2</v>
      </c>
      <c r="AD110" s="1">
        <v>17.8</v>
      </c>
      <c r="AE110" s="1"/>
      <c r="AF110" s="1">
        <f>G110*R110</f>
        <v>3.1543199999999976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154</v>
      </c>
      <c r="B111" s="1" t="s">
        <v>35</v>
      </c>
      <c r="C111" s="1">
        <v>357.61500000000001</v>
      </c>
      <c r="D111" s="1">
        <v>106.657</v>
      </c>
      <c r="E111" s="1">
        <v>72.590999999999994</v>
      </c>
      <c r="F111" s="1">
        <v>391.68099999999998</v>
      </c>
      <c r="G111" s="7">
        <v>1</v>
      </c>
      <c r="H111" s="1">
        <v>60</v>
      </c>
      <c r="I111" s="1" t="s">
        <v>36</v>
      </c>
      <c r="J111" s="1"/>
      <c r="K111" s="1">
        <v>72.5</v>
      </c>
      <c r="L111" s="1">
        <f t="shared" si="27"/>
        <v>9.0999999999993975E-2</v>
      </c>
      <c r="M111" s="1"/>
      <c r="N111" s="1"/>
      <c r="O111" s="1">
        <v>0</v>
      </c>
      <c r="P111" s="1"/>
      <c r="Q111" s="1">
        <f t="shared" si="28"/>
        <v>14.518199999999998</v>
      </c>
      <c r="R111" s="5"/>
      <c r="S111" s="1">
        <f t="shared" si="29"/>
        <v>26.97861993911091</v>
      </c>
      <c r="T111" s="1">
        <f t="shared" si="30"/>
        <v>26.97861993911091</v>
      </c>
      <c r="U111" s="1">
        <v>12.6028</v>
      </c>
      <c r="V111" s="1">
        <v>11.6654</v>
      </c>
      <c r="W111" s="1">
        <v>14.174200000000001</v>
      </c>
      <c r="X111" s="1">
        <v>45.174799999999998</v>
      </c>
      <c r="Y111" s="1">
        <v>44.218200000000003</v>
      </c>
      <c r="Z111" s="1">
        <v>10.622999999999999</v>
      </c>
      <c r="AA111" s="1">
        <v>11.144600000000001</v>
      </c>
      <c r="AB111" s="1">
        <v>19.508400000000002</v>
      </c>
      <c r="AC111" s="1">
        <v>24.999600000000001</v>
      </c>
      <c r="AD111" s="1">
        <v>21.991399999999999</v>
      </c>
      <c r="AE111" s="14" t="s">
        <v>122</v>
      </c>
      <c r="AF111" s="1">
        <f>G111*R111</f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155</v>
      </c>
      <c r="B112" s="1" t="s">
        <v>35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36</v>
      </c>
      <c r="J112" s="1"/>
      <c r="K112" s="1">
        <v>5</v>
      </c>
      <c r="L112" s="1">
        <f t="shared" si="27"/>
        <v>-5</v>
      </c>
      <c r="M112" s="1"/>
      <c r="N112" s="1"/>
      <c r="O112" s="1">
        <v>0</v>
      </c>
      <c r="P112" s="1"/>
      <c r="Q112" s="1">
        <f t="shared" si="28"/>
        <v>0</v>
      </c>
      <c r="R112" s="5"/>
      <c r="S112" s="1" t="e">
        <f t="shared" si="29"/>
        <v>#DIV/0!</v>
      </c>
      <c r="T112" s="1" t="e">
        <f t="shared" si="30"/>
        <v>#DIV/0!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-0.3352</v>
      </c>
      <c r="AA112" s="1">
        <v>-0.3352</v>
      </c>
      <c r="AB112" s="1">
        <v>0</v>
      </c>
      <c r="AC112" s="1">
        <v>0</v>
      </c>
      <c r="AD112" s="1">
        <v>0</v>
      </c>
      <c r="AE112" s="14" t="s">
        <v>122</v>
      </c>
      <c r="AF112" s="1">
        <f>G112*R112</f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156</v>
      </c>
      <c r="B113" s="1" t="s">
        <v>41</v>
      </c>
      <c r="C113" s="1">
        <v>30</v>
      </c>
      <c r="D113" s="1">
        <v>83</v>
      </c>
      <c r="E113" s="1">
        <v>49</v>
      </c>
      <c r="F113" s="1">
        <v>60</v>
      </c>
      <c r="G113" s="7">
        <v>0.09</v>
      </c>
      <c r="H113" s="1"/>
      <c r="I113" s="10" t="s">
        <v>39</v>
      </c>
      <c r="J113" s="1"/>
      <c r="K113" s="1">
        <v>66</v>
      </c>
      <c r="L113" s="1">
        <f t="shared" si="27"/>
        <v>-17</v>
      </c>
      <c r="M113" s="1"/>
      <c r="N113" s="1"/>
      <c r="O113" s="1">
        <v>79.12</v>
      </c>
      <c r="P113" s="1"/>
      <c r="Q113" s="1">
        <f t="shared" si="28"/>
        <v>9.8000000000000007</v>
      </c>
      <c r="R113" s="5"/>
      <c r="S113" s="1">
        <f t="shared" si="29"/>
        <v>14.195918367346938</v>
      </c>
      <c r="T113" s="1">
        <f t="shared" si="30"/>
        <v>14.195918367346938</v>
      </c>
      <c r="U113" s="1">
        <v>15</v>
      </c>
      <c r="V113" s="1">
        <v>11.6</v>
      </c>
      <c r="W113" s="1">
        <v>11.8</v>
      </c>
      <c r="X113" s="1">
        <v>12.6</v>
      </c>
      <c r="Y113" s="1">
        <v>8.1999999999999993</v>
      </c>
      <c r="Z113" s="1">
        <v>6.6</v>
      </c>
      <c r="AA113" s="1">
        <v>14.8</v>
      </c>
      <c r="AB113" s="1">
        <v>20.2</v>
      </c>
      <c r="AC113" s="1">
        <v>8.1999999999999993</v>
      </c>
      <c r="AD113" s="1">
        <v>2</v>
      </c>
      <c r="AE113" s="1"/>
      <c r="AF113" s="1">
        <f>G113*R113</f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1" t="s">
        <v>157</v>
      </c>
      <c r="B114" s="11" t="s">
        <v>41</v>
      </c>
      <c r="C114" s="11"/>
      <c r="D114" s="11"/>
      <c r="E114" s="11"/>
      <c r="F114" s="11"/>
      <c r="G114" s="12">
        <v>0</v>
      </c>
      <c r="H114" s="11"/>
      <c r="I114" s="11" t="s">
        <v>36</v>
      </c>
      <c r="J114" s="11"/>
      <c r="K114" s="11"/>
      <c r="L114" s="11">
        <f t="shared" si="27"/>
        <v>0</v>
      </c>
      <c r="M114" s="11"/>
      <c r="N114" s="11"/>
      <c r="O114" s="11">
        <v>0</v>
      </c>
      <c r="P114" s="11"/>
      <c r="Q114" s="11">
        <f t="shared" si="28"/>
        <v>0</v>
      </c>
      <c r="R114" s="13"/>
      <c r="S114" s="11" t="e">
        <f t="shared" si="29"/>
        <v>#DIV/0!</v>
      </c>
      <c r="T114" s="11" t="e">
        <f t="shared" si="30"/>
        <v>#DIV/0!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 t="s">
        <v>42</v>
      </c>
      <c r="AF114" s="1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158</v>
      </c>
      <c r="B115" s="1" t="s">
        <v>35</v>
      </c>
      <c r="C115" s="1">
        <v>446.077</v>
      </c>
      <c r="D115" s="1">
        <v>463.99900000000002</v>
      </c>
      <c r="E115" s="1">
        <v>398.97899999999998</v>
      </c>
      <c r="F115" s="1">
        <v>511.62</v>
      </c>
      <c r="G115" s="7">
        <v>1</v>
      </c>
      <c r="H115" s="1">
        <v>60</v>
      </c>
      <c r="I115" s="10" t="s">
        <v>39</v>
      </c>
      <c r="J115" s="1"/>
      <c r="K115" s="1">
        <v>384.75</v>
      </c>
      <c r="L115" s="1">
        <f t="shared" si="27"/>
        <v>14.228999999999985</v>
      </c>
      <c r="M115" s="1"/>
      <c r="N115" s="1"/>
      <c r="O115" s="1">
        <v>232.99426766000011</v>
      </c>
      <c r="P115" s="1">
        <v>237.22625234</v>
      </c>
      <c r="Q115" s="1">
        <f t="shared" si="28"/>
        <v>79.7958</v>
      </c>
      <c r="R115" s="5"/>
      <c r="S115" s="1">
        <f t="shared" si="29"/>
        <v>12.304413515498311</v>
      </c>
      <c r="T115" s="1">
        <f t="shared" si="30"/>
        <v>12.304413515498311</v>
      </c>
      <c r="U115" s="1">
        <v>96.615600000000001</v>
      </c>
      <c r="V115" s="1">
        <v>82.1096</v>
      </c>
      <c r="W115" s="1">
        <v>69.9298</v>
      </c>
      <c r="X115" s="1">
        <v>86.117800000000003</v>
      </c>
      <c r="Y115" s="1">
        <v>86.794000000000011</v>
      </c>
      <c r="Z115" s="1">
        <v>73.754199999999997</v>
      </c>
      <c r="AA115" s="1">
        <v>90.467399999999998</v>
      </c>
      <c r="AB115" s="1">
        <v>99.922799999999995</v>
      </c>
      <c r="AC115" s="1">
        <v>94.257800000000003</v>
      </c>
      <c r="AD115" s="1">
        <v>86.013800000000003</v>
      </c>
      <c r="AE115" s="1"/>
      <c r="AF115" s="1">
        <f t="shared" ref="AF115:AF121" si="32">G115*R115</f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159</v>
      </c>
      <c r="B116" s="1" t="s">
        <v>35</v>
      </c>
      <c r="C116" s="1">
        <v>737.73199999999997</v>
      </c>
      <c r="D116" s="1">
        <v>431.19400000000002</v>
      </c>
      <c r="E116" s="1">
        <v>520.64300000000003</v>
      </c>
      <c r="F116" s="1">
        <v>647.93499999999995</v>
      </c>
      <c r="G116" s="7">
        <v>1</v>
      </c>
      <c r="H116" s="1">
        <v>60</v>
      </c>
      <c r="I116" s="1" t="s">
        <v>36</v>
      </c>
      <c r="J116" s="1"/>
      <c r="K116" s="1">
        <v>497.8</v>
      </c>
      <c r="L116" s="1">
        <f t="shared" si="27"/>
        <v>22.843000000000018</v>
      </c>
      <c r="M116" s="1"/>
      <c r="N116" s="1"/>
      <c r="O116" s="1">
        <v>319.77721784999989</v>
      </c>
      <c r="P116" s="1">
        <v>325.58548214999979</v>
      </c>
      <c r="Q116" s="1">
        <f t="shared" si="28"/>
        <v>104.12860000000001</v>
      </c>
      <c r="R116" s="5"/>
      <c r="S116" s="1">
        <f t="shared" si="29"/>
        <v>12.420196756702765</v>
      </c>
      <c r="T116" s="1">
        <f t="shared" si="30"/>
        <v>12.420196756702765</v>
      </c>
      <c r="U116" s="1">
        <v>125.753</v>
      </c>
      <c r="V116" s="1">
        <v>106.21599999999999</v>
      </c>
      <c r="W116" s="1">
        <v>88.082799999999992</v>
      </c>
      <c r="X116" s="1">
        <v>110.0094</v>
      </c>
      <c r="Y116" s="1">
        <v>126.1358</v>
      </c>
      <c r="Z116" s="1">
        <v>118.1798</v>
      </c>
      <c r="AA116" s="1">
        <v>128.58260000000001</v>
      </c>
      <c r="AB116" s="1">
        <v>126.9572</v>
      </c>
      <c r="AC116" s="1">
        <v>118.0086</v>
      </c>
      <c r="AD116" s="1">
        <v>112.2222</v>
      </c>
      <c r="AE116" s="1"/>
      <c r="AF116" s="1">
        <f t="shared" si="32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160</v>
      </c>
      <c r="B117" s="1" t="s">
        <v>35</v>
      </c>
      <c r="C117" s="1">
        <v>203.518</v>
      </c>
      <c r="D117" s="1">
        <v>234.601</v>
      </c>
      <c r="E117" s="1">
        <v>153.24</v>
      </c>
      <c r="F117" s="1">
        <v>287.82600000000002</v>
      </c>
      <c r="G117" s="7">
        <v>1</v>
      </c>
      <c r="H117" s="1">
        <v>60</v>
      </c>
      <c r="I117" s="10" t="s">
        <v>39</v>
      </c>
      <c r="J117" s="1"/>
      <c r="K117" s="1">
        <v>140.6</v>
      </c>
      <c r="L117" s="1">
        <f t="shared" si="27"/>
        <v>12.640000000000015</v>
      </c>
      <c r="M117" s="1"/>
      <c r="N117" s="1"/>
      <c r="O117" s="1">
        <v>95.131946809999988</v>
      </c>
      <c r="P117" s="1">
        <v>96.859873189999973</v>
      </c>
      <c r="Q117" s="1">
        <f t="shared" si="28"/>
        <v>30.648000000000003</v>
      </c>
      <c r="R117" s="5"/>
      <c r="S117" s="1">
        <f t="shared" si="29"/>
        <v>15.655762855651263</v>
      </c>
      <c r="T117" s="1">
        <f t="shared" si="30"/>
        <v>15.655762855651263</v>
      </c>
      <c r="U117" s="1">
        <v>46.579000000000001</v>
      </c>
      <c r="V117" s="1">
        <v>41.085599999999999</v>
      </c>
      <c r="W117" s="1">
        <v>25.831600000000002</v>
      </c>
      <c r="X117" s="1">
        <v>33.179000000000002</v>
      </c>
      <c r="Y117" s="1">
        <v>34.262799999999999</v>
      </c>
      <c r="Z117" s="1">
        <v>34.434399999999997</v>
      </c>
      <c r="AA117" s="1">
        <v>48.102999999999987</v>
      </c>
      <c r="AB117" s="1">
        <v>48.851599999999998</v>
      </c>
      <c r="AC117" s="1">
        <v>46.164200000000001</v>
      </c>
      <c r="AD117" s="1">
        <v>43.4572</v>
      </c>
      <c r="AE117" s="1"/>
      <c r="AF117" s="1">
        <f t="shared" si="32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161</v>
      </c>
      <c r="B118" s="1" t="s">
        <v>35</v>
      </c>
      <c r="C118" s="1">
        <v>2131.9299999999998</v>
      </c>
      <c r="D118" s="1">
        <v>1694.204</v>
      </c>
      <c r="E118" s="1">
        <v>2126.7559999999999</v>
      </c>
      <c r="F118" s="1">
        <v>1710.12</v>
      </c>
      <c r="G118" s="7">
        <v>1</v>
      </c>
      <c r="H118" s="1">
        <v>60</v>
      </c>
      <c r="I118" s="1" t="s">
        <v>36</v>
      </c>
      <c r="J118" s="1"/>
      <c r="K118" s="1">
        <v>2133.1999999999998</v>
      </c>
      <c r="L118" s="1">
        <f t="shared" si="27"/>
        <v>-6.44399999999996</v>
      </c>
      <c r="M118" s="1"/>
      <c r="N118" s="1"/>
      <c r="O118" s="1">
        <v>1088.6278120475481</v>
      </c>
      <c r="P118" s="1">
        <v>1108.4010720040119</v>
      </c>
      <c r="Q118" s="1">
        <f t="shared" si="28"/>
        <v>425.35119999999995</v>
      </c>
      <c r="R118" s="5">
        <f t="shared" ref="R115:R121" si="33">10.5*Q118-P118-O118-F118</f>
        <v>559.0387159484394</v>
      </c>
      <c r="S118" s="1">
        <f t="shared" si="29"/>
        <v>10.5</v>
      </c>
      <c r="T118" s="1">
        <f t="shared" si="30"/>
        <v>9.1857008609628004</v>
      </c>
      <c r="U118" s="1">
        <v>404.13080000000002</v>
      </c>
      <c r="V118" s="1">
        <v>357.29899999999998</v>
      </c>
      <c r="W118" s="1">
        <v>310.04700000000003</v>
      </c>
      <c r="X118" s="1">
        <v>340.2808</v>
      </c>
      <c r="Y118" s="1">
        <v>387.70940000000002</v>
      </c>
      <c r="Z118" s="1">
        <v>346.7552</v>
      </c>
      <c r="AA118" s="1">
        <v>311.18439999999998</v>
      </c>
      <c r="AB118" s="1">
        <v>354.33460000000002</v>
      </c>
      <c r="AC118" s="1">
        <v>335.30160000000001</v>
      </c>
      <c r="AD118" s="1">
        <v>299.90980000000002</v>
      </c>
      <c r="AE118" s="1"/>
      <c r="AF118" s="1">
        <f t="shared" si="32"/>
        <v>559.0387159484394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162</v>
      </c>
      <c r="B119" s="1" t="s">
        <v>41</v>
      </c>
      <c r="C119" s="1">
        <v>206</v>
      </c>
      <c r="D119" s="1">
        <v>156</v>
      </c>
      <c r="E119" s="1">
        <v>12</v>
      </c>
      <c r="F119" s="1">
        <v>350</v>
      </c>
      <c r="G119" s="7">
        <v>0.25</v>
      </c>
      <c r="H119" s="1">
        <v>1096</v>
      </c>
      <c r="I119" s="9" t="s">
        <v>96</v>
      </c>
      <c r="J119" s="1"/>
      <c r="K119" s="1">
        <v>17</v>
      </c>
      <c r="L119" s="1">
        <f t="shared" si="27"/>
        <v>-5</v>
      </c>
      <c r="M119" s="1"/>
      <c r="N119" s="1"/>
      <c r="O119" s="1">
        <v>0</v>
      </c>
      <c r="P119" s="1"/>
      <c r="Q119" s="1">
        <f t="shared" si="28"/>
        <v>2.4</v>
      </c>
      <c r="R119" s="5"/>
      <c r="S119" s="1">
        <f t="shared" si="29"/>
        <v>145.83333333333334</v>
      </c>
      <c r="T119" s="1">
        <f t="shared" si="30"/>
        <v>145.83333333333334</v>
      </c>
      <c r="U119" s="1">
        <v>6.4</v>
      </c>
      <c r="V119" s="1">
        <v>5.6</v>
      </c>
      <c r="W119" s="1">
        <v>3</v>
      </c>
      <c r="X119" s="1">
        <v>3.4</v>
      </c>
      <c r="Y119" s="1">
        <v>7.4</v>
      </c>
      <c r="Z119" s="1">
        <v>11.8</v>
      </c>
      <c r="AA119" s="1">
        <v>14.8</v>
      </c>
      <c r="AB119" s="1">
        <v>15.2</v>
      </c>
      <c r="AC119" s="1">
        <v>11.8</v>
      </c>
      <c r="AD119" s="1">
        <v>7.4</v>
      </c>
      <c r="AE119" s="16" t="s">
        <v>182</v>
      </c>
      <c r="AF119" s="1">
        <f t="shared" si="32"/>
        <v>0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163</v>
      </c>
      <c r="B120" s="1" t="s">
        <v>41</v>
      </c>
      <c r="C120" s="1">
        <v>321</v>
      </c>
      <c r="D120" s="1"/>
      <c r="E120" s="1">
        <v>15</v>
      </c>
      <c r="F120" s="1">
        <v>306</v>
      </c>
      <c r="G120" s="7">
        <v>0.32500000000000001</v>
      </c>
      <c r="H120" s="1">
        <v>1096</v>
      </c>
      <c r="I120" s="1" t="s">
        <v>36</v>
      </c>
      <c r="J120" s="1"/>
      <c r="K120" s="1">
        <v>15</v>
      </c>
      <c r="L120" s="1">
        <f t="shared" si="27"/>
        <v>0</v>
      </c>
      <c r="M120" s="1"/>
      <c r="N120" s="1"/>
      <c r="O120" s="1">
        <v>0</v>
      </c>
      <c r="P120" s="1"/>
      <c r="Q120" s="1">
        <f t="shared" si="28"/>
        <v>3</v>
      </c>
      <c r="R120" s="5"/>
      <c r="S120" s="1">
        <f t="shared" si="29"/>
        <v>102</v>
      </c>
      <c r="T120" s="1">
        <f t="shared" si="30"/>
        <v>102</v>
      </c>
      <c r="U120" s="1">
        <v>2.4</v>
      </c>
      <c r="V120" s="1">
        <v>1</v>
      </c>
      <c r="W120" s="1">
        <v>1.8</v>
      </c>
      <c r="X120" s="1">
        <v>3.2</v>
      </c>
      <c r="Y120" s="1">
        <v>3.4</v>
      </c>
      <c r="Z120" s="1">
        <v>5.6</v>
      </c>
      <c r="AA120" s="1">
        <v>9.4</v>
      </c>
      <c r="AB120" s="1">
        <v>8.1999999999999993</v>
      </c>
      <c r="AC120" s="1">
        <v>8.1999999999999993</v>
      </c>
      <c r="AD120" s="1">
        <v>6.8</v>
      </c>
      <c r="AE120" s="14" t="s">
        <v>122</v>
      </c>
      <c r="AF120" s="1">
        <f t="shared" si="32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164</v>
      </c>
      <c r="B121" s="1" t="s">
        <v>41</v>
      </c>
      <c r="C121" s="1">
        <v>120</v>
      </c>
      <c r="D121" s="1">
        <v>204</v>
      </c>
      <c r="E121" s="1">
        <v>17</v>
      </c>
      <c r="F121" s="1">
        <v>307</v>
      </c>
      <c r="G121" s="7">
        <v>0.25</v>
      </c>
      <c r="H121" s="1">
        <v>1096</v>
      </c>
      <c r="I121" s="10" t="s">
        <v>75</v>
      </c>
      <c r="J121" s="1"/>
      <c r="K121" s="1">
        <v>17</v>
      </c>
      <c r="L121" s="1">
        <f t="shared" si="27"/>
        <v>0</v>
      </c>
      <c r="M121" s="1"/>
      <c r="N121" s="1"/>
      <c r="O121" s="1">
        <v>0</v>
      </c>
      <c r="P121" s="1"/>
      <c r="Q121" s="1">
        <f t="shared" si="28"/>
        <v>3.4</v>
      </c>
      <c r="R121" s="5"/>
      <c r="S121" s="1">
        <f t="shared" si="29"/>
        <v>90.294117647058826</v>
      </c>
      <c r="T121" s="1">
        <f t="shared" si="30"/>
        <v>90.294117647058826</v>
      </c>
      <c r="U121" s="1">
        <v>4.8</v>
      </c>
      <c r="V121" s="1">
        <v>4</v>
      </c>
      <c r="W121" s="1">
        <v>4</v>
      </c>
      <c r="X121" s="1">
        <v>4.4000000000000004</v>
      </c>
      <c r="Y121" s="1">
        <v>8.1999999999999993</v>
      </c>
      <c r="Z121" s="1">
        <v>14</v>
      </c>
      <c r="AA121" s="1">
        <v>11.4</v>
      </c>
      <c r="AB121" s="1">
        <v>11.2</v>
      </c>
      <c r="AC121" s="1">
        <v>12.4</v>
      </c>
      <c r="AD121" s="1">
        <v>6.6</v>
      </c>
      <c r="AE121" s="16" t="s">
        <v>179</v>
      </c>
      <c r="AF121" s="1">
        <f t="shared" si="32"/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1" t="s">
        <v>165</v>
      </c>
      <c r="B122" s="11" t="s">
        <v>35</v>
      </c>
      <c r="C122" s="11">
        <v>90.64</v>
      </c>
      <c r="D122" s="11"/>
      <c r="E122" s="11">
        <v>55.558</v>
      </c>
      <c r="F122" s="11">
        <v>35.082000000000001</v>
      </c>
      <c r="G122" s="12">
        <v>0</v>
      </c>
      <c r="H122" s="11"/>
      <c r="I122" s="11" t="s">
        <v>166</v>
      </c>
      <c r="J122" s="11"/>
      <c r="K122" s="11">
        <v>54.7</v>
      </c>
      <c r="L122" s="11">
        <f t="shared" si="27"/>
        <v>0.85799999999999699</v>
      </c>
      <c r="M122" s="11"/>
      <c r="N122" s="11"/>
      <c r="O122" s="11">
        <v>0</v>
      </c>
      <c r="P122" s="11"/>
      <c r="Q122" s="11">
        <f t="shared" si="28"/>
        <v>11.111599999999999</v>
      </c>
      <c r="R122" s="13"/>
      <c r="S122" s="11">
        <f t="shared" si="29"/>
        <v>3.157241081392419</v>
      </c>
      <c r="T122" s="11">
        <f t="shared" si="30"/>
        <v>3.157241081392419</v>
      </c>
      <c r="U122" s="11">
        <v>7.0571999999999999</v>
      </c>
      <c r="V122" s="11">
        <v>0.27200000000000002</v>
      </c>
      <c r="W122" s="11">
        <v>0.26840000000000003</v>
      </c>
      <c r="X122" s="11">
        <v>0.26840000000000003</v>
      </c>
      <c r="Y122" s="11">
        <v>0</v>
      </c>
      <c r="Z122" s="11">
        <v>0.26960000000000001</v>
      </c>
      <c r="AA122" s="11">
        <v>0.54359999999999997</v>
      </c>
      <c r="AB122" s="11">
        <v>0.27400000000000002</v>
      </c>
      <c r="AC122" s="11">
        <v>0</v>
      </c>
      <c r="AD122" s="11">
        <v>0</v>
      </c>
      <c r="AE122" s="14" t="s">
        <v>167</v>
      </c>
      <c r="AF122" s="1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1" t="s">
        <v>168</v>
      </c>
      <c r="B123" s="11" t="s">
        <v>35</v>
      </c>
      <c r="C123" s="11">
        <v>66.301000000000002</v>
      </c>
      <c r="D123" s="11">
        <v>54.078000000000003</v>
      </c>
      <c r="E123" s="15">
        <v>8.9990000000000006</v>
      </c>
      <c r="F123" s="15">
        <v>111.38</v>
      </c>
      <c r="G123" s="12">
        <v>0</v>
      </c>
      <c r="H123" s="11"/>
      <c r="I123" s="11" t="s">
        <v>169</v>
      </c>
      <c r="J123" s="11" t="s">
        <v>136</v>
      </c>
      <c r="K123" s="11">
        <v>11.4</v>
      </c>
      <c r="L123" s="11">
        <f t="shared" si="27"/>
        <v>-2.4009999999999998</v>
      </c>
      <c r="M123" s="11"/>
      <c r="N123" s="11"/>
      <c r="O123" s="11">
        <v>0</v>
      </c>
      <c r="P123" s="11"/>
      <c r="Q123" s="11">
        <f t="shared" si="28"/>
        <v>1.7998000000000001</v>
      </c>
      <c r="R123" s="13"/>
      <c r="S123" s="11">
        <f t="shared" si="29"/>
        <v>61.884653850427817</v>
      </c>
      <c r="T123" s="11">
        <f t="shared" si="30"/>
        <v>61.884653850427817</v>
      </c>
      <c r="U123" s="11">
        <v>0.60199999999999998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/>
      <c r="AF123" s="1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1" t="s">
        <v>170</v>
      </c>
      <c r="B124" s="11" t="s">
        <v>35</v>
      </c>
      <c r="C124" s="11"/>
      <c r="D124" s="11">
        <v>62.085000000000001</v>
      </c>
      <c r="E124" s="11"/>
      <c r="F124" s="15">
        <v>62.085000000000001</v>
      </c>
      <c r="G124" s="12">
        <v>0</v>
      </c>
      <c r="H124" s="11"/>
      <c r="I124" s="11" t="s">
        <v>169</v>
      </c>
      <c r="J124" s="11" t="s">
        <v>85</v>
      </c>
      <c r="K124" s="11"/>
      <c r="L124" s="11">
        <f t="shared" si="27"/>
        <v>0</v>
      </c>
      <c r="M124" s="11"/>
      <c r="N124" s="11"/>
      <c r="O124" s="11"/>
      <c r="P124" s="11"/>
      <c r="Q124" s="11">
        <f t="shared" si="28"/>
        <v>0</v>
      </c>
      <c r="R124" s="13"/>
      <c r="S124" s="11" t="e">
        <f t="shared" si="29"/>
        <v>#DIV/0!</v>
      </c>
      <c r="T124" s="11" t="e">
        <f t="shared" si="30"/>
        <v>#DIV/0!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/>
      <c r="AF124" s="1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171</v>
      </c>
      <c r="B125" s="1" t="s">
        <v>41</v>
      </c>
      <c r="C125" s="1"/>
      <c r="D125" s="1">
        <v>36</v>
      </c>
      <c r="E125" s="1">
        <v>24</v>
      </c>
      <c r="F125" s="1">
        <v>6</v>
      </c>
      <c r="G125" s="7">
        <v>0.3</v>
      </c>
      <c r="H125" s="1">
        <v>40</v>
      </c>
      <c r="I125" s="10" t="s">
        <v>39</v>
      </c>
      <c r="J125" s="1"/>
      <c r="K125" s="1">
        <v>54</v>
      </c>
      <c r="L125" s="1">
        <f t="shared" si="27"/>
        <v>-30</v>
      </c>
      <c r="M125" s="1"/>
      <c r="N125" s="1"/>
      <c r="O125" s="1">
        <v>0</v>
      </c>
      <c r="P125" s="1"/>
      <c r="Q125" s="1">
        <f t="shared" si="28"/>
        <v>4.8</v>
      </c>
      <c r="R125" s="5">
        <f t="shared" ref="R125:R129" si="34">10.5*Q125-P125-O125-F125</f>
        <v>44.4</v>
      </c>
      <c r="S125" s="1">
        <f t="shared" si="29"/>
        <v>10.5</v>
      </c>
      <c r="T125" s="1">
        <f t="shared" si="30"/>
        <v>1.25</v>
      </c>
      <c r="U125" s="1">
        <v>-0.4</v>
      </c>
      <c r="V125" s="1">
        <v>-0.2</v>
      </c>
      <c r="W125" s="1">
        <v>-0.8</v>
      </c>
      <c r="X125" s="1">
        <v>-2.6</v>
      </c>
      <c r="Y125" s="1">
        <v>18</v>
      </c>
      <c r="Z125" s="1">
        <v>19</v>
      </c>
      <c r="AA125" s="1">
        <v>-2</v>
      </c>
      <c r="AB125" s="1">
        <v>6.2</v>
      </c>
      <c r="AC125" s="1">
        <v>26</v>
      </c>
      <c r="AD125" s="1">
        <v>17</v>
      </c>
      <c r="AE125" s="1"/>
      <c r="AF125" s="1">
        <f>G125*R125</f>
        <v>13.319999999999999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172</v>
      </c>
      <c r="B126" s="1" t="s">
        <v>41</v>
      </c>
      <c r="C126" s="1"/>
      <c r="D126" s="1">
        <v>72</v>
      </c>
      <c r="E126" s="1">
        <v>56</v>
      </c>
      <c r="F126" s="1">
        <v>14</v>
      </c>
      <c r="G126" s="7">
        <v>0.3</v>
      </c>
      <c r="H126" s="1">
        <v>40</v>
      </c>
      <c r="I126" s="10" t="s">
        <v>39</v>
      </c>
      <c r="J126" s="1"/>
      <c r="K126" s="1">
        <v>72</v>
      </c>
      <c r="L126" s="1">
        <f t="shared" si="27"/>
        <v>-16</v>
      </c>
      <c r="M126" s="1"/>
      <c r="N126" s="1"/>
      <c r="O126" s="1">
        <v>0</v>
      </c>
      <c r="P126" s="1"/>
      <c r="Q126" s="1">
        <f t="shared" si="28"/>
        <v>11.2</v>
      </c>
      <c r="R126" s="5">
        <f t="shared" si="34"/>
        <v>103.6</v>
      </c>
      <c r="S126" s="1">
        <f t="shared" si="29"/>
        <v>10.5</v>
      </c>
      <c r="T126" s="1">
        <f t="shared" si="30"/>
        <v>1.25</v>
      </c>
      <c r="U126" s="1">
        <v>0</v>
      </c>
      <c r="V126" s="1">
        <v>2.2000000000000002</v>
      </c>
      <c r="W126" s="1">
        <v>4.5999999999999996</v>
      </c>
      <c r="X126" s="1">
        <v>1.2</v>
      </c>
      <c r="Y126" s="1">
        <v>-1.8</v>
      </c>
      <c r="Z126" s="1">
        <v>-0.6</v>
      </c>
      <c r="AA126" s="1">
        <v>-1.4</v>
      </c>
      <c r="AB126" s="1">
        <v>-2.8</v>
      </c>
      <c r="AC126" s="1">
        <v>-3.4</v>
      </c>
      <c r="AD126" s="1">
        <v>-4.2</v>
      </c>
      <c r="AE126" s="1"/>
      <c r="AF126" s="1">
        <f>G126*R126</f>
        <v>31.08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173</v>
      </c>
      <c r="B127" s="1" t="s">
        <v>35</v>
      </c>
      <c r="C127" s="1">
        <v>542.46299999999997</v>
      </c>
      <c r="D127" s="1">
        <v>100.462</v>
      </c>
      <c r="E127" s="1">
        <v>236.85900000000001</v>
      </c>
      <c r="F127" s="1">
        <v>392.10300000000001</v>
      </c>
      <c r="G127" s="7">
        <v>1</v>
      </c>
      <c r="H127" s="1">
        <v>50</v>
      </c>
      <c r="I127" s="1" t="s">
        <v>36</v>
      </c>
      <c r="J127" s="1"/>
      <c r="K127" s="1">
        <v>240.05</v>
      </c>
      <c r="L127" s="1">
        <f t="shared" si="27"/>
        <v>-3.1910000000000025</v>
      </c>
      <c r="M127" s="1"/>
      <c r="N127" s="1"/>
      <c r="O127" s="1">
        <v>46.152704999999912</v>
      </c>
      <c r="P127" s="1"/>
      <c r="Q127" s="1">
        <f t="shared" si="28"/>
        <v>47.3718</v>
      </c>
      <c r="R127" s="5">
        <f t="shared" si="34"/>
        <v>59.148195000000101</v>
      </c>
      <c r="S127" s="1">
        <f t="shared" si="29"/>
        <v>10.5</v>
      </c>
      <c r="T127" s="1">
        <f t="shared" si="30"/>
        <v>9.2514049497802464</v>
      </c>
      <c r="U127" s="1">
        <v>45.901799999999987</v>
      </c>
      <c r="V127" s="1">
        <v>47.190600000000003</v>
      </c>
      <c r="W127" s="1">
        <v>48.5548</v>
      </c>
      <c r="X127" s="1">
        <v>73.612200000000001</v>
      </c>
      <c r="Y127" s="1">
        <v>75.552800000000005</v>
      </c>
      <c r="Z127" s="1">
        <v>57.231399999999987</v>
      </c>
      <c r="AA127" s="1">
        <v>55.252400000000002</v>
      </c>
      <c r="AB127" s="1">
        <v>52.905799999999999</v>
      </c>
      <c r="AC127" s="1">
        <v>54.902999999999999</v>
      </c>
      <c r="AD127" s="1">
        <v>50.931199999999997</v>
      </c>
      <c r="AE127" s="1"/>
      <c r="AF127" s="1">
        <f>G127*R127</f>
        <v>59.148195000000101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174</v>
      </c>
      <c r="B128" s="1" t="s">
        <v>41</v>
      </c>
      <c r="C128" s="1"/>
      <c r="D128" s="1">
        <v>24</v>
      </c>
      <c r="E128" s="1">
        <v>15</v>
      </c>
      <c r="F128" s="1">
        <v>7</v>
      </c>
      <c r="G128" s="7">
        <v>0.3</v>
      </c>
      <c r="H128" s="1">
        <v>40</v>
      </c>
      <c r="I128" s="10" t="s">
        <v>39</v>
      </c>
      <c r="J128" s="1"/>
      <c r="K128" s="1">
        <v>24</v>
      </c>
      <c r="L128" s="1">
        <f t="shared" si="27"/>
        <v>-9</v>
      </c>
      <c r="M128" s="1"/>
      <c r="N128" s="1"/>
      <c r="O128" s="1">
        <v>0</v>
      </c>
      <c r="P128" s="1"/>
      <c r="Q128" s="1">
        <f t="shared" si="28"/>
        <v>3</v>
      </c>
      <c r="R128" s="5">
        <f t="shared" si="34"/>
        <v>24.5</v>
      </c>
      <c r="S128" s="1">
        <f t="shared" si="29"/>
        <v>10.5</v>
      </c>
      <c r="T128" s="1">
        <f t="shared" si="30"/>
        <v>2.3333333333333335</v>
      </c>
      <c r="U128" s="1">
        <v>-0.2</v>
      </c>
      <c r="V128" s="1">
        <v>0</v>
      </c>
      <c r="W128" s="1">
        <v>0</v>
      </c>
      <c r="X128" s="1">
        <v>1</v>
      </c>
      <c r="Y128" s="1">
        <v>1</v>
      </c>
      <c r="Z128" s="1">
        <v>-0.2</v>
      </c>
      <c r="AA128" s="1">
        <v>-0.2</v>
      </c>
      <c r="AB128" s="1">
        <v>-1</v>
      </c>
      <c r="AC128" s="1">
        <v>-0.6</v>
      </c>
      <c r="AD128" s="1">
        <v>1.6</v>
      </c>
      <c r="AE128" s="1"/>
      <c r="AF128" s="1">
        <f>G128*R128</f>
        <v>7.35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175</v>
      </c>
      <c r="B129" s="1" t="s">
        <v>41</v>
      </c>
      <c r="C129" s="1">
        <v>82</v>
      </c>
      <c r="D129" s="1">
        <v>120</v>
      </c>
      <c r="E129" s="1">
        <v>74</v>
      </c>
      <c r="F129" s="1">
        <v>125</v>
      </c>
      <c r="G129" s="7">
        <v>0.12</v>
      </c>
      <c r="H129" s="1">
        <v>45</v>
      </c>
      <c r="I129" s="10" t="s">
        <v>39</v>
      </c>
      <c r="J129" s="1"/>
      <c r="K129" s="1">
        <v>77</v>
      </c>
      <c r="L129" s="1">
        <f t="shared" si="27"/>
        <v>-3</v>
      </c>
      <c r="M129" s="1"/>
      <c r="N129" s="1"/>
      <c r="O129" s="1">
        <v>16.56999999999999</v>
      </c>
      <c r="P129" s="1"/>
      <c r="Q129" s="1">
        <f t="shared" si="28"/>
        <v>14.8</v>
      </c>
      <c r="R129" s="5">
        <f t="shared" si="34"/>
        <v>13.830000000000013</v>
      </c>
      <c r="S129" s="1">
        <f t="shared" si="29"/>
        <v>10.5</v>
      </c>
      <c r="T129" s="1">
        <f t="shared" si="30"/>
        <v>9.5655405405405389</v>
      </c>
      <c r="U129" s="1">
        <v>13.4</v>
      </c>
      <c r="V129" s="1">
        <v>13.6</v>
      </c>
      <c r="W129" s="1">
        <v>16.8</v>
      </c>
      <c r="X129" s="1">
        <v>16.2</v>
      </c>
      <c r="Y129" s="1">
        <v>14.2</v>
      </c>
      <c r="Z129" s="1">
        <v>13.8</v>
      </c>
      <c r="AA129" s="1">
        <v>10</v>
      </c>
      <c r="AB129" s="1">
        <v>9.6</v>
      </c>
      <c r="AC129" s="1">
        <v>11.6</v>
      </c>
      <c r="AD129" s="1">
        <v>10.4</v>
      </c>
      <c r="AE129" s="1"/>
      <c r="AF129" s="1">
        <f>G129*R129</f>
        <v>1.6596000000000015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1" t="s">
        <v>176</v>
      </c>
      <c r="B130" s="11" t="s">
        <v>41</v>
      </c>
      <c r="C130" s="11">
        <v>133</v>
      </c>
      <c r="D130" s="11">
        <v>7</v>
      </c>
      <c r="E130" s="15">
        <v>123</v>
      </c>
      <c r="F130" s="15">
        <v>10</v>
      </c>
      <c r="G130" s="12">
        <v>0</v>
      </c>
      <c r="H130" s="11"/>
      <c r="I130" s="11" t="s">
        <v>177</v>
      </c>
      <c r="J130" s="11" t="s">
        <v>91</v>
      </c>
      <c r="K130" s="11">
        <v>130</v>
      </c>
      <c r="L130" s="11">
        <f t="shared" si="27"/>
        <v>-7</v>
      </c>
      <c r="M130" s="11"/>
      <c r="N130" s="11"/>
      <c r="O130" s="11">
        <v>0</v>
      </c>
      <c r="P130" s="11"/>
      <c r="Q130" s="11">
        <f t="shared" si="28"/>
        <v>24.6</v>
      </c>
      <c r="R130" s="13"/>
      <c r="S130" s="11">
        <f t="shared" si="29"/>
        <v>0.4065040650406504</v>
      </c>
      <c r="T130" s="11">
        <f t="shared" si="30"/>
        <v>0.4065040650406504</v>
      </c>
      <c r="U130" s="11">
        <v>23.8</v>
      </c>
      <c r="V130" s="11">
        <v>19</v>
      </c>
      <c r="W130" s="11">
        <v>19.399999999999999</v>
      </c>
      <c r="X130" s="11">
        <v>19.2</v>
      </c>
      <c r="Y130" s="11">
        <v>21.6</v>
      </c>
      <c r="Z130" s="11">
        <v>26</v>
      </c>
      <c r="AA130" s="11">
        <v>31</v>
      </c>
      <c r="AB130" s="11">
        <v>28.6</v>
      </c>
      <c r="AC130" s="11">
        <v>14.4</v>
      </c>
      <c r="AD130" s="11">
        <v>9.4</v>
      </c>
      <c r="AE130" s="11"/>
      <c r="AF130" s="1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F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2026-10-13T08:28:47Z</dcterms:created>
  <dcterms:modified xsi:type="dcterms:W3CDTF">2026-10-13T08:43:42Z</dcterms:modified>
</cp:coreProperties>
</file>