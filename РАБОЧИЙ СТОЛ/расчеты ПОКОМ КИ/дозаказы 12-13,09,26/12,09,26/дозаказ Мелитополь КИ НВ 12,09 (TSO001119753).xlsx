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заказы 12,09,26\"/>
    </mc:Choice>
  </mc:AlternateContent>
  <xr:revisionPtr revIDLastSave="0" documentId="13_ncr:1_{B37C5A59-D25D-4213-B701-D1F225AA1EF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7" i="2" l="1"/>
  <c r="X556" i="2"/>
  <c r="BO555" i="2"/>
  <c r="BM555" i="2"/>
  <c r="Y555" i="2"/>
  <c r="BP555" i="2" s="1"/>
  <c r="BO554" i="2"/>
  <c r="BM554" i="2"/>
  <c r="Y554" i="2"/>
  <c r="AC568" i="2" s="1"/>
  <c r="P554" i="2"/>
  <c r="X551" i="2"/>
  <c r="X550" i="2"/>
  <c r="BO549" i="2"/>
  <c r="BM549" i="2"/>
  <c r="Y549" i="2"/>
  <c r="BP549" i="2" s="1"/>
  <c r="P549" i="2"/>
  <c r="BO548" i="2"/>
  <c r="BM548" i="2"/>
  <c r="Y548" i="2"/>
  <c r="Z548" i="2" s="1"/>
  <c r="P548" i="2"/>
  <c r="X546" i="2"/>
  <c r="X545" i="2"/>
  <c r="BO544" i="2"/>
  <c r="BM544" i="2"/>
  <c r="Z544" i="2"/>
  <c r="Z545" i="2" s="1"/>
  <c r="Y544" i="2"/>
  <c r="Y546" i="2" s="1"/>
  <c r="P544" i="2"/>
  <c r="X542" i="2"/>
  <c r="X541" i="2"/>
  <c r="BO540" i="2"/>
  <c r="BM540" i="2"/>
  <c r="Y540" i="2"/>
  <c r="BP540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Z532" i="2"/>
  <c r="Z533" i="2" s="1"/>
  <c r="Y532" i="2"/>
  <c r="P532" i="2"/>
  <c r="X528" i="2"/>
  <c r="X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P524" i="2"/>
  <c r="BO523" i="2"/>
  <c r="BM523" i="2"/>
  <c r="Y523" i="2"/>
  <c r="BP523" i="2" s="1"/>
  <c r="P523" i="2"/>
  <c r="BO522" i="2"/>
  <c r="BM522" i="2"/>
  <c r="Y522" i="2"/>
  <c r="Z522" i="2" s="1"/>
  <c r="P522" i="2"/>
  <c r="BO521" i="2"/>
  <c r="BM521" i="2"/>
  <c r="Y521" i="2"/>
  <c r="P521" i="2"/>
  <c r="BO520" i="2"/>
  <c r="BM520" i="2"/>
  <c r="Z520" i="2"/>
  <c r="Y520" i="2"/>
  <c r="BP520" i="2" s="1"/>
  <c r="P520" i="2"/>
  <c r="X518" i="2"/>
  <c r="Y517" i="2"/>
  <c r="X517" i="2"/>
  <c r="BO516" i="2"/>
  <c r="BM516" i="2"/>
  <c r="Z516" i="2"/>
  <c r="Y516" i="2"/>
  <c r="BP516" i="2" s="1"/>
  <c r="P516" i="2"/>
  <c r="BO515" i="2"/>
  <c r="BN515" i="2"/>
  <c r="BM515" i="2"/>
  <c r="Y515" i="2"/>
  <c r="BP515" i="2" s="1"/>
  <c r="P515" i="2"/>
  <c r="BO514" i="2"/>
  <c r="BM514" i="2"/>
  <c r="Y514" i="2"/>
  <c r="Z514" i="2" s="1"/>
  <c r="P514" i="2"/>
  <c r="X512" i="2"/>
  <c r="X511" i="2"/>
  <c r="BO510" i="2"/>
  <c r="BN510" i="2"/>
  <c r="BM510" i="2"/>
  <c r="Y510" i="2"/>
  <c r="BP510" i="2" s="1"/>
  <c r="P510" i="2"/>
  <c r="BO509" i="2"/>
  <c r="BM509" i="2"/>
  <c r="Y509" i="2"/>
  <c r="Z509" i="2" s="1"/>
  <c r="P509" i="2"/>
  <c r="BO508" i="2"/>
  <c r="BM508" i="2"/>
  <c r="Y508" i="2"/>
  <c r="BP508" i="2" s="1"/>
  <c r="P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N504" i="2"/>
  <c r="BM504" i="2"/>
  <c r="Y504" i="2"/>
  <c r="Z504" i="2" s="1"/>
  <c r="P504" i="2"/>
  <c r="BO503" i="2"/>
  <c r="BM503" i="2"/>
  <c r="Y503" i="2"/>
  <c r="P503" i="2"/>
  <c r="BO502" i="2"/>
  <c r="BM502" i="2"/>
  <c r="Y502" i="2"/>
  <c r="BN502" i="2" s="1"/>
  <c r="P502" i="2"/>
  <c r="X498" i="2"/>
  <c r="X497" i="2"/>
  <c r="BO496" i="2"/>
  <c r="BM496" i="2"/>
  <c r="Y496" i="2"/>
  <c r="P496" i="2"/>
  <c r="BO495" i="2"/>
  <c r="BM495" i="2"/>
  <c r="Y495" i="2"/>
  <c r="P495" i="2"/>
  <c r="BO494" i="2"/>
  <c r="BM494" i="2"/>
  <c r="Y494" i="2"/>
  <c r="BP494" i="2" s="1"/>
  <c r="P494" i="2"/>
  <c r="X492" i="2"/>
  <c r="X491" i="2"/>
  <c r="BO490" i="2"/>
  <c r="BM490" i="2"/>
  <c r="Y490" i="2"/>
  <c r="Z490" i="2" s="1"/>
  <c r="Z491" i="2" s="1"/>
  <c r="P490" i="2"/>
  <c r="X487" i="2"/>
  <c r="X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P480" i="2"/>
  <c r="BO479" i="2"/>
  <c r="BN479" i="2"/>
  <c r="BM479" i="2"/>
  <c r="Y479" i="2"/>
  <c r="Z479" i="2" s="1"/>
  <c r="P479" i="2"/>
  <c r="BO478" i="2"/>
  <c r="BN478" i="2"/>
  <c r="BM478" i="2"/>
  <c r="Y478" i="2"/>
  <c r="BP478" i="2" s="1"/>
  <c r="P478" i="2"/>
  <c r="BP477" i="2"/>
  <c r="BO477" i="2"/>
  <c r="BM477" i="2"/>
  <c r="Y477" i="2"/>
  <c r="BN477" i="2" s="1"/>
  <c r="P477" i="2"/>
  <c r="BO476" i="2"/>
  <c r="BM476" i="2"/>
  <c r="Y476" i="2"/>
  <c r="BN476" i="2" s="1"/>
  <c r="P476" i="2"/>
  <c r="BO475" i="2"/>
  <c r="BM475" i="2"/>
  <c r="Y475" i="2"/>
  <c r="P475" i="2"/>
  <c r="X471" i="2"/>
  <c r="X470" i="2"/>
  <c r="BO469" i="2"/>
  <c r="BN469" i="2"/>
  <c r="BM469" i="2"/>
  <c r="Z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Z467" i="2" s="1"/>
  <c r="P467" i="2"/>
  <c r="X465" i="2"/>
  <c r="X464" i="2"/>
  <c r="BO463" i="2"/>
  <c r="BM463" i="2"/>
  <c r="Y463" i="2"/>
  <c r="P463" i="2"/>
  <c r="X461" i="2"/>
  <c r="X460" i="2"/>
  <c r="BO459" i="2"/>
  <c r="BM459" i="2"/>
  <c r="Y459" i="2"/>
  <c r="BN459" i="2" s="1"/>
  <c r="P459" i="2"/>
  <c r="BP458" i="2"/>
  <c r="BO458" i="2"/>
  <c r="BM458" i="2"/>
  <c r="Y458" i="2"/>
  <c r="P458" i="2"/>
  <c r="X455" i="2"/>
  <c r="X454" i="2"/>
  <c r="BO453" i="2"/>
  <c r="BM453" i="2"/>
  <c r="Y453" i="2"/>
  <c r="BP453" i="2" s="1"/>
  <c r="P453" i="2"/>
  <c r="BO452" i="2"/>
  <c r="BM452" i="2"/>
  <c r="Y452" i="2"/>
  <c r="P452" i="2"/>
  <c r="X450" i="2"/>
  <c r="X449" i="2"/>
  <c r="BO448" i="2"/>
  <c r="BM448" i="2"/>
  <c r="Y448" i="2"/>
  <c r="P448" i="2"/>
  <c r="BO447" i="2"/>
  <c r="BM447" i="2"/>
  <c r="Y447" i="2"/>
  <c r="P447" i="2"/>
  <c r="BO446" i="2"/>
  <c r="BM446" i="2"/>
  <c r="Y446" i="2"/>
  <c r="P446" i="2"/>
  <c r="X444" i="2"/>
  <c r="X443" i="2"/>
  <c r="BO442" i="2"/>
  <c r="BM442" i="2"/>
  <c r="Y442" i="2"/>
  <c r="Z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X438" i="2"/>
  <c r="X437" i="2"/>
  <c r="BO436" i="2"/>
  <c r="BM436" i="2"/>
  <c r="Z436" i="2"/>
  <c r="Y436" i="2"/>
  <c r="BN436" i="2" s="1"/>
  <c r="P436" i="2"/>
  <c r="BO435" i="2"/>
  <c r="BM435" i="2"/>
  <c r="Y435" i="2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Z432" i="2" s="1"/>
  <c r="P432" i="2"/>
  <c r="BO431" i="2"/>
  <c r="BM431" i="2"/>
  <c r="Y431" i="2"/>
  <c r="BN431" i="2" s="1"/>
  <c r="P431" i="2"/>
  <c r="BO430" i="2"/>
  <c r="BM430" i="2"/>
  <c r="Y430" i="2"/>
  <c r="BP430" i="2" s="1"/>
  <c r="P430" i="2"/>
  <c r="BO429" i="2"/>
  <c r="BN429" i="2"/>
  <c r="BM429" i="2"/>
  <c r="Y429" i="2"/>
  <c r="P429" i="2"/>
  <c r="X425" i="2"/>
  <c r="X424" i="2"/>
  <c r="BO423" i="2"/>
  <c r="BM423" i="2"/>
  <c r="Y423" i="2"/>
  <c r="BN423" i="2" s="1"/>
  <c r="P423" i="2"/>
  <c r="BO422" i="2"/>
  <c r="BM422" i="2"/>
  <c r="Y422" i="2"/>
  <c r="BN422" i="2" s="1"/>
  <c r="P422" i="2"/>
  <c r="BO421" i="2"/>
  <c r="BM421" i="2"/>
  <c r="Y421" i="2"/>
  <c r="Z421" i="2" s="1"/>
  <c r="P421" i="2"/>
  <c r="X418" i="2"/>
  <c r="X417" i="2"/>
  <c r="BO416" i="2"/>
  <c r="BM416" i="2"/>
  <c r="Y416" i="2"/>
  <c r="BP416" i="2" s="1"/>
  <c r="P416" i="2"/>
  <c r="BO415" i="2"/>
  <c r="BM415" i="2"/>
  <c r="Y415" i="2"/>
  <c r="Z415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Z403" i="2" s="1"/>
  <c r="P403" i="2"/>
  <c r="BO402" i="2"/>
  <c r="BM402" i="2"/>
  <c r="Y402" i="2"/>
  <c r="Y406" i="2" s="1"/>
  <c r="P402" i="2"/>
  <c r="X400" i="2"/>
  <c r="X399" i="2"/>
  <c r="BO398" i="2"/>
  <c r="BM398" i="2"/>
  <c r="Y398" i="2"/>
  <c r="BN398" i="2" s="1"/>
  <c r="P398" i="2"/>
  <c r="BO397" i="2"/>
  <c r="BM397" i="2"/>
  <c r="Y397" i="2"/>
  <c r="BP397" i="2" s="1"/>
  <c r="P397" i="2"/>
  <c r="BO396" i="2"/>
  <c r="BM396" i="2"/>
  <c r="Y396" i="2"/>
  <c r="Z396" i="2" s="1"/>
  <c r="P396" i="2"/>
  <c r="BO395" i="2"/>
  <c r="BM395" i="2"/>
  <c r="Y395" i="2"/>
  <c r="BN395" i="2" s="1"/>
  <c r="P395" i="2"/>
  <c r="X393" i="2"/>
  <c r="X392" i="2"/>
  <c r="BO391" i="2"/>
  <c r="BN391" i="2"/>
  <c r="BM391" i="2"/>
  <c r="Y391" i="2"/>
  <c r="BP391" i="2" s="1"/>
  <c r="P391" i="2"/>
  <c r="BP390" i="2"/>
  <c r="BO390" i="2"/>
  <c r="BM390" i="2"/>
  <c r="Y390" i="2"/>
  <c r="BN390" i="2" s="1"/>
  <c r="P390" i="2"/>
  <c r="BO389" i="2"/>
  <c r="BM389" i="2"/>
  <c r="Y389" i="2"/>
  <c r="P389" i="2"/>
  <c r="X387" i="2"/>
  <c r="X386" i="2"/>
  <c r="BO385" i="2"/>
  <c r="BN385" i="2"/>
  <c r="BM385" i="2"/>
  <c r="Y385" i="2"/>
  <c r="BP385" i="2" s="1"/>
  <c r="P385" i="2"/>
  <c r="BO384" i="2"/>
  <c r="BM384" i="2"/>
  <c r="Y384" i="2"/>
  <c r="BP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BP378" i="2" s="1"/>
  <c r="P378" i="2"/>
  <c r="BO377" i="2"/>
  <c r="BM377" i="2"/>
  <c r="Y377" i="2"/>
  <c r="BP377" i="2" s="1"/>
  <c r="P377" i="2"/>
  <c r="BO376" i="2"/>
  <c r="BM376" i="2"/>
  <c r="Y376" i="2"/>
  <c r="Z376" i="2" s="1"/>
  <c r="P376" i="2"/>
  <c r="BO375" i="2"/>
  <c r="BM375" i="2"/>
  <c r="Y375" i="2"/>
  <c r="BP375" i="2" s="1"/>
  <c r="P375" i="2"/>
  <c r="BP374" i="2"/>
  <c r="BO374" i="2"/>
  <c r="BN374" i="2"/>
  <c r="BM374" i="2"/>
  <c r="Z374" i="2"/>
  <c r="Y374" i="2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Z368" i="2"/>
  <c r="Y368" i="2"/>
  <c r="BP368" i="2" s="1"/>
  <c r="P368" i="2"/>
  <c r="BO367" i="2"/>
  <c r="BN367" i="2"/>
  <c r="BM367" i="2"/>
  <c r="Y367" i="2"/>
  <c r="BP367" i="2" s="1"/>
  <c r="P367" i="2"/>
  <c r="BO366" i="2"/>
  <c r="BM366" i="2"/>
  <c r="Y366" i="2"/>
  <c r="BP366" i="2" s="1"/>
  <c r="P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Y369" i="2" s="1"/>
  <c r="P363" i="2"/>
  <c r="X360" i="2"/>
  <c r="X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P356" i="2"/>
  <c r="X353" i="2"/>
  <c r="X352" i="2"/>
  <c r="BO351" i="2"/>
  <c r="BM351" i="2"/>
  <c r="Z351" i="2"/>
  <c r="Y351" i="2"/>
  <c r="BN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BN345" i="2" s="1"/>
  <c r="P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P336" i="2" s="1"/>
  <c r="P336" i="2"/>
  <c r="BP335" i="2"/>
  <c r="BO335" i="2"/>
  <c r="BM335" i="2"/>
  <c r="Z335" i="2"/>
  <c r="Y335" i="2"/>
  <c r="P335" i="2"/>
  <c r="X332" i="2"/>
  <c r="X331" i="2"/>
  <c r="BO330" i="2"/>
  <c r="BM330" i="2"/>
  <c r="Y330" i="2"/>
  <c r="Z330" i="2" s="1"/>
  <c r="P330" i="2"/>
  <c r="BO329" i="2"/>
  <c r="BN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P326" i="2"/>
  <c r="X323" i="2"/>
  <c r="X322" i="2"/>
  <c r="BO321" i="2"/>
  <c r="BM321" i="2"/>
  <c r="Y321" i="2"/>
  <c r="P321" i="2"/>
  <c r="BO320" i="2"/>
  <c r="BM320" i="2"/>
  <c r="Y320" i="2"/>
  <c r="BP320" i="2" s="1"/>
  <c r="P320" i="2"/>
  <c r="BO319" i="2"/>
  <c r="BN319" i="2"/>
  <c r="BM319" i="2"/>
  <c r="Y319" i="2"/>
  <c r="Z319" i="2" s="1"/>
  <c r="P319" i="2"/>
  <c r="X317" i="2"/>
  <c r="X316" i="2"/>
  <c r="BO315" i="2"/>
  <c r="BN315" i="2"/>
  <c r="BM315" i="2"/>
  <c r="Y315" i="2"/>
  <c r="Y317" i="2" s="1"/>
  <c r="P315" i="2"/>
  <c r="Y313" i="2"/>
  <c r="X313" i="2"/>
  <c r="X312" i="2"/>
  <c r="BP311" i="2"/>
  <c r="BO311" i="2"/>
  <c r="BM311" i="2"/>
  <c r="Z311" i="2"/>
  <c r="Z312" i="2" s="1"/>
  <c r="Y311" i="2"/>
  <c r="Y312" i="2" s="1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P303" i="2"/>
  <c r="BO302" i="2"/>
  <c r="BM302" i="2"/>
  <c r="Y302" i="2"/>
  <c r="BP302" i="2" s="1"/>
  <c r="P302" i="2"/>
  <c r="BO301" i="2"/>
  <c r="BN301" i="2"/>
  <c r="BM301" i="2"/>
  <c r="Y301" i="2"/>
  <c r="P301" i="2"/>
  <c r="Y298" i="2"/>
  <c r="X298" i="2"/>
  <c r="X297" i="2"/>
  <c r="BO296" i="2"/>
  <c r="BM296" i="2"/>
  <c r="Y296" i="2"/>
  <c r="Z296" i="2" s="1"/>
  <c r="P296" i="2"/>
  <c r="BO295" i="2"/>
  <c r="BM295" i="2"/>
  <c r="Y295" i="2"/>
  <c r="BP295" i="2" s="1"/>
  <c r="P295" i="2"/>
  <c r="X293" i="2"/>
  <c r="X292" i="2"/>
  <c r="BO291" i="2"/>
  <c r="BM291" i="2"/>
  <c r="Y291" i="2"/>
  <c r="Z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P288" i="2" s="1"/>
  <c r="P288" i="2"/>
  <c r="BO287" i="2"/>
  <c r="BM287" i="2"/>
  <c r="Y287" i="2"/>
  <c r="P287" i="2"/>
  <c r="BO286" i="2"/>
  <c r="BN286" i="2"/>
  <c r="BM286" i="2"/>
  <c r="Y286" i="2"/>
  <c r="Z286" i="2" s="1"/>
  <c r="P286" i="2"/>
  <c r="BO285" i="2"/>
  <c r="BN285" i="2"/>
  <c r="BM285" i="2"/>
  <c r="Y285" i="2"/>
  <c r="BP285" i="2" s="1"/>
  <c r="P285" i="2"/>
  <c r="BP284" i="2"/>
  <c r="BO284" i="2"/>
  <c r="BN284" i="2"/>
  <c r="BM284" i="2"/>
  <c r="Z284" i="2"/>
  <c r="Y284" i="2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X278" i="2"/>
  <c r="X277" i="2"/>
  <c r="BO276" i="2"/>
  <c r="BM276" i="2"/>
  <c r="Y276" i="2"/>
  <c r="Z276" i="2" s="1"/>
  <c r="P276" i="2"/>
  <c r="BO275" i="2"/>
  <c r="BM275" i="2"/>
  <c r="Y275" i="2"/>
  <c r="P275" i="2"/>
  <c r="BP274" i="2"/>
  <c r="BO274" i="2"/>
  <c r="BM274" i="2"/>
  <c r="Z274" i="2"/>
  <c r="Y274" i="2"/>
  <c r="BN274" i="2" s="1"/>
  <c r="P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P270" i="2"/>
  <c r="BP269" i="2"/>
  <c r="BO269" i="2"/>
  <c r="BM269" i="2"/>
  <c r="Y269" i="2"/>
  <c r="BN269" i="2" s="1"/>
  <c r="P269" i="2"/>
  <c r="X267" i="2"/>
  <c r="X266" i="2"/>
  <c r="BO265" i="2"/>
  <c r="BN265" i="2"/>
  <c r="BM265" i="2"/>
  <c r="Y265" i="2"/>
  <c r="BP265" i="2" s="1"/>
  <c r="P265" i="2"/>
  <c r="BP264" i="2"/>
  <c r="BO264" i="2"/>
  <c r="BN264" i="2"/>
  <c r="BM264" i="2"/>
  <c r="Y264" i="2"/>
  <c r="P264" i="2"/>
  <c r="X262" i="2"/>
  <c r="X261" i="2"/>
  <c r="BO260" i="2"/>
  <c r="BM260" i="2"/>
  <c r="Y260" i="2"/>
  <c r="P260" i="2"/>
  <c r="BO259" i="2"/>
  <c r="BM259" i="2"/>
  <c r="Y259" i="2"/>
  <c r="Y261" i="2" s="1"/>
  <c r="P259" i="2"/>
  <c r="X256" i="2"/>
  <c r="X255" i="2"/>
  <c r="BO254" i="2"/>
  <c r="BM254" i="2"/>
  <c r="Y254" i="2"/>
  <c r="Y256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Z248" i="2"/>
  <c r="Y248" i="2"/>
  <c r="BP248" i="2" s="1"/>
  <c r="P248" i="2"/>
  <c r="X246" i="2"/>
  <c r="X245" i="2"/>
  <c r="BO244" i="2"/>
  <c r="BM244" i="2"/>
  <c r="Y244" i="2"/>
  <c r="P244" i="2"/>
  <c r="BO243" i="2"/>
  <c r="BN243" i="2"/>
  <c r="BM243" i="2"/>
  <c r="Y243" i="2"/>
  <c r="Z243" i="2" s="1"/>
  <c r="P243" i="2"/>
  <c r="BO242" i="2"/>
  <c r="BM242" i="2"/>
  <c r="Y242" i="2"/>
  <c r="BP242" i="2" s="1"/>
  <c r="P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N239" i="2"/>
  <c r="BM239" i="2"/>
  <c r="Z239" i="2"/>
  <c r="Y239" i="2"/>
  <c r="BP239" i="2" s="1"/>
  <c r="P239" i="2"/>
  <c r="BO238" i="2"/>
  <c r="BM238" i="2"/>
  <c r="Y238" i="2"/>
  <c r="P238" i="2"/>
  <c r="BO237" i="2"/>
  <c r="BN237" i="2"/>
  <c r="BM237" i="2"/>
  <c r="Y237" i="2"/>
  <c r="BP237" i="2" s="1"/>
  <c r="P237" i="2"/>
  <c r="BO236" i="2"/>
  <c r="BM236" i="2"/>
  <c r="Z236" i="2"/>
  <c r="Y236" i="2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P228" i="2"/>
  <c r="BO228" i="2"/>
  <c r="BN228" i="2"/>
  <c r="BM228" i="2"/>
  <c r="Z228" i="2"/>
  <c r="Y228" i="2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Z224" i="2" s="1"/>
  <c r="P224" i="2"/>
  <c r="BP223" i="2"/>
  <c r="BO223" i="2"/>
  <c r="BM223" i="2"/>
  <c r="Y223" i="2"/>
  <c r="Z223" i="2" s="1"/>
  <c r="P223" i="2"/>
  <c r="BO222" i="2"/>
  <c r="BM222" i="2"/>
  <c r="Z222" i="2"/>
  <c r="Y222" i="2"/>
  <c r="BN222" i="2" s="1"/>
  <c r="P222" i="2"/>
  <c r="BO221" i="2"/>
  <c r="BM221" i="2"/>
  <c r="Z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BP219" i="2" s="1"/>
  <c r="P219" i="2"/>
  <c r="BO218" i="2"/>
  <c r="BM218" i="2"/>
  <c r="Y218" i="2"/>
  <c r="P218" i="2"/>
  <c r="X216" i="2"/>
  <c r="X215" i="2"/>
  <c r="BO214" i="2"/>
  <c r="BM214" i="2"/>
  <c r="Y214" i="2"/>
  <c r="Y216" i="2" s="1"/>
  <c r="P214" i="2"/>
  <c r="X211" i="2"/>
  <c r="X210" i="2"/>
  <c r="BO209" i="2"/>
  <c r="BM209" i="2"/>
  <c r="Y209" i="2"/>
  <c r="BN209" i="2" s="1"/>
  <c r="P209" i="2"/>
  <c r="BO208" i="2"/>
  <c r="BM208" i="2"/>
  <c r="Y208" i="2"/>
  <c r="P208" i="2"/>
  <c r="BO207" i="2"/>
  <c r="BM207" i="2"/>
  <c r="Z207" i="2"/>
  <c r="Y207" i="2"/>
  <c r="BP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BP203" i="2" s="1"/>
  <c r="P203" i="2"/>
  <c r="X199" i="2"/>
  <c r="X198" i="2"/>
  <c r="BO197" i="2"/>
  <c r="BM197" i="2"/>
  <c r="Y197" i="2"/>
  <c r="BN197" i="2" s="1"/>
  <c r="P197" i="2"/>
  <c r="X195" i="2"/>
  <c r="X194" i="2"/>
  <c r="BO193" i="2"/>
  <c r="BM193" i="2"/>
  <c r="Y193" i="2"/>
  <c r="Y195" i="2" s="1"/>
  <c r="P193" i="2"/>
  <c r="X191" i="2"/>
  <c r="X190" i="2"/>
  <c r="BO189" i="2"/>
  <c r="BM189" i="2"/>
  <c r="Y189" i="2"/>
  <c r="BP189" i="2" s="1"/>
  <c r="P189" i="2"/>
  <c r="BO188" i="2"/>
  <c r="BM188" i="2"/>
  <c r="Y188" i="2"/>
  <c r="P188" i="2"/>
  <c r="BO187" i="2"/>
  <c r="BM187" i="2"/>
  <c r="Y187" i="2"/>
  <c r="P187" i="2"/>
  <c r="X185" i="2"/>
  <c r="X184" i="2"/>
  <c r="BO183" i="2"/>
  <c r="BM183" i="2"/>
  <c r="Y183" i="2"/>
  <c r="P183" i="2"/>
  <c r="BO182" i="2"/>
  <c r="BM182" i="2"/>
  <c r="Y182" i="2"/>
  <c r="BP182" i="2" s="1"/>
  <c r="P182" i="2"/>
  <c r="BO181" i="2"/>
  <c r="BM181" i="2"/>
  <c r="Z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Z179" i="2" s="1"/>
  <c r="P179" i="2"/>
  <c r="BP178" i="2"/>
  <c r="BO178" i="2"/>
  <c r="BM178" i="2"/>
  <c r="Y178" i="2"/>
  <c r="Z178" i="2" s="1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P172" i="2"/>
  <c r="X170" i="2"/>
  <c r="X169" i="2"/>
  <c r="BO168" i="2"/>
  <c r="BM168" i="2"/>
  <c r="Y168" i="2"/>
  <c r="P168" i="2"/>
  <c r="BO167" i="2"/>
  <c r="BM167" i="2"/>
  <c r="Y167" i="2"/>
  <c r="BN167" i="2" s="1"/>
  <c r="P167" i="2"/>
  <c r="X165" i="2"/>
  <c r="X164" i="2"/>
  <c r="BO163" i="2"/>
  <c r="BM163" i="2"/>
  <c r="Y163" i="2"/>
  <c r="BN163" i="2" s="1"/>
  <c r="P163" i="2"/>
  <c r="BO162" i="2"/>
  <c r="BN162" i="2"/>
  <c r="BM162" i="2"/>
  <c r="Y162" i="2"/>
  <c r="P162" i="2"/>
  <c r="BO161" i="2"/>
  <c r="BM161" i="2"/>
  <c r="Z161" i="2"/>
  <c r="Y161" i="2"/>
  <c r="P161" i="2"/>
  <c r="Y158" i="2"/>
  <c r="X158" i="2"/>
  <c r="X157" i="2"/>
  <c r="BO156" i="2"/>
  <c r="BM156" i="2"/>
  <c r="Y156" i="2"/>
  <c r="BP156" i="2" s="1"/>
  <c r="P156" i="2"/>
  <c r="X154" i="2"/>
  <c r="X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BN147" i="2" s="1"/>
  <c r="P147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N136" i="2" s="1"/>
  <c r="P136" i="2"/>
  <c r="X134" i="2"/>
  <c r="X133" i="2"/>
  <c r="BO132" i="2"/>
  <c r="BM132" i="2"/>
  <c r="Y132" i="2"/>
  <c r="BN132" i="2" s="1"/>
  <c r="P132" i="2"/>
  <c r="BO131" i="2"/>
  <c r="BN131" i="2"/>
  <c r="BM131" i="2"/>
  <c r="Y131" i="2"/>
  <c r="Y134" i="2" s="1"/>
  <c r="P131" i="2"/>
  <c r="X128" i="2"/>
  <c r="Y127" i="2"/>
  <c r="X127" i="2"/>
  <c r="BO126" i="2"/>
  <c r="BN126" i="2"/>
  <c r="BM126" i="2"/>
  <c r="Y126" i="2"/>
  <c r="Y128" i="2" s="1"/>
  <c r="P126" i="2"/>
  <c r="X124" i="2"/>
  <c r="X123" i="2"/>
  <c r="BO122" i="2"/>
  <c r="BM122" i="2"/>
  <c r="Y122" i="2"/>
  <c r="Z122" i="2" s="1"/>
  <c r="P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Y124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N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BP111" i="2"/>
  <c r="BO111" i="2"/>
  <c r="BM111" i="2"/>
  <c r="Y111" i="2"/>
  <c r="Z111" i="2" s="1"/>
  <c r="P111" i="2"/>
  <c r="X109" i="2"/>
  <c r="X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N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P102" i="2"/>
  <c r="X99" i="2"/>
  <c r="X98" i="2"/>
  <c r="BO97" i="2"/>
  <c r="BM97" i="2"/>
  <c r="Y97" i="2"/>
  <c r="Z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X92" i="2"/>
  <c r="X91" i="2"/>
  <c r="BO90" i="2"/>
  <c r="BM90" i="2"/>
  <c r="Y90" i="2"/>
  <c r="BN90" i="2" s="1"/>
  <c r="P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Z87" i="2" s="1"/>
  <c r="P87" i="2"/>
  <c r="BO86" i="2"/>
  <c r="BM86" i="2"/>
  <c r="Y86" i="2"/>
  <c r="Z86" i="2" s="1"/>
  <c r="P86" i="2"/>
  <c r="BO85" i="2"/>
  <c r="BM85" i="2"/>
  <c r="Y85" i="2"/>
  <c r="P85" i="2"/>
  <c r="X82" i="2"/>
  <c r="X81" i="2"/>
  <c r="BO80" i="2"/>
  <c r="BM80" i="2"/>
  <c r="Y80" i="2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N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N61" i="2" s="1"/>
  <c r="P61" i="2"/>
  <c r="BP60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N56" i="2"/>
  <c r="BM56" i="2"/>
  <c r="Y56" i="2"/>
  <c r="BP56" i="2" s="1"/>
  <c r="P56" i="2"/>
  <c r="BO55" i="2"/>
  <c r="BM55" i="2"/>
  <c r="Z55" i="2"/>
  <c r="Y55" i="2"/>
  <c r="BN55" i="2" s="1"/>
  <c r="P55" i="2"/>
  <c r="X52" i="2"/>
  <c r="X51" i="2"/>
  <c r="BP50" i="2"/>
  <c r="BO50" i="2"/>
  <c r="BN50" i="2"/>
  <c r="BM50" i="2"/>
  <c r="Z50" i="2"/>
  <c r="Y50" i="2"/>
  <c r="P50" i="2"/>
  <c r="BP49" i="2"/>
  <c r="BO49" i="2"/>
  <c r="BM49" i="2"/>
  <c r="Z49" i="2"/>
  <c r="Y49" i="2"/>
  <c r="BN49" i="2" s="1"/>
  <c r="P49" i="2"/>
  <c r="BO48" i="2"/>
  <c r="BM48" i="2"/>
  <c r="Y48" i="2"/>
  <c r="BN48" i="2" s="1"/>
  <c r="P48" i="2"/>
  <c r="BO47" i="2"/>
  <c r="BM47" i="2"/>
  <c r="Y47" i="2"/>
  <c r="Y51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O39" i="2"/>
  <c r="BN39" i="2"/>
  <c r="BM39" i="2"/>
  <c r="Z39" i="2"/>
  <c r="Y39" i="2"/>
  <c r="BP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P28" i="2"/>
  <c r="BP27" i="2"/>
  <c r="BO27" i="2"/>
  <c r="BM27" i="2"/>
  <c r="Z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A10" i="2" s="1"/>
  <c r="D7" i="2"/>
  <c r="Q6" i="2"/>
  <c r="P2" i="2"/>
  <c r="X559" i="2" l="1"/>
  <c r="BP61" i="2"/>
  <c r="Z136" i="2"/>
  <c r="Z271" i="2"/>
  <c r="BP281" i="2"/>
  <c r="BN408" i="2"/>
  <c r="BN467" i="2"/>
  <c r="Z38" i="2"/>
  <c r="Z94" i="2"/>
  <c r="BP197" i="2"/>
  <c r="BP240" i="2"/>
  <c r="BN271" i="2"/>
  <c r="BN87" i="2"/>
  <c r="G568" i="2"/>
  <c r="Z237" i="2"/>
  <c r="Z337" i="2"/>
  <c r="BN94" i="2"/>
  <c r="BP476" i="2"/>
  <c r="Z65" i="2"/>
  <c r="Y199" i="2"/>
  <c r="Z231" i="2"/>
  <c r="Z345" i="2"/>
  <c r="Y352" i="2"/>
  <c r="Z395" i="2"/>
  <c r="Z434" i="2"/>
  <c r="BN29" i="2"/>
  <c r="BN72" i="2"/>
  <c r="Z177" i="2"/>
  <c r="BN207" i="2"/>
  <c r="BN248" i="2"/>
  <c r="BN291" i="2"/>
  <c r="Z459" i="2"/>
  <c r="BN514" i="2"/>
  <c r="BN231" i="2"/>
  <c r="BN306" i="2"/>
  <c r="BN330" i="2"/>
  <c r="BN375" i="2"/>
  <c r="Y393" i="2"/>
  <c r="Z477" i="2"/>
  <c r="Y154" i="2"/>
  <c r="Y339" i="2"/>
  <c r="Y359" i="2"/>
  <c r="Y139" i="2"/>
  <c r="BP459" i="2"/>
  <c r="Y486" i="2"/>
  <c r="BP38" i="2"/>
  <c r="BN95" i="2"/>
  <c r="BN182" i="2"/>
  <c r="BN302" i="2"/>
  <c r="BN403" i="2"/>
  <c r="BN410" i="2"/>
  <c r="Z484" i="2"/>
  <c r="BN494" i="2"/>
  <c r="Y541" i="2"/>
  <c r="BN31" i="2"/>
  <c r="BN89" i="2"/>
  <c r="Z104" i="2"/>
  <c r="Z115" i="2"/>
  <c r="BN149" i="2"/>
  <c r="BN156" i="2"/>
  <c r="Z288" i="2"/>
  <c r="BN307" i="2"/>
  <c r="Q568" i="2"/>
  <c r="BN376" i="2"/>
  <c r="Z390" i="2"/>
  <c r="Z422" i="2"/>
  <c r="Z431" i="2"/>
  <c r="F568" i="2"/>
  <c r="BP484" i="2"/>
  <c r="Y497" i="2"/>
  <c r="BN522" i="2"/>
  <c r="BN104" i="2"/>
  <c r="Z384" i="2"/>
  <c r="Y470" i="2"/>
  <c r="Z61" i="2"/>
  <c r="Y266" i="2"/>
  <c r="Z281" i="2"/>
  <c r="Z343" i="2"/>
  <c r="BN384" i="2"/>
  <c r="Z485" i="2"/>
  <c r="C568" i="2"/>
  <c r="BN142" i="2"/>
  <c r="Z264" i="2"/>
  <c r="BN296" i="2"/>
  <c r="BN350" i="2"/>
  <c r="BP436" i="2"/>
  <c r="Z398" i="2"/>
  <c r="BN430" i="2"/>
  <c r="X558" i="2"/>
  <c r="BP97" i="2"/>
  <c r="BP163" i="2"/>
  <c r="BN205" i="2"/>
  <c r="Z205" i="2"/>
  <c r="BP208" i="2"/>
  <c r="BN208" i="2"/>
  <c r="Z208" i="2"/>
  <c r="BN227" i="2"/>
  <c r="BP227" i="2"/>
  <c r="Z227" i="2"/>
  <c r="BP275" i="2"/>
  <c r="BN275" i="2"/>
  <c r="BP326" i="2"/>
  <c r="BN326" i="2"/>
  <c r="Y332" i="2"/>
  <c r="Z326" i="2"/>
  <c r="BN435" i="2"/>
  <c r="Z435" i="2"/>
  <c r="Y527" i="2"/>
  <c r="BP521" i="2"/>
  <c r="Y33" i="2"/>
  <c r="Z37" i="2"/>
  <c r="BP48" i="2"/>
  <c r="BP59" i="2"/>
  <c r="Y81" i="2"/>
  <c r="Z85" i="2"/>
  <c r="BP85" i="2"/>
  <c r="BP88" i="2"/>
  <c r="Z103" i="2"/>
  <c r="Z106" i="2"/>
  <c r="BP106" i="2"/>
  <c r="Z114" i="2"/>
  <c r="BP114" i="2"/>
  <c r="Z119" i="2"/>
  <c r="Z163" i="2"/>
  <c r="BP183" i="2"/>
  <c r="Z183" i="2"/>
  <c r="BN250" i="2"/>
  <c r="BP250" i="2"/>
  <c r="BN273" i="2"/>
  <c r="BP273" i="2"/>
  <c r="Y278" i="2"/>
  <c r="BP303" i="2"/>
  <c r="BN303" i="2"/>
  <c r="Z303" i="2"/>
  <c r="BP357" i="2"/>
  <c r="Z357" i="2"/>
  <c r="BN441" i="2"/>
  <c r="Z441" i="2"/>
  <c r="Y460" i="2"/>
  <c r="Z458" i="2"/>
  <c r="Z460" i="2" s="1"/>
  <c r="BP503" i="2"/>
  <c r="BN503" i="2"/>
  <c r="Z524" i="2"/>
  <c r="BN524" i="2"/>
  <c r="X560" i="2"/>
  <c r="X561" i="2" s="1"/>
  <c r="BP29" i="2"/>
  <c r="BN30" i="2"/>
  <c r="BP37" i="2"/>
  <c r="BP41" i="2"/>
  <c r="Z48" i="2"/>
  <c r="Z56" i="2"/>
  <c r="Z59" i="2"/>
  <c r="Z66" i="2"/>
  <c r="Y76" i="2"/>
  <c r="BN78" i="2"/>
  <c r="Z80" i="2"/>
  <c r="Z95" i="2"/>
  <c r="BN97" i="2"/>
  <c r="Z105" i="2"/>
  <c r="BP113" i="2"/>
  <c r="BN120" i="2"/>
  <c r="Z120" i="2"/>
  <c r="BP132" i="2"/>
  <c r="Z132" i="2"/>
  <c r="BP181" i="2"/>
  <c r="BP232" i="2"/>
  <c r="BN232" i="2"/>
  <c r="BN270" i="2"/>
  <c r="BP270" i="2"/>
  <c r="Z270" i="2"/>
  <c r="BP282" i="2"/>
  <c r="BN282" i="2"/>
  <c r="Z282" i="2"/>
  <c r="BP321" i="2"/>
  <c r="Z321" i="2"/>
  <c r="BN346" i="2"/>
  <c r="BP346" i="2"/>
  <c r="Z346" i="2"/>
  <c r="BP409" i="2"/>
  <c r="BN409" i="2"/>
  <c r="BN452" i="2"/>
  <c r="Y455" i="2"/>
  <c r="BP452" i="2"/>
  <c r="Z452" i="2"/>
  <c r="Y454" i="2"/>
  <c r="Y465" i="2"/>
  <c r="BN463" i="2"/>
  <c r="Y568" i="2"/>
  <c r="Z475" i="2"/>
  <c r="BP506" i="2"/>
  <c r="Z506" i="2"/>
  <c r="BP103" i="2"/>
  <c r="Z168" i="2"/>
  <c r="BP168" i="2"/>
  <c r="Y169" i="2"/>
  <c r="Z188" i="2"/>
  <c r="BP188" i="2"/>
  <c r="BN238" i="2"/>
  <c r="BP238" i="2"/>
  <c r="Z238" i="2"/>
  <c r="BP244" i="2"/>
  <c r="BN244" i="2"/>
  <c r="BN344" i="2"/>
  <c r="Z344" i="2"/>
  <c r="BP446" i="2"/>
  <c r="BN446" i="2"/>
  <c r="Z446" i="2"/>
  <c r="BP480" i="2"/>
  <c r="BN480" i="2"/>
  <c r="Y24" i="2"/>
  <c r="X562" i="2"/>
  <c r="BP30" i="2"/>
  <c r="BN37" i="2"/>
  <c r="BN41" i="2"/>
  <c r="Y62" i="2"/>
  <c r="BP57" i="2"/>
  <c r="Y70" i="2"/>
  <c r="BP67" i="2"/>
  <c r="BP72" i="2"/>
  <c r="BN85" i="2"/>
  <c r="BP87" i="2"/>
  <c r="BN88" i="2"/>
  <c r="BN119" i="2"/>
  <c r="BN121" i="2"/>
  <c r="BP121" i="2"/>
  <c r="BN137" i="2"/>
  <c r="Z137" i="2"/>
  <c r="Z138" i="2" s="1"/>
  <c r="BP162" i="2"/>
  <c r="Z162" i="2"/>
  <c r="Z164" i="2" s="1"/>
  <c r="BP172" i="2"/>
  <c r="BN172" i="2"/>
  <c r="BP176" i="2"/>
  <c r="Z176" i="2"/>
  <c r="BN183" i="2"/>
  <c r="BP205" i="2"/>
  <c r="BN225" i="2"/>
  <c r="Z225" i="2"/>
  <c r="BN230" i="2"/>
  <c r="BP230" i="2"/>
  <c r="BP287" i="2"/>
  <c r="BN287" i="2"/>
  <c r="Y309" i="2"/>
  <c r="BP344" i="2"/>
  <c r="BN364" i="2"/>
  <c r="BP364" i="2"/>
  <c r="Z364" i="2"/>
  <c r="Z366" i="2"/>
  <c r="BN366" i="2"/>
  <c r="BP435" i="2"/>
  <c r="BN206" i="2"/>
  <c r="BP209" i="2"/>
  <c r="BP222" i="2"/>
  <c r="BN229" i="2"/>
  <c r="BN241" i="2"/>
  <c r="BN249" i="2"/>
  <c r="Y262" i="2"/>
  <c r="Y267" i="2"/>
  <c r="BN272" i="2"/>
  <c r="BP276" i="2"/>
  <c r="BN280" i="2"/>
  <c r="BP283" i="2"/>
  <c r="BN305" i="2"/>
  <c r="BP319" i="2"/>
  <c r="BN320" i="2"/>
  <c r="Y322" i="2"/>
  <c r="BN328" i="2"/>
  <c r="BN336" i="2"/>
  <c r="BN356" i="2"/>
  <c r="BN365" i="2"/>
  <c r="BN378" i="2"/>
  <c r="BP389" i="2"/>
  <c r="BN404" i="2"/>
  <c r="Y412" i="2"/>
  <c r="BP423" i="2"/>
  <c r="Y437" i="2"/>
  <c r="BN453" i="2"/>
  <c r="Y487" i="2"/>
  <c r="AA568" i="2"/>
  <c r="BP504" i="2"/>
  <c r="BN505" i="2"/>
  <c r="BP522" i="2"/>
  <c r="BN523" i="2"/>
  <c r="BP167" i="2"/>
  <c r="BP180" i="2"/>
  <c r="Y191" i="2"/>
  <c r="BP187" i="2"/>
  <c r="BP204" i="2"/>
  <c r="BN221" i="2"/>
  <c r="BP226" i="2"/>
  <c r="BP243" i="2"/>
  <c r="O568" i="2"/>
  <c r="Z302" i="2"/>
  <c r="BP307" i="2"/>
  <c r="BN311" i="2"/>
  <c r="BP330" i="2"/>
  <c r="BN335" i="2"/>
  <c r="Y338" i="2"/>
  <c r="Y347" i="2"/>
  <c r="BP345" i="2"/>
  <c r="BP351" i="2"/>
  <c r="Z389" i="2"/>
  <c r="Z397" i="2"/>
  <c r="BP398" i="2"/>
  <c r="BP408" i="2"/>
  <c r="Z410" i="2"/>
  <c r="Y425" i="2"/>
  <c r="Z423" i="2"/>
  <c r="Z424" i="2" s="1"/>
  <c r="Z433" i="2"/>
  <c r="BP434" i="2"/>
  <c r="Y449" i="2"/>
  <c r="Y450" i="2"/>
  <c r="Y471" i="2"/>
  <c r="BP479" i="2"/>
  <c r="BN484" i="2"/>
  <c r="Z494" i="2"/>
  <c r="Z502" i="2"/>
  <c r="BP502" i="2"/>
  <c r="H568" i="2"/>
  <c r="BP131" i="2"/>
  <c r="BP136" i="2"/>
  <c r="Z142" i="2"/>
  <c r="Y157" i="2"/>
  <c r="J568" i="2"/>
  <c r="BP161" i="2"/>
  <c r="Z167" i="2"/>
  <c r="BP177" i="2"/>
  <c r="Z180" i="2"/>
  <c r="Z182" i="2"/>
  <c r="Z187" i="2"/>
  <c r="Y194" i="2"/>
  <c r="Z204" i="2"/>
  <c r="Z206" i="2"/>
  <c r="Y234" i="2"/>
  <c r="Z226" i="2"/>
  <c r="Z229" i="2"/>
  <c r="Y246" i="2"/>
  <c r="BP236" i="2"/>
  <c r="Z241" i="2"/>
  <c r="BN242" i="2"/>
  <c r="Z249" i="2"/>
  <c r="Z272" i="2"/>
  <c r="BN276" i="2"/>
  <c r="Z280" i="2"/>
  <c r="BN295" i="2"/>
  <c r="Z301" i="2"/>
  <c r="BP301" i="2"/>
  <c r="Z305" i="2"/>
  <c r="Z328" i="2"/>
  <c r="Z336" i="2"/>
  <c r="Z338" i="2" s="1"/>
  <c r="Y360" i="2"/>
  <c r="Z372" i="2"/>
  <c r="Y379" i="2"/>
  <c r="BP376" i="2"/>
  <c r="BN377" i="2"/>
  <c r="Z378" i="2"/>
  <c r="Z382" i="2"/>
  <c r="Y387" i="2"/>
  <c r="Z391" i="2"/>
  <c r="BP395" i="2"/>
  <c r="Y411" i="2"/>
  <c r="U568" i="2"/>
  <c r="BP422" i="2"/>
  <c r="BP431" i="2"/>
  <c r="Y444" i="2"/>
  <c r="BP467" i="2"/>
  <c r="BN468" i="2"/>
  <c r="Y498" i="2"/>
  <c r="BN509" i="2"/>
  <c r="AB568" i="2"/>
  <c r="Z417" i="2"/>
  <c r="Y117" i="2"/>
  <c r="Z126" i="2"/>
  <c r="Z127" i="2" s="1"/>
  <c r="BP141" i="2"/>
  <c r="Z150" i="2"/>
  <c r="BP152" i="2"/>
  <c r="Z173" i="2"/>
  <c r="BP175" i="2"/>
  <c r="Z193" i="2"/>
  <c r="Z194" i="2" s="1"/>
  <c r="Y198" i="2"/>
  <c r="Y210" i="2"/>
  <c r="Z218" i="2"/>
  <c r="BP220" i="2"/>
  <c r="Y251" i="2"/>
  <c r="Z259" i="2"/>
  <c r="Z289" i="2"/>
  <c r="BP291" i="2"/>
  <c r="Y348" i="2"/>
  <c r="Z358" i="2"/>
  <c r="BP403" i="2"/>
  <c r="Y417" i="2"/>
  <c r="BP429" i="2"/>
  <c r="Y438" i="2"/>
  <c r="Z447" i="2"/>
  <c r="Y461" i="2"/>
  <c r="Z495" i="2"/>
  <c r="Z497" i="2" s="1"/>
  <c r="Z507" i="2"/>
  <c r="BP509" i="2"/>
  <c r="Z554" i="2"/>
  <c r="K568" i="2"/>
  <c r="Z96" i="2"/>
  <c r="Z98" i="2" s="1"/>
  <c r="Y82" i="2"/>
  <c r="BN220" i="2"/>
  <c r="Z121" i="2"/>
  <c r="Z123" i="2" s="1"/>
  <c r="Y42" i="2"/>
  <c r="Y52" i="2"/>
  <c r="Y63" i="2"/>
  <c r="BP74" i="2"/>
  <c r="Y98" i="2"/>
  <c r="BP22" i="2"/>
  <c r="BN57" i="2"/>
  <c r="BN67" i="2"/>
  <c r="BP79" i="2"/>
  <c r="BP90" i="2"/>
  <c r="BN111" i="2"/>
  <c r="BP147" i="2"/>
  <c r="BN168" i="2"/>
  <c r="BN178" i="2"/>
  <c r="BN188" i="2"/>
  <c r="BN223" i="2"/>
  <c r="BP286" i="2"/>
  <c r="BP296" i="2"/>
  <c r="BN342" i="2"/>
  <c r="Y353" i="2"/>
  <c r="BN396" i="2"/>
  <c r="Y399" i="2"/>
  <c r="BN432" i="2"/>
  <c r="BN442" i="2"/>
  <c r="BN490" i="2"/>
  <c r="BP514" i="2"/>
  <c r="BP524" i="2"/>
  <c r="BN536" i="2"/>
  <c r="BN548" i="2"/>
  <c r="L568" i="2"/>
  <c r="Y25" i="2"/>
  <c r="Y75" i="2"/>
  <c r="BN150" i="2"/>
  <c r="Y153" i="2"/>
  <c r="BN173" i="2"/>
  <c r="BN193" i="2"/>
  <c r="BN218" i="2"/>
  <c r="BN259" i="2"/>
  <c r="Z269" i="2"/>
  <c r="BN289" i="2"/>
  <c r="Y292" i="2"/>
  <c r="Y323" i="2"/>
  <c r="BN358" i="2"/>
  <c r="Y370" i="2"/>
  <c r="Y380" i="2"/>
  <c r="BN447" i="2"/>
  <c r="BN495" i="2"/>
  <c r="BN507" i="2"/>
  <c r="Y518" i="2"/>
  <c r="Y528" i="2"/>
  <c r="Y542" i="2"/>
  <c r="BN554" i="2"/>
  <c r="M568" i="2"/>
  <c r="Y43" i="2"/>
  <c r="Y91" i="2"/>
  <c r="Y99" i="2"/>
  <c r="Y211" i="2"/>
  <c r="Y252" i="2"/>
  <c r="Y277" i="2"/>
  <c r="Y297" i="2"/>
  <c r="Y308" i="2"/>
  <c r="Z315" i="2"/>
  <c r="Z316" i="2" s="1"/>
  <c r="Y331" i="2"/>
  <c r="BP342" i="2"/>
  <c r="Z350" i="2"/>
  <c r="Z352" i="2" s="1"/>
  <c r="BP396" i="2"/>
  <c r="Z404" i="2"/>
  <c r="Y418" i="2"/>
  <c r="Z430" i="2"/>
  <c r="BP432" i="2"/>
  <c r="Z440" i="2"/>
  <c r="Z443" i="2" s="1"/>
  <c r="BP442" i="2"/>
  <c r="Z463" i="2"/>
  <c r="Z464" i="2" s="1"/>
  <c r="BP490" i="2"/>
  <c r="Z510" i="2"/>
  <c r="BP536" i="2"/>
  <c r="BP548" i="2"/>
  <c r="BP126" i="2"/>
  <c r="Z148" i="2"/>
  <c r="BN161" i="2"/>
  <c r="Y164" i="2"/>
  <c r="Y184" i="2"/>
  <c r="BP193" i="2"/>
  <c r="BP218" i="2"/>
  <c r="BN236" i="2"/>
  <c r="Z244" i="2"/>
  <c r="BP259" i="2"/>
  <c r="Z287" i="2"/>
  <c r="Z320" i="2"/>
  <c r="Z322" i="2" s="1"/>
  <c r="Z356" i="2"/>
  <c r="Z367" i="2"/>
  <c r="Z377" i="2"/>
  <c r="BN389" i="2"/>
  <c r="Y392" i="2"/>
  <c r="Y400" i="2"/>
  <c r="Z409" i="2"/>
  <c r="BP447" i="2"/>
  <c r="BN458" i="2"/>
  <c r="Z468" i="2"/>
  <c r="Z470" i="2" s="1"/>
  <c r="Z480" i="2"/>
  <c r="BP495" i="2"/>
  <c r="Z505" i="2"/>
  <c r="Z515" i="2"/>
  <c r="Z517" i="2" s="1"/>
  <c r="Z525" i="2"/>
  <c r="BP554" i="2"/>
  <c r="P568" i="2"/>
  <c r="Y293" i="2"/>
  <c r="Y443" i="2"/>
  <c r="Y491" i="2"/>
  <c r="Y537" i="2"/>
  <c r="Z47" i="2"/>
  <c r="Z51" i="2" s="1"/>
  <c r="BN148" i="2"/>
  <c r="Z189" i="2"/>
  <c r="Z190" i="2" s="1"/>
  <c r="Z214" i="2"/>
  <c r="Z215" i="2" s="1"/>
  <c r="BN525" i="2"/>
  <c r="Z549" i="2"/>
  <c r="Z550" i="2" s="1"/>
  <c r="Z555" i="2"/>
  <c r="R568" i="2"/>
  <c r="BN107" i="2"/>
  <c r="Z151" i="2"/>
  <c r="Y165" i="2"/>
  <c r="Z174" i="2"/>
  <c r="Y185" i="2"/>
  <c r="Z219" i="2"/>
  <c r="Z260" i="2"/>
  <c r="Z290" i="2"/>
  <c r="BP315" i="2"/>
  <c r="BN337" i="2"/>
  <c r="BN372" i="2"/>
  <c r="BN382" i="2"/>
  <c r="Z402" i="2"/>
  <c r="BN415" i="2"/>
  <c r="BP440" i="2"/>
  <c r="Z448" i="2"/>
  <c r="BP463" i="2"/>
  <c r="BN475" i="2"/>
  <c r="BN485" i="2"/>
  <c r="Z496" i="2"/>
  <c r="Z508" i="2"/>
  <c r="BN520" i="2"/>
  <c r="BN532" i="2"/>
  <c r="BN544" i="2"/>
  <c r="S568" i="2"/>
  <c r="BP119" i="2"/>
  <c r="Y133" i="2"/>
  <c r="H9" i="2"/>
  <c r="BP23" i="2"/>
  <c r="Z31" i="2"/>
  <c r="BN47" i="2"/>
  <c r="BN58" i="2"/>
  <c r="BN68" i="2"/>
  <c r="Z78" i="2"/>
  <c r="BP80" i="2"/>
  <c r="Z89" i="2"/>
  <c r="BN102" i="2"/>
  <c r="BN112" i="2"/>
  <c r="BN122" i="2"/>
  <c r="Y138" i="2"/>
  <c r="Z156" i="2"/>
  <c r="Z157" i="2" s="1"/>
  <c r="Y170" i="2"/>
  <c r="BN179" i="2"/>
  <c r="BN189" i="2"/>
  <c r="BN203" i="2"/>
  <c r="BN214" i="2"/>
  <c r="BN224" i="2"/>
  <c r="Z232" i="2"/>
  <c r="Z242" i="2"/>
  <c r="BN254" i="2"/>
  <c r="Z265" i="2"/>
  <c r="Z266" i="2" s="1"/>
  <c r="Z275" i="2"/>
  <c r="Z285" i="2"/>
  <c r="Z295" i="2"/>
  <c r="Z297" i="2" s="1"/>
  <c r="Z306" i="2"/>
  <c r="Z329" i="2"/>
  <c r="BN343" i="2"/>
  <c r="BP356" i="2"/>
  <c r="Z365" i="2"/>
  <c r="Z375" i="2"/>
  <c r="Z385" i="2"/>
  <c r="BN397" i="2"/>
  <c r="BN421" i="2"/>
  <c r="Y424" i="2"/>
  <c r="BN433" i="2"/>
  <c r="Z453" i="2"/>
  <c r="Z478" i="2"/>
  <c r="Y492" i="2"/>
  <c r="Z503" i="2"/>
  <c r="Z523" i="2"/>
  <c r="Y538" i="2"/>
  <c r="BN549" i="2"/>
  <c r="BN555" i="2"/>
  <c r="T568" i="2"/>
  <c r="Z40" i="2"/>
  <c r="Z42" i="2" s="1"/>
  <c r="Y92" i="2"/>
  <c r="Z102" i="2"/>
  <c r="Z112" i="2"/>
  <c r="Z203" i="2"/>
  <c r="Z254" i="2"/>
  <c r="Z255" i="2" s="1"/>
  <c r="F9" i="2"/>
  <c r="BN28" i="2"/>
  <c r="BN40" i="2"/>
  <c r="BP55" i="2"/>
  <c r="BP65" i="2"/>
  <c r="Z73" i="2"/>
  <c r="Z75" i="2" s="1"/>
  <c r="BN86" i="2"/>
  <c r="BN96" i="2"/>
  <c r="J9" i="2"/>
  <c r="BP28" i="2"/>
  <c r="BN73" i="2"/>
  <c r="BP86" i="2"/>
  <c r="BP107" i="2"/>
  <c r="Y143" i="2"/>
  <c r="BN151" i="2"/>
  <c r="BN174" i="2"/>
  <c r="BN219" i="2"/>
  <c r="BN260" i="2"/>
  <c r="BN290" i="2"/>
  <c r="Y316" i="2"/>
  <c r="BN402" i="2"/>
  <c r="Y405" i="2"/>
  <c r="BP415" i="2"/>
  <c r="BN448" i="2"/>
  <c r="Y464" i="2"/>
  <c r="BP475" i="2"/>
  <c r="BN496" i="2"/>
  <c r="BN508" i="2"/>
  <c r="Y511" i="2"/>
  <c r="BP532" i="2"/>
  <c r="BP544" i="2"/>
  <c r="B568" i="2"/>
  <c r="Y245" i="2"/>
  <c r="BP254" i="2"/>
  <c r="BP421" i="2"/>
  <c r="Y481" i="2"/>
  <c r="V568" i="2"/>
  <c r="BN80" i="2"/>
  <c r="BP102" i="2"/>
  <c r="BP122" i="2"/>
  <c r="BP179" i="2"/>
  <c r="BP214" i="2"/>
  <c r="BP224" i="2"/>
  <c r="F10" i="2"/>
  <c r="Y108" i="2"/>
  <c r="Z149" i="2"/>
  <c r="Z172" i="2"/>
  <c r="BP260" i="2"/>
  <c r="BP402" i="2"/>
  <c r="BP448" i="2"/>
  <c r="BP496" i="2"/>
  <c r="Z526" i="2"/>
  <c r="Y533" i="2"/>
  <c r="Z540" i="2"/>
  <c r="Z541" i="2" s="1"/>
  <c r="Y545" i="2"/>
  <c r="D568" i="2"/>
  <c r="W568" i="2"/>
  <c r="BN23" i="2"/>
  <c r="Z58" i="2"/>
  <c r="Z62" i="2" s="1"/>
  <c r="Z68" i="2"/>
  <c r="BP47" i="2"/>
  <c r="Y69" i="2"/>
  <c r="Y123" i="2"/>
  <c r="Z131" i="2"/>
  <c r="Y144" i="2"/>
  <c r="BN187" i="2"/>
  <c r="Y190" i="2"/>
  <c r="Z197" i="2"/>
  <c r="Z198" i="2" s="1"/>
  <c r="Z209" i="2"/>
  <c r="Y215" i="2"/>
  <c r="Z230" i="2"/>
  <c r="Z240" i="2"/>
  <c r="Z250" i="2"/>
  <c r="Y255" i="2"/>
  <c r="Z273" i="2"/>
  <c r="Z283" i="2"/>
  <c r="Z304" i="2"/>
  <c r="Z327" i="2"/>
  <c r="Z363" i="2"/>
  <c r="Z373" i="2"/>
  <c r="Z383" i="2"/>
  <c r="Z416" i="2"/>
  <c r="Z476" i="2"/>
  <c r="Y512" i="2"/>
  <c r="Z521" i="2"/>
  <c r="Y550" i="2"/>
  <c r="Y556" i="2"/>
  <c r="E568" i="2"/>
  <c r="X568" i="2"/>
  <c r="BN288" i="2"/>
  <c r="BN321" i="2"/>
  <c r="BN357" i="2"/>
  <c r="BN368" i="2"/>
  <c r="Y482" i="2"/>
  <c r="BN506" i="2"/>
  <c r="BN516" i="2"/>
  <c r="BN526" i="2"/>
  <c r="BN540" i="2"/>
  <c r="Y32" i="2"/>
  <c r="Z74" i="2"/>
  <c r="Y109" i="2"/>
  <c r="Z141" i="2"/>
  <c r="Z152" i="2"/>
  <c r="BN304" i="2"/>
  <c r="BN327" i="2"/>
  <c r="BN363" i="2"/>
  <c r="BN373" i="2"/>
  <c r="BN383" i="2"/>
  <c r="Y386" i="2"/>
  <c r="BN416" i="2"/>
  <c r="Z429" i="2"/>
  <c r="BN521" i="2"/>
  <c r="Y534" i="2"/>
  <c r="Z568" i="2"/>
  <c r="Z175" i="2"/>
  <c r="Y233" i="2"/>
  <c r="Z22" i="2"/>
  <c r="Z24" i="2" s="1"/>
  <c r="Z79" i="2"/>
  <c r="Z90" i="2"/>
  <c r="Y116" i="2"/>
  <c r="Z147" i="2"/>
  <c r="Y551" i="2"/>
  <c r="Y557" i="2"/>
  <c r="BP363" i="2"/>
  <c r="BP373" i="2"/>
  <c r="BP383" i="2"/>
  <c r="I568" i="2"/>
  <c r="Z28" i="2"/>
  <c r="Z405" i="2" l="1"/>
  <c r="Z486" i="2"/>
  <c r="Z481" i="2"/>
  <c r="Z347" i="2"/>
  <c r="Z454" i="2"/>
  <c r="Z69" i="2"/>
  <c r="Z399" i="2"/>
  <c r="Z91" i="2"/>
  <c r="Y562" i="2"/>
  <c r="Z210" i="2"/>
  <c r="Z437" i="2"/>
  <c r="Z116" i="2"/>
  <c r="Z143" i="2"/>
  <c r="Z331" i="2"/>
  <c r="Z411" i="2"/>
  <c r="Z386" i="2"/>
  <c r="Z308" i="2"/>
  <c r="Z251" i="2"/>
  <c r="Z108" i="2"/>
  <c r="Z511" i="2"/>
  <c r="Z556" i="2"/>
  <c r="Z392" i="2"/>
  <c r="Y559" i="2"/>
  <c r="Z153" i="2"/>
  <c r="Z527" i="2"/>
  <c r="Z32" i="2"/>
  <c r="Z292" i="2"/>
  <c r="Z245" i="2"/>
  <c r="Z133" i="2"/>
  <c r="Z379" i="2"/>
  <c r="Z449" i="2"/>
  <c r="Z359" i="2"/>
  <c r="Y560" i="2"/>
  <c r="Z169" i="2"/>
  <c r="Z277" i="2"/>
  <c r="Z261" i="2"/>
  <c r="Z233" i="2"/>
  <c r="Y558" i="2"/>
  <c r="Z184" i="2"/>
  <c r="Z81" i="2"/>
  <c r="Z369" i="2"/>
  <c r="Z563" i="2" l="1"/>
  <c r="Y561" i="2"/>
</calcChain>
</file>

<file path=xl/sharedStrings.xml><?xml version="1.0" encoding="utf-8"?>
<sst xmlns="http://schemas.openxmlformats.org/spreadsheetml/2006/main" count="4315" uniqueCount="916">
  <si>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</si>
  <si>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</si>
  <si>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</si>
  <si>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</si>
  <si>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</si>
  <si>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</si>
  <si>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</si>
  <si>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</si>
  <si>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</si>
  <si>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</si>
  <si>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</si>
  <si>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</si>
  <si>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</si>
  <si>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</si>
  <si>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</si>
  <si>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</si>
  <si>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</si>
  <si>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</si>
  <si>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</si>
  <si>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</si>
  <si>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</si>
  <si>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</si>
  <si>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</si>
  <si>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</si>
  <si>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</si>
  <si>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</si>
  <si>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</si>
  <si>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</si>
  <si>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</si>
  <si>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</si>
  <si>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</si>
  <si>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</si>
  <si>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</si>
  <si>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</si>
  <si>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</si>
  <si>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</si>
  <si>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</si>
  <si>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</si>
  <si>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</si>
  <si>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</si>
  <si>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</si>
  <si>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</si>
  <si>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</si>
  <si>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</si>
  <si>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</si>
  <si>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</si>
  <si>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</si>
  <si>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</si>
  <si>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</si>
  <si>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</si>
  <si>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</si>
  <si>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</si>
  <si>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</si>
  <si>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</si>
  <si>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</si>
  <si>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</si>
  <si>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</si>
  <si>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</si>
  <si>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</si>
  <si>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</si>
  <si>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</si>
  <si>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</si>
  <si>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</si>
  <si>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</si>
  <si>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</si>
  <si>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</si>
  <si>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</si>
  <si>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14.09.2026</t>
  </si>
  <si>
    <t>10.09.2026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</si>
  <si>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</si>
  <si>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</si>
  <si>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</si>
  <si>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</si>
  <si>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</si>
  <si>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</si>
  <si>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</si>
  <si>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</si>
  <si>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</si>
  <si>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</si>
  <si>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</si>
  <si>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</si>
  <si>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</si>
  <si>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</si>
  <si>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</si>
  <si>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</si>
  <si>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</si>
  <si>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</si>
  <si>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</si>
  <si>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</si>
  <si>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</si>
  <si>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</si>
  <si>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</si>
  <si>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</si>
  <si>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</si>
  <si>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</si>
  <si>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</si>
  <si>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</si>
  <si>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</si>
  <si>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</si>
  <si>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</si>
  <si>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</si>
  <si>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</si>
  <si>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</si>
  <si>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</si>
  <si>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</si>
  <si>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</si>
  <si>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</si>
  <si>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</si>
  <si>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</si>
  <si>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</si>
  <si>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</si>
  <si>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</si>
  <si>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</si>
  <si>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</si>
  <si>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</si>
  <si>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</si>
  <si>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</si>
  <si>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</si>
  <si>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</si>
  <si>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</si>
  <si>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</si>
  <si>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</si>
  <si>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</si>
  <si>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</si>
  <si>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</si>
  <si>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</si>
  <si>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</si>
  <si>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</si>
  <si>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</si>
  <si>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</si>
  <si>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</si>
  <si>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</si>
  <si>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</si>
  <si>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</si>
  <si>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</si>
  <si>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</si>
  <si>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</si>
  <si>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</si>
  <si>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</si>
  <si>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</si>
  <si>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</si>
  <si>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</si>
  <si>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</si>
  <si>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</si>
  <si>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</si>
  <si>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</si>
  <si>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</si>
  <si>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</si>
  <si>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</si>
  <si>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</si>
  <si>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</si>
  <si>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</si>
  <si>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</si>
  <si>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</si>
  <si>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</si>
  <si>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</si>
  <si>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</si>
  <si>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</si>
  <si>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</si>
  <si>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</si>
  <si>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</si>
  <si>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</si>
  <si>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</si>
  <si>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</si>
  <si>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</si>
  <si>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</si>
  <si>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</si>
  <si>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</si>
  <si>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</si>
  <si>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</si>
  <si>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</si>
  <si>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</si>
  <si>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</si>
  <si>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</si>
  <si>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</si>
  <si>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</si>
  <si>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</si>
  <si>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</si>
  <si>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</si>
  <si>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</si>
  <si>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</si>
  <si>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</si>
  <si>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</si>
  <si>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</si>
  <si>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</si>
  <si>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</si>
  <si>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</si>
  <si>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</si>
  <si>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</si>
  <si>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</si>
  <si>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</si>
  <si>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</si>
  <si>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</si>
  <si>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</si>
  <si>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</si>
  <si>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</si>
  <si>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</si>
  <si>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</si>
  <si>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</si>
  <si>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</si>
  <si>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</si>
  <si>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</si>
  <si>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</si>
  <si>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</si>
  <si>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</si>
  <si>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</si>
  <si>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</si>
  <si>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</si>
  <si>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</si>
  <si>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</si>
  <si>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</si>
  <si>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</si>
  <si>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</si>
  <si>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</si>
  <si>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</si>
  <si>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</si>
  <si>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</si>
  <si>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</si>
  <si>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</si>
  <si>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</si>
  <si>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</si>
  <si>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</si>
  <si>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</si>
  <si>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</si>
  <si>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</si>
  <si>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</si>
  <si>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</si>
  <si>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</si>
  <si>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</si>
  <si>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</si>
  <si>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</si>
  <si>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</si>
  <si>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</si>
  <si>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</si>
  <si>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</si>
  <si>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</si>
  <si>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</si>
  <si>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</si>
  <si>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</si>
  <si>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</si>
  <si>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</si>
  <si>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</si>
  <si>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</si>
  <si>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</si>
  <si>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</si>
  <si>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</si>
  <si>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</si>
  <si>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</si>
  <si>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</si>
  <si>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</si>
  <si>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</si>
  <si>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</si>
  <si>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</si>
  <si>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</si>
  <si>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</si>
  <si>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</si>
  <si>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</si>
  <si>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</si>
  <si>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</si>
  <si>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</si>
  <si>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</si>
  <si>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</si>
  <si>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</si>
  <si>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</si>
  <si>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</si>
  <si>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</si>
  <si>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</si>
  <si>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</si>
  <si>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</si>
  <si>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</si>
  <si>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</si>
  <si>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</si>
  <si>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</si>
  <si>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</si>
  <si>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</si>
  <si>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</si>
  <si>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</si>
  <si>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</si>
  <si>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</si>
  <si>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</si>
  <si>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</si>
  <si>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</si>
  <si>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</si>
  <si>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</si>
  <si>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</si>
  <si>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</si>
  <si>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</si>
  <si>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</si>
  <si>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</si>
  <si>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</si>
  <si>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</si>
  <si>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</si>
  <si>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</si>
  <si>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</si>
  <si>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</si>
  <si>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</si>
  <si>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</si>
  <si>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</si>
  <si>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</si>
  <si>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</si>
  <si>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</si>
  <si>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</si>
  <si>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</si>
  <si>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</si>
  <si>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</si>
  <si>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</si>
  <si>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</si>
  <si>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</si>
  <si>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</si>
  <si>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</si>
  <si>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</si>
  <si>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</si>
  <si>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</si>
  <si>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</si>
  <si>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</si>
  <si>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</si>
  <si>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</si>
  <si>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</si>
  <si>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</si>
  <si>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</si>
  <si>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</si>
  <si>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</si>
  <si>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</si>
  <si>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</si>
  <si>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</si>
  <si>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</si>
  <si>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</si>
  <si>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</si>
  <si>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</si>
  <si>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</si>
  <si>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</si>
  <si>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</si>
  <si>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</si>
  <si>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</si>
  <si>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</si>
  <si>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</si>
  <si>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</si>
  <si>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</si>
  <si>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</si>
  <si>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</si>
  <si>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</si>
  <si>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</si>
  <si>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</si>
  <si>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</si>
  <si>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</si>
  <si>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</si>
  <si>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</si>
  <si>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</si>
  <si>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</si>
  <si>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</si>
  <si>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</si>
  <si>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</si>
  <si>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</si>
  <si>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</si>
  <si>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</si>
  <si>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</si>
  <si>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</si>
  <si>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</si>
  <si>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</si>
  <si>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</si>
  <si>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</si>
  <si>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</si>
  <si>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</si>
  <si>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</si>
  <si>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</si>
  <si>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</si>
  <si>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</si>
  <si>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</si>
  <si>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</si>
  <si>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</si>
  <si>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</si>
  <si>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</si>
  <si>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</si>
  <si>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</si>
  <si>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</si>
  <si>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</si>
  <si>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</si>
  <si>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</si>
  <si>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</si>
  <si>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</si>
  <si>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</si>
  <si>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</si>
  <si>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</si>
  <si>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</si>
  <si>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</si>
  <si>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</si>
  <si>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</si>
  <si>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</si>
  <si>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</si>
  <si>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</si>
  <si>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</si>
  <si>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</si>
  <si>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</si>
  <si>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</si>
  <si>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</si>
  <si>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</si>
  <si>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</si>
  <si>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</si>
  <si>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</si>
  <si>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</si>
  <si>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</si>
  <si>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</si>
  <si>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</si>
  <si>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</si>
  <si>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</si>
  <si>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</si>
  <si>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</si>
  <si>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</si>
  <si>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</si>
  <si>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</si>
  <si>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</si>
  <si>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</si>
  <si>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</si>
  <si>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</si>
  <si>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</si>
  <si>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</si>
  <si>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</si>
  <si>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</si>
  <si>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</si>
  <si>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</si>
  <si>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</si>
  <si>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</si>
  <si>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</si>
  <si>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</si>
  <si>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</si>
  <si>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</si>
  <si>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</si>
  <si>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</si>
  <si>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</si>
  <si>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</si>
  <si>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</si>
  <si>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</si>
  <si>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</si>
  <si>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</si>
  <si>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</si>
  <si>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</si>
  <si>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</si>
  <si>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</si>
  <si>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</si>
  <si>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</si>
  <si>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</si>
  <si>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</si>
  <si>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</si>
  <si>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</si>
  <si>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</si>
  <si>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</si>
  <si>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</si>
  <si>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</si>
  <si>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</si>
  <si>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</si>
  <si>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</si>
  <si>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</si>
  <si>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</si>
  <si>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</si>
  <si>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</si>
  <si>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</si>
  <si>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</si>
  <si>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</si>
  <si>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</si>
  <si>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</si>
  <si>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</si>
  <si>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</si>
  <si>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</si>
  <si>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</si>
  <si>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</si>
  <si>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</si>
  <si>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</si>
  <si>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</si>
  <si>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</si>
  <si>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</si>
  <si>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</si>
  <si>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</si>
  <si>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</si>
  <si>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</si>
  <si>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</si>
  <si>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</si>
  <si>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</si>
  <si>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</si>
  <si>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</si>
  <si>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</si>
  <si>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</si>
  <si>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</si>
  <si>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</si>
  <si>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</si>
  <si>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</si>
  <si>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</si>
  <si>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</si>
  <si>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</si>
  <si>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</si>
  <si>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</si>
  <si>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</si>
  <si>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</si>
  <si>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</si>
  <si>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</si>
  <si>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</si>
  <si>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</si>
  <si>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</si>
  <si>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</si>
  <si>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</si>
  <si>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</si>
  <si>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</si>
  <si>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</si>
  <si>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</si>
  <si>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</si>
  <si>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</si>
  <si>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</si>
  <si>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</si>
  <si>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</si>
  <si>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</si>
  <si>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</si>
  <si>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</si>
  <si>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</si>
  <si>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</si>
  <si>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</si>
  <si>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</si>
  <si>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</si>
  <si>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</si>
  <si>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</si>
  <si>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</si>
  <si>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</si>
  <si>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</si>
  <si>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</si>
  <si>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</si>
  <si>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</si>
  <si>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</si>
  <si>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</si>
  <si>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</si>
  <si>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</si>
  <si>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</si>
  <si>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</si>
  <si>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</si>
  <si>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</si>
  <si>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</si>
  <si>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</si>
  <si>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</si>
  <si>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</si>
  <si>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</si>
  <si>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</si>
  <si>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</si>
  <si>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</si>
  <si>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</si>
  <si>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</si>
  <si>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</si>
  <si>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</si>
  <si>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</si>
  <si>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</si>
  <si>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</si>
  <si>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</si>
  <si>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</si>
  <si>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</si>
  <si>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</si>
  <si>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</si>
  <si>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</si>
  <si>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</si>
  <si>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</si>
  <si>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</si>
  <si>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</si>
  <si>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</si>
  <si>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</si>
  <si>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</si>
  <si>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</si>
  <si>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</si>
  <si>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</si>
  <si>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</si>
  <si>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</si>
  <si>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</si>
  <si>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</si>
  <si>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</si>
  <si>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</si>
  <si>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</si>
  <si>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</si>
  <si>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</si>
  <si>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</si>
  <si>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</si>
  <si>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</si>
  <si>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</si>
  <si>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</si>
  <si>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</si>
  <si>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</si>
  <si>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</si>
  <si>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</si>
  <si>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</si>
  <si>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</si>
  <si>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</si>
  <si>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</si>
  <si>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</si>
  <si>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</si>
  <si>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</si>
  <si>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</si>
  <si>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</si>
  <si>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</si>
  <si>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</si>
  <si>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</si>
  <si>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</si>
  <si>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</si>
  <si>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</si>
  <si>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</si>
  <si>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</si>
  <si>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</si>
  <si>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</si>
  <si>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</si>
  <si>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</si>
  <si>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</si>
  <si>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</si>
  <si>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</si>
  <si>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</si>
  <si>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</si>
  <si>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</si>
  <si>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</si>
  <si>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</si>
  <si>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</si>
  <si>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</si>
  <si>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</si>
  <si>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</si>
  <si>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</si>
  <si>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</si>
  <si>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</si>
  <si>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</si>
  <si>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</si>
  <si>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</si>
  <si>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</si>
  <si>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</si>
  <si>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</si>
  <si>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</si>
  <si>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</si>
  <si>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</si>
  <si>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</si>
  <si>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</si>
  <si>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</si>
  <si>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</si>
  <si>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</si>
  <si>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</si>
  <si>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</si>
  <si>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</si>
  <si>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</si>
  <si>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</si>
  <si>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</si>
  <si>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</si>
  <si>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</si>
  <si>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</si>
  <si>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</si>
  <si>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</si>
  <si>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</si>
  <si>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</si>
  <si>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</si>
  <si>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</si>
  <si>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</si>
  <si>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</si>
  <si>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</si>
  <si>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</si>
  <si>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</si>
  <si>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</si>
  <si>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</si>
  <si>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</si>
  <si>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</si>
  <si>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</si>
  <si>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</si>
  <si>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</si>
  <si>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</si>
  <si>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</si>
  <si>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</si>
  <si>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</si>
  <si>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</si>
  <si>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</si>
  <si>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</si>
  <si>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</si>
  <si>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</si>
  <si>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</si>
  <si>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</si>
  <si>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</si>
  <si>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</si>
  <si>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</si>
  <si>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</si>
  <si>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</si>
  <si>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</si>
  <si>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</si>
  <si>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</si>
  <si>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</si>
  <si>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</si>
  <si>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</si>
  <si>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</si>
  <si>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</si>
  <si>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</si>
  <si>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</si>
  <si>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</si>
  <si>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</si>
  <si>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</si>
  <si>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</si>
  <si>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</si>
  <si>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</si>
  <si>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</si>
  <si>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</si>
  <si>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</si>
  <si>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</si>
  <si>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</si>
  <si>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</si>
  <si>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</si>
  <si>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</si>
  <si>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</si>
  <si>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</si>
  <si>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</si>
  <si>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</si>
  <si>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</si>
  <si>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</si>
  <si>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</si>
  <si>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</si>
  <si>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</si>
  <si>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</si>
  <si>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</si>
  <si>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</si>
  <si>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</si>
  <si>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</si>
  <si>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</si>
  <si>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</si>
  <si>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</si>
  <si>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</si>
  <si>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</si>
  <si>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</si>
  <si>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</si>
  <si>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</si>
  <si>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</si>
  <si>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</si>
  <si>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</si>
  <si>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</si>
  <si>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</si>
  <si>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</si>
  <si>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</si>
  <si>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</si>
  <si>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</si>
  <si>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</si>
  <si>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</si>
  <si>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</si>
  <si>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</si>
  <si>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</si>
  <si>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</si>
  <si>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</si>
  <si>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</si>
  <si>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</si>
  <si>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</si>
  <si>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</si>
  <si>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</si>
  <si>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</si>
  <si>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</si>
  <si>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</si>
  <si>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</si>
  <si>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</si>
  <si>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</si>
  <si>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</si>
  <si>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</si>
  <si>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</si>
  <si>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</si>
  <si>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</si>
  <si>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</si>
  <si>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</si>
  <si>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</si>
  <si>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</si>
  <si>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</si>
  <si>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</si>
  <si>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</si>
  <si>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</si>
  <si>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</si>
  <si>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</si>
  <si>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</si>
  <si>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</si>
  <si>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</si>
  <si>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</si>
  <si>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</si>
  <si>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</si>
  <si>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</si>
  <si>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</si>
  <si>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</si>
  <si>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</si>
  <si>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</si>
  <si>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</si>
  <si>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</si>
  <si>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</si>
  <si>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</si>
  <si>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</si>
  <si>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</si>
  <si>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</si>
  <si>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</si>
  <si>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</si>
  <si>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</si>
  <si>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</si>
  <si>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</si>
  <si>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</si>
  <si>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</si>
  <si>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</si>
  <si>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</si>
  <si>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</si>
  <si>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</si>
  <si>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</si>
  <si>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</si>
  <si>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</si>
  <si>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</si>
  <si>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</si>
  <si>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</si>
  <si>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</si>
  <si>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</si>
  <si>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</si>
  <si>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</si>
  <si>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</si>
  <si>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</si>
  <si>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</si>
  <si>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</si>
  <si>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</si>
  <si>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</si>
  <si>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</si>
  <si>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</si>
  <si>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</si>
  <si>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</si>
  <si>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</si>
  <si>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</si>
  <si>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</si>
  <si>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</si>
  <si>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</si>
  <si>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</si>
  <si>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</si>
  <si>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</si>
  <si>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</si>
  <si>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</si>
  <si>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</si>
  <si>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</si>
  <si>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</si>
  <si>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</si>
  <si>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</si>
  <si>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</si>
  <si>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</si>
  <si>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</si>
  <si>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</si>
  <si>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</si>
  <si>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</si>
  <si>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</si>
  <si>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</si>
  <si>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</si>
  <si>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</si>
  <si>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</si>
  <si>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</si>
  <si>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</si>
  <si>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</si>
  <si>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</si>
  <si>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</si>
  <si>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</si>
  <si>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</si>
  <si>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</si>
  <si>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</si>
  <si>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</si>
  <si>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</si>
  <si>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</si>
  <si>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</si>
  <si>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</si>
  <si>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</si>
  <si>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</si>
  <si>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</si>
  <si>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</si>
  <si>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</si>
  <si>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</si>
  <si>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</si>
  <si>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</si>
  <si>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</si>
  <si>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</si>
  <si>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</si>
  <si>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</si>
  <si>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</si>
  <si>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</si>
  <si>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</si>
  <si>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</si>
  <si>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</si>
  <si>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</si>
  <si>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</si>
  <si>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</si>
  <si>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</si>
  <si>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</si>
  <si>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</si>
  <si>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</si>
  <si>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</si>
  <si>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</si>
  <si>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</si>
  <si>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</si>
  <si>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</si>
  <si>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</si>
  <si>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</si>
  <si>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</si>
  <si>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</si>
  <si>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</si>
  <si>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</si>
  <si>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</si>
  <si>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</si>
  <si>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</si>
  <si>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</si>
  <si>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</si>
  <si>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</si>
  <si>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</si>
  <si>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</si>
  <si>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</si>
  <si>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</si>
  <si>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</si>
  <si>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</si>
  <si>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</si>
  <si>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</si>
  <si>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</si>
  <si>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</si>
  <si>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</si>
  <si>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</si>
  <si>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</si>
  <si>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</si>
  <si>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</si>
  <si>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</si>
  <si>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</si>
  <si>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</si>
  <si>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</si>
  <si>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</si>
  <si>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</si>
  <si>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</si>
  <si>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</si>
  <si>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TSO001119753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</si>
</sst>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4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901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Z13" sqref="Z1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9" t="s">
        <v>8</v>
      </c>
      <c r="B5" s="989"/>
      <c r="C5" s="989"/>
      <c r="D5" s="990"/>
      <c r="E5" s="990"/>
      <c r="F5" s="991" t="s">
        <v>14</v>
      </c>
      <c r="G5" s="991"/>
      <c r="H5" s="990" t="s">
        <v>915</v>
      </c>
      <c r="I5" s="990"/>
      <c r="J5" s="990"/>
      <c r="K5" s="990"/>
      <c r="L5" s="990"/>
      <c r="M5" s="990"/>
      <c r="N5" s="69"/>
      <c r="P5" s="26" t="s">
        <v>4</v>
      </c>
      <c r="Q5" s="992">
        <v>46277</v>
      </c>
      <c r="R5" s="992"/>
      <c r="T5" s="993" t="s">
        <v>3</v>
      </c>
      <c r="U5" s="994"/>
      <c r="V5" s="995" t="s">
        <v>874</v>
      </c>
      <c r="W5" s="996"/>
      <c r="AB5" s="57"/>
      <c r="AC5" s="57"/>
      <c r="AD5" s="57"/>
      <c r="AE5" s="57"/>
    </row>
    <row r="6" spans="1:32" s="17" customFormat="1" ht="24" customHeight="1" x14ac:dyDescent="0.2">
      <c r="A6" s="989" t="s">
        <v>1</v>
      </c>
      <c r="B6" s="989"/>
      <c r="C6" s="989"/>
      <c r="D6" s="997" t="s">
        <v>893</v>
      </c>
      <c r="E6" s="997"/>
      <c r="F6" s="997"/>
      <c r="G6" s="997"/>
      <c r="H6" s="997"/>
      <c r="I6" s="997"/>
      <c r="J6" s="997"/>
      <c r="K6" s="997"/>
      <c r="L6" s="997"/>
      <c r="M6" s="997"/>
      <c r="N6" s="70"/>
      <c r="P6" s="26" t="s">
        <v>27</v>
      </c>
      <c r="Q6" s="998" t="str">
        <f>IF(Q5=0," ",CHOOSE(WEEKDAY(Q5,2),"Понедельник","Вторник","Среда","Четверг","Пятница","Суббота","Воскресенье"))</f>
        <v>Суббота</v>
      </c>
      <c r="R6" s="998"/>
      <c r="T6" s="999" t="s">
        <v>5</v>
      </c>
      <c r="U6" s="1000"/>
      <c r="V6" s="1001" t="s">
        <v>69</v>
      </c>
      <c r="W6" s="1002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07" t="str">
        <f>IFERROR(VLOOKUP(DeliveryAddress,Table,3,0),1)</f>
        <v>7</v>
      </c>
      <c r="E7" s="1008"/>
      <c r="F7" s="1008"/>
      <c r="G7" s="1008"/>
      <c r="H7" s="1008"/>
      <c r="I7" s="1008"/>
      <c r="J7" s="1008"/>
      <c r="K7" s="1008"/>
      <c r="L7" s="1008"/>
      <c r="M7" s="1009"/>
      <c r="N7" s="71"/>
      <c r="P7" s="26"/>
      <c r="Q7" s="46"/>
      <c r="R7" s="46"/>
      <c r="T7" s="999"/>
      <c r="U7" s="1000"/>
      <c r="V7" s="1003"/>
      <c r="W7" s="1004"/>
      <c r="AB7" s="57"/>
      <c r="AC7" s="57"/>
      <c r="AD7" s="57"/>
      <c r="AE7" s="57"/>
    </row>
    <row r="8" spans="1:32" s="17" customFormat="1" ht="25.5" customHeight="1" x14ac:dyDescent="0.2">
      <c r="A8" s="1010" t="s">
        <v>57</v>
      </c>
      <c r="B8" s="1010"/>
      <c r="C8" s="1010"/>
      <c r="D8" s="1011"/>
      <c r="E8" s="1011"/>
      <c r="F8" s="1011"/>
      <c r="G8" s="1011"/>
      <c r="H8" s="1011"/>
      <c r="I8" s="1011"/>
      <c r="J8" s="1011"/>
      <c r="K8" s="1011"/>
      <c r="L8" s="1011"/>
      <c r="M8" s="1011"/>
      <c r="N8" s="72"/>
      <c r="P8" s="26" t="s">
        <v>11</v>
      </c>
      <c r="Q8" s="970">
        <v>0.5</v>
      </c>
      <c r="R8" s="970"/>
      <c r="T8" s="999"/>
      <c r="U8" s="1000"/>
      <c r="V8" s="1003"/>
      <c r="W8" s="1004"/>
      <c r="AB8" s="57"/>
      <c r="AC8" s="57"/>
      <c r="AD8" s="57"/>
      <c r="AE8" s="57"/>
    </row>
    <row r="9" spans="1:32" s="17" customFormat="1" ht="39.950000000000003" customHeight="1" x14ac:dyDescent="0.2">
      <c r="A9" s="9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0"/>
      <c r="C9" s="960"/>
      <c r="D9" s="961" t="s">
        <v>46</v>
      </c>
      <c r="E9" s="962"/>
      <c r="F9" s="9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0"/>
      <c r="H9" s="1012" t="str">
        <f>IF(AND($A$9="Тип доверенности/получателя при получении в адресе перегруза:",$D$9="Разовая доверенность"),"Введите ФИО","")</f>
        <v/>
      </c>
      <c r="I9" s="1012"/>
      <c r="J9" s="10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12"/>
      <c r="L9" s="1012"/>
      <c r="M9" s="1012"/>
      <c r="N9" s="67"/>
      <c r="P9" s="29" t="s">
        <v>15</v>
      </c>
      <c r="Q9" s="1013"/>
      <c r="R9" s="1013"/>
      <c r="T9" s="999"/>
      <c r="U9" s="1000"/>
      <c r="V9" s="1005"/>
      <c r="W9" s="1006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0"/>
      <c r="C10" s="960"/>
      <c r="D10" s="961"/>
      <c r="E10" s="962"/>
      <c r="F10" s="9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0"/>
      <c r="H10" s="963" t="str">
        <f>IFERROR(VLOOKUP($D$10,Proxy,2,FALSE),"")</f>
        <v/>
      </c>
      <c r="I10" s="963"/>
      <c r="J10" s="963"/>
      <c r="K10" s="963"/>
      <c r="L10" s="963"/>
      <c r="M10" s="963"/>
      <c r="N10" s="68"/>
      <c r="P10" s="29" t="s">
        <v>32</v>
      </c>
      <c r="Q10" s="964"/>
      <c r="R10" s="964"/>
      <c r="U10" s="26" t="s">
        <v>12</v>
      </c>
      <c r="V10" s="965" t="s">
        <v>70</v>
      </c>
      <c r="W10" s="966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7"/>
      <c r="R11" s="967"/>
      <c r="U11" s="26" t="s">
        <v>28</v>
      </c>
      <c r="V11" s="968" t="s">
        <v>914</v>
      </c>
      <c r="W11" s="96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69" t="s">
        <v>71</v>
      </c>
      <c r="B12" s="969"/>
      <c r="C12" s="969"/>
      <c r="D12" s="969"/>
      <c r="E12" s="969"/>
      <c r="F12" s="969"/>
      <c r="G12" s="969"/>
      <c r="H12" s="969"/>
      <c r="I12" s="969"/>
      <c r="J12" s="969"/>
      <c r="K12" s="969"/>
      <c r="L12" s="969"/>
      <c r="M12" s="969"/>
      <c r="N12" s="73"/>
      <c r="P12" s="26" t="s">
        <v>30</v>
      </c>
      <c r="Q12" s="970"/>
      <c r="R12" s="970"/>
      <c r="S12" s="27"/>
      <c r="T12"/>
      <c r="U12" s="26" t="s">
        <v>46</v>
      </c>
      <c r="V12" s="971"/>
      <c r="W12" s="971"/>
      <c r="X12"/>
      <c r="AB12" s="57"/>
      <c r="AC12" s="57"/>
      <c r="AD12" s="57"/>
      <c r="AE12" s="57"/>
    </row>
    <row r="13" spans="1:32" s="17" customFormat="1" ht="23.25" customHeight="1" x14ac:dyDescent="0.2">
      <c r="A13" s="969" t="s">
        <v>72</v>
      </c>
      <c r="B13" s="969"/>
      <c r="C13" s="969"/>
      <c r="D13" s="969"/>
      <c r="E13" s="969"/>
      <c r="F13" s="969"/>
      <c r="G13" s="969"/>
      <c r="H13" s="969"/>
      <c r="I13" s="969"/>
      <c r="J13" s="969"/>
      <c r="K13" s="969"/>
      <c r="L13" s="969"/>
      <c r="M13" s="969"/>
      <c r="N13" s="73"/>
      <c r="O13" s="29"/>
      <c r="P13" s="29" t="s">
        <v>31</v>
      </c>
      <c r="Q13" s="968"/>
      <c r="R13" s="96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69" t="s">
        <v>73</v>
      </c>
      <c r="B14" s="969"/>
      <c r="C14" s="969"/>
      <c r="D14" s="969"/>
      <c r="E14" s="969"/>
      <c r="F14" s="969"/>
      <c r="G14" s="969"/>
      <c r="H14" s="969"/>
      <c r="I14" s="969"/>
      <c r="J14" s="969"/>
      <c r="K14" s="969"/>
      <c r="L14" s="969"/>
      <c r="M14" s="96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72" t="s">
        <v>74</v>
      </c>
      <c r="B15" s="972"/>
      <c r="C15" s="972"/>
      <c r="D15" s="972"/>
      <c r="E15" s="972"/>
      <c r="F15" s="972"/>
      <c r="G15" s="972"/>
      <c r="H15" s="972"/>
      <c r="I15" s="972"/>
      <c r="J15" s="972"/>
      <c r="K15" s="972"/>
      <c r="L15" s="972"/>
      <c r="M15" s="972"/>
      <c r="N15" s="74"/>
      <c r="O15"/>
      <c r="P15" s="973" t="s">
        <v>60</v>
      </c>
      <c r="Q15" s="973"/>
      <c r="R15" s="973"/>
      <c r="S15" s="973"/>
      <c r="T15" s="97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4"/>
      <c r="Q16" s="974"/>
      <c r="R16" s="974"/>
      <c r="S16" s="974"/>
      <c r="T16" s="97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4" t="s">
        <v>58</v>
      </c>
      <c r="B17" s="944" t="s">
        <v>49</v>
      </c>
      <c r="C17" s="977" t="s">
        <v>48</v>
      </c>
      <c r="D17" s="979" t="s">
        <v>50</v>
      </c>
      <c r="E17" s="980"/>
      <c r="F17" s="944" t="s">
        <v>21</v>
      </c>
      <c r="G17" s="944" t="s">
        <v>24</v>
      </c>
      <c r="H17" s="944" t="s">
        <v>22</v>
      </c>
      <c r="I17" s="944" t="s">
        <v>23</v>
      </c>
      <c r="J17" s="944" t="s">
        <v>16</v>
      </c>
      <c r="K17" s="944" t="s">
        <v>65</v>
      </c>
      <c r="L17" s="944" t="s">
        <v>63</v>
      </c>
      <c r="M17" s="944" t="s">
        <v>2</v>
      </c>
      <c r="N17" s="944" t="s">
        <v>62</v>
      </c>
      <c r="O17" s="944" t="s">
        <v>25</v>
      </c>
      <c r="P17" s="979" t="s">
        <v>17</v>
      </c>
      <c r="Q17" s="983"/>
      <c r="R17" s="983"/>
      <c r="S17" s="983"/>
      <c r="T17" s="980"/>
      <c r="U17" s="975" t="s">
        <v>55</v>
      </c>
      <c r="V17" s="976"/>
      <c r="W17" s="944" t="s">
        <v>6</v>
      </c>
      <c r="X17" s="944" t="s">
        <v>41</v>
      </c>
      <c r="Y17" s="946" t="s">
        <v>54</v>
      </c>
      <c r="Z17" s="948" t="s">
        <v>18</v>
      </c>
      <c r="AA17" s="950" t="s">
        <v>59</v>
      </c>
      <c r="AB17" s="950" t="s">
        <v>19</v>
      </c>
      <c r="AC17" s="950" t="s">
        <v>64</v>
      </c>
      <c r="AD17" s="952" t="s">
        <v>56</v>
      </c>
      <c r="AE17" s="953"/>
      <c r="AF17" s="954"/>
      <c r="AG17" s="77"/>
      <c r="BD17" s="76" t="s">
        <v>61</v>
      </c>
    </row>
    <row r="18" spans="1:68" ht="14.25" customHeight="1" x14ac:dyDescent="0.2">
      <c r="A18" s="945"/>
      <c r="B18" s="945"/>
      <c r="C18" s="978"/>
      <c r="D18" s="981"/>
      <c r="E18" s="982"/>
      <c r="F18" s="945"/>
      <c r="G18" s="945"/>
      <c r="H18" s="945"/>
      <c r="I18" s="945"/>
      <c r="J18" s="945"/>
      <c r="K18" s="945"/>
      <c r="L18" s="945"/>
      <c r="M18" s="945"/>
      <c r="N18" s="945"/>
      <c r="O18" s="945"/>
      <c r="P18" s="981"/>
      <c r="Q18" s="984"/>
      <c r="R18" s="984"/>
      <c r="S18" s="984"/>
      <c r="T18" s="982"/>
      <c r="U18" s="78" t="s">
        <v>44</v>
      </c>
      <c r="V18" s="78" t="s">
        <v>43</v>
      </c>
      <c r="W18" s="945"/>
      <c r="X18" s="945"/>
      <c r="Y18" s="947"/>
      <c r="Z18" s="949"/>
      <c r="AA18" s="951"/>
      <c r="AB18" s="951"/>
      <c r="AC18" s="951"/>
      <c r="AD18" s="955"/>
      <c r="AE18" s="956"/>
      <c r="AF18" s="957"/>
      <c r="AG18" s="77"/>
      <c r="BD18" s="76"/>
    </row>
    <row r="19" spans="1:68" ht="27.75" hidden="1" customHeight="1" x14ac:dyDescent="0.2">
      <c r="A19" s="677" t="s">
        <v>75</v>
      </c>
      <c r="B19" s="677"/>
      <c r="C19" s="677"/>
      <c r="D19" s="677"/>
      <c r="E19" s="677"/>
      <c r="F19" s="677"/>
      <c r="G19" s="677"/>
      <c r="H19" s="677"/>
      <c r="I19" s="677"/>
      <c r="J19" s="677"/>
      <c r="K19" s="677"/>
      <c r="L19" s="677"/>
      <c r="M19" s="677"/>
      <c r="N19" s="677"/>
      <c r="O19" s="677"/>
      <c r="P19" s="677"/>
      <c r="Q19" s="677"/>
      <c r="R19" s="677"/>
      <c r="S19" s="677"/>
      <c r="T19" s="677"/>
      <c r="U19" s="677"/>
      <c r="V19" s="677"/>
      <c r="W19" s="677"/>
      <c r="X19" s="677"/>
      <c r="Y19" s="677"/>
      <c r="Z19" s="677"/>
      <c r="AA19" s="52"/>
      <c r="AB19" s="52"/>
      <c r="AC19" s="52"/>
    </row>
    <row r="20" spans="1:68" ht="16.5" hidden="1" customHeight="1" x14ac:dyDescent="0.25">
      <c r="A20" s="666" t="s">
        <v>75</v>
      </c>
      <c r="B20" s="666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6"/>
      <c r="S20" s="666"/>
      <c r="T20" s="666"/>
      <c r="U20" s="666"/>
      <c r="V20" s="666"/>
      <c r="W20" s="666"/>
      <c r="X20" s="666"/>
      <c r="Y20" s="666"/>
      <c r="Z20" s="666"/>
      <c r="AA20" s="62"/>
      <c r="AB20" s="62"/>
      <c r="AC20" s="62"/>
    </row>
    <row r="21" spans="1:68" ht="14.25" hidden="1" customHeight="1" x14ac:dyDescent="0.25">
      <c r="A21" s="662" t="s">
        <v>76</v>
      </c>
      <c r="B21" s="662"/>
      <c r="C21" s="662"/>
      <c r="D21" s="662"/>
      <c r="E21" s="662"/>
      <c r="F21" s="662"/>
      <c r="G21" s="662"/>
      <c r="H21" s="662"/>
      <c r="I21" s="662"/>
      <c r="J21" s="662"/>
      <c r="K21" s="662"/>
      <c r="L21" s="662"/>
      <c r="M21" s="662"/>
      <c r="N21" s="662"/>
      <c r="O21" s="662"/>
      <c r="P21" s="662"/>
      <c r="Q21" s="662"/>
      <c r="R21" s="662"/>
      <c r="S21" s="662"/>
      <c r="T21" s="662"/>
      <c r="U21" s="662"/>
      <c r="V21" s="662"/>
      <c r="W21" s="662"/>
      <c r="X21" s="662"/>
      <c r="Y21" s="662"/>
      <c r="Z21" s="662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8">
        <v>4680115886643</v>
      </c>
      <c r="E22" s="64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5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0"/>
      <c r="R22" s="650"/>
      <c r="S22" s="650"/>
      <c r="T22" s="65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8">
        <v>4680115889071</v>
      </c>
      <c r="E23" s="64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0"/>
      <c r="R23" s="650"/>
      <c r="S23" s="650"/>
      <c r="T23" s="65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5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2" t="s">
        <v>40</v>
      </c>
      <c r="Q24" s="653"/>
      <c r="R24" s="653"/>
      <c r="S24" s="653"/>
      <c r="T24" s="653"/>
      <c r="U24" s="653"/>
      <c r="V24" s="654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2" t="s">
        <v>40</v>
      </c>
      <c r="Q25" s="653"/>
      <c r="R25" s="653"/>
      <c r="S25" s="653"/>
      <c r="T25" s="653"/>
      <c r="U25" s="653"/>
      <c r="V25" s="654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62" t="s">
        <v>85</v>
      </c>
      <c r="B26" s="662"/>
      <c r="C26" s="662"/>
      <c r="D26" s="662"/>
      <c r="E26" s="662"/>
      <c r="F26" s="662"/>
      <c r="G26" s="662"/>
      <c r="H26" s="662"/>
      <c r="I26" s="662"/>
      <c r="J26" s="662"/>
      <c r="K26" s="662"/>
      <c r="L26" s="662"/>
      <c r="M26" s="662"/>
      <c r="N26" s="662"/>
      <c r="O26" s="662"/>
      <c r="P26" s="662"/>
      <c r="Q26" s="662"/>
      <c r="R26" s="662"/>
      <c r="S26" s="662"/>
      <c r="T26" s="662"/>
      <c r="U26" s="662"/>
      <c r="V26" s="662"/>
      <c r="W26" s="662"/>
      <c r="X26" s="662"/>
      <c r="Y26" s="662"/>
      <c r="Z26" s="662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8">
        <v>4680115885912</v>
      </c>
      <c r="E27" s="64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0"/>
      <c r="R27" s="650"/>
      <c r="S27" s="650"/>
      <c r="T27" s="65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8">
        <v>4607091388237</v>
      </c>
      <c r="E28" s="64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4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0"/>
      <c r="R28" s="650"/>
      <c r="S28" s="650"/>
      <c r="T28" s="65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8">
        <v>4680115887350</v>
      </c>
      <c r="E29" s="64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4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0"/>
      <c r="R29" s="650"/>
      <c r="S29" s="650"/>
      <c r="T29" s="65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8">
        <v>4680115885905</v>
      </c>
      <c r="E30" s="64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4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0"/>
      <c r="R30" s="650"/>
      <c r="S30" s="650"/>
      <c r="T30" s="65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8">
        <v>4680115887619</v>
      </c>
      <c r="E31" s="64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4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0"/>
      <c r="R31" s="650"/>
      <c r="S31" s="650"/>
      <c r="T31" s="65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5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2" t="s">
        <v>40</v>
      </c>
      <c r="Q32" s="653"/>
      <c r="R32" s="653"/>
      <c r="S32" s="653"/>
      <c r="T32" s="653"/>
      <c r="U32" s="653"/>
      <c r="V32" s="654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2" t="s">
        <v>40</v>
      </c>
      <c r="Q33" s="653"/>
      <c r="R33" s="653"/>
      <c r="S33" s="653"/>
      <c r="T33" s="653"/>
      <c r="U33" s="653"/>
      <c r="V33" s="654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77" t="s">
        <v>45</v>
      </c>
      <c r="B34" s="677"/>
      <c r="C34" s="677"/>
      <c r="D34" s="677"/>
      <c r="E34" s="677"/>
      <c r="F34" s="677"/>
      <c r="G34" s="677"/>
      <c r="H34" s="677"/>
      <c r="I34" s="677"/>
      <c r="J34" s="677"/>
      <c r="K34" s="677"/>
      <c r="L34" s="677"/>
      <c r="M34" s="677"/>
      <c r="N34" s="677"/>
      <c r="O34" s="677"/>
      <c r="P34" s="677"/>
      <c r="Q34" s="677"/>
      <c r="R34" s="677"/>
      <c r="S34" s="677"/>
      <c r="T34" s="677"/>
      <c r="U34" s="677"/>
      <c r="V34" s="677"/>
      <c r="W34" s="677"/>
      <c r="X34" s="677"/>
      <c r="Y34" s="677"/>
      <c r="Z34" s="677"/>
      <c r="AA34" s="52"/>
      <c r="AB34" s="52"/>
      <c r="AC34" s="52"/>
    </row>
    <row r="35" spans="1:68" ht="16.5" hidden="1" customHeight="1" x14ac:dyDescent="0.25">
      <c r="A35" s="666" t="s">
        <v>103</v>
      </c>
      <c r="B35" s="666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6"/>
      <c r="S35" s="666"/>
      <c r="T35" s="666"/>
      <c r="U35" s="666"/>
      <c r="V35" s="666"/>
      <c r="W35" s="666"/>
      <c r="X35" s="666"/>
      <c r="Y35" s="666"/>
      <c r="Z35" s="666"/>
      <c r="AA35" s="62"/>
      <c r="AB35" s="62"/>
      <c r="AC35" s="62"/>
    </row>
    <row r="36" spans="1:68" ht="14.25" hidden="1" customHeight="1" x14ac:dyDescent="0.25">
      <c r="A36" s="662" t="s">
        <v>85</v>
      </c>
      <c r="B36" s="662"/>
      <c r="C36" s="662"/>
      <c r="D36" s="662"/>
      <c r="E36" s="662"/>
      <c r="F36" s="662"/>
      <c r="G36" s="662"/>
      <c r="H36" s="662"/>
      <c r="I36" s="662"/>
      <c r="J36" s="662"/>
      <c r="K36" s="662"/>
      <c r="L36" s="662"/>
      <c r="M36" s="662"/>
      <c r="N36" s="662"/>
      <c r="O36" s="662"/>
      <c r="P36" s="662"/>
      <c r="Q36" s="662"/>
      <c r="R36" s="662"/>
      <c r="S36" s="662"/>
      <c r="T36" s="662"/>
      <c r="U36" s="662"/>
      <c r="V36" s="662"/>
      <c r="W36" s="662"/>
      <c r="X36" s="662"/>
      <c r="Y36" s="662"/>
      <c r="Z36" s="662"/>
      <c r="AA36" s="63"/>
      <c r="AB36" s="63"/>
      <c r="AC36" s="63"/>
    </row>
    <row r="37" spans="1:68" ht="27" hidden="1" customHeight="1" x14ac:dyDescent="0.25">
      <c r="A37" s="60" t="s">
        <v>104</v>
      </c>
      <c r="B37" s="60" t="s">
        <v>105</v>
      </c>
      <c r="C37" s="34">
        <v>4301052187</v>
      </c>
      <c r="D37" s="648">
        <v>4680115889354</v>
      </c>
      <c r="E37" s="64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90</v>
      </c>
      <c r="L37" s="35" t="s">
        <v>46</v>
      </c>
      <c r="M37" s="36" t="s">
        <v>96</v>
      </c>
      <c r="N37" s="36"/>
      <c r="O37" s="35">
        <v>40</v>
      </c>
      <c r="P37" s="9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0"/>
      <c r="R37" s="650"/>
      <c r="S37" s="650"/>
      <c r="T37" s="65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106</v>
      </c>
      <c r="AG37" s="75"/>
      <c r="AJ37" s="79" t="s">
        <v>46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107</v>
      </c>
      <c r="B38" s="60" t="s">
        <v>108</v>
      </c>
      <c r="C38" s="34">
        <v>4301052198</v>
      </c>
      <c r="D38" s="648">
        <v>4680115888463</v>
      </c>
      <c r="E38" s="64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90</v>
      </c>
      <c r="L38" s="35" t="s">
        <v>46</v>
      </c>
      <c r="M38" s="36" t="s">
        <v>89</v>
      </c>
      <c r="N38" s="36"/>
      <c r="O38" s="35">
        <v>40</v>
      </c>
      <c r="P38" s="9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0"/>
      <c r="R38" s="650"/>
      <c r="S38" s="650"/>
      <c r="T38" s="65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109</v>
      </c>
      <c r="AG38" s="75"/>
      <c r="AJ38" s="79" t="s">
        <v>46</v>
      </c>
      <c r="AK38" s="79">
        <v>0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110</v>
      </c>
      <c r="B39" s="60" t="s">
        <v>111</v>
      </c>
      <c r="C39" s="34">
        <v>4301052259</v>
      </c>
      <c r="D39" s="648">
        <v>4680115889590</v>
      </c>
      <c r="E39" s="64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90</v>
      </c>
      <c r="L39" s="35" t="s">
        <v>46</v>
      </c>
      <c r="M39" s="36" t="s">
        <v>89</v>
      </c>
      <c r="N39" s="36"/>
      <c r="O39" s="35">
        <v>40</v>
      </c>
      <c r="P39" s="9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0"/>
      <c r="R39" s="650"/>
      <c r="S39" s="650"/>
      <c r="T39" s="65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112</v>
      </c>
      <c r="AG39" s="75"/>
      <c r="AJ39" s="79" t="s">
        <v>46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113</v>
      </c>
      <c r="B40" s="60" t="s">
        <v>114</v>
      </c>
      <c r="C40" s="34">
        <v>4301052184</v>
      </c>
      <c r="D40" s="648">
        <v>4680115888272</v>
      </c>
      <c r="E40" s="64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90</v>
      </c>
      <c r="L40" s="35" t="s">
        <v>46</v>
      </c>
      <c r="M40" s="36" t="s">
        <v>89</v>
      </c>
      <c r="N40" s="36"/>
      <c r="O40" s="35">
        <v>40</v>
      </c>
      <c r="P40" s="9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0"/>
      <c r="R40" s="650"/>
      <c r="S40" s="650"/>
      <c r="T40" s="65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115</v>
      </c>
      <c r="AG40" s="75"/>
      <c r="AJ40" s="79" t="s">
        <v>46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116</v>
      </c>
      <c r="B41" s="60" t="s">
        <v>117</v>
      </c>
      <c r="C41" s="34">
        <v>4301052188</v>
      </c>
      <c r="D41" s="648">
        <v>4680115888364</v>
      </c>
      <c r="E41" s="64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89</v>
      </c>
      <c r="N41" s="36"/>
      <c r="O41" s="35">
        <v>40</v>
      </c>
      <c r="P41" s="9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0"/>
      <c r="R41" s="650"/>
      <c r="S41" s="650"/>
      <c r="T41" s="65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118</v>
      </c>
      <c r="AG41" s="75"/>
      <c r="AJ41" s="79" t="s">
        <v>46</v>
      </c>
      <c r="AK41" s="79">
        <v>0</v>
      </c>
      <c r="BB41" s="104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2" t="s">
        <v>40</v>
      </c>
      <c r="Q42" s="653"/>
      <c r="R42" s="653"/>
      <c r="S42" s="653"/>
      <c r="T42" s="653"/>
      <c r="U42" s="653"/>
      <c r="V42" s="654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2" t="s">
        <v>40</v>
      </c>
      <c r="Q43" s="653"/>
      <c r="R43" s="653"/>
      <c r="S43" s="653"/>
      <c r="T43" s="653"/>
      <c r="U43" s="653"/>
      <c r="V43" s="654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77" t="s">
        <v>119</v>
      </c>
      <c r="B44" s="677"/>
      <c r="C44" s="677"/>
      <c r="D44" s="677"/>
      <c r="E44" s="677"/>
      <c r="F44" s="677"/>
      <c r="G44" s="677"/>
      <c r="H44" s="677"/>
      <c r="I44" s="677"/>
      <c r="J44" s="677"/>
      <c r="K44" s="677"/>
      <c r="L44" s="677"/>
      <c r="M44" s="677"/>
      <c r="N44" s="677"/>
      <c r="O44" s="677"/>
      <c r="P44" s="677"/>
      <c r="Q44" s="677"/>
      <c r="R44" s="677"/>
      <c r="S44" s="677"/>
      <c r="T44" s="677"/>
      <c r="U44" s="677"/>
      <c r="V44" s="677"/>
      <c r="W44" s="677"/>
      <c r="X44" s="677"/>
      <c r="Y44" s="677"/>
      <c r="Z44" s="677"/>
      <c r="AA44" s="52"/>
      <c r="AB44" s="52"/>
      <c r="AC44" s="52"/>
    </row>
    <row r="45" spans="1:68" ht="16.5" hidden="1" customHeight="1" x14ac:dyDescent="0.25">
      <c r="A45" s="666" t="s">
        <v>120</v>
      </c>
      <c r="B45" s="666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6"/>
      <c r="S45" s="666"/>
      <c r="T45" s="666"/>
      <c r="U45" s="666"/>
      <c r="V45" s="666"/>
      <c r="W45" s="666"/>
      <c r="X45" s="666"/>
      <c r="Y45" s="666"/>
      <c r="Z45" s="666"/>
      <c r="AA45" s="62"/>
      <c r="AB45" s="62"/>
      <c r="AC45" s="62"/>
    </row>
    <row r="46" spans="1:68" ht="14.25" hidden="1" customHeight="1" x14ac:dyDescent="0.25">
      <c r="A46" s="662" t="s">
        <v>121</v>
      </c>
      <c r="B46" s="662"/>
      <c r="C46" s="662"/>
      <c r="D46" s="662"/>
      <c r="E46" s="662"/>
      <c r="F46" s="662"/>
      <c r="G46" s="662"/>
      <c r="H46" s="662"/>
      <c r="I46" s="662"/>
      <c r="J46" s="662"/>
      <c r="K46" s="662"/>
      <c r="L46" s="662"/>
      <c r="M46" s="662"/>
      <c r="N46" s="662"/>
      <c r="O46" s="662"/>
      <c r="P46" s="662"/>
      <c r="Q46" s="662"/>
      <c r="R46" s="662"/>
      <c r="S46" s="662"/>
      <c r="T46" s="662"/>
      <c r="U46" s="662"/>
      <c r="V46" s="662"/>
      <c r="W46" s="662"/>
      <c r="X46" s="662"/>
      <c r="Y46" s="662"/>
      <c r="Z46" s="662"/>
      <c r="AA46" s="63"/>
      <c r="AB46" s="63"/>
      <c r="AC46" s="63"/>
    </row>
    <row r="47" spans="1:68" ht="16.5" hidden="1" customHeight="1" x14ac:dyDescent="0.25">
      <c r="A47" s="60" t="s">
        <v>122</v>
      </c>
      <c r="B47" s="60" t="s">
        <v>123</v>
      </c>
      <c r="C47" s="34">
        <v>4301011380</v>
      </c>
      <c r="D47" s="648">
        <v>4607091385670</v>
      </c>
      <c r="E47" s="64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126</v>
      </c>
      <c r="L47" s="35" t="s">
        <v>46</v>
      </c>
      <c r="M47" s="36" t="s">
        <v>125</v>
      </c>
      <c r="N47" s="36"/>
      <c r="O47" s="35">
        <v>50</v>
      </c>
      <c r="P47" s="9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0"/>
      <c r="R47" s="650"/>
      <c r="S47" s="650"/>
      <c r="T47" s="651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124</v>
      </c>
      <c r="AG47" s="75"/>
      <c r="AJ47" s="79" t="s">
        <v>46</v>
      </c>
      <c r="AK47" s="79">
        <v>0</v>
      </c>
      <c r="BB47" s="106" t="s">
        <v>66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127</v>
      </c>
      <c r="B48" s="60" t="s">
        <v>128</v>
      </c>
      <c r="C48" s="34">
        <v>4301012053</v>
      </c>
      <c r="D48" s="648">
        <v>4680115887725</v>
      </c>
      <c r="E48" s="64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130</v>
      </c>
      <c r="L48" s="35" t="s">
        <v>46</v>
      </c>
      <c r="M48" s="36" t="s">
        <v>80</v>
      </c>
      <c r="N48" s="36"/>
      <c r="O48" s="35">
        <v>30</v>
      </c>
      <c r="P48" s="92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0"/>
      <c r="R48" s="650"/>
      <c r="S48" s="650"/>
      <c r="T48" s="65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129</v>
      </c>
      <c r="AG48" s="75"/>
      <c r="AJ48" s="79" t="s">
        <v>46</v>
      </c>
      <c r="AK48" s="79">
        <v>0</v>
      </c>
      <c r="BB48" s="108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131</v>
      </c>
      <c r="B49" s="60" t="s">
        <v>132</v>
      </c>
      <c r="C49" s="34">
        <v>4301011382</v>
      </c>
      <c r="D49" s="648">
        <v>4607091385687</v>
      </c>
      <c r="E49" s="64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133</v>
      </c>
      <c r="L49" s="35" t="s">
        <v>46</v>
      </c>
      <c r="M49" s="36" t="s">
        <v>89</v>
      </c>
      <c r="N49" s="36"/>
      <c r="O49" s="35">
        <v>50</v>
      </c>
      <c r="P49" s="92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0"/>
      <c r="R49" s="650"/>
      <c r="S49" s="650"/>
      <c r="T49" s="651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124</v>
      </c>
      <c r="AG49" s="75"/>
      <c r="AJ49" s="79" t="s">
        <v>46</v>
      </c>
      <c r="AK49" s="79">
        <v>0</v>
      </c>
      <c r="BB49" s="110" t="s">
        <v>66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134</v>
      </c>
      <c r="B50" s="60" t="s">
        <v>135</v>
      </c>
      <c r="C50" s="34">
        <v>4301011565</v>
      </c>
      <c r="D50" s="648">
        <v>4680115882539</v>
      </c>
      <c r="E50" s="64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133</v>
      </c>
      <c r="L50" s="35" t="s">
        <v>46</v>
      </c>
      <c r="M50" s="36" t="s">
        <v>89</v>
      </c>
      <c r="N50" s="36"/>
      <c r="O50" s="35">
        <v>50</v>
      </c>
      <c r="P50" s="92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0"/>
      <c r="R50" s="650"/>
      <c r="S50" s="650"/>
      <c r="T50" s="65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124</v>
      </c>
      <c r="AG50" s="75"/>
      <c r="AJ50" s="79" t="s">
        <v>46</v>
      </c>
      <c r="AK50" s="79">
        <v>0</v>
      </c>
      <c r="BB50" s="112" t="s">
        <v>66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5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2" t="s">
        <v>40</v>
      </c>
      <c r="Q51" s="653"/>
      <c r="R51" s="653"/>
      <c r="S51" s="653"/>
      <c r="T51" s="653"/>
      <c r="U51" s="653"/>
      <c r="V51" s="654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2" t="s">
        <v>40</v>
      </c>
      <c r="Q52" s="653"/>
      <c r="R52" s="653"/>
      <c r="S52" s="653"/>
      <c r="T52" s="653"/>
      <c r="U52" s="653"/>
      <c r="V52" s="654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66" t="s">
        <v>136</v>
      </c>
      <c r="B53" s="666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6"/>
      <c r="S53" s="666"/>
      <c r="T53" s="666"/>
      <c r="U53" s="666"/>
      <c r="V53" s="666"/>
      <c r="W53" s="666"/>
      <c r="X53" s="666"/>
      <c r="Y53" s="666"/>
      <c r="Z53" s="666"/>
      <c r="AA53" s="62"/>
      <c r="AB53" s="62"/>
      <c r="AC53" s="62"/>
    </row>
    <row r="54" spans="1:68" ht="14.25" hidden="1" customHeight="1" x14ac:dyDescent="0.25">
      <c r="A54" s="662" t="s">
        <v>121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3"/>
      <c r="AB54" s="63"/>
      <c r="AC54" s="63"/>
    </row>
    <row r="55" spans="1:68" ht="27" hidden="1" customHeight="1" x14ac:dyDescent="0.25">
      <c r="A55" s="60" t="s">
        <v>137</v>
      </c>
      <c r="B55" s="60" t="s">
        <v>138</v>
      </c>
      <c r="C55" s="34">
        <v>4301012161</v>
      </c>
      <c r="D55" s="648">
        <v>4680115885882</v>
      </c>
      <c r="E55" s="64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126</v>
      </c>
      <c r="L55" s="35" t="s">
        <v>46</v>
      </c>
      <c r="M55" s="36" t="s">
        <v>125</v>
      </c>
      <c r="N55" s="36"/>
      <c r="O55" s="35">
        <v>50</v>
      </c>
      <c r="P55" s="93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0"/>
      <c r="R55" s="650"/>
      <c r="S55" s="650"/>
      <c r="T55" s="65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139</v>
      </c>
      <c r="AG55" s="75"/>
      <c r="AJ55" s="79" t="s">
        <v>46</v>
      </c>
      <c r="AK55" s="79">
        <v>0</v>
      </c>
      <c r="BB55" s="114" t="s">
        <v>66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140</v>
      </c>
      <c r="B56" s="60" t="s">
        <v>141</v>
      </c>
      <c r="C56" s="34">
        <v>4301011816</v>
      </c>
      <c r="D56" s="648">
        <v>4680115881426</v>
      </c>
      <c r="E56" s="64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126</v>
      </c>
      <c r="L56" s="35" t="s">
        <v>46</v>
      </c>
      <c r="M56" s="36" t="s">
        <v>125</v>
      </c>
      <c r="N56" s="36"/>
      <c r="O56" s="35">
        <v>50</v>
      </c>
      <c r="P56" s="93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0"/>
      <c r="R56" s="650"/>
      <c r="S56" s="650"/>
      <c r="T56" s="65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142</v>
      </c>
      <c r="AG56" s="75"/>
      <c r="AJ56" s="79" t="s">
        <v>46</v>
      </c>
      <c r="AK56" s="79">
        <v>0</v>
      </c>
      <c r="BB56" s="116" t="s">
        <v>66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143</v>
      </c>
      <c r="B57" s="60" t="s">
        <v>144</v>
      </c>
      <c r="C57" s="34">
        <v>4301012259</v>
      </c>
      <c r="D57" s="648">
        <v>4680115880283</v>
      </c>
      <c r="E57" s="64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133</v>
      </c>
      <c r="L57" s="35" t="s">
        <v>46</v>
      </c>
      <c r="M57" s="36" t="s">
        <v>125</v>
      </c>
      <c r="N57" s="36"/>
      <c r="O57" s="35">
        <v>45</v>
      </c>
      <c r="P57" s="93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0"/>
      <c r="R57" s="650"/>
      <c r="S57" s="650"/>
      <c r="T57" s="65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66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4301011806</v>
      </c>
      <c r="D58" s="648">
        <v>4680115881525</v>
      </c>
      <c r="E58" s="64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133</v>
      </c>
      <c r="L58" s="35" t="s">
        <v>46</v>
      </c>
      <c r="M58" s="36" t="s">
        <v>125</v>
      </c>
      <c r="N58" s="36"/>
      <c r="O58" s="35">
        <v>50</v>
      </c>
      <c r="P58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0"/>
      <c r="R58" s="650"/>
      <c r="S58" s="650"/>
      <c r="T58" s="65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66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146</v>
      </c>
      <c r="B59" s="60" t="s">
        <v>149</v>
      </c>
      <c r="C59" s="34">
        <v>4301012159</v>
      </c>
      <c r="D59" s="648">
        <v>4680115881525</v>
      </c>
      <c r="E59" s="64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133</v>
      </c>
      <c r="L59" s="35" t="s">
        <v>46</v>
      </c>
      <c r="M59" s="36" t="s">
        <v>125</v>
      </c>
      <c r="N59" s="36"/>
      <c r="O59" s="35">
        <v>50</v>
      </c>
      <c r="P59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0"/>
      <c r="R59" s="650"/>
      <c r="S59" s="650"/>
      <c r="T59" s="65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150</v>
      </c>
      <c r="AG59" s="75"/>
      <c r="AJ59" s="79" t="s">
        <v>46</v>
      </c>
      <c r="AK59" s="79">
        <v>0</v>
      </c>
      <c r="BB59" s="122" t="s">
        <v>66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151</v>
      </c>
      <c r="B60" s="60" t="s">
        <v>152</v>
      </c>
      <c r="C60" s="34">
        <v>4301012165</v>
      </c>
      <c r="D60" s="648">
        <v>4680115885899</v>
      </c>
      <c r="E60" s="648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90</v>
      </c>
      <c r="L60" s="35" t="s">
        <v>46</v>
      </c>
      <c r="M60" s="36" t="s">
        <v>125</v>
      </c>
      <c r="N60" s="36"/>
      <c r="O60" s="35">
        <v>50</v>
      </c>
      <c r="P60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0"/>
      <c r="R60" s="650"/>
      <c r="S60" s="650"/>
      <c r="T60" s="65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139</v>
      </c>
      <c r="AG60" s="75"/>
      <c r="AJ60" s="79" t="s">
        <v>46</v>
      </c>
      <c r="AK60" s="79">
        <v>0</v>
      </c>
      <c r="BB60" s="124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153</v>
      </c>
      <c r="B61" s="60" t="s">
        <v>154</v>
      </c>
      <c r="C61" s="34">
        <v>4301011801</v>
      </c>
      <c r="D61" s="648">
        <v>4680115881419</v>
      </c>
      <c r="E61" s="648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133</v>
      </c>
      <c r="L61" s="35" t="s">
        <v>46</v>
      </c>
      <c r="M61" s="36" t="s">
        <v>125</v>
      </c>
      <c r="N61" s="36"/>
      <c r="O61" s="35">
        <v>50</v>
      </c>
      <c r="P61" s="92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0"/>
      <c r="R61" s="650"/>
      <c r="S61" s="650"/>
      <c r="T61" s="65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155</v>
      </c>
      <c r="AG61" s="75"/>
      <c r="AJ61" s="79" t="s">
        <v>46</v>
      </c>
      <c r="AK61" s="79">
        <v>0</v>
      </c>
      <c r="BB61" s="126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5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2" t="s">
        <v>40</v>
      </c>
      <c r="Q62" s="653"/>
      <c r="R62" s="653"/>
      <c r="S62" s="653"/>
      <c r="T62" s="653"/>
      <c r="U62" s="653"/>
      <c r="V62" s="654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2" t="s">
        <v>40</v>
      </c>
      <c r="Q63" s="653"/>
      <c r="R63" s="653"/>
      <c r="S63" s="653"/>
      <c r="T63" s="653"/>
      <c r="U63" s="653"/>
      <c r="V63" s="654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62" t="s">
        <v>156</v>
      </c>
      <c r="B64" s="662"/>
      <c r="C64" s="662"/>
      <c r="D64" s="662"/>
      <c r="E64" s="662"/>
      <c r="F64" s="662"/>
      <c r="G64" s="662"/>
      <c r="H64" s="662"/>
      <c r="I64" s="662"/>
      <c r="J64" s="662"/>
      <c r="K64" s="662"/>
      <c r="L64" s="662"/>
      <c r="M64" s="662"/>
      <c r="N64" s="662"/>
      <c r="O64" s="662"/>
      <c r="P64" s="662"/>
      <c r="Q64" s="662"/>
      <c r="R64" s="662"/>
      <c r="S64" s="662"/>
      <c r="T64" s="662"/>
      <c r="U64" s="662"/>
      <c r="V64" s="662"/>
      <c r="W64" s="662"/>
      <c r="X64" s="662"/>
      <c r="Y64" s="662"/>
      <c r="Z64" s="662"/>
      <c r="AA64" s="63"/>
      <c r="AB64" s="63"/>
      <c r="AC64" s="63"/>
    </row>
    <row r="65" spans="1:68" ht="16.5" hidden="1" customHeight="1" x14ac:dyDescent="0.25">
      <c r="A65" s="60" t="s">
        <v>157</v>
      </c>
      <c r="B65" s="60" t="s">
        <v>158</v>
      </c>
      <c r="C65" s="34">
        <v>4301020298</v>
      </c>
      <c r="D65" s="648">
        <v>4680115881440</v>
      </c>
      <c r="E65" s="648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126</v>
      </c>
      <c r="L65" s="35" t="s">
        <v>46</v>
      </c>
      <c r="M65" s="36" t="s">
        <v>125</v>
      </c>
      <c r="N65" s="36"/>
      <c r="O65" s="35">
        <v>50</v>
      </c>
      <c r="P65" s="92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0"/>
      <c r="R65" s="650"/>
      <c r="S65" s="650"/>
      <c r="T65" s="65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159</v>
      </c>
      <c r="AG65" s="75"/>
      <c r="AJ65" s="79" t="s">
        <v>46</v>
      </c>
      <c r="AK65" s="79">
        <v>0</v>
      </c>
      <c r="BB65" s="128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160</v>
      </c>
      <c r="B66" s="60" t="s">
        <v>161</v>
      </c>
      <c r="C66" s="34">
        <v>4301020358</v>
      </c>
      <c r="D66" s="648">
        <v>4680115885950</v>
      </c>
      <c r="E66" s="648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90</v>
      </c>
      <c r="L66" s="35" t="s">
        <v>46</v>
      </c>
      <c r="M66" s="36" t="s">
        <v>89</v>
      </c>
      <c r="N66" s="36"/>
      <c r="O66" s="35">
        <v>50</v>
      </c>
      <c r="P66" s="9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0"/>
      <c r="R66" s="650"/>
      <c r="S66" s="650"/>
      <c r="T66" s="65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159</v>
      </c>
      <c r="AG66" s="75"/>
      <c r="AJ66" s="79" t="s">
        <v>46</v>
      </c>
      <c r="AK66" s="79">
        <v>0</v>
      </c>
      <c r="BB66" s="130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162</v>
      </c>
      <c r="B67" s="60" t="s">
        <v>163</v>
      </c>
      <c r="C67" s="34">
        <v>4301020371</v>
      </c>
      <c r="D67" s="648">
        <v>4680115887688</v>
      </c>
      <c r="E67" s="648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130</v>
      </c>
      <c r="L67" s="35" t="s">
        <v>46</v>
      </c>
      <c r="M67" s="36" t="s">
        <v>80</v>
      </c>
      <c r="N67" s="36"/>
      <c r="O67" s="35">
        <v>30</v>
      </c>
      <c r="P67" s="92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0"/>
      <c r="R67" s="650"/>
      <c r="S67" s="650"/>
      <c r="T67" s="651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164</v>
      </c>
      <c r="AG67" s="75"/>
      <c r="AJ67" s="79" t="s">
        <v>46</v>
      </c>
      <c r="AK67" s="79">
        <v>0</v>
      </c>
      <c r="BB67" s="132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165</v>
      </c>
      <c r="B68" s="60" t="s">
        <v>166</v>
      </c>
      <c r="C68" s="34">
        <v>4301020296</v>
      </c>
      <c r="D68" s="648">
        <v>4680115881433</v>
      </c>
      <c r="E68" s="648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90</v>
      </c>
      <c r="L68" s="35" t="s">
        <v>46</v>
      </c>
      <c r="M68" s="36" t="s">
        <v>125</v>
      </c>
      <c r="N68" s="36"/>
      <c r="O68" s="35">
        <v>50</v>
      </c>
      <c r="P68" s="91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0"/>
      <c r="R68" s="650"/>
      <c r="S68" s="650"/>
      <c r="T68" s="65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159</v>
      </c>
      <c r="AG68" s="75"/>
      <c r="AJ68" s="79" t="s">
        <v>46</v>
      </c>
      <c r="AK68" s="79">
        <v>0</v>
      </c>
      <c r="BB68" s="134" t="s">
        <v>66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2" t="s">
        <v>40</v>
      </c>
      <c r="Q69" s="653"/>
      <c r="R69" s="653"/>
      <c r="S69" s="653"/>
      <c r="T69" s="653"/>
      <c r="U69" s="653"/>
      <c r="V69" s="654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5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2" t="s">
        <v>40</v>
      </c>
      <c r="Q70" s="653"/>
      <c r="R70" s="653"/>
      <c r="S70" s="653"/>
      <c r="T70" s="653"/>
      <c r="U70" s="653"/>
      <c r="V70" s="654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62" t="s">
        <v>85</v>
      </c>
      <c r="B71" s="662"/>
      <c r="C71" s="662"/>
      <c r="D71" s="662"/>
      <c r="E71" s="662"/>
      <c r="F71" s="662"/>
      <c r="G71" s="662"/>
      <c r="H71" s="662"/>
      <c r="I71" s="662"/>
      <c r="J71" s="662"/>
      <c r="K71" s="662"/>
      <c r="L71" s="662"/>
      <c r="M71" s="662"/>
      <c r="N71" s="662"/>
      <c r="O71" s="662"/>
      <c r="P71" s="662"/>
      <c r="Q71" s="662"/>
      <c r="R71" s="662"/>
      <c r="S71" s="662"/>
      <c r="T71" s="662"/>
      <c r="U71" s="662"/>
      <c r="V71" s="662"/>
      <c r="W71" s="662"/>
      <c r="X71" s="662"/>
      <c r="Y71" s="662"/>
      <c r="Z71" s="662"/>
      <c r="AA71" s="63"/>
      <c r="AB71" s="63"/>
      <c r="AC71" s="63"/>
    </row>
    <row r="72" spans="1:68" ht="16.5" hidden="1" customHeight="1" x14ac:dyDescent="0.25">
      <c r="A72" s="60" t="s">
        <v>167</v>
      </c>
      <c r="B72" s="60" t="s">
        <v>168</v>
      </c>
      <c r="C72" s="34">
        <v>4301051837</v>
      </c>
      <c r="D72" s="648">
        <v>4680115884311</v>
      </c>
      <c r="E72" s="648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90</v>
      </c>
      <c r="L72" s="35" t="s">
        <v>46</v>
      </c>
      <c r="M72" s="36" t="s">
        <v>89</v>
      </c>
      <c r="N72" s="36"/>
      <c r="O72" s="35">
        <v>40</v>
      </c>
      <c r="P72" s="91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0"/>
      <c r="R72" s="650"/>
      <c r="S72" s="650"/>
      <c r="T72" s="65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169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170</v>
      </c>
      <c r="B73" s="60" t="s">
        <v>171</v>
      </c>
      <c r="C73" s="34">
        <v>4301051929</v>
      </c>
      <c r="D73" s="648">
        <v>4680115884403</v>
      </c>
      <c r="E73" s="64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90</v>
      </c>
      <c r="L73" s="35" t="s">
        <v>46</v>
      </c>
      <c r="M73" s="36" t="s">
        <v>89</v>
      </c>
      <c r="N73" s="36"/>
      <c r="O73" s="35">
        <v>40</v>
      </c>
      <c r="P73" s="9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0"/>
      <c r="R73" s="650"/>
      <c r="S73" s="650"/>
      <c r="T73" s="65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172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170</v>
      </c>
      <c r="B74" s="60" t="s">
        <v>173</v>
      </c>
      <c r="C74" s="34">
        <v>4301052083</v>
      </c>
      <c r="D74" s="648">
        <v>4680115884403</v>
      </c>
      <c r="E74" s="648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90</v>
      </c>
      <c r="L74" s="35" t="s">
        <v>46</v>
      </c>
      <c r="M74" s="36" t="s">
        <v>89</v>
      </c>
      <c r="N74" s="36"/>
      <c r="O74" s="35">
        <v>40</v>
      </c>
      <c r="P74" s="91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0"/>
      <c r="R74" s="650"/>
      <c r="S74" s="650"/>
      <c r="T74" s="651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172</v>
      </c>
      <c r="AG74" s="75"/>
      <c r="AJ74" s="79" t="s">
        <v>46</v>
      </c>
      <c r="AK74" s="79">
        <v>0</v>
      </c>
      <c r="BB74" s="140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5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2" t="s">
        <v>40</v>
      </c>
      <c r="Q75" s="653"/>
      <c r="R75" s="653"/>
      <c r="S75" s="653"/>
      <c r="T75" s="653"/>
      <c r="U75" s="653"/>
      <c r="V75" s="654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2" t="s">
        <v>40</v>
      </c>
      <c r="Q76" s="653"/>
      <c r="R76" s="653"/>
      <c r="S76" s="653"/>
      <c r="T76" s="653"/>
      <c r="U76" s="653"/>
      <c r="V76" s="654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62" t="s">
        <v>174</v>
      </c>
      <c r="B77" s="662"/>
      <c r="C77" s="662"/>
      <c r="D77" s="662"/>
      <c r="E77" s="662"/>
      <c r="F77" s="662"/>
      <c r="G77" s="662"/>
      <c r="H77" s="662"/>
      <c r="I77" s="662"/>
      <c r="J77" s="662"/>
      <c r="K77" s="662"/>
      <c r="L77" s="662"/>
      <c r="M77" s="662"/>
      <c r="N77" s="662"/>
      <c r="O77" s="662"/>
      <c r="P77" s="662"/>
      <c r="Q77" s="662"/>
      <c r="R77" s="662"/>
      <c r="S77" s="662"/>
      <c r="T77" s="662"/>
      <c r="U77" s="662"/>
      <c r="V77" s="662"/>
      <c r="W77" s="662"/>
      <c r="X77" s="662"/>
      <c r="Y77" s="662"/>
      <c r="Z77" s="662"/>
      <c r="AA77" s="63"/>
      <c r="AB77" s="63"/>
      <c r="AC77" s="63"/>
    </row>
    <row r="78" spans="1:68" ht="27" hidden="1" customHeight="1" x14ac:dyDescent="0.25">
      <c r="A78" s="60" t="s">
        <v>175</v>
      </c>
      <c r="B78" s="60" t="s">
        <v>176</v>
      </c>
      <c r="C78" s="34">
        <v>4301060455</v>
      </c>
      <c r="D78" s="648">
        <v>4680115881532</v>
      </c>
      <c r="E78" s="64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126</v>
      </c>
      <c r="L78" s="35" t="s">
        <v>46</v>
      </c>
      <c r="M78" s="36" t="s">
        <v>96</v>
      </c>
      <c r="N78" s="36"/>
      <c r="O78" s="35">
        <v>30</v>
      </c>
      <c r="P78" s="91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0"/>
      <c r="R78" s="650"/>
      <c r="S78" s="650"/>
      <c r="T78" s="65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177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175</v>
      </c>
      <c r="B79" s="60" t="s">
        <v>178</v>
      </c>
      <c r="C79" s="34">
        <v>4301060526</v>
      </c>
      <c r="D79" s="648">
        <v>4680115881532</v>
      </c>
      <c r="E79" s="648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126</v>
      </c>
      <c r="L79" s="35" t="s">
        <v>46</v>
      </c>
      <c r="M79" s="36" t="s">
        <v>96</v>
      </c>
      <c r="N79" s="36"/>
      <c r="O79" s="35">
        <v>30</v>
      </c>
      <c r="P79" s="90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0"/>
      <c r="R79" s="650"/>
      <c r="S79" s="650"/>
      <c r="T79" s="65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177</v>
      </c>
      <c r="AG79" s="75"/>
      <c r="AJ79" s="79" t="s">
        <v>46</v>
      </c>
      <c r="AK79" s="79">
        <v>0</v>
      </c>
      <c r="BB79" s="144" t="s">
        <v>66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179</v>
      </c>
      <c r="B80" s="60" t="s">
        <v>180</v>
      </c>
      <c r="C80" s="34">
        <v>4301060527</v>
      </c>
      <c r="D80" s="648">
        <v>4680115881464</v>
      </c>
      <c r="E80" s="64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133</v>
      </c>
      <c r="L80" s="35" t="s">
        <v>46</v>
      </c>
      <c r="M80" s="36" t="s">
        <v>89</v>
      </c>
      <c r="N80" s="36"/>
      <c r="O80" s="35">
        <v>30</v>
      </c>
      <c r="P80" s="91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0"/>
      <c r="R80" s="650"/>
      <c r="S80" s="650"/>
      <c r="T80" s="65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2" t="s">
        <v>40</v>
      </c>
      <c r="Q81" s="653"/>
      <c r="R81" s="653"/>
      <c r="S81" s="653"/>
      <c r="T81" s="653"/>
      <c r="U81" s="653"/>
      <c r="V81" s="654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5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2" t="s">
        <v>40</v>
      </c>
      <c r="Q82" s="653"/>
      <c r="R82" s="653"/>
      <c r="S82" s="653"/>
      <c r="T82" s="653"/>
      <c r="U82" s="653"/>
      <c r="V82" s="654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66" t="s">
        <v>182</v>
      </c>
      <c r="B83" s="666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6"/>
      <c r="X83" s="666"/>
      <c r="Y83" s="666"/>
      <c r="Z83" s="666"/>
      <c r="AA83" s="62"/>
      <c r="AB83" s="62"/>
      <c r="AC83" s="62"/>
    </row>
    <row r="84" spans="1:68" ht="14.25" hidden="1" customHeight="1" x14ac:dyDescent="0.25">
      <c r="A84" s="662" t="s">
        <v>121</v>
      </c>
      <c r="B84" s="662"/>
      <c r="C84" s="662"/>
      <c r="D84" s="662"/>
      <c r="E84" s="662"/>
      <c r="F84" s="662"/>
      <c r="G84" s="662"/>
      <c r="H84" s="662"/>
      <c r="I84" s="662"/>
      <c r="J84" s="662"/>
      <c r="K84" s="662"/>
      <c r="L84" s="662"/>
      <c r="M84" s="662"/>
      <c r="N84" s="662"/>
      <c r="O84" s="662"/>
      <c r="P84" s="662"/>
      <c r="Q84" s="662"/>
      <c r="R84" s="662"/>
      <c r="S84" s="662"/>
      <c r="T84" s="662"/>
      <c r="U84" s="662"/>
      <c r="V84" s="662"/>
      <c r="W84" s="662"/>
      <c r="X84" s="662"/>
      <c r="Y84" s="662"/>
      <c r="Z84" s="662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648">
        <v>4680115881327</v>
      </c>
      <c r="E85" s="64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126</v>
      </c>
      <c r="L85" s="35" t="s">
        <v>46</v>
      </c>
      <c r="M85" s="36" t="s">
        <v>96</v>
      </c>
      <c r="N85" s="36"/>
      <c r="O85" s="35">
        <v>50</v>
      </c>
      <c r="P85" s="91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0"/>
      <c r="R85" s="650"/>
      <c r="S85" s="650"/>
      <c r="T85" s="651"/>
      <c r="U85" s="37" t="s">
        <v>46</v>
      </c>
      <c r="V85" s="37" t="s">
        <v>46</v>
      </c>
      <c r="W85" s="38" t="s">
        <v>0</v>
      </c>
      <c r="X85" s="56">
        <v>0</v>
      </c>
      <c r="Y85" s="53">
        <f t="shared" ref="Y85:Y90" si="5"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66</v>
      </c>
      <c r="BM85" s="75">
        <f t="shared" ref="BM85:BM90" si="6">IFERROR(X85*I85/H85,"0")</f>
        <v>0</v>
      </c>
      <c r="BN85" s="75">
        <f t="shared" ref="BN85:BN90" si="7">IFERROR(Y85*I85/H85,"0")</f>
        <v>0</v>
      </c>
      <c r="BO85" s="75">
        <f t="shared" ref="BO85:BO90" si="8">IFERROR(1/J85*(X85/H85),"0")</f>
        <v>0</v>
      </c>
      <c r="BP85" s="75">
        <f t="shared" ref="BP85:BP90" si="9"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648">
        <v>4680115887732</v>
      </c>
      <c r="E86" s="64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130</v>
      </c>
      <c r="L86" s="35" t="s">
        <v>46</v>
      </c>
      <c r="M86" s="36" t="s">
        <v>80</v>
      </c>
      <c r="N86" s="36"/>
      <c r="O86" s="35">
        <v>30</v>
      </c>
      <c r="P86" s="91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0"/>
      <c r="R86" s="650"/>
      <c r="S86" s="650"/>
      <c r="T86" s="651"/>
      <c r="U86" s="37" t="s">
        <v>46</v>
      </c>
      <c r="V86" s="37" t="s">
        <v>46</v>
      </c>
      <c r="W86" s="38" t="s">
        <v>0</v>
      </c>
      <c r="X86" s="56">
        <v>0</v>
      </c>
      <c r="Y86" s="53">
        <f t="shared" si="5"/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66</v>
      </c>
      <c r="BM86" s="75">
        <f t="shared" si="6"/>
        <v>0</v>
      </c>
      <c r="BN86" s="75">
        <f t="shared" si="7"/>
        <v>0</v>
      </c>
      <c r="BO86" s="75">
        <f t="shared" si="8"/>
        <v>0</v>
      </c>
      <c r="BP86" s="75">
        <f t="shared" si="9"/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648">
        <v>4680115887732</v>
      </c>
      <c r="E87" s="64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130</v>
      </c>
      <c r="L87" s="35" t="s">
        <v>46</v>
      </c>
      <c r="M87" s="36" t="s">
        <v>80</v>
      </c>
      <c r="N87" s="36"/>
      <c r="O87" s="35">
        <v>30</v>
      </c>
      <c r="P87" s="91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0"/>
      <c r="R87" s="650"/>
      <c r="S87" s="650"/>
      <c r="T87" s="651"/>
      <c r="U87" s="37" t="s">
        <v>46</v>
      </c>
      <c r="V87" s="37" t="s">
        <v>46</v>
      </c>
      <c r="W87" s="38" t="s">
        <v>0</v>
      </c>
      <c r="X87" s="56">
        <v>0</v>
      </c>
      <c r="Y87" s="53">
        <f t="shared" si="5"/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66</v>
      </c>
      <c r="BM87" s="75">
        <f t="shared" si="6"/>
        <v>0</v>
      </c>
      <c r="BN87" s="75">
        <f t="shared" si="7"/>
        <v>0</v>
      </c>
      <c r="BO87" s="75">
        <f t="shared" si="8"/>
        <v>0</v>
      </c>
      <c r="BP87" s="75">
        <f t="shared" si="9"/>
        <v>0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4301011476</v>
      </c>
      <c r="D88" s="648">
        <v>4680115881518</v>
      </c>
      <c r="E88" s="64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133</v>
      </c>
      <c r="L88" s="35" t="s">
        <v>46</v>
      </c>
      <c r="M88" s="36" t="s">
        <v>89</v>
      </c>
      <c r="N88" s="36"/>
      <c r="O88" s="35">
        <v>50</v>
      </c>
      <c r="P88" s="91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0"/>
      <c r="R88" s="650"/>
      <c r="S88" s="650"/>
      <c r="T88" s="651"/>
      <c r="U88" s="37" t="s">
        <v>46</v>
      </c>
      <c r="V88" s="37" t="s">
        <v>46</v>
      </c>
      <c r="W88" s="38" t="s">
        <v>0</v>
      </c>
      <c r="X88" s="56">
        <v>0</v>
      </c>
      <c r="Y88" s="53">
        <f t="shared" si="5"/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66</v>
      </c>
      <c r="BM88" s="75">
        <f t="shared" si="6"/>
        <v>0</v>
      </c>
      <c r="BN88" s="75">
        <f t="shared" si="7"/>
        <v>0</v>
      </c>
      <c r="BO88" s="75">
        <f t="shared" si="8"/>
        <v>0</v>
      </c>
      <c r="BP88" s="75">
        <f t="shared" si="9"/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4301011443</v>
      </c>
      <c r="D89" s="648">
        <v>4680115881303</v>
      </c>
      <c r="E89" s="64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133</v>
      </c>
      <c r="L89" s="35" t="s">
        <v>46</v>
      </c>
      <c r="M89" s="36" t="s">
        <v>96</v>
      </c>
      <c r="N89" s="36"/>
      <c r="O89" s="35">
        <v>50</v>
      </c>
      <c r="P89" s="9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50"/>
      <c r="R89" s="650"/>
      <c r="S89" s="650"/>
      <c r="T89" s="651"/>
      <c r="U89" s="37" t="s">
        <v>46</v>
      </c>
      <c r="V89" s="37" t="s">
        <v>46</v>
      </c>
      <c r="W89" s="38" t="s">
        <v>0</v>
      </c>
      <c r="X89" s="56">
        <v>0</v>
      </c>
      <c r="Y89" s="53">
        <f t="shared" si="5"/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66</v>
      </c>
      <c r="BM89" s="75">
        <f t="shared" si="6"/>
        <v>0</v>
      </c>
      <c r="BN89" s="75">
        <f t="shared" si="7"/>
        <v>0</v>
      </c>
      <c r="BO89" s="75">
        <f t="shared" si="8"/>
        <v>0</v>
      </c>
      <c r="BP89" s="75">
        <f t="shared" si="9"/>
        <v>0</v>
      </c>
    </row>
    <row r="90" spans="1:68" ht="27" hidden="1" customHeight="1" x14ac:dyDescent="0.25">
      <c r="A90" s="60" t="s">
        <v>192</v>
      </c>
      <c r="B90" s="60" t="s">
        <v>194</v>
      </c>
      <c r="C90" s="34">
        <v>4301012250</v>
      </c>
      <c r="D90" s="648">
        <v>4680115881303</v>
      </c>
      <c r="E90" s="648"/>
      <c r="F90" s="59">
        <v>0.45</v>
      </c>
      <c r="G90" s="35">
        <v>10</v>
      </c>
      <c r="H90" s="59">
        <v>4.5</v>
      </c>
      <c r="I90" s="59">
        <v>4.6900000000000004</v>
      </c>
      <c r="J90" s="35">
        <v>132</v>
      </c>
      <c r="K90" s="35" t="s">
        <v>133</v>
      </c>
      <c r="L90" s="35" t="s">
        <v>46</v>
      </c>
      <c r="M90" s="36" t="s">
        <v>125</v>
      </c>
      <c r="N90" s="36"/>
      <c r="O90" s="35">
        <v>50</v>
      </c>
      <c r="P90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0"/>
      <c r="R90" s="650"/>
      <c r="S90" s="650"/>
      <c r="T90" s="651"/>
      <c r="U90" s="37" t="s">
        <v>46</v>
      </c>
      <c r="V90" s="37" t="s">
        <v>46</v>
      </c>
      <c r="W90" s="38" t="s">
        <v>0</v>
      </c>
      <c r="X90" s="56">
        <v>0</v>
      </c>
      <c r="Y90" s="53">
        <f t="shared" si="5"/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185</v>
      </c>
      <c r="AG90" s="75"/>
      <c r="AJ90" s="79" t="s">
        <v>46</v>
      </c>
      <c r="AK90" s="79">
        <v>0</v>
      </c>
      <c r="BB90" s="158" t="s">
        <v>66</v>
      </c>
      <c r="BM90" s="75">
        <f t="shared" si="6"/>
        <v>0</v>
      </c>
      <c r="BN90" s="75">
        <f t="shared" si="7"/>
        <v>0</v>
      </c>
      <c r="BO90" s="75">
        <f t="shared" si="8"/>
        <v>0</v>
      </c>
      <c r="BP90" s="75">
        <f t="shared" si="9"/>
        <v>0</v>
      </c>
    </row>
    <row r="91" spans="1:68" hidden="1" x14ac:dyDescent="0.2">
      <c r="A91" s="655"/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6"/>
      <c r="P91" s="652" t="s">
        <v>40</v>
      </c>
      <c r="Q91" s="653"/>
      <c r="R91" s="653"/>
      <c r="S91" s="653"/>
      <c r="T91" s="653"/>
      <c r="U91" s="653"/>
      <c r="V91" s="654"/>
      <c r="W91" s="40" t="s">
        <v>39</v>
      </c>
      <c r="X91" s="41">
        <f>IFERROR(X85/H85,"0")+IFERROR(X86/H86,"0")+IFERROR(X87/H87,"0")+IFERROR(X88/H88,"0")+IFERROR(X89/H89,"0")+IFERROR(X90/H90,"0")</f>
        <v>0</v>
      </c>
      <c r="Y91" s="41">
        <f>IFERROR(Y85/H85,"0")+IFERROR(Y86/H86,"0")+IFERROR(Y87/H87,"0")+IFERROR(Y88/H88,"0")+IFERROR(Y89/H89,"0")+IFERROR(Y90/H90,"0")</f>
        <v>0</v>
      </c>
      <c r="Z91" s="41">
        <f>IFERROR(IF(Z85="",0,Z85),"0")+IFERROR(IF(Z86="",0,Z86),"0")+IFERROR(IF(Z87="",0,Z87),"0")+IFERROR(IF(Z88="",0,Z88),"0")+IFERROR(IF(Z89="",0,Z89),"0")+IFERROR(IF(Z90="",0,Z90),"0")</f>
        <v>0</v>
      </c>
      <c r="AA91" s="64"/>
      <c r="AB91" s="64"/>
      <c r="AC91" s="64"/>
    </row>
    <row r="92" spans="1:68" hidden="1" x14ac:dyDescent="0.2">
      <c r="A92" s="655"/>
      <c r="B92" s="655"/>
      <c r="C92" s="655"/>
      <c r="D92" s="655"/>
      <c r="E92" s="655"/>
      <c r="F92" s="655"/>
      <c r="G92" s="655"/>
      <c r="H92" s="655"/>
      <c r="I92" s="655"/>
      <c r="J92" s="655"/>
      <c r="K92" s="655"/>
      <c r="L92" s="655"/>
      <c r="M92" s="655"/>
      <c r="N92" s="655"/>
      <c r="O92" s="656"/>
      <c r="P92" s="652" t="s">
        <v>40</v>
      </c>
      <c r="Q92" s="653"/>
      <c r="R92" s="653"/>
      <c r="S92" s="653"/>
      <c r="T92" s="653"/>
      <c r="U92" s="653"/>
      <c r="V92" s="654"/>
      <c r="W92" s="40" t="s">
        <v>0</v>
      </c>
      <c r="X92" s="41">
        <f>IFERROR(SUM(X85:X90),"0")</f>
        <v>0</v>
      </c>
      <c r="Y92" s="41">
        <f>IFERROR(SUM(Y85:Y90),"0")</f>
        <v>0</v>
      </c>
      <c r="Z92" s="40"/>
      <c r="AA92" s="64"/>
      <c r="AB92" s="64"/>
      <c r="AC92" s="64"/>
    </row>
    <row r="93" spans="1:68" ht="14.25" hidden="1" customHeight="1" x14ac:dyDescent="0.25">
      <c r="A93" s="662" t="s">
        <v>85</v>
      </c>
      <c r="B93" s="662"/>
      <c r="C93" s="662"/>
      <c r="D93" s="662"/>
      <c r="E93" s="662"/>
      <c r="F93" s="662"/>
      <c r="G93" s="662"/>
      <c r="H93" s="662"/>
      <c r="I93" s="662"/>
      <c r="J93" s="662"/>
      <c r="K93" s="662"/>
      <c r="L93" s="662"/>
      <c r="M93" s="662"/>
      <c r="N93" s="662"/>
      <c r="O93" s="662"/>
      <c r="P93" s="662"/>
      <c r="Q93" s="662"/>
      <c r="R93" s="662"/>
      <c r="S93" s="662"/>
      <c r="T93" s="662"/>
      <c r="U93" s="662"/>
      <c r="V93" s="662"/>
      <c r="W93" s="662"/>
      <c r="X93" s="662"/>
      <c r="Y93" s="662"/>
      <c r="Z93" s="662"/>
      <c r="AA93" s="63"/>
      <c r="AB93" s="63"/>
      <c r="AC93" s="63"/>
    </row>
    <row r="94" spans="1:68" ht="27" hidden="1" customHeight="1" x14ac:dyDescent="0.25">
      <c r="A94" s="60" t="s">
        <v>195</v>
      </c>
      <c r="B94" s="60" t="s">
        <v>196</v>
      </c>
      <c r="C94" s="34">
        <v>4301052101</v>
      </c>
      <c r="D94" s="648">
        <v>4607091386967</v>
      </c>
      <c r="E94" s="64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126</v>
      </c>
      <c r="L94" s="35" t="s">
        <v>46</v>
      </c>
      <c r="M94" s="36" t="s">
        <v>96</v>
      </c>
      <c r="N94" s="36"/>
      <c r="O94" s="35">
        <v>45</v>
      </c>
      <c r="P94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0"/>
      <c r="R94" s="650"/>
      <c r="S94" s="650"/>
      <c r="T94" s="651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198</v>
      </c>
      <c r="B95" s="60" t="s">
        <v>199</v>
      </c>
      <c r="C95" s="34">
        <v>4301052090</v>
      </c>
      <c r="D95" s="648">
        <v>4680115884953</v>
      </c>
      <c r="E95" s="64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90</v>
      </c>
      <c r="L95" s="35" t="s">
        <v>46</v>
      </c>
      <c r="M95" s="36" t="s">
        <v>89</v>
      </c>
      <c r="N95" s="36"/>
      <c r="O95" s="35">
        <v>45</v>
      </c>
      <c r="P95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0"/>
      <c r="R95" s="650"/>
      <c r="S95" s="650"/>
      <c r="T95" s="651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4301052094</v>
      </c>
      <c r="D96" s="648">
        <v>4607091385731</v>
      </c>
      <c r="E96" s="648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90</v>
      </c>
      <c r="L96" s="35" t="s">
        <v>46</v>
      </c>
      <c r="M96" s="36" t="s">
        <v>96</v>
      </c>
      <c r="N96" s="36"/>
      <c r="O96" s="35">
        <v>45</v>
      </c>
      <c r="P96" s="90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0"/>
      <c r="R96" s="650"/>
      <c r="S96" s="650"/>
      <c r="T96" s="65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16.5" hidden="1" customHeight="1" x14ac:dyDescent="0.25">
      <c r="A97" s="60" t="s">
        <v>203</v>
      </c>
      <c r="B97" s="60" t="s">
        <v>204</v>
      </c>
      <c r="C97" s="34">
        <v>4301052092</v>
      </c>
      <c r="D97" s="648">
        <v>4680115880894</v>
      </c>
      <c r="E97" s="648"/>
      <c r="F97" s="59">
        <v>0.33</v>
      </c>
      <c r="G97" s="35">
        <v>6</v>
      </c>
      <c r="H97" s="59">
        <v>1.98</v>
      </c>
      <c r="I97" s="59">
        <v>2.238</v>
      </c>
      <c r="J97" s="35">
        <v>182</v>
      </c>
      <c r="K97" s="35" t="s">
        <v>90</v>
      </c>
      <c r="L97" s="35" t="s">
        <v>46</v>
      </c>
      <c r="M97" s="36" t="s">
        <v>89</v>
      </c>
      <c r="N97" s="36"/>
      <c r="O97" s="35">
        <v>45</v>
      </c>
      <c r="P97" s="90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0"/>
      <c r="R97" s="650"/>
      <c r="S97" s="650"/>
      <c r="T97" s="651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205</v>
      </c>
      <c r="AG97" s="75"/>
      <c r="AJ97" s="79" t="s">
        <v>46</v>
      </c>
      <c r="AK97" s="79">
        <v>0</v>
      </c>
      <c r="BB97" s="166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idden="1" x14ac:dyDescent="0.2">
      <c r="A98" s="655"/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6"/>
      <c r="P98" s="652" t="s">
        <v>40</v>
      </c>
      <c r="Q98" s="653"/>
      <c r="R98" s="653"/>
      <c r="S98" s="653"/>
      <c r="T98" s="653"/>
      <c r="U98" s="653"/>
      <c r="V98" s="654"/>
      <c r="W98" s="40" t="s">
        <v>39</v>
      </c>
      <c r="X98" s="41">
        <f>IFERROR(X94/H94,"0")+IFERROR(X95/H95,"0")+IFERROR(X96/H96,"0")+IFERROR(X97/H97,"0")</f>
        <v>0</v>
      </c>
      <c r="Y98" s="41">
        <f>IFERROR(Y94/H94,"0")+IFERROR(Y95/H95,"0")+IFERROR(Y96/H96,"0")+IFERROR(Y97/H97,"0")</f>
        <v>0</v>
      </c>
      <c r="Z98" s="41">
        <f>IFERROR(IF(Z94="",0,Z94),"0")+IFERROR(IF(Z95="",0,Z95),"0")+IFERROR(IF(Z96="",0,Z96),"0")+IFERROR(IF(Z97="",0,Z97),"0")</f>
        <v>0</v>
      </c>
      <c r="AA98" s="64"/>
      <c r="AB98" s="64"/>
      <c r="AC98" s="64"/>
    </row>
    <row r="99" spans="1:68" hidden="1" x14ac:dyDescent="0.2">
      <c r="A99" s="655"/>
      <c r="B99" s="655"/>
      <c r="C99" s="655"/>
      <c r="D99" s="655"/>
      <c r="E99" s="655"/>
      <c r="F99" s="655"/>
      <c r="G99" s="655"/>
      <c r="H99" s="655"/>
      <c r="I99" s="655"/>
      <c r="J99" s="655"/>
      <c r="K99" s="655"/>
      <c r="L99" s="655"/>
      <c r="M99" s="655"/>
      <c r="N99" s="655"/>
      <c r="O99" s="656"/>
      <c r="P99" s="652" t="s">
        <v>40</v>
      </c>
      <c r="Q99" s="653"/>
      <c r="R99" s="653"/>
      <c r="S99" s="653"/>
      <c r="T99" s="653"/>
      <c r="U99" s="653"/>
      <c r="V99" s="654"/>
      <c r="W99" s="40" t="s">
        <v>0</v>
      </c>
      <c r="X99" s="41">
        <f>IFERROR(SUM(X94:X97),"0")</f>
        <v>0</v>
      </c>
      <c r="Y99" s="41">
        <f>IFERROR(SUM(Y94:Y97),"0")</f>
        <v>0</v>
      </c>
      <c r="Z99" s="40"/>
      <c r="AA99" s="64"/>
      <c r="AB99" s="64"/>
      <c r="AC99" s="64"/>
    </row>
    <row r="100" spans="1:68" ht="16.5" hidden="1" customHeight="1" x14ac:dyDescent="0.25">
      <c r="A100" s="666" t="s">
        <v>206</v>
      </c>
      <c r="B100" s="666"/>
      <c r="C100" s="666"/>
      <c r="D100" s="666"/>
      <c r="E100" s="666"/>
      <c r="F100" s="666"/>
      <c r="G100" s="666"/>
      <c r="H100" s="666"/>
      <c r="I100" s="666"/>
      <c r="J100" s="666"/>
      <c r="K100" s="666"/>
      <c r="L100" s="666"/>
      <c r="M100" s="666"/>
      <c r="N100" s="666"/>
      <c r="O100" s="666"/>
      <c r="P100" s="666"/>
      <c r="Q100" s="666"/>
      <c r="R100" s="666"/>
      <c r="S100" s="666"/>
      <c r="T100" s="666"/>
      <c r="U100" s="666"/>
      <c r="V100" s="666"/>
      <c r="W100" s="666"/>
      <c r="X100" s="666"/>
      <c r="Y100" s="666"/>
      <c r="Z100" s="666"/>
      <c r="AA100" s="62"/>
      <c r="AB100" s="62"/>
      <c r="AC100" s="62"/>
    </row>
    <row r="101" spans="1:68" ht="14.25" hidden="1" customHeight="1" x14ac:dyDescent="0.25">
      <c r="A101" s="662" t="s">
        <v>121</v>
      </c>
      <c r="B101" s="662"/>
      <c r="C101" s="662"/>
      <c r="D101" s="662"/>
      <c r="E101" s="662"/>
      <c r="F101" s="662"/>
      <c r="G101" s="662"/>
      <c r="H101" s="662"/>
      <c r="I101" s="662"/>
      <c r="J101" s="662"/>
      <c r="K101" s="662"/>
      <c r="L101" s="662"/>
      <c r="M101" s="662"/>
      <c r="N101" s="662"/>
      <c r="O101" s="662"/>
      <c r="P101" s="662"/>
      <c r="Q101" s="662"/>
      <c r="R101" s="662"/>
      <c r="S101" s="662"/>
      <c r="T101" s="662"/>
      <c r="U101" s="662"/>
      <c r="V101" s="662"/>
      <c r="W101" s="662"/>
      <c r="X101" s="662"/>
      <c r="Y101" s="662"/>
      <c r="Z101" s="662"/>
      <c r="AA101" s="63"/>
      <c r="AB101" s="63"/>
      <c r="AC101" s="63"/>
    </row>
    <row r="102" spans="1:68" ht="37.5" hidden="1" customHeight="1" x14ac:dyDescent="0.25">
      <c r="A102" s="60" t="s">
        <v>207</v>
      </c>
      <c r="B102" s="60" t="s">
        <v>208</v>
      </c>
      <c r="C102" s="34">
        <v>4301011514</v>
      </c>
      <c r="D102" s="648">
        <v>4680115882133</v>
      </c>
      <c r="E102" s="648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126</v>
      </c>
      <c r="L102" s="35" t="s">
        <v>46</v>
      </c>
      <c r="M102" s="36" t="s">
        <v>125</v>
      </c>
      <c r="N102" s="36"/>
      <c r="O102" s="35">
        <v>50</v>
      </c>
      <c r="P102" s="89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0"/>
      <c r="R102" s="650"/>
      <c r="S102" s="650"/>
      <c r="T102" s="651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ref="Y102:Y107" si="10">IFERROR(IF(X102="",0,CEILING((X102/$H102),1)*$H102),"")</f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209</v>
      </c>
      <c r="AG102" s="75"/>
      <c r="AJ102" s="79" t="s">
        <v>46</v>
      </c>
      <c r="AK102" s="79">
        <v>0</v>
      </c>
      <c r="BB102" s="168" t="s">
        <v>66</v>
      </c>
      <c r="BM102" s="75">
        <f t="shared" ref="BM102:BM107" si="11">IFERROR(X102*I102/H102,"0")</f>
        <v>0</v>
      </c>
      <c r="BN102" s="75">
        <f t="shared" ref="BN102:BN107" si="12">IFERROR(Y102*I102/H102,"0")</f>
        <v>0</v>
      </c>
      <c r="BO102" s="75">
        <f t="shared" ref="BO102:BO107" si="13">IFERROR(1/J102*(X102/H102),"0")</f>
        <v>0</v>
      </c>
      <c r="BP102" s="75">
        <f t="shared" ref="BP102:BP107" si="14">IFERROR(1/J102*(Y102/H102),"0")</f>
        <v>0</v>
      </c>
    </row>
    <row r="103" spans="1:68" ht="27" hidden="1" customHeight="1" x14ac:dyDescent="0.25">
      <c r="A103" s="60" t="s">
        <v>210</v>
      </c>
      <c r="B103" s="60" t="s">
        <v>211</v>
      </c>
      <c r="C103" s="34">
        <v>4301012379</v>
      </c>
      <c r="D103" s="648">
        <v>4680115887718</v>
      </c>
      <c r="E103" s="648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130</v>
      </c>
      <c r="L103" s="35" t="s">
        <v>46</v>
      </c>
      <c r="M103" s="36" t="s">
        <v>80</v>
      </c>
      <c r="N103" s="36"/>
      <c r="O103" s="35">
        <v>30</v>
      </c>
      <c r="P103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0"/>
      <c r="R103" s="650"/>
      <c r="S103" s="650"/>
      <c r="T103" s="651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10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66</v>
      </c>
      <c r="BM103" s="75">
        <f t="shared" si="11"/>
        <v>0</v>
      </c>
      <c r="BN103" s="75">
        <f t="shared" si="12"/>
        <v>0</v>
      </c>
      <c r="BO103" s="75">
        <f t="shared" si="13"/>
        <v>0</v>
      </c>
      <c r="BP103" s="75">
        <f t="shared" si="14"/>
        <v>0</v>
      </c>
    </row>
    <row r="104" spans="1:68" ht="37.5" hidden="1" customHeight="1" x14ac:dyDescent="0.25">
      <c r="A104" s="60" t="s">
        <v>213</v>
      </c>
      <c r="B104" s="60" t="s">
        <v>214</v>
      </c>
      <c r="C104" s="34">
        <v>4301011417</v>
      </c>
      <c r="D104" s="648">
        <v>4680115880269</v>
      </c>
      <c r="E104" s="648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133</v>
      </c>
      <c r="L104" s="35" t="s">
        <v>46</v>
      </c>
      <c r="M104" s="36" t="s">
        <v>89</v>
      </c>
      <c r="N104" s="36"/>
      <c r="O104" s="35">
        <v>50</v>
      </c>
      <c r="P104" s="89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0"/>
      <c r="R104" s="650"/>
      <c r="S104" s="650"/>
      <c r="T104" s="65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66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4301012254</v>
      </c>
      <c r="D105" s="648">
        <v>4680115880429</v>
      </c>
      <c r="E105" s="648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133</v>
      </c>
      <c r="L105" s="35" t="s">
        <v>46</v>
      </c>
      <c r="M105" s="36" t="s">
        <v>125</v>
      </c>
      <c r="N105" s="36"/>
      <c r="O105" s="35">
        <v>50</v>
      </c>
      <c r="P105" s="90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0"/>
      <c r="R105" s="650"/>
      <c r="S105" s="650"/>
      <c r="T105" s="65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66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4301011462</v>
      </c>
      <c r="D106" s="648">
        <v>4680115881457</v>
      </c>
      <c r="E106" s="648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133</v>
      </c>
      <c r="L106" s="35" t="s">
        <v>46</v>
      </c>
      <c r="M106" s="36" t="s">
        <v>89</v>
      </c>
      <c r="N106" s="36"/>
      <c r="O106" s="35">
        <v>50</v>
      </c>
      <c r="P106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0"/>
      <c r="R106" s="650"/>
      <c r="S106" s="650"/>
      <c r="T106" s="65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66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4301012255</v>
      </c>
      <c r="D107" s="648">
        <v>4680115881457</v>
      </c>
      <c r="E107" s="648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133</v>
      </c>
      <c r="L107" s="35" t="s">
        <v>46</v>
      </c>
      <c r="M107" s="36" t="s">
        <v>125</v>
      </c>
      <c r="N107" s="36"/>
      <c r="O107" s="35">
        <v>50</v>
      </c>
      <c r="P107" s="90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0"/>
      <c r="R107" s="650"/>
      <c r="S107" s="650"/>
      <c r="T107" s="65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217</v>
      </c>
      <c r="AG107" s="75"/>
      <c r="AJ107" s="79" t="s">
        <v>46</v>
      </c>
      <c r="AK107" s="79">
        <v>0</v>
      </c>
      <c r="BB107" s="178" t="s">
        <v>66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idden="1" x14ac:dyDescent="0.2">
      <c r="A108" s="655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2" t="s">
        <v>40</v>
      </c>
      <c r="Q108" s="653"/>
      <c r="R108" s="653"/>
      <c r="S108" s="653"/>
      <c r="T108" s="653"/>
      <c r="U108" s="653"/>
      <c r="V108" s="654"/>
      <c r="W108" s="40" t="s">
        <v>39</v>
      </c>
      <c r="X108" s="41">
        <f>IFERROR(X102/H102,"0")+IFERROR(X103/H103,"0")+IFERROR(X104/H104,"0")+IFERROR(X105/H105,"0")+IFERROR(X106/H106,"0")+IFERROR(X107/H107,"0")</f>
        <v>0</v>
      </c>
      <c r="Y108" s="41">
        <f>IFERROR(Y102/H102,"0")+IFERROR(Y103/H103,"0")+IFERROR(Y104/H104,"0")+IFERROR(Y105/H105,"0")+IFERROR(Y106/H106,"0")+IFERROR(Y107/H107,"0")</f>
        <v>0</v>
      </c>
      <c r="Z108" s="41">
        <f>IFERROR(IF(Z102="",0,Z102),"0")+IFERROR(IF(Z103="",0,Z103),"0")+IFERROR(IF(Z104="",0,Z104),"0")+IFERROR(IF(Z105="",0,Z105),"0")+IFERROR(IF(Z106="",0,Z106),"0")+IFERROR(IF(Z107="",0,Z107),"0")</f>
        <v>0</v>
      </c>
      <c r="AA108" s="64"/>
      <c r="AB108" s="64"/>
      <c r="AC108" s="64"/>
    </row>
    <row r="109" spans="1:68" hidden="1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2" t="s">
        <v>40</v>
      </c>
      <c r="Q109" s="653"/>
      <c r="R109" s="653"/>
      <c r="S109" s="653"/>
      <c r="T109" s="653"/>
      <c r="U109" s="653"/>
      <c r="V109" s="654"/>
      <c r="W109" s="40" t="s">
        <v>0</v>
      </c>
      <c r="X109" s="41">
        <f>IFERROR(SUM(X102:X107),"0")</f>
        <v>0</v>
      </c>
      <c r="Y109" s="41">
        <f>IFERROR(SUM(Y102:Y107),"0")</f>
        <v>0</v>
      </c>
      <c r="Z109" s="40"/>
      <c r="AA109" s="64"/>
      <c r="AB109" s="64"/>
      <c r="AC109" s="64"/>
    </row>
    <row r="110" spans="1:68" ht="14.25" hidden="1" customHeight="1" x14ac:dyDescent="0.25">
      <c r="A110" s="662" t="s">
        <v>156</v>
      </c>
      <c r="B110" s="662"/>
      <c r="C110" s="662"/>
      <c r="D110" s="662"/>
      <c r="E110" s="662"/>
      <c r="F110" s="662"/>
      <c r="G110" s="662"/>
      <c r="H110" s="662"/>
      <c r="I110" s="662"/>
      <c r="J110" s="662"/>
      <c r="K110" s="662"/>
      <c r="L110" s="662"/>
      <c r="M110" s="662"/>
      <c r="N110" s="662"/>
      <c r="O110" s="662"/>
      <c r="P110" s="662"/>
      <c r="Q110" s="662"/>
      <c r="R110" s="662"/>
      <c r="S110" s="662"/>
      <c r="T110" s="662"/>
      <c r="U110" s="662"/>
      <c r="V110" s="662"/>
      <c r="W110" s="662"/>
      <c r="X110" s="662"/>
      <c r="Y110" s="662"/>
      <c r="Z110" s="662"/>
      <c r="AA110" s="63"/>
      <c r="AB110" s="63"/>
      <c r="AC110" s="63"/>
    </row>
    <row r="111" spans="1:68" ht="27" hidden="1" customHeight="1" x14ac:dyDescent="0.25">
      <c r="A111" s="60" t="s">
        <v>221</v>
      </c>
      <c r="B111" s="60" t="s">
        <v>222</v>
      </c>
      <c r="C111" s="34">
        <v>4301020391</v>
      </c>
      <c r="D111" s="648">
        <v>4680115881488</v>
      </c>
      <c r="E111" s="648"/>
      <c r="F111" s="59">
        <v>1.35</v>
      </c>
      <c r="G111" s="35">
        <v>8</v>
      </c>
      <c r="H111" s="59">
        <v>10.8</v>
      </c>
      <c r="I111" s="59">
        <v>11.21</v>
      </c>
      <c r="J111" s="35">
        <v>64</v>
      </c>
      <c r="K111" s="35" t="s">
        <v>126</v>
      </c>
      <c r="L111" s="35" t="s">
        <v>46</v>
      </c>
      <c r="M111" s="36" t="s">
        <v>125</v>
      </c>
      <c r="N111" s="36"/>
      <c r="O111" s="35">
        <v>55</v>
      </c>
      <c r="P111" s="89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50"/>
      <c r="R111" s="650"/>
      <c r="S111" s="650"/>
      <c r="T111" s="651"/>
      <c r="U111" s="37" t="s">
        <v>46</v>
      </c>
      <c r="V111" s="37" t="s">
        <v>46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IFERROR(IF(Y111=0,"",ROUNDUP(Y111/H111,0)*0.01898),"")</f>
        <v/>
      </c>
      <c r="AA111" s="65" t="s">
        <v>46</v>
      </c>
      <c r="AB111" s="66" t="s">
        <v>46</v>
      </c>
      <c r="AC111" s="179" t="s">
        <v>223</v>
      </c>
      <c r="AG111" s="75"/>
      <c r="AJ111" s="79" t="s">
        <v>46</v>
      </c>
      <c r="AK111" s="79">
        <v>0</v>
      </c>
      <c r="BB111" s="180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27" hidden="1" customHeight="1" x14ac:dyDescent="0.25">
      <c r="A112" s="60" t="s">
        <v>224</v>
      </c>
      <c r="B112" s="60" t="s">
        <v>225</v>
      </c>
      <c r="C112" s="34">
        <v>4301020186</v>
      </c>
      <c r="D112" s="648">
        <v>4680115887664</v>
      </c>
      <c r="E112" s="648"/>
      <c r="F112" s="59">
        <v>0.1</v>
      </c>
      <c r="G112" s="35">
        <v>10</v>
      </c>
      <c r="H112" s="59">
        <v>1</v>
      </c>
      <c r="I112" s="59">
        <v>1.21</v>
      </c>
      <c r="J112" s="35">
        <v>392</v>
      </c>
      <c r="K112" s="35" t="s">
        <v>227</v>
      </c>
      <c r="L112" s="35" t="s">
        <v>46</v>
      </c>
      <c r="M112" s="36" t="s">
        <v>80</v>
      </c>
      <c r="N112" s="36"/>
      <c r="O112" s="35">
        <v>30</v>
      </c>
      <c r="P112" s="8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50"/>
      <c r="R112" s="650"/>
      <c r="S112" s="650"/>
      <c r="T112" s="651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IFERROR(IF(Y112=0,"",ROUNDUP(Y112/H112,0)*0.00358),"")</f>
        <v/>
      </c>
      <c r="AA112" s="65" t="s">
        <v>46</v>
      </c>
      <c r="AB112" s="66" t="s">
        <v>46</v>
      </c>
      <c r="AC112" s="181" t="s">
        <v>226</v>
      </c>
      <c r="AG112" s="75"/>
      <c r="AJ112" s="79" t="s">
        <v>46</v>
      </c>
      <c r="AK112" s="79">
        <v>0</v>
      </c>
      <c r="BB112" s="182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224</v>
      </c>
      <c r="B113" s="60" t="s">
        <v>228</v>
      </c>
      <c r="C113" s="34">
        <v>4301020430</v>
      </c>
      <c r="D113" s="648">
        <v>4680115887664</v>
      </c>
      <c r="E113" s="648"/>
      <c r="F113" s="59">
        <v>0.1</v>
      </c>
      <c r="G113" s="35">
        <v>8</v>
      </c>
      <c r="H113" s="59">
        <v>0.8</v>
      </c>
      <c r="I113" s="59">
        <v>0.98799999999999999</v>
      </c>
      <c r="J113" s="35">
        <v>392</v>
      </c>
      <c r="K113" s="35" t="s">
        <v>227</v>
      </c>
      <c r="L113" s="35" t="s">
        <v>46</v>
      </c>
      <c r="M113" s="36" t="s">
        <v>80</v>
      </c>
      <c r="N113" s="36"/>
      <c r="O113" s="35">
        <v>30</v>
      </c>
      <c r="P113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0"/>
      <c r="R113" s="650"/>
      <c r="S113" s="650"/>
      <c r="T113" s="651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226</v>
      </c>
      <c r="AG113" s="75"/>
      <c r="AJ113" s="79" t="s">
        <v>46</v>
      </c>
      <c r="AK113" s="79">
        <v>0</v>
      </c>
      <c r="BB113" s="184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229</v>
      </c>
      <c r="B114" s="60" t="s">
        <v>230</v>
      </c>
      <c r="C114" s="34">
        <v>4301020393</v>
      </c>
      <c r="D114" s="648">
        <v>4680115882775</v>
      </c>
      <c r="E114" s="648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81</v>
      </c>
      <c r="L114" s="35" t="s">
        <v>46</v>
      </c>
      <c r="M114" s="36" t="s">
        <v>125</v>
      </c>
      <c r="N114" s="36"/>
      <c r="O114" s="35">
        <v>55</v>
      </c>
      <c r="P114" s="894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50"/>
      <c r="R114" s="650"/>
      <c r="S114" s="650"/>
      <c r="T114" s="651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46</v>
      </c>
      <c r="AB114" s="66" t="s">
        <v>46</v>
      </c>
      <c r="AC114" s="185" t="s">
        <v>223</v>
      </c>
      <c r="AG114" s="75"/>
      <c r="AJ114" s="79" t="s">
        <v>46</v>
      </c>
      <c r="AK114" s="79">
        <v>0</v>
      </c>
      <c r="BB114" s="186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4301020392</v>
      </c>
      <c r="D115" s="648">
        <v>4680115880658</v>
      </c>
      <c r="E115" s="648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90</v>
      </c>
      <c r="L115" s="35" t="s">
        <v>46</v>
      </c>
      <c r="M115" s="36" t="s">
        <v>125</v>
      </c>
      <c r="N115" s="36"/>
      <c r="O115" s="35">
        <v>55</v>
      </c>
      <c r="P115" s="89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50"/>
      <c r="R115" s="650"/>
      <c r="S115" s="650"/>
      <c r="T115" s="65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46</v>
      </c>
      <c r="AB115" s="66" t="s">
        <v>46</v>
      </c>
      <c r="AC115" s="187" t="s">
        <v>223</v>
      </c>
      <c r="AG115" s="75"/>
      <c r="AJ115" s="79" t="s">
        <v>46</v>
      </c>
      <c r="AK115" s="79">
        <v>0</v>
      </c>
      <c r="BB115" s="188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idden="1" x14ac:dyDescent="0.2">
      <c r="A116" s="655"/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6"/>
      <c r="P116" s="652" t="s">
        <v>40</v>
      </c>
      <c r="Q116" s="653"/>
      <c r="R116" s="653"/>
      <c r="S116" s="653"/>
      <c r="T116" s="653"/>
      <c r="U116" s="653"/>
      <c r="V116" s="654"/>
      <c r="W116" s="40" t="s">
        <v>39</v>
      </c>
      <c r="X116" s="41">
        <f>IFERROR(X111/H111,"0")+IFERROR(X112/H112,"0")+IFERROR(X113/H113,"0")+IFERROR(X114/H114,"0")+IFERROR(X115/H115,"0")</f>
        <v>0</v>
      </c>
      <c r="Y116" s="41">
        <f>IFERROR(Y111/H111,"0")+IFERROR(Y112/H112,"0")+IFERROR(Y113/H113,"0")+IFERROR(Y114/H114,"0")+IFERROR(Y115/H115,"0")</f>
        <v>0</v>
      </c>
      <c r="Z116" s="41">
        <f>IFERROR(IF(Z111="",0,Z111),"0")+IFERROR(IF(Z112="",0,Z112),"0")+IFERROR(IF(Z113="",0,Z113),"0")+IFERROR(IF(Z114="",0,Z114),"0")+IFERROR(IF(Z115="",0,Z115),"0")</f>
        <v>0</v>
      </c>
      <c r="AA116" s="64"/>
      <c r="AB116" s="64"/>
      <c r="AC116" s="64"/>
    </row>
    <row r="117" spans="1:68" hidden="1" x14ac:dyDescent="0.2">
      <c r="A117" s="655"/>
      <c r="B117" s="655"/>
      <c r="C117" s="655"/>
      <c r="D117" s="655"/>
      <c r="E117" s="655"/>
      <c r="F117" s="655"/>
      <c r="G117" s="655"/>
      <c r="H117" s="655"/>
      <c r="I117" s="655"/>
      <c r="J117" s="655"/>
      <c r="K117" s="655"/>
      <c r="L117" s="655"/>
      <c r="M117" s="655"/>
      <c r="N117" s="655"/>
      <c r="O117" s="656"/>
      <c r="P117" s="652" t="s">
        <v>40</v>
      </c>
      <c r="Q117" s="653"/>
      <c r="R117" s="653"/>
      <c r="S117" s="653"/>
      <c r="T117" s="653"/>
      <c r="U117" s="653"/>
      <c r="V117" s="654"/>
      <c r="W117" s="40" t="s">
        <v>0</v>
      </c>
      <c r="X117" s="41">
        <f>IFERROR(SUM(X111:X115),"0")</f>
        <v>0</v>
      </c>
      <c r="Y117" s="41">
        <f>IFERROR(SUM(Y111:Y115),"0")</f>
        <v>0</v>
      </c>
      <c r="Z117" s="40"/>
      <c r="AA117" s="64"/>
      <c r="AB117" s="64"/>
      <c r="AC117" s="64"/>
    </row>
    <row r="118" spans="1:68" ht="14.25" hidden="1" customHeight="1" x14ac:dyDescent="0.25">
      <c r="A118" s="662" t="s">
        <v>85</v>
      </c>
      <c r="B118" s="662"/>
      <c r="C118" s="662"/>
      <c r="D118" s="662"/>
      <c r="E118" s="662"/>
      <c r="F118" s="662"/>
      <c r="G118" s="662"/>
      <c r="H118" s="662"/>
      <c r="I118" s="662"/>
      <c r="J118" s="662"/>
      <c r="K118" s="662"/>
      <c r="L118" s="662"/>
      <c r="M118" s="662"/>
      <c r="N118" s="662"/>
      <c r="O118" s="662"/>
      <c r="P118" s="662"/>
      <c r="Q118" s="662"/>
      <c r="R118" s="662"/>
      <c r="S118" s="662"/>
      <c r="T118" s="662"/>
      <c r="U118" s="662"/>
      <c r="V118" s="662"/>
      <c r="W118" s="662"/>
      <c r="X118" s="662"/>
      <c r="Y118" s="662"/>
      <c r="Z118" s="662"/>
      <c r="AA118" s="63"/>
      <c r="AB118" s="63"/>
      <c r="AC118" s="63"/>
    </row>
    <row r="119" spans="1:68" ht="27" hidden="1" customHeight="1" x14ac:dyDescent="0.25">
      <c r="A119" s="60" t="s">
        <v>233</v>
      </c>
      <c r="B119" s="60" t="s">
        <v>234</v>
      </c>
      <c r="C119" s="34">
        <v>4301052088</v>
      </c>
      <c r="D119" s="648">
        <v>4607091385168</v>
      </c>
      <c r="E119" s="648"/>
      <c r="F119" s="59">
        <v>1.35</v>
      </c>
      <c r="G119" s="35">
        <v>6</v>
      </c>
      <c r="H119" s="59">
        <v>8.1</v>
      </c>
      <c r="I119" s="59">
        <v>8.5879999999999992</v>
      </c>
      <c r="J119" s="35">
        <v>64</v>
      </c>
      <c r="K119" s="35" t="s">
        <v>126</v>
      </c>
      <c r="L119" s="35" t="s">
        <v>46</v>
      </c>
      <c r="M119" s="36" t="s">
        <v>89</v>
      </c>
      <c r="N119" s="36"/>
      <c r="O119" s="35">
        <v>45</v>
      </c>
      <c r="P119" s="896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50"/>
      <c r="R119" s="650"/>
      <c r="S119" s="650"/>
      <c r="T119" s="65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IFERROR(IF(Y119=0,"",ROUNDUP(Y119/H119,0)*0.01898),"")</f>
        <v/>
      </c>
      <c r="AA119" s="65" t="s">
        <v>46</v>
      </c>
      <c r="AB119" s="66" t="s">
        <v>46</v>
      </c>
      <c r="AC119" s="189" t="s">
        <v>235</v>
      </c>
      <c r="AG119" s="75"/>
      <c r="AJ119" s="79" t="s">
        <v>46</v>
      </c>
      <c r="AK119" s="79">
        <v>0</v>
      </c>
      <c r="BB119" s="190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27" hidden="1" customHeight="1" x14ac:dyDescent="0.25">
      <c r="A120" s="60" t="s">
        <v>236</v>
      </c>
      <c r="B120" s="60" t="s">
        <v>237</v>
      </c>
      <c r="C120" s="34">
        <v>4301052087</v>
      </c>
      <c r="D120" s="648">
        <v>4607091383256</v>
      </c>
      <c r="E120" s="648"/>
      <c r="F120" s="59">
        <v>0.33</v>
      </c>
      <c r="G120" s="35">
        <v>6</v>
      </c>
      <c r="H120" s="59">
        <v>1.98</v>
      </c>
      <c r="I120" s="59">
        <v>2.226</v>
      </c>
      <c r="J120" s="35">
        <v>182</v>
      </c>
      <c r="K120" s="35" t="s">
        <v>90</v>
      </c>
      <c r="L120" s="35" t="s">
        <v>46</v>
      </c>
      <c r="M120" s="36" t="s">
        <v>89</v>
      </c>
      <c r="N120" s="36"/>
      <c r="O120" s="35">
        <v>45</v>
      </c>
      <c r="P120" s="88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50"/>
      <c r="R120" s="650"/>
      <c r="S120" s="650"/>
      <c r="T120" s="651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235</v>
      </c>
      <c r="AG120" s="75"/>
      <c r="AJ120" s="79" t="s">
        <v>46</v>
      </c>
      <c r="AK120" s="79">
        <v>0</v>
      </c>
      <c r="BB120" s="192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4301052086</v>
      </c>
      <c r="D121" s="648">
        <v>4607091385748</v>
      </c>
      <c r="E121" s="648"/>
      <c r="F121" s="59">
        <v>0.45</v>
      </c>
      <c r="G121" s="35">
        <v>6</v>
      </c>
      <c r="H121" s="59">
        <v>2.7</v>
      </c>
      <c r="I121" s="59">
        <v>2.952</v>
      </c>
      <c r="J121" s="35">
        <v>182</v>
      </c>
      <c r="K121" s="35" t="s">
        <v>90</v>
      </c>
      <c r="L121" s="35" t="s">
        <v>46</v>
      </c>
      <c r="M121" s="36" t="s">
        <v>89</v>
      </c>
      <c r="N121" s="36"/>
      <c r="O121" s="35">
        <v>45</v>
      </c>
      <c r="P121" s="888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50"/>
      <c r="R121" s="650"/>
      <c r="S121" s="650"/>
      <c r="T121" s="651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235</v>
      </c>
      <c r="AG121" s="75"/>
      <c r="AJ121" s="79" t="s">
        <v>46</v>
      </c>
      <c r="AK121" s="79">
        <v>0</v>
      </c>
      <c r="BB121" s="194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16.5" hidden="1" customHeight="1" x14ac:dyDescent="0.25">
      <c r="A122" s="60" t="s">
        <v>240</v>
      </c>
      <c r="B122" s="60" t="s">
        <v>241</v>
      </c>
      <c r="C122" s="34">
        <v>4301052085</v>
      </c>
      <c r="D122" s="648">
        <v>4680115884533</v>
      </c>
      <c r="E122" s="648"/>
      <c r="F122" s="59">
        <v>0.3</v>
      </c>
      <c r="G122" s="35">
        <v>6</v>
      </c>
      <c r="H122" s="59">
        <v>1.8</v>
      </c>
      <c r="I122" s="59">
        <v>1.98</v>
      </c>
      <c r="J122" s="35">
        <v>182</v>
      </c>
      <c r="K122" s="35" t="s">
        <v>90</v>
      </c>
      <c r="L122" s="35" t="s">
        <v>46</v>
      </c>
      <c r="M122" s="36" t="s">
        <v>89</v>
      </c>
      <c r="N122" s="36"/>
      <c r="O122" s="35">
        <v>45</v>
      </c>
      <c r="P122" s="889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50"/>
      <c r="R122" s="650"/>
      <c r="S122" s="650"/>
      <c r="T122" s="65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242</v>
      </c>
      <c r="AG122" s="75"/>
      <c r="AJ122" s="79" t="s">
        <v>46</v>
      </c>
      <c r="AK122" s="79">
        <v>0</v>
      </c>
      <c r="BB122" s="196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idden="1" x14ac:dyDescent="0.2">
      <c r="A123" s="655"/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6"/>
      <c r="P123" s="652" t="s">
        <v>40</v>
      </c>
      <c r="Q123" s="653"/>
      <c r="R123" s="653"/>
      <c r="S123" s="653"/>
      <c r="T123" s="653"/>
      <c r="U123" s="653"/>
      <c r="V123" s="654"/>
      <c r="W123" s="40" t="s">
        <v>39</v>
      </c>
      <c r="X123" s="41">
        <f>IFERROR(X119/H119,"0")+IFERROR(X120/H120,"0")+IFERROR(X121/H121,"0")+IFERROR(X122/H122,"0")</f>
        <v>0</v>
      </c>
      <c r="Y123" s="41">
        <f>IFERROR(Y119/H119,"0")+IFERROR(Y120/H120,"0")+IFERROR(Y121/H121,"0")+IFERROR(Y122/H122,"0")</f>
        <v>0</v>
      </c>
      <c r="Z123" s="41">
        <f>IFERROR(IF(Z119="",0,Z119),"0")+IFERROR(IF(Z120="",0,Z120),"0")+IFERROR(IF(Z121="",0,Z121),"0")+IFERROR(IF(Z122="",0,Z122),"0")</f>
        <v>0</v>
      </c>
      <c r="AA123" s="64"/>
      <c r="AB123" s="64"/>
      <c r="AC123" s="64"/>
    </row>
    <row r="124" spans="1:68" hidden="1" x14ac:dyDescent="0.2">
      <c r="A124" s="655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2" t="s">
        <v>40</v>
      </c>
      <c r="Q124" s="653"/>
      <c r="R124" s="653"/>
      <c r="S124" s="653"/>
      <c r="T124" s="653"/>
      <c r="U124" s="653"/>
      <c r="V124" s="654"/>
      <c r="W124" s="40" t="s">
        <v>0</v>
      </c>
      <c r="X124" s="41">
        <f>IFERROR(SUM(X119:X122),"0")</f>
        <v>0</v>
      </c>
      <c r="Y124" s="41">
        <f>IFERROR(SUM(Y119:Y122),"0")</f>
        <v>0</v>
      </c>
      <c r="Z124" s="40"/>
      <c r="AA124" s="64"/>
      <c r="AB124" s="64"/>
      <c r="AC124" s="64"/>
    </row>
    <row r="125" spans="1:68" ht="14.25" hidden="1" customHeight="1" x14ac:dyDescent="0.25">
      <c r="A125" s="662" t="s">
        <v>174</v>
      </c>
      <c r="B125" s="662"/>
      <c r="C125" s="662"/>
      <c r="D125" s="662"/>
      <c r="E125" s="662"/>
      <c r="F125" s="662"/>
      <c r="G125" s="662"/>
      <c r="H125" s="662"/>
      <c r="I125" s="662"/>
      <c r="J125" s="662"/>
      <c r="K125" s="662"/>
      <c r="L125" s="662"/>
      <c r="M125" s="662"/>
      <c r="N125" s="662"/>
      <c r="O125" s="662"/>
      <c r="P125" s="662"/>
      <c r="Q125" s="662"/>
      <c r="R125" s="662"/>
      <c r="S125" s="662"/>
      <c r="T125" s="662"/>
      <c r="U125" s="662"/>
      <c r="V125" s="662"/>
      <c r="W125" s="662"/>
      <c r="X125" s="662"/>
      <c r="Y125" s="662"/>
      <c r="Z125" s="662"/>
      <c r="AA125" s="63"/>
      <c r="AB125" s="63"/>
      <c r="AC125" s="63"/>
    </row>
    <row r="126" spans="1:68" ht="16.5" hidden="1" customHeight="1" x14ac:dyDescent="0.25">
      <c r="A126" s="60" t="s">
        <v>243</v>
      </c>
      <c r="B126" s="60" t="s">
        <v>244</v>
      </c>
      <c r="C126" s="34">
        <v>4301060525</v>
      </c>
      <c r="D126" s="648">
        <v>4680115880238</v>
      </c>
      <c r="E126" s="648"/>
      <c r="F126" s="59">
        <v>0.33</v>
      </c>
      <c r="G126" s="35">
        <v>6</v>
      </c>
      <c r="H126" s="59">
        <v>1.98</v>
      </c>
      <c r="I126" s="59">
        <v>2.238</v>
      </c>
      <c r="J126" s="35">
        <v>182</v>
      </c>
      <c r="K126" s="35" t="s">
        <v>90</v>
      </c>
      <c r="L126" s="35" t="s">
        <v>46</v>
      </c>
      <c r="M126" s="36" t="s">
        <v>89</v>
      </c>
      <c r="N126" s="36"/>
      <c r="O126" s="35">
        <v>40</v>
      </c>
      <c r="P126" s="89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50"/>
      <c r="R126" s="650"/>
      <c r="S126" s="650"/>
      <c r="T126" s="651"/>
      <c r="U126" s="37" t="s">
        <v>46</v>
      </c>
      <c r="V126" s="37" t="s">
        <v>46</v>
      </c>
      <c r="W126" s="38" t="s">
        <v>0</v>
      </c>
      <c r="X126" s="56">
        <v>0</v>
      </c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245</v>
      </c>
      <c r="AG126" s="75"/>
      <c r="AJ126" s="79" t="s">
        <v>46</v>
      </c>
      <c r="AK126" s="79">
        <v>0</v>
      </c>
      <c r="BB126" s="198" t="s">
        <v>66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idden="1" x14ac:dyDescent="0.2">
      <c r="A127" s="655"/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6"/>
      <c r="P127" s="652" t="s">
        <v>40</v>
      </c>
      <c r="Q127" s="653"/>
      <c r="R127" s="653"/>
      <c r="S127" s="653"/>
      <c r="T127" s="653"/>
      <c r="U127" s="653"/>
      <c r="V127" s="654"/>
      <c r="W127" s="40" t="s">
        <v>39</v>
      </c>
      <c r="X127" s="41">
        <f>IFERROR(X126/H126,"0")</f>
        <v>0</v>
      </c>
      <c r="Y127" s="41">
        <f>IFERROR(Y126/H126,"0")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655"/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6"/>
      <c r="P128" s="652" t="s">
        <v>40</v>
      </c>
      <c r="Q128" s="653"/>
      <c r="R128" s="653"/>
      <c r="S128" s="653"/>
      <c r="T128" s="653"/>
      <c r="U128" s="653"/>
      <c r="V128" s="654"/>
      <c r="W128" s="40" t="s">
        <v>0</v>
      </c>
      <c r="X128" s="41">
        <f>IFERROR(SUM(X126:X126),"0")</f>
        <v>0</v>
      </c>
      <c r="Y128" s="41">
        <f>IFERROR(SUM(Y126:Y126),"0")</f>
        <v>0</v>
      </c>
      <c r="Z128" s="40"/>
      <c r="AA128" s="64"/>
      <c r="AB128" s="64"/>
      <c r="AC128" s="64"/>
    </row>
    <row r="129" spans="1:68" ht="16.5" hidden="1" customHeight="1" x14ac:dyDescent="0.25">
      <c r="A129" s="666" t="s">
        <v>246</v>
      </c>
      <c r="B129" s="666"/>
      <c r="C129" s="666"/>
      <c r="D129" s="666"/>
      <c r="E129" s="666"/>
      <c r="F129" s="666"/>
      <c r="G129" s="666"/>
      <c r="H129" s="666"/>
      <c r="I129" s="666"/>
      <c r="J129" s="666"/>
      <c r="K129" s="666"/>
      <c r="L129" s="666"/>
      <c r="M129" s="666"/>
      <c r="N129" s="666"/>
      <c r="O129" s="666"/>
      <c r="P129" s="666"/>
      <c r="Q129" s="666"/>
      <c r="R129" s="666"/>
      <c r="S129" s="666"/>
      <c r="T129" s="666"/>
      <c r="U129" s="666"/>
      <c r="V129" s="666"/>
      <c r="W129" s="666"/>
      <c r="X129" s="666"/>
      <c r="Y129" s="666"/>
      <c r="Z129" s="666"/>
      <c r="AA129" s="62"/>
      <c r="AB129" s="62"/>
      <c r="AC129" s="62"/>
    </row>
    <row r="130" spans="1:68" ht="14.25" hidden="1" customHeight="1" x14ac:dyDescent="0.25">
      <c r="A130" s="662" t="s">
        <v>121</v>
      </c>
      <c r="B130" s="662"/>
      <c r="C130" s="662"/>
      <c r="D130" s="662"/>
      <c r="E130" s="662"/>
      <c r="F130" s="662"/>
      <c r="G130" s="662"/>
      <c r="H130" s="662"/>
      <c r="I130" s="662"/>
      <c r="J130" s="662"/>
      <c r="K130" s="662"/>
      <c r="L130" s="662"/>
      <c r="M130" s="662"/>
      <c r="N130" s="662"/>
      <c r="O130" s="662"/>
      <c r="P130" s="662"/>
      <c r="Q130" s="662"/>
      <c r="R130" s="662"/>
      <c r="S130" s="662"/>
      <c r="T130" s="662"/>
      <c r="U130" s="662"/>
      <c r="V130" s="662"/>
      <c r="W130" s="662"/>
      <c r="X130" s="662"/>
      <c r="Y130" s="662"/>
      <c r="Z130" s="662"/>
      <c r="AA130" s="63"/>
      <c r="AB130" s="63"/>
      <c r="AC130" s="63"/>
    </row>
    <row r="131" spans="1:68" ht="27" hidden="1" customHeight="1" x14ac:dyDescent="0.25">
      <c r="A131" s="60" t="s">
        <v>247</v>
      </c>
      <c r="B131" s="60" t="s">
        <v>248</v>
      </c>
      <c r="C131" s="34">
        <v>4301011562</v>
      </c>
      <c r="D131" s="648">
        <v>4680115882577</v>
      </c>
      <c r="E131" s="648"/>
      <c r="F131" s="59">
        <v>0.4</v>
      </c>
      <c r="G131" s="35">
        <v>8</v>
      </c>
      <c r="H131" s="59">
        <v>3.2</v>
      </c>
      <c r="I131" s="59">
        <v>3.38</v>
      </c>
      <c r="J131" s="35">
        <v>182</v>
      </c>
      <c r="K131" s="35" t="s">
        <v>90</v>
      </c>
      <c r="L131" s="35" t="s">
        <v>46</v>
      </c>
      <c r="M131" s="36" t="s">
        <v>250</v>
      </c>
      <c r="N131" s="36"/>
      <c r="O131" s="35">
        <v>90</v>
      </c>
      <c r="P131" s="88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50"/>
      <c r="R131" s="650"/>
      <c r="S131" s="650"/>
      <c r="T131" s="651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199" t="s">
        <v>249</v>
      </c>
      <c r="AG131" s="75"/>
      <c r="AJ131" s="79" t="s">
        <v>46</v>
      </c>
      <c r="AK131" s="79">
        <v>0</v>
      </c>
      <c r="BB131" s="200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hidden="1" customHeight="1" x14ac:dyDescent="0.25">
      <c r="A132" s="60" t="s">
        <v>247</v>
      </c>
      <c r="B132" s="60" t="s">
        <v>251</v>
      </c>
      <c r="C132" s="34">
        <v>4301011564</v>
      </c>
      <c r="D132" s="648">
        <v>4680115882577</v>
      </c>
      <c r="E132" s="648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250</v>
      </c>
      <c r="N132" s="36"/>
      <c r="O132" s="35">
        <v>90</v>
      </c>
      <c r="P132" s="8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50"/>
      <c r="R132" s="650"/>
      <c r="S132" s="650"/>
      <c r="T132" s="651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249</v>
      </c>
      <c r="AG132" s="75"/>
      <c r="AJ132" s="79" t="s">
        <v>46</v>
      </c>
      <c r="AK132" s="79">
        <v>0</v>
      </c>
      <c r="BB132" s="202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2" t="s">
        <v>40</v>
      </c>
      <c r="Q133" s="653"/>
      <c r="R133" s="653"/>
      <c r="S133" s="653"/>
      <c r="T133" s="653"/>
      <c r="U133" s="653"/>
      <c r="V133" s="654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hidden="1" x14ac:dyDescent="0.2">
      <c r="A134" s="655"/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6"/>
      <c r="P134" s="652" t="s">
        <v>40</v>
      </c>
      <c r="Q134" s="653"/>
      <c r="R134" s="653"/>
      <c r="S134" s="653"/>
      <c r="T134" s="653"/>
      <c r="U134" s="653"/>
      <c r="V134" s="654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4.25" hidden="1" customHeight="1" x14ac:dyDescent="0.25">
      <c r="A135" s="662" t="s">
        <v>76</v>
      </c>
      <c r="B135" s="662"/>
      <c r="C135" s="662"/>
      <c r="D135" s="662"/>
      <c r="E135" s="662"/>
      <c r="F135" s="662"/>
      <c r="G135" s="662"/>
      <c r="H135" s="662"/>
      <c r="I135" s="662"/>
      <c r="J135" s="662"/>
      <c r="K135" s="662"/>
      <c r="L135" s="662"/>
      <c r="M135" s="662"/>
      <c r="N135" s="662"/>
      <c r="O135" s="662"/>
      <c r="P135" s="662"/>
      <c r="Q135" s="662"/>
      <c r="R135" s="662"/>
      <c r="S135" s="662"/>
      <c r="T135" s="662"/>
      <c r="U135" s="662"/>
      <c r="V135" s="662"/>
      <c r="W135" s="662"/>
      <c r="X135" s="662"/>
      <c r="Y135" s="662"/>
      <c r="Z135" s="662"/>
      <c r="AA135" s="63"/>
      <c r="AB135" s="63"/>
      <c r="AC135" s="63"/>
    </row>
    <row r="136" spans="1:68" ht="27" hidden="1" customHeight="1" x14ac:dyDescent="0.25">
      <c r="A136" s="60" t="s">
        <v>252</v>
      </c>
      <c r="B136" s="60" t="s">
        <v>253</v>
      </c>
      <c r="C136" s="34">
        <v>4301031234</v>
      </c>
      <c r="D136" s="648">
        <v>4680115883444</v>
      </c>
      <c r="E136" s="648"/>
      <c r="F136" s="59">
        <v>0.35</v>
      </c>
      <c r="G136" s="35">
        <v>8</v>
      </c>
      <c r="H136" s="59">
        <v>2.8</v>
      </c>
      <c r="I136" s="59">
        <v>3.0680000000000001</v>
      </c>
      <c r="J136" s="35">
        <v>182</v>
      </c>
      <c r="K136" s="35" t="s">
        <v>90</v>
      </c>
      <c r="L136" s="35" t="s">
        <v>46</v>
      </c>
      <c r="M136" s="36" t="s">
        <v>250</v>
      </c>
      <c r="N136" s="36"/>
      <c r="O136" s="35">
        <v>90</v>
      </c>
      <c r="P136" s="8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50"/>
      <c r="R136" s="650"/>
      <c r="S136" s="650"/>
      <c r="T136" s="651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254</v>
      </c>
      <c r="AG136" s="75"/>
      <c r="AJ136" s="79" t="s">
        <v>46</v>
      </c>
      <c r="AK136" s="79">
        <v>0</v>
      </c>
      <c r="BB136" s="204" t="s">
        <v>66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252</v>
      </c>
      <c r="B137" s="60" t="s">
        <v>255</v>
      </c>
      <c r="C137" s="34">
        <v>4301031235</v>
      </c>
      <c r="D137" s="648">
        <v>4680115883444</v>
      </c>
      <c r="E137" s="648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250</v>
      </c>
      <c r="N137" s="36"/>
      <c r="O137" s="35">
        <v>90</v>
      </c>
      <c r="P137" s="8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50"/>
      <c r="R137" s="650"/>
      <c r="S137" s="650"/>
      <c r="T137" s="651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254</v>
      </c>
      <c r="AG137" s="75"/>
      <c r="AJ137" s="79" t="s">
        <v>46</v>
      </c>
      <c r="AK137" s="79">
        <v>0</v>
      </c>
      <c r="BB137" s="206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55"/>
      <c r="B138" s="655"/>
      <c r="C138" s="655"/>
      <c r="D138" s="655"/>
      <c r="E138" s="655"/>
      <c r="F138" s="655"/>
      <c r="G138" s="655"/>
      <c r="H138" s="655"/>
      <c r="I138" s="655"/>
      <c r="J138" s="655"/>
      <c r="K138" s="655"/>
      <c r="L138" s="655"/>
      <c r="M138" s="655"/>
      <c r="N138" s="655"/>
      <c r="O138" s="656"/>
      <c r="P138" s="652" t="s">
        <v>40</v>
      </c>
      <c r="Q138" s="653"/>
      <c r="R138" s="653"/>
      <c r="S138" s="653"/>
      <c r="T138" s="653"/>
      <c r="U138" s="653"/>
      <c r="V138" s="654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55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2" t="s">
        <v>40</v>
      </c>
      <c r="Q139" s="653"/>
      <c r="R139" s="653"/>
      <c r="S139" s="653"/>
      <c r="T139" s="653"/>
      <c r="U139" s="653"/>
      <c r="V139" s="654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2" t="s">
        <v>85</v>
      </c>
      <c r="B140" s="662"/>
      <c r="C140" s="662"/>
      <c r="D140" s="662"/>
      <c r="E140" s="662"/>
      <c r="F140" s="662"/>
      <c r="G140" s="662"/>
      <c r="H140" s="662"/>
      <c r="I140" s="662"/>
      <c r="J140" s="662"/>
      <c r="K140" s="662"/>
      <c r="L140" s="662"/>
      <c r="M140" s="662"/>
      <c r="N140" s="662"/>
      <c r="O140" s="662"/>
      <c r="P140" s="662"/>
      <c r="Q140" s="662"/>
      <c r="R140" s="662"/>
      <c r="S140" s="662"/>
      <c r="T140" s="662"/>
      <c r="U140" s="662"/>
      <c r="V140" s="662"/>
      <c r="W140" s="662"/>
      <c r="X140" s="662"/>
      <c r="Y140" s="662"/>
      <c r="Z140" s="662"/>
      <c r="AA140" s="63"/>
      <c r="AB140" s="63"/>
      <c r="AC140" s="63"/>
    </row>
    <row r="141" spans="1:68" ht="16.5" hidden="1" customHeight="1" x14ac:dyDescent="0.25">
      <c r="A141" s="60" t="s">
        <v>256</v>
      </c>
      <c r="B141" s="60" t="s">
        <v>257</v>
      </c>
      <c r="C141" s="34">
        <v>4301051476</v>
      </c>
      <c r="D141" s="648">
        <v>4680115882584</v>
      </c>
      <c r="E141" s="648"/>
      <c r="F141" s="59">
        <v>0.33</v>
      </c>
      <c r="G141" s="35">
        <v>8</v>
      </c>
      <c r="H141" s="59">
        <v>2.64</v>
      </c>
      <c r="I141" s="59">
        <v>2.9079999999999999</v>
      </c>
      <c r="J141" s="35">
        <v>182</v>
      </c>
      <c r="K141" s="35" t="s">
        <v>90</v>
      </c>
      <c r="L141" s="35" t="s">
        <v>46</v>
      </c>
      <c r="M141" s="36" t="s">
        <v>250</v>
      </c>
      <c r="N141" s="36"/>
      <c r="O141" s="35">
        <v>60</v>
      </c>
      <c r="P141" s="88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50"/>
      <c r="R141" s="650"/>
      <c r="S141" s="650"/>
      <c r="T141" s="65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249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16.5" hidden="1" customHeight="1" x14ac:dyDescent="0.25">
      <c r="A142" s="60" t="s">
        <v>256</v>
      </c>
      <c r="B142" s="60" t="s">
        <v>258</v>
      </c>
      <c r="C142" s="34">
        <v>4301051477</v>
      </c>
      <c r="D142" s="648">
        <v>4680115882584</v>
      </c>
      <c r="E142" s="648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250</v>
      </c>
      <c r="N142" s="36"/>
      <c r="O142" s="35">
        <v>60</v>
      </c>
      <c r="P142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50"/>
      <c r="R142" s="650"/>
      <c r="S142" s="650"/>
      <c r="T142" s="651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249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55"/>
      <c r="B143" s="655"/>
      <c r="C143" s="655"/>
      <c r="D143" s="655"/>
      <c r="E143" s="655"/>
      <c r="F143" s="655"/>
      <c r="G143" s="655"/>
      <c r="H143" s="655"/>
      <c r="I143" s="655"/>
      <c r="J143" s="655"/>
      <c r="K143" s="655"/>
      <c r="L143" s="655"/>
      <c r="M143" s="655"/>
      <c r="N143" s="655"/>
      <c r="O143" s="656"/>
      <c r="P143" s="652" t="s">
        <v>40</v>
      </c>
      <c r="Q143" s="653"/>
      <c r="R143" s="653"/>
      <c r="S143" s="653"/>
      <c r="T143" s="653"/>
      <c r="U143" s="653"/>
      <c r="V143" s="654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55"/>
      <c r="B144" s="655"/>
      <c r="C144" s="655"/>
      <c r="D144" s="655"/>
      <c r="E144" s="655"/>
      <c r="F144" s="655"/>
      <c r="G144" s="655"/>
      <c r="H144" s="655"/>
      <c r="I144" s="655"/>
      <c r="J144" s="655"/>
      <c r="K144" s="655"/>
      <c r="L144" s="655"/>
      <c r="M144" s="655"/>
      <c r="N144" s="655"/>
      <c r="O144" s="656"/>
      <c r="P144" s="652" t="s">
        <v>40</v>
      </c>
      <c r="Q144" s="653"/>
      <c r="R144" s="653"/>
      <c r="S144" s="653"/>
      <c r="T144" s="653"/>
      <c r="U144" s="653"/>
      <c r="V144" s="654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6.5" hidden="1" customHeight="1" x14ac:dyDescent="0.25">
      <c r="A145" s="666" t="s">
        <v>259</v>
      </c>
      <c r="B145" s="666"/>
      <c r="C145" s="666"/>
      <c r="D145" s="666"/>
      <c r="E145" s="666"/>
      <c r="F145" s="666"/>
      <c r="G145" s="666"/>
      <c r="H145" s="666"/>
      <c r="I145" s="666"/>
      <c r="J145" s="666"/>
      <c r="K145" s="666"/>
      <c r="L145" s="666"/>
      <c r="M145" s="666"/>
      <c r="N145" s="666"/>
      <c r="O145" s="666"/>
      <c r="P145" s="666"/>
      <c r="Q145" s="666"/>
      <c r="R145" s="666"/>
      <c r="S145" s="666"/>
      <c r="T145" s="666"/>
      <c r="U145" s="666"/>
      <c r="V145" s="666"/>
      <c r="W145" s="666"/>
      <c r="X145" s="666"/>
      <c r="Y145" s="666"/>
      <c r="Z145" s="666"/>
      <c r="AA145" s="62"/>
      <c r="AB145" s="62"/>
      <c r="AC145" s="62"/>
    </row>
    <row r="146" spans="1:68" ht="14.25" hidden="1" customHeight="1" x14ac:dyDescent="0.25">
      <c r="A146" s="662" t="s">
        <v>85</v>
      </c>
      <c r="B146" s="662"/>
      <c r="C146" s="662"/>
      <c r="D146" s="662"/>
      <c r="E146" s="662"/>
      <c r="F146" s="662"/>
      <c r="G146" s="662"/>
      <c r="H146" s="662"/>
      <c r="I146" s="662"/>
      <c r="J146" s="662"/>
      <c r="K146" s="662"/>
      <c r="L146" s="662"/>
      <c r="M146" s="662"/>
      <c r="N146" s="662"/>
      <c r="O146" s="662"/>
      <c r="P146" s="662"/>
      <c r="Q146" s="662"/>
      <c r="R146" s="662"/>
      <c r="S146" s="662"/>
      <c r="T146" s="662"/>
      <c r="U146" s="662"/>
      <c r="V146" s="662"/>
      <c r="W146" s="662"/>
      <c r="X146" s="662"/>
      <c r="Y146" s="662"/>
      <c r="Z146" s="662"/>
      <c r="AA146" s="63"/>
      <c r="AB146" s="63"/>
      <c r="AC146" s="63"/>
    </row>
    <row r="147" spans="1:68" ht="27" hidden="1" customHeight="1" x14ac:dyDescent="0.25">
      <c r="A147" s="60" t="s">
        <v>260</v>
      </c>
      <c r="B147" s="60" t="s">
        <v>261</v>
      </c>
      <c r="C147" s="34">
        <v>4301052254</v>
      </c>
      <c r="D147" s="648">
        <v>4680115888203</v>
      </c>
      <c r="E147" s="648"/>
      <c r="F147" s="59">
        <v>0.22</v>
      </c>
      <c r="G147" s="35">
        <v>6</v>
      </c>
      <c r="H147" s="59">
        <v>1.32</v>
      </c>
      <c r="I147" s="59">
        <v>1.5660000000000001</v>
      </c>
      <c r="J147" s="35">
        <v>182</v>
      </c>
      <c r="K147" s="35" t="s">
        <v>90</v>
      </c>
      <c r="L147" s="35" t="s">
        <v>46</v>
      </c>
      <c r="M147" s="36" t="s">
        <v>96</v>
      </c>
      <c r="N147" s="36"/>
      <c r="O147" s="35">
        <v>40</v>
      </c>
      <c r="P147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50"/>
      <c r="R147" s="650"/>
      <c r="S147" s="650"/>
      <c r="T147" s="651"/>
      <c r="U147" s="37" t="s">
        <v>46</v>
      </c>
      <c r="V147" s="37" t="s">
        <v>46</v>
      </c>
      <c r="W147" s="38" t="s">
        <v>0</v>
      </c>
      <c r="X147" s="56">
        <v>0</v>
      </c>
      <c r="Y147" s="53">
        <f t="shared" ref="Y147:Y152" si="15">IFERROR(IF(X147="",0,CEILING((X147/$H147),1)*$H147),"")</f>
        <v>0</v>
      </c>
      <c r="Z147" s="39" t="str">
        <f t="shared" ref="Z147:Z152" si="16">IFERROR(IF(Y147=0,"",ROUNDUP(Y147/H147,0)*0.00651),"")</f>
        <v/>
      </c>
      <c r="AA147" s="65" t="s">
        <v>46</v>
      </c>
      <c r="AB147" s="66" t="s">
        <v>46</v>
      </c>
      <c r="AC147" s="211" t="s">
        <v>262</v>
      </c>
      <c r="AG147" s="75"/>
      <c r="AJ147" s="79" t="s">
        <v>46</v>
      </c>
      <c r="AK147" s="79">
        <v>0</v>
      </c>
      <c r="BB147" s="212" t="s">
        <v>66</v>
      </c>
      <c r="BM147" s="75">
        <f t="shared" ref="BM147:BM152" si="17">IFERROR(X147*I147/H147,"0")</f>
        <v>0</v>
      </c>
      <c r="BN147" s="75">
        <f t="shared" ref="BN147:BN152" si="18">IFERROR(Y147*I147/H147,"0")</f>
        <v>0</v>
      </c>
      <c r="BO147" s="75">
        <f t="shared" ref="BO147:BO152" si="19">IFERROR(1/J147*(X147/H147),"0")</f>
        <v>0</v>
      </c>
      <c r="BP147" s="75">
        <f t="shared" ref="BP147:BP152" si="20">IFERROR(1/J147*(Y147/H147),"0")</f>
        <v>0</v>
      </c>
    </row>
    <row r="148" spans="1:68" ht="27" hidden="1" customHeight="1" x14ac:dyDescent="0.25">
      <c r="A148" s="60" t="s">
        <v>263</v>
      </c>
      <c r="B148" s="60" t="s">
        <v>264</v>
      </c>
      <c r="C148" s="34">
        <v>4301052172</v>
      </c>
      <c r="D148" s="648">
        <v>4680115888180</v>
      </c>
      <c r="E148" s="648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87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50"/>
      <c r="R148" s="650"/>
      <c r="S148" s="650"/>
      <c r="T148" s="651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si="15"/>
        <v>0</v>
      </c>
      <c r="Z148" s="39" t="str">
        <f t="shared" si="16"/>
        <v/>
      </c>
      <c r="AA148" s="65" t="s">
        <v>46</v>
      </c>
      <c r="AB148" s="66" t="s">
        <v>46</v>
      </c>
      <c r="AC148" s="213" t="s">
        <v>265</v>
      </c>
      <c r="AG148" s="75"/>
      <c r="AJ148" s="79" t="s">
        <v>46</v>
      </c>
      <c r="AK148" s="79">
        <v>0</v>
      </c>
      <c r="BB148" s="214" t="s">
        <v>66</v>
      </c>
      <c r="BM148" s="75">
        <f t="shared" si="17"/>
        <v>0</v>
      </c>
      <c r="BN148" s="75">
        <f t="shared" si="18"/>
        <v>0</v>
      </c>
      <c r="BO148" s="75">
        <f t="shared" si="19"/>
        <v>0</v>
      </c>
      <c r="BP148" s="75">
        <f t="shared" si="20"/>
        <v>0</v>
      </c>
    </row>
    <row r="149" spans="1:68" ht="27" hidden="1" customHeight="1" x14ac:dyDescent="0.25">
      <c r="A149" s="60" t="s">
        <v>263</v>
      </c>
      <c r="B149" s="60" t="s">
        <v>266</v>
      </c>
      <c r="C149" s="34">
        <v>4301052252</v>
      </c>
      <c r="D149" s="648">
        <v>4680115888180</v>
      </c>
      <c r="E149" s="64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87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0"/>
      <c r="R149" s="650"/>
      <c r="S149" s="650"/>
      <c r="T149" s="65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5"/>
        <v>0</v>
      </c>
      <c r="Z149" s="39" t="str">
        <f t="shared" si="16"/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66</v>
      </c>
      <c r="BM149" s="75">
        <f t="shared" si="17"/>
        <v>0</v>
      </c>
      <c r="BN149" s="75">
        <f t="shared" si="18"/>
        <v>0</v>
      </c>
      <c r="BO149" s="75">
        <f t="shared" si="19"/>
        <v>0</v>
      </c>
      <c r="BP149" s="75">
        <f t="shared" si="20"/>
        <v>0</v>
      </c>
    </row>
    <row r="150" spans="1:68" ht="27" hidden="1" customHeight="1" x14ac:dyDescent="0.25">
      <c r="A150" s="60" t="s">
        <v>267</v>
      </c>
      <c r="B150" s="60" t="s">
        <v>268</v>
      </c>
      <c r="C150" s="34">
        <v>4301052253</v>
      </c>
      <c r="D150" s="648">
        <v>4680115888197</v>
      </c>
      <c r="E150" s="648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88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50"/>
      <c r="R150" s="650"/>
      <c r="S150" s="650"/>
      <c r="T150" s="65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5"/>
        <v>0</v>
      </c>
      <c r="Z150" s="39" t="str">
        <f t="shared" si="16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66</v>
      </c>
      <c r="BM150" s="75">
        <f t="shared" si="17"/>
        <v>0</v>
      </c>
      <c r="BN150" s="75">
        <f t="shared" si="18"/>
        <v>0</v>
      </c>
      <c r="BO150" s="75">
        <f t="shared" si="19"/>
        <v>0</v>
      </c>
      <c r="BP150" s="75">
        <f t="shared" si="20"/>
        <v>0</v>
      </c>
    </row>
    <row r="151" spans="1:68" ht="27" hidden="1" customHeight="1" x14ac:dyDescent="0.25">
      <c r="A151" s="60" t="s">
        <v>270</v>
      </c>
      <c r="B151" s="60" t="s">
        <v>271</v>
      </c>
      <c r="C151" s="34">
        <v>4301052175</v>
      </c>
      <c r="D151" s="648">
        <v>4680115888210</v>
      </c>
      <c r="E151" s="648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88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50"/>
      <c r="R151" s="650"/>
      <c r="S151" s="650"/>
      <c r="T151" s="65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5"/>
        <v>0</v>
      </c>
      <c r="Z151" s="39" t="str">
        <f t="shared" si="16"/>
        <v/>
      </c>
      <c r="AA151" s="65" t="s">
        <v>46</v>
      </c>
      <c r="AB151" s="66" t="s">
        <v>46</v>
      </c>
      <c r="AC151" s="219" t="s">
        <v>272</v>
      </c>
      <c r="AG151" s="75"/>
      <c r="AJ151" s="79" t="s">
        <v>46</v>
      </c>
      <c r="AK151" s="79">
        <v>0</v>
      </c>
      <c r="BB151" s="220" t="s">
        <v>66</v>
      </c>
      <c r="BM151" s="75">
        <f t="shared" si="17"/>
        <v>0</v>
      </c>
      <c r="BN151" s="75">
        <f t="shared" si="18"/>
        <v>0</v>
      </c>
      <c r="BO151" s="75">
        <f t="shared" si="19"/>
        <v>0</v>
      </c>
      <c r="BP151" s="75">
        <f t="shared" si="20"/>
        <v>0</v>
      </c>
    </row>
    <row r="152" spans="1:68" ht="27" hidden="1" customHeight="1" x14ac:dyDescent="0.25">
      <c r="A152" s="60" t="s">
        <v>270</v>
      </c>
      <c r="B152" s="60" t="s">
        <v>273</v>
      </c>
      <c r="C152" s="34">
        <v>4301052255</v>
      </c>
      <c r="D152" s="648">
        <v>4680115888210</v>
      </c>
      <c r="E152" s="64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90</v>
      </c>
      <c r="L152" s="35" t="s">
        <v>46</v>
      </c>
      <c r="M152" s="36" t="s">
        <v>96</v>
      </c>
      <c r="N152" s="36"/>
      <c r="O152" s="35">
        <v>40</v>
      </c>
      <c r="P152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0"/>
      <c r="R152" s="650"/>
      <c r="S152" s="650"/>
      <c r="T152" s="65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5"/>
        <v>0</v>
      </c>
      <c r="Z152" s="39" t="str">
        <f t="shared" si="16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66</v>
      </c>
      <c r="BM152" s="75">
        <f t="shared" si="17"/>
        <v>0</v>
      </c>
      <c r="BN152" s="75">
        <f t="shared" si="18"/>
        <v>0</v>
      </c>
      <c r="BO152" s="75">
        <f t="shared" si="19"/>
        <v>0</v>
      </c>
      <c r="BP152" s="75">
        <f t="shared" si="20"/>
        <v>0</v>
      </c>
    </row>
    <row r="153" spans="1:68" hidden="1" x14ac:dyDescent="0.2">
      <c r="A153" s="655"/>
      <c r="B153" s="655"/>
      <c r="C153" s="655"/>
      <c r="D153" s="655"/>
      <c r="E153" s="655"/>
      <c r="F153" s="655"/>
      <c r="G153" s="655"/>
      <c r="H153" s="655"/>
      <c r="I153" s="655"/>
      <c r="J153" s="655"/>
      <c r="K153" s="655"/>
      <c r="L153" s="655"/>
      <c r="M153" s="655"/>
      <c r="N153" s="655"/>
      <c r="O153" s="656"/>
      <c r="P153" s="652" t="s">
        <v>40</v>
      </c>
      <c r="Q153" s="653"/>
      <c r="R153" s="653"/>
      <c r="S153" s="653"/>
      <c r="T153" s="653"/>
      <c r="U153" s="653"/>
      <c r="V153" s="654"/>
      <c r="W153" s="40" t="s">
        <v>39</v>
      </c>
      <c r="X153" s="41">
        <f>IFERROR(X147/H147,"0")+IFERROR(X148/H148,"0")+IFERROR(X149/H149,"0")+IFERROR(X150/H150,"0")+IFERROR(X151/H151,"0")+IFERROR(X152/H152,"0")</f>
        <v>0</v>
      </c>
      <c r="Y153" s="41">
        <f>IFERROR(Y147/H147,"0")+IFERROR(Y148/H148,"0")+IFERROR(Y149/H149,"0")+IFERROR(Y150/H150,"0")+IFERROR(Y151/H151,"0")+IFERROR(Y152/H152,"0")</f>
        <v>0</v>
      </c>
      <c r="Z153" s="41">
        <f>IFERROR(IF(Z147="",0,Z147),"0")+IFERROR(IF(Z148="",0,Z148),"0")+IFERROR(IF(Z149="",0,Z149),"0")+IFERROR(IF(Z150="",0,Z150),"0")+IFERROR(IF(Z151="",0,Z151),"0")+IFERROR(IF(Z152="",0,Z152),"0")</f>
        <v>0</v>
      </c>
      <c r="AA153" s="64"/>
      <c r="AB153" s="64"/>
      <c r="AC153" s="64"/>
    </row>
    <row r="154" spans="1:68" hidden="1" x14ac:dyDescent="0.2">
      <c r="A154" s="655"/>
      <c r="B154" s="655"/>
      <c r="C154" s="655"/>
      <c r="D154" s="655"/>
      <c r="E154" s="655"/>
      <c r="F154" s="655"/>
      <c r="G154" s="655"/>
      <c r="H154" s="655"/>
      <c r="I154" s="655"/>
      <c r="J154" s="655"/>
      <c r="K154" s="655"/>
      <c r="L154" s="655"/>
      <c r="M154" s="655"/>
      <c r="N154" s="655"/>
      <c r="O154" s="656"/>
      <c r="P154" s="652" t="s">
        <v>40</v>
      </c>
      <c r="Q154" s="653"/>
      <c r="R154" s="653"/>
      <c r="S154" s="653"/>
      <c r="T154" s="653"/>
      <c r="U154" s="653"/>
      <c r="V154" s="654"/>
      <c r="W154" s="40" t="s">
        <v>0</v>
      </c>
      <c r="X154" s="41">
        <f>IFERROR(SUM(X147:X152),"0")</f>
        <v>0</v>
      </c>
      <c r="Y154" s="41">
        <f>IFERROR(SUM(Y147:Y152),"0")</f>
        <v>0</v>
      </c>
      <c r="Z154" s="40"/>
      <c r="AA154" s="64"/>
      <c r="AB154" s="64"/>
      <c r="AC154" s="64"/>
    </row>
    <row r="155" spans="1:68" ht="14.25" hidden="1" customHeight="1" x14ac:dyDescent="0.25">
      <c r="A155" s="662" t="s">
        <v>274</v>
      </c>
      <c r="B155" s="662"/>
      <c r="C155" s="662"/>
      <c r="D155" s="662"/>
      <c r="E155" s="662"/>
      <c r="F155" s="662"/>
      <c r="G155" s="662"/>
      <c r="H155" s="662"/>
      <c r="I155" s="662"/>
      <c r="J155" s="662"/>
      <c r="K155" s="662"/>
      <c r="L155" s="662"/>
      <c r="M155" s="662"/>
      <c r="N155" s="662"/>
      <c r="O155" s="662"/>
      <c r="P155" s="662"/>
      <c r="Q155" s="662"/>
      <c r="R155" s="662"/>
      <c r="S155" s="662"/>
      <c r="T155" s="662"/>
      <c r="U155" s="662"/>
      <c r="V155" s="662"/>
      <c r="W155" s="662"/>
      <c r="X155" s="662"/>
      <c r="Y155" s="662"/>
      <c r="Z155" s="662"/>
      <c r="AA155" s="63"/>
      <c r="AB155" s="63"/>
      <c r="AC155" s="63"/>
    </row>
    <row r="156" spans="1:68" ht="27" hidden="1" customHeight="1" x14ac:dyDescent="0.25">
      <c r="A156" s="60" t="s">
        <v>275</v>
      </c>
      <c r="B156" s="60" t="s">
        <v>276</v>
      </c>
      <c r="C156" s="34">
        <v>4301032067</v>
      </c>
      <c r="D156" s="648">
        <v>4680115889132</v>
      </c>
      <c r="E156" s="648"/>
      <c r="F156" s="59">
        <v>0.04</v>
      </c>
      <c r="G156" s="35">
        <v>8</v>
      </c>
      <c r="H156" s="59">
        <v>0.32</v>
      </c>
      <c r="I156" s="59">
        <v>0.5</v>
      </c>
      <c r="J156" s="35">
        <v>330</v>
      </c>
      <c r="K156" s="35" t="s">
        <v>280</v>
      </c>
      <c r="L156" s="35" t="s">
        <v>46</v>
      </c>
      <c r="M156" s="36" t="s">
        <v>279</v>
      </c>
      <c r="N156" s="36"/>
      <c r="O156" s="35">
        <v>120</v>
      </c>
      <c r="P156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50"/>
      <c r="R156" s="650"/>
      <c r="S156" s="650"/>
      <c r="T156" s="651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IFERROR(IF(Y156=0,"",ROUNDUP(Y156/H156,0)*0.00337),"")</f>
        <v/>
      </c>
      <c r="AA156" s="65" t="s">
        <v>46</v>
      </c>
      <c r="AB156" s="66" t="s">
        <v>46</v>
      </c>
      <c r="AC156" s="223" t="s">
        <v>277</v>
      </c>
      <c r="AG156" s="75"/>
      <c r="AJ156" s="79" t="s">
        <v>46</v>
      </c>
      <c r="AK156" s="79">
        <v>0</v>
      </c>
      <c r="BB156" s="224" t="s">
        <v>278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2" t="s">
        <v>40</v>
      </c>
      <c r="Q157" s="653"/>
      <c r="R157" s="653"/>
      <c r="S157" s="653"/>
      <c r="T157" s="653"/>
      <c r="U157" s="653"/>
      <c r="V157" s="654"/>
      <c r="W157" s="40" t="s">
        <v>39</v>
      </c>
      <c r="X157" s="41">
        <f>IFERROR(X156/H156,"0")</f>
        <v>0</v>
      </c>
      <c r="Y157" s="41">
        <f>IFERROR(Y156/H156,"0")</f>
        <v>0</v>
      </c>
      <c r="Z157" s="41">
        <f>IFERROR(IF(Z156="",0,Z156),"0")</f>
        <v>0</v>
      </c>
      <c r="AA157" s="64"/>
      <c r="AB157" s="64"/>
      <c r="AC157" s="64"/>
    </row>
    <row r="158" spans="1:68" hidden="1" x14ac:dyDescent="0.2">
      <c r="A158" s="655"/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6"/>
      <c r="P158" s="652" t="s">
        <v>40</v>
      </c>
      <c r="Q158" s="653"/>
      <c r="R158" s="653"/>
      <c r="S158" s="653"/>
      <c r="T158" s="653"/>
      <c r="U158" s="653"/>
      <c r="V158" s="654"/>
      <c r="W158" s="40" t="s">
        <v>0</v>
      </c>
      <c r="X158" s="41">
        <f>IFERROR(SUM(X156:X156),"0")</f>
        <v>0</v>
      </c>
      <c r="Y158" s="41">
        <f>IFERROR(SUM(Y156:Y156),"0")</f>
        <v>0</v>
      </c>
      <c r="Z158" s="40"/>
      <c r="AA158" s="64"/>
      <c r="AB158" s="64"/>
      <c r="AC158" s="64"/>
    </row>
    <row r="159" spans="1:68" ht="16.5" hidden="1" customHeight="1" x14ac:dyDescent="0.25">
      <c r="A159" s="666" t="s">
        <v>119</v>
      </c>
      <c r="B159" s="666"/>
      <c r="C159" s="666"/>
      <c r="D159" s="666"/>
      <c r="E159" s="666"/>
      <c r="F159" s="666"/>
      <c r="G159" s="666"/>
      <c r="H159" s="666"/>
      <c r="I159" s="666"/>
      <c r="J159" s="666"/>
      <c r="K159" s="666"/>
      <c r="L159" s="666"/>
      <c r="M159" s="666"/>
      <c r="N159" s="666"/>
      <c r="O159" s="666"/>
      <c r="P159" s="666"/>
      <c r="Q159" s="666"/>
      <c r="R159" s="666"/>
      <c r="S159" s="666"/>
      <c r="T159" s="666"/>
      <c r="U159" s="666"/>
      <c r="V159" s="666"/>
      <c r="W159" s="666"/>
      <c r="X159" s="666"/>
      <c r="Y159" s="666"/>
      <c r="Z159" s="666"/>
      <c r="AA159" s="62"/>
      <c r="AB159" s="62"/>
      <c r="AC159" s="62"/>
    </row>
    <row r="160" spans="1:68" ht="14.25" hidden="1" customHeight="1" x14ac:dyDescent="0.25">
      <c r="A160" s="662" t="s">
        <v>121</v>
      </c>
      <c r="B160" s="662"/>
      <c r="C160" s="662"/>
      <c r="D160" s="662"/>
      <c r="E160" s="662"/>
      <c r="F160" s="662"/>
      <c r="G160" s="662"/>
      <c r="H160" s="662"/>
      <c r="I160" s="662"/>
      <c r="J160" s="662"/>
      <c r="K160" s="662"/>
      <c r="L160" s="662"/>
      <c r="M160" s="662"/>
      <c r="N160" s="662"/>
      <c r="O160" s="662"/>
      <c r="P160" s="662"/>
      <c r="Q160" s="662"/>
      <c r="R160" s="662"/>
      <c r="S160" s="662"/>
      <c r="T160" s="662"/>
      <c r="U160" s="662"/>
      <c r="V160" s="662"/>
      <c r="W160" s="662"/>
      <c r="X160" s="662"/>
      <c r="Y160" s="662"/>
      <c r="Z160" s="662"/>
      <c r="AA160" s="63"/>
      <c r="AB160" s="63"/>
      <c r="AC160" s="63"/>
    </row>
    <row r="161" spans="1:68" ht="27" hidden="1" customHeight="1" x14ac:dyDescent="0.25">
      <c r="A161" s="60" t="s">
        <v>281</v>
      </c>
      <c r="B161" s="60" t="s">
        <v>282</v>
      </c>
      <c r="C161" s="34">
        <v>4301012338</v>
      </c>
      <c r="D161" s="648">
        <v>4680115887374</v>
      </c>
      <c r="E161" s="648"/>
      <c r="F161" s="59">
        <v>1</v>
      </c>
      <c r="G161" s="35">
        <v>6</v>
      </c>
      <c r="H161" s="59">
        <v>6</v>
      </c>
      <c r="I161" s="59">
        <v>6.35</v>
      </c>
      <c r="J161" s="35">
        <v>104</v>
      </c>
      <c r="K161" s="35" t="s">
        <v>126</v>
      </c>
      <c r="L161" s="35" t="s">
        <v>46</v>
      </c>
      <c r="M161" s="36" t="s">
        <v>125</v>
      </c>
      <c r="N161" s="36"/>
      <c r="O161" s="35">
        <v>55</v>
      </c>
      <c r="P161" s="87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50"/>
      <c r="R161" s="650"/>
      <c r="S161" s="650"/>
      <c r="T161" s="651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IFERROR(IF(Y161=0,"",ROUNDUP(Y161/H161,0)*0.01196),"")</f>
        <v/>
      </c>
      <c r="AA161" s="65" t="s">
        <v>46</v>
      </c>
      <c r="AB161" s="66" t="s">
        <v>46</v>
      </c>
      <c r="AC161" s="225" t="s">
        <v>283</v>
      </c>
      <c r="AG161" s="75"/>
      <c r="AJ161" s="79" t="s">
        <v>46</v>
      </c>
      <c r="AK161" s="79">
        <v>0</v>
      </c>
      <c r="BB161" s="226" t="s">
        <v>66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t="27" hidden="1" customHeight="1" x14ac:dyDescent="0.25">
      <c r="A162" s="60" t="s">
        <v>284</v>
      </c>
      <c r="B162" s="60" t="s">
        <v>285</v>
      </c>
      <c r="C162" s="34">
        <v>4301011705</v>
      </c>
      <c r="D162" s="648">
        <v>4607091384604</v>
      </c>
      <c r="E162" s="648"/>
      <c r="F162" s="59">
        <v>0.4</v>
      </c>
      <c r="G162" s="35">
        <v>10</v>
      </c>
      <c r="H162" s="59">
        <v>4</v>
      </c>
      <c r="I162" s="59">
        <v>4.1900000000000004</v>
      </c>
      <c r="J162" s="35">
        <v>132</v>
      </c>
      <c r="K162" s="35" t="s">
        <v>133</v>
      </c>
      <c r="L162" s="35" t="s">
        <v>46</v>
      </c>
      <c r="M162" s="36" t="s">
        <v>125</v>
      </c>
      <c r="N162" s="36"/>
      <c r="O162" s="35">
        <v>50</v>
      </c>
      <c r="P162" s="8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50"/>
      <c r="R162" s="650"/>
      <c r="S162" s="650"/>
      <c r="T162" s="651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IFERROR(IF(Y162=0,"",ROUNDUP(Y162/H162,0)*0.00902),"")</f>
        <v/>
      </c>
      <c r="AA162" s="65" t="s">
        <v>46</v>
      </c>
      <c r="AB162" s="66" t="s">
        <v>46</v>
      </c>
      <c r="AC162" s="227" t="s">
        <v>286</v>
      </c>
      <c r="AG162" s="75"/>
      <c r="AJ162" s="79" t="s">
        <v>46</v>
      </c>
      <c r="AK162" s="79">
        <v>0</v>
      </c>
      <c r="BB162" s="228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16.5" hidden="1" customHeight="1" x14ac:dyDescent="0.25">
      <c r="A163" s="60" t="s">
        <v>287</v>
      </c>
      <c r="B163" s="60" t="s">
        <v>288</v>
      </c>
      <c r="C163" s="34">
        <v>4301012344</v>
      </c>
      <c r="D163" s="648">
        <v>4680115888876</v>
      </c>
      <c r="E163" s="648"/>
      <c r="F163" s="59">
        <v>0.43</v>
      </c>
      <c r="G163" s="35">
        <v>6</v>
      </c>
      <c r="H163" s="59">
        <v>2.58</v>
      </c>
      <c r="I163" s="59">
        <v>2.76</v>
      </c>
      <c r="J163" s="35">
        <v>182</v>
      </c>
      <c r="K163" s="35" t="s">
        <v>90</v>
      </c>
      <c r="L163" s="35" t="s">
        <v>46</v>
      </c>
      <c r="M163" s="36" t="s">
        <v>89</v>
      </c>
      <c r="N163" s="36"/>
      <c r="O163" s="35">
        <v>55</v>
      </c>
      <c r="P163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50"/>
      <c r="R163" s="650"/>
      <c r="S163" s="650"/>
      <c r="T163" s="65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IFERROR(IF(Y163=0,"",ROUNDUP(Y163/H163,0)*0.00651),"")</f>
        <v/>
      </c>
      <c r="AA163" s="65" t="s">
        <v>46</v>
      </c>
      <c r="AB163" s="66" t="s">
        <v>46</v>
      </c>
      <c r="AC163" s="229" t="s">
        <v>289</v>
      </c>
      <c r="AG163" s="75"/>
      <c r="AJ163" s="79" t="s">
        <v>46</v>
      </c>
      <c r="AK163" s="79">
        <v>0</v>
      </c>
      <c r="BB163" s="230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55"/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6"/>
      <c r="P164" s="652" t="s">
        <v>40</v>
      </c>
      <c r="Q164" s="653"/>
      <c r="R164" s="653"/>
      <c r="S164" s="653"/>
      <c r="T164" s="653"/>
      <c r="U164" s="653"/>
      <c r="V164" s="654"/>
      <c r="W164" s="40" t="s">
        <v>39</v>
      </c>
      <c r="X164" s="41">
        <f>IFERROR(X161/H161,"0")+IFERROR(X162/H162,"0")+IFERROR(X163/H163,"0")</f>
        <v>0</v>
      </c>
      <c r="Y164" s="41">
        <f>IFERROR(Y161/H161,"0")+IFERROR(Y162/H162,"0")+IFERROR(Y163/H163,"0")</f>
        <v>0</v>
      </c>
      <c r="Z164" s="41">
        <f>IFERROR(IF(Z161="",0,Z161),"0")+IFERROR(IF(Z162="",0,Z162),"0")+IFERROR(IF(Z163="",0,Z163),"0")</f>
        <v>0</v>
      </c>
      <c r="AA164" s="64"/>
      <c r="AB164" s="64"/>
      <c r="AC164" s="64"/>
    </row>
    <row r="165" spans="1:68" hidden="1" x14ac:dyDescent="0.2">
      <c r="A165" s="655"/>
      <c r="B165" s="655"/>
      <c r="C165" s="655"/>
      <c r="D165" s="655"/>
      <c r="E165" s="655"/>
      <c r="F165" s="655"/>
      <c r="G165" s="655"/>
      <c r="H165" s="655"/>
      <c r="I165" s="655"/>
      <c r="J165" s="655"/>
      <c r="K165" s="655"/>
      <c r="L165" s="655"/>
      <c r="M165" s="655"/>
      <c r="N165" s="655"/>
      <c r="O165" s="656"/>
      <c r="P165" s="652" t="s">
        <v>40</v>
      </c>
      <c r="Q165" s="653"/>
      <c r="R165" s="653"/>
      <c r="S165" s="653"/>
      <c r="T165" s="653"/>
      <c r="U165" s="653"/>
      <c r="V165" s="654"/>
      <c r="W165" s="40" t="s">
        <v>0</v>
      </c>
      <c r="X165" s="41">
        <f>IFERROR(SUM(X161:X163),"0")</f>
        <v>0</v>
      </c>
      <c r="Y165" s="41">
        <f>IFERROR(SUM(Y161:Y163),"0")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62" t="s">
        <v>156</v>
      </c>
      <c r="B166" s="662"/>
      <c r="C166" s="662"/>
      <c r="D166" s="662"/>
      <c r="E166" s="662"/>
      <c r="F166" s="662"/>
      <c r="G166" s="662"/>
      <c r="H166" s="662"/>
      <c r="I166" s="662"/>
      <c r="J166" s="662"/>
      <c r="K166" s="662"/>
      <c r="L166" s="662"/>
      <c r="M166" s="662"/>
      <c r="N166" s="662"/>
      <c r="O166" s="662"/>
      <c r="P166" s="662"/>
      <c r="Q166" s="662"/>
      <c r="R166" s="662"/>
      <c r="S166" s="662"/>
      <c r="T166" s="662"/>
      <c r="U166" s="662"/>
      <c r="V166" s="662"/>
      <c r="W166" s="662"/>
      <c r="X166" s="662"/>
      <c r="Y166" s="662"/>
      <c r="Z166" s="662"/>
      <c r="AA166" s="63"/>
      <c r="AB166" s="63"/>
      <c r="AC166" s="63"/>
    </row>
    <row r="167" spans="1:68" ht="16.5" hidden="1" customHeight="1" x14ac:dyDescent="0.25">
      <c r="A167" s="60" t="s">
        <v>290</v>
      </c>
      <c r="B167" s="60" t="s">
        <v>291</v>
      </c>
      <c r="C167" s="34">
        <v>4301020410</v>
      </c>
      <c r="D167" s="648">
        <v>4680115887695</v>
      </c>
      <c r="E167" s="648"/>
      <c r="F167" s="59">
        <v>0.12</v>
      </c>
      <c r="G167" s="35">
        <v>6</v>
      </c>
      <c r="H167" s="59">
        <v>0.72</v>
      </c>
      <c r="I167" s="59">
        <v>0.85</v>
      </c>
      <c r="J167" s="35">
        <v>252</v>
      </c>
      <c r="K167" s="35" t="s">
        <v>81</v>
      </c>
      <c r="L167" s="35" t="s">
        <v>46</v>
      </c>
      <c r="M167" s="36" t="s">
        <v>80</v>
      </c>
      <c r="N167" s="36"/>
      <c r="O167" s="35">
        <v>30</v>
      </c>
      <c r="P167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50"/>
      <c r="R167" s="650"/>
      <c r="S167" s="650"/>
      <c r="T167" s="651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IFERROR(IF(Y167=0,"",ROUNDUP(Y167/H167,0)*0.00556),"")</f>
        <v/>
      </c>
      <c r="AA167" s="65" t="s">
        <v>46</v>
      </c>
      <c r="AB167" s="66" t="s">
        <v>46</v>
      </c>
      <c r="AC167" s="231" t="s">
        <v>292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16.5" hidden="1" customHeight="1" x14ac:dyDescent="0.25">
      <c r="A168" s="60" t="s">
        <v>293</v>
      </c>
      <c r="B168" s="60" t="s">
        <v>294</v>
      </c>
      <c r="C168" s="34">
        <v>4301020439</v>
      </c>
      <c r="D168" s="648">
        <v>4680115889491</v>
      </c>
      <c r="E168" s="648"/>
      <c r="F168" s="59">
        <v>0.3</v>
      </c>
      <c r="G168" s="35">
        <v>8</v>
      </c>
      <c r="H168" s="59">
        <v>2.4</v>
      </c>
      <c r="I168" s="59">
        <v>2.5</v>
      </c>
      <c r="J168" s="35">
        <v>234</v>
      </c>
      <c r="K168" s="35" t="s">
        <v>81</v>
      </c>
      <c r="L168" s="35" t="s">
        <v>46</v>
      </c>
      <c r="M168" s="36" t="s">
        <v>125</v>
      </c>
      <c r="N168" s="36"/>
      <c r="O168" s="35">
        <v>55</v>
      </c>
      <c r="P168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50"/>
      <c r="R168" s="650"/>
      <c r="S168" s="650"/>
      <c r="T168" s="651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IFERROR(IF(Y168=0,"",ROUNDUP(Y168/H168,0)*0.00502),"")</f>
        <v/>
      </c>
      <c r="AA168" s="65" t="s">
        <v>46</v>
      </c>
      <c r="AB168" s="66" t="s">
        <v>46</v>
      </c>
      <c r="AC168" s="233" t="s">
        <v>295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55"/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6"/>
      <c r="P169" s="652" t="s">
        <v>40</v>
      </c>
      <c r="Q169" s="653"/>
      <c r="R169" s="653"/>
      <c r="S169" s="653"/>
      <c r="T169" s="653"/>
      <c r="U169" s="653"/>
      <c r="V169" s="654"/>
      <c r="W169" s="40" t="s">
        <v>39</v>
      </c>
      <c r="X169" s="41">
        <f>IFERROR(X167/H167,"0")+IFERROR(X168/H168,"0")</f>
        <v>0</v>
      </c>
      <c r="Y169" s="41">
        <f>IFERROR(Y167/H167,"0")+IFERROR(Y168/H168,"0")</f>
        <v>0</v>
      </c>
      <c r="Z169" s="41">
        <f>IFERROR(IF(Z167="",0,Z167),"0")+IFERROR(IF(Z168="",0,Z168),"0")</f>
        <v>0</v>
      </c>
      <c r="AA169" s="64"/>
      <c r="AB169" s="64"/>
      <c r="AC169" s="64"/>
    </row>
    <row r="170" spans="1:68" hidden="1" x14ac:dyDescent="0.2">
      <c r="A170" s="655"/>
      <c r="B170" s="655"/>
      <c r="C170" s="655"/>
      <c r="D170" s="655"/>
      <c r="E170" s="655"/>
      <c r="F170" s="655"/>
      <c r="G170" s="655"/>
      <c r="H170" s="655"/>
      <c r="I170" s="655"/>
      <c r="J170" s="655"/>
      <c r="K170" s="655"/>
      <c r="L170" s="655"/>
      <c r="M170" s="655"/>
      <c r="N170" s="655"/>
      <c r="O170" s="656"/>
      <c r="P170" s="652" t="s">
        <v>40</v>
      </c>
      <c r="Q170" s="653"/>
      <c r="R170" s="653"/>
      <c r="S170" s="653"/>
      <c r="T170" s="653"/>
      <c r="U170" s="653"/>
      <c r="V170" s="654"/>
      <c r="W170" s="40" t="s">
        <v>0</v>
      </c>
      <c r="X170" s="41">
        <f>IFERROR(SUM(X167:X168),"0")</f>
        <v>0</v>
      </c>
      <c r="Y170" s="41">
        <f>IFERROR(SUM(Y167:Y168),"0")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62" t="s">
        <v>76</v>
      </c>
      <c r="B171" s="662"/>
      <c r="C171" s="662"/>
      <c r="D171" s="662"/>
      <c r="E171" s="662"/>
      <c r="F171" s="662"/>
      <c r="G171" s="662"/>
      <c r="H171" s="662"/>
      <c r="I171" s="662"/>
      <c r="J171" s="662"/>
      <c r="K171" s="662"/>
      <c r="L171" s="662"/>
      <c r="M171" s="662"/>
      <c r="N171" s="662"/>
      <c r="O171" s="662"/>
      <c r="P171" s="662"/>
      <c r="Q171" s="662"/>
      <c r="R171" s="662"/>
      <c r="S171" s="662"/>
      <c r="T171" s="662"/>
      <c r="U171" s="662"/>
      <c r="V171" s="662"/>
      <c r="W171" s="662"/>
      <c r="X171" s="662"/>
      <c r="Y171" s="662"/>
      <c r="Z171" s="662"/>
      <c r="AA171" s="63"/>
      <c r="AB171" s="63"/>
      <c r="AC171" s="63"/>
    </row>
    <row r="172" spans="1:68" ht="27" hidden="1" customHeight="1" x14ac:dyDescent="0.25">
      <c r="A172" s="60" t="s">
        <v>296</v>
      </c>
      <c r="B172" s="60" t="s">
        <v>297</v>
      </c>
      <c r="C172" s="34">
        <v>4301031496</v>
      </c>
      <c r="D172" s="648">
        <v>4680115887428</v>
      </c>
      <c r="E172" s="648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133</v>
      </c>
      <c r="L172" s="35" t="s">
        <v>46</v>
      </c>
      <c r="M172" s="36" t="s">
        <v>80</v>
      </c>
      <c r="N172" s="36"/>
      <c r="O172" s="35">
        <v>40</v>
      </c>
      <c r="P172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50"/>
      <c r="R172" s="650"/>
      <c r="S172" s="650"/>
      <c r="T172" s="651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ref="Y172:Y183" si="21"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298</v>
      </c>
      <c r="AG172" s="75"/>
      <c r="AJ172" s="79" t="s">
        <v>46</v>
      </c>
      <c r="AK172" s="79">
        <v>0</v>
      </c>
      <c r="BB172" s="236" t="s">
        <v>66</v>
      </c>
      <c r="BM172" s="75">
        <f t="shared" ref="BM172:BM183" si="22">IFERROR(X172*I172/H172,"0")</f>
        <v>0</v>
      </c>
      <c r="BN172" s="75">
        <f t="shared" ref="BN172:BN183" si="23">IFERROR(Y172*I172/H172,"0")</f>
        <v>0</v>
      </c>
      <c r="BO172" s="75">
        <f t="shared" ref="BO172:BO183" si="24">IFERROR(1/J172*(X172/H172),"0")</f>
        <v>0</v>
      </c>
      <c r="BP172" s="75">
        <f t="shared" ref="BP172:BP183" si="25">IFERROR(1/J172*(Y172/H172),"0")</f>
        <v>0</v>
      </c>
    </row>
    <row r="173" spans="1:68" ht="27" hidden="1" customHeight="1" x14ac:dyDescent="0.25">
      <c r="A173" s="60" t="s">
        <v>299</v>
      </c>
      <c r="B173" s="60" t="s">
        <v>300</v>
      </c>
      <c r="C173" s="34">
        <v>4301031509</v>
      </c>
      <c r="D173" s="648">
        <v>4680115889170</v>
      </c>
      <c r="E173" s="648"/>
      <c r="F173" s="59">
        <v>0.7</v>
      </c>
      <c r="G173" s="35">
        <v>5</v>
      </c>
      <c r="H173" s="59">
        <v>3.5</v>
      </c>
      <c r="I173" s="59">
        <v>3.7650000000000001</v>
      </c>
      <c r="J173" s="35">
        <v>132</v>
      </c>
      <c r="K173" s="35" t="s">
        <v>133</v>
      </c>
      <c r="L173" s="35" t="s">
        <v>46</v>
      </c>
      <c r="M173" s="36" t="s">
        <v>80</v>
      </c>
      <c r="N173" s="36"/>
      <c r="O173" s="35">
        <v>45</v>
      </c>
      <c r="P173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50"/>
      <c r="R173" s="650"/>
      <c r="S173" s="650"/>
      <c r="T173" s="651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21"/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301</v>
      </c>
      <c r="AG173" s="75"/>
      <c r="AJ173" s="79" t="s">
        <v>46</v>
      </c>
      <c r="AK173" s="79">
        <v>0</v>
      </c>
      <c r="BB173" s="238" t="s">
        <v>66</v>
      </c>
      <c r="BM173" s="75">
        <f t="shared" si="22"/>
        <v>0</v>
      </c>
      <c r="BN173" s="75">
        <f t="shared" si="23"/>
        <v>0</v>
      </c>
      <c r="BO173" s="75">
        <f t="shared" si="24"/>
        <v>0</v>
      </c>
      <c r="BP173" s="75">
        <f t="shared" si="25"/>
        <v>0</v>
      </c>
    </row>
    <row r="174" spans="1:68" ht="27" hidden="1" customHeight="1" x14ac:dyDescent="0.25">
      <c r="A174" s="60" t="s">
        <v>302</v>
      </c>
      <c r="B174" s="60" t="s">
        <v>303</v>
      </c>
      <c r="C174" s="34">
        <v>4301031498</v>
      </c>
      <c r="D174" s="648">
        <v>4680115887398</v>
      </c>
      <c r="E174" s="648"/>
      <c r="F174" s="59">
        <v>0.7</v>
      </c>
      <c r="G174" s="35">
        <v>5</v>
      </c>
      <c r="H174" s="59">
        <v>3.5</v>
      </c>
      <c r="I174" s="59">
        <v>3.69</v>
      </c>
      <c r="J174" s="35">
        <v>132</v>
      </c>
      <c r="K174" s="35" t="s">
        <v>133</v>
      </c>
      <c r="L174" s="35" t="s">
        <v>46</v>
      </c>
      <c r="M174" s="36" t="s">
        <v>80</v>
      </c>
      <c r="N174" s="36"/>
      <c r="O174" s="35">
        <v>40</v>
      </c>
      <c r="P174" s="85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50"/>
      <c r="R174" s="650"/>
      <c r="S174" s="650"/>
      <c r="T174" s="651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21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304</v>
      </c>
      <c r="AG174" s="75"/>
      <c r="AJ174" s="79" t="s">
        <v>46</v>
      </c>
      <c r="AK174" s="79">
        <v>0</v>
      </c>
      <c r="BB174" s="240" t="s">
        <v>66</v>
      </c>
      <c r="BM174" s="75">
        <f t="shared" si="22"/>
        <v>0</v>
      </c>
      <c r="BN174" s="75">
        <f t="shared" si="23"/>
        <v>0</v>
      </c>
      <c r="BO174" s="75">
        <f t="shared" si="24"/>
        <v>0</v>
      </c>
      <c r="BP174" s="75">
        <f t="shared" si="25"/>
        <v>0</v>
      </c>
    </row>
    <row r="175" spans="1:68" ht="27" hidden="1" customHeight="1" x14ac:dyDescent="0.25">
      <c r="A175" s="60" t="s">
        <v>302</v>
      </c>
      <c r="B175" s="60" t="s">
        <v>305</v>
      </c>
      <c r="C175" s="34">
        <v>4301031522</v>
      </c>
      <c r="D175" s="648">
        <v>4680115887398</v>
      </c>
      <c r="E175" s="64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133</v>
      </c>
      <c r="L175" s="35" t="s">
        <v>46</v>
      </c>
      <c r="M175" s="36" t="s">
        <v>80</v>
      </c>
      <c r="N175" s="36"/>
      <c r="O175" s="35">
        <v>45</v>
      </c>
      <c r="P175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0"/>
      <c r="R175" s="650"/>
      <c r="S175" s="650"/>
      <c r="T175" s="651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21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306</v>
      </c>
      <c r="AG175" s="75"/>
      <c r="AJ175" s="79" t="s">
        <v>46</v>
      </c>
      <c r="AK175" s="79">
        <v>0</v>
      </c>
      <c r="BB175" s="242" t="s">
        <v>66</v>
      </c>
      <c r="BM175" s="75">
        <f t="shared" si="22"/>
        <v>0</v>
      </c>
      <c r="BN175" s="75">
        <f t="shared" si="23"/>
        <v>0</v>
      </c>
      <c r="BO175" s="75">
        <f t="shared" si="24"/>
        <v>0</v>
      </c>
      <c r="BP175" s="75">
        <f t="shared" si="25"/>
        <v>0</v>
      </c>
    </row>
    <row r="176" spans="1:68" ht="27" hidden="1" customHeight="1" x14ac:dyDescent="0.25">
      <c r="A176" s="60" t="s">
        <v>307</v>
      </c>
      <c r="B176" s="60" t="s">
        <v>308</v>
      </c>
      <c r="C176" s="34">
        <v>4301031520</v>
      </c>
      <c r="D176" s="648">
        <v>4680115887336</v>
      </c>
      <c r="E176" s="648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133</v>
      </c>
      <c r="L176" s="35" t="s">
        <v>46</v>
      </c>
      <c r="M176" s="36" t="s">
        <v>80</v>
      </c>
      <c r="N176" s="36"/>
      <c r="O176" s="35">
        <v>45</v>
      </c>
      <c r="P176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50"/>
      <c r="R176" s="650"/>
      <c r="S176" s="650"/>
      <c r="T176" s="65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21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309</v>
      </c>
      <c r="AG176" s="75"/>
      <c r="AJ176" s="79" t="s">
        <v>46</v>
      </c>
      <c r="AK176" s="79">
        <v>0</v>
      </c>
      <c r="BB176" s="244" t="s">
        <v>66</v>
      </c>
      <c r="BM176" s="75">
        <f t="shared" si="22"/>
        <v>0</v>
      </c>
      <c r="BN176" s="75">
        <f t="shared" si="23"/>
        <v>0</v>
      </c>
      <c r="BO176" s="75">
        <f t="shared" si="24"/>
        <v>0</v>
      </c>
      <c r="BP176" s="75">
        <f t="shared" si="25"/>
        <v>0</v>
      </c>
    </row>
    <row r="177" spans="1:68" ht="16.5" hidden="1" customHeight="1" x14ac:dyDescent="0.25">
      <c r="A177" s="60" t="s">
        <v>310</v>
      </c>
      <c r="B177" s="60" t="s">
        <v>311</v>
      </c>
      <c r="C177" s="34">
        <v>4301032049</v>
      </c>
      <c r="D177" s="648">
        <v>4680115887787</v>
      </c>
      <c r="E177" s="648"/>
      <c r="F177" s="59">
        <v>0.09</v>
      </c>
      <c r="G177" s="35">
        <v>10</v>
      </c>
      <c r="H177" s="59">
        <v>0.9</v>
      </c>
      <c r="I177" s="59">
        <v>1.1100000000000001</v>
      </c>
      <c r="J177" s="35">
        <v>336</v>
      </c>
      <c r="K177" s="35" t="s">
        <v>130</v>
      </c>
      <c r="L177" s="35" t="s">
        <v>46</v>
      </c>
      <c r="M177" s="36" t="s">
        <v>80</v>
      </c>
      <c r="N177" s="36"/>
      <c r="O177" s="35">
        <v>45</v>
      </c>
      <c r="P177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50"/>
      <c r="R177" s="650"/>
      <c r="S177" s="650"/>
      <c r="T177" s="651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21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312</v>
      </c>
      <c r="AG177" s="75"/>
      <c r="AJ177" s="79" t="s">
        <v>46</v>
      </c>
      <c r="AK177" s="79">
        <v>0</v>
      </c>
      <c r="BB177" s="246" t="s">
        <v>66</v>
      </c>
      <c r="BM177" s="75">
        <f t="shared" si="22"/>
        <v>0</v>
      </c>
      <c r="BN177" s="75">
        <f t="shared" si="23"/>
        <v>0</v>
      </c>
      <c r="BO177" s="75">
        <f t="shared" si="24"/>
        <v>0</v>
      </c>
      <c r="BP177" s="75">
        <f t="shared" si="25"/>
        <v>0</v>
      </c>
    </row>
    <row r="178" spans="1:68" ht="16.5" hidden="1" customHeight="1" x14ac:dyDescent="0.25">
      <c r="A178" s="60" t="s">
        <v>310</v>
      </c>
      <c r="B178" s="60" t="s">
        <v>313</v>
      </c>
      <c r="C178" s="34">
        <v>4301031528</v>
      </c>
      <c r="D178" s="648">
        <v>4680115887787</v>
      </c>
      <c r="E178" s="648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192</v>
      </c>
      <c r="K178" s="35" t="s">
        <v>130</v>
      </c>
      <c r="L178" s="35" t="s">
        <v>46</v>
      </c>
      <c r="M178" s="36" t="s">
        <v>80</v>
      </c>
      <c r="N178" s="36"/>
      <c r="O178" s="35">
        <v>45</v>
      </c>
      <c r="P178" s="86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0"/>
      <c r="R178" s="650"/>
      <c r="S178" s="650"/>
      <c r="T178" s="65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21"/>
        <v>0</v>
      </c>
      <c r="Z178" s="39" t="str">
        <f>IFERROR(IF(Y178=0,"",ROUNDUP(Y178/H178,0)*0.00726),"")</f>
        <v/>
      </c>
      <c r="AA178" s="65" t="s">
        <v>46</v>
      </c>
      <c r="AB178" s="66" t="s">
        <v>46</v>
      </c>
      <c r="AC178" s="247" t="s">
        <v>312</v>
      </c>
      <c r="AG178" s="75"/>
      <c r="AJ178" s="79" t="s">
        <v>46</v>
      </c>
      <c r="AK178" s="79">
        <v>0</v>
      </c>
      <c r="BB178" s="248" t="s">
        <v>66</v>
      </c>
      <c r="BM178" s="75">
        <f t="shared" si="22"/>
        <v>0</v>
      </c>
      <c r="BN178" s="75">
        <f t="shared" si="23"/>
        <v>0</v>
      </c>
      <c r="BO178" s="75">
        <f t="shared" si="24"/>
        <v>0</v>
      </c>
      <c r="BP178" s="75">
        <f t="shared" si="25"/>
        <v>0</v>
      </c>
    </row>
    <row r="179" spans="1:68" ht="27" hidden="1" customHeight="1" x14ac:dyDescent="0.25">
      <c r="A179" s="60" t="s">
        <v>314</v>
      </c>
      <c r="B179" s="60" t="s">
        <v>315</v>
      </c>
      <c r="C179" s="34">
        <v>4301031448</v>
      </c>
      <c r="D179" s="648">
        <v>4680115887503</v>
      </c>
      <c r="E179" s="648"/>
      <c r="F179" s="59">
        <v>0.28000000000000003</v>
      </c>
      <c r="G179" s="35">
        <v>6</v>
      </c>
      <c r="H179" s="59">
        <v>1.68</v>
      </c>
      <c r="I179" s="59">
        <v>1.78</v>
      </c>
      <c r="J179" s="35">
        <v>234</v>
      </c>
      <c r="K179" s="35" t="s">
        <v>81</v>
      </c>
      <c r="L179" s="35" t="s">
        <v>46</v>
      </c>
      <c r="M179" s="36" t="s">
        <v>80</v>
      </c>
      <c r="N179" s="36"/>
      <c r="O179" s="35">
        <v>40</v>
      </c>
      <c r="P179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0"/>
      <c r="R179" s="650"/>
      <c r="S179" s="650"/>
      <c r="T179" s="651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21"/>
        <v>0</v>
      </c>
      <c r="Z179" s="39" t="str">
        <f>IFERROR(IF(Y179=0,"",ROUNDUP(Y179/H179,0)*0.00502),"")</f>
        <v/>
      </c>
      <c r="AA179" s="65" t="s">
        <v>46</v>
      </c>
      <c r="AB179" s="66" t="s">
        <v>46</v>
      </c>
      <c r="AC179" s="249" t="s">
        <v>298</v>
      </c>
      <c r="AG179" s="75"/>
      <c r="AJ179" s="79" t="s">
        <v>46</v>
      </c>
      <c r="AK179" s="79">
        <v>0</v>
      </c>
      <c r="BB179" s="250" t="s">
        <v>66</v>
      </c>
      <c r="BM179" s="75">
        <f t="shared" si="22"/>
        <v>0</v>
      </c>
      <c r="BN179" s="75">
        <f t="shared" si="23"/>
        <v>0</v>
      </c>
      <c r="BO179" s="75">
        <f t="shared" si="24"/>
        <v>0</v>
      </c>
      <c r="BP179" s="75">
        <f t="shared" si="25"/>
        <v>0</v>
      </c>
    </row>
    <row r="180" spans="1:68" ht="27" hidden="1" customHeight="1" x14ac:dyDescent="0.25">
      <c r="A180" s="60" t="s">
        <v>316</v>
      </c>
      <c r="B180" s="60" t="s">
        <v>317</v>
      </c>
      <c r="C180" s="34">
        <v>4301031389</v>
      </c>
      <c r="D180" s="648">
        <v>4680115887763</v>
      </c>
      <c r="E180" s="64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336</v>
      </c>
      <c r="K180" s="35" t="s">
        <v>130</v>
      </c>
      <c r="L180" s="35" t="s">
        <v>46</v>
      </c>
      <c r="M180" s="36" t="s">
        <v>80</v>
      </c>
      <c r="N180" s="36"/>
      <c r="O180" s="35">
        <v>45</v>
      </c>
      <c r="P180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0"/>
      <c r="R180" s="650"/>
      <c r="S180" s="650"/>
      <c r="T180" s="65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21"/>
        <v>0</v>
      </c>
      <c r="Z180" s="39" t="str">
        <f>IFERROR(IF(Y180=0,"",ROUNDUP(Y180/H180,0)*0.00417),"")</f>
        <v/>
      </c>
      <c r="AA180" s="65" t="s">
        <v>46</v>
      </c>
      <c r="AB180" s="66" t="s">
        <v>46</v>
      </c>
      <c r="AC180" s="251" t="s">
        <v>318</v>
      </c>
      <c r="AG180" s="75"/>
      <c r="AJ180" s="79" t="s">
        <v>46</v>
      </c>
      <c r="AK180" s="79">
        <v>0</v>
      </c>
      <c r="BB180" s="252" t="s">
        <v>66</v>
      </c>
      <c r="BM180" s="75">
        <f t="shared" si="22"/>
        <v>0</v>
      </c>
      <c r="BN180" s="75">
        <f t="shared" si="23"/>
        <v>0</v>
      </c>
      <c r="BO180" s="75">
        <f t="shared" si="24"/>
        <v>0</v>
      </c>
      <c r="BP180" s="75">
        <f t="shared" si="2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4301031521</v>
      </c>
      <c r="D181" s="648">
        <v>4680115887480</v>
      </c>
      <c r="E181" s="64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81</v>
      </c>
      <c r="L181" s="35" t="s">
        <v>46</v>
      </c>
      <c r="M181" s="36" t="s">
        <v>80</v>
      </c>
      <c r="N181" s="36"/>
      <c r="O181" s="35">
        <v>45</v>
      </c>
      <c r="P181" s="86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50"/>
      <c r="R181" s="650"/>
      <c r="S181" s="650"/>
      <c r="T181" s="651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1"/>
        <v>0</v>
      </c>
      <c r="Z181" s="39" t="str">
        <f>IFERROR(IF(Y181=0,"",ROUNDUP(Y181/H181,0)*0.00502),"")</f>
        <v/>
      </c>
      <c r="AA181" s="65" t="s">
        <v>46</v>
      </c>
      <c r="AB181" s="66" t="s">
        <v>46</v>
      </c>
      <c r="AC181" s="253" t="s">
        <v>306</v>
      </c>
      <c r="AG181" s="75"/>
      <c r="AJ181" s="79" t="s">
        <v>46</v>
      </c>
      <c r="AK181" s="79">
        <v>0</v>
      </c>
      <c r="BB181" s="254" t="s">
        <v>66</v>
      </c>
      <c r="BM181" s="75">
        <f t="shared" si="22"/>
        <v>0</v>
      </c>
      <c r="BN181" s="75">
        <f t="shared" si="23"/>
        <v>0</v>
      </c>
      <c r="BO181" s="75">
        <f t="shared" si="24"/>
        <v>0</v>
      </c>
      <c r="BP181" s="75">
        <f t="shared" si="25"/>
        <v>0</v>
      </c>
    </row>
    <row r="182" spans="1:68" ht="27" hidden="1" customHeight="1" x14ac:dyDescent="0.25">
      <c r="A182" s="60" t="s">
        <v>321</v>
      </c>
      <c r="B182" s="60" t="s">
        <v>322</v>
      </c>
      <c r="C182" s="34">
        <v>4301031434</v>
      </c>
      <c r="D182" s="648">
        <v>4680115888067</v>
      </c>
      <c r="E182" s="648"/>
      <c r="F182" s="59">
        <v>0.09</v>
      </c>
      <c r="G182" s="35">
        <v>10</v>
      </c>
      <c r="H182" s="59">
        <v>0.9</v>
      </c>
      <c r="I182" s="59">
        <v>1</v>
      </c>
      <c r="J182" s="35">
        <v>336</v>
      </c>
      <c r="K182" s="35" t="s">
        <v>130</v>
      </c>
      <c r="L182" s="35" t="s">
        <v>46</v>
      </c>
      <c r="M182" s="36" t="s">
        <v>80</v>
      </c>
      <c r="N182" s="36"/>
      <c r="O182" s="35">
        <v>45</v>
      </c>
      <c r="P182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50"/>
      <c r="R182" s="650"/>
      <c r="S182" s="650"/>
      <c r="T182" s="65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1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323</v>
      </c>
      <c r="AG182" s="75"/>
      <c r="AJ182" s="79" t="s">
        <v>46</v>
      </c>
      <c r="AK182" s="79">
        <v>0</v>
      </c>
      <c r="BB182" s="256" t="s">
        <v>66</v>
      </c>
      <c r="BM182" s="75">
        <f t="shared" si="22"/>
        <v>0</v>
      </c>
      <c r="BN182" s="75">
        <f t="shared" si="23"/>
        <v>0</v>
      </c>
      <c r="BO182" s="75">
        <f t="shared" si="24"/>
        <v>0</v>
      </c>
      <c r="BP182" s="75">
        <f t="shared" si="25"/>
        <v>0</v>
      </c>
    </row>
    <row r="183" spans="1:68" ht="27" hidden="1" customHeight="1" x14ac:dyDescent="0.25">
      <c r="A183" s="60" t="s">
        <v>324</v>
      </c>
      <c r="B183" s="60" t="s">
        <v>325</v>
      </c>
      <c r="C183" s="34">
        <v>4301031519</v>
      </c>
      <c r="D183" s="648">
        <v>4680115887435</v>
      </c>
      <c r="E183" s="64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81</v>
      </c>
      <c r="L183" s="35" t="s">
        <v>46</v>
      </c>
      <c r="M183" s="36" t="s">
        <v>80</v>
      </c>
      <c r="N183" s="36"/>
      <c r="O183" s="35">
        <v>45</v>
      </c>
      <c r="P183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50"/>
      <c r="R183" s="650"/>
      <c r="S183" s="650"/>
      <c r="T183" s="65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1"/>
        <v>0</v>
      </c>
      <c r="Z183" s="39" t="str">
        <f>IFERROR(IF(Y183=0,"",ROUNDUP(Y183/H183,0)*0.00502),"")</f>
        <v/>
      </c>
      <c r="AA183" s="65" t="s">
        <v>46</v>
      </c>
      <c r="AB183" s="66" t="s">
        <v>46</v>
      </c>
      <c r="AC183" s="257" t="s">
        <v>309</v>
      </c>
      <c r="AG183" s="75"/>
      <c r="AJ183" s="79" t="s">
        <v>46</v>
      </c>
      <c r="AK183" s="79">
        <v>0</v>
      </c>
      <c r="BB183" s="258" t="s">
        <v>66</v>
      </c>
      <c r="BM183" s="75">
        <f t="shared" si="22"/>
        <v>0</v>
      </c>
      <c r="BN183" s="75">
        <f t="shared" si="23"/>
        <v>0</v>
      </c>
      <c r="BO183" s="75">
        <f t="shared" si="24"/>
        <v>0</v>
      </c>
      <c r="BP183" s="75">
        <f t="shared" si="25"/>
        <v>0</v>
      </c>
    </row>
    <row r="184" spans="1:68" hidden="1" x14ac:dyDescent="0.2">
      <c r="A184" s="655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2" t="s">
        <v>40</v>
      </c>
      <c r="Q184" s="653"/>
      <c r="R184" s="653"/>
      <c r="S184" s="653"/>
      <c r="T184" s="653"/>
      <c r="U184" s="653"/>
      <c r="V184" s="654"/>
      <c r="W184" s="40" t="s">
        <v>39</v>
      </c>
      <c r="X184" s="41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0</v>
      </c>
      <c r="Y184" s="41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0</v>
      </c>
      <c r="Z184" s="41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2" t="s">
        <v>40</v>
      </c>
      <c r="Q185" s="653"/>
      <c r="R185" s="653"/>
      <c r="S185" s="653"/>
      <c r="T185" s="653"/>
      <c r="U185" s="653"/>
      <c r="V185" s="654"/>
      <c r="W185" s="40" t="s">
        <v>0</v>
      </c>
      <c r="X185" s="41">
        <f>IFERROR(SUM(X172:X183),"0")</f>
        <v>0</v>
      </c>
      <c r="Y185" s="41">
        <f>IFERROR(SUM(Y172:Y183),"0")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62" t="s">
        <v>85</v>
      </c>
      <c r="B186" s="662"/>
      <c r="C186" s="662"/>
      <c r="D186" s="662"/>
      <c r="E186" s="662"/>
      <c r="F186" s="662"/>
      <c r="G186" s="662"/>
      <c r="H186" s="662"/>
      <c r="I186" s="662"/>
      <c r="J186" s="662"/>
      <c r="K186" s="662"/>
      <c r="L186" s="662"/>
      <c r="M186" s="662"/>
      <c r="N186" s="662"/>
      <c r="O186" s="662"/>
      <c r="P186" s="662"/>
      <c r="Q186" s="662"/>
      <c r="R186" s="662"/>
      <c r="S186" s="662"/>
      <c r="T186" s="662"/>
      <c r="U186" s="662"/>
      <c r="V186" s="662"/>
      <c r="W186" s="662"/>
      <c r="X186" s="662"/>
      <c r="Y186" s="662"/>
      <c r="Z186" s="662"/>
      <c r="AA186" s="63"/>
      <c r="AB186" s="63"/>
      <c r="AC186" s="63"/>
    </row>
    <row r="187" spans="1:68" ht="16.5" hidden="1" customHeight="1" x14ac:dyDescent="0.25">
      <c r="A187" s="60" t="s">
        <v>326</v>
      </c>
      <c r="B187" s="60" t="s">
        <v>327</v>
      </c>
      <c r="C187" s="34">
        <v>4301052193</v>
      </c>
      <c r="D187" s="648">
        <v>4680115888395</v>
      </c>
      <c r="E187" s="648"/>
      <c r="F187" s="59">
        <v>0.42</v>
      </c>
      <c r="G187" s="35">
        <v>6</v>
      </c>
      <c r="H187" s="59">
        <v>2.52</v>
      </c>
      <c r="I187" s="59">
        <v>2.766</v>
      </c>
      <c r="J187" s="35">
        <v>182</v>
      </c>
      <c r="K187" s="35" t="s">
        <v>90</v>
      </c>
      <c r="L187" s="35" t="s">
        <v>46</v>
      </c>
      <c r="M187" s="36" t="s">
        <v>96</v>
      </c>
      <c r="N187" s="36"/>
      <c r="O187" s="35">
        <v>40</v>
      </c>
      <c r="P187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50"/>
      <c r="R187" s="650"/>
      <c r="S187" s="650"/>
      <c r="T187" s="651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IFERROR(IF(Y187=0,"",ROUNDUP(Y187/H187,0)*0.00651),"")</f>
        <v/>
      </c>
      <c r="AA187" s="65" t="s">
        <v>46</v>
      </c>
      <c r="AB187" s="66" t="s">
        <v>46</v>
      </c>
      <c r="AC187" s="259" t="s">
        <v>328</v>
      </c>
      <c r="AG187" s="75"/>
      <c r="AJ187" s="79" t="s">
        <v>46</v>
      </c>
      <c r="AK187" s="79">
        <v>0</v>
      </c>
      <c r="BB187" s="26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16.5" hidden="1" customHeight="1" x14ac:dyDescent="0.25">
      <c r="A188" s="60" t="s">
        <v>329</v>
      </c>
      <c r="B188" s="60" t="s">
        <v>330</v>
      </c>
      <c r="C188" s="34">
        <v>4301052191</v>
      </c>
      <c r="D188" s="648">
        <v>4680115888371</v>
      </c>
      <c r="E188" s="648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90</v>
      </c>
      <c r="L188" s="35" t="s">
        <v>46</v>
      </c>
      <c r="M188" s="36" t="s">
        <v>96</v>
      </c>
      <c r="N188" s="36"/>
      <c r="O188" s="35">
        <v>40</v>
      </c>
      <c r="P188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50"/>
      <c r="R188" s="650"/>
      <c r="S188" s="650"/>
      <c r="T188" s="651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331</v>
      </c>
      <c r="AG188" s="75"/>
      <c r="AJ188" s="79" t="s">
        <v>46</v>
      </c>
      <c r="AK188" s="79">
        <v>0</v>
      </c>
      <c r="BB188" s="262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27" hidden="1" customHeight="1" x14ac:dyDescent="0.25">
      <c r="A189" s="60" t="s">
        <v>332</v>
      </c>
      <c r="B189" s="60" t="s">
        <v>333</v>
      </c>
      <c r="C189" s="34">
        <v>4301052064</v>
      </c>
      <c r="D189" s="648">
        <v>4680115887459</v>
      </c>
      <c r="E189" s="648"/>
      <c r="F189" s="59">
        <v>0.3</v>
      </c>
      <c r="G189" s="35">
        <v>6</v>
      </c>
      <c r="H189" s="59">
        <v>1.8</v>
      </c>
      <c r="I189" s="59">
        <v>2.0579999999999998</v>
      </c>
      <c r="J189" s="35">
        <v>182</v>
      </c>
      <c r="K189" s="35" t="s">
        <v>90</v>
      </c>
      <c r="L189" s="35" t="s">
        <v>46</v>
      </c>
      <c r="M189" s="36" t="s">
        <v>89</v>
      </c>
      <c r="N189" s="36"/>
      <c r="O189" s="35">
        <v>45</v>
      </c>
      <c r="P189" s="8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50"/>
      <c r="R189" s="650"/>
      <c r="S189" s="650"/>
      <c r="T189" s="65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334</v>
      </c>
      <c r="AG189" s="75"/>
      <c r="AJ189" s="79" t="s">
        <v>46</v>
      </c>
      <c r="AK189" s="79">
        <v>0</v>
      </c>
      <c r="BB189" s="264" t="s">
        <v>66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idden="1" x14ac:dyDescent="0.2">
      <c r="A190" s="655"/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6"/>
      <c r="P190" s="652" t="s">
        <v>40</v>
      </c>
      <c r="Q190" s="653"/>
      <c r="R190" s="653"/>
      <c r="S190" s="653"/>
      <c r="T190" s="653"/>
      <c r="U190" s="653"/>
      <c r="V190" s="654"/>
      <c r="W190" s="40" t="s">
        <v>39</v>
      </c>
      <c r="X190" s="41">
        <f>IFERROR(X187/H187,"0")+IFERROR(X188/H188,"0")+IFERROR(X189/H189,"0")</f>
        <v>0</v>
      </c>
      <c r="Y190" s="41">
        <f>IFERROR(Y187/H187,"0")+IFERROR(Y188/H188,"0")+IFERROR(Y189/H189,"0")</f>
        <v>0</v>
      </c>
      <c r="Z190" s="41">
        <f>IFERROR(IF(Z187="",0,Z187),"0")+IFERROR(IF(Z188="",0,Z188),"0")+IFERROR(IF(Z189="",0,Z189),"0")</f>
        <v>0</v>
      </c>
      <c r="AA190" s="64"/>
      <c r="AB190" s="64"/>
      <c r="AC190" s="64"/>
    </row>
    <row r="191" spans="1:68" hidden="1" x14ac:dyDescent="0.2">
      <c r="A191" s="655"/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6"/>
      <c r="P191" s="652" t="s">
        <v>40</v>
      </c>
      <c r="Q191" s="653"/>
      <c r="R191" s="653"/>
      <c r="S191" s="653"/>
      <c r="T191" s="653"/>
      <c r="U191" s="653"/>
      <c r="V191" s="654"/>
      <c r="W191" s="40" t="s">
        <v>0</v>
      </c>
      <c r="X191" s="41">
        <f>IFERROR(SUM(X187:X189),"0")</f>
        <v>0</v>
      </c>
      <c r="Y191" s="41">
        <f>IFERROR(SUM(Y187:Y189),"0")</f>
        <v>0</v>
      </c>
      <c r="Z191" s="40"/>
      <c r="AA191" s="64"/>
      <c r="AB191" s="64"/>
      <c r="AC191" s="64"/>
    </row>
    <row r="192" spans="1:68" ht="14.25" hidden="1" customHeight="1" x14ac:dyDescent="0.25">
      <c r="A192" s="662" t="s">
        <v>274</v>
      </c>
      <c r="B192" s="662"/>
      <c r="C192" s="662"/>
      <c r="D192" s="662"/>
      <c r="E192" s="662"/>
      <c r="F192" s="662"/>
      <c r="G192" s="662"/>
      <c r="H192" s="662"/>
      <c r="I192" s="662"/>
      <c r="J192" s="662"/>
      <c r="K192" s="662"/>
      <c r="L192" s="662"/>
      <c r="M192" s="662"/>
      <c r="N192" s="662"/>
      <c r="O192" s="662"/>
      <c r="P192" s="662"/>
      <c r="Q192" s="662"/>
      <c r="R192" s="662"/>
      <c r="S192" s="662"/>
      <c r="T192" s="662"/>
      <c r="U192" s="662"/>
      <c r="V192" s="662"/>
      <c r="W192" s="662"/>
      <c r="X192" s="662"/>
      <c r="Y192" s="662"/>
      <c r="Z192" s="662"/>
      <c r="AA192" s="63"/>
      <c r="AB192" s="63"/>
      <c r="AC192" s="63"/>
    </row>
    <row r="193" spans="1:68" ht="16.5" hidden="1" customHeight="1" x14ac:dyDescent="0.25">
      <c r="A193" s="60" t="s">
        <v>335</v>
      </c>
      <c r="B193" s="60" t="s">
        <v>336</v>
      </c>
      <c r="C193" s="34">
        <v>4301032058</v>
      </c>
      <c r="D193" s="648">
        <v>4680115889026</v>
      </c>
      <c r="E193" s="648"/>
      <c r="F193" s="59">
        <v>0.06</v>
      </c>
      <c r="G193" s="35">
        <v>18</v>
      </c>
      <c r="H193" s="59">
        <v>1.08</v>
      </c>
      <c r="I193" s="59">
        <v>1.36</v>
      </c>
      <c r="J193" s="35">
        <v>216</v>
      </c>
      <c r="K193" s="35" t="s">
        <v>338</v>
      </c>
      <c r="L193" s="35" t="s">
        <v>46</v>
      </c>
      <c r="M193" s="36" t="s">
        <v>279</v>
      </c>
      <c r="N193" s="36"/>
      <c r="O193" s="35">
        <v>60</v>
      </c>
      <c r="P193" s="8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50"/>
      <c r="R193" s="650"/>
      <c r="S193" s="650"/>
      <c r="T193" s="651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IFERROR(IF(Y193=0,"",ROUNDUP(Y193/H193,0)*0.0059),"")</f>
        <v/>
      </c>
      <c r="AA193" s="65" t="s">
        <v>46</v>
      </c>
      <c r="AB193" s="66" t="s">
        <v>46</v>
      </c>
      <c r="AC193" s="265" t="s">
        <v>337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55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2" t="s">
        <v>40</v>
      </c>
      <c r="Q194" s="653"/>
      <c r="R194" s="653"/>
      <c r="S194" s="653"/>
      <c r="T194" s="653"/>
      <c r="U194" s="653"/>
      <c r="V194" s="654"/>
      <c r="W194" s="40" t="s">
        <v>39</v>
      </c>
      <c r="X194" s="41">
        <f>IFERROR(X193/H193,"0")</f>
        <v>0</v>
      </c>
      <c r="Y194" s="41">
        <f>IFERROR(Y193/H193,"0")</f>
        <v>0</v>
      </c>
      <c r="Z194" s="41">
        <f>IFERROR(IF(Z193="",0,Z193),"0")</f>
        <v>0</v>
      </c>
      <c r="AA194" s="64"/>
      <c r="AB194" s="64"/>
      <c r="AC194" s="64"/>
    </row>
    <row r="195" spans="1:68" hidden="1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2" t="s">
        <v>40</v>
      </c>
      <c r="Q195" s="653"/>
      <c r="R195" s="653"/>
      <c r="S195" s="653"/>
      <c r="T195" s="653"/>
      <c r="U195" s="653"/>
      <c r="V195" s="654"/>
      <c r="W195" s="40" t="s">
        <v>0</v>
      </c>
      <c r="X195" s="41">
        <f>IFERROR(SUM(X193:X193),"0")</f>
        <v>0</v>
      </c>
      <c r="Y195" s="41">
        <f>IFERROR(SUM(Y193:Y193),"0")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62" t="s">
        <v>339</v>
      </c>
      <c r="B196" s="662"/>
      <c r="C196" s="662"/>
      <c r="D196" s="662"/>
      <c r="E196" s="662"/>
      <c r="F196" s="662"/>
      <c r="G196" s="662"/>
      <c r="H196" s="662"/>
      <c r="I196" s="662"/>
      <c r="J196" s="662"/>
      <c r="K196" s="662"/>
      <c r="L196" s="662"/>
      <c r="M196" s="662"/>
      <c r="N196" s="662"/>
      <c r="O196" s="662"/>
      <c r="P196" s="662"/>
      <c r="Q196" s="662"/>
      <c r="R196" s="662"/>
      <c r="S196" s="662"/>
      <c r="T196" s="662"/>
      <c r="U196" s="662"/>
      <c r="V196" s="662"/>
      <c r="W196" s="662"/>
      <c r="X196" s="662"/>
      <c r="Y196" s="662"/>
      <c r="Z196" s="662"/>
      <c r="AA196" s="63"/>
      <c r="AB196" s="63"/>
      <c r="AC196" s="63"/>
    </row>
    <row r="197" spans="1:68" ht="27" hidden="1" customHeight="1" x14ac:dyDescent="0.25">
      <c r="A197" s="60" t="s">
        <v>340</v>
      </c>
      <c r="B197" s="60" t="s">
        <v>341</v>
      </c>
      <c r="C197" s="34">
        <v>4301041009</v>
      </c>
      <c r="D197" s="648">
        <v>4680115889033</v>
      </c>
      <c r="E197" s="648"/>
      <c r="F197" s="59">
        <v>0.11</v>
      </c>
      <c r="G197" s="35">
        <v>15</v>
      </c>
      <c r="H197" s="59">
        <v>1.65</v>
      </c>
      <c r="I197" s="59">
        <v>1.9</v>
      </c>
      <c r="J197" s="35">
        <v>216</v>
      </c>
      <c r="K197" s="35" t="s">
        <v>338</v>
      </c>
      <c r="L197" s="35" t="s">
        <v>46</v>
      </c>
      <c r="M197" s="36" t="s">
        <v>279</v>
      </c>
      <c r="N197" s="36"/>
      <c r="O197" s="35">
        <v>60</v>
      </c>
      <c r="P197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50"/>
      <c r="R197" s="650"/>
      <c r="S197" s="650"/>
      <c r="T197" s="651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342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2" t="s">
        <v>40</v>
      </c>
      <c r="Q198" s="653"/>
      <c r="R198" s="653"/>
      <c r="S198" s="653"/>
      <c r="T198" s="653"/>
      <c r="U198" s="653"/>
      <c r="V198" s="654"/>
      <c r="W198" s="40" t="s">
        <v>39</v>
      </c>
      <c r="X198" s="41">
        <f>IFERROR(X197/H197,"0")</f>
        <v>0</v>
      </c>
      <c r="Y198" s="41">
        <f>IFERROR(Y197/H197,"0")</f>
        <v>0</v>
      </c>
      <c r="Z198" s="41">
        <f>IFERROR(IF(Z197="",0,Z197),"0")</f>
        <v>0</v>
      </c>
      <c r="AA198" s="64"/>
      <c r="AB198" s="64"/>
      <c r="AC198" s="64"/>
    </row>
    <row r="199" spans="1:68" hidden="1" x14ac:dyDescent="0.2">
      <c r="A199" s="655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2" t="s">
        <v>40</v>
      </c>
      <c r="Q199" s="653"/>
      <c r="R199" s="653"/>
      <c r="S199" s="653"/>
      <c r="T199" s="653"/>
      <c r="U199" s="653"/>
      <c r="V199" s="654"/>
      <c r="W199" s="40" t="s">
        <v>0</v>
      </c>
      <c r="X199" s="41">
        <f>IFERROR(SUM(X197:X197),"0")</f>
        <v>0</v>
      </c>
      <c r="Y199" s="41">
        <f>IFERROR(SUM(Y197:Y197),"0")</f>
        <v>0</v>
      </c>
      <c r="Z199" s="40"/>
      <c r="AA199" s="64"/>
      <c r="AB199" s="64"/>
      <c r="AC199" s="64"/>
    </row>
    <row r="200" spans="1:68" ht="27.75" hidden="1" customHeight="1" x14ac:dyDescent="0.2">
      <c r="A200" s="677" t="s">
        <v>343</v>
      </c>
      <c r="B200" s="677"/>
      <c r="C200" s="677"/>
      <c r="D200" s="677"/>
      <c r="E200" s="677"/>
      <c r="F200" s="677"/>
      <c r="G200" s="677"/>
      <c r="H200" s="677"/>
      <c r="I200" s="677"/>
      <c r="J200" s="677"/>
      <c r="K200" s="677"/>
      <c r="L200" s="677"/>
      <c r="M200" s="677"/>
      <c r="N200" s="677"/>
      <c r="O200" s="677"/>
      <c r="P200" s="677"/>
      <c r="Q200" s="677"/>
      <c r="R200" s="677"/>
      <c r="S200" s="677"/>
      <c r="T200" s="677"/>
      <c r="U200" s="677"/>
      <c r="V200" s="677"/>
      <c r="W200" s="677"/>
      <c r="X200" s="677"/>
      <c r="Y200" s="677"/>
      <c r="Z200" s="677"/>
      <c r="AA200" s="52"/>
      <c r="AB200" s="52"/>
      <c r="AC200" s="52"/>
    </row>
    <row r="201" spans="1:68" ht="16.5" hidden="1" customHeight="1" x14ac:dyDescent="0.25">
      <c r="A201" s="666" t="s">
        <v>344</v>
      </c>
      <c r="B201" s="666"/>
      <c r="C201" s="666"/>
      <c r="D201" s="666"/>
      <c r="E201" s="666"/>
      <c r="F201" s="666"/>
      <c r="G201" s="666"/>
      <c r="H201" s="666"/>
      <c r="I201" s="666"/>
      <c r="J201" s="666"/>
      <c r="K201" s="666"/>
      <c r="L201" s="666"/>
      <c r="M201" s="666"/>
      <c r="N201" s="666"/>
      <c r="O201" s="666"/>
      <c r="P201" s="666"/>
      <c r="Q201" s="666"/>
      <c r="R201" s="666"/>
      <c r="S201" s="666"/>
      <c r="T201" s="666"/>
      <c r="U201" s="666"/>
      <c r="V201" s="666"/>
      <c r="W201" s="666"/>
      <c r="X201" s="666"/>
      <c r="Y201" s="666"/>
      <c r="Z201" s="666"/>
      <c r="AA201" s="62"/>
      <c r="AB201" s="62"/>
      <c r="AC201" s="62"/>
    </row>
    <row r="202" spans="1:68" ht="14.25" hidden="1" customHeight="1" x14ac:dyDescent="0.25">
      <c r="A202" s="662" t="s">
        <v>121</v>
      </c>
      <c r="B202" s="662"/>
      <c r="C202" s="662"/>
      <c r="D202" s="662"/>
      <c r="E202" s="662"/>
      <c r="F202" s="662"/>
      <c r="G202" s="662"/>
      <c r="H202" s="662"/>
      <c r="I202" s="662"/>
      <c r="J202" s="662"/>
      <c r="K202" s="662"/>
      <c r="L202" s="662"/>
      <c r="M202" s="662"/>
      <c r="N202" s="662"/>
      <c r="O202" s="662"/>
      <c r="P202" s="662"/>
      <c r="Q202" s="662"/>
      <c r="R202" s="662"/>
      <c r="S202" s="662"/>
      <c r="T202" s="662"/>
      <c r="U202" s="662"/>
      <c r="V202" s="662"/>
      <c r="W202" s="662"/>
      <c r="X202" s="662"/>
      <c r="Y202" s="662"/>
      <c r="Z202" s="662"/>
      <c r="AA202" s="63"/>
      <c r="AB202" s="63"/>
      <c r="AC202" s="63"/>
    </row>
    <row r="203" spans="1:68" ht="27" hidden="1" customHeight="1" x14ac:dyDescent="0.25">
      <c r="A203" s="60" t="s">
        <v>345</v>
      </c>
      <c r="B203" s="60" t="s">
        <v>346</v>
      </c>
      <c r="C203" s="34">
        <v>4301011223</v>
      </c>
      <c r="D203" s="648">
        <v>4607091383423</v>
      </c>
      <c r="E203" s="648"/>
      <c r="F203" s="59">
        <v>1.35</v>
      </c>
      <c r="G203" s="35">
        <v>8</v>
      </c>
      <c r="H203" s="59">
        <v>10.8</v>
      </c>
      <c r="I203" s="59">
        <v>11.305999999999999</v>
      </c>
      <c r="J203" s="35">
        <v>64</v>
      </c>
      <c r="K203" s="35" t="s">
        <v>126</v>
      </c>
      <c r="L203" s="35" t="s">
        <v>46</v>
      </c>
      <c r="M203" s="36" t="s">
        <v>89</v>
      </c>
      <c r="N203" s="36"/>
      <c r="O203" s="35">
        <v>35</v>
      </c>
      <c r="P203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50"/>
      <c r="R203" s="650"/>
      <c r="S203" s="650"/>
      <c r="T203" s="651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ref="Y203:Y209" si="26">IFERROR(IF(X203="",0,CEILING((X203/$H203),1)*$H203),"")</f>
        <v>0</v>
      </c>
      <c r="Z203" s="39" t="str">
        <f t="shared" ref="Z203:Z209" si="27">IFERROR(IF(Y203=0,"",ROUNDUP(Y203/H203,0)*0.01898),"")</f>
        <v/>
      </c>
      <c r="AA203" s="65" t="s">
        <v>46</v>
      </c>
      <c r="AB203" s="66" t="s">
        <v>46</v>
      </c>
      <c r="AC203" s="269" t="s">
        <v>124</v>
      </c>
      <c r="AG203" s="75"/>
      <c r="AJ203" s="79" t="s">
        <v>46</v>
      </c>
      <c r="AK203" s="79">
        <v>0</v>
      </c>
      <c r="BB203" s="270" t="s">
        <v>66</v>
      </c>
      <c r="BM203" s="75">
        <f t="shared" ref="BM203:BM209" si="28">IFERROR(X203*I203/H203,"0")</f>
        <v>0</v>
      </c>
      <c r="BN203" s="75">
        <f t="shared" ref="BN203:BN209" si="29">IFERROR(Y203*I203/H203,"0")</f>
        <v>0</v>
      </c>
      <c r="BO203" s="75">
        <f t="shared" ref="BO203:BO209" si="30">IFERROR(1/J203*(X203/H203),"0")</f>
        <v>0</v>
      </c>
      <c r="BP203" s="75">
        <f t="shared" ref="BP203:BP209" si="31">IFERROR(1/J203*(Y203/H203),"0")</f>
        <v>0</v>
      </c>
    </row>
    <row r="204" spans="1:68" ht="27" hidden="1" customHeight="1" x14ac:dyDescent="0.25">
      <c r="A204" s="60" t="s">
        <v>347</v>
      </c>
      <c r="B204" s="60" t="s">
        <v>348</v>
      </c>
      <c r="C204" s="34">
        <v>4301012340</v>
      </c>
      <c r="D204" s="648">
        <v>4680115888760</v>
      </c>
      <c r="E204" s="648"/>
      <c r="F204" s="59">
        <v>1.4</v>
      </c>
      <c r="G204" s="35">
        <v>6</v>
      </c>
      <c r="H204" s="59">
        <v>8.4</v>
      </c>
      <c r="I204" s="59">
        <v>8.81</v>
      </c>
      <c r="J204" s="35">
        <v>64</v>
      </c>
      <c r="K204" s="35" t="s">
        <v>126</v>
      </c>
      <c r="L204" s="35" t="s">
        <v>46</v>
      </c>
      <c r="M204" s="36" t="s">
        <v>89</v>
      </c>
      <c r="N204" s="36"/>
      <c r="O204" s="35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50"/>
      <c r="R204" s="650"/>
      <c r="S204" s="650"/>
      <c r="T204" s="651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6"/>
        <v>0</v>
      </c>
      <c r="Z204" s="39" t="str">
        <f t="shared" si="27"/>
        <v/>
      </c>
      <c r="AA204" s="65" t="s">
        <v>46</v>
      </c>
      <c r="AB204" s="66" t="s">
        <v>46</v>
      </c>
      <c r="AC204" s="271" t="s">
        <v>349</v>
      </c>
      <c r="AG204" s="75"/>
      <c r="AJ204" s="79" t="s">
        <v>46</v>
      </c>
      <c r="AK204" s="79">
        <v>0</v>
      </c>
      <c r="BB204" s="272" t="s">
        <v>66</v>
      </c>
      <c r="BM204" s="75">
        <f t="shared" si="28"/>
        <v>0</v>
      </c>
      <c r="BN204" s="75">
        <f t="shared" si="29"/>
        <v>0</v>
      </c>
      <c r="BO204" s="75">
        <f t="shared" si="30"/>
        <v>0</v>
      </c>
      <c r="BP204" s="75">
        <f t="shared" si="31"/>
        <v>0</v>
      </c>
    </row>
    <row r="205" spans="1:68" ht="27" hidden="1" customHeight="1" x14ac:dyDescent="0.25">
      <c r="A205" s="60" t="s">
        <v>350</v>
      </c>
      <c r="B205" s="60" t="s">
        <v>351</v>
      </c>
      <c r="C205" s="34">
        <v>4301012341</v>
      </c>
      <c r="D205" s="648">
        <v>4680115888807</v>
      </c>
      <c r="E205" s="648"/>
      <c r="F205" s="59">
        <v>1.4</v>
      </c>
      <c r="G205" s="35">
        <v>6</v>
      </c>
      <c r="H205" s="59">
        <v>8.4</v>
      </c>
      <c r="I205" s="59">
        <v>8.81</v>
      </c>
      <c r="J205" s="35">
        <v>64</v>
      </c>
      <c r="K205" s="35" t="s">
        <v>126</v>
      </c>
      <c r="L205" s="35" t="s">
        <v>46</v>
      </c>
      <c r="M205" s="36" t="s">
        <v>89</v>
      </c>
      <c r="N205" s="36"/>
      <c r="O205" s="35">
        <v>35</v>
      </c>
      <c r="P205" s="85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50"/>
      <c r="R205" s="650"/>
      <c r="S205" s="650"/>
      <c r="T205" s="65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6"/>
        <v>0</v>
      </c>
      <c r="Z205" s="39" t="str">
        <f t="shared" si="27"/>
        <v/>
      </c>
      <c r="AA205" s="65" t="s">
        <v>46</v>
      </c>
      <c r="AB205" s="66" t="s">
        <v>46</v>
      </c>
      <c r="AC205" s="273" t="s">
        <v>352</v>
      </c>
      <c r="AG205" s="75"/>
      <c r="AJ205" s="79" t="s">
        <v>46</v>
      </c>
      <c r="AK205" s="79">
        <v>0</v>
      </c>
      <c r="BB205" s="274" t="s">
        <v>66</v>
      </c>
      <c r="BM205" s="75">
        <f t="shared" si="28"/>
        <v>0</v>
      </c>
      <c r="BN205" s="75">
        <f t="shared" si="29"/>
        <v>0</v>
      </c>
      <c r="BO205" s="75">
        <f t="shared" si="30"/>
        <v>0</v>
      </c>
      <c r="BP205" s="75">
        <f t="shared" si="31"/>
        <v>0</v>
      </c>
    </row>
    <row r="206" spans="1:68" ht="27" hidden="1" customHeight="1" x14ac:dyDescent="0.25">
      <c r="A206" s="60" t="s">
        <v>353</v>
      </c>
      <c r="B206" s="60" t="s">
        <v>354</v>
      </c>
      <c r="C206" s="34">
        <v>4301012342</v>
      </c>
      <c r="D206" s="648">
        <v>4680115888852</v>
      </c>
      <c r="E206" s="648"/>
      <c r="F206" s="59">
        <v>0.9</v>
      </c>
      <c r="G206" s="35">
        <v>6</v>
      </c>
      <c r="H206" s="59">
        <v>5.4</v>
      </c>
      <c r="I206" s="59">
        <v>5.81</v>
      </c>
      <c r="J206" s="35">
        <v>64</v>
      </c>
      <c r="K206" s="35" t="s">
        <v>126</v>
      </c>
      <c r="L206" s="35" t="s">
        <v>46</v>
      </c>
      <c r="M206" s="36" t="s">
        <v>89</v>
      </c>
      <c r="N206" s="36"/>
      <c r="O206" s="35">
        <v>35</v>
      </c>
      <c r="P206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50"/>
      <c r="R206" s="650"/>
      <c r="S206" s="650"/>
      <c r="T206" s="65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6"/>
        <v>0</v>
      </c>
      <c r="Z206" s="39" t="str">
        <f t="shared" si="27"/>
        <v/>
      </c>
      <c r="AA206" s="65" t="s">
        <v>46</v>
      </c>
      <c r="AB206" s="66" t="s">
        <v>46</v>
      </c>
      <c r="AC206" s="275" t="s">
        <v>355</v>
      </c>
      <c r="AG206" s="75"/>
      <c r="AJ206" s="79" t="s">
        <v>46</v>
      </c>
      <c r="AK206" s="79">
        <v>0</v>
      </c>
      <c r="BB206" s="276" t="s">
        <v>66</v>
      </c>
      <c r="BM206" s="75">
        <f t="shared" si="28"/>
        <v>0</v>
      </c>
      <c r="BN206" s="75">
        <f t="shared" si="29"/>
        <v>0</v>
      </c>
      <c r="BO206" s="75">
        <f t="shared" si="30"/>
        <v>0</v>
      </c>
      <c r="BP206" s="75">
        <f t="shared" si="31"/>
        <v>0</v>
      </c>
    </row>
    <row r="207" spans="1:68" ht="37.5" hidden="1" customHeight="1" x14ac:dyDescent="0.25">
      <c r="A207" s="60" t="s">
        <v>356</v>
      </c>
      <c r="B207" s="60" t="s">
        <v>357</v>
      </c>
      <c r="C207" s="34">
        <v>4301012370</v>
      </c>
      <c r="D207" s="648">
        <v>4680115886957</v>
      </c>
      <c r="E207" s="648"/>
      <c r="F207" s="59">
        <v>1.35</v>
      </c>
      <c r="G207" s="35">
        <v>8</v>
      </c>
      <c r="H207" s="59">
        <v>10.8</v>
      </c>
      <c r="I207" s="59">
        <v>11.29</v>
      </c>
      <c r="J207" s="35">
        <v>64</v>
      </c>
      <c r="K207" s="35" t="s">
        <v>126</v>
      </c>
      <c r="L207" s="35" t="s">
        <v>46</v>
      </c>
      <c r="M207" s="36" t="s">
        <v>89</v>
      </c>
      <c r="N207" s="36"/>
      <c r="O207" s="35">
        <v>35</v>
      </c>
      <c r="P207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50"/>
      <c r="R207" s="650"/>
      <c r="S207" s="650"/>
      <c r="T207" s="65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6"/>
        <v>0</v>
      </c>
      <c r="Z207" s="39" t="str">
        <f t="shared" si="27"/>
        <v/>
      </c>
      <c r="AA207" s="65" t="s">
        <v>46</v>
      </c>
      <c r="AB207" s="66" t="s">
        <v>46</v>
      </c>
      <c r="AC207" s="277" t="s">
        <v>358</v>
      </c>
      <c r="AG207" s="75"/>
      <c r="AJ207" s="79" t="s">
        <v>46</v>
      </c>
      <c r="AK207" s="79">
        <v>0</v>
      </c>
      <c r="BB207" s="278" t="s">
        <v>66</v>
      </c>
      <c r="BM207" s="75">
        <f t="shared" si="28"/>
        <v>0</v>
      </c>
      <c r="BN207" s="75">
        <f t="shared" si="29"/>
        <v>0</v>
      </c>
      <c r="BO207" s="75">
        <f t="shared" si="30"/>
        <v>0</v>
      </c>
      <c r="BP207" s="75">
        <f t="shared" si="31"/>
        <v>0</v>
      </c>
    </row>
    <row r="208" spans="1:68" ht="27" hidden="1" customHeight="1" x14ac:dyDescent="0.25">
      <c r="A208" s="60" t="s">
        <v>359</v>
      </c>
      <c r="B208" s="60" t="s">
        <v>360</v>
      </c>
      <c r="C208" s="34">
        <v>4301012098</v>
      </c>
      <c r="D208" s="648">
        <v>4680115885660</v>
      </c>
      <c r="E208" s="648"/>
      <c r="F208" s="59">
        <v>1.35</v>
      </c>
      <c r="G208" s="35">
        <v>8</v>
      </c>
      <c r="H208" s="59">
        <v>10.8</v>
      </c>
      <c r="I208" s="59">
        <v>11.21</v>
      </c>
      <c r="J208" s="35">
        <v>64</v>
      </c>
      <c r="K208" s="35" t="s">
        <v>126</v>
      </c>
      <c r="L208" s="35" t="s">
        <v>46</v>
      </c>
      <c r="M208" s="36" t="s">
        <v>89</v>
      </c>
      <c r="N208" s="36"/>
      <c r="O208" s="35">
        <v>35</v>
      </c>
      <c r="P208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50"/>
      <c r="R208" s="650"/>
      <c r="S208" s="650"/>
      <c r="T208" s="65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6"/>
        <v>0</v>
      </c>
      <c r="Z208" s="39" t="str">
        <f t="shared" si="27"/>
        <v/>
      </c>
      <c r="AA208" s="65" t="s">
        <v>46</v>
      </c>
      <c r="AB208" s="66" t="s">
        <v>46</v>
      </c>
      <c r="AC208" s="279" t="s">
        <v>361</v>
      </c>
      <c r="AG208" s="75"/>
      <c r="AJ208" s="79" t="s">
        <v>46</v>
      </c>
      <c r="AK208" s="79">
        <v>0</v>
      </c>
      <c r="BB208" s="280" t="s">
        <v>66</v>
      </c>
      <c r="BM208" s="75">
        <f t="shared" si="28"/>
        <v>0</v>
      </c>
      <c r="BN208" s="75">
        <f t="shared" si="29"/>
        <v>0</v>
      </c>
      <c r="BO208" s="75">
        <f t="shared" si="30"/>
        <v>0</v>
      </c>
      <c r="BP208" s="75">
        <f t="shared" si="31"/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4301012369</v>
      </c>
      <c r="D209" s="648">
        <v>4680115886773</v>
      </c>
      <c r="E209" s="648"/>
      <c r="F209" s="59">
        <v>0.9</v>
      </c>
      <c r="G209" s="35">
        <v>10</v>
      </c>
      <c r="H209" s="59">
        <v>9</v>
      </c>
      <c r="I209" s="59">
        <v>9.51</v>
      </c>
      <c r="J209" s="35">
        <v>64</v>
      </c>
      <c r="K209" s="35" t="s">
        <v>126</v>
      </c>
      <c r="L209" s="35" t="s">
        <v>46</v>
      </c>
      <c r="M209" s="36" t="s">
        <v>89</v>
      </c>
      <c r="N209" s="36"/>
      <c r="O209" s="35">
        <v>35</v>
      </c>
      <c r="P209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50"/>
      <c r="R209" s="650"/>
      <c r="S209" s="650"/>
      <c r="T209" s="65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6"/>
        <v>0</v>
      </c>
      <c r="Z209" s="39" t="str">
        <f t="shared" si="27"/>
        <v/>
      </c>
      <c r="AA209" s="65" t="s">
        <v>46</v>
      </c>
      <c r="AB209" s="66" t="s">
        <v>46</v>
      </c>
      <c r="AC209" s="281" t="s">
        <v>364</v>
      </c>
      <c r="AG209" s="75"/>
      <c r="AJ209" s="79" t="s">
        <v>46</v>
      </c>
      <c r="AK209" s="79">
        <v>0</v>
      </c>
      <c r="BB209" s="282" t="s">
        <v>66</v>
      </c>
      <c r="BM209" s="75">
        <f t="shared" si="28"/>
        <v>0</v>
      </c>
      <c r="BN209" s="75">
        <f t="shared" si="29"/>
        <v>0</v>
      </c>
      <c r="BO209" s="75">
        <f t="shared" si="30"/>
        <v>0</v>
      </c>
      <c r="BP209" s="75">
        <f t="shared" si="31"/>
        <v>0</v>
      </c>
    </row>
    <row r="210" spans="1:68" hidden="1" x14ac:dyDescent="0.2">
      <c r="A210" s="655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2" t="s">
        <v>40</v>
      </c>
      <c r="Q210" s="653"/>
      <c r="R210" s="653"/>
      <c r="S210" s="653"/>
      <c r="T210" s="653"/>
      <c r="U210" s="653"/>
      <c r="V210" s="654"/>
      <c r="W210" s="40" t="s">
        <v>39</v>
      </c>
      <c r="X210" s="41">
        <f>IFERROR(X203/H203,"0")+IFERROR(X204/H204,"0")+IFERROR(X205/H205,"0")+IFERROR(X206/H206,"0")+IFERROR(X207/H207,"0")+IFERROR(X208/H208,"0")+IFERROR(X209/H209,"0")</f>
        <v>0</v>
      </c>
      <c r="Y210" s="41">
        <f>IFERROR(Y203/H203,"0")+IFERROR(Y204/H204,"0")+IFERROR(Y205/H205,"0")+IFERROR(Y206/H206,"0")+IFERROR(Y207/H207,"0")+IFERROR(Y208/H208,"0")+IFERROR(Y209/H209,"0")</f>
        <v>0</v>
      </c>
      <c r="Z210" s="41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"/>
      <c r="AB210" s="64"/>
      <c r="AC210" s="64"/>
    </row>
    <row r="211" spans="1:68" hidden="1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2" t="s">
        <v>40</v>
      </c>
      <c r="Q211" s="653"/>
      <c r="R211" s="653"/>
      <c r="S211" s="653"/>
      <c r="T211" s="653"/>
      <c r="U211" s="653"/>
      <c r="V211" s="654"/>
      <c r="W211" s="40" t="s">
        <v>0</v>
      </c>
      <c r="X211" s="41">
        <f>IFERROR(SUM(X203:X209),"0")</f>
        <v>0</v>
      </c>
      <c r="Y211" s="41">
        <f>IFERROR(SUM(Y203:Y209),"0")</f>
        <v>0</v>
      </c>
      <c r="Z211" s="40"/>
      <c r="AA211" s="64"/>
      <c r="AB211" s="64"/>
      <c r="AC211" s="64"/>
    </row>
    <row r="212" spans="1:68" ht="16.5" hidden="1" customHeight="1" x14ac:dyDescent="0.25">
      <c r="A212" s="666" t="s">
        <v>365</v>
      </c>
      <c r="B212" s="666"/>
      <c r="C212" s="666"/>
      <c r="D212" s="666"/>
      <c r="E212" s="666"/>
      <c r="F212" s="666"/>
      <c r="G212" s="666"/>
      <c r="H212" s="666"/>
      <c r="I212" s="666"/>
      <c r="J212" s="666"/>
      <c r="K212" s="666"/>
      <c r="L212" s="666"/>
      <c r="M212" s="666"/>
      <c r="N212" s="666"/>
      <c r="O212" s="666"/>
      <c r="P212" s="666"/>
      <c r="Q212" s="666"/>
      <c r="R212" s="666"/>
      <c r="S212" s="666"/>
      <c r="T212" s="666"/>
      <c r="U212" s="666"/>
      <c r="V212" s="666"/>
      <c r="W212" s="666"/>
      <c r="X212" s="666"/>
      <c r="Y212" s="666"/>
      <c r="Z212" s="666"/>
      <c r="AA212" s="62"/>
      <c r="AB212" s="62"/>
      <c r="AC212" s="62"/>
    </row>
    <row r="213" spans="1:68" ht="14.25" hidden="1" customHeight="1" x14ac:dyDescent="0.25">
      <c r="A213" s="662" t="s">
        <v>156</v>
      </c>
      <c r="B213" s="662"/>
      <c r="C213" s="662"/>
      <c r="D213" s="662"/>
      <c r="E213" s="662"/>
      <c r="F213" s="662"/>
      <c r="G213" s="662"/>
      <c r="H213" s="662"/>
      <c r="I213" s="662"/>
      <c r="J213" s="662"/>
      <c r="K213" s="662"/>
      <c r="L213" s="662"/>
      <c r="M213" s="662"/>
      <c r="N213" s="662"/>
      <c r="O213" s="662"/>
      <c r="P213" s="662"/>
      <c r="Q213" s="662"/>
      <c r="R213" s="662"/>
      <c r="S213" s="662"/>
      <c r="T213" s="662"/>
      <c r="U213" s="662"/>
      <c r="V213" s="662"/>
      <c r="W213" s="662"/>
      <c r="X213" s="662"/>
      <c r="Y213" s="662"/>
      <c r="Z213" s="662"/>
      <c r="AA213" s="63"/>
      <c r="AB213" s="63"/>
      <c r="AC213" s="63"/>
    </row>
    <row r="214" spans="1:68" ht="27" hidden="1" customHeight="1" x14ac:dyDescent="0.25">
      <c r="A214" s="60" t="s">
        <v>366</v>
      </c>
      <c r="B214" s="60" t="s">
        <v>367</v>
      </c>
      <c r="C214" s="34">
        <v>4301020323</v>
      </c>
      <c r="D214" s="648">
        <v>4680115886223</v>
      </c>
      <c r="E214" s="648"/>
      <c r="F214" s="59">
        <v>0.33</v>
      </c>
      <c r="G214" s="35">
        <v>6</v>
      </c>
      <c r="H214" s="59">
        <v>1.98</v>
      </c>
      <c r="I214" s="59">
        <v>2.08</v>
      </c>
      <c r="J214" s="35">
        <v>234</v>
      </c>
      <c r="K214" s="35" t="s">
        <v>81</v>
      </c>
      <c r="L214" s="35" t="s">
        <v>46</v>
      </c>
      <c r="M214" s="36" t="s">
        <v>80</v>
      </c>
      <c r="N214" s="36"/>
      <c r="O214" s="35">
        <v>40</v>
      </c>
      <c r="P214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50"/>
      <c r="R214" s="650"/>
      <c r="S214" s="650"/>
      <c r="T214" s="651"/>
      <c r="U214" s="37" t="s">
        <v>46</v>
      </c>
      <c r="V214" s="37" t="s">
        <v>46</v>
      </c>
      <c r="W214" s="38" t="s">
        <v>0</v>
      </c>
      <c r="X214" s="56">
        <v>0</v>
      </c>
      <c r="Y214" s="53">
        <f>IFERROR(IF(X214="",0,CEILING((X214/$H214),1)*$H214),"")</f>
        <v>0</v>
      </c>
      <c r="Z214" s="39" t="str">
        <f>IFERROR(IF(Y214=0,"",ROUNDUP(Y214/H214,0)*0.00502),"")</f>
        <v/>
      </c>
      <c r="AA214" s="65" t="s">
        <v>46</v>
      </c>
      <c r="AB214" s="66" t="s">
        <v>46</v>
      </c>
      <c r="AC214" s="283" t="s">
        <v>368</v>
      </c>
      <c r="AG214" s="75"/>
      <c r="AJ214" s="79" t="s">
        <v>46</v>
      </c>
      <c r="AK214" s="79">
        <v>0</v>
      </c>
      <c r="BB214" s="284" t="s">
        <v>66</v>
      </c>
      <c r="BM214" s="75">
        <f>IFERROR(X214*I214/H214,"0")</f>
        <v>0</v>
      </c>
      <c r="BN214" s="75">
        <f>IFERROR(Y214*I214/H214,"0")</f>
        <v>0</v>
      </c>
      <c r="BO214" s="75">
        <f>IFERROR(1/J214*(X214/H214),"0")</f>
        <v>0</v>
      </c>
      <c r="BP214" s="75">
        <f>IFERROR(1/J214*(Y214/H214),"0")</f>
        <v>0</v>
      </c>
    </row>
    <row r="215" spans="1:68" hidden="1" x14ac:dyDescent="0.2">
      <c r="A215" s="655"/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6"/>
      <c r="P215" s="652" t="s">
        <v>40</v>
      </c>
      <c r="Q215" s="653"/>
      <c r="R215" s="653"/>
      <c r="S215" s="653"/>
      <c r="T215" s="653"/>
      <c r="U215" s="653"/>
      <c r="V215" s="654"/>
      <c r="W215" s="40" t="s">
        <v>39</v>
      </c>
      <c r="X215" s="41">
        <f>IFERROR(X214/H214,"0")</f>
        <v>0</v>
      </c>
      <c r="Y215" s="41">
        <f>IFERROR(Y214/H214,"0")</f>
        <v>0</v>
      </c>
      <c r="Z215" s="41">
        <f>IFERROR(IF(Z214="",0,Z214),"0")</f>
        <v>0</v>
      </c>
      <c r="AA215" s="64"/>
      <c r="AB215" s="64"/>
      <c r="AC215" s="64"/>
    </row>
    <row r="216" spans="1:68" hidden="1" x14ac:dyDescent="0.2">
      <c r="A216" s="655"/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6"/>
      <c r="P216" s="652" t="s">
        <v>40</v>
      </c>
      <c r="Q216" s="653"/>
      <c r="R216" s="653"/>
      <c r="S216" s="653"/>
      <c r="T216" s="653"/>
      <c r="U216" s="653"/>
      <c r="V216" s="654"/>
      <c r="W216" s="40" t="s">
        <v>0</v>
      </c>
      <c r="X216" s="41">
        <f>IFERROR(SUM(X214:X214),"0")</f>
        <v>0</v>
      </c>
      <c r="Y216" s="41">
        <f>IFERROR(SUM(Y214:Y214),"0")</f>
        <v>0</v>
      </c>
      <c r="Z216" s="40"/>
      <c r="AA216" s="64"/>
      <c r="AB216" s="64"/>
      <c r="AC216" s="64"/>
    </row>
    <row r="217" spans="1:68" ht="14.25" hidden="1" customHeight="1" x14ac:dyDescent="0.25">
      <c r="A217" s="662" t="s">
        <v>76</v>
      </c>
      <c r="B217" s="662"/>
      <c r="C217" s="662"/>
      <c r="D217" s="662"/>
      <c r="E217" s="662"/>
      <c r="F217" s="662"/>
      <c r="G217" s="662"/>
      <c r="H217" s="662"/>
      <c r="I217" s="662"/>
      <c r="J217" s="662"/>
      <c r="K217" s="662"/>
      <c r="L217" s="662"/>
      <c r="M217" s="662"/>
      <c r="N217" s="662"/>
      <c r="O217" s="662"/>
      <c r="P217" s="662"/>
      <c r="Q217" s="662"/>
      <c r="R217" s="662"/>
      <c r="S217" s="662"/>
      <c r="T217" s="662"/>
      <c r="U217" s="662"/>
      <c r="V217" s="662"/>
      <c r="W217" s="662"/>
      <c r="X217" s="662"/>
      <c r="Y217" s="662"/>
      <c r="Z217" s="662"/>
      <c r="AA217" s="63"/>
      <c r="AB217" s="63"/>
      <c r="AC217" s="63"/>
    </row>
    <row r="218" spans="1:68" ht="27" hidden="1" customHeight="1" x14ac:dyDescent="0.25">
      <c r="A218" s="60" t="s">
        <v>369</v>
      </c>
      <c r="B218" s="60" t="s">
        <v>370</v>
      </c>
      <c r="C218" s="34">
        <v>4301031191</v>
      </c>
      <c r="D218" s="648">
        <v>4680115880993</v>
      </c>
      <c r="E218" s="648"/>
      <c r="F218" s="59">
        <v>0.7</v>
      </c>
      <c r="G218" s="35">
        <v>6</v>
      </c>
      <c r="H218" s="59">
        <v>4.2</v>
      </c>
      <c r="I218" s="59">
        <v>4.45</v>
      </c>
      <c r="J218" s="35">
        <v>132</v>
      </c>
      <c r="K218" s="35" t="s">
        <v>133</v>
      </c>
      <c r="L218" s="35" t="s">
        <v>46</v>
      </c>
      <c r="M218" s="36" t="s">
        <v>80</v>
      </c>
      <c r="N218" s="36"/>
      <c r="O218" s="35">
        <v>40</v>
      </c>
      <c r="P218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50"/>
      <c r="R218" s="650"/>
      <c r="S218" s="650"/>
      <c r="T218" s="65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ref="Y218:Y232" si="32">IFERROR(IF(X218="",0,CEILING((X218/$H218),1)*$H218),"")</f>
        <v>0</v>
      </c>
      <c r="Z218" s="39" t="str">
        <f>IFERROR(IF(Y218=0,"",ROUNDUP(Y218/H218,0)*0.00902),"")</f>
        <v/>
      </c>
      <c r="AA218" s="65" t="s">
        <v>46</v>
      </c>
      <c r="AB218" s="66" t="s">
        <v>46</v>
      </c>
      <c r="AC218" s="285" t="s">
        <v>371</v>
      </c>
      <c r="AG218" s="75"/>
      <c r="AJ218" s="79" t="s">
        <v>46</v>
      </c>
      <c r="AK218" s="79">
        <v>0</v>
      </c>
      <c r="BB218" s="286" t="s">
        <v>66</v>
      </c>
      <c r="BM218" s="75">
        <f t="shared" ref="BM218:BM232" si="33">IFERROR(X218*I218/H218,"0")</f>
        <v>0</v>
      </c>
      <c r="BN218" s="75">
        <f t="shared" ref="BN218:BN232" si="34">IFERROR(Y218*I218/H218,"0")</f>
        <v>0</v>
      </c>
      <c r="BO218" s="75">
        <f t="shared" ref="BO218:BO232" si="35">IFERROR(1/J218*(X218/H218),"0")</f>
        <v>0</v>
      </c>
      <c r="BP218" s="75">
        <f t="shared" ref="BP218:BP232" si="36">IFERROR(1/J218*(Y218/H218),"0")</f>
        <v>0</v>
      </c>
    </row>
    <row r="219" spans="1:68" ht="27" hidden="1" customHeight="1" x14ac:dyDescent="0.25">
      <c r="A219" s="60" t="s">
        <v>372</v>
      </c>
      <c r="B219" s="60" t="s">
        <v>373</v>
      </c>
      <c r="C219" s="34">
        <v>4301031204</v>
      </c>
      <c r="D219" s="648">
        <v>4680115881761</v>
      </c>
      <c r="E219" s="648"/>
      <c r="F219" s="59">
        <v>0.7</v>
      </c>
      <c r="G219" s="35">
        <v>6</v>
      </c>
      <c r="H219" s="59">
        <v>4.2</v>
      </c>
      <c r="I219" s="59">
        <v>4.45</v>
      </c>
      <c r="J219" s="35">
        <v>132</v>
      </c>
      <c r="K219" s="35" t="s">
        <v>133</v>
      </c>
      <c r="L219" s="35" t="s">
        <v>46</v>
      </c>
      <c r="M219" s="36" t="s">
        <v>80</v>
      </c>
      <c r="N219" s="36"/>
      <c r="O219" s="35">
        <v>40</v>
      </c>
      <c r="P219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50"/>
      <c r="R219" s="650"/>
      <c r="S219" s="650"/>
      <c r="T219" s="65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2"/>
        <v>0</v>
      </c>
      <c r="Z219" s="39" t="str">
        <f>IFERROR(IF(Y219=0,"",ROUNDUP(Y219/H219,0)*0.00902),"")</f>
        <v/>
      </c>
      <c r="AA219" s="65" t="s">
        <v>46</v>
      </c>
      <c r="AB219" s="66" t="s">
        <v>46</v>
      </c>
      <c r="AC219" s="287" t="s">
        <v>374</v>
      </c>
      <c r="AG219" s="75"/>
      <c r="AJ219" s="79" t="s">
        <v>46</v>
      </c>
      <c r="AK219" s="79">
        <v>0</v>
      </c>
      <c r="BB219" s="288" t="s">
        <v>66</v>
      </c>
      <c r="BM219" s="75">
        <f t="shared" si="33"/>
        <v>0</v>
      </c>
      <c r="BN219" s="75">
        <f t="shared" si="34"/>
        <v>0</v>
      </c>
      <c r="BO219" s="75">
        <f t="shared" si="35"/>
        <v>0</v>
      </c>
      <c r="BP219" s="75">
        <f t="shared" si="36"/>
        <v>0</v>
      </c>
    </row>
    <row r="220" spans="1:68" ht="27" hidden="1" customHeight="1" x14ac:dyDescent="0.25">
      <c r="A220" s="60" t="s">
        <v>375</v>
      </c>
      <c r="B220" s="60" t="s">
        <v>376</v>
      </c>
      <c r="C220" s="34">
        <v>4301031201</v>
      </c>
      <c r="D220" s="648">
        <v>4680115881563</v>
      </c>
      <c r="E220" s="648"/>
      <c r="F220" s="59">
        <v>0.7</v>
      </c>
      <c r="G220" s="35">
        <v>6</v>
      </c>
      <c r="H220" s="59">
        <v>4.2</v>
      </c>
      <c r="I220" s="59">
        <v>4.3899999999999997</v>
      </c>
      <c r="J220" s="35">
        <v>132</v>
      </c>
      <c r="K220" s="35" t="s">
        <v>133</v>
      </c>
      <c r="L220" s="35" t="s">
        <v>46</v>
      </c>
      <c r="M220" s="36" t="s">
        <v>80</v>
      </c>
      <c r="N220" s="36"/>
      <c r="O220" s="35">
        <v>40</v>
      </c>
      <c r="P220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50"/>
      <c r="R220" s="650"/>
      <c r="S220" s="650"/>
      <c r="T220" s="651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32"/>
        <v>0</v>
      </c>
      <c r="Z220" s="39" t="str">
        <f>IFERROR(IF(Y220=0,"",ROUNDUP(Y220/H220,0)*0.00902),"")</f>
        <v/>
      </c>
      <c r="AA220" s="65" t="s">
        <v>46</v>
      </c>
      <c r="AB220" s="66" t="s">
        <v>46</v>
      </c>
      <c r="AC220" s="289" t="s">
        <v>377</v>
      </c>
      <c r="AG220" s="75"/>
      <c r="AJ220" s="79" t="s">
        <v>46</v>
      </c>
      <c r="AK220" s="79">
        <v>0</v>
      </c>
      <c r="BB220" s="290" t="s">
        <v>66</v>
      </c>
      <c r="BM220" s="75">
        <f t="shared" si="33"/>
        <v>0</v>
      </c>
      <c r="BN220" s="75">
        <f t="shared" si="34"/>
        <v>0</v>
      </c>
      <c r="BO220" s="75">
        <f t="shared" si="35"/>
        <v>0</v>
      </c>
      <c r="BP220" s="75">
        <f t="shared" si="36"/>
        <v>0</v>
      </c>
    </row>
    <row r="221" spans="1:68" ht="37.5" hidden="1" customHeight="1" x14ac:dyDescent="0.25">
      <c r="A221" s="60" t="s">
        <v>378</v>
      </c>
      <c r="B221" s="60" t="s">
        <v>379</v>
      </c>
      <c r="C221" s="34">
        <v>4301031447</v>
      </c>
      <c r="D221" s="648">
        <v>4680115887565</v>
      </c>
      <c r="E221" s="648"/>
      <c r="F221" s="59">
        <v>0.08</v>
      </c>
      <c r="G221" s="35">
        <v>10</v>
      </c>
      <c r="H221" s="59">
        <v>0.8</v>
      </c>
      <c r="I221" s="59">
        <v>0.93</v>
      </c>
      <c r="J221" s="35">
        <v>252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50"/>
      <c r="R221" s="650"/>
      <c r="S221" s="650"/>
      <c r="T221" s="65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2"/>
        <v>0</v>
      </c>
      <c r="Z221" s="39" t="str">
        <f>IFERROR(IF(Y221=0,"",ROUNDUP(Y221/H221,0)*0.00556),"")</f>
        <v/>
      </c>
      <c r="AA221" s="65" t="s">
        <v>46</v>
      </c>
      <c r="AB221" s="66" t="s">
        <v>46</v>
      </c>
      <c r="AC221" s="291" t="s">
        <v>380</v>
      </c>
      <c r="AG221" s="75"/>
      <c r="AJ221" s="79" t="s">
        <v>46</v>
      </c>
      <c r="AK221" s="79">
        <v>0</v>
      </c>
      <c r="BB221" s="292" t="s">
        <v>66</v>
      </c>
      <c r="BM221" s="75">
        <f t="shared" si="33"/>
        <v>0</v>
      </c>
      <c r="BN221" s="75">
        <f t="shared" si="34"/>
        <v>0</v>
      </c>
      <c r="BO221" s="75">
        <f t="shared" si="35"/>
        <v>0</v>
      </c>
      <c r="BP221" s="75">
        <f t="shared" si="36"/>
        <v>0</v>
      </c>
    </row>
    <row r="222" spans="1:68" ht="27" hidden="1" customHeight="1" x14ac:dyDescent="0.25">
      <c r="A222" s="60" t="s">
        <v>381</v>
      </c>
      <c r="B222" s="60" t="s">
        <v>382</v>
      </c>
      <c r="C222" s="34">
        <v>4301031199</v>
      </c>
      <c r="D222" s="648">
        <v>4680115880986</v>
      </c>
      <c r="E222" s="648"/>
      <c r="F222" s="59">
        <v>0.35</v>
      </c>
      <c r="G222" s="35">
        <v>6</v>
      </c>
      <c r="H222" s="59">
        <v>2.1</v>
      </c>
      <c r="I222" s="59">
        <v>2.23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50"/>
      <c r="R222" s="650"/>
      <c r="S222" s="650"/>
      <c r="T222" s="651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32"/>
        <v>0</v>
      </c>
      <c r="Z222" s="39" t="str">
        <f t="shared" ref="Z222:Z227" si="37">IFERROR(IF(Y222=0,"",ROUNDUP(Y222/H222,0)*0.00502),"")</f>
        <v/>
      </c>
      <c r="AA222" s="65" t="s">
        <v>46</v>
      </c>
      <c r="AB222" s="66" t="s">
        <v>46</v>
      </c>
      <c r="AC222" s="293" t="s">
        <v>371</v>
      </c>
      <c r="AG222" s="75"/>
      <c r="AJ222" s="79" t="s">
        <v>46</v>
      </c>
      <c r="AK222" s="79">
        <v>0</v>
      </c>
      <c r="BB222" s="294" t="s">
        <v>66</v>
      </c>
      <c r="BM222" s="75">
        <f t="shared" si="33"/>
        <v>0</v>
      </c>
      <c r="BN222" s="75">
        <f t="shared" si="34"/>
        <v>0</v>
      </c>
      <c r="BO222" s="75">
        <f t="shared" si="35"/>
        <v>0</v>
      </c>
      <c r="BP222" s="75">
        <f t="shared" si="36"/>
        <v>0</v>
      </c>
    </row>
    <row r="223" spans="1:68" ht="27" hidden="1" customHeight="1" x14ac:dyDescent="0.25">
      <c r="A223" s="60" t="s">
        <v>383</v>
      </c>
      <c r="B223" s="60" t="s">
        <v>384</v>
      </c>
      <c r="C223" s="34">
        <v>4301031443</v>
      </c>
      <c r="D223" s="648">
        <v>4680115887213</v>
      </c>
      <c r="E223" s="648"/>
      <c r="F223" s="59">
        <v>0.3</v>
      </c>
      <c r="G223" s="35">
        <v>6</v>
      </c>
      <c r="H223" s="59">
        <v>1.8</v>
      </c>
      <c r="I223" s="59">
        <v>1.9</v>
      </c>
      <c r="J223" s="35">
        <v>234</v>
      </c>
      <c r="K223" s="35" t="s">
        <v>81</v>
      </c>
      <c r="L223" s="35" t="s">
        <v>46</v>
      </c>
      <c r="M223" s="36" t="s">
        <v>80</v>
      </c>
      <c r="N223" s="36"/>
      <c r="O223" s="35">
        <v>45</v>
      </c>
      <c r="P223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50"/>
      <c r="R223" s="650"/>
      <c r="S223" s="650"/>
      <c r="T223" s="651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32"/>
        <v>0</v>
      </c>
      <c r="Z223" s="39" t="str">
        <f t="shared" si="37"/>
        <v/>
      </c>
      <c r="AA223" s="65" t="s">
        <v>46</v>
      </c>
      <c r="AB223" s="66" t="s">
        <v>46</v>
      </c>
      <c r="AC223" s="295" t="s">
        <v>385</v>
      </c>
      <c r="AG223" s="75"/>
      <c r="AJ223" s="79" t="s">
        <v>46</v>
      </c>
      <c r="AK223" s="79">
        <v>0</v>
      </c>
      <c r="BB223" s="296" t="s">
        <v>66</v>
      </c>
      <c r="BM223" s="75">
        <f t="shared" si="33"/>
        <v>0</v>
      </c>
      <c r="BN223" s="75">
        <f t="shared" si="34"/>
        <v>0</v>
      </c>
      <c r="BO223" s="75">
        <f t="shared" si="35"/>
        <v>0</v>
      </c>
      <c r="BP223" s="75">
        <f t="shared" si="36"/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4301031205</v>
      </c>
      <c r="D224" s="648">
        <v>4680115881785</v>
      </c>
      <c r="E224" s="64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50"/>
      <c r="R224" s="650"/>
      <c r="S224" s="650"/>
      <c r="T224" s="651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32"/>
        <v>0</v>
      </c>
      <c r="Z224" s="39" t="str">
        <f t="shared" si="37"/>
        <v/>
      </c>
      <c r="AA224" s="65" t="s">
        <v>46</v>
      </c>
      <c r="AB224" s="66" t="s">
        <v>46</v>
      </c>
      <c r="AC224" s="297" t="s">
        <v>374</v>
      </c>
      <c r="AG224" s="75"/>
      <c r="AJ224" s="79" t="s">
        <v>46</v>
      </c>
      <c r="AK224" s="79">
        <v>0</v>
      </c>
      <c r="BB224" s="298" t="s">
        <v>66</v>
      </c>
      <c r="BM224" s="75">
        <f t="shared" si="33"/>
        <v>0</v>
      </c>
      <c r="BN224" s="75">
        <f t="shared" si="34"/>
        <v>0</v>
      </c>
      <c r="BO224" s="75">
        <f t="shared" si="35"/>
        <v>0</v>
      </c>
      <c r="BP224" s="75">
        <f t="shared" si="36"/>
        <v>0</v>
      </c>
    </row>
    <row r="225" spans="1:68" ht="27" hidden="1" customHeight="1" x14ac:dyDescent="0.25">
      <c r="A225" s="60" t="s">
        <v>388</v>
      </c>
      <c r="B225" s="60" t="s">
        <v>389</v>
      </c>
      <c r="C225" s="34">
        <v>4301031499</v>
      </c>
      <c r="D225" s="648">
        <v>4680115888432</v>
      </c>
      <c r="E225" s="648"/>
      <c r="F225" s="59">
        <v>0.3</v>
      </c>
      <c r="G225" s="35">
        <v>6</v>
      </c>
      <c r="H225" s="59">
        <v>1.8</v>
      </c>
      <c r="I225" s="59">
        <v>1.93</v>
      </c>
      <c r="J225" s="35">
        <v>234</v>
      </c>
      <c r="K225" s="35" t="s">
        <v>81</v>
      </c>
      <c r="L225" s="35" t="s">
        <v>46</v>
      </c>
      <c r="M225" s="36" t="s">
        <v>80</v>
      </c>
      <c r="N225" s="36"/>
      <c r="O225" s="35">
        <v>45</v>
      </c>
      <c r="P225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50"/>
      <c r="R225" s="650"/>
      <c r="S225" s="650"/>
      <c r="T225" s="65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32"/>
        <v>0</v>
      </c>
      <c r="Z225" s="39" t="str">
        <f t="shared" si="37"/>
        <v/>
      </c>
      <c r="AA225" s="65" t="s">
        <v>46</v>
      </c>
      <c r="AB225" s="66" t="s">
        <v>46</v>
      </c>
      <c r="AC225" s="299" t="s">
        <v>390</v>
      </c>
      <c r="AG225" s="75"/>
      <c r="AJ225" s="79" t="s">
        <v>46</v>
      </c>
      <c r="AK225" s="79">
        <v>0</v>
      </c>
      <c r="BB225" s="300" t="s">
        <v>66</v>
      </c>
      <c r="BM225" s="75">
        <f t="shared" si="33"/>
        <v>0</v>
      </c>
      <c r="BN225" s="75">
        <f t="shared" si="34"/>
        <v>0</v>
      </c>
      <c r="BO225" s="75">
        <f t="shared" si="35"/>
        <v>0</v>
      </c>
      <c r="BP225" s="75">
        <f t="shared" si="36"/>
        <v>0</v>
      </c>
    </row>
    <row r="226" spans="1:68" ht="27" hidden="1" customHeight="1" x14ac:dyDescent="0.25">
      <c r="A226" s="60" t="s">
        <v>391</v>
      </c>
      <c r="B226" s="60" t="s">
        <v>392</v>
      </c>
      <c r="C226" s="34">
        <v>4301031427</v>
      </c>
      <c r="D226" s="648">
        <v>4680115888104</v>
      </c>
      <c r="E226" s="648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50"/>
      <c r="R226" s="650"/>
      <c r="S226" s="650"/>
      <c r="T226" s="651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32"/>
        <v>0</v>
      </c>
      <c r="Z226" s="39" t="str">
        <f t="shared" si="37"/>
        <v/>
      </c>
      <c r="AA226" s="65" t="s">
        <v>46</v>
      </c>
      <c r="AB226" s="66" t="s">
        <v>46</v>
      </c>
      <c r="AC226" s="301" t="s">
        <v>393</v>
      </c>
      <c r="AG226" s="75"/>
      <c r="AJ226" s="79" t="s">
        <v>46</v>
      </c>
      <c r="AK226" s="79">
        <v>0</v>
      </c>
      <c r="BB226" s="302" t="s">
        <v>66</v>
      </c>
      <c r="BM226" s="75">
        <f t="shared" si="33"/>
        <v>0</v>
      </c>
      <c r="BN226" s="75">
        <f t="shared" si="34"/>
        <v>0</v>
      </c>
      <c r="BO226" s="75">
        <f t="shared" si="35"/>
        <v>0</v>
      </c>
      <c r="BP226" s="75">
        <f t="shared" si="36"/>
        <v>0</v>
      </c>
    </row>
    <row r="227" spans="1:68" ht="27" hidden="1" customHeight="1" x14ac:dyDescent="0.25">
      <c r="A227" s="60" t="s">
        <v>394</v>
      </c>
      <c r="B227" s="60" t="s">
        <v>395</v>
      </c>
      <c r="C227" s="34">
        <v>4301031503</v>
      </c>
      <c r="D227" s="648">
        <v>4680115886537</v>
      </c>
      <c r="E227" s="64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45</v>
      </c>
      <c r="P227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50"/>
      <c r="R227" s="650"/>
      <c r="S227" s="650"/>
      <c r="T227" s="65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2"/>
        <v>0</v>
      </c>
      <c r="Z227" s="39" t="str">
        <f t="shared" si="37"/>
        <v/>
      </c>
      <c r="AA227" s="65" t="s">
        <v>46</v>
      </c>
      <c r="AB227" s="66" t="s">
        <v>46</v>
      </c>
      <c r="AC227" s="303" t="s">
        <v>396</v>
      </c>
      <c r="AG227" s="75"/>
      <c r="AJ227" s="79" t="s">
        <v>46</v>
      </c>
      <c r="AK227" s="79">
        <v>0</v>
      </c>
      <c r="BB227" s="304" t="s">
        <v>66</v>
      </c>
      <c r="BM227" s="75">
        <f t="shared" si="33"/>
        <v>0</v>
      </c>
      <c r="BN227" s="75">
        <f t="shared" si="34"/>
        <v>0</v>
      </c>
      <c r="BO227" s="75">
        <f t="shared" si="35"/>
        <v>0</v>
      </c>
      <c r="BP227" s="75">
        <f t="shared" si="36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4301031279</v>
      </c>
      <c r="D228" s="648">
        <v>4680115887596</v>
      </c>
      <c r="E228" s="648"/>
      <c r="F228" s="59">
        <v>0.08</v>
      </c>
      <c r="G228" s="35">
        <v>10</v>
      </c>
      <c r="H228" s="59">
        <v>0.8</v>
      </c>
      <c r="I228" s="59">
        <v>1.01</v>
      </c>
      <c r="J228" s="35">
        <v>336</v>
      </c>
      <c r="K228" s="35" t="s">
        <v>130</v>
      </c>
      <c r="L228" s="35" t="s">
        <v>46</v>
      </c>
      <c r="M228" s="36" t="s">
        <v>80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50"/>
      <c r="R228" s="650"/>
      <c r="S228" s="650"/>
      <c r="T228" s="65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2"/>
        <v>0</v>
      </c>
      <c r="Z228" s="39" t="str">
        <f>IFERROR(IF(Y228=0,"",ROUNDUP(Y228/H228,0)*0.00417),"")</f>
        <v/>
      </c>
      <c r="AA228" s="65" t="s">
        <v>46</v>
      </c>
      <c r="AB228" s="66" t="s">
        <v>46</v>
      </c>
      <c r="AC228" s="305" t="s">
        <v>399</v>
      </c>
      <c r="AG228" s="75"/>
      <c r="AJ228" s="79" t="s">
        <v>46</v>
      </c>
      <c r="AK228" s="79">
        <v>0</v>
      </c>
      <c r="BB228" s="306" t="s">
        <v>66</v>
      </c>
      <c r="BM228" s="75">
        <f t="shared" si="33"/>
        <v>0</v>
      </c>
      <c r="BN228" s="75">
        <f t="shared" si="34"/>
        <v>0</v>
      </c>
      <c r="BO228" s="75">
        <f t="shared" si="35"/>
        <v>0</v>
      </c>
      <c r="BP228" s="75">
        <f t="shared" si="36"/>
        <v>0</v>
      </c>
    </row>
    <row r="229" spans="1:68" ht="37.5" hidden="1" customHeight="1" x14ac:dyDescent="0.25">
      <c r="A229" s="60" t="s">
        <v>400</v>
      </c>
      <c r="B229" s="60" t="s">
        <v>401</v>
      </c>
      <c r="C229" s="34">
        <v>4301031202</v>
      </c>
      <c r="D229" s="648">
        <v>4680115881679</v>
      </c>
      <c r="E229" s="648"/>
      <c r="F229" s="59">
        <v>0.35</v>
      </c>
      <c r="G229" s="35">
        <v>6</v>
      </c>
      <c r="H229" s="59">
        <v>2.1</v>
      </c>
      <c r="I229" s="59">
        <v>2.2000000000000002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50"/>
      <c r="R229" s="650"/>
      <c r="S229" s="650"/>
      <c r="T229" s="65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2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07" t="s">
        <v>377</v>
      </c>
      <c r="AG229" s="75"/>
      <c r="AJ229" s="79" t="s">
        <v>46</v>
      </c>
      <c r="AK229" s="79">
        <v>0</v>
      </c>
      <c r="BB229" s="308" t="s">
        <v>66</v>
      </c>
      <c r="BM229" s="75">
        <f t="shared" si="33"/>
        <v>0</v>
      </c>
      <c r="BN229" s="75">
        <f t="shared" si="34"/>
        <v>0</v>
      </c>
      <c r="BO229" s="75">
        <f t="shared" si="35"/>
        <v>0</v>
      </c>
      <c r="BP229" s="75">
        <f t="shared" si="36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4301031158</v>
      </c>
      <c r="D230" s="648">
        <v>4680115880191</v>
      </c>
      <c r="E230" s="648"/>
      <c r="F230" s="59">
        <v>0.4</v>
      </c>
      <c r="G230" s="35">
        <v>6</v>
      </c>
      <c r="H230" s="59">
        <v>2.4</v>
      </c>
      <c r="I230" s="59">
        <v>2.58</v>
      </c>
      <c r="J230" s="35">
        <v>182</v>
      </c>
      <c r="K230" s="35" t="s">
        <v>90</v>
      </c>
      <c r="L230" s="35" t="s">
        <v>46</v>
      </c>
      <c r="M230" s="36" t="s">
        <v>80</v>
      </c>
      <c r="N230" s="36"/>
      <c r="O230" s="35">
        <v>40</v>
      </c>
      <c r="P230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50"/>
      <c r="R230" s="650"/>
      <c r="S230" s="650"/>
      <c r="T230" s="65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32"/>
        <v>0</v>
      </c>
      <c r="Z230" s="39" t="str">
        <f>IFERROR(IF(Y230=0,"",ROUNDUP(Y230/H230,0)*0.00651),"")</f>
        <v/>
      </c>
      <c r="AA230" s="65" t="s">
        <v>46</v>
      </c>
      <c r="AB230" s="66" t="s">
        <v>46</v>
      </c>
      <c r="AC230" s="309" t="s">
        <v>377</v>
      </c>
      <c r="AG230" s="75"/>
      <c r="AJ230" s="79" t="s">
        <v>46</v>
      </c>
      <c r="AK230" s="79">
        <v>0</v>
      </c>
      <c r="BB230" s="310" t="s">
        <v>66</v>
      </c>
      <c r="BM230" s="75">
        <f t="shared" si="33"/>
        <v>0</v>
      </c>
      <c r="BN230" s="75">
        <f t="shared" si="34"/>
        <v>0</v>
      </c>
      <c r="BO230" s="75">
        <f t="shared" si="35"/>
        <v>0</v>
      </c>
      <c r="BP230" s="75">
        <f t="shared" si="36"/>
        <v>0</v>
      </c>
    </row>
    <row r="231" spans="1:68" ht="27" hidden="1" customHeight="1" x14ac:dyDescent="0.25">
      <c r="A231" s="60" t="s">
        <v>402</v>
      </c>
      <c r="B231" s="60" t="s">
        <v>404</v>
      </c>
      <c r="C231" s="34">
        <v>4301031531</v>
      </c>
      <c r="D231" s="648">
        <v>4680115880191</v>
      </c>
      <c r="E231" s="648"/>
      <c r="F231" s="59">
        <v>0.4</v>
      </c>
      <c r="G231" s="35">
        <v>6</v>
      </c>
      <c r="H231" s="59">
        <v>2.4</v>
      </c>
      <c r="I231" s="59">
        <v>2.58</v>
      </c>
      <c r="J231" s="35">
        <v>182</v>
      </c>
      <c r="K231" s="35" t="s">
        <v>90</v>
      </c>
      <c r="L231" s="35" t="s">
        <v>46</v>
      </c>
      <c r="M231" s="36" t="s">
        <v>80</v>
      </c>
      <c r="N231" s="36"/>
      <c r="O231" s="35">
        <v>45</v>
      </c>
      <c r="P231" s="834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50"/>
      <c r="R231" s="650"/>
      <c r="S231" s="650"/>
      <c r="T231" s="65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2"/>
        <v>0</v>
      </c>
      <c r="Z231" s="39" t="str">
        <f>IFERROR(IF(Y231=0,"",ROUNDUP(Y231/H231,0)*0.00651),"")</f>
        <v/>
      </c>
      <c r="AA231" s="65" t="s">
        <v>46</v>
      </c>
      <c r="AB231" s="66" t="s">
        <v>46</v>
      </c>
      <c r="AC231" s="311" t="s">
        <v>377</v>
      </c>
      <c r="AG231" s="75"/>
      <c r="AJ231" s="79" t="s">
        <v>46</v>
      </c>
      <c r="AK231" s="79">
        <v>0</v>
      </c>
      <c r="BB231" s="312" t="s">
        <v>66</v>
      </c>
      <c r="BM231" s="75">
        <f t="shared" si="33"/>
        <v>0</v>
      </c>
      <c r="BN231" s="75">
        <f t="shared" si="34"/>
        <v>0</v>
      </c>
      <c r="BO231" s="75">
        <f t="shared" si="35"/>
        <v>0</v>
      </c>
      <c r="BP231" s="75">
        <f t="shared" si="36"/>
        <v>0</v>
      </c>
    </row>
    <row r="232" spans="1:68" ht="27" hidden="1" customHeight="1" x14ac:dyDescent="0.25">
      <c r="A232" s="60" t="s">
        <v>405</v>
      </c>
      <c r="B232" s="60" t="s">
        <v>406</v>
      </c>
      <c r="C232" s="34">
        <v>4301031245</v>
      </c>
      <c r="D232" s="648">
        <v>4680115883963</v>
      </c>
      <c r="E232" s="648"/>
      <c r="F232" s="59">
        <v>0.28000000000000003</v>
      </c>
      <c r="G232" s="35">
        <v>6</v>
      </c>
      <c r="H232" s="59">
        <v>1.68</v>
      </c>
      <c r="I232" s="59">
        <v>1.78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0"/>
      <c r="R232" s="650"/>
      <c r="S232" s="650"/>
      <c r="T232" s="65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2"/>
        <v>0</v>
      </c>
      <c r="Z232" s="39" t="str">
        <f>IFERROR(IF(Y232=0,"",ROUNDUP(Y232/H232,0)*0.00502),"")</f>
        <v/>
      </c>
      <c r="AA232" s="65" t="s">
        <v>46</v>
      </c>
      <c r="AB232" s="66" t="s">
        <v>46</v>
      </c>
      <c r="AC232" s="313" t="s">
        <v>407</v>
      </c>
      <c r="AG232" s="75"/>
      <c r="AJ232" s="79" t="s">
        <v>46</v>
      </c>
      <c r="AK232" s="79">
        <v>0</v>
      </c>
      <c r="BB232" s="314" t="s">
        <v>66</v>
      </c>
      <c r="BM232" s="75">
        <f t="shared" si="33"/>
        <v>0</v>
      </c>
      <c r="BN232" s="75">
        <f t="shared" si="34"/>
        <v>0</v>
      </c>
      <c r="BO232" s="75">
        <f t="shared" si="35"/>
        <v>0</v>
      </c>
      <c r="BP232" s="75">
        <f t="shared" si="36"/>
        <v>0</v>
      </c>
    </row>
    <row r="233" spans="1:68" hidden="1" x14ac:dyDescent="0.2">
      <c r="A233" s="655"/>
      <c r="B233" s="655"/>
      <c r="C233" s="655"/>
      <c r="D233" s="655"/>
      <c r="E233" s="655"/>
      <c r="F233" s="655"/>
      <c r="G233" s="655"/>
      <c r="H233" s="655"/>
      <c r="I233" s="655"/>
      <c r="J233" s="655"/>
      <c r="K233" s="655"/>
      <c r="L233" s="655"/>
      <c r="M233" s="655"/>
      <c r="N233" s="655"/>
      <c r="O233" s="656"/>
      <c r="P233" s="652" t="s">
        <v>40</v>
      </c>
      <c r="Q233" s="653"/>
      <c r="R233" s="653"/>
      <c r="S233" s="653"/>
      <c r="T233" s="653"/>
      <c r="U233" s="653"/>
      <c r="V233" s="654"/>
      <c r="W233" s="40" t="s">
        <v>39</v>
      </c>
      <c r="X233" s="41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1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1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55"/>
      <c r="B234" s="655"/>
      <c r="C234" s="655"/>
      <c r="D234" s="655"/>
      <c r="E234" s="655"/>
      <c r="F234" s="655"/>
      <c r="G234" s="655"/>
      <c r="H234" s="655"/>
      <c r="I234" s="655"/>
      <c r="J234" s="655"/>
      <c r="K234" s="655"/>
      <c r="L234" s="655"/>
      <c r="M234" s="655"/>
      <c r="N234" s="655"/>
      <c r="O234" s="656"/>
      <c r="P234" s="652" t="s">
        <v>40</v>
      </c>
      <c r="Q234" s="653"/>
      <c r="R234" s="653"/>
      <c r="S234" s="653"/>
      <c r="T234" s="653"/>
      <c r="U234" s="653"/>
      <c r="V234" s="654"/>
      <c r="W234" s="40" t="s">
        <v>0</v>
      </c>
      <c r="X234" s="41">
        <f>IFERROR(SUM(X218:X232),"0")</f>
        <v>0</v>
      </c>
      <c r="Y234" s="41">
        <f>IFERROR(SUM(Y218:Y232),"0")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2" t="s">
        <v>85</v>
      </c>
      <c r="B235" s="662"/>
      <c r="C235" s="662"/>
      <c r="D235" s="662"/>
      <c r="E235" s="662"/>
      <c r="F235" s="662"/>
      <c r="G235" s="662"/>
      <c r="H235" s="662"/>
      <c r="I235" s="662"/>
      <c r="J235" s="662"/>
      <c r="K235" s="662"/>
      <c r="L235" s="662"/>
      <c r="M235" s="662"/>
      <c r="N235" s="662"/>
      <c r="O235" s="662"/>
      <c r="P235" s="662"/>
      <c r="Q235" s="662"/>
      <c r="R235" s="662"/>
      <c r="S235" s="662"/>
      <c r="T235" s="662"/>
      <c r="U235" s="662"/>
      <c r="V235" s="662"/>
      <c r="W235" s="662"/>
      <c r="X235" s="662"/>
      <c r="Y235" s="662"/>
      <c r="Z235" s="662"/>
      <c r="AA235" s="63"/>
      <c r="AB235" s="63"/>
      <c r="AC235" s="63"/>
    </row>
    <row r="236" spans="1:68" ht="16.5" hidden="1" customHeight="1" x14ac:dyDescent="0.25">
      <c r="A236" s="60" t="s">
        <v>408</v>
      </c>
      <c r="B236" s="60" t="s">
        <v>409</v>
      </c>
      <c r="C236" s="34">
        <v>4301052209</v>
      </c>
      <c r="D236" s="648">
        <v>4680115888692</v>
      </c>
      <c r="E236" s="648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126</v>
      </c>
      <c r="L236" s="35" t="s">
        <v>46</v>
      </c>
      <c r="M236" s="36" t="s">
        <v>96</v>
      </c>
      <c r="N236" s="36"/>
      <c r="O236" s="35">
        <v>35</v>
      </c>
      <c r="P236" s="82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0"/>
      <c r="R236" s="650"/>
      <c r="S236" s="650"/>
      <c r="T236" s="65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ref="Y236:Y244" si="38">IFERROR(IF(X236="",0,CEILING((X236/$H236),1)*$H236),"")</f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15" t="s">
        <v>410</v>
      </c>
      <c r="AG236" s="75"/>
      <c r="AJ236" s="79" t="s">
        <v>46</v>
      </c>
      <c r="AK236" s="79">
        <v>0</v>
      </c>
      <c r="BB236" s="316" t="s">
        <v>66</v>
      </c>
      <c r="BM236" s="75">
        <f t="shared" ref="BM236:BM244" si="39">IFERROR(X236*I236/H236,"0")</f>
        <v>0</v>
      </c>
      <c r="BN236" s="75">
        <f t="shared" ref="BN236:BN244" si="40">IFERROR(Y236*I236/H236,"0")</f>
        <v>0</v>
      </c>
      <c r="BO236" s="75">
        <f t="shared" ref="BO236:BO244" si="41">IFERROR(1/J236*(X236/H236),"0")</f>
        <v>0</v>
      </c>
      <c r="BP236" s="75">
        <f t="shared" ref="BP236:BP244" si="42">IFERROR(1/J236*(Y236/H236),"0")</f>
        <v>0</v>
      </c>
    </row>
    <row r="237" spans="1:68" ht="16.5" hidden="1" customHeight="1" x14ac:dyDescent="0.25">
      <c r="A237" s="60" t="s">
        <v>408</v>
      </c>
      <c r="B237" s="60" t="s">
        <v>411</v>
      </c>
      <c r="C237" s="34">
        <v>4301052279</v>
      </c>
      <c r="D237" s="648">
        <v>4680115888692</v>
      </c>
      <c r="E237" s="648"/>
      <c r="F237" s="59">
        <v>0.8</v>
      </c>
      <c r="G237" s="35">
        <v>6</v>
      </c>
      <c r="H237" s="59">
        <v>4.8</v>
      </c>
      <c r="I237" s="59">
        <v>5.2220000000000004</v>
      </c>
      <c r="J237" s="35">
        <v>104</v>
      </c>
      <c r="K237" s="35" t="s">
        <v>126</v>
      </c>
      <c r="L237" s="35" t="s">
        <v>46</v>
      </c>
      <c r="M237" s="36" t="s">
        <v>96</v>
      </c>
      <c r="N237" s="36"/>
      <c r="O237" s="35">
        <v>40</v>
      </c>
      <c r="P237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50"/>
      <c r="R237" s="650"/>
      <c r="S237" s="650"/>
      <c r="T237" s="65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8"/>
        <v>0</v>
      </c>
      <c r="Z237" s="39" t="str">
        <f>IFERROR(IF(Y237=0,"",ROUNDUP(Y237/H237,0)*0.01196),"")</f>
        <v/>
      </c>
      <c r="AA237" s="65" t="s">
        <v>46</v>
      </c>
      <c r="AB237" s="66" t="s">
        <v>46</v>
      </c>
      <c r="AC237" s="317" t="s">
        <v>412</v>
      </c>
      <c r="AG237" s="75"/>
      <c r="AJ237" s="79" t="s">
        <v>46</v>
      </c>
      <c r="AK237" s="79">
        <v>0</v>
      </c>
      <c r="BB237" s="318" t="s">
        <v>66</v>
      </c>
      <c r="BM237" s="75">
        <f t="shared" si="39"/>
        <v>0</v>
      </c>
      <c r="BN237" s="75">
        <f t="shared" si="40"/>
        <v>0</v>
      </c>
      <c r="BO237" s="75">
        <f t="shared" si="41"/>
        <v>0</v>
      </c>
      <c r="BP237" s="75">
        <f t="shared" si="42"/>
        <v>0</v>
      </c>
    </row>
    <row r="238" spans="1:68" ht="27" hidden="1" customHeight="1" x14ac:dyDescent="0.25">
      <c r="A238" s="60" t="s">
        <v>413</v>
      </c>
      <c r="B238" s="60" t="s">
        <v>414</v>
      </c>
      <c r="C238" s="34">
        <v>4301052213</v>
      </c>
      <c r="D238" s="648">
        <v>4680115888722</v>
      </c>
      <c r="E238" s="64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126</v>
      </c>
      <c r="L238" s="35" t="s">
        <v>46</v>
      </c>
      <c r="M238" s="36" t="s">
        <v>96</v>
      </c>
      <c r="N238" s="36"/>
      <c r="O238" s="35">
        <v>35</v>
      </c>
      <c r="P238" s="82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50"/>
      <c r="R238" s="650"/>
      <c r="S238" s="650"/>
      <c r="T238" s="65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8"/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415</v>
      </c>
      <c r="AG238" s="75"/>
      <c r="AJ238" s="79" t="s">
        <v>46</v>
      </c>
      <c r="AK238" s="79">
        <v>0</v>
      </c>
      <c r="BB238" s="320" t="s">
        <v>66</v>
      </c>
      <c r="BM238" s="75">
        <f t="shared" si="39"/>
        <v>0</v>
      </c>
      <c r="BN238" s="75">
        <f t="shared" si="40"/>
        <v>0</v>
      </c>
      <c r="BO238" s="75">
        <f t="shared" si="41"/>
        <v>0</v>
      </c>
      <c r="BP238" s="75">
        <f t="shared" si="42"/>
        <v>0</v>
      </c>
    </row>
    <row r="239" spans="1:68" ht="27" hidden="1" customHeight="1" x14ac:dyDescent="0.25">
      <c r="A239" s="60" t="s">
        <v>413</v>
      </c>
      <c r="B239" s="60" t="s">
        <v>416</v>
      </c>
      <c r="C239" s="34">
        <v>4301052280</v>
      </c>
      <c r="D239" s="648">
        <v>4680115888722</v>
      </c>
      <c r="E239" s="64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126</v>
      </c>
      <c r="L239" s="35" t="s">
        <v>46</v>
      </c>
      <c r="M239" s="36" t="s">
        <v>96</v>
      </c>
      <c r="N239" s="36"/>
      <c r="O239" s="35">
        <v>40</v>
      </c>
      <c r="P239" s="82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50"/>
      <c r="R239" s="650"/>
      <c r="S239" s="650"/>
      <c r="T239" s="65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8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417</v>
      </c>
      <c r="AG239" s="75"/>
      <c r="AJ239" s="79" t="s">
        <v>46</v>
      </c>
      <c r="AK239" s="79">
        <v>0</v>
      </c>
      <c r="BB239" s="322" t="s">
        <v>66</v>
      </c>
      <c r="BM239" s="75">
        <f t="shared" si="39"/>
        <v>0</v>
      </c>
      <c r="BN239" s="75">
        <f t="shared" si="40"/>
        <v>0</v>
      </c>
      <c r="BO239" s="75">
        <f t="shared" si="41"/>
        <v>0</v>
      </c>
      <c r="BP239" s="75">
        <f t="shared" si="42"/>
        <v>0</v>
      </c>
    </row>
    <row r="240" spans="1:68" ht="27" hidden="1" customHeight="1" x14ac:dyDescent="0.25">
      <c r="A240" s="60" t="s">
        <v>418</v>
      </c>
      <c r="B240" s="60" t="s">
        <v>419</v>
      </c>
      <c r="C240" s="34">
        <v>4301052177</v>
      </c>
      <c r="D240" s="648">
        <v>4680115888951</v>
      </c>
      <c r="E240" s="648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133</v>
      </c>
      <c r="L240" s="35" t="s">
        <v>46</v>
      </c>
      <c r="M240" s="36" t="s">
        <v>96</v>
      </c>
      <c r="N240" s="36"/>
      <c r="O240" s="35">
        <v>35</v>
      </c>
      <c r="P240" s="82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50"/>
      <c r="R240" s="650"/>
      <c r="S240" s="650"/>
      <c r="T240" s="65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8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3" t="s">
        <v>420</v>
      </c>
      <c r="AG240" s="75"/>
      <c r="AJ240" s="79" t="s">
        <v>46</v>
      </c>
      <c r="AK240" s="79">
        <v>0</v>
      </c>
      <c r="BB240" s="324" t="s">
        <v>66</v>
      </c>
      <c r="BM240" s="75">
        <f t="shared" si="39"/>
        <v>0</v>
      </c>
      <c r="BN240" s="75">
        <f t="shared" si="40"/>
        <v>0</v>
      </c>
      <c r="BO240" s="75">
        <f t="shared" si="41"/>
        <v>0</v>
      </c>
      <c r="BP240" s="75">
        <f t="shared" si="42"/>
        <v>0</v>
      </c>
    </row>
    <row r="241" spans="1:68" ht="27" hidden="1" customHeight="1" x14ac:dyDescent="0.25">
      <c r="A241" s="60" t="s">
        <v>418</v>
      </c>
      <c r="B241" s="60" t="s">
        <v>421</v>
      </c>
      <c r="C241" s="34">
        <v>4301052276</v>
      </c>
      <c r="D241" s="648">
        <v>4680115888951</v>
      </c>
      <c r="E241" s="648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133</v>
      </c>
      <c r="L241" s="35" t="s">
        <v>46</v>
      </c>
      <c r="M241" s="36" t="s">
        <v>96</v>
      </c>
      <c r="N241" s="36"/>
      <c r="O241" s="35">
        <v>40</v>
      </c>
      <c r="P241" s="82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50"/>
      <c r="R241" s="650"/>
      <c r="S241" s="650"/>
      <c r="T241" s="65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8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25" t="s">
        <v>412</v>
      </c>
      <c r="AG241" s="75"/>
      <c r="AJ241" s="79" t="s">
        <v>46</v>
      </c>
      <c r="AK241" s="79">
        <v>0</v>
      </c>
      <c r="BB241" s="326" t="s">
        <v>66</v>
      </c>
      <c r="BM241" s="75">
        <f t="shared" si="39"/>
        <v>0</v>
      </c>
      <c r="BN241" s="75">
        <f t="shared" si="40"/>
        <v>0</v>
      </c>
      <c r="BO241" s="75">
        <f t="shared" si="41"/>
        <v>0</v>
      </c>
      <c r="BP241" s="75">
        <f t="shared" si="42"/>
        <v>0</v>
      </c>
    </row>
    <row r="242" spans="1:68" ht="27" hidden="1" customHeight="1" x14ac:dyDescent="0.25">
      <c r="A242" s="60" t="s">
        <v>422</v>
      </c>
      <c r="B242" s="60" t="s">
        <v>423</v>
      </c>
      <c r="C242" s="34">
        <v>4301052178</v>
      </c>
      <c r="D242" s="648">
        <v>4680115888975</v>
      </c>
      <c r="E242" s="648"/>
      <c r="F242" s="59">
        <v>0.32</v>
      </c>
      <c r="G242" s="35">
        <v>6</v>
      </c>
      <c r="H242" s="59">
        <v>1.92</v>
      </c>
      <c r="I242" s="59">
        <v>2.1819999999999999</v>
      </c>
      <c r="J242" s="35">
        <v>132</v>
      </c>
      <c r="K242" s="35" t="s">
        <v>133</v>
      </c>
      <c r="L242" s="35" t="s">
        <v>46</v>
      </c>
      <c r="M242" s="36" t="s">
        <v>96</v>
      </c>
      <c r="N242" s="36"/>
      <c r="O242" s="35">
        <v>35</v>
      </c>
      <c r="P242" s="82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50"/>
      <c r="R242" s="650"/>
      <c r="S242" s="650"/>
      <c r="T242" s="65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8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424</v>
      </c>
      <c r="AG242" s="75"/>
      <c r="AJ242" s="79" t="s">
        <v>46</v>
      </c>
      <c r="AK242" s="79">
        <v>0</v>
      </c>
      <c r="BB242" s="328" t="s">
        <v>66</v>
      </c>
      <c r="BM242" s="75">
        <f t="shared" si="39"/>
        <v>0</v>
      </c>
      <c r="BN242" s="75">
        <f t="shared" si="40"/>
        <v>0</v>
      </c>
      <c r="BO242" s="75">
        <f t="shared" si="41"/>
        <v>0</v>
      </c>
      <c r="BP242" s="75">
        <f t="shared" si="42"/>
        <v>0</v>
      </c>
    </row>
    <row r="243" spans="1:68" ht="27" hidden="1" customHeight="1" x14ac:dyDescent="0.25">
      <c r="A243" s="60" t="s">
        <v>425</v>
      </c>
      <c r="B243" s="60" t="s">
        <v>426</v>
      </c>
      <c r="C243" s="34">
        <v>4301052176</v>
      </c>
      <c r="D243" s="648">
        <v>4680115888982</v>
      </c>
      <c r="E243" s="64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133</v>
      </c>
      <c r="L243" s="35" t="s">
        <v>46</v>
      </c>
      <c r="M243" s="36" t="s">
        <v>96</v>
      </c>
      <c r="N243" s="36"/>
      <c r="O243" s="35">
        <v>35</v>
      </c>
      <c r="P243" s="82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50"/>
      <c r="R243" s="650"/>
      <c r="S243" s="650"/>
      <c r="T243" s="65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8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415</v>
      </c>
      <c r="AG243" s="75"/>
      <c r="AJ243" s="79" t="s">
        <v>46</v>
      </c>
      <c r="AK243" s="79">
        <v>0</v>
      </c>
      <c r="BB243" s="330" t="s">
        <v>66</v>
      </c>
      <c r="BM243" s="75">
        <f t="shared" si="39"/>
        <v>0</v>
      </c>
      <c r="BN243" s="75">
        <f t="shared" si="40"/>
        <v>0</v>
      </c>
      <c r="BO243" s="75">
        <f t="shared" si="41"/>
        <v>0</v>
      </c>
      <c r="BP243" s="75">
        <f t="shared" si="42"/>
        <v>0</v>
      </c>
    </row>
    <row r="244" spans="1:68" ht="27" hidden="1" customHeight="1" x14ac:dyDescent="0.25">
      <c r="A244" s="60" t="s">
        <v>425</v>
      </c>
      <c r="B244" s="60" t="s">
        <v>427</v>
      </c>
      <c r="C244" s="34">
        <v>4301052277</v>
      </c>
      <c r="D244" s="648">
        <v>4680115888982</v>
      </c>
      <c r="E244" s="648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133</v>
      </c>
      <c r="L244" s="35" t="s">
        <v>46</v>
      </c>
      <c r="M244" s="36" t="s">
        <v>96</v>
      </c>
      <c r="N244" s="36"/>
      <c r="O244" s="35">
        <v>40</v>
      </c>
      <c r="P244" s="81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0"/>
      <c r="R244" s="650"/>
      <c r="S244" s="650"/>
      <c r="T244" s="65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8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417</v>
      </c>
      <c r="AG244" s="75"/>
      <c r="AJ244" s="79" t="s">
        <v>46</v>
      </c>
      <c r="AK244" s="79">
        <v>0</v>
      </c>
      <c r="BB244" s="332" t="s">
        <v>66</v>
      </c>
      <c r="BM244" s="75">
        <f t="shared" si="39"/>
        <v>0</v>
      </c>
      <c r="BN244" s="75">
        <f t="shared" si="40"/>
        <v>0</v>
      </c>
      <c r="BO244" s="75">
        <f t="shared" si="41"/>
        <v>0</v>
      </c>
      <c r="BP244" s="75">
        <f t="shared" si="42"/>
        <v>0</v>
      </c>
    </row>
    <row r="245" spans="1:68" hidden="1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2" t="s">
        <v>40</v>
      </c>
      <c r="Q245" s="653"/>
      <c r="R245" s="653"/>
      <c r="S245" s="653"/>
      <c r="T245" s="653"/>
      <c r="U245" s="653"/>
      <c r="V245" s="654"/>
      <c r="W245" s="40" t="s">
        <v>39</v>
      </c>
      <c r="X245" s="41">
        <f>IFERROR(X236/H236,"0")+IFERROR(X237/H237,"0")+IFERROR(X238/H238,"0")+IFERROR(X239/H239,"0")+IFERROR(X240/H240,"0")+IFERROR(X241/H241,"0")+IFERROR(X242/H242,"0")+IFERROR(X243/H243,"0")+IFERROR(X244/H244,"0")</f>
        <v>0</v>
      </c>
      <c r="Y245" s="41">
        <f>IFERROR(Y236/H236,"0")+IFERROR(Y237/H237,"0")+IFERROR(Y238/H238,"0")+IFERROR(Y239/H239,"0")+IFERROR(Y240/H240,"0")+IFERROR(Y241/H241,"0")+IFERROR(Y242/H242,"0")+IFERROR(Y243/H243,"0")+IFERROR(Y244/H244,"0")</f>
        <v>0</v>
      </c>
      <c r="Z245" s="41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55"/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6"/>
      <c r="P246" s="652" t="s">
        <v>40</v>
      </c>
      <c r="Q246" s="653"/>
      <c r="R246" s="653"/>
      <c r="S246" s="653"/>
      <c r="T246" s="653"/>
      <c r="U246" s="653"/>
      <c r="V246" s="654"/>
      <c r="W246" s="40" t="s">
        <v>0</v>
      </c>
      <c r="X246" s="41">
        <f>IFERROR(SUM(X236:X244),"0")</f>
        <v>0</v>
      </c>
      <c r="Y246" s="41">
        <f>IFERROR(SUM(Y236:Y244),"0")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62" t="s">
        <v>274</v>
      </c>
      <c r="B247" s="662"/>
      <c r="C247" s="662"/>
      <c r="D247" s="662"/>
      <c r="E247" s="662"/>
      <c r="F247" s="662"/>
      <c r="G247" s="662"/>
      <c r="H247" s="662"/>
      <c r="I247" s="662"/>
      <c r="J247" s="662"/>
      <c r="K247" s="662"/>
      <c r="L247" s="662"/>
      <c r="M247" s="662"/>
      <c r="N247" s="662"/>
      <c r="O247" s="662"/>
      <c r="P247" s="662"/>
      <c r="Q247" s="662"/>
      <c r="R247" s="662"/>
      <c r="S247" s="662"/>
      <c r="T247" s="662"/>
      <c r="U247" s="662"/>
      <c r="V247" s="662"/>
      <c r="W247" s="662"/>
      <c r="X247" s="662"/>
      <c r="Y247" s="662"/>
      <c r="Z247" s="662"/>
      <c r="AA247" s="63"/>
      <c r="AB247" s="63"/>
      <c r="AC247" s="63"/>
    </row>
    <row r="248" spans="1:68" ht="27" hidden="1" customHeight="1" x14ac:dyDescent="0.25">
      <c r="A248" s="60" t="s">
        <v>428</v>
      </c>
      <c r="B248" s="60" t="s">
        <v>429</v>
      </c>
      <c r="C248" s="34">
        <v>4301032053</v>
      </c>
      <c r="D248" s="648">
        <v>4680115886780</v>
      </c>
      <c r="E248" s="648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338</v>
      </c>
      <c r="L248" s="35" t="s">
        <v>46</v>
      </c>
      <c r="M248" s="36" t="s">
        <v>279</v>
      </c>
      <c r="N248" s="36"/>
      <c r="O248" s="35">
        <v>60</v>
      </c>
      <c r="P248" s="8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0"/>
      <c r="R248" s="650"/>
      <c r="S248" s="650"/>
      <c r="T248" s="65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33" t="s">
        <v>430</v>
      </c>
      <c r="AG248" s="75"/>
      <c r="AJ248" s="79" t="s">
        <v>46</v>
      </c>
      <c r="AK248" s="79">
        <v>0</v>
      </c>
      <c r="BB248" s="334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431</v>
      </c>
      <c r="B249" s="60" t="s">
        <v>432</v>
      </c>
      <c r="C249" s="34">
        <v>4301032051</v>
      </c>
      <c r="D249" s="648">
        <v>4680115886742</v>
      </c>
      <c r="E249" s="648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338</v>
      </c>
      <c r="L249" s="35" t="s">
        <v>46</v>
      </c>
      <c r="M249" s="36" t="s">
        <v>279</v>
      </c>
      <c r="N249" s="36"/>
      <c r="O249" s="35">
        <v>90</v>
      </c>
      <c r="P249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0"/>
      <c r="R249" s="650"/>
      <c r="S249" s="650"/>
      <c r="T249" s="65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35" t="s">
        <v>433</v>
      </c>
      <c r="AG249" s="75"/>
      <c r="AJ249" s="79" t="s">
        <v>46</v>
      </c>
      <c r="AK249" s="79">
        <v>0</v>
      </c>
      <c r="BB249" s="33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434</v>
      </c>
      <c r="B250" s="60" t="s">
        <v>435</v>
      </c>
      <c r="C250" s="34">
        <v>4301032052</v>
      </c>
      <c r="D250" s="648">
        <v>4680115886766</v>
      </c>
      <c r="E250" s="64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338</v>
      </c>
      <c r="L250" s="35" t="s">
        <v>46</v>
      </c>
      <c r="M250" s="36" t="s">
        <v>279</v>
      </c>
      <c r="N250" s="36"/>
      <c r="O250" s="35">
        <v>90</v>
      </c>
      <c r="P250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0"/>
      <c r="R250" s="650"/>
      <c r="S250" s="650"/>
      <c r="T250" s="65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7" t="s">
        <v>433</v>
      </c>
      <c r="AG250" s="75"/>
      <c r="AJ250" s="79" t="s">
        <v>46</v>
      </c>
      <c r="AK250" s="79">
        <v>0</v>
      </c>
      <c r="BB250" s="338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55"/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6"/>
      <c r="P251" s="652" t="s">
        <v>40</v>
      </c>
      <c r="Q251" s="653"/>
      <c r="R251" s="653"/>
      <c r="S251" s="653"/>
      <c r="T251" s="653"/>
      <c r="U251" s="653"/>
      <c r="V251" s="654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55"/>
      <c r="B252" s="655"/>
      <c r="C252" s="655"/>
      <c r="D252" s="655"/>
      <c r="E252" s="655"/>
      <c r="F252" s="655"/>
      <c r="G252" s="655"/>
      <c r="H252" s="655"/>
      <c r="I252" s="655"/>
      <c r="J252" s="655"/>
      <c r="K252" s="655"/>
      <c r="L252" s="655"/>
      <c r="M252" s="655"/>
      <c r="N252" s="655"/>
      <c r="O252" s="656"/>
      <c r="P252" s="652" t="s">
        <v>40</v>
      </c>
      <c r="Q252" s="653"/>
      <c r="R252" s="653"/>
      <c r="S252" s="653"/>
      <c r="T252" s="653"/>
      <c r="U252" s="653"/>
      <c r="V252" s="654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62" t="s">
        <v>436</v>
      </c>
      <c r="B253" s="662"/>
      <c r="C253" s="662"/>
      <c r="D253" s="662"/>
      <c r="E253" s="662"/>
      <c r="F253" s="662"/>
      <c r="G253" s="662"/>
      <c r="H253" s="662"/>
      <c r="I253" s="662"/>
      <c r="J253" s="662"/>
      <c r="K253" s="662"/>
      <c r="L253" s="662"/>
      <c r="M253" s="662"/>
      <c r="N253" s="662"/>
      <c r="O253" s="662"/>
      <c r="P253" s="662"/>
      <c r="Q253" s="662"/>
      <c r="R253" s="662"/>
      <c r="S253" s="662"/>
      <c r="T253" s="662"/>
      <c r="U253" s="662"/>
      <c r="V253" s="662"/>
      <c r="W253" s="662"/>
      <c r="X253" s="662"/>
      <c r="Y253" s="662"/>
      <c r="Z253" s="662"/>
      <c r="AA253" s="63"/>
      <c r="AB253" s="63"/>
      <c r="AC253" s="63"/>
    </row>
    <row r="254" spans="1:68" ht="27" hidden="1" customHeight="1" x14ac:dyDescent="0.25">
      <c r="A254" s="60" t="s">
        <v>437</v>
      </c>
      <c r="B254" s="60" t="s">
        <v>438</v>
      </c>
      <c r="C254" s="34">
        <v>4301170013</v>
      </c>
      <c r="D254" s="648">
        <v>4680115886797</v>
      </c>
      <c r="E254" s="648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338</v>
      </c>
      <c r="L254" s="35" t="s">
        <v>46</v>
      </c>
      <c r="M254" s="36" t="s">
        <v>279</v>
      </c>
      <c r="N254" s="36"/>
      <c r="O254" s="35">
        <v>90</v>
      </c>
      <c r="P254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0"/>
      <c r="R254" s="650"/>
      <c r="S254" s="650"/>
      <c r="T254" s="651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9" t="s">
        <v>433</v>
      </c>
      <c r="AG254" s="75"/>
      <c r="AJ254" s="79" t="s">
        <v>46</v>
      </c>
      <c r="AK254" s="79">
        <v>0</v>
      </c>
      <c r="BB254" s="34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55"/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6"/>
      <c r="P255" s="652" t="s">
        <v>40</v>
      </c>
      <c r="Q255" s="653"/>
      <c r="R255" s="653"/>
      <c r="S255" s="653"/>
      <c r="T255" s="653"/>
      <c r="U255" s="653"/>
      <c r="V255" s="654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55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2" t="s">
        <v>40</v>
      </c>
      <c r="Q256" s="653"/>
      <c r="R256" s="653"/>
      <c r="S256" s="653"/>
      <c r="T256" s="653"/>
      <c r="U256" s="653"/>
      <c r="V256" s="654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66" t="s">
        <v>439</v>
      </c>
      <c r="B257" s="666"/>
      <c r="C257" s="666"/>
      <c r="D257" s="666"/>
      <c r="E257" s="666"/>
      <c r="F257" s="666"/>
      <c r="G257" s="666"/>
      <c r="H257" s="666"/>
      <c r="I257" s="666"/>
      <c r="J257" s="666"/>
      <c r="K257" s="666"/>
      <c r="L257" s="666"/>
      <c r="M257" s="666"/>
      <c r="N257" s="666"/>
      <c r="O257" s="666"/>
      <c r="P257" s="666"/>
      <c r="Q257" s="666"/>
      <c r="R257" s="666"/>
      <c r="S257" s="666"/>
      <c r="T257" s="666"/>
      <c r="U257" s="666"/>
      <c r="V257" s="666"/>
      <c r="W257" s="666"/>
      <c r="X257" s="666"/>
      <c r="Y257" s="666"/>
      <c r="Z257" s="666"/>
      <c r="AA257" s="62"/>
      <c r="AB257" s="62"/>
      <c r="AC257" s="62"/>
    </row>
    <row r="258" spans="1:68" ht="14.25" hidden="1" customHeight="1" x14ac:dyDescent="0.25">
      <c r="A258" s="662" t="s">
        <v>121</v>
      </c>
      <c r="B258" s="662"/>
      <c r="C258" s="662"/>
      <c r="D258" s="662"/>
      <c r="E258" s="662"/>
      <c r="F258" s="662"/>
      <c r="G258" s="662"/>
      <c r="H258" s="662"/>
      <c r="I258" s="662"/>
      <c r="J258" s="662"/>
      <c r="K258" s="662"/>
      <c r="L258" s="662"/>
      <c r="M258" s="662"/>
      <c r="N258" s="662"/>
      <c r="O258" s="662"/>
      <c r="P258" s="662"/>
      <c r="Q258" s="662"/>
      <c r="R258" s="662"/>
      <c r="S258" s="662"/>
      <c r="T258" s="662"/>
      <c r="U258" s="662"/>
      <c r="V258" s="662"/>
      <c r="W258" s="662"/>
      <c r="X258" s="662"/>
      <c r="Y258" s="662"/>
      <c r="Z258" s="662"/>
      <c r="AA258" s="63"/>
      <c r="AB258" s="63"/>
      <c r="AC258" s="63"/>
    </row>
    <row r="259" spans="1:68" ht="27" hidden="1" customHeight="1" x14ac:dyDescent="0.25">
      <c r="A259" s="60" t="s">
        <v>440</v>
      </c>
      <c r="B259" s="60" t="s">
        <v>441</v>
      </c>
      <c r="C259" s="34">
        <v>4301011450</v>
      </c>
      <c r="D259" s="648">
        <v>4680115881402</v>
      </c>
      <c r="E259" s="648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126</v>
      </c>
      <c r="L259" s="35" t="s">
        <v>46</v>
      </c>
      <c r="M259" s="36" t="s">
        <v>125</v>
      </c>
      <c r="N259" s="36"/>
      <c r="O259" s="35">
        <v>55</v>
      </c>
      <c r="P259" s="81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0"/>
      <c r="R259" s="650"/>
      <c r="S259" s="650"/>
      <c r="T259" s="651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41" t="s">
        <v>442</v>
      </c>
      <c r="AG259" s="75"/>
      <c r="AJ259" s="79" t="s">
        <v>46</v>
      </c>
      <c r="AK259" s="79">
        <v>0</v>
      </c>
      <c r="BB259" s="342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443</v>
      </c>
      <c r="B260" s="60" t="s">
        <v>444</v>
      </c>
      <c r="C260" s="34">
        <v>4301011768</v>
      </c>
      <c r="D260" s="648">
        <v>4680115881396</v>
      </c>
      <c r="E260" s="648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125</v>
      </c>
      <c r="N260" s="36"/>
      <c r="O260" s="35">
        <v>55</v>
      </c>
      <c r="P260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0"/>
      <c r="R260" s="650"/>
      <c r="S260" s="650"/>
      <c r="T260" s="651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43" t="s">
        <v>442</v>
      </c>
      <c r="AG260" s="75"/>
      <c r="AJ260" s="79" t="s">
        <v>46</v>
      </c>
      <c r="AK260" s="79">
        <v>0</v>
      </c>
      <c r="BB260" s="344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55"/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6"/>
      <c r="P261" s="652" t="s">
        <v>40</v>
      </c>
      <c r="Q261" s="653"/>
      <c r="R261" s="653"/>
      <c r="S261" s="653"/>
      <c r="T261" s="653"/>
      <c r="U261" s="653"/>
      <c r="V261" s="654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55"/>
      <c r="B262" s="655"/>
      <c r="C262" s="655"/>
      <c r="D262" s="655"/>
      <c r="E262" s="655"/>
      <c r="F262" s="655"/>
      <c r="G262" s="655"/>
      <c r="H262" s="655"/>
      <c r="I262" s="655"/>
      <c r="J262" s="655"/>
      <c r="K262" s="655"/>
      <c r="L262" s="655"/>
      <c r="M262" s="655"/>
      <c r="N262" s="655"/>
      <c r="O262" s="656"/>
      <c r="P262" s="652" t="s">
        <v>40</v>
      </c>
      <c r="Q262" s="653"/>
      <c r="R262" s="653"/>
      <c r="S262" s="653"/>
      <c r="T262" s="653"/>
      <c r="U262" s="653"/>
      <c r="V262" s="654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62" t="s">
        <v>156</v>
      </c>
      <c r="B263" s="662"/>
      <c r="C263" s="662"/>
      <c r="D263" s="662"/>
      <c r="E263" s="662"/>
      <c r="F263" s="662"/>
      <c r="G263" s="662"/>
      <c r="H263" s="662"/>
      <c r="I263" s="662"/>
      <c r="J263" s="662"/>
      <c r="K263" s="662"/>
      <c r="L263" s="662"/>
      <c r="M263" s="662"/>
      <c r="N263" s="662"/>
      <c r="O263" s="662"/>
      <c r="P263" s="662"/>
      <c r="Q263" s="662"/>
      <c r="R263" s="662"/>
      <c r="S263" s="662"/>
      <c r="T263" s="662"/>
      <c r="U263" s="662"/>
      <c r="V263" s="662"/>
      <c r="W263" s="662"/>
      <c r="X263" s="662"/>
      <c r="Y263" s="662"/>
      <c r="Z263" s="662"/>
      <c r="AA263" s="63"/>
      <c r="AB263" s="63"/>
      <c r="AC263" s="63"/>
    </row>
    <row r="264" spans="1:68" ht="16.5" hidden="1" customHeight="1" x14ac:dyDescent="0.25">
      <c r="A264" s="60" t="s">
        <v>445</v>
      </c>
      <c r="B264" s="60" t="s">
        <v>446</v>
      </c>
      <c r="C264" s="34">
        <v>4301020261</v>
      </c>
      <c r="D264" s="648">
        <v>4680115882935</v>
      </c>
      <c r="E264" s="648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126</v>
      </c>
      <c r="L264" s="35" t="s">
        <v>46</v>
      </c>
      <c r="M264" s="36" t="s">
        <v>125</v>
      </c>
      <c r="N264" s="36"/>
      <c r="O264" s="35">
        <v>50</v>
      </c>
      <c r="P264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0"/>
      <c r="R264" s="650"/>
      <c r="S264" s="650"/>
      <c r="T264" s="651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45" t="s">
        <v>447</v>
      </c>
      <c r="AG264" s="75"/>
      <c r="AJ264" s="79" t="s">
        <v>46</v>
      </c>
      <c r="AK264" s="79">
        <v>0</v>
      </c>
      <c r="BB264" s="346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448</v>
      </c>
      <c r="B265" s="60" t="s">
        <v>449</v>
      </c>
      <c r="C265" s="34">
        <v>4301020220</v>
      </c>
      <c r="D265" s="648">
        <v>4680115880764</v>
      </c>
      <c r="E265" s="648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125</v>
      </c>
      <c r="N265" s="36"/>
      <c r="O265" s="35">
        <v>50</v>
      </c>
      <c r="P265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0"/>
      <c r="R265" s="650"/>
      <c r="S265" s="650"/>
      <c r="T265" s="651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7" t="s">
        <v>447</v>
      </c>
      <c r="AG265" s="75"/>
      <c r="AJ265" s="79" t="s">
        <v>46</v>
      </c>
      <c r="AK265" s="79">
        <v>0</v>
      </c>
      <c r="BB265" s="34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55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2" t="s">
        <v>40</v>
      </c>
      <c r="Q266" s="653"/>
      <c r="R266" s="653"/>
      <c r="S266" s="653"/>
      <c r="T266" s="653"/>
      <c r="U266" s="653"/>
      <c r="V266" s="654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2" t="s">
        <v>40</v>
      </c>
      <c r="Q267" s="653"/>
      <c r="R267" s="653"/>
      <c r="S267" s="653"/>
      <c r="T267" s="653"/>
      <c r="U267" s="653"/>
      <c r="V267" s="654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62" t="s">
        <v>76</v>
      </c>
      <c r="B268" s="662"/>
      <c r="C268" s="662"/>
      <c r="D268" s="662"/>
      <c r="E268" s="662"/>
      <c r="F268" s="662"/>
      <c r="G268" s="662"/>
      <c r="H268" s="662"/>
      <c r="I268" s="662"/>
      <c r="J268" s="662"/>
      <c r="K268" s="662"/>
      <c r="L268" s="662"/>
      <c r="M268" s="662"/>
      <c r="N268" s="662"/>
      <c r="O268" s="662"/>
      <c r="P268" s="662"/>
      <c r="Q268" s="662"/>
      <c r="R268" s="662"/>
      <c r="S268" s="662"/>
      <c r="T268" s="662"/>
      <c r="U268" s="662"/>
      <c r="V268" s="662"/>
      <c r="W268" s="662"/>
      <c r="X268" s="662"/>
      <c r="Y268" s="662"/>
      <c r="Z268" s="662"/>
      <c r="AA268" s="63"/>
      <c r="AB268" s="63"/>
      <c r="AC268" s="63"/>
    </row>
    <row r="269" spans="1:68" ht="27" hidden="1" customHeight="1" x14ac:dyDescent="0.25">
      <c r="A269" s="60" t="s">
        <v>450</v>
      </c>
      <c r="B269" s="60" t="s">
        <v>451</v>
      </c>
      <c r="C269" s="34">
        <v>4301031224</v>
      </c>
      <c r="D269" s="648">
        <v>4680115882683</v>
      </c>
      <c r="E269" s="648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133</v>
      </c>
      <c r="L269" s="35" t="s">
        <v>46</v>
      </c>
      <c r="M269" s="36" t="s">
        <v>80</v>
      </c>
      <c r="N269" s="36"/>
      <c r="O269" s="35">
        <v>40</v>
      </c>
      <c r="P269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0"/>
      <c r="R269" s="650"/>
      <c r="S269" s="650"/>
      <c r="T269" s="651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43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9" t="s">
        <v>452</v>
      </c>
      <c r="AG269" s="75"/>
      <c r="AJ269" s="79" t="s">
        <v>46</v>
      </c>
      <c r="AK269" s="79">
        <v>0</v>
      </c>
      <c r="BB269" s="350" t="s">
        <v>66</v>
      </c>
      <c r="BM269" s="75">
        <f t="shared" ref="BM269:BM276" si="44">IFERROR(X269*I269/H269,"0")</f>
        <v>0</v>
      </c>
      <c r="BN269" s="75">
        <f t="shared" ref="BN269:BN276" si="45">IFERROR(Y269*I269/H269,"0")</f>
        <v>0</v>
      </c>
      <c r="BO269" s="75">
        <f t="shared" ref="BO269:BO276" si="46">IFERROR(1/J269*(X269/H269),"0")</f>
        <v>0</v>
      </c>
      <c r="BP269" s="75">
        <f t="shared" ref="BP269:BP276" si="47">IFERROR(1/J269*(Y269/H269),"0")</f>
        <v>0</v>
      </c>
    </row>
    <row r="270" spans="1:68" ht="27" hidden="1" customHeight="1" x14ac:dyDescent="0.25">
      <c r="A270" s="60" t="s">
        <v>453</v>
      </c>
      <c r="B270" s="60" t="s">
        <v>454</v>
      </c>
      <c r="C270" s="34">
        <v>4301031230</v>
      </c>
      <c r="D270" s="648">
        <v>4680115882690</v>
      </c>
      <c r="E270" s="648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133</v>
      </c>
      <c r="L270" s="35" t="s">
        <v>46</v>
      </c>
      <c r="M270" s="36" t="s">
        <v>80</v>
      </c>
      <c r="N270" s="36"/>
      <c r="O270" s="35">
        <v>40</v>
      </c>
      <c r="P270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0"/>
      <c r="R270" s="650"/>
      <c r="S270" s="650"/>
      <c r="T270" s="651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43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51" t="s">
        <v>455</v>
      </c>
      <c r="AG270" s="75"/>
      <c r="AJ270" s="79" t="s">
        <v>46</v>
      </c>
      <c r="AK270" s="79">
        <v>0</v>
      </c>
      <c r="BB270" s="352" t="s">
        <v>66</v>
      </c>
      <c r="BM270" s="75">
        <f t="shared" si="44"/>
        <v>0</v>
      </c>
      <c r="BN270" s="75">
        <f t="shared" si="45"/>
        <v>0</v>
      </c>
      <c r="BO270" s="75">
        <f t="shared" si="46"/>
        <v>0</v>
      </c>
      <c r="BP270" s="75">
        <f t="shared" si="47"/>
        <v>0</v>
      </c>
    </row>
    <row r="271" spans="1:68" ht="27" hidden="1" customHeight="1" x14ac:dyDescent="0.25">
      <c r="A271" s="60" t="s">
        <v>456</v>
      </c>
      <c r="B271" s="60" t="s">
        <v>457</v>
      </c>
      <c r="C271" s="34">
        <v>4301031220</v>
      </c>
      <c r="D271" s="648">
        <v>4680115882669</v>
      </c>
      <c r="E271" s="64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133</v>
      </c>
      <c r="L271" s="35" t="s">
        <v>46</v>
      </c>
      <c r="M271" s="36" t="s">
        <v>80</v>
      </c>
      <c r="N271" s="36"/>
      <c r="O271" s="35">
        <v>40</v>
      </c>
      <c r="P271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0"/>
      <c r="R271" s="650"/>
      <c r="S271" s="650"/>
      <c r="T271" s="651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43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53" t="s">
        <v>458</v>
      </c>
      <c r="AG271" s="75"/>
      <c r="AJ271" s="79" t="s">
        <v>46</v>
      </c>
      <c r="AK271" s="79">
        <v>0</v>
      </c>
      <c r="BB271" s="354" t="s">
        <v>66</v>
      </c>
      <c r="BM271" s="75">
        <f t="shared" si="44"/>
        <v>0</v>
      </c>
      <c r="BN271" s="75">
        <f t="shared" si="45"/>
        <v>0</v>
      </c>
      <c r="BO271" s="75">
        <f t="shared" si="46"/>
        <v>0</v>
      </c>
      <c r="BP271" s="75">
        <f t="shared" si="47"/>
        <v>0</v>
      </c>
    </row>
    <row r="272" spans="1:68" ht="27" hidden="1" customHeight="1" x14ac:dyDescent="0.25">
      <c r="A272" s="60" t="s">
        <v>459</v>
      </c>
      <c r="B272" s="60" t="s">
        <v>460</v>
      </c>
      <c r="C272" s="34">
        <v>4301031221</v>
      </c>
      <c r="D272" s="648">
        <v>4680115882676</v>
      </c>
      <c r="E272" s="64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133</v>
      </c>
      <c r="L272" s="35" t="s">
        <v>46</v>
      </c>
      <c r="M272" s="36" t="s">
        <v>80</v>
      </c>
      <c r="N272" s="36"/>
      <c r="O272" s="35">
        <v>40</v>
      </c>
      <c r="P272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0"/>
      <c r="R272" s="650"/>
      <c r="S272" s="650"/>
      <c r="T272" s="651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43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461</v>
      </c>
      <c r="AG272" s="75"/>
      <c r="AJ272" s="79" t="s">
        <v>46</v>
      </c>
      <c r="AK272" s="79">
        <v>0</v>
      </c>
      <c r="BB272" s="356" t="s">
        <v>66</v>
      </c>
      <c r="BM272" s="75">
        <f t="shared" si="44"/>
        <v>0</v>
      </c>
      <c r="BN272" s="75">
        <f t="shared" si="45"/>
        <v>0</v>
      </c>
      <c r="BO272" s="75">
        <f t="shared" si="46"/>
        <v>0</v>
      </c>
      <c r="BP272" s="75">
        <f t="shared" si="47"/>
        <v>0</v>
      </c>
    </row>
    <row r="273" spans="1:68" ht="27" hidden="1" customHeight="1" x14ac:dyDescent="0.25">
      <c r="A273" s="60" t="s">
        <v>462</v>
      </c>
      <c r="B273" s="60" t="s">
        <v>463</v>
      </c>
      <c r="C273" s="34">
        <v>4301031223</v>
      </c>
      <c r="D273" s="648">
        <v>4680115884014</v>
      </c>
      <c r="E273" s="648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0"/>
      <c r="R273" s="650"/>
      <c r="S273" s="650"/>
      <c r="T273" s="651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7" t="s">
        <v>452</v>
      </c>
      <c r="AG273" s="75"/>
      <c r="AJ273" s="79" t="s">
        <v>46</v>
      </c>
      <c r="AK273" s="79">
        <v>0</v>
      </c>
      <c r="BB273" s="358" t="s">
        <v>66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464</v>
      </c>
      <c r="B274" s="60" t="s">
        <v>465</v>
      </c>
      <c r="C274" s="34">
        <v>4301031222</v>
      </c>
      <c r="D274" s="648">
        <v>4680115884007</v>
      </c>
      <c r="E274" s="648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0"/>
      <c r="R274" s="650"/>
      <c r="S274" s="650"/>
      <c r="T274" s="65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9" t="s">
        <v>455</v>
      </c>
      <c r="AG274" s="75"/>
      <c r="AJ274" s="79" t="s">
        <v>46</v>
      </c>
      <c r="AK274" s="79">
        <v>0</v>
      </c>
      <c r="BB274" s="360" t="s">
        <v>66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466</v>
      </c>
      <c r="B275" s="60" t="s">
        <v>467</v>
      </c>
      <c r="C275" s="34">
        <v>4301031229</v>
      </c>
      <c r="D275" s="648">
        <v>4680115884038</v>
      </c>
      <c r="E275" s="648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0"/>
      <c r="R275" s="650"/>
      <c r="S275" s="650"/>
      <c r="T275" s="651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61" t="s">
        <v>458</v>
      </c>
      <c r="AG275" s="75"/>
      <c r="AJ275" s="79" t="s">
        <v>46</v>
      </c>
      <c r="AK275" s="79">
        <v>0</v>
      </c>
      <c r="BB275" s="362" t="s">
        <v>66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hidden="1" customHeight="1" x14ac:dyDescent="0.25">
      <c r="A276" s="60" t="s">
        <v>468</v>
      </c>
      <c r="B276" s="60" t="s">
        <v>469</v>
      </c>
      <c r="C276" s="34">
        <v>4301031225</v>
      </c>
      <c r="D276" s="648">
        <v>4680115884021</v>
      </c>
      <c r="E276" s="64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0"/>
      <c r="R276" s="650"/>
      <c r="S276" s="650"/>
      <c r="T276" s="651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43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63" t="s">
        <v>461</v>
      </c>
      <c r="AG276" s="75"/>
      <c r="AJ276" s="79" t="s">
        <v>46</v>
      </c>
      <c r="AK276" s="79">
        <v>0</v>
      </c>
      <c r="BB276" s="364" t="s">
        <v>66</v>
      </c>
      <c r="BM276" s="75">
        <f t="shared" si="44"/>
        <v>0</v>
      </c>
      <c r="BN276" s="75">
        <f t="shared" si="45"/>
        <v>0</v>
      </c>
      <c r="BO276" s="75">
        <f t="shared" si="46"/>
        <v>0</v>
      </c>
      <c r="BP276" s="75">
        <f t="shared" si="47"/>
        <v>0</v>
      </c>
    </row>
    <row r="277" spans="1:68" hidden="1" x14ac:dyDescent="0.2">
      <c r="A277" s="655"/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6"/>
      <c r="P277" s="652" t="s">
        <v>40</v>
      </c>
      <c r="Q277" s="653"/>
      <c r="R277" s="653"/>
      <c r="S277" s="653"/>
      <c r="T277" s="653"/>
      <c r="U277" s="653"/>
      <c r="V277" s="654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55"/>
      <c r="B278" s="655"/>
      <c r="C278" s="655"/>
      <c r="D278" s="655"/>
      <c r="E278" s="655"/>
      <c r="F278" s="655"/>
      <c r="G278" s="655"/>
      <c r="H278" s="655"/>
      <c r="I278" s="655"/>
      <c r="J278" s="655"/>
      <c r="K278" s="655"/>
      <c r="L278" s="655"/>
      <c r="M278" s="655"/>
      <c r="N278" s="655"/>
      <c r="O278" s="656"/>
      <c r="P278" s="652" t="s">
        <v>40</v>
      </c>
      <c r="Q278" s="653"/>
      <c r="R278" s="653"/>
      <c r="S278" s="653"/>
      <c r="T278" s="653"/>
      <c r="U278" s="653"/>
      <c r="V278" s="654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62" t="s">
        <v>85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3"/>
      <c r="AB279" s="63"/>
      <c r="AC279" s="63"/>
    </row>
    <row r="280" spans="1:68" ht="27" hidden="1" customHeight="1" x14ac:dyDescent="0.25">
      <c r="A280" s="60" t="s">
        <v>470</v>
      </c>
      <c r="B280" s="60" t="s">
        <v>471</v>
      </c>
      <c r="C280" s="34">
        <v>4301051408</v>
      </c>
      <c r="D280" s="648">
        <v>4680115881594</v>
      </c>
      <c r="E280" s="648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126</v>
      </c>
      <c r="L280" s="35" t="s">
        <v>46</v>
      </c>
      <c r="M280" s="36" t="s">
        <v>89</v>
      </c>
      <c r="N280" s="36"/>
      <c r="O280" s="35">
        <v>40</v>
      </c>
      <c r="P280" s="7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0"/>
      <c r="R280" s="650"/>
      <c r="S280" s="650"/>
      <c r="T280" s="651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48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65" t="s">
        <v>472</v>
      </c>
      <c r="AG280" s="75"/>
      <c r="AJ280" s="79" t="s">
        <v>46</v>
      </c>
      <c r="AK280" s="79">
        <v>0</v>
      </c>
      <c r="BB280" s="366" t="s">
        <v>66</v>
      </c>
      <c r="BM280" s="75">
        <f t="shared" ref="BM280:BM291" si="49">IFERROR(X280*I280/H280,"0")</f>
        <v>0</v>
      </c>
      <c r="BN280" s="75">
        <f t="shared" ref="BN280:BN291" si="50">IFERROR(Y280*I280/H280,"0")</f>
        <v>0</v>
      </c>
      <c r="BO280" s="75">
        <f t="shared" ref="BO280:BO291" si="51">IFERROR(1/J280*(X280/H280),"0")</f>
        <v>0</v>
      </c>
      <c r="BP280" s="75">
        <f t="shared" ref="BP280:BP291" si="52">IFERROR(1/J280*(Y280/H280),"0")</f>
        <v>0</v>
      </c>
    </row>
    <row r="281" spans="1:68" ht="27" hidden="1" customHeight="1" x14ac:dyDescent="0.25">
      <c r="A281" s="60" t="s">
        <v>473</v>
      </c>
      <c r="B281" s="60" t="s">
        <v>474</v>
      </c>
      <c r="C281" s="34">
        <v>4301051411</v>
      </c>
      <c r="D281" s="648">
        <v>4680115881617</v>
      </c>
      <c r="E281" s="648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126</v>
      </c>
      <c r="L281" s="35" t="s">
        <v>46</v>
      </c>
      <c r="M281" s="36" t="s">
        <v>89</v>
      </c>
      <c r="N281" s="36"/>
      <c r="O281" s="35">
        <v>40</v>
      </c>
      <c r="P281" s="80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0"/>
      <c r="R281" s="650"/>
      <c r="S281" s="650"/>
      <c r="T281" s="651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8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7" t="s">
        <v>475</v>
      </c>
      <c r="AG281" s="75"/>
      <c r="AJ281" s="79" t="s">
        <v>46</v>
      </c>
      <c r="AK281" s="79">
        <v>0</v>
      </c>
      <c r="BB281" s="368" t="s">
        <v>66</v>
      </c>
      <c r="BM281" s="75">
        <f t="shared" si="49"/>
        <v>0</v>
      </c>
      <c r="BN281" s="75">
        <f t="shared" si="50"/>
        <v>0</v>
      </c>
      <c r="BO281" s="75">
        <f t="shared" si="51"/>
        <v>0</v>
      </c>
      <c r="BP281" s="75">
        <f t="shared" si="52"/>
        <v>0</v>
      </c>
    </row>
    <row r="282" spans="1:68" ht="27" hidden="1" customHeight="1" x14ac:dyDescent="0.25">
      <c r="A282" s="60" t="s">
        <v>476</v>
      </c>
      <c r="B282" s="60" t="s">
        <v>477</v>
      </c>
      <c r="C282" s="34">
        <v>4301051656</v>
      </c>
      <c r="D282" s="648">
        <v>4680115880573</v>
      </c>
      <c r="E282" s="648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126</v>
      </c>
      <c r="L282" s="35" t="s">
        <v>46</v>
      </c>
      <c r="M282" s="36" t="s">
        <v>89</v>
      </c>
      <c r="N282" s="36"/>
      <c r="O282" s="35">
        <v>45</v>
      </c>
      <c r="P28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0"/>
      <c r="R282" s="650"/>
      <c r="S282" s="650"/>
      <c r="T282" s="651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9" t="s">
        <v>478</v>
      </c>
      <c r="AG282" s="75"/>
      <c r="AJ282" s="79" t="s">
        <v>46</v>
      </c>
      <c r="AK282" s="79">
        <v>0</v>
      </c>
      <c r="BB282" s="370" t="s">
        <v>66</v>
      </c>
      <c r="BM282" s="75">
        <f t="shared" si="49"/>
        <v>0</v>
      </c>
      <c r="BN282" s="75">
        <f t="shared" si="50"/>
        <v>0</v>
      </c>
      <c r="BO282" s="75">
        <f t="shared" si="51"/>
        <v>0</v>
      </c>
      <c r="BP282" s="75">
        <f t="shared" si="52"/>
        <v>0</v>
      </c>
    </row>
    <row r="283" spans="1:68" ht="27" hidden="1" customHeight="1" x14ac:dyDescent="0.25">
      <c r="A283" s="60" t="s">
        <v>479</v>
      </c>
      <c r="B283" s="60" t="s">
        <v>480</v>
      </c>
      <c r="C283" s="34">
        <v>4301051407</v>
      </c>
      <c r="D283" s="648">
        <v>4680115882195</v>
      </c>
      <c r="E283" s="648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0"/>
      <c r="R283" s="650"/>
      <c r="S283" s="650"/>
      <c r="T283" s="65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8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1" t="s">
        <v>472</v>
      </c>
      <c r="AG283" s="75"/>
      <c r="AJ283" s="79" t="s">
        <v>46</v>
      </c>
      <c r="AK283" s="79">
        <v>0</v>
      </c>
      <c r="BB283" s="372" t="s">
        <v>66</v>
      </c>
      <c r="BM283" s="75">
        <f t="shared" si="49"/>
        <v>0</v>
      </c>
      <c r="BN283" s="75">
        <f t="shared" si="50"/>
        <v>0</v>
      </c>
      <c r="BO283" s="75">
        <f t="shared" si="51"/>
        <v>0</v>
      </c>
      <c r="BP283" s="75">
        <f t="shared" si="52"/>
        <v>0</v>
      </c>
    </row>
    <row r="284" spans="1:68" ht="27" hidden="1" customHeight="1" x14ac:dyDescent="0.25">
      <c r="A284" s="60" t="s">
        <v>481</v>
      </c>
      <c r="B284" s="60" t="s">
        <v>482</v>
      </c>
      <c r="C284" s="34">
        <v>4301051752</v>
      </c>
      <c r="D284" s="648">
        <v>4680115882607</v>
      </c>
      <c r="E284" s="648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8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0"/>
      <c r="R284" s="650"/>
      <c r="S284" s="650"/>
      <c r="T284" s="651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73" t="s">
        <v>478</v>
      </c>
      <c r="AG284" s="75"/>
      <c r="AJ284" s="79" t="s">
        <v>46</v>
      </c>
      <c r="AK284" s="79">
        <v>0</v>
      </c>
      <c r="BB284" s="374" t="s">
        <v>66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483</v>
      </c>
      <c r="B285" s="60" t="s">
        <v>484</v>
      </c>
      <c r="C285" s="34">
        <v>4301052143</v>
      </c>
      <c r="D285" s="648">
        <v>4680115882607</v>
      </c>
      <c r="E285" s="648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133</v>
      </c>
      <c r="L285" s="35" t="s">
        <v>46</v>
      </c>
      <c r="M285" s="36" t="s">
        <v>89</v>
      </c>
      <c r="N285" s="36"/>
      <c r="O285" s="35">
        <v>45</v>
      </c>
      <c r="P285" s="80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0"/>
      <c r="R285" s="650"/>
      <c r="S285" s="650"/>
      <c r="T285" s="651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75" t="s">
        <v>485</v>
      </c>
      <c r="AG285" s="75"/>
      <c r="AJ285" s="79" t="s">
        <v>46</v>
      </c>
      <c r="AK285" s="79">
        <v>0</v>
      </c>
      <c r="BB285" s="376" t="s">
        <v>66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hidden="1" customHeight="1" x14ac:dyDescent="0.25">
      <c r="A286" s="60" t="s">
        <v>486</v>
      </c>
      <c r="B286" s="60" t="s">
        <v>487</v>
      </c>
      <c r="C286" s="34">
        <v>4301051666</v>
      </c>
      <c r="D286" s="648">
        <v>4680115880092</v>
      </c>
      <c r="E286" s="648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0"/>
      <c r="R286" s="650"/>
      <c r="S286" s="650"/>
      <c r="T286" s="65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478</v>
      </c>
      <c r="AG286" s="75"/>
      <c r="AJ286" s="79" t="s">
        <v>46</v>
      </c>
      <c r="AK286" s="79">
        <v>0</v>
      </c>
      <c r="BB286" s="378" t="s">
        <v>66</v>
      </c>
      <c r="BM286" s="75">
        <f t="shared" si="49"/>
        <v>0</v>
      </c>
      <c r="BN286" s="75">
        <f t="shared" si="50"/>
        <v>0</v>
      </c>
      <c r="BO286" s="75">
        <f t="shared" si="51"/>
        <v>0</v>
      </c>
      <c r="BP286" s="75">
        <f t="shared" si="52"/>
        <v>0</v>
      </c>
    </row>
    <row r="287" spans="1:68" ht="27" hidden="1" customHeight="1" x14ac:dyDescent="0.25">
      <c r="A287" s="60" t="s">
        <v>488</v>
      </c>
      <c r="B287" s="60" t="s">
        <v>489</v>
      </c>
      <c r="C287" s="34">
        <v>4301052214</v>
      </c>
      <c r="D287" s="648">
        <v>4680115889064</v>
      </c>
      <c r="E287" s="648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126</v>
      </c>
      <c r="L287" s="35" t="s">
        <v>46</v>
      </c>
      <c r="M287" s="36" t="s">
        <v>89</v>
      </c>
      <c r="N287" s="36"/>
      <c r="O287" s="35">
        <v>45</v>
      </c>
      <c r="P287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0"/>
      <c r="R287" s="650"/>
      <c r="S287" s="650"/>
      <c r="T287" s="65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9" t="s">
        <v>485</v>
      </c>
      <c r="AG287" s="75"/>
      <c r="AJ287" s="79" t="s">
        <v>46</v>
      </c>
      <c r="AK287" s="79">
        <v>0</v>
      </c>
      <c r="BB287" s="380" t="s">
        <v>66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490</v>
      </c>
      <c r="B288" s="60" t="s">
        <v>491</v>
      </c>
      <c r="C288" s="34">
        <v>4301051668</v>
      </c>
      <c r="D288" s="648">
        <v>4680115880221</v>
      </c>
      <c r="E288" s="64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0"/>
      <c r="R288" s="650"/>
      <c r="S288" s="650"/>
      <c r="T288" s="651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1" t="s">
        <v>478</v>
      </c>
      <c r="AG288" s="75"/>
      <c r="AJ288" s="79" t="s">
        <v>46</v>
      </c>
      <c r="AK288" s="79">
        <v>0</v>
      </c>
      <c r="BB288" s="382" t="s">
        <v>66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hidden="1" customHeight="1" x14ac:dyDescent="0.25">
      <c r="A289" s="60" t="s">
        <v>492</v>
      </c>
      <c r="B289" s="60" t="s">
        <v>493</v>
      </c>
      <c r="C289" s="34">
        <v>4301051945</v>
      </c>
      <c r="D289" s="648">
        <v>4680115880504</v>
      </c>
      <c r="E289" s="648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0"/>
      <c r="R289" s="650"/>
      <c r="S289" s="650"/>
      <c r="T289" s="65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8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83" t="s">
        <v>494</v>
      </c>
      <c r="AG289" s="75"/>
      <c r="AJ289" s="79" t="s">
        <v>46</v>
      </c>
      <c r="AK289" s="79">
        <v>0</v>
      </c>
      <c r="BB289" s="384" t="s">
        <v>66</v>
      </c>
      <c r="BM289" s="75">
        <f t="shared" si="49"/>
        <v>0</v>
      </c>
      <c r="BN289" s="75">
        <f t="shared" si="50"/>
        <v>0</v>
      </c>
      <c r="BO289" s="75">
        <f t="shared" si="51"/>
        <v>0</v>
      </c>
      <c r="BP289" s="75">
        <f t="shared" si="52"/>
        <v>0</v>
      </c>
    </row>
    <row r="290" spans="1:68" ht="27" hidden="1" customHeight="1" x14ac:dyDescent="0.25">
      <c r="A290" s="60" t="s">
        <v>495</v>
      </c>
      <c r="B290" s="60" t="s">
        <v>496</v>
      </c>
      <c r="C290" s="34">
        <v>4301051410</v>
      </c>
      <c r="D290" s="648">
        <v>4680115882164</v>
      </c>
      <c r="E290" s="648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0"/>
      <c r="R290" s="650"/>
      <c r="S290" s="650"/>
      <c r="T290" s="65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497</v>
      </c>
      <c r="AG290" s="75"/>
      <c r="AJ290" s="79" t="s">
        <v>46</v>
      </c>
      <c r="AK290" s="79">
        <v>0</v>
      </c>
      <c r="BB290" s="386" t="s">
        <v>66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498</v>
      </c>
      <c r="B291" s="60" t="s">
        <v>499</v>
      </c>
      <c r="C291" s="34">
        <v>4301052180</v>
      </c>
      <c r="D291" s="648">
        <v>4680115888340</v>
      </c>
      <c r="E291" s="64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0"/>
      <c r="R291" s="650"/>
      <c r="S291" s="650"/>
      <c r="T291" s="65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500</v>
      </c>
      <c r="AG291" s="75"/>
      <c r="AJ291" s="79" t="s">
        <v>46</v>
      </c>
      <c r="AK291" s="79">
        <v>0</v>
      </c>
      <c r="BB291" s="388" t="s">
        <v>66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idden="1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2" t="s">
        <v>40</v>
      </c>
      <c r="Q292" s="653"/>
      <c r="R292" s="653"/>
      <c r="S292" s="653"/>
      <c r="T292" s="653"/>
      <c r="U292" s="653"/>
      <c r="V292" s="654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55"/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6"/>
      <c r="P293" s="652" t="s">
        <v>40</v>
      </c>
      <c r="Q293" s="653"/>
      <c r="R293" s="653"/>
      <c r="S293" s="653"/>
      <c r="T293" s="653"/>
      <c r="U293" s="653"/>
      <c r="V293" s="654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2" t="s">
        <v>174</v>
      </c>
      <c r="B294" s="662"/>
      <c r="C294" s="662"/>
      <c r="D294" s="662"/>
      <c r="E294" s="662"/>
      <c r="F294" s="662"/>
      <c r="G294" s="662"/>
      <c r="H294" s="662"/>
      <c r="I294" s="662"/>
      <c r="J294" s="662"/>
      <c r="K294" s="662"/>
      <c r="L294" s="662"/>
      <c r="M294" s="662"/>
      <c r="N294" s="662"/>
      <c r="O294" s="662"/>
      <c r="P294" s="662"/>
      <c r="Q294" s="662"/>
      <c r="R294" s="662"/>
      <c r="S294" s="662"/>
      <c r="T294" s="662"/>
      <c r="U294" s="662"/>
      <c r="V294" s="662"/>
      <c r="W294" s="662"/>
      <c r="X294" s="662"/>
      <c r="Y294" s="662"/>
      <c r="Z294" s="662"/>
      <c r="AA294" s="63"/>
      <c r="AB294" s="63"/>
      <c r="AC294" s="63"/>
    </row>
    <row r="295" spans="1:68" ht="27" hidden="1" customHeight="1" x14ac:dyDescent="0.25">
      <c r="A295" s="60" t="s">
        <v>501</v>
      </c>
      <c r="B295" s="60" t="s">
        <v>502</v>
      </c>
      <c r="C295" s="34">
        <v>4301060463</v>
      </c>
      <c r="D295" s="648">
        <v>4680115880818</v>
      </c>
      <c r="E295" s="64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0"/>
      <c r="R295" s="650"/>
      <c r="S295" s="650"/>
      <c r="T295" s="651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9" t="s">
        <v>503</v>
      </c>
      <c r="AG295" s="75"/>
      <c r="AJ295" s="79" t="s">
        <v>46</v>
      </c>
      <c r="AK295" s="79">
        <v>0</v>
      </c>
      <c r="BB295" s="390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504</v>
      </c>
      <c r="B296" s="60" t="s">
        <v>505</v>
      </c>
      <c r="C296" s="34">
        <v>4301060389</v>
      </c>
      <c r="D296" s="648">
        <v>4680115880801</v>
      </c>
      <c r="E296" s="64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0"/>
      <c r="R296" s="650"/>
      <c r="S296" s="650"/>
      <c r="T296" s="651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91" t="s">
        <v>506</v>
      </c>
      <c r="AG296" s="75"/>
      <c r="AJ296" s="79" t="s">
        <v>46</v>
      </c>
      <c r="AK296" s="79">
        <v>0</v>
      </c>
      <c r="BB296" s="392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2" t="s">
        <v>40</v>
      </c>
      <c r="Q297" s="653"/>
      <c r="R297" s="653"/>
      <c r="S297" s="653"/>
      <c r="T297" s="653"/>
      <c r="U297" s="653"/>
      <c r="V297" s="654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55"/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6"/>
      <c r="P298" s="652" t="s">
        <v>40</v>
      </c>
      <c r="Q298" s="653"/>
      <c r="R298" s="653"/>
      <c r="S298" s="653"/>
      <c r="T298" s="653"/>
      <c r="U298" s="653"/>
      <c r="V298" s="654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66" t="s">
        <v>507</v>
      </c>
      <c r="B299" s="666"/>
      <c r="C299" s="666"/>
      <c r="D299" s="666"/>
      <c r="E299" s="666"/>
      <c r="F299" s="666"/>
      <c r="G299" s="666"/>
      <c r="H299" s="666"/>
      <c r="I299" s="666"/>
      <c r="J299" s="666"/>
      <c r="K299" s="666"/>
      <c r="L299" s="666"/>
      <c r="M299" s="666"/>
      <c r="N299" s="666"/>
      <c r="O299" s="666"/>
      <c r="P299" s="666"/>
      <c r="Q299" s="666"/>
      <c r="R299" s="666"/>
      <c r="S299" s="666"/>
      <c r="T299" s="666"/>
      <c r="U299" s="666"/>
      <c r="V299" s="666"/>
      <c r="W299" s="666"/>
      <c r="X299" s="666"/>
      <c r="Y299" s="666"/>
      <c r="Z299" s="666"/>
      <c r="AA299" s="62"/>
      <c r="AB299" s="62"/>
      <c r="AC299" s="62"/>
    </row>
    <row r="300" spans="1:68" ht="14.25" hidden="1" customHeight="1" x14ac:dyDescent="0.25">
      <c r="A300" s="662" t="s">
        <v>121</v>
      </c>
      <c r="B300" s="662"/>
      <c r="C300" s="662"/>
      <c r="D300" s="662"/>
      <c r="E300" s="662"/>
      <c r="F300" s="662"/>
      <c r="G300" s="662"/>
      <c r="H300" s="662"/>
      <c r="I300" s="662"/>
      <c r="J300" s="662"/>
      <c r="K300" s="662"/>
      <c r="L300" s="662"/>
      <c r="M300" s="662"/>
      <c r="N300" s="662"/>
      <c r="O300" s="662"/>
      <c r="P300" s="662"/>
      <c r="Q300" s="662"/>
      <c r="R300" s="662"/>
      <c r="S300" s="662"/>
      <c r="T300" s="662"/>
      <c r="U300" s="662"/>
      <c r="V300" s="662"/>
      <c r="W300" s="662"/>
      <c r="X300" s="662"/>
      <c r="Y300" s="662"/>
      <c r="Z300" s="662"/>
      <c r="AA300" s="63"/>
      <c r="AB300" s="63"/>
      <c r="AC300" s="63"/>
    </row>
    <row r="301" spans="1:68" ht="27" hidden="1" customHeight="1" x14ac:dyDescent="0.25">
      <c r="A301" s="60" t="s">
        <v>508</v>
      </c>
      <c r="B301" s="60" t="s">
        <v>509</v>
      </c>
      <c r="C301" s="34">
        <v>4301011826</v>
      </c>
      <c r="D301" s="648">
        <v>4680115884137</v>
      </c>
      <c r="E301" s="648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126</v>
      </c>
      <c r="L301" s="35" t="s">
        <v>46</v>
      </c>
      <c r="M301" s="36" t="s">
        <v>125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0"/>
      <c r="R301" s="650"/>
      <c r="S301" s="650"/>
      <c r="T301" s="651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53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93" t="s">
        <v>510</v>
      </c>
      <c r="AG301" s="75"/>
      <c r="AJ301" s="79" t="s">
        <v>46</v>
      </c>
      <c r="AK301" s="79">
        <v>0</v>
      </c>
      <c r="BB301" s="394" t="s">
        <v>66</v>
      </c>
      <c r="BM301" s="75">
        <f t="shared" ref="BM301:BM307" si="54">IFERROR(X301*I301/H301,"0")</f>
        <v>0</v>
      </c>
      <c r="BN301" s="75">
        <f t="shared" ref="BN301:BN307" si="55">IFERROR(Y301*I301/H301,"0")</f>
        <v>0</v>
      </c>
      <c r="BO301" s="75">
        <f t="shared" ref="BO301:BO307" si="56">IFERROR(1/J301*(X301/H301),"0")</f>
        <v>0</v>
      </c>
      <c r="BP301" s="75">
        <f t="shared" ref="BP301:BP307" si="57">IFERROR(1/J301*(Y301/H301),"0")</f>
        <v>0</v>
      </c>
    </row>
    <row r="302" spans="1:68" ht="27" hidden="1" customHeight="1" x14ac:dyDescent="0.25">
      <c r="A302" s="60" t="s">
        <v>511</v>
      </c>
      <c r="B302" s="60" t="s">
        <v>512</v>
      </c>
      <c r="C302" s="34">
        <v>4301011724</v>
      </c>
      <c r="D302" s="648">
        <v>4680115884236</v>
      </c>
      <c r="E302" s="648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126</v>
      </c>
      <c r="L302" s="35" t="s">
        <v>46</v>
      </c>
      <c r="M302" s="36" t="s">
        <v>125</v>
      </c>
      <c r="N302" s="36"/>
      <c r="O302" s="35">
        <v>55</v>
      </c>
      <c r="P302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0"/>
      <c r="R302" s="650"/>
      <c r="S302" s="650"/>
      <c r="T302" s="651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53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95" t="s">
        <v>513</v>
      </c>
      <c r="AG302" s="75"/>
      <c r="AJ302" s="79" t="s">
        <v>46</v>
      </c>
      <c r="AK302" s="79">
        <v>0</v>
      </c>
      <c r="BB302" s="396" t="s">
        <v>66</v>
      </c>
      <c r="BM302" s="75">
        <f t="shared" si="54"/>
        <v>0</v>
      </c>
      <c r="BN302" s="75">
        <f t="shared" si="55"/>
        <v>0</v>
      </c>
      <c r="BO302" s="75">
        <f t="shared" si="56"/>
        <v>0</v>
      </c>
      <c r="BP302" s="75">
        <f t="shared" si="57"/>
        <v>0</v>
      </c>
    </row>
    <row r="303" spans="1:68" ht="27" hidden="1" customHeight="1" x14ac:dyDescent="0.25">
      <c r="A303" s="60" t="s">
        <v>514</v>
      </c>
      <c r="B303" s="60" t="s">
        <v>515</v>
      </c>
      <c r="C303" s="34">
        <v>4301011721</v>
      </c>
      <c r="D303" s="648">
        <v>4680115884175</v>
      </c>
      <c r="E303" s="64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126</v>
      </c>
      <c r="L303" s="35" t="s">
        <v>46</v>
      </c>
      <c r="M303" s="36" t="s">
        <v>125</v>
      </c>
      <c r="N303" s="36"/>
      <c r="O303" s="35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0"/>
      <c r="R303" s="650"/>
      <c r="S303" s="650"/>
      <c r="T303" s="65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53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361</v>
      </c>
      <c r="AG303" s="75"/>
      <c r="AJ303" s="79" t="s">
        <v>46</v>
      </c>
      <c r="AK303" s="79">
        <v>0</v>
      </c>
      <c r="BB303" s="398" t="s">
        <v>66</v>
      </c>
      <c r="BM303" s="75">
        <f t="shared" si="54"/>
        <v>0</v>
      </c>
      <c r="BN303" s="75">
        <f t="shared" si="55"/>
        <v>0</v>
      </c>
      <c r="BO303" s="75">
        <f t="shared" si="56"/>
        <v>0</v>
      </c>
      <c r="BP303" s="75">
        <f t="shared" si="57"/>
        <v>0</v>
      </c>
    </row>
    <row r="304" spans="1:68" ht="27" hidden="1" customHeight="1" x14ac:dyDescent="0.25">
      <c r="A304" s="60" t="s">
        <v>516</v>
      </c>
      <c r="B304" s="60" t="s">
        <v>517</v>
      </c>
      <c r="C304" s="34">
        <v>4301011824</v>
      </c>
      <c r="D304" s="648">
        <v>4680115884144</v>
      </c>
      <c r="E304" s="648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133</v>
      </c>
      <c r="L304" s="35" t="s">
        <v>46</v>
      </c>
      <c r="M304" s="36" t="s">
        <v>125</v>
      </c>
      <c r="N304" s="36"/>
      <c r="O304" s="35">
        <v>55</v>
      </c>
      <c r="P304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0"/>
      <c r="R304" s="650"/>
      <c r="S304" s="650"/>
      <c r="T304" s="65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53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9" t="s">
        <v>510</v>
      </c>
      <c r="AG304" s="75"/>
      <c r="AJ304" s="79" t="s">
        <v>46</v>
      </c>
      <c r="AK304" s="79">
        <v>0</v>
      </c>
      <c r="BB304" s="400" t="s">
        <v>66</v>
      </c>
      <c r="BM304" s="75">
        <f t="shared" si="54"/>
        <v>0</v>
      </c>
      <c r="BN304" s="75">
        <f t="shared" si="55"/>
        <v>0</v>
      </c>
      <c r="BO304" s="75">
        <f t="shared" si="56"/>
        <v>0</v>
      </c>
      <c r="BP304" s="75">
        <f t="shared" si="57"/>
        <v>0</v>
      </c>
    </row>
    <row r="305" spans="1:68" ht="27" hidden="1" customHeight="1" x14ac:dyDescent="0.25">
      <c r="A305" s="60" t="s">
        <v>518</v>
      </c>
      <c r="B305" s="60" t="s">
        <v>519</v>
      </c>
      <c r="C305" s="34">
        <v>4301012149</v>
      </c>
      <c r="D305" s="648">
        <v>4680115886551</v>
      </c>
      <c r="E305" s="648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133</v>
      </c>
      <c r="L305" s="35" t="s">
        <v>46</v>
      </c>
      <c r="M305" s="36" t="s">
        <v>125</v>
      </c>
      <c r="N305" s="36"/>
      <c r="O305" s="35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0"/>
      <c r="R305" s="650"/>
      <c r="S305" s="650"/>
      <c r="T305" s="651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401" t="s">
        <v>520</v>
      </c>
      <c r="AG305" s="75"/>
      <c r="AJ305" s="79" t="s">
        <v>46</v>
      </c>
      <c r="AK305" s="79">
        <v>0</v>
      </c>
      <c r="BB305" s="402" t="s">
        <v>66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521</v>
      </c>
      <c r="B306" s="60" t="s">
        <v>522</v>
      </c>
      <c r="C306" s="34">
        <v>4301012228</v>
      </c>
      <c r="D306" s="648">
        <v>4680115887282</v>
      </c>
      <c r="E306" s="648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125</v>
      </c>
      <c r="N306" s="36"/>
      <c r="O306" s="35">
        <v>55</v>
      </c>
      <c r="P306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0"/>
      <c r="R306" s="650"/>
      <c r="S306" s="650"/>
      <c r="T306" s="651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403" t="s">
        <v>523</v>
      </c>
      <c r="AG306" s="75"/>
      <c r="AJ306" s="79" t="s">
        <v>46</v>
      </c>
      <c r="AK306" s="79">
        <v>0</v>
      </c>
      <c r="BB306" s="404" t="s">
        <v>66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524</v>
      </c>
      <c r="B307" s="60" t="s">
        <v>525</v>
      </c>
      <c r="C307" s="34">
        <v>4301011722</v>
      </c>
      <c r="D307" s="648">
        <v>4680115884205</v>
      </c>
      <c r="E307" s="64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133</v>
      </c>
      <c r="L307" s="35" t="s">
        <v>46</v>
      </c>
      <c r="M307" s="36" t="s">
        <v>125</v>
      </c>
      <c r="N307" s="36"/>
      <c r="O307" s="35">
        <v>55</v>
      </c>
      <c r="P307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0"/>
      <c r="R307" s="650"/>
      <c r="S307" s="650"/>
      <c r="T307" s="65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361</v>
      </c>
      <c r="AG307" s="75"/>
      <c r="AJ307" s="79" t="s">
        <v>46</v>
      </c>
      <c r="AK307" s="79">
        <v>0</v>
      </c>
      <c r="BB307" s="406" t="s">
        <v>66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idden="1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2" t="s">
        <v>40</v>
      </c>
      <c r="Q308" s="653"/>
      <c r="R308" s="653"/>
      <c r="S308" s="653"/>
      <c r="T308" s="653"/>
      <c r="U308" s="653"/>
      <c r="V308" s="654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55"/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6"/>
      <c r="P309" s="652" t="s">
        <v>40</v>
      </c>
      <c r="Q309" s="653"/>
      <c r="R309" s="653"/>
      <c r="S309" s="653"/>
      <c r="T309" s="653"/>
      <c r="U309" s="653"/>
      <c r="V309" s="654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62" t="s">
        <v>156</v>
      </c>
      <c r="B310" s="662"/>
      <c r="C310" s="662"/>
      <c r="D310" s="662"/>
      <c r="E310" s="662"/>
      <c r="F310" s="662"/>
      <c r="G310" s="662"/>
      <c r="H310" s="662"/>
      <c r="I310" s="662"/>
      <c r="J310" s="662"/>
      <c r="K310" s="662"/>
      <c r="L310" s="662"/>
      <c r="M310" s="662"/>
      <c r="N310" s="662"/>
      <c r="O310" s="662"/>
      <c r="P310" s="662"/>
      <c r="Q310" s="662"/>
      <c r="R310" s="662"/>
      <c r="S310" s="662"/>
      <c r="T310" s="662"/>
      <c r="U310" s="662"/>
      <c r="V310" s="662"/>
      <c r="W310" s="662"/>
      <c r="X310" s="662"/>
      <c r="Y310" s="662"/>
      <c r="Z310" s="662"/>
      <c r="AA310" s="63"/>
      <c r="AB310" s="63"/>
      <c r="AC310" s="63"/>
    </row>
    <row r="311" spans="1:68" ht="27" hidden="1" customHeight="1" x14ac:dyDescent="0.25">
      <c r="A311" s="60" t="s">
        <v>526</v>
      </c>
      <c r="B311" s="60" t="s">
        <v>527</v>
      </c>
      <c r="C311" s="34">
        <v>4301020377</v>
      </c>
      <c r="D311" s="648">
        <v>4680115885981</v>
      </c>
      <c r="E311" s="648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8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0"/>
      <c r="R311" s="650"/>
      <c r="S311" s="650"/>
      <c r="T311" s="651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7" t="s">
        <v>528</v>
      </c>
      <c r="AG311" s="75"/>
      <c r="AJ311" s="79" t="s">
        <v>46</v>
      </c>
      <c r="AK311" s="79">
        <v>0</v>
      </c>
      <c r="BB311" s="408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55"/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6"/>
      <c r="P312" s="652" t="s">
        <v>40</v>
      </c>
      <c r="Q312" s="653"/>
      <c r="R312" s="653"/>
      <c r="S312" s="653"/>
      <c r="T312" s="653"/>
      <c r="U312" s="653"/>
      <c r="V312" s="654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55"/>
      <c r="B313" s="655"/>
      <c r="C313" s="655"/>
      <c r="D313" s="655"/>
      <c r="E313" s="655"/>
      <c r="F313" s="655"/>
      <c r="G313" s="655"/>
      <c r="H313" s="655"/>
      <c r="I313" s="655"/>
      <c r="J313" s="655"/>
      <c r="K313" s="655"/>
      <c r="L313" s="655"/>
      <c r="M313" s="655"/>
      <c r="N313" s="655"/>
      <c r="O313" s="656"/>
      <c r="P313" s="652" t="s">
        <v>40</v>
      </c>
      <c r="Q313" s="653"/>
      <c r="R313" s="653"/>
      <c r="S313" s="653"/>
      <c r="T313" s="653"/>
      <c r="U313" s="653"/>
      <c r="V313" s="654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62" t="s">
        <v>529</v>
      </c>
      <c r="B314" s="662"/>
      <c r="C314" s="662"/>
      <c r="D314" s="662"/>
      <c r="E314" s="662"/>
      <c r="F314" s="662"/>
      <c r="G314" s="662"/>
      <c r="H314" s="662"/>
      <c r="I314" s="662"/>
      <c r="J314" s="662"/>
      <c r="K314" s="662"/>
      <c r="L314" s="662"/>
      <c r="M314" s="662"/>
      <c r="N314" s="662"/>
      <c r="O314" s="662"/>
      <c r="P314" s="662"/>
      <c r="Q314" s="662"/>
      <c r="R314" s="662"/>
      <c r="S314" s="662"/>
      <c r="T314" s="662"/>
      <c r="U314" s="662"/>
      <c r="V314" s="662"/>
      <c r="W314" s="662"/>
      <c r="X314" s="662"/>
      <c r="Y314" s="662"/>
      <c r="Z314" s="662"/>
      <c r="AA314" s="63"/>
      <c r="AB314" s="63"/>
      <c r="AC314" s="63"/>
    </row>
    <row r="315" spans="1:68" ht="27" hidden="1" customHeight="1" x14ac:dyDescent="0.25">
      <c r="A315" s="60" t="s">
        <v>530</v>
      </c>
      <c r="B315" s="60" t="s">
        <v>531</v>
      </c>
      <c r="C315" s="34">
        <v>4301040362</v>
      </c>
      <c r="D315" s="648">
        <v>4680115886803</v>
      </c>
      <c r="E315" s="648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338</v>
      </c>
      <c r="L315" s="35" t="s">
        <v>46</v>
      </c>
      <c r="M315" s="36" t="s">
        <v>279</v>
      </c>
      <c r="N315" s="36"/>
      <c r="O315" s="35">
        <v>45</v>
      </c>
      <c r="P315" s="78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0"/>
      <c r="R315" s="650"/>
      <c r="S315" s="650"/>
      <c r="T315" s="651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9" t="s">
        <v>532</v>
      </c>
      <c r="AG315" s="75"/>
      <c r="AJ315" s="79" t="s">
        <v>46</v>
      </c>
      <c r="AK315" s="79">
        <v>0</v>
      </c>
      <c r="BB315" s="410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55"/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6"/>
      <c r="P316" s="652" t="s">
        <v>40</v>
      </c>
      <c r="Q316" s="653"/>
      <c r="R316" s="653"/>
      <c r="S316" s="653"/>
      <c r="T316" s="653"/>
      <c r="U316" s="653"/>
      <c r="V316" s="654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55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2" t="s">
        <v>40</v>
      </c>
      <c r="Q317" s="653"/>
      <c r="R317" s="653"/>
      <c r="S317" s="653"/>
      <c r="T317" s="653"/>
      <c r="U317" s="653"/>
      <c r="V317" s="654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62" t="s">
        <v>339</v>
      </c>
      <c r="B318" s="662"/>
      <c r="C318" s="662"/>
      <c r="D318" s="662"/>
      <c r="E318" s="662"/>
      <c r="F318" s="662"/>
      <c r="G318" s="662"/>
      <c r="H318" s="662"/>
      <c r="I318" s="662"/>
      <c r="J318" s="662"/>
      <c r="K318" s="662"/>
      <c r="L318" s="662"/>
      <c r="M318" s="662"/>
      <c r="N318" s="662"/>
      <c r="O318" s="662"/>
      <c r="P318" s="662"/>
      <c r="Q318" s="662"/>
      <c r="R318" s="662"/>
      <c r="S318" s="662"/>
      <c r="T318" s="662"/>
      <c r="U318" s="662"/>
      <c r="V318" s="662"/>
      <c r="W318" s="662"/>
      <c r="X318" s="662"/>
      <c r="Y318" s="662"/>
      <c r="Z318" s="662"/>
      <c r="AA318" s="63"/>
      <c r="AB318" s="63"/>
      <c r="AC318" s="63"/>
    </row>
    <row r="319" spans="1:68" ht="27" hidden="1" customHeight="1" x14ac:dyDescent="0.25">
      <c r="A319" s="60" t="s">
        <v>533</v>
      </c>
      <c r="B319" s="60" t="s">
        <v>534</v>
      </c>
      <c r="C319" s="34">
        <v>4301041004</v>
      </c>
      <c r="D319" s="648">
        <v>4680115886704</v>
      </c>
      <c r="E319" s="648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338</v>
      </c>
      <c r="L319" s="35" t="s">
        <v>46</v>
      </c>
      <c r="M319" s="36" t="s">
        <v>279</v>
      </c>
      <c r="N319" s="36"/>
      <c r="O319" s="35">
        <v>90</v>
      </c>
      <c r="P319" s="7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0"/>
      <c r="R319" s="650"/>
      <c r="S319" s="650"/>
      <c r="T319" s="651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11" t="s">
        <v>535</v>
      </c>
      <c r="AG319" s="75"/>
      <c r="AJ319" s="79" t="s">
        <v>46</v>
      </c>
      <c r="AK319" s="79">
        <v>0</v>
      </c>
      <c r="BB319" s="412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536</v>
      </c>
      <c r="B320" s="60" t="s">
        <v>537</v>
      </c>
      <c r="C320" s="34">
        <v>4301041008</v>
      </c>
      <c r="D320" s="648">
        <v>4680115886681</v>
      </c>
      <c r="E320" s="648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338</v>
      </c>
      <c r="L320" s="35" t="s">
        <v>46</v>
      </c>
      <c r="M320" s="36" t="s">
        <v>279</v>
      </c>
      <c r="N320" s="36"/>
      <c r="O320" s="35">
        <v>90</v>
      </c>
      <c r="P320" s="77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0"/>
      <c r="R320" s="650"/>
      <c r="S320" s="650"/>
      <c r="T320" s="651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13" t="s">
        <v>535</v>
      </c>
      <c r="AG320" s="75"/>
      <c r="AJ320" s="79" t="s">
        <v>46</v>
      </c>
      <c r="AK320" s="79">
        <v>0</v>
      </c>
      <c r="BB320" s="414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538</v>
      </c>
      <c r="B321" s="60" t="s">
        <v>539</v>
      </c>
      <c r="C321" s="34">
        <v>4301041007</v>
      </c>
      <c r="D321" s="648">
        <v>4680115886735</v>
      </c>
      <c r="E321" s="648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338</v>
      </c>
      <c r="L321" s="35" t="s">
        <v>46</v>
      </c>
      <c r="M321" s="36" t="s">
        <v>279</v>
      </c>
      <c r="N321" s="36"/>
      <c r="O321" s="35">
        <v>90</v>
      </c>
      <c r="P321" s="77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0"/>
      <c r="R321" s="650"/>
      <c r="S321" s="650"/>
      <c r="T321" s="651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15" t="s">
        <v>535</v>
      </c>
      <c r="AG321" s="75"/>
      <c r="AJ321" s="79" t="s">
        <v>46</v>
      </c>
      <c r="AK321" s="79">
        <v>0</v>
      </c>
      <c r="BB321" s="416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55"/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6"/>
      <c r="P322" s="652" t="s">
        <v>40</v>
      </c>
      <c r="Q322" s="653"/>
      <c r="R322" s="653"/>
      <c r="S322" s="653"/>
      <c r="T322" s="653"/>
      <c r="U322" s="653"/>
      <c r="V322" s="654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55"/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6"/>
      <c r="P323" s="652" t="s">
        <v>40</v>
      </c>
      <c r="Q323" s="653"/>
      <c r="R323" s="653"/>
      <c r="S323" s="653"/>
      <c r="T323" s="653"/>
      <c r="U323" s="653"/>
      <c r="V323" s="654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66" t="s">
        <v>540</v>
      </c>
      <c r="B324" s="666"/>
      <c r="C324" s="666"/>
      <c r="D324" s="666"/>
      <c r="E324" s="666"/>
      <c r="F324" s="666"/>
      <c r="G324" s="666"/>
      <c r="H324" s="666"/>
      <c r="I324" s="666"/>
      <c r="J324" s="666"/>
      <c r="K324" s="666"/>
      <c r="L324" s="666"/>
      <c r="M324" s="666"/>
      <c r="N324" s="666"/>
      <c r="O324" s="666"/>
      <c r="P324" s="666"/>
      <c r="Q324" s="666"/>
      <c r="R324" s="666"/>
      <c r="S324" s="666"/>
      <c r="T324" s="666"/>
      <c r="U324" s="666"/>
      <c r="V324" s="666"/>
      <c r="W324" s="666"/>
      <c r="X324" s="666"/>
      <c r="Y324" s="666"/>
      <c r="Z324" s="666"/>
      <c r="AA324" s="62"/>
      <c r="AB324" s="62"/>
      <c r="AC324" s="62"/>
    </row>
    <row r="325" spans="1:68" ht="14.25" hidden="1" customHeight="1" x14ac:dyDescent="0.25">
      <c r="A325" s="662" t="s">
        <v>121</v>
      </c>
      <c r="B325" s="662"/>
      <c r="C325" s="662"/>
      <c r="D325" s="662"/>
      <c r="E325" s="662"/>
      <c r="F325" s="662"/>
      <c r="G325" s="662"/>
      <c r="H325" s="662"/>
      <c r="I325" s="662"/>
      <c r="J325" s="662"/>
      <c r="K325" s="662"/>
      <c r="L325" s="662"/>
      <c r="M325" s="662"/>
      <c r="N325" s="662"/>
      <c r="O325" s="662"/>
      <c r="P325" s="662"/>
      <c r="Q325" s="662"/>
      <c r="R325" s="662"/>
      <c r="S325" s="662"/>
      <c r="T325" s="662"/>
      <c r="U325" s="662"/>
      <c r="V325" s="662"/>
      <c r="W325" s="662"/>
      <c r="X325" s="662"/>
      <c r="Y325" s="662"/>
      <c r="Z325" s="662"/>
      <c r="AA325" s="63"/>
      <c r="AB325" s="63"/>
      <c r="AC325" s="63"/>
    </row>
    <row r="326" spans="1:68" ht="27" hidden="1" customHeight="1" x14ac:dyDescent="0.25">
      <c r="A326" s="60" t="s">
        <v>541</v>
      </c>
      <c r="B326" s="60" t="s">
        <v>542</v>
      </c>
      <c r="C326" s="34">
        <v>4301011855</v>
      </c>
      <c r="D326" s="648">
        <v>4680115885837</v>
      </c>
      <c r="E326" s="64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126</v>
      </c>
      <c r="L326" s="35" t="s">
        <v>46</v>
      </c>
      <c r="M326" s="36" t="s">
        <v>125</v>
      </c>
      <c r="N326" s="36"/>
      <c r="O326" s="35">
        <v>55</v>
      </c>
      <c r="P326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0"/>
      <c r="R326" s="650"/>
      <c r="S326" s="650"/>
      <c r="T326" s="65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7" t="s">
        <v>543</v>
      </c>
      <c r="AG326" s="75"/>
      <c r="AJ326" s="79" t="s">
        <v>46</v>
      </c>
      <c r="AK326" s="79">
        <v>0</v>
      </c>
      <c r="BB326" s="418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544</v>
      </c>
      <c r="B327" s="60" t="s">
        <v>545</v>
      </c>
      <c r="C327" s="34">
        <v>4301012234</v>
      </c>
      <c r="D327" s="648">
        <v>4680115887237</v>
      </c>
      <c r="E327" s="64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126</v>
      </c>
      <c r="L327" s="35" t="s">
        <v>46</v>
      </c>
      <c r="M327" s="36" t="s">
        <v>125</v>
      </c>
      <c r="N327" s="36"/>
      <c r="O327" s="35">
        <v>55</v>
      </c>
      <c r="P327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0"/>
      <c r="R327" s="650"/>
      <c r="S327" s="650"/>
      <c r="T327" s="651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546</v>
      </c>
      <c r="AG327" s="75"/>
      <c r="AJ327" s="79" t="s">
        <v>46</v>
      </c>
      <c r="AK327" s="79">
        <v>0</v>
      </c>
      <c r="BB327" s="420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547</v>
      </c>
      <c r="B328" s="60" t="s">
        <v>548</v>
      </c>
      <c r="C328" s="34">
        <v>4301011850</v>
      </c>
      <c r="D328" s="648">
        <v>4680115885806</v>
      </c>
      <c r="E328" s="64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126</v>
      </c>
      <c r="L328" s="35" t="s">
        <v>46</v>
      </c>
      <c r="M328" s="36" t="s">
        <v>125</v>
      </c>
      <c r="N328" s="36"/>
      <c r="O328" s="35">
        <v>55</v>
      </c>
      <c r="P328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0"/>
      <c r="R328" s="650"/>
      <c r="S328" s="650"/>
      <c r="T328" s="65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549</v>
      </c>
      <c r="AG328" s="75"/>
      <c r="AJ328" s="79" t="s">
        <v>46</v>
      </c>
      <c r="AK328" s="79">
        <v>0</v>
      </c>
      <c r="BB328" s="422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550</v>
      </c>
      <c r="B329" s="60" t="s">
        <v>551</v>
      </c>
      <c r="C329" s="34">
        <v>4301011852</v>
      </c>
      <c r="D329" s="648">
        <v>4680115885844</v>
      </c>
      <c r="E329" s="648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133</v>
      </c>
      <c r="L329" s="35" t="s">
        <v>46</v>
      </c>
      <c r="M329" s="36" t="s">
        <v>125</v>
      </c>
      <c r="N329" s="36"/>
      <c r="O329" s="35">
        <v>55</v>
      </c>
      <c r="P329" s="7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0"/>
      <c r="R329" s="650"/>
      <c r="S329" s="650"/>
      <c r="T329" s="651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23" t="s">
        <v>552</v>
      </c>
      <c r="AG329" s="75"/>
      <c r="AJ329" s="79" t="s">
        <v>46</v>
      </c>
      <c r="AK329" s="79">
        <v>0</v>
      </c>
      <c r="BB329" s="424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553</v>
      </c>
      <c r="B330" s="60" t="s">
        <v>554</v>
      </c>
      <c r="C330" s="34">
        <v>4301011851</v>
      </c>
      <c r="D330" s="648">
        <v>4680115885820</v>
      </c>
      <c r="E330" s="64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133</v>
      </c>
      <c r="L330" s="35" t="s">
        <v>46</v>
      </c>
      <c r="M330" s="36" t="s">
        <v>125</v>
      </c>
      <c r="N330" s="36"/>
      <c r="O330" s="35">
        <v>55</v>
      </c>
      <c r="P330" s="7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0"/>
      <c r="R330" s="650"/>
      <c r="S330" s="650"/>
      <c r="T330" s="651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555</v>
      </c>
      <c r="AG330" s="75"/>
      <c r="AJ330" s="79" t="s">
        <v>46</v>
      </c>
      <c r="AK330" s="79">
        <v>0</v>
      </c>
      <c r="BB330" s="426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55"/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6"/>
      <c r="P331" s="652" t="s">
        <v>40</v>
      </c>
      <c r="Q331" s="653"/>
      <c r="R331" s="653"/>
      <c r="S331" s="653"/>
      <c r="T331" s="653"/>
      <c r="U331" s="653"/>
      <c r="V331" s="654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55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2" t="s">
        <v>40</v>
      </c>
      <c r="Q332" s="653"/>
      <c r="R332" s="653"/>
      <c r="S332" s="653"/>
      <c r="T332" s="653"/>
      <c r="U332" s="653"/>
      <c r="V332" s="654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66" t="s">
        <v>556</v>
      </c>
      <c r="B333" s="666"/>
      <c r="C333" s="666"/>
      <c r="D333" s="666"/>
      <c r="E333" s="666"/>
      <c r="F333" s="666"/>
      <c r="G333" s="666"/>
      <c r="H333" s="666"/>
      <c r="I333" s="666"/>
      <c r="J333" s="666"/>
      <c r="K333" s="666"/>
      <c r="L333" s="666"/>
      <c r="M333" s="666"/>
      <c r="N333" s="666"/>
      <c r="O333" s="666"/>
      <c r="P333" s="666"/>
      <c r="Q333" s="666"/>
      <c r="R333" s="666"/>
      <c r="S333" s="666"/>
      <c r="T333" s="666"/>
      <c r="U333" s="666"/>
      <c r="V333" s="666"/>
      <c r="W333" s="666"/>
      <c r="X333" s="666"/>
      <c r="Y333" s="666"/>
      <c r="Z333" s="666"/>
      <c r="AA333" s="62"/>
      <c r="AB333" s="62"/>
      <c r="AC333" s="62"/>
    </row>
    <row r="334" spans="1:68" ht="14.25" hidden="1" customHeight="1" x14ac:dyDescent="0.25">
      <c r="A334" s="662" t="s">
        <v>85</v>
      </c>
      <c r="B334" s="662"/>
      <c r="C334" s="662"/>
      <c r="D334" s="662"/>
      <c r="E334" s="662"/>
      <c r="F334" s="662"/>
      <c r="G334" s="662"/>
      <c r="H334" s="662"/>
      <c r="I334" s="662"/>
      <c r="J334" s="662"/>
      <c r="K334" s="662"/>
      <c r="L334" s="662"/>
      <c r="M334" s="662"/>
      <c r="N334" s="662"/>
      <c r="O334" s="662"/>
      <c r="P334" s="662"/>
      <c r="Q334" s="662"/>
      <c r="R334" s="662"/>
      <c r="S334" s="662"/>
      <c r="T334" s="662"/>
      <c r="U334" s="662"/>
      <c r="V334" s="662"/>
      <c r="W334" s="662"/>
      <c r="X334" s="662"/>
      <c r="Y334" s="662"/>
      <c r="Z334" s="662"/>
      <c r="AA334" s="63"/>
      <c r="AB334" s="63"/>
      <c r="AC334" s="63"/>
    </row>
    <row r="335" spans="1:68" ht="27" hidden="1" customHeight="1" x14ac:dyDescent="0.25">
      <c r="A335" s="60" t="s">
        <v>557</v>
      </c>
      <c r="B335" s="60" t="s">
        <v>558</v>
      </c>
      <c r="C335" s="34">
        <v>4301051893</v>
      </c>
      <c r="D335" s="648">
        <v>4680115886186</v>
      </c>
      <c r="E335" s="648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7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0"/>
      <c r="R335" s="650"/>
      <c r="S335" s="650"/>
      <c r="T335" s="65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7" t="s">
        <v>559</v>
      </c>
      <c r="AG335" s="75"/>
      <c r="AJ335" s="79" t="s">
        <v>46</v>
      </c>
      <c r="AK335" s="79">
        <v>0</v>
      </c>
      <c r="BB335" s="428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560</v>
      </c>
      <c r="B336" s="60" t="s">
        <v>561</v>
      </c>
      <c r="C336" s="34">
        <v>4301051795</v>
      </c>
      <c r="D336" s="648">
        <v>4680115881228</v>
      </c>
      <c r="E336" s="648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7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0"/>
      <c r="R336" s="650"/>
      <c r="S336" s="650"/>
      <c r="T336" s="65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562</v>
      </c>
      <c r="AG336" s="75"/>
      <c r="AJ336" s="79" t="s">
        <v>46</v>
      </c>
      <c r="AK336" s="79">
        <v>0</v>
      </c>
      <c r="BB336" s="430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563</v>
      </c>
      <c r="B337" s="60" t="s">
        <v>564</v>
      </c>
      <c r="C337" s="34">
        <v>4301051388</v>
      </c>
      <c r="D337" s="648">
        <v>4680115881211</v>
      </c>
      <c r="E337" s="648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7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0"/>
      <c r="R337" s="650"/>
      <c r="S337" s="650"/>
      <c r="T337" s="65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31" t="s">
        <v>559</v>
      </c>
      <c r="AG337" s="75"/>
      <c r="AJ337" s="79" t="s">
        <v>46</v>
      </c>
      <c r="AK337" s="79">
        <v>0</v>
      </c>
      <c r="BB337" s="432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55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2" t="s">
        <v>40</v>
      </c>
      <c r="Q338" s="653"/>
      <c r="R338" s="653"/>
      <c r="S338" s="653"/>
      <c r="T338" s="653"/>
      <c r="U338" s="653"/>
      <c r="V338" s="654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2" t="s">
        <v>40</v>
      </c>
      <c r="Q339" s="653"/>
      <c r="R339" s="653"/>
      <c r="S339" s="653"/>
      <c r="T339" s="653"/>
      <c r="U339" s="653"/>
      <c r="V339" s="654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66" t="s">
        <v>565</v>
      </c>
      <c r="B340" s="666"/>
      <c r="C340" s="666"/>
      <c r="D340" s="666"/>
      <c r="E340" s="666"/>
      <c r="F340" s="666"/>
      <c r="G340" s="666"/>
      <c r="H340" s="666"/>
      <c r="I340" s="666"/>
      <c r="J340" s="666"/>
      <c r="K340" s="666"/>
      <c r="L340" s="666"/>
      <c r="M340" s="666"/>
      <c r="N340" s="666"/>
      <c r="O340" s="666"/>
      <c r="P340" s="666"/>
      <c r="Q340" s="666"/>
      <c r="R340" s="666"/>
      <c r="S340" s="666"/>
      <c r="T340" s="666"/>
      <c r="U340" s="666"/>
      <c r="V340" s="666"/>
      <c r="W340" s="666"/>
      <c r="X340" s="666"/>
      <c r="Y340" s="666"/>
      <c r="Z340" s="666"/>
      <c r="AA340" s="62"/>
      <c r="AB340" s="62"/>
      <c r="AC340" s="62"/>
    </row>
    <row r="341" spans="1:68" ht="14.25" hidden="1" customHeight="1" x14ac:dyDescent="0.25">
      <c r="A341" s="662" t="s">
        <v>76</v>
      </c>
      <c r="B341" s="662"/>
      <c r="C341" s="662"/>
      <c r="D341" s="662"/>
      <c r="E341" s="662"/>
      <c r="F341" s="662"/>
      <c r="G341" s="662"/>
      <c r="H341" s="662"/>
      <c r="I341" s="662"/>
      <c r="J341" s="662"/>
      <c r="K341" s="662"/>
      <c r="L341" s="662"/>
      <c r="M341" s="662"/>
      <c r="N341" s="662"/>
      <c r="O341" s="662"/>
      <c r="P341" s="662"/>
      <c r="Q341" s="662"/>
      <c r="R341" s="662"/>
      <c r="S341" s="662"/>
      <c r="T341" s="662"/>
      <c r="U341" s="662"/>
      <c r="V341" s="662"/>
      <c r="W341" s="662"/>
      <c r="X341" s="662"/>
      <c r="Y341" s="662"/>
      <c r="Z341" s="662"/>
      <c r="AA341" s="63"/>
      <c r="AB341" s="63"/>
      <c r="AC341" s="63"/>
    </row>
    <row r="342" spans="1:68" ht="27" hidden="1" customHeight="1" x14ac:dyDescent="0.25">
      <c r="A342" s="60" t="s">
        <v>566</v>
      </c>
      <c r="B342" s="60" t="s">
        <v>567</v>
      </c>
      <c r="C342" s="34">
        <v>4301031445</v>
      </c>
      <c r="D342" s="648">
        <v>4680115888319</v>
      </c>
      <c r="E342" s="648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0"/>
      <c r="R342" s="650"/>
      <c r="S342" s="650"/>
      <c r="T342" s="65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3" t="s">
        <v>393</v>
      </c>
      <c r="AG342" s="75"/>
      <c r="AJ342" s="79" t="s">
        <v>46</v>
      </c>
      <c r="AK342" s="79">
        <v>0</v>
      </c>
      <c r="BB342" s="434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568</v>
      </c>
      <c r="B343" s="60" t="s">
        <v>569</v>
      </c>
      <c r="C343" s="34">
        <v>4301031502</v>
      </c>
      <c r="D343" s="648">
        <v>4680115884700</v>
      </c>
      <c r="E343" s="648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0"/>
      <c r="R343" s="650"/>
      <c r="S343" s="650"/>
      <c r="T343" s="65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570</v>
      </c>
      <c r="AG343" s="75"/>
      <c r="AJ343" s="79" t="s">
        <v>46</v>
      </c>
      <c r="AK343" s="79">
        <v>0</v>
      </c>
      <c r="BB343" s="436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571</v>
      </c>
      <c r="B344" s="60" t="s">
        <v>572</v>
      </c>
      <c r="C344" s="34">
        <v>4301031307</v>
      </c>
      <c r="D344" s="648">
        <v>4680115880344</v>
      </c>
      <c r="E344" s="648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0"/>
      <c r="R344" s="650"/>
      <c r="S344" s="650"/>
      <c r="T344" s="65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573</v>
      </c>
      <c r="AG344" s="75"/>
      <c r="AJ344" s="79" t="s">
        <v>46</v>
      </c>
      <c r="AK344" s="79">
        <v>0</v>
      </c>
      <c r="BB344" s="438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574</v>
      </c>
      <c r="B345" s="60" t="s">
        <v>575</v>
      </c>
      <c r="C345" s="34">
        <v>4301031501</v>
      </c>
      <c r="D345" s="648">
        <v>4680115886919</v>
      </c>
      <c r="E345" s="648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0"/>
      <c r="R345" s="650"/>
      <c r="S345" s="650"/>
      <c r="T345" s="65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9" t="s">
        <v>576</v>
      </c>
      <c r="AG345" s="75"/>
      <c r="AJ345" s="79" t="s">
        <v>46</v>
      </c>
      <c r="AK345" s="79">
        <v>0</v>
      </c>
      <c r="BB345" s="440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577</v>
      </c>
      <c r="B346" s="60" t="s">
        <v>578</v>
      </c>
      <c r="C346" s="34">
        <v>4301031246</v>
      </c>
      <c r="D346" s="648">
        <v>4680115883970</v>
      </c>
      <c r="E346" s="648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6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0"/>
      <c r="R346" s="650"/>
      <c r="S346" s="650"/>
      <c r="T346" s="65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579</v>
      </c>
      <c r="AG346" s="75"/>
      <c r="AJ346" s="79" t="s">
        <v>46</v>
      </c>
      <c r="AK346" s="79">
        <v>0</v>
      </c>
      <c r="BB346" s="442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55"/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6"/>
      <c r="P347" s="652" t="s">
        <v>40</v>
      </c>
      <c r="Q347" s="653"/>
      <c r="R347" s="653"/>
      <c r="S347" s="653"/>
      <c r="T347" s="653"/>
      <c r="U347" s="653"/>
      <c r="V347" s="654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55"/>
      <c r="B348" s="655"/>
      <c r="C348" s="655"/>
      <c r="D348" s="655"/>
      <c r="E348" s="655"/>
      <c r="F348" s="655"/>
      <c r="G348" s="655"/>
      <c r="H348" s="655"/>
      <c r="I348" s="655"/>
      <c r="J348" s="655"/>
      <c r="K348" s="655"/>
      <c r="L348" s="655"/>
      <c r="M348" s="655"/>
      <c r="N348" s="655"/>
      <c r="O348" s="656"/>
      <c r="P348" s="652" t="s">
        <v>40</v>
      </c>
      <c r="Q348" s="653"/>
      <c r="R348" s="653"/>
      <c r="S348" s="653"/>
      <c r="T348" s="653"/>
      <c r="U348" s="653"/>
      <c r="V348" s="654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62" t="s">
        <v>85</v>
      </c>
      <c r="B349" s="662"/>
      <c r="C349" s="662"/>
      <c r="D349" s="662"/>
      <c r="E349" s="662"/>
      <c r="F349" s="662"/>
      <c r="G349" s="662"/>
      <c r="H349" s="662"/>
      <c r="I349" s="662"/>
      <c r="J349" s="662"/>
      <c r="K349" s="662"/>
      <c r="L349" s="662"/>
      <c r="M349" s="662"/>
      <c r="N349" s="662"/>
      <c r="O349" s="662"/>
      <c r="P349" s="662"/>
      <c r="Q349" s="662"/>
      <c r="R349" s="662"/>
      <c r="S349" s="662"/>
      <c r="T349" s="662"/>
      <c r="U349" s="662"/>
      <c r="V349" s="662"/>
      <c r="W349" s="662"/>
      <c r="X349" s="662"/>
      <c r="Y349" s="662"/>
      <c r="Z349" s="662"/>
      <c r="AA349" s="63"/>
      <c r="AB349" s="63"/>
      <c r="AC349" s="63"/>
    </row>
    <row r="350" spans="1:68" ht="27" hidden="1" customHeight="1" x14ac:dyDescent="0.25">
      <c r="A350" s="60" t="s">
        <v>580</v>
      </c>
      <c r="B350" s="60" t="s">
        <v>581</v>
      </c>
      <c r="C350" s="34">
        <v>4301051782</v>
      </c>
      <c r="D350" s="648">
        <v>4680115884618</v>
      </c>
      <c r="E350" s="648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133</v>
      </c>
      <c r="L350" s="35" t="s">
        <v>46</v>
      </c>
      <c r="M350" s="36" t="s">
        <v>89</v>
      </c>
      <c r="N350" s="36"/>
      <c r="O350" s="35">
        <v>45</v>
      </c>
      <c r="P350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0"/>
      <c r="R350" s="650"/>
      <c r="S350" s="650"/>
      <c r="T350" s="65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43" t="s">
        <v>582</v>
      </c>
      <c r="AG350" s="75"/>
      <c r="AJ350" s="79" t="s">
        <v>46</v>
      </c>
      <c r="AK350" s="79">
        <v>0</v>
      </c>
      <c r="BB350" s="444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583</v>
      </c>
      <c r="B351" s="60" t="s">
        <v>584</v>
      </c>
      <c r="C351" s="34">
        <v>4301052057</v>
      </c>
      <c r="D351" s="648">
        <v>4680115887114</v>
      </c>
      <c r="E351" s="648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133</v>
      </c>
      <c r="L351" s="35" t="s">
        <v>46</v>
      </c>
      <c r="M351" s="36" t="s">
        <v>89</v>
      </c>
      <c r="N351" s="36"/>
      <c r="O351" s="35">
        <v>45</v>
      </c>
      <c r="P351" s="7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0"/>
      <c r="R351" s="650"/>
      <c r="S351" s="650"/>
      <c r="T351" s="65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585</v>
      </c>
      <c r="AG351" s="75"/>
      <c r="AJ351" s="79" t="s">
        <v>46</v>
      </c>
      <c r="AK351" s="79">
        <v>0</v>
      </c>
      <c r="BB351" s="446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2" t="s">
        <v>40</v>
      </c>
      <c r="Q352" s="653"/>
      <c r="R352" s="653"/>
      <c r="S352" s="653"/>
      <c r="T352" s="653"/>
      <c r="U352" s="653"/>
      <c r="V352" s="654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55"/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6"/>
      <c r="P353" s="652" t="s">
        <v>40</v>
      </c>
      <c r="Q353" s="653"/>
      <c r="R353" s="653"/>
      <c r="S353" s="653"/>
      <c r="T353" s="653"/>
      <c r="U353" s="653"/>
      <c r="V353" s="654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66" t="s">
        <v>586</v>
      </c>
      <c r="B354" s="666"/>
      <c r="C354" s="666"/>
      <c r="D354" s="666"/>
      <c r="E354" s="666"/>
      <c r="F354" s="666"/>
      <c r="G354" s="666"/>
      <c r="H354" s="666"/>
      <c r="I354" s="666"/>
      <c r="J354" s="666"/>
      <c r="K354" s="666"/>
      <c r="L354" s="666"/>
      <c r="M354" s="666"/>
      <c r="N354" s="666"/>
      <c r="O354" s="666"/>
      <c r="P354" s="666"/>
      <c r="Q354" s="666"/>
      <c r="R354" s="666"/>
      <c r="S354" s="666"/>
      <c r="T354" s="666"/>
      <c r="U354" s="666"/>
      <c r="V354" s="666"/>
      <c r="W354" s="666"/>
      <c r="X354" s="666"/>
      <c r="Y354" s="666"/>
      <c r="Z354" s="666"/>
      <c r="AA354" s="62"/>
      <c r="AB354" s="62"/>
      <c r="AC354" s="62"/>
    </row>
    <row r="355" spans="1:68" ht="14.25" hidden="1" customHeight="1" x14ac:dyDescent="0.25">
      <c r="A355" s="662" t="s">
        <v>121</v>
      </c>
      <c r="B355" s="662"/>
      <c r="C355" s="662"/>
      <c r="D355" s="662"/>
      <c r="E355" s="662"/>
      <c r="F355" s="662"/>
      <c r="G355" s="662"/>
      <c r="H355" s="662"/>
      <c r="I355" s="662"/>
      <c r="J355" s="662"/>
      <c r="K355" s="662"/>
      <c r="L355" s="662"/>
      <c r="M355" s="662"/>
      <c r="N355" s="662"/>
      <c r="O355" s="662"/>
      <c r="P355" s="662"/>
      <c r="Q355" s="662"/>
      <c r="R355" s="662"/>
      <c r="S355" s="662"/>
      <c r="T355" s="662"/>
      <c r="U355" s="662"/>
      <c r="V355" s="662"/>
      <c r="W355" s="662"/>
      <c r="X355" s="662"/>
      <c r="Y355" s="662"/>
      <c r="Z355" s="662"/>
      <c r="AA355" s="63"/>
      <c r="AB355" s="63"/>
      <c r="AC355" s="63"/>
    </row>
    <row r="356" spans="1:68" ht="27" hidden="1" customHeight="1" x14ac:dyDescent="0.25">
      <c r="A356" s="60" t="s">
        <v>587</v>
      </c>
      <c r="B356" s="60" t="s">
        <v>588</v>
      </c>
      <c r="C356" s="34">
        <v>4301012324</v>
      </c>
      <c r="D356" s="648">
        <v>4680115887947</v>
      </c>
      <c r="E356" s="648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126</v>
      </c>
      <c r="L356" s="35" t="s">
        <v>46</v>
      </c>
      <c r="M356" s="36" t="s">
        <v>89</v>
      </c>
      <c r="N356" s="36"/>
      <c r="O356" s="35">
        <v>60</v>
      </c>
      <c r="P356" s="7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0"/>
      <c r="R356" s="650"/>
      <c r="S356" s="650"/>
      <c r="T356" s="651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7" t="s">
        <v>352</v>
      </c>
      <c r="AG356" s="75"/>
      <c r="AJ356" s="79" t="s">
        <v>46</v>
      </c>
      <c r="AK356" s="79">
        <v>0</v>
      </c>
      <c r="BB356" s="448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589</v>
      </c>
      <c r="B357" s="60" t="s">
        <v>590</v>
      </c>
      <c r="C357" s="34">
        <v>4301012325</v>
      </c>
      <c r="D357" s="648">
        <v>4680115887978</v>
      </c>
      <c r="E357" s="64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126</v>
      </c>
      <c r="L357" s="35" t="s">
        <v>46</v>
      </c>
      <c r="M357" s="36" t="s">
        <v>89</v>
      </c>
      <c r="N357" s="36"/>
      <c r="O357" s="35">
        <v>60</v>
      </c>
      <c r="P357" s="7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0"/>
      <c r="R357" s="650"/>
      <c r="S357" s="650"/>
      <c r="T357" s="65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591</v>
      </c>
      <c r="AG357" s="75"/>
      <c r="AJ357" s="79" t="s">
        <v>46</v>
      </c>
      <c r="AK357" s="79">
        <v>0</v>
      </c>
      <c r="BB357" s="450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592</v>
      </c>
      <c r="B358" s="60" t="s">
        <v>593</v>
      </c>
      <c r="C358" s="34">
        <v>4301012327</v>
      </c>
      <c r="D358" s="648">
        <v>4680115887992</v>
      </c>
      <c r="E358" s="64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126</v>
      </c>
      <c r="L358" s="35" t="s">
        <v>46</v>
      </c>
      <c r="M358" s="36" t="s">
        <v>89</v>
      </c>
      <c r="N358" s="36"/>
      <c r="O358" s="35">
        <v>60</v>
      </c>
      <c r="P358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0"/>
      <c r="R358" s="650"/>
      <c r="S358" s="650"/>
      <c r="T358" s="65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594</v>
      </c>
      <c r="AG358" s="75"/>
      <c r="AJ358" s="79" t="s">
        <v>46</v>
      </c>
      <c r="AK358" s="79">
        <v>0</v>
      </c>
      <c r="BB358" s="452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55"/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6"/>
      <c r="P359" s="652" t="s">
        <v>40</v>
      </c>
      <c r="Q359" s="653"/>
      <c r="R359" s="653"/>
      <c r="S359" s="653"/>
      <c r="T359" s="653"/>
      <c r="U359" s="653"/>
      <c r="V359" s="654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55"/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6"/>
      <c r="P360" s="652" t="s">
        <v>40</v>
      </c>
      <c r="Q360" s="653"/>
      <c r="R360" s="653"/>
      <c r="S360" s="653"/>
      <c r="T360" s="653"/>
      <c r="U360" s="653"/>
      <c r="V360" s="654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66" t="s">
        <v>595</v>
      </c>
      <c r="B361" s="666"/>
      <c r="C361" s="666"/>
      <c r="D361" s="666"/>
      <c r="E361" s="666"/>
      <c r="F361" s="666"/>
      <c r="G361" s="666"/>
      <c r="H361" s="666"/>
      <c r="I361" s="666"/>
      <c r="J361" s="666"/>
      <c r="K361" s="666"/>
      <c r="L361" s="666"/>
      <c r="M361" s="666"/>
      <c r="N361" s="666"/>
      <c r="O361" s="666"/>
      <c r="P361" s="666"/>
      <c r="Q361" s="666"/>
      <c r="R361" s="666"/>
      <c r="S361" s="666"/>
      <c r="T361" s="666"/>
      <c r="U361" s="666"/>
      <c r="V361" s="666"/>
      <c r="W361" s="666"/>
      <c r="X361" s="666"/>
      <c r="Y361" s="666"/>
      <c r="Z361" s="666"/>
      <c r="AA361" s="62"/>
      <c r="AB361" s="62"/>
      <c r="AC361" s="62"/>
    </row>
    <row r="362" spans="1:68" ht="14.25" hidden="1" customHeight="1" x14ac:dyDescent="0.25">
      <c r="A362" s="662" t="s">
        <v>121</v>
      </c>
      <c r="B362" s="662"/>
      <c r="C362" s="662"/>
      <c r="D362" s="662"/>
      <c r="E362" s="662"/>
      <c r="F362" s="662"/>
      <c r="G362" s="662"/>
      <c r="H362" s="662"/>
      <c r="I362" s="662"/>
      <c r="J362" s="662"/>
      <c r="K362" s="662"/>
      <c r="L362" s="662"/>
      <c r="M362" s="662"/>
      <c r="N362" s="662"/>
      <c r="O362" s="662"/>
      <c r="P362" s="662"/>
      <c r="Q362" s="662"/>
      <c r="R362" s="662"/>
      <c r="S362" s="662"/>
      <c r="T362" s="662"/>
      <c r="U362" s="662"/>
      <c r="V362" s="662"/>
      <c r="W362" s="662"/>
      <c r="X362" s="662"/>
      <c r="Y362" s="662"/>
      <c r="Z362" s="662"/>
      <c r="AA362" s="63"/>
      <c r="AB362" s="63"/>
      <c r="AC362" s="63"/>
    </row>
    <row r="363" spans="1:68" ht="27" hidden="1" customHeight="1" x14ac:dyDescent="0.25">
      <c r="A363" s="60" t="s">
        <v>596</v>
      </c>
      <c r="B363" s="60" t="s">
        <v>597</v>
      </c>
      <c r="C363" s="34">
        <v>4301012360</v>
      </c>
      <c r="D363" s="648">
        <v>4680115889293</v>
      </c>
      <c r="E363" s="648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126</v>
      </c>
      <c r="L363" s="35" t="s">
        <v>46</v>
      </c>
      <c r="M363" s="36" t="s">
        <v>125</v>
      </c>
      <c r="N363" s="36"/>
      <c r="O363" s="35">
        <v>55</v>
      </c>
      <c r="P363" s="75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0"/>
      <c r="R363" s="650"/>
      <c r="S363" s="650"/>
      <c r="T363" s="651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58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3" t="s">
        <v>598</v>
      </c>
      <c r="AG363" s="75"/>
      <c r="AJ363" s="79" t="s">
        <v>46</v>
      </c>
      <c r="AK363" s="79">
        <v>0</v>
      </c>
      <c r="BB363" s="454" t="s">
        <v>66</v>
      </c>
      <c r="BM363" s="75">
        <f t="shared" ref="BM363:BM368" si="59">IFERROR(X363*I363/H363,"0")</f>
        <v>0</v>
      </c>
      <c r="BN363" s="75">
        <f t="shared" ref="BN363:BN368" si="60">IFERROR(Y363*I363/H363,"0")</f>
        <v>0</v>
      </c>
      <c r="BO363" s="75">
        <f t="shared" ref="BO363:BO368" si="61">IFERROR(1/J363*(X363/H363),"0")</f>
        <v>0</v>
      </c>
      <c r="BP363" s="75">
        <f t="shared" ref="BP363:BP368" si="62">IFERROR(1/J363*(Y363/H363),"0")</f>
        <v>0</v>
      </c>
    </row>
    <row r="364" spans="1:68" ht="27" hidden="1" customHeight="1" x14ac:dyDescent="0.25">
      <c r="A364" s="60" t="s">
        <v>599</v>
      </c>
      <c r="B364" s="60" t="s">
        <v>600</v>
      </c>
      <c r="C364" s="34">
        <v>4301012235</v>
      </c>
      <c r="D364" s="648">
        <v>4680115887190</v>
      </c>
      <c r="E364" s="64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126</v>
      </c>
      <c r="L364" s="35" t="s">
        <v>46</v>
      </c>
      <c r="M364" s="36" t="s">
        <v>125</v>
      </c>
      <c r="N364" s="36"/>
      <c r="O364" s="35">
        <v>55</v>
      </c>
      <c r="P364" s="7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0"/>
      <c r="R364" s="650"/>
      <c r="S364" s="650"/>
      <c r="T364" s="65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55" t="s">
        <v>601</v>
      </c>
      <c r="AG364" s="75"/>
      <c r="AJ364" s="79" t="s">
        <v>46</v>
      </c>
      <c r="AK364" s="79">
        <v>0</v>
      </c>
      <c r="BB364" s="456" t="s">
        <v>66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37.5" hidden="1" customHeight="1" x14ac:dyDescent="0.25">
      <c r="A365" s="60" t="s">
        <v>602</v>
      </c>
      <c r="B365" s="60" t="s">
        <v>603</v>
      </c>
      <c r="C365" s="34">
        <v>4301012233</v>
      </c>
      <c r="D365" s="648">
        <v>4680115887138</v>
      </c>
      <c r="E365" s="64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126</v>
      </c>
      <c r="L365" s="35" t="s">
        <v>46</v>
      </c>
      <c r="M365" s="36" t="s">
        <v>125</v>
      </c>
      <c r="N365" s="36"/>
      <c r="O365" s="35">
        <v>55</v>
      </c>
      <c r="P365" s="75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0"/>
      <c r="R365" s="650"/>
      <c r="S365" s="650"/>
      <c r="T365" s="65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604</v>
      </c>
      <c r="AG365" s="75"/>
      <c r="AJ365" s="79" t="s">
        <v>46</v>
      </c>
      <c r="AK365" s="79">
        <v>0</v>
      </c>
      <c r="BB365" s="458" t="s">
        <v>66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605</v>
      </c>
      <c r="B366" s="60" t="s">
        <v>606</v>
      </c>
      <c r="C366" s="34">
        <v>4301012016</v>
      </c>
      <c r="D366" s="648">
        <v>4680115885554</v>
      </c>
      <c r="E366" s="64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126</v>
      </c>
      <c r="L366" s="35" t="s">
        <v>46</v>
      </c>
      <c r="M366" s="36" t="s">
        <v>89</v>
      </c>
      <c r="N366" s="36"/>
      <c r="O366" s="35">
        <v>55</v>
      </c>
      <c r="P366" s="7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0"/>
      <c r="R366" s="650"/>
      <c r="S366" s="650"/>
      <c r="T366" s="65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607</v>
      </c>
      <c r="AG366" s="75"/>
      <c r="AJ366" s="79" t="s">
        <v>46</v>
      </c>
      <c r="AK366" s="79">
        <v>0</v>
      </c>
      <c r="BB366" s="460" t="s">
        <v>66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27" hidden="1" customHeight="1" x14ac:dyDescent="0.25">
      <c r="A367" s="60" t="s">
        <v>608</v>
      </c>
      <c r="B367" s="60" t="s">
        <v>609</v>
      </c>
      <c r="C367" s="34">
        <v>4301012236</v>
      </c>
      <c r="D367" s="648">
        <v>4680115887220</v>
      </c>
      <c r="E367" s="648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133</v>
      </c>
      <c r="L367" s="35" t="s">
        <v>46</v>
      </c>
      <c r="M367" s="36" t="s">
        <v>125</v>
      </c>
      <c r="N367" s="36"/>
      <c r="O367" s="35">
        <v>55</v>
      </c>
      <c r="P367" s="75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0"/>
      <c r="R367" s="650"/>
      <c r="S367" s="650"/>
      <c r="T367" s="65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61" t="s">
        <v>601</v>
      </c>
      <c r="AG367" s="75"/>
      <c r="AJ367" s="79" t="s">
        <v>46</v>
      </c>
      <c r="AK367" s="79">
        <v>0</v>
      </c>
      <c r="BB367" s="462" t="s">
        <v>66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610</v>
      </c>
      <c r="B368" s="60" t="s">
        <v>611</v>
      </c>
      <c r="C368" s="34">
        <v>4301011859</v>
      </c>
      <c r="D368" s="648">
        <v>4680115885608</v>
      </c>
      <c r="E368" s="648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133</v>
      </c>
      <c r="L368" s="35" t="s">
        <v>46</v>
      </c>
      <c r="M368" s="36" t="s">
        <v>125</v>
      </c>
      <c r="N368" s="36"/>
      <c r="O368" s="35">
        <v>55</v>
      </c>
      <c r="P368" s="75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0"/>
      <c r="R368" s="650"/>
      <c r="S368" s="650"/>
      <c r="T368" s="65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63" t="s">
        <v>612</v>
      </c>
      <c r="AG368" s="75"/>
      <c r="AJ368" s="79" t="s">
        <v>46</v>
      </c>
      <c r="AK368" s="79">
        <v>0</v>
      </c>
      <c r="BB368" s="464" t="s">
        <v>66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idden="1" x14ac:dyDescent="0.2">
      <c r="A369" s="655"/>
      <c r="B369" s="655"/>
      <c r="C369" s="655"/>
      <c r="D369" s="655"/>
      <c r="E369" s="655"/>
      <c r="F369" s="655"/>
      <c r="G369" s="655"/>
      <c r="H369" s="655"/>
      <c r="I369" s="655"/>
      <c r="J369" s="655"/>
      <c r="K369" s="655"/>
      <c r="L369" s="655"/>
      <c r="M369" s="655"/>
      <c r="N369" s="655"/>
      <c r="O369" s="656"/>
      <c r="P369" s="652" t="s">
        <v>40</v>
      </c>
      <c r="Q369" s="653"/>
      <c r="R369" s="653"/>
      <c r="S369" s="653"/>
      <c r="T369" s="653"/>
      <c r="U369" s="653"/>
      <c r="V369" s="654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55"/>
      <c r="B370" s="655"/>
      <c r="C370" s="655"/>
      <c r="D370" s="655"/>
      <c r="E370" s="655"/>
      <c r="F370" s="655"/>
      <c r="G370" s="655"/>
      <c r="H370" s="655"/>
      <c r="I370" s="655"/>
      <c r="J370" s="655"/>
      <c r="K370" s="655"/>
      <c r="L370" s="655"/>
      <c r="M370" s="655"/>
      <c r="N370" s="655"/>
      <c r="O370" s="656"/>
      <c r="P370" s="652" t="s">
        <v>40</v>
      </c>
      <c r="Q370" s="653"/>
      <c r="R370" s="653"/>
      <c r="S370" s="653"/>
      <c r="T370" s="653"/>
      <c r="U370" s="653"/>
      <c r="V370" s="654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62" t="s">
        <v>76</v>
      </c>
      <c r="B371" s="662"/>
      <c r="C371" s="662"/>
      <c r="D371" s="662"/>
      <c r="E371" s="662"/>
      <c r="F371" s="662"/>
      <c r="G371" s="662"/>
      <c r="H371" s="662"/>
      <c r="I371" s="662"/>
      <c r="J371" s="662"/>
      <c r="K371" s="662"/>
      <c r="L371" s="662"/>
      <c r="M371" s="662"/>
      <c r="N371" s="662"/>
      <c r="O371" s="662"/>
      <c r="P371" s="662"/>
      <c r="Q371" s="662"/>
      <c r="R371" s="662"/>
      <c r="S371" s="662"/>
      <c r="T371" s="662"/>
      <c r="U371" s="662"/>
      <c r="V371" s="662"/>
      <c r="W371" s="662"/>
      <c r="X371" s="662"/>
      <c r="Y371" s="662"/>
      <c r="Z371" s="662"/>
      <c r="AA371" s="63"/>
      <c r="AB371" s="63"/>
      <c r="AC371" s="63"/>
    </row>
    <row r="372" spans="1:68" ht="27" hidden="1" customHeight="1" x14ac:dyDescent="0.25">
      <c r="A372" s="60" t="s">
        <v>613</v>
      </c>
      <c r="B372" s="60" t="s">
        <v>614</v>
      </c>
      <c r="C372" s="34">
        <v>4301030878</v>
      </c>
      <c r="D372" s="648">
        <v>4607091387193</v>
      </c>
      <c r="E372" s="648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133</v>
      </c>
      <c r="L372" s="35" t="s">
        <v>46</v>
      </c>
      <c r="M372" s="36" t="s">
        <v>80</v>
      </c>
      <c r="N372" s="36"/>
      <c r="O372" s="35">
        <v>35</v>
      </c>
      <c r="P372" s="74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0"/>
      <c r="R372" s="650"/>
      <c r="S372" s="650"/>
      <c r="T372" s="65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63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65" t="s">
        <v>615</v>
      </c>
      <c r="AG372" s="75"/>
      <c r="AJ372" s="79" t="s">
        <v>46</v>
      </c>
      <c r="AK372" s="79">
        <v>0</v>
      </c>
      <c r="BB372" s="466" t="s">
        <v>66</v>
      </c>
      <c r="BM372" s="75">
        <f t="shared" ref="BM372:BM378" si="64">IFERROR(X372*I372/H372,"0")</f>
        <v>0</v>
      </c>
      <c r="BN372" s="75">
        <f t="shared" ref="BN372:BN378" si="65">IFERROR(Y372*I372/H372,"0")</f>
        <v>0</v>
      </c>
      <c r="BO372" s="75">
        <f t="shared" ref="BO372:BO378" si="66">IFERROR(1/J372*(X372/H372),"0")</f>
        <v>0</v>
      </c>
      <c r="BP372" s="75">
        <f t="shared" ref="BP372:BP378" si="67">IFERROR(1/J372*(Y372/H372),"0")</f>
        <v>0</v>
      </c>
    </row>
    <row r="373" spans="1:68" ht="27" hidden="1" customHeight="1" x14ac:dyDescent="0.25">
      <c r="A373" s="60" t="s">
        <v>616</v>
      </c>
      <c r="B373" s="60" t="s">
        <v>617</v>
      </c>
      <c r="C373" s="34">
        <v>4301031153</v>
      </c>
      <c r="D373" s="648">
        <v>4607091387230</v>
      </c>
      <c r="E373" s="648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133</v>
      </c>
      <c r="L373" s="35" t="s">
        <v>46</v>
      </c>
      <c r="M373" s="36" t="s">
        <v>80</v>
      </c>
      <c r="N373" s="36"/>
      <c r="O373" s="35">
        <v>40</v>
      </c>
      <c r="P373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0"/>
      <c r="R373" s="650"/>
      <c r="S373" s="650"/>
      <c r="T373" s="65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7" t="s">
        <v>618</v>
      </c>
      <c r="AG373" s="75"/>
      <c r="AJ373" s="79" t="s">
        <v>46</v>
      </c>
      <c r="AK373" s="79">
        <v>0</v>
      </c>
      <c r="BB373" s="468" t="s">
        <v>66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619</v>
      </c>
      <c r="B374" s="60" t="s">
        <v>620</v>
      </c>
      <c r="C374" s="34">
        <v>4301031154</v>
      </c>
      <c r="D374" s="648">
        <v>4607091387292</v>
      </c>
      <c r="E374" s="648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133</v>
      </c>
      <c r="L374" s="35" t="s">
        <v>46</v>
      </c>
      <c r="M374" s="36" t="s">
        <v>80</v>
      </c>
      <c r="N374" s="36"/>
      <c r="O374" s="35">
        <v>45</v>
      </c>
      <c r="P374" s="74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0"/>
      <c r="R374" s="650"/>
      <c r="S374" s="650"/>
      <c r="T374" s="65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621</v>
      </c>
      <c r="AG374" s="75"/>
      <c r="AJ374" s="79" t="s">
        <v>46</v>
      </c>
      <c r="AK374" s="79">
        <v>0</v>
      </c>
      <c r="BB374" s="470" t="s">
        <v>66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622</v>
      </c>
      <c r="B375" s="60" t="s">
        <v>623</v>
      </c>
      <c r="C375" s="34">
        <v>4301031152</v>
      </c>
      <c r="D375" s="648">
        <v>4607091387285</v>
      </c>
      <c r="E375" s="648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0"/>
      <c r="R375" s="650"/>
      <c r="S375" s="650"/>
      <c r="T375" s="65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71" t="s">
        <v>618</v>
      </c>
      <c r="AG375" s="75"/>
      <c r="AJ375" s="79" t="s">
        <v>46</v>
      </c>
      <c r="AK375" s="79">
        <v>0</v>
      </c>
      <c r="BB375" s="472" t="s">
        <v>66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624</v>
      </c>
      <c r="B376" s="60" t="s">
        <v>625</v>
      </c>
      <c r="C376" s="34">
        <v>4301031305</v>
      </c>
      <c r="D376" s="648">
        <v>4607091389845</v>
      </c>
      <c r="E376" s="648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5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0"/>
      <c r="R376" s="650"/>
      <c r="S376" s="650"/>
      <c r="T376" s="65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73" t="s">
        <v>626</v>
      </c>
      <c r="AG376" s="75"/>
      <c r="AJ376" s="79" t="s">
        <v>46</v>
      </c>
      <c r="AK376" s="79">
        <v>0</v>
      </c>
      <c r="BB376" s="474" t="s">
        <v>66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627</v>
      </c>
      <c r="B377" s="60" t="s">
        <v>628</v>
      </c>
      <c r="C377" s="34">
        <v>4301031460</v>
      </c>
      <c r="D377" s="648">
        <v>4680115887442</v>
      </c>
      <c r="E377" s="648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133</v>
      </c>
      <c r="L377" s="35" t="s">
        <v>46</v>
      </c>
      <c r="M377" s="36" t="s">
        <v>80</v>
      </c>
      <c r="N377" s="36"/>
      <c r="O377" s="35">
        <v>45</v>
      </c>
      <c r="P377" s="75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0"/>
      <c r="R377" s="650"/>
      <c r="S377" s="650"/>
      <c r="T377" s="65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621</v>
      </c>
      <c r="AG377" s="75"/>
      <c r="AJ377" s="79" t="s">
        <v>46</v>
      </c>
      <c r="AK377" s="79">
        <v>0</v>
      </c>
      <c r="BB377" s="476" t="s">
        <v>66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629</v>
      </c>
      <c r="B378" s="60" t="s">
        <v>630</v>
      </c>
      <c r="C378" s="34">
        <v>4301031066</v>
      </c>
      <c r="D378" s="648">
        <v>4607091383836</v>
      </c>
      <c r="E378" s="648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5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0"/>
      <c r="R378" s="650"/>
      <c r="S378" s="650"/>
      <c r="T378" s="651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7" t="s">
        <v>631</v>
      </c>
      <c r="AG378" s="75"/>
      <c r="AJ378" s="79" t="s">
        <v>46</v>
      </c>
      <c r="AK378" s="79">
        <v>0</v>
      </c>
      <c r="BB378" s="478" t="s">
        <v>66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idden="1" x14ac:dyDescent="0.2">
      <c r="A379" s="655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2" t="s">
        <v>40</v>
      </c>
      <c r="Q379" s="653"/>
      <c r="R379" s="653"/>
      <c r="S379" s="653"/>
      <c r="T379" s="653"/>
      <c r="U379" s="653"/>
      <c r="V379" s="654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2" t="s">
        <v>40</v>
      </c>
      <c r="Q380" s="653"/>
      <c r="R380" s="653"/>
      <c r="S380" s="653"/>
      <c r="T380" s="653"/>
      <c r="U380" s="653"/>
      <c r="V380" s="654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62" t="s">
        <v>85</v>
      </c>
      <c r="B381" s="662"/>
      <c r="C381" s="662"/>
      <c r="D381" s="662"/>
      <c r="E381" s="662"/>
      <c r="F381" s="662"/>
      <c r="G381" s="662"/>
      <c r="H381" s="662"/>
      <c r="I381" s="662"/>
      <c r="J381" s="662"/>
      <c r="K381" s="662"/>
      <c r="L381" s="662"/>
      <c r="M381" s="662"/>
      <c r="N381" s="662"/>
      <c r="O381" s="662"/>
      <c r="P381" s="662"/>
      <c r="Q381" s="662"/>
      <c r="R381" s="662"/>
      <c r="S381" s="662"/>
      <c r="T381" s="662"/>
      <c r="U381" s="662"/>
      <c r="V381" s="662"/>
      <c r="W381" s="662"/>
      <c r="X381" s="662"/>
      <c r="Y381" s="662"/>
      <c r="Z381" s="662"/>
      <c r="AA381" s="63"/>
      <c r="AB381" s="63"/>
      <c r="AC381" s="63"/>
    </row>
    <row r="382" spans="1:68" ht="27" hidden="1" customHeight="1" x14ac:dyDescent="0.25">
      <c r="A382" s="60" t="s">
        <v>632</v>
      </c>
      <c r="B382" s="60" t="s">
        <v>633</v>
      </c>
      <c r="C382" s="34">
        <v>4301051100</v>
      </c>
      <c r="D382" s="648">
        <v>4607091387766</v>
      </c>
      <c r="E382" s="648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126</v>
      </c>
      <c r="L382" s="35" t="s">
        <v>46</v>
      </c>
      <c r="M382" s="36" t="s">
        <v>89</v>
      </c>
      <c r="N382" s="36"/>
      <c r="O382" s="35">
        <v>40</v>
      </c>
      <c r="P382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0"/>
      <c r="R382" s="650"/>
      <c r="S382" s="650"/>
      <c r="T382" s="651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9" t="s">
        <v>634</v>
      </c>
      <c r="AG382" s="75"/>
      <c r="AJ382" s="79" t="s">
        <v>46</v>
      </c>
      <c r="AK382" s="79">
        <v>0</v>
      </c>
      <c r="BB382" s="480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635</v>
      </c>
      <c r="B383" s="60" t="s">
        <v>636</v>
      </c>
      <c r="C383" s="34">
        <v>4301051818</v>
      </c>
      <c r="D383" s="648">
        <v>4607091387957</v>
      </c>
      <c r="E383" s="648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126</v>
      </c>
      <c r="L383" s="35" t="s">
        <v>46</v>
      </c>
      <c r="M383" s="36" t="s">
        <v>89</v>
      </c>
      <c r="N383" s="36"/>
      <c r="O383" s="35">
        <v>40</v>
      </c>
      <c r="P383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0"/>
      <c r="R383" s="650"/>
      <c r="S383" s="650"/>
      <c r="T383" s="651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81" t="s">
        <v>637</v>
      </c>
      <c r="AG383" s="75"/>
      <c r="AJ383" s="79" t="s">
        <v>46</v>
      </c>
      <c r="AK383" s="79">
        <v>0</v>
      </c>
      <c r="BB383" s="482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638</v>
      </c>
      <c r="B384" s="60" t="s">
        <v>639</v>
      </c>
      <c r="C384" s="34">
        <v>4301051819</v>
      </c>
      <c r="D384" s="648">
        <v>4607091387964</v>
      </c>
      <c r="E384" s="648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126</v>
      </c>
      <c r="L384" s="35" t="s">
        <v>46</v>
      </c>
      <c r="M384" s="36" t="s">
        <v>89</v>
      </c>
      <c r="N384" s="36"/>
      <c r="O384" s="35">
        <v>40</v>
      </c>
      <c r="P384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0"/>
      <c r="R384" s="650"/>
      <c r="S384" s="650"/>
      <c r="T384" s="65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640</v>
      </c>
      <c r="AG384" s="75"/>
      <c r="AJ384" s="79" t="s">
        <v>46</v>
      </c>
      <c r="AK384" s="79">
        <v>0</v>
      </c>
      <c r="BB384" s="484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641</v>
      </c>
      <c r="B385" s="60" t="s">
        <v>642</v>
      </c>
      <c r="C385" s="34">
        <v>4301051734</v>
      </c>
      <c r="D385" s="648">
        <v>4680115884588</v>
      </c>
      <c r="E385" s="648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4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0"/>
      <c r="R385" s="650"/>
      <c r="S385" s="650"/>
      <c r="T385" s="65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85" t="s">
        <v>634</v>
      </c>
      <c r="AG385" s="75"/>
      <c r="AJ385" s="79" t="s">
        <v>46</v>
      </c>
      <c r="AK385" s="79">
        <v>0</v>
      </c>
      <c r="BB385" s="486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55"/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6"/>
      <c r="P386" s="652" t="s">
        <v>40</v>
      </c>
      <c r="Q386" s="653"/>
      <c r="R386" s="653"/>
      <c r="S386" s="653"/>
      <c r="T386" s="653"/>
      <c r="U386" s="653"/>
      <c r="V386" s="654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55"/>
      <c r="B387" s="655"/>
      <c r="C387" s="655"/>
      <c r="D387" s="655"/>
      <c r="E387" s="655"/>
      <c r="F387" s="655"/>
      <c r="G387" s="655"/>
      <c r="H387" s="655"/>
      <c r="I387" s="655"/>
      <c r="J387" s="655"/>
      <c r="K387" s="655"/>
      <c r="L387" s="655"/>
      <c r="M387" s="655"/>
      <c r="N387" s="655"/>
      <c r="O387" s="656"/>
      <c r="P387" s="652" t="s">
        <v>40</v>
      </c>
      <c r="Q387" s="653"/>
      <c r="R387" s="653"/>
      <c r="S387" s="653"/>
      <c r="T387" s="653"/>
      <c r="U387" s="653"/>
      <c r="V387" s="654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62" t="s">
        <v>174</v>
      </c>
      <c r="B388" s="662"/>
      <c r="C388" s="662"/>
      <c r="D388" s="662"/>
      <c r="E388" s="662"/>
      <c r="F388" s="662"/>
      <c r="G388" s="662"/>
      <c r="H388" s="662"/>
      <c r="I388" s="662"/>
      <c r="J388" s="662"/>
      <c r="K388" s="662"/>
      <c r="L388" s="662"/>
      <c r="M388" s="662"/>
      <c r="N388" s="662"/>
      <c r="O388" s="662"/>
      <c r="P388" s="662"/>
      <c r="Q388" s="662"/>
      <c r="R388" s="662"/>
      <c r="S388" s="662"/>
      <c r="T388" s="662"/>
      <c r="U388" s="662"/>
      <c r="V388" s="662"/>
      <c r="W388" s="662"/>
      <c r="X388" s="662"/>
      <c r="Y388" s="662"/>
      <c r="Z388" s="662"/>
      <c r="AA388" s="63"/>
      <c r="AB388" s="63"/>
      <c r="AC388" s="63"/>
    </row>
    <row r="389" spans="1:68" ht="27" hidden="1" customHeight="1" x14ac:dyDescent="0.25">
      <c r="A389" s="60" t="s">
        <v>643</v>
      </c>
      <c r="B389" s="60" t="s">
        <v>644</v>
      </c>
      <c r="C389" s="34">
        <v>4301060387</v>
      </c>
      <c r="D389" s="648">
        <v>4607091380880</v>
      </c>
      <c r="E389" s="648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126</v>
      </c>
      <c r="L389" s="35" t="s">
        <v>46</v>
      </c>
      <c r="M389" s="36" t="s">
        <v>89</v>
      </c>
      <c r="N389" s="36"/>
      <c r="O389" s="35">
        <v>30</v>
      </c>
      <c r="P389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0"/>
      <c r="R389" s="650"/>
      <c r="S389" s="650"/>
      <c r="T389" s="65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7" t="s">
        <v>645</v>
      </c>
      <c r="AG389" s="75"/>
      <c r="AJ389" s="79" t="s">
        <v>46</v>
      </c>
      <c r="AK389" s="79">
        <v>0</v>
      </c>
      <c r="BB389" s="488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646</v>
      </c>
      <c r="B390" s="60" t="s">
        <v>647</v>
      </c>
      <c r="C390" s="34">
        <v>4301060406</v>
      </c>
      <c r="D390" s="648">
        <v>4607091384482</v>
      </c>
      <c r="E390" s="64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126</v>
      </c>
      <c r="L390" s="35" t="s">
        <v>46</v>
      </c>
      <c r="M390" s="36" t="s">
        <v>89</v>
      </c>
      <c r="N390" s="36"/>
      <c r="O390" s="35">
        <v>30</v>
      </c>
      <c r="P390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0"/>
      <c r="R390" s="650"/>
      <c r="S390" s="650"/>
      <c r="T390" s="65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9" t="s">
        <v>648</v>
      </c>
      <c r="AG390" s="75"/>
      <c r="AJ390" s="79" t="s">
        <v>46</v>
      </c>
      <c r="AK390" s="79">
        <v>0</v>
      </c>
      <c r="BB390" s="490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649</v>
      </c>
      <c r="B391" s="60" t="s">
        <v>650</v>
      </c>
      <c r="C391" s="34">
        <v>4301060484</v>
      </c>
      <c r="D391" s="648">
        <v>4607091380897</v>
      </c>
      <c r="E391" s="64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126</v>
      </c>
      <c r="L391" s="35" t="s">
        <v>46</v>
      </c>
      <c r="M391" s="36" t="s">
        <v>96</v>
      </c>
      <c r="N391" s="36"/>
      <c r="O391" s="35">
        <v>30</v>
      </c>
      <c r="P391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0"/>
      <c r="R391" s="650"/>
      <c r="S391" s="650"/>
      <c r="T391" s="65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1" t="s">
        <v>651</v>
      </c>
      <c r="AG391" s="75"/>
      <c r="AJ391" s="79" t="s">
        <v>46</v>
      </c>
      <c r="AK391" s="79">
        <v>0</v>
      </c>
      <c r="BB391" s="492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55"/>
      <c r="B392" s="655"/>
      <c r="C392" s="655"/>
      <c r="D392" s="655"/>
      <c r="E392" s="655"/>
      <c r="F392" s="655"/>
      <c r="G392" s="655"/>
      <c r="H392" s="655"/>
      <c r="I392" s="655"/>
      <c r="J392" s="655"/>
      <c r="K392" s="655"/>
      <c r="L392" s="655"/>
      <c r="M392" s="655"/>
      <c r="N392" s="655"/>
      <c r="O392" s="656"/>
      <c r="P392" s="652" t="s">
        <v>40</v>
      </c>
      <c r="Q392" s="653"/>
      <c r="R392" s="653"/>
      <c r="S392" s="653"/>
      <c r="T392" s="653"/>
      <c r="U392" s="653"/>
      <c r="V392" s="654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55"/>
      <c r="B393" s="655"/>
      <c r="C393" s="655"/>
      <c r="D393" s="655"/>
      <c r="E393" s="655"/>
      <c r="F393" s="655"/>
      <c r="G393" s="655"/>
      <c r="H393" s="655"/>
      <c r="I393" s="655"/>
      <c r="J393" s="655"/>
      <c r="K393" s="655"/>
      <c r="L393" s="655"/>
      <c r="M393" s="655"/>
      <c r="N393" s="655"/>
      <c r="O393" s="656"/>
      <c r="P393" s="652" t="s">
        <v>40</v>
      </c>
      <c r="Q393" s="653"/>
      <c r="R393" s="653"/>
      <c r="S393" s="653"/>
      <c r="T393" s="653"/>
      <c r="U393" s="653"/>
      <c r="V393" s="654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62" t="s">
        <v>274</v>
      </c>
      <c r="B394" s="662"/>
      <c r="C394" s="662"/>
      <c r="D394" s="662"/>
      <c r="E394" s="662"/>
      <c r="F394" s="662"/>
      <c r="G394" s="662"/>
      <c r="H394" s="662"/>
      <c r="I394" s="662"/>
      <c r="J394" s="662"/>
      <c r="K394" s="662"/>
      <c r="L394" s="662"/>
      <c r="M394" s="662"/>
      <c r="N394" s="662"/>
      <c r="O394" s="662"/>
      <c r="P394" s="662"/>
      <c r="Q394" s="662"/>
      <c r="R394" s="662"/>
      <c r="S394" s="662"/>
      <c r="T394" s="662"/>
      <c r="U394" s="662"/>
      <c r="V394" s="662"/>
      <c r="W394" s="662"/>
      <c r="X394" s="662"/>
      <c r="Y394" s="662"/>
      <c r="Z394" s="662"/>
      <c r="AA394" s="63"/>
      <c r="AB394" s="63"/>
      <c r="AC394" s="63"/>
    </row>
    <row r="395" spans="1:68" ht="27" hidden="1" customHeight="1" x14ac:dyDescent="0.25">
      <c r="A395" s="60" t="s">
        <v>652</v>
      </c>
      <c r="B395" s="60" t="s">
        <v>653</v>
      </c>
      <c r="C395" s="34">
        <v>4301030235</v>
      </c>
      <c r="D395" s="648">
        <v>4607091388381</v>
      </c>
      <c r="E395" s="648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133</v>
      </c>
      <c r="L395" s="35" t="s">
        <v>46</v>
      </c>
      <c r="M395" s="36" t="s">
        <v>250</v>
      </c>
      <c r="N395" s="36"/>
      <c r="O395" s="35">
        <v>180</v>
      </c>
      <c r="P395" s="7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0"/>
      <c r="R395" s="650"/>
      <c r="S395" s="650"/>
      <c r="T395" s="651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93" t="s">
        <v>654</v>
      </c>
      <c r="AG395" s="75"/>
      <c r="AJ395" s="79" t="s">
        <v>46</v>
      </c>
      <c r="AK395" s="79">
        <v>0</v>
      </c>
      <c r="BB395" s="494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655</v>
      </c>
      <c r="B396" s="60" t="s">
        <v>656</v>
      </c>
      <c r="C396" s="34">
        <v>4301030232</v>
      </c>
      <c r="D396" s="648">
        <v>4607091388374</v>
      </c>
      <c r="E396" s="648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133</v>
      </c>
      <c r="L396" s="35" t="s">
        <v>46</v>
      </c>
      <c r="M396" s="36" t="s">
        <v>250</v>
      </c>
      <c r="N396" s="36"/>
      <c r="O396" s="35">
        <v>180</v>
      </c>
      <c r="P396" s="7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0"/>
      <c r="R396" s="650"/>
      <c r="S396" s="650"/>
      <c r="T396" s="651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95" t="s">
        <v>654</v>
      </c>
      <c r="AG396" s="75"/>
      <c r="AJ396" s="79" t="s">
        <v>46</v>
      </c>
      <c r="AK396" s="79">
        <v>0</v>
      </c>
      <c r="BB396" s="496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657</v>
      </c>
      <c r="B397" s="60" t="s">
        <v>658</v>
      </c>
      <c r="C397" s="34">
        <v>4301032015</v>
      </c>
      <c r="D397" s="648">
        <v>4607091383102</v>
      </c>
      <c r="E397" s="648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250</v>
      </c>
      <c r="N397" s="36"/>
      <c r="O397" s="35">
        <v>180</v>
      </c>
      <c r="P397" s="7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0"/>
      <c r="R397" s="650"/>
      <c r="S397" s="650"/>
      <c r="T397" s="65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7" t="s">
        <v>654</v>
      </c>
      <c r="AG397" s="75"/>
      <c r="AJ397" s="79" t="s">
        <v>46</v>
      </c>
      <c r="AK397" s="79">
        <v>0</v>
      </c>
      <c r="BB397" s="498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4301030233</v>
      </c>
      <c r="D398" s="648">
        <v>4607091388404</v>
      </c>
      <c r="E398" s="648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250</v>
      </c>
      <c r="N398" s="36"/>
      <c r="O398" s="35">
        <v>180</v>
      </c>
      <c r="P398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0"/>
      <c r="R398" s="650"/>
      <c r="S398" s="650"/>
      <c r="T398" s="65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9" t="s">
        <v>654</v>
      </c>
      <c r="AG398" s="75"/>
      <c r="AJ398" s="79" t="s">
        <v>46</v>
      </c>
      <c r="AK398" s="79">
        <v>0</v>
      </c>
      <c r="BB398" s="500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55"/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6"/>
      <c r="P399" s="652" t="s">
        <v>40</v>
      </c>
      <c r="Q399" s="653"/>
      <c r="R399" s="653"/>
      <c r="S399" s="653"/>
      <c r="T399" s="653"/>
      <c r="U399" s="653"/>
      <c r="V399" s="654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55"/>
      <c r="B400" s="655"/>
      <c r="C400" s="655"/>
      <c r="D400" s="655"/>
      <c r="E400" s="655"/>
      <c r="F400" s="655"/>
      <c r="G400" s="655"/>
      <c r="H400" s="655"/>
      <c r="I400" s="655"/>
      <c r="J400" s="655"/>
      <c r="K400" s="655"/>
      <c r="L400" s="655"/>
      <c r="M400" s="655"/>
      <c r="N400" s="655"/>
      <c r="O400" s="656"/>
      <c r="P400" s="652" t="s">
        <v>40</v>
      </c>
      <c r="Q400" s="653"/>
      <c r="R400" s="653"/>
      <c r="S400" s="653"/>
      <c r="T400" s="653"/>
      <c r="U400" s="653"/>
      <c r="V400" s="654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62" t="s">
        <v>661</v>
      </c>
      <c r="B401" s="662"/>
      <c r="C401" s="662"/>
      <c r="D401" s="662"/>
      <c r="E401" s="662"/>
      <c r="F401" s="662"/>
      <c r="G401" s="662"/>
      <c r="H401" s="662"/>
      <c r="I401" s="662"/>
      <c r="J401" s="662"/>
      <c r="K401" s="662"/>
      <c r="L401" s="662"/>
      <c r="M401" s="662"/>
      <c r="N401" s="662"/>
      <c r="O401" s="662"/>
      <c r="P401" s="662"/>
      <c r="Q401" s="662"/>
      <c r="R401" s="662"/>
      <c r="S401" s="662"/>
      <c r="T401" s="662"/>
      <c r="U401" s="662"/>
      <c r="V401" s="662"/>
      <c r="W401" s="662"/>
      <c r="X401" s="662"/>
      <c r="Y401" s="662"/>
      <c r="Z401" s="662"/>
      <c r="AA401" s="63"/>
      <c r="AB401" s="63"/>
      <c r="AC401" s="63"/>
    </row>
    <row r="402" spans="1:68" ht="16.5" hidden="1" customHeight="1" x14ac:dyDescent="0.25">
      <c r="A402" s="60" t="s">
        <v>662</v>
      </c>
      <c r="B402" s="60" t="s">
        <v>663</v>
      </c>
      <c r="C402" s="34">
        <v>4301180007</v>
      </c>
      <c r="D402" s="648">
        <v>4680115881808</v>
      </c>
      <c r="E402" s="648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665</v>
      </c>
      <c r="N402" s="36"/>
      <c r="O402" s="35">
        <v>731</v>
      </c>
      <c r="P402" s="73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0"/>
      <c r="R402" s="650"/>
      <c r="S402" s="650"/>
      <c r="T402" s="65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501" t="s">
        <v>664</v>
      </c>
      <c r="AG402" s="75"/>
      <c r="AJ402" s="79" t="s">
        <v>46</v>
      </c>
      <c r="AK402" s="79">
        <v>0</v>
      </c>
      <c r="BB402" s="502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4301180006</v>
      </c>
      <c r="D403" s="648">
        <v>4680115881822</v>
      </c>
      <c r="E403" s="648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665</v>
      </c>
      <c r="N403" s="36"/>
      <c r="O403" s="35">
        <v>731</v>
      </c>
      <c r="P403" s="73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0"/>
      <c r="R403" s="650"/>
      <c r="S403" s="650"/>
      <c r="T403" s="65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503" t="s">
        <v>664</v>
      </c>
      <c r="AG403" s="75"/>
      <c r="AJ403" s="79" t="s">
        <v>46</v>
      </c>
      <c r="AK403" s="79">
        <v>0</v>
      </c>
      <c r="BB403" s="504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668</v>
      </c>
      <c r="B404" s="60" t="s">
        <v>669</v>
      </c>
      <c r="C404" s="34">
        <v>4301180001</v>
      </c>
      <c r="D404" s="648">
        <v>4680115880016</v>
      </c>
      <c r="E404" s="64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665</v>
      </c>
      <c r="N404" s="36"/>
      <c r="O404" s="35">
        <v>731</v>
      </c>
      <c r="P404" s="7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0"/>
      <c r="R404" s="650"/>
      <c r="S404" s="650"/>
      <c r="T404" s="65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664</v>
      </c>
      <c r="AG404" s="75"/>
      <c r="AJ404" s="79" t="s">
        <v>46</v>
      </c>
      <c r="AK404" s="79">
        <v>0</v>
      </c>
      <c r="BB404" s="506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55"/>
      <c r="B405" s="655"/>
      <c r="C405" s="655"/>
      <c r="D405" s="655"/>
      <c r="E405" s="655"/>
      <c r="F405" s="655"/>
      <c r="G405" s="655"/>
      <c r="H405" s="655"/>
      <c r="I405" s="655"/>
      <c r="J405" s="655"/>
      <c r="K405" s="655"/>
      <c r="L405" s="655"/>
      <c r="M405" s="655"/>
      <c r="N405" s="655"/>
      <c r="O405" s="656"/>
      <c r="P405" s="652" t="s">
        <v>40</v>
      </c>
      <c r="Q405" s="653"/>
      <c r="R405" s="653"/>
      <c r="S405" s="653"/>
      <c r="T405" s="653"/>
      <c r="U405" s="653"/>
      <c r="V405" s="654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55"/>
      <c r="B406" s="655"/>
      <c r="C406" s="655"/>
      <c r="D406" s="655"/>
      <c r="E406" s="655"/>
      <c r="F406" s="655"/>
      <c r="G406" s="655"/>
      <c r="H406" s="655"/>
      <c r="I406" s="655"/>
      <c r="J406" s="655"/>
      <c r="K406" s="655"/>
      <c r="L406" s="655"/>
      <c r="M406" s="655"/>
      <c r="N406" s="655"/>
      <c r="O406" s="656"/>
      <c r="P406" s="652" t="s">
        <v>40</v>
      </c>
      <c r="Q406" s="653"/>
      <c r="R406" s="653"/>
      <c r="S406" s="653"/>
      <c r="T406" s="653"/>
      <c r="U406" s="653"/>
      <c r="V406" s="654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62" t="s">
        <v>670</v>
      </c>
      <c r="B407" s="662"/>
      <c r="C407" s="662"/>
      <c r="D407" s="662"/>
      <c r="E407" s="662"/>
      <c r="F407" s="662"/>
      <c r="G407" s="662"/>
      <c r="H407" s="662"/>
      <c r="I407" s="662"/>
      <c r="J407" s="662"/>
      <c r="K407" s="662"/>
      <c r="L407" s="662"/>
      <c r="M407" s="662"/>
      <c r="N407" s="662"/>
      <c r="O407" s="662"/>
      <c r="P407" s="662"/>
      <c r="Q407" s="662"/>
      <c r="R407" s="662"/>
      <c r="S407" s="662"/>
      <c r="T407" s="662"/>
      <c r="U407" s="662"/>
      <c r="V407" s="662"/>
      <c r="W407" s="662"/>
      <c r="X407" s="662"/>
      <c r="Y407" s="662"/>
      <c r="Z407" s="662"/>
      <c r="AA407" s="63"/>
      <c r="AB407" s="63"/>
      <c r="AC407" s="63"/>
    </row>
    <row r="408" spans="1:68" ht="27" hidden="1" customHeight="1" x14ac:dyDescent="0.25">
      <c r="A408" s="60" t="s">
        <v>671</v>
      </c>
      <c r="B408" s="60" t="s">
        <v>672</v>
      </c>
      <c r="C408" s="34">
        <v>4301220003</v>
      </c>
      <c r="D408" s="648">
        <v>4680115888678</v>
      </c>
      <c r="E408" s="648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665</v>
      </c>
      <c r="N408" s="36"/>
      <c r="O408" s="35">
        <v>1096</v>
      </c>
      <c r="P408" s="73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0"/>
      <c r="R408" s="650"/>
      <c r="S408" s="650"/>
      <c r="T408" s="651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46</v>
      </c>
      <c r="AC408" s="507" t="s">
        <v>673</v>
      </c>
      <c r="AG408" s="75"/>
      <c r="AJ408" s="79" t="s">
        <v>46</v>
      </c>
      <c r="AK408" s="79">
        <v>0</v>
      </c>
      <c r="BB408" s="508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674</v>
      </c>
      <c r="B409" s="60" t="s">
        <v>675</v>
      </c>
      <c r="C409" s="34">
        <v>4301220001</v>
      </c>
      <c r="D409" s="648">
        <v>4680115888654</v>
      </c>
      <c r="E409" s="648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133</v>
      </c>
      <c r="L409" s="35" t="s">
        <v>46</v>
      </c>
      <c r="M409" s="36" t="s">
        <v>665</v>
      </c>
      <c r="N409" s="36"/>
      <c r="O409" s="35">
        <v>1096</v>
      </c>
      <c r="P409" s="73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0"/>
      <c r="R409" s="650"/>
      <c r="S409" s="650"/>
      <c r="T409" s="651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46</v>
      </c>
      <c r="AC409" s="509" t="s">
        <v>676</v>
      </c>
      <c r="AG409" s="75"/>
      <c r="AJ409" s="79" t="s">
        <v>46</v>
      </c>
      <c r="AK409" s="79">
        <v>0</v>
      </c>
      <c r="BB409" s="510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677</v>
      </c>
      <c r="B410" s="60" t="s">
        <v>678</v>
      </c>
      <c r="C410" s="34">
        <v>4301220002</v>
      </c>
      <c r="D410" s="648">
        <v>4680115888753</v>
      </c>
      <c r="E410" s="64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665</v>
      </c>
      <c r="N410" s="36"/>
      <c r="O410" s="35">
        <v>1096</v>
      </c>
      <c r="P410" s="73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0"/>
      <c r="R410" s="650"/>
      <c r="S410" s="650"/>
      <c r="T410" s="65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673</v>
      </c>
      <c r="AG410" s="75"/>
      <c r="AJ410" s="79" t="s">
        <v>46</v>
      </c>
      <c r="AK410" s="79">
        <v>0</v>
      </c>
      <c r="BB410" s="512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55"/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6"/>
      <c r="P411" s="652" t="s">
        <v>40</v>
      </c>
      <c r="Q411" s="653"/>
      <c r="R411" s="653"/>
      <c r="S411" s="653"/>
      <c r="T411" s="653"/>
      <c r="U411" s="653"/>
      <c r="V411" s="654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55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2" t="s">
        <v>40</v>
      </c>
      <c r="Q412" s="653"/>
      <c r="R412" s="653"/>
      <c r="S412" s="653"/>
      <c r="T412" s="653"/>
      <c r="U412" s="653"/>
      <c r="V412" s="654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66" t="s">
        <v>679</v>
      </c>
      <c r="B413" s="666"/>
      <c r="C413" s="666"/>
      <c r="D413" s="666"/>
      <c r="E413" s="666"/>
      <c r="F413" s="666"/>
      <c r="G413" s="666"/>
      <c r="H413" s="666"/>
      <c r="I413" s="666"/>
      <c r="J413" s="666"/>
      <c r="K413" s="666"/>
      <c r="L413" s="666"/>
      <c r="M413" s="666"/>
      <c r="N413" s="666"/>
      <c r="O413" s="666"/>
      <c r="P413" s="666"/>
      <c r="Q413" s="666"/>
      <c r="R413" s="666"/>
      <c r="S413" s="666"/>
      <c r="T413" s="666"/>
      <c r="U413" s="666"/>
      <c r="V413" s="666"/>
      <c r="W413" s="666"/>
      <c r="X413" s="666"/>
      <c r="Y413" s="666"/>
      <c r="Z413" s="666"/>
      <c r="AA413" s="62"/>
      <c r="AB413" s="62"/>
      <c r="AC413" s="62"/>
    </row>
    <row r="414" spans="1:68" ht="14.25" hidden="1" customHeight="1" x14ac:dyDescent="0.25">
      <c r="A414" s="662" t="s">
        <v>85</v>
      </c>
      <c r="B414" s="662"/>
      <c r="C414" s="662"/>
      <c r="D414" s="662"/>
      <c r="E414" s="662"/>
      <c r="F414" s="662"/>
      <c r="G414" s="662"/>
      <c r="H414" s="662"/>
      <c r="I414" s="662"/>
      <c r="J414" s="662"/>
      <c r="K414" s="662"/>
      <c r="L414" s="662"/>
      <c r="M414" s="662"/>
      <c r="N414" s="662"/>
      <c r="O414" s="662"/>
      <c r="P414" s="662"/>
      <c r="Q414" s="662"/>
      <c r="R414" s="662"/>
      <c r="S414" s="662"/>
      <c r="T414" s="662"/>
      <c r="U414" s="662"/>
      <c r="V414" s="662"/>
      <c r="W414" s="662"/>
      <c r="X414" s="662"/>
      <c r="Y414" s="662"/>
      <c r="Z414" s="662"/>
      <c r="AA414" s="63"/>
      <c r="AB414" s="63"/>
      <c r="AC414" s="63"/>
    </row>
    <row r="415" spans="1:68" ht="16.5" hidden="1" customHeight="1" x14ac:dyDescent="0.25">
      <c r="A415" s="60" t="s">
        <v>680</v>
      </c>
      <c r="B415" s="60" t="s">
        <v>681</v>
      </c>
      <c r="C415" s="34">
        <v>4301052235</v>
      </c>
      <c r="D415" s="648">
        <v>4680115889415</v>
      </c>
      <c r="E415" s="648"/>
      <c r="F415" s="59">
        <v>1.3</v>
      </c>
      <c r="G415" s="35">
        <v>6</v>
      </c>
      <c r="H415" s="59">
        <v>7.8</v>
      </c>
      <c r="I415" s="59">
        <v>8.2100000000000009</v>
      </c>
      <c r="J415" s="35">
        <v>64</v>
      </c>
      <c r="K415" s="35" t="s">
        <v>126</v>
      </c>
      <c r="L415" s="35" t="s">
        <v>46</v>
      </c>
      <c r="M415" s="36" t="s">
        <v>89</v>
      </c>
      <c r="N415" s="36"/>
      <c r="O415" s="35">
        <v>40</v>
      </c>
      <c r="P415" s="72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50"/>
      <c r="R415" s="650"/>
      <c r="S415" s="650"/>
      <c r="T415" s="651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13" t="s">
        <v>682</v>
      </c>
      <c r="AG415" s="75"/>
      <c r="AJ415" s="79" t="s">
        <v>46</v>
      </c>
      <c r="AK415" s="79">
        <v>0</v>
      </c>
      <c r="BB415" s="514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16.5" hidden="1" customHeight="1" x14ac:dyDescent="0.25">
      <c r="A416" s="60" t="s">
        <v>683</v>
      </c>
      <c r="B416" s="60" t="s">
        <v>684</v>
      </c>
      <c r="C416" s="34">
        <v>4301052236</v>
      </c>
      <c r="D416" s="648">
        <v>4680115889422</v>
      </c>
      <c r="E416" s="648"/>
      <c r="F416" s="59">
        <v>1.3</v>
      </c>
      <c r="G416" s="35">
        <v>6</v>
      </c>
      <c r="H416" s="59">
        <v>7.8</v>
      </c>
      <c r="I416" s="59">
        <v>8.2100000000000009</v>
      </c>
      <c r="J416" s="35">
        <v>64</v>
      </c>
      <c r="K416" s="35" t="s">
        <v>126</v>
      </c>
      <c r="L416" s="35" t="s">
        <v>46</v>
      </c>
      <c r="M416" s="36" t="s">
        <v>89</v>
      </c>
      <c r="N416" s="36"/>
      <c r="O416" s="35">
        <v>40</v>
      </c>
      <c r="P416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50"/>
      <c r="R416" s="650"/>
      <c r="S416" s="650"/>
      <c r="T416" s="65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IFERROR(IF(Y416=0,"",ROUNDUP(Y416/H416,0)*0.01898),"")</f>
        <v/>
      </c>
      <c r="AA416" s="65" t="s">
        <v>46</v>
      </c>
      <c r="AB416" s="66" t="s">
        <v>46</v>
      </c>
      <c r="AC416" s="515" t="s">
        <v>685</v>
      </c>
      <c r="AG416" s="75"/>
      <c r="AJ416" s="79" t="s">
        <v>46</v>
      </c>
      <c r="AK416" s="79">
        <v>0</v>
      </c>
      <c r="BB416" s="516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55"/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6"/>
      <c r="P417" s="652" t="s">
        <v>40</v>
      </c>
      <c r="Q417" s="653"/>
      <c r="R417" s="653"/>
      <c r="S417" s="653"/>
      <c r="T417" s="653"/>
      <c r="U417" s="653"/>
      <c r="V417" s="654"/>
      <c r="W417" s="40" t="s">
        <v>39</v>
      </c>
      <c r="X417" s="41">
        <f>IFERROR(X415/H415,"0")+IFERROR(X416/H416,"0")</f>
        <v>0</v>
      </c>
      <c r="Y417" s="41">
        <f>IFERROR(Y415/H415,"0")+IFERROR(Y416/H416,"0")</f>
        <v>0</v>
      </c>
      <c r="Z417" s="41">
        <f>IFERROR(IF(Z415="",0,Z415),"0")+IFERROR(IF(Z416="",0,Z416),"0")</f>
        <v>0</v>
      </c>
      <c r="AA417" s="64"/>
      <c r="AB417" s="64"/>
      <c r="AC417" s="64"/>
    </row>
    <row r="418" spans="1:68" hidden="1" x14ac:dyDescent="0.2">
      <c r="A418" s="655"/>
      <c r="B418" s="655"/>
      <c r="C418" s="655"/>
      <c r="D418" s="655"/>
      <c r="E418" s="655"/>
      <c r="F418" s="655"/>
      <c r="G418" s="655"/>
      <c r="H418" s="655"/>
      <c r="I418" s="655"/>
      <c r="J418" s="655"/>
      <c r="K418" s="655"/>
      <c r="L418" s="655"/>
      <c r="M418" s="655"/>
      <c r="N418" s="655"/>
      <c r="O418" s="656"/>
      <c r="P418" s="652" t="s">
        <v>40</v>
      </c>
      <c r="Q418" s="653"/>
      <c r="R418" s="653"/>
      <c r="S418" s="653"/>
      <c r="T418" s="653"/>
      <c r="U418" s="653"/>
      <c r="V418" s="654"/>
      <c r="W418" s="40" t="s">
        <v>0</v>
      </c>
      <c r="X418" s="41">
        <f>IFERROR(SUM(X415:X416),"0")</f>
        <v>0</v>
      </c>
      <c r="Y418" s="41">
        <f>IFERROR(SUM(Y415:Y416),"0")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66" t="s">
        <v>686</v>
      </c>
      <c r="B419" s="666"/>
      <c r="C419" s="666"/>
      <c r="D419" s="666"/>
      <c r="E419" s="666"/>
      <c r="F419" s="666"/>
      <c r="G419" s="666"/>
      <c r="H419" s="666"/>
      <c r="I419" s="666"/>
      <c r="J419" s="666"/>
      <c r="K419" s="666"/>
      <c r="L419" s="666"/>
      <c r="M419" s="666"/>
      <c r="N419" s="666"/>
      <c r="O419" s="666"/>
      <c r="P419" s="666"/>
      <c r="Q419" s="666"/>
      <c r="R419" s="666"/>
      <c r="S419" s="666"/>
      <c r="T419" s="666"/>
      <c r="U419" s="666"/>
      <c r="V419" s="666"/>
      <c r="W419" s="666"/>
      <c r="X419" s="666"/>
      <c r="Y419" s="666"/>
      <c r="Z419" s="666"/>
      <c r="AA419" s="62"/>
      <c r="AB419" s="62"/>
      <c r="AC419" s="62"/>
    </row>
    <row r="420" spans="1:68" ht="14.25" hidden="1" customHeight="1" x14ac:dyDescent="0.25">
      <c r="A420" s="662" t="s">
        <v>85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63"/>
      <c r="AB420" s="63"/>
      <c r="AC420" s="63"/>
    </row>
    <row r="421" spans="1:68" ht="27" hidden="1" customHeight="1" x14ac:dyDescent="0.25">
      <c r="A421" s="60" t="s">
        <v>687</v>
      </c>
      <c r="B421" s="60" t="s">
        <v>688</v>
      </c>
      <c r="C421" s="34">
        <v>4301051489</v>
      </c>
      <c r="D421" s="648">
        <v>4607091387919</v>
      </c>
      <c r="E421" s="648"/>
      <c r="F421" s="59">
        <v>1.35</v>
      </c>
      <c r="G421" s="35">
        <v>6</v>
      </c>
      <c r="H421" s="59">
        <v>8.1</v>
      </c>
      <c r="I421" s="59">
        <v>8.5939999999999994</v>
      </c>
      <c r="J421" s="35">
        <v>64</v>
      </c>
      <c r="K421" s="35" t="s">
        <v>126</v>
      </c>
      <c r="L421" s="35" t="s">
        <v>46</v>
      </c>
      <c r="M421" s="36" t="s">
        <v>96</v>
      </c>
      <c r="N421" s="36"/>
      <c r="O421" s="35">
        <v>45</v>
      </c>
      <c r="P421" s="72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50"/>
      <c r="R421" s="650"/>
      <c r="S421" s="650"/>
      <c r="T421" s="651"/>
      <c r="U421" s="37" t="s">
        <v>46</v>
      </c>
      <c r="V421" s="37" t="s">
        <v>46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17" t="s">
        <v>689</v>
      </c>
      <c r="AG421" s="75"/>
      <c r="AJ421" s="79" t="s">
        <v>46</v>
      </c>
      <c r="AK421" s="79">
        <v>0</v>
      </c>
      <c r="BB421" s="518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t="27" hidden="1" customHeight="1" x14ac:dyDescent="0.25">
      <c r="A422" s="60" t="s">
        <v>690</v>
      </c>
      <c r="B422" s="60" t="s">
        <v>691</v>
      </c>
      <c r="C422" s="34">
        <v>4301051461</v>
      </c>
      <c r="D422" s="648">
        <v>4680115883604</v>
      </c>
      <c r="E422" s="648"/>
      <c r="F422" s="59">
        <v>0.35</v>
      </c>
      <c r="G422" s="35">
        <v>6</v>
      </c>
      <c r="H422" s="59">
        <v>2.1</v>
      </c>
      <c r="I422" s="59">
        <v>2.3519999999999999</v>
      </c>
      <c r="J422" s="35">
        <v>182</v>
      </c>
      <c r="K422" s="35" t="s">
        <v>90</v>
      </c>
      <c r="L422" s="35" t="s">
        <v>46</v>
      </c>
      <c r="M422" s="36" t="s">
        <v>89</v>
      </c>
      <c r="N422" s="36"/>
      <c r="O422" s="35">
        <v>45</v>
      </c>
      <c r="P422" s="72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50"/>
      <c r="R422" s="650"/>
      <c r="S422" s="650"/>
      <c r="T422" s="65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IFERROR(IF(Y422=0,"",ROUNDUP(Y422/H422,0)*0.00651),"")</f>
        <v/>
      </c>
      <c r="AA422" s="65" t="s">
        <v>46</v>
      </c>
      <c r="AB422" s="66" t="s">
        <v>46</v>
      </c>
      <c r="AC422" s="519" t="s">
        <v>692</v>
      </c>
      <c r="AG422" s="75"/>
      <c r="AJ422" s="79" t="s">
        <v>46</v>
      </c>
      <c r="AK422" s="79">
        <v>0</v>
      </c>
      <c r="BB422" s="520" t="s">
        <v>66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27" hidden="1" customHeight="1" x14ac:dyDescent="0.25">
      <c r="A423" s="60" t="s">
        <v>693</v>
      </c>
      <c r="B423" s="60" t="s">
        <v>694</v>
      </c>
      <c r="C423" s="34">
        <v>4301051864</v>
      </c>
      <c r="D423" s="648">
        <v>4680115883567</v>
      </c>
      <c r="E423" s="648"/>
      <c r="F423" s="59">
        <v>0.35</v>
      </c>
      <c r="G423" s="35">
        <v>6</v>
      </c>
      <c r="H423" s="59">
        <v>2.1</v>
      </c>
      <c r="I423" s="59">
        <v>2.34</v>
      </c>
      <c r="J423" s="35">
        <v>182</v>
      </c>
      <c r="K423" s="35" t="s">
        <v>90</v>
      </c>
      <c r="L423" s="35" t="s">
        <v>46</v>
      </c>
      <c r="M423" s="36" t="s">
        <v>96</v>
      </c>
      <c r="N423" s="36"/>
      <c r="O423" s="35">
        <v>40</v>
      </c>
      <c r="P423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50"/>
      <c r="R423" s="650"/>
      <c r="S423" s="650"/>
      <c r="T423" s="65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IFERROR(IF(Y423=0,"",ROUNDUP(Y423/H423,0)*0.00651),"")</f>
        <v/>
      </c>
      <c r="AA423" s="65" t="s">
        <v>46</v>
      </c>
      <c r="AB423" s="66" t="s">
        <v>46</v>
      </c>
      <c r="AC423" s="521" t="s">
        <v>695</v>
      </c>
      <c r="AG423" s="75"/>
      <c r="AJ423" s="79" t="s">
        <v>46</v>
      </c>
      <c r="AK423" s="79">
        <v>0</v>
      </c>
      <c r="BB423" s="522" t="s">
        <v>66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655"/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6"/>
      <c r="P424" s="652" t="s">
        <v>40</v>
      </c>
      <c r="Q424" s="653"/>
      <c r="R424" s="653"/>
      <c r="S424" s="653"/>
      <c r="T424" s="653"/>
      <c r="U424" s="653"/>
      <c r="V424" s="654"/>
      <c r="W424" s="40" t="s">
        <v>39</v>
      </c>
      <c r="X424" s="41">
        <f>IFERROR(X421/H421,"0")+IFERROR(X422/H422,"0")+IFERROR(X423/H423,"0")</f>
        <v>0</v>
      </c>
      <c r="Y424" s="41">
        <f>IFERROR(Y421/H421,"0")+IFERROR(Y422/H422,"0")+IFERROR(Y423/H423,"0")</f>
        <v>0</v>
      </c>
      <c r="Z424" s="41">
        <f>IFERROR(IF(Z421="",0,Z421),"0")+IFERROR(IF(Z422="",0,Z422),"0")+IFERROR(IF(Z423="",0,Z423),"0")</f>
        <v>0</v>
      </c>
      <c r="AA424" s="64"/>
      <c r="AB424" s="64"/>
      <c r="AC424" s="64"/>
    </row>
    <row r="425" spans="1:68" hidden="1" x14ac:dyDescent="0.2">
      <c r="A425" s="655"/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6"/>
      <c r="P425" s="652" t="s">
        <v>40</v>
      </c>
      <c r="Q425" s="653"/>
      <c r="R425" s="653"/>
      <c r="S425" s="653"/>
      <c r="T425" s="653"/>
      <c r="U425" s="653"/>
      <c r="V425" s="654"/>
      <c r="W425" s="40" t="s">
        <v>0</v>
      </c>
      <c r="X425" s="41">
        <f>IFERROR(SUM(X421:X423),"0")</f>
        <v>0</v>
      </c>
      <c r="Y425" s="41">
        <f>IFERROR(SUM(Y421:Y423),"0")</f>
        <v>0</v>
      </c>
      <c r="Z425" s="40"/>
      <c r="AA425" s="64"/>
      <c r="AB425" s="64"/>
      <c r="AC425" s="64"/>
    </row>
    <row r="426" spans="1:68" ht="27.75" hidden="1" customHeight="1" x14ac:dyDescent="0.2">
      <c r="A426" s="677" t="s">
        <v>696</v>
      </c>
      <c r="B426" s="677"/>
      <c r="C426" s="677"/>
      <c r="D426" s="677"/>
      <c r="E426" s="677"/>
      <c r="F426" s="677"/>
      <c r="G426" s="677"/>
      <c r="H426" s="677"/>
      <c r="I426" s="677"/>
      <c r="J426" s="677"/>
      <c r="K426" s="677"/>
      <c r="L426" s="677"/>
      <c r="M426" s="677"/>
      <c r="N426" s="677"/>
      <c r="O426" s="677"/>
      <c r="P426" s="677"/>
      <c r="Q426" s="677"/>
      <c r="R426" s="677"/>
      <c r="S426" s="677"/>
      <c r="T426" s="677"/>
      <c r="U426" s="677"/>
      <c r="V426" s="677"/>
      <c r="W426" s="677"/>
      <c r="X426" s="677"/>
      <c r="Y426" s="677"/>
      <c r="Z426" s="677"/>
      <c r="AA426" s="52"/>
      <c r="AB426" s="52"/>
      <c r="AC426" s="52"/>
    </row>
    <row r="427" spans="1:68" ht="16.5" hidden="1" customHeight="1" x14ac:dyDescent="0.25">
      <c r="A427" s="666" t="s">
        <v>697</v>
      </c>
      <c r="B427" s="666"/>
      <c r="C427" s="666"/>
      <c r="D427" s="666"/>
      <c r="E427" s="666"/>
      <c r="F427" s="666"/>
      <c r="G427" s="666"/>
      <c r="H427" s="666"/>
      <c r="I427" s="666"/>
      <c r="J427" s="666"/>
      <c r="K427" s="666"/>
      <c r="L427" s="666"/>
      <c r="M427" s="666"/>
      <c r="N427" s="666"/>
      <c r="O427" s="666"/>
      <c r="P427" s="666"/>
      <c r="Q427" s="666"/>
      <c r="R427" s="666"/>
      <c r="S427" s="666"/>
      <c r="T427" s="666"/>
      <c r="U427" s="666"/>
      <c r="V427" s="666"/>
      <c r="W427" s="666"/>
      <c r="X427" s="666"/>
      <c r="Y427" s="666"/>
      <c r="Z427" s="666"/>
      <c r="AA427" s="62"/>
      <c r="AB427" s="62"/>
      <c r="AC427" s="62"/>
    </row>
    <row r="428" spans="1:68" ht="14.25" hidden="1" customHeight="1" x14ac:dyDescent="0.25">
      <c r="A428" s="662" t="s">
        <v>121</v>
      </c>
      <c r="B428" s="662"/>
      <c r="C428" s="662"/>
      <c r="D428" s="662"/>
      <c r="E428" s="662"/>
      <c r="F428" s="662"/>
      <c r="G428" s="662"/>
      <c r="H428" s="662"/>
      <c r="I428" s="662"/>
      <c r="J428" s="662"/>
      <c r="K428" s="662"/>
      <c r="L428" s="662"/>
      <c r="M428" s="662"/>
      <c r="N428" s="662"/>
      <c r="O428" s="662"/>
      <c r="P428" s="662"/>
      <c r="Q428" s="662"/>
      <c r="R428" s="662"/>
      <c r="S428" s="662"/>
      <c r="T428" s="662"/>
      <c r="U428" s="662"/>
      <c r="V428" s="662"/>
      <c r="W428" s="662"/>
      <c r="X428" s="662"/>
      <c r="Y428" s="662"/>
      <c r="Z428" s="662"/>
      <c r="AA428" s="63"/>
      <c r="AB428" s="63"/>
      <c r="AC428" s="63"/>
    </row>
    <row r="429" spans="1:68" ht="27" hidden="1" customHeight="1" x14ac:dyDescent="0.25">
      <c r="A429" s="60" t="s">
        <v>698</v>
      </c>
      <c r="B429" s="60" t="s">
        <v>699</v>
      </c>
      <c r="C429" s="34">
        <v>4301012332</v>
      </c>
      <c r="D429" s="648">
        <v>4680115888401</v>
      </c>
      <c r="E429" s="648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126</v>
      </c>
      <c r="L429" s="35" t="s">
        <v>46</v>
      </c>
      <c r="M429" s="36" t="s">
        <v>96</v>
      </c>
      <c r="N429" s="36"/>
      <c r="O429" s="35">
        <v>60</v>
      </c>
      <c r="P429" s="72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50"/>
      <c r="R429" s="650"/>
      <c r="S429" s="650"/>
      <c r="T429" s="651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ref="Y429:Y436" si="68">IFERROR(IF(X429="",0,CEILING((X429/$H429),1)*$H429),"")</f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3" t="s">
        <v>700</v>
      </c>
      <c r="AG429" s="75"/>
      <c r="AJ429" s="79" t="s">
        <v>46</v>
      </c>
      <c r="AK429" s="79">
        <v>0</v>
      </c>
      <c r="BB429" s="524" t="s">
        <v>66</v>
      </c>
      <c r="BM429" s="75">
        <f t="shared" ref="BM429:BM436" si="69">IFERROR(X429*I429/H429,"0")</f>
        <v>0</v>
      </c>
      <c r="BN429" s="75">
        <f t="shared" ref="BN429:BN436" si="70">IFERROR(Y429*I429/H429,"0")</f>
        <v>0</v>
      </c>
      <c r="BO429" s="75">
        <f t="shared" ref="BO429:BO436" si="71">IFERROR(1/J429*(X429/H429),"0")</f>
        <v>0</v>
      </c>
      <c r="BP429" s="75">
        <f t="shared" ref="BP429:BP436" si="72">IFERROR(1/J429*(Y429/H429),"0")</f>
        <v>0</v>
      </c>
    </row>
    <row r="430" spans="1:68" ht="37.5" customHeight="1" x14ac:dyDescent="0.25">
      <c r="A430" s="60" t="s">
        <v>701</v>
      </c>
      <c r="B430" s="60" t="s">
        <v>702</v>
      </c>
      <c r="C430" s="34">
        <v>4301011869</v>
      </c>
      <c r="D430" s="648">
        <v>4680115884847</v>
      </c>
      <c r="E430" s="648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126</v>
      </c>
      <c r="L430" s="35" t="s">
        <v>46</v>
      </c>
      <c r="M430" s="36" t="s">
        <v>80</v>
      </c>
      <c r="N430" s="36"/>
      <c r="O430" s="35">
        <v>60</v>
      </c>
      <c r="P430" s="72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50"/>
      <c r="R430" s="650"/>
      <c r="S430" s="650"/>
      <c r="T430" s="651"/>
      <c r="U430" s="37" t="s">
        <v>46</v>
      </c>
      <c r="V430" s="37" t="s">
        <v>46</v>
      </c>
      <c r="W430" s="38" t="s">
        <v>0</v>
      </c>
      <c r="X430" s="56">
        <v>400</v>
      </c>
      <c r="Y430" s="53">
        <f t="shared" si="68"/>
        <v>405</v>
      </c>
      <c r="Z430" s="39">
        <f>IFERROR(IF(Y430=0,"",ROUNDUP(Y430/H430,0)*0.02175),"")</f>
        <v>0.58724999999999994</v>
      </c>
      <c r="AA430" s="65" t="s">
        <v>46</v>
      </c>
      <c r="AB430" s="66" t="s">
        <v>46</v>
      </c>
      <c r="AC430" s="525" t="s">
        <v>703</v>
      </c>
      <c r="AG430" s="75"/>
      <c r="AJ430" s="79" t="s">
        <v>46</v>
      </c>
      <c r="AK430" s="79">
        <v>0</v>
      </c>
      <c r="BB430" s="526" t="s">
        <v>66</v>
      </c>
      <c r="BM430" s="75">
        <f t="shared" si="69"/>
        <v>412.53333333333336</v>
      </c>
      <c r="BN430" s="75">
        <f t="shared" si="70"/>
        <v>417.69</v>
      </c>
      <c r="BO430" s="75">
        <f t="shared" si="71"/>
        <v>0.55555555555555558</v>
      </c>
      <c r="BP430" s="75">
        <f t="shared" si="72"/>
        <v>0.5625</v>
      </c>
    </row>
    <row r="431" spans="1:68" ht="27" hidden="1" customHeight="1" x14ac:dyDescent="0.25">
      <c r="A431" s="60" t="s">
        <v>704</v>
      </c>
      <c r="B431" s="60" t="s">
        <v>705</v>
      </c>
      <c r="C431" s="34">
        <v>4301012083</v>
      </c>
      <c r="D431" s="648">
        <v>4680115884854</v>
      </c>
      <c r="E431" s="64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126</v>
      </c>
      <c r="L431" s="35" t="s">
        <v>46</v>
      </c>
      <c r="M431" s="36" t="s">
        <v>125</v>
      </c>
      <c r="N431" s="36"/>
      <c r="O431" s="35">
        <v>60</v>
      </c>
      <c r="P431" s="7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50"/>
      <c r="R431" s="650"/>
      <c r="S431" s="650"/>
      <c r="T431" s="65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706</v>
      </c>
      <c r="AG431" s="75"/>
      <c r="AJ431" s="79" t="s">
        <v>46</v>
      </c>
      <c r="AK431" s="79">
        <v>0</v>
      </c>
      <c r="BB431" s="528" t="s">
        <v>66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customHeight="1" x14ac:dyDescent="0.25">
      <c r="A432" s="60" t="s">
        <v>707</v>
      </c>
      <c r="B432" s="60" t="s">
        <v>708</v>
      </c>
      <c r="C432" s="34">
        <v>4301011867</v>
      </c>
      <c r="D432" s="648">
        <v>4680115884830</v>
      </c>
      <c r="E432" s="64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126</v>
      </c>
      <c r="L432" s="35" t="s">
        <v>46</v>
      </c>
      <c r="M432" s="36" t="s">
        <v>80</v>
      </c>
      <c r="N432" s="36"/>
      <c r="O432" s="35">
        <v>60</v>
      </c>
      <c r="P432" s="72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50"/>
      <c r="R432" s="650"/>
      <c r="S432" s="650"/>
      <c r="T432" s="651"/>
      <c r="U432" s="37" t="s">
        <v>46</v>
      </c>
      <c r="V432" s="37" t="s">
        <v>46</v>
      </c>
      <c r="W432" s="38" t="s">
        <v>0</v>
      </c>
      <c r="X432" s="56">
        <v>270</v>
      </c>
      <c r="Y432" s="53">
        <f t="shared" si="68"/>
        <v>270</v>
      </c>
      <c r="Z432" s="39">
        <f>IFERROR(IF(Y432=0,"",ROUNDUP(Y432/H432,0)*0.02175),"")</f>
        <v>0.39149999999999996</v>
      </c>
      <c r="AA432" s="65" t="s">
        <v>46</v>
      </c>
      <c r="AB432" s="66" t="s">
        <v>46</v>
      </c>
      <c r="AC432" s="529" t="s">
        <v>709</v>
      </c>
      <c r="AG432" s="75"/>
      <c r="AJ432" s="79" t="s">
        <v>46</v>
      </c>
      <c r="AK432" s="79">
        <v>0</v>
      </c>
      <c r="BB432" s="530" t="s">
        <v>66</v>
      </c>
      <c r="BM432" s="75">
        <f t="shared" si="69"/>
        <v>278.46000000000004</v>
      </c>
      <c r="BN432" s="75">
        <f t="shared" si="70"/>
        <v>278.46000000000004</v>
      </c>
      <c r="BO432" s="75">
        <f t="shared" si="71"/>
        <v>0.375</v>
      </c>
      <c r="BP432" s="75">
        <f t="shared" si="72"/>
        <v>0.375</v>
      </c>
    </row>
    <row r="433" spans="1:68" ht="27" hidden="1" customHeight="1" x14ac:dyDescent="0.25">
      <c r="A433" s="60" t="s">
        <v>710</v>
      </c>
      <c r="B433" s="60" t="s">
        <v>711</v>
      </c>
      <c r="C433" s="34">
        <v>4301012356</v>
      </c>
      <c r="D433" s="648">
        <v>4680115889231</v>
      </c>
      <c r="E433" s="64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126</v>
      </c>
      <c r="L433" s="35" t="s">
        <v>46</v>
      </c>
      <c r="M433" s="36" t="s">
        <v>96</v>
      </c>
      <c r="N433" s="36"/>
      <c r="O433" s="35">
        <v>60</v>
      </c>
      <c r="P433" s="72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50"/>
      <c r="R433" s="650"/>
      <c r="S433" s="650"/>
      <c r="T433" s="651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712</v>
      </c>
      <c r="AG433" s="75"/>
      <c r="AJ433" s="79" t="s">
        <v>46</v>
      </c>
      <c r="AK433" s="79">
        <v>0</v>
      </c>
      <c r="BB433" s="532" t="s">
        <v>66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713</v>
      </c>
      <c r="B434" s="60" t="s">
        <v>714</v>
      </c>
      <c r="C434" s="34">
        <v>4301011433</v>
      </c>
      <c r="D434" s="648">
        <v>4680115882638</v>
      </c>
      <c r="E434" s="648"/>
      <c r="F434" s="59">
        <v>0.4</v>
      </c>
      <c r="G434" s="35">
        <v>10</v>
      </c>
      <c r="H434" s="59">
        <v>4</v>
      </c>
      <c r="I434" s="59">
        <v>4.1900000000000004</v>
      </c>
      <c r="J434" s="35">
        <v>132</v>
      </c>
      <c r="K434" s="35" t="s">
        <v>133</v>
      </c>
      <c r="L434" s="35" t="s">
        <v>46</v>
      </c>
      <c r="M434" s="36" t="s">
        <v>125</v>
      </c>
      <c r="N434" s="36"/>
      <c r="O434" s="35">
        <v>90</v>
      </c>
      <c r="P434" s="7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50"/>
      <c r="R434" s="650"/>
      <c r="S434" s="650"/>
      <c r="T434" s="651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IFERROR(IF(Y434=0,"",ROUNDUP(Y434/H434,0)*0.00902),"")</f>
        <v/>
      </c>
      <c r="AA434" s="65" t="s">
        <v>46</v>
      </c>
      <c r="AB434" s="66" t="s">
        <v>46</v>
      </c>
      <c r="AC434" s="533" t="s">
        <v>715</v>
      </c>
      <c r="AG434" s="75"/>
      <c r="AJ434" s="79" t="s">
        <v>46</v>
      </c>
      <c r="AK434" s="79">
        <v>0</v>
      </c>
      <c r="BB434" s="534" t="s">
        <v>66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716</v>
      </c>
      <c r="B435" s="60" t="s">
        <v>717</v>
      </c>
      <c r="C435" s="34">
        <v>4301011952</v>
      </c>
      <c r="D435" s="648">
        <v>4680115884922</v>
      </c>
      <c r="E435" s="648"/>
      <c r="F435" s="59">
        <v>0.5</v>
      </c>
      <c r="G435" s="35">
        <v>10</v>
      </c>
      <c r="H435" s="59">
        <v>5</v>
      </c>
      <c r="I435" s="59">
        <v>5.19</v>
      </c>
      <c r="J435" s="35">
        <v>132</v>
      </c>
      <c r="K435" s="35" t="s">
        <v>133</v>
      </c>
      <c r="L435" s="35" t="s">
        <v>46</v>
      </c>
      <c r="M435" s="36" t="s">
        <v>80</v>
      </c>
      <c r="N435" s="36"/>
      <c r="O435" s="35">
        <v>60</v>
      </c>
      <c r="P435" s="7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50"/>
      <c r="R435" s="650"/>
      <c r="S435" s="650"/>
      <c r="T435" s="65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5" t="s">
        <v>718</v>
      </c>
      <c r="AG435" s="75"/>
      <c r="AJ435" s="79" t="s">
        <v>46</v>
      </c>
      <c r="AK435" s="79">
        <v>0</v>
      </c>
      <c r="BB435" s="536" t="s">
        <v>66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37.5" hidden="1" customHeight="1" x14ac:dyDescent="0.25">
      <c r="A436" s="60" t="s">
        <v>719</v>
      </c>
      <c r="B436" s="60" t="s">
        <v>720</v>
      </c>
      <c r="C436" s="34">
        <v>4301011868</v>
      </c>
      <c r="D436" s="648">
        <v>4680115884861</v>
      </c>
      <c r="E436" s="648"/>
      <c r="F436" s="59">
        <v>0.5</v>
      </c>
      <c r="G436" s="35">
        <v>10</v>
      </c>
      <c r="H436" s="59">
        <v>5</v>
      </c>
      <c r="I436" s="59">
        <v>5.19</v>
      </c>
      <c r="J436" s="35">
        <v>132</v>
      </c>
      <c r="K436" s="35" t="s">
        <v>133</v>
      </c>
      <c r="L436" s="35" t="s">
        <v>46</v>
      </c>
      <c r="M436" s="36" t="s">
        <v>80</v>
      </c>
      <c r="N436" s="36"/>
      <c r="O436" s="35">
        <v>60</v>
      </c>
      <c r="P436" s="7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50"/>
      <c r="R436" s="650"/>
      <c r="S436" s="650"/>
      <c r="T436" s="65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721</v>
      </c>
      <c r="AG436" s="75"/>
      <c r="AJ436" s="79" t="s">
        <v>46</v>
      </c>
      <c r="AK436" s="79">
        <v>0</v>
      </c>
      <c r="BB436" s="538" t="s">
        <v>66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x14ac:dyDescent="0.2">
      <c r="A437" s="655"/>
      <c r="B437" s="655"/>
      <c r="C437" s="655"/>
      <c r="D437" s="655"/>
      <c r="E437" s="655"/>
      <c r="F437" s="655"/>
      <c r="G437" s="655"/>
      <c r="H437" s="655"/>
      <c r="I437" s="655"/>
      <c r="J437" s="655"/>
      <c r="K437" s="655"/>
      <c r="L437" s="655"/>
      <c r="M437" s="655"/>
      <c r="N437" s="655"/>
      <c r="O437" s="656"/>
      <c r="P437" s="652" t="s">
        <v>40</v>
      </c>
      <c r="Q437" s="653"/>
      <c r="R437" s="653"/>
      <c r="S437" s="653"/>
      <c r="T437" s="653"/>
      <c r="U437" s="653"/>
      <c r="V437" s="654"/>
      <c r="W437" s="40" t="s">
        <v>39</v>
      </c>
      <c r="X437" s="41">
        <f>IFERROR(X429/H429,"0")+IFERROR(X430/H430,"0")+IFERROR(X431/H431,"0")+IFERROR(X432/H432,"0")+IFERROR(X433/H433,"0")+IFERROR(X434/H434,"0")+IFERROR(X435/H435,"0")+IFERROR(X436/H436,"0")</f>
        <v>44.666666666666671</v>
      </c>
      <c r="Y437" s="41">
        <f>IFERROR(Y429/H429,"0")+IFERROR(Y430/H430,"0")+IFERROR(Y431/H431,"0")+IFERROR(Y432/H432,"0")+IFERROR(Y433/H433,"0")+IFERROR(Y434/H434,"0")+IFERROR(Y435/H435,"0")+IFERROR(Y436/H436,"0")</f>
        <v>45</v>
      </c>
      <c r="Z437" s="41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0.9787499999999999</v>
      </c>
      <c r="AA437" s="64"/>
      <c r="AB437" s="64"/>
      <c r="AC437" s="64"/>
    </row>
    <row r="438" spans="1:68" x14ac:dyDescent="0.2">
      <c r="A438" s="655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2" t="s">
        <v>40</v>
      </c>
      <c r="Q438" s="653"/>
      <c r="R438" s="653"/>
      <c r="S438" s="653"/>
      <c r="T438" s="653"/>
      <c r="U438" s="653"/>
      <c r="V438" s="654"/>
      <c r="W438" s="40" t="s">
        <v>0</v>
      </c>
      <c r="X438" s="41">
        <f>IFERROR(SUM(X429:X436),"0")</f>
        <v>670</v>
      </c>
      <c r="Y438" s="41">
        <f>IFERROR(SUM(Y429:Y436),"0")</f>
        <v>675</v>
      </c>
      <c r="Z438" s="40"/>
      <c r="AA438" s="64"/>
      <c r="AB438" s="64"/>
      <c r="AC438" s="64"/>
    </row>
    <row r="439" spans="1:68" ht="14.25" hidden="1" customHeight="1" x14ac:dyDescent="0.25">
      <c r="A439" s="662" t="s">
        <v>156</v>
      </c>
      <c r="B439" s="662"/>
      <c r="C439" s="662"/>
      <c r="D439" s="662"/>
      <c r="E439" s="662"/>
      <c r="F439" s="662"/>
      <c r="G439" s="662"/>
      <c r="H439" s="662"/>
      <c r="I439" s="662"/>
      <c r="J439" s="662"/>
      <c r="K439" s="662"/>
      <c r="L439" s="662"/>
      <c r="M439" s="662"/>
      <c r="N439" s="662"/>
      <c r="O439" s="662"/>
      <c r="P439" s="662"/>
      <c r="Q439" s="662"/>
      <c r="R439" s="662"/>
      <c r="S439" s="662"/>
      <c r="T439" s="662"/>
      <c r="U439" s="662"/>
      <c r="V439" s="662"/>
      <c r="W439" s="662"/>
      <c r="X439" s="662"/>
      <c r="Y439" s="662"/>
      <c r="Z439" s="662"/>
      <c r="AA439" s="63"/>
      <c r="AB439" s="63"/>
      <c r="AC439" s="63"/>
    </row>
    <row r="440" spans="1:68" ht="27" hidden="1" customHeight="1" x14ac:dyDescent="0.25">
      <c r="A440" s="60" t="s">
        <v>722</v>
      </c>
      <c r="B440" s="60" t="s">
        <v>723</v>
      </c>
      <c r="C440" s="34">
        <v>4301020178</v>
      </c>
      <c r="D440" s="648">
        <v>4607091383980</v>
      </c>
      <c r="E440" s="64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126</v>
      </c>
      <c r="L440" s="35" t="s">
        <v>46</v>
      </c>
      <c r="M440" s="36" t="s">
        <v>125</v>
      </c>
      <c r="N440" s="36"/>
      <c r="O440" s="35">
        <v>50</v>
      </c>
      <c r="P440" s="7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50"/>
      <c r="R440" s="650"/>
      <c r="S440" s="650"/>
      <c r="T440" s="651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IFERROR(IF(Y440=0,"",ROUNDUP(Y440/H440,0)*0.02175),"")</f>
        <v/>
      </c>
      <c r="AA440" s="65" t="s">
        <v>46</v>
      </c>
      <c r="AB440" s="66" t="s">
        <v>46</v>
      </c>
      <c r="AC440" s="539" t="s">
        <v>724</v>
      </c>
      <c r="AG440" s="75"/>
      <c r="AJ440" s="79" t="s">
        <v>46</v>
      </c>
      <c r="AK440" s="79">
        <v>0</v>
      </c>
      <c r="BB440" s="540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725</v>
      </c>
      <c r="B441" s="60" t="s">
        <v>726</v>
      </c>
      <c r="C441" s="34">
        <v>4301020355</v>
      </c>
      <c r="D441" s="648">
        <v>4680115888425</v>
      </c>
      <c r="E441" s="648"/>
      <c r="F441" s="59">
        <v>2.5</v>
      </c>
      <c r="G441" s="35">
        <v>6</v>
      </c>
      <c r="H441" s="59">
        <v>15</v>
      </c>
      <c r="I441" s="59">
        <v>15.47</v>
      </c>
      <c r="J441" s="35">
        <v>48</v>
      </c>
      <c r="K441" s="35" t="s">
        <v>126</v>
      </c>
      <c r="L441" s="35" t="s">
        <v>46</v>
      </c>
      <c r="M441" s="36" t="s">
        <v>125</v>
      </c>
      <c r="N441" s="36"/>
      <c r="O441" s="35">
        <v>50</v>
      </c>
      <c r="P441" s="7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50"/>
      <c r="R441" s="650"/>
      <c r="S441" s="650"/>
      <c r="T441" s="651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IFERROR(IF(Y441=0,"",ROUNDUP(Y441/H441,0)*0.02175),"")</f>
        <v/>
      </c>
      <c r="AA441" s="65" t="s">
        <v>46</v>
      </c>
      <c r="AB441" s="66" t="s">
        <v>46</v>
      </c>
      <c r="AC441" s="541" t="s">
        <v>727</v>
      </c>
      <c r="AG441" s="75"/>
      <c r="AJ441" s="79" t="s">
        <v>46</v>
      </c>
      <c r="AK441" s="79">
        <v>0</v>
      </c>
      <c r="BB441" s="542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27" hidden="1" customHeight="1" x14ac:dyDescent="0.25">
      <c r="A442" s="60" t="s">
        <v>728</v>
      </c>
      <c r="B442" s="60" t="s">
        <v>729</v>
      </c>
      <c r="C442" s="34">
        <v>4301020179</v>
      </c>
      <c r="D442" s="648">
        <v>4607091384178</v>
      </c>
      <c r="E442" s="648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133</v>
      </c>
      <c r="L442" s="35" t="s">
        <v>46</v>
      </c>
      <c r="M442" s="36" t="s">
        <v>125</v>
      </c>
      <c r="N442" s="36"/>
      <c r="O442" s="35">
        <v>50</v>
      </c>
      <c r="P442" s="7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50"/>
      <c r="R442" s="650"/>
      <c r="S442" s="650"/>
      <c r="T442" s="651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3" t="s">
        <v>730</v>
      </c>
      <c r="AG442" s="75"/>
      <c r="AJ442" s="79" t="s">
        <v>46</v>
      </c>
      <c r="AK442" s="79">
        <v>0</v>
      </c>
      <c r="BB442" s="544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55"/>
      <c r="B443" s="655"/>
      <c r="C443" s="655"/>
      <c r="D443" s="655"/>
      <c r="E443" s="655"/>
      <c r="F443" s="655"/>
      <c r="G443" s="655"/>
      <c r="H443" s="655"/>
      <c r="I443" s="655"/>
      <c r="J443" s="655"/>
      <c r="K443" s="655"/>
      <c r="L443" s="655"/>
      <c r="M443" s="655"/>
      <c r="N443" s="655"/>
      <c r="O443" s="656"/>
      <c r="P443" s="652" t="s">
        <v>40</v>
      </c>
      <c r="Q443" s="653"/>
      <c r="R443" s="653"/>
      <c r="S443" s="653"/>
      <c r="T443" s="653"/>
      <c r="U443" s="653"/>
      <c r="V443" s="654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55"/>
      <c r="B444" s="655"/>
      <c r="C444" s="655"/>
      <c r="D444" s="655"/>
      <c r="E444" s="655"/>
      <c r="F444" s="655"/>
      <c r="G444" s="655"/>
      <c r="H444" s="655"/>
      <c r="I444" s="655"/>
      <c r="J444" s="655"/>
      <c r="K444" s="655"/>
      <c r="L444" s="655"/>
      <c r="M444" s="655"/>
      <c r="N444" s="655"/>
      <c r="O444" s="656"/>
      <c r="P444" s="652" t="s">
        <v>40</v>
      </c>
      <c r="Q444" s="653"/>
      <c r="R444" s="653"/>
      <c r="S444" s="653"/>
      <c r="T444" s="653"/>
      <c r="U444" s="653"/>
      <c r="V444" s="654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62" t="s">
        <v>85</v>
      </c>
      <c r="B445" s="662"/>
      <c r="C445" s="662"/>
      <c r="D445" s="662"/>
      <c r="E445" s="662"/>
      <c r="F445" s="662"/>
      <c r="G445" s="662"/>
      <c r="H445" s="662"/>
      <c r="I445" s="662"/>
      <c r="J445" s="662"/>
      <c r="K445" s="662"/>
      <c r="L445" s="662"/>
      <c r="M445" s="662"/>
      <c r="N445" s="662"/>
      <c r="O445" s="662"/>
      <c r="P445" s="662"/>
      <c r="Q445" s="662"/>
      <c r="R445" s="662"/>
      <c r="S445" s="662"/>
      <c r="T445" s="662"/>
      <c r="U445" s="662"/>
      <c r="V445" s="662"/>
      <c r="W445" s="662"/>
      <c r="X445" s="662"/>
      <c r="Y445" s="662"/>
      <c r="Z445" s="662"/>
      <c r="AA445" s="63"/>
      <c r="AB445" s="63"/>
      <c r="AC445" s="63"/>
    </row>
    <row r="446" spans="1:68" ht="27" hidden="1" customHeight="1" x14ac:dyDescent="0.25">
      <c r="A446" s="60" t="s">
        <v>731</v>
      </c>
      <c r="B446" s="60" t="s">
        <v>732</v>
      </c>
      <c r="C446" s="34">
        <v>4301051903</v>
      </c>
      <c r="D446" s="648">
        <v>4607091383928</v>
      </c>
      <c r="E446" s="648"/>
      <c r="F446" s="59">
        <v>1.5</v>
      </c>
      <c r="G446" s="35">
        <v>6</v>
      </c>
      <c r="H446" s="59">
        <v>9</v>
      </c>
      <c r="I446" s="59">
        <v>9.5</v>
      </c>
      <c r="J446" s="35">
        <v>64</v>
      </c>
      <c r="K446" s="35" t="s">
        <v>126</v>
      </c>
      <c r="L446" s="35" t="s">
        <v>46</v>
      </c>
      <c r="M446" s="36" t="s">
        <v>89</v>
      </c>
      <c r="N446" s="36"/>
      <c r="O446" s="35">
        <v>40</v>
      </c>
      <c r="P446" s="70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50"/>
      <c r="R446" s="650"/>
      <c r="S446" s="650"/>
      <c r="T446" s="651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5" t="s">
        <v>733</v>
      </c>
      <c r="AG446" s="75"/>
      <c r="AJ446" s="79" t="s">
        <v>46</v>
      </c>
      <c r="AK446" s="79">
        <v>0</v>
      </c>
      <c r="BB446" s="546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27" hidden="1" customHeight="1" x14ac:dyDescent="0.25">
      <c r="A447" s="60" t="s">
        <v>734</v>
      </c>
      <c r="B447" s="60" t="s">
        <v>735</v>
      </c>
      <c r="C447" s="34">
        <v>4301051897</v>
      </c>
      <c r="D447" s="648">
        <v>4607091384260</v>
      </c>
      <c r="E447" s="648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126</v>
      </c>
      <c r="L447" s="35" t="s">
        <v>46</v>
      </c>
      <c r="M447" s="36" t="s">
        <v>89</v>
      </c>
      <c r="N447" s="36"/>
      <c r="O447" s="35">
        <v>40</v>
      </c>
      <c r="P447" s="71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50"/>
      <c r="R447" s="650"/>
      <c r="S447" s="650"/>
      <c r="T447" s="651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7" t="s">
        <v>736</v>
      </c>
      <c r="AG447" s="75"/>
      <c r="AJ447" s="79" t="s">
        <v>46</v>
      </c>
      <c r="AK447" s="79">
        <v>0</v>
      </c>
      <c r="BB447" s="548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t="27" hidden="1" customHeight="1" x14ac:dyDescent="0.25">
      <c r="A448" s="60" t="s">
        <v>737</v>
      </c>
      <c r="B448" s="60" t="s">
        <v>738</v>
      </c>
      <c r="C448" s="34">
        <v>4301052220</v>
      </c>
      <c r="D448" s="648">
        <v>4680115889538</v>
      </c>
      <c r="E448" s="648"/>
      <c r="F448" s="59">
        <v>0.8</v>
      </c>
      <c r="G448" s="35">
        <v>6</v>
      </c>
      <c r="H448" s="59">
        <v>4.8</v>
      </c>
      <c r="I448" s="59">
        <v>5.2160000000000002</v>
      </c>
      <c r="J448" s="35">
        <v>104</v>
      </c>
      <c r="K448" s="35" t="s">
        <v>126</v>
      </c>
      <c r="L448" s="35" t="s">
        <v>46</v>
      </c>
      <c r="M448" s="36" t="s">
        <v>89</v>
      </c>
      <c r="N448" s="36"/>
      <c r="O448" s="35">
        <v>45</v>
      </c>
      <c r="P448" s="71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50"/>
      <c r="R448" s="650"/>
      <c r="S448" s="650"/>
      <c r="T448" s="65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IFERROR(IF(Y448=0,"",ROUNDUP(Y448/H448,0)*0.01196),"")</f>
        <v/>
      </c>
      <c r="AA448" s="65" t="s">
        <v>46</v>
      </c>
      <c r="AB448" s="66" t="s">
        <v>46</v>
      </c>
      <c r="AC448" s="549" t="s">
        <v>739</v>
      </c>
      <c r="AG448" s="75"/>
      <c r="AJ448" s="79" t="s">
        <v>46</v>
      </c>
      <c r="AK448" s="79">
        <v>0</v>
      </c>
      <c r="BB448" s="550" t="s">
        <v>66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idden="1" x14ac:dyDescent="0.2">
      <c r="A449" s="655"/>
      <c r="B449" s="655"/>
      <c r="C449" s="655"/>
      <c r="D449" s="655"/>
      <c r="E449" s="655"/>
      <c r="F449" s="655"/>
      <c r="G449" s="655"/>
      <c r="H449" s="655"/>
      <c r="I449" s="655"/>
      <c r="J449" s="655"/>
      <c r="K449" s="655"/>
      <c r="L449" s="655"/>
      <c r="M449" s="655"/>
      <c r="N449" s="655"/>
      <c r="O449" s="656"/>
      <c r="P449" s="652" t="s">
        <v>40</v>
      </c>
      <c r="Q449" s="653"/>
      <c r="R449" s="653"/>
      <c r="S449" s="653"/>
      <c r="T449" s="653"/>
      <c r="U449" s="653"/>
      <c r="V449" s="654"/>
      <c r="W449" s="40" t="s">
        <v>39</v>
      </c>
      <c r="X449" s="41">
        <f>IFERROR(X446/H446,"0")+IFERROR(X447/H447,"0")+IFERROR(X448/H448,"0")</f>
        <v>0</v>
      </c>
      <c r="Y449" s="41">
        <f>IFERROR(Y446/H446,"0")+IFERROR(Y447/H447,"0")+IFERROR(Y448/H448,"0")</f>
        <v>0</v>
      </c>
      <c r="Z449" s="41">
        <f>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55"/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6"/>
      <c r="P450" s="652" t="s">
        <v>40</v>
      </c>
      <c r="Q450" s="653"/>
      <c r="R450" s="653"/>
      <c r="S450" s="653"/>
      <c r="T450" s="653"/>
      <c r="U450" s="653"/>
      <c r="V450" s="654"/>
      <c r="W450" s="40" t="s">
        <v>0</v>
      </c>
      <c r="X450" s="41">
        <f>IFERROR(SUM(X446:X448),"0")</f>
        <v>0</v>
      </c>
      <c r="Y450" s="41">
        <f>IFERROR(SUM(Y446:Y448),"0")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2" t="s">
        <v>174</v>
      </c>
      <c r="B451" s="662"/>
      <c r="C451" s="662"/>
      <c r="D451" s="662"/>
      <c r="E451" s="662"/>
      <c r="F451" s="662"/>
      <c r="G451" s="662"/>
      <c r="H451" s="662"/>
      <c r="I451" s="662"/>
      <c r="J451" s="662"/>
      <c r="K451" s="662"/>
      <c r="L451" s="662"/>
      <c r="M451" s="662"/>
      <c r="N451" s="662"/>
      <c r="O451" s="662"/>
      <c r="P451" s="662"/>
      <c r="Q451" s="662"/>
      <c r="R451" s="662"/>
      <c r="S451" s="662"/>
      <c r="T451" s="662"/>
      <c r="U451" s="662"/>
      <c r="V451" s="662"/>
      <c r="W451" s="662"/>
      <c r="X451" s="662"/>
      <c r="Y451" s="662"/>
      <c r="Z451" s="662"/>
      <c r="AA451" s="63"/>
      <c r="AB451" s="63"/>
      <c r="AC451" s="63"/>
    </row>
    <row r="452" spans="1:68" ht="27" hidden="1" customHeight="1" x14ac:dyDescent="0.25">
      <c r="A452" s="60" t="s">
        <v>740</v>
      </c>
      <c r="B452" s="60" t="s">
        <v>741</v>
      </c>
      <c r="C452" s="34">
        <v>4301060537</v>
      </c>
      <c r="D452" s="648">
        <v>4680115889545</v>
      </c>
      <c r="E452" s="648"/>
      <c r="F452" s="59">
        <v>0.7</v>
      </c>
      <c r="G452" s="35">
        <v>6</v>
      </c>
      <c r="H452" s="59">
        <v>4.2</v>
      </c>
      <c r="I452" s="59">
        <v>4.6159999999999997</v>
      </c>
      <c r="J452" s="35">
        <v>104</v>
      </c>
      <c r="K452" s="35" t="s">
        <v>126</v>
      </c>
      <c r="L452" s="35" t="s">
        <v>46</v>
      </c>
      <c r="M452" s="36" t="s">
        <v>89</v>
      </c>
      <c r="N452" s="36"/>
      <c r="O452" s="35">
        <v>30</v>
      </c>
      <c r="P452" s="71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50"/>
      <c r="R452" s="650"/>
      <c r="S452" s="650"/>
      <c r="T452" s="651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IFERROR(IF(Y452=0,"",ROUNDUP(Y452/H452,0)*0.01196),"")</f>
        <v/>
      </c>
      <c r="AA452" s="65" t="s">
        <v>46</v>
      </c>
      <c r="AB452" s="66" t="s">
        <v>46</v>
      </c>
      <c r="AC452" s="551" t="s">
        <v>742</v>
      </c>
      <c r="AG452" s="75"/>
      <c r="AJ452" s="79" t="s">
        <v>46</v>
      </c>
      <c r="AK452" s="79">
        <v>0</v>
      </c>
      <c r="BB452" s="552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16.5" hidden="1" customHeight="1" x14ac:dyDescent="0.25">
      <c r="A453" s="60" t="s">
        <v>743</v>
      </c>
      <c r="B453" s="60" t="s">
        <v>744</v>
      </c>
      <c r="C453" s="34">
        <v>4301060524</v>
      </c>
      <c r="D453" s="648">
        <v>4607091384673</v>
      </c>
      <c r="E453" s="648"/>
      <c r="F453" s="59">
        <v>1.5</v>
      </c>
      <c r="G453" s="35">
        <v>6</v>
      </c>
      <c r="H453" s="59">
        <v>9</v>
      </c>
      <c r="I453" s="59">
        <v>9.4939999999999998</v>
      </c>
      <c r="J453" s="35">
        <v>64</v>
      </c>
      <c r="K453" s="35" t="s">
        <v>126</v>
      </c>
      <c r="L453" s="35" t="s">
        <v>46</v>
      </c>
      <c r="M453" s="36" t="s">
        <v>89</v>
      </c>
      <c r="N453" s="36"/>
      <c r="O453" s="35">
        <v>40</v>
      </c>
      <c r="P453" s="7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50"/>
      <c r="R453" s="650"/>
      <c r="S453" s="650"/>
      <c r="T453" s="65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3" t="s">
        <v>745</v>
      </c>
      <c r="AG453" s="75"/>
      <c r="AJ453" s="79" t="s">
        <v>46</v>
      </c>
      <c r="AK453" s="79">
        <v>0</v>
      </c>
      <c r="BB453" s="554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55"/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6"/>
      <c r="P454" s="652" t="s">
        <v>40</v>
      </c>
      <c r="Q454" s="653"/>
      <c r="R454" s="653"/>
      <c r="S454" s="653"/>
      <c r="T454" s="653"/>
      <c r="U454" s="653"/>
      <c r="V454" s="654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55"/>
      <c r="B455" s="655"/>
      <c r="C455" s="655"/>
      <c r="D455" s="655"/>
      <c r="E455" s="655"/>
      <c r="F455" s="655"/>
      <c r="G455" s="655"/>
      <c r="H455" s="655"/>
      <c r="I455" s="655"/>
      <c r="J455" s="655"/>
      <c r="K455" s="655"/>
      <c r="L455" s="655"/>
      <c r="M455" s="655"/>
      <c r="N455" s="655"/>
      <c r="O455" s="656"/>
      <c r="P455" s="652" t="s">
        <v>40</v>
      </c>
      <c r="Q455" s="653"/>
      <c r="R455" s="653"/>
      <c r="S455" s="653"/>
      <c r="T455" s="653"/>
      <c r="U455" s="653"/>
      <c r="V455" s="654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6" t="s">
        <v>746</v>
      </c>
      <c r="B456" s="666"/>
      <c r="C456" s="666"/>
      <c r="D456" s="666"/>
      <c r="E456" s="666"/>
      <c r="F456" s="666"/>
      <c r="G456" s="666"/>
      <c r="H456" s="666"/>
      <c r="I456" s="666"/>
      <c r="J456" s="666"/>
      <c r="K456" s="666"/>
      <c r="L456" s="666"/>
      <c r="M456" s="666"/>
      <c r="N456" s="666"/>
      <c r="O456" s="666"/>
      <c r="P456" s="666"/>
      <c r="Q456" s="666"/>
      <c r="R456" s="666"/>
      <c r="S456" s="666"/>
      <c r="T456" s="666"/>
      <c r="U456" s="666"/>
      <c r="V456" s="666"/>
      <c r="W456" s="666"/>
      <c r="X456" s="666"/>
      <c r="Y456" s="666"/>
      <c r="Z456" s="666"/>
      <c r="AA456" s="62"/>
      <c r="AB456" s="62"/>
      <c r="AC456" s="62"/>
    </row>
    <row r="457" spans="1:68" ht="14.25" hidden="1" customHeight="1" x14ac:dyDescent="0.25">
      <c r="A457" s="662" t="s">
        <v>121</v>
      </c>
      <c r="B457" s="662"/>
      <c r="C457" s="662"/>
      <c r="D457" s="662"/>
      <c r="E457" s="662"/>
      <c r="F457" s="662"/>
      <c r="G457" s="662"/>
      <c r="H457" s="662"/>
      <c r="I457" s="662"/>
      <c r="J457" s="662"/>
      <c r="K457" s="662"/>
      <c r="L457" s="662"/>
      <c r="M457" s="662"/>
      <c r="N457" s="662"/>
      <c r="O457" s="662"/>
      <c r="P457" s="662"/>
      <c r="Q457" s="662"/>
      <c r="R457" s="662"/>
      <c r="S457" s="662"/>
      <c r="T457" s="662"/>
      <c r="U457" s="662"/>
      <c r="V457" s="662"/>
      <c r="W457" s="662"/>
      <c r="X457" s="662"/>
      <c r="Y457" s="662"/>
      <c r="Z457" s="662"/>
      <c r="AA457" s="63"/>
      <c r="AB457" s="63"/>
      <c r="AC457" s="63"/>
    </row>
    <row r="458" spans="1:68" ht="27" hidden="1" customHeight="1" x14ac:dyDescent="0.25">
      <c r="A458" s="60" t="s">
        <v>747</v>
      </c>
      <c r="B458" s="60" t="s">
        <v>748</v>
      </c>
      <c r="C458" s="34">
        <v>4301011875</v>
      </c>
      <c r="D458" s="648">
        <v>4680115884885</v>
      </c>
      <c r="E458" s="648"/>
      <c r="F458" s="59">
        <v>0.8</v>
      </c>
      <c r="G458" s="35">
        <v>15</v>
      </c>
      <c r="H458" s="59">
        <v>12</v>
      </c>
      <c r="I458" s="59">
        <v>12.41</v>
      </c>
      <c r="J458" s="35">
        <v>64</v>
      </c>
      <c r="K458" s="35" t="s">
        <v>126</v>
      </c>
      <c r="L458" s="35" t="s">
        <v>46</v>
      </c>
      <c r="M458" s="36" t="s">
        <v>80</v>
      </c>
      <c r="N458" s="36"/>
      <c r="O458" s="35">
        <v>60</v>
      </c>
      <c r="P458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50"/>
      <c r="R458" s="650"/>
      <c r="S458" s="650"/>
      <c r="T458" s="651"/>
      <c r="U458" s="37" t="s">
        <v>46</v>
      </c>
      <c r="V458" s="37" t="s">
        <v>46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IFERROR(IF(Y458=0,"",ROUNDUP(Y458/H458,0)*0.01898),"")</f>
        <v/>
      </c>
      <c r="AA458" s="65" t="s">
        <v>46</v>
      </c>
      <c r="AB458" s="66" t="s">
        <v>46</v>
      </c>
      <c r="AC458" s="555" t="s">
        <v>749</v>
      </c>
      <c r="AG458" s="75"/>
      <c r="AJ458" s="79" t="s">
        <v>46</v>
      </c>
      <c r="AK458" s="79">
        <v>0</v>
      </c>
      <c r="BB458" s="556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37.5" hidden="1" customHeight="1" x14ac:dyDescent="0.25">
      <c r="A459" s="60" t="s">
        <v>750</v>
      </c>
      <c r="B459" s="60" t="s">
        <v>751</v>
      </c>
      <c r="C459" s="34">
        <v>4301011871</v>
      </c>
      <c r="D459" s="648">
        <v>4680115884908</v>
      </c>
      <c r="E459" s="648"/>
      <c r="F459" s="59">
        <v>0.4</v>
      </c>
      <c r="G459" s="35">
        <v>10</v>
      </c>
      <c r="H459" s="59">
        <v>4</v>
      </c>
      <c r="I459" s="59">
        <v>4.1900000000000004</v>
      </c>
      <c r="J459" s="35">
        <v>132</v>
      </c>
      <c r="K459" s="35" t="s">
        <v>133</v>
      </c>
      <c r="L459" s="35" t="s">
        <v>46</v>
      </c>
      <c r="M459" s="36" t="s">
        <v>80</v>
      </c>
      <c r="N459" s="36"/>
      <c r="O459" s="35">
        <v>60</v>
      </c>
      <c r="P459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50"/>
      <c r="R459" s="650"/>
      <c r="S459" s="650"/>
      <c r="T459" s="65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57" t="s">
        <v>749</v>
      </c>
      <c r="AG459" s="75"/>
      <c r="AJ459" s="79" t="s">
        <v>46</v>
      </c>
      <c r="AK459" s="79">
        <v>0</v>
      </c>
      <c r="BB459" s="558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idden="1" x14ac:dyDescent="0.2">
      <c r="A460" s="655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2" t="s">
        <v>40</v>
      </c>
      <c r="Q460" s="653"/>
      <c r="R460" s="653"/>
      <c r="S460" s="653"/>
      <c r="T460" s="653"/>
      <c r="U460" s="653"/>
      <c r="V460" s="654"/>
      <c r="W460" s="40" t="s">
        <v>39</v>
      </c>
      <c r="X460" s="41">
        <f>IFERROR(X458/H458,"0")+IFERROR(X459/H459,"0")</f>
        <v>0</v>
      </c>
      <c r="Y460" s="41">
        <f>IFERROR(Y458/H458,"0")+IFERROR(Y459/H459,"0")</f>
        <v>0</v>
      </c>
      <c r="Z460" s="41">
        <f>IFERROR(IF(Z458="",0,Z458),"0")+IFERROR(IF(Z459="",0,Z459),"0")</f>
        <v>0</v>
      </c>
      <c r="AA460" s="64"/>
      <c r="AB460" s="64"/>
      <c r="AC460" s="64"/>
    </row>
    <row r="461" spans="1:68" hidden="1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2" t="s">
        <v>40</v>
      </c>
      <c r="Q461" s="653"/>
      <c r="R461" s="653"/>
      <c r="S461" s="653"/>
      <c r="T461" s="653"/>
      <c r="U461" s="653"/>
      <c r="V461" s="654"/>
      <c r="W461" s="40" t="s">
        <v>0</v>
      </c>
      <c r="X461" s="41">
        <f>IFERROR(SUM(X458:X459),"0")</f>
        <v>0</v>
      </c>
      <c r="Y461" s="41">
        <f>IFERROR(SUM(Y458:Y459),"0")</f>
        <v>0</v>
      </c>
      <c r="Z461" s="40"/>
      <c r="AA461" s="64"/>
      <c r="AB461" s="64"/>
      <c r="AC461" s="64"/>
    </row>
    <row r="462" spans="1:68" ht="14.25" hidden="1" customHeight="1" x14ac:dyDescent="0.25">
      <c r="A462" s="662" t="s">
        <v>76</v>
      </c>
      <c r="B462" s="662"/>
      <c r="C462" s="662"/>
      <c r="D462" s="662"/>
      <c r="E462" s="662"/>
      <c r="F462" s="662"/>
      <c r="G462" s="662"/>
      <c r="H462" s="662"/>
      <c r="I462" s="662"/>
      <c r="J462" s="662"/>
      <c r="K462" s="662"/>
      <c r="L462" s="662"/>
      <c r="M462" s="662"/>
      <c r="N462" s="662"/>
      <c r="O462" s="662"/>
      <c r="P462" s="662"/>
      <c r="Q462" s="662"/>
      <c r="R462" s="662"/>
      <c r="S462" s="662"/>
      <c r="T462" s="662"/>
      <c r="U462" s="662"/>
      <c r="V462" s="662"/>
      <c r="W462" s="662"/>
      <c r="X462" s="662"/>
      <c r="Y462" s="662"/>
      <c r="Z462" s="662"/>
      <c r="AA462" s="63"/>
      <c r="AB462" s="63"/>
      <c r="AC462" s="63"/>
    </row>
    <row r="463" spans="1:68" ht="27" hidden="1" customHeight="1" x14ac:dyDescent="0.25">
      <c r="A463" s="60" t="s">
        <v>752</v>
      </c>
      <c r="B463" s="60" t="s">
        <v>753</v>
      </c>
      <c r="C463" s="34">
        <v>4301031457</v>
      </c>
      <c r="D463" s="648">
        <v>4607091384802</v>
      </c>
      <c r="E463" s="648"/>
      <c r="F463" s="59">
        <v>0.7</v>
      </c>
      <c r="G463" s="35">
        <v>6</v>
      </c>
      <c r="H463" s="59">
        <v>4.2</v>
      </c>
      <c r="I463" s="59">
        <v>4.45</v>
      </c>
      <c r="J463" s="35">
        <v>132</v>
      </c>
      <c r="K463" s="35" t="s">
        <v>133</v>
      </c>
      <c r="L463" s="35" t="s">
        <v>46</v>
      </c>
      <c r="M463" s="36" t="s">
        <v>80</v>
      </c>
      <c r="N463" s="36"/>
      <c r="O463" s="35">
        <v>50</v>
      </c>
      <c r="P463" s="70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50"/>
      <c r="R463" s="650"/>
      <c r="S463" s="650"/>
      <c r="T463" s="651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46</v>
      </c>
      <c r="AB463" s="66" t="s">
        <v>46</v>
      </c>
      <c r="AC463" s="559" t="s">
        <v>754</v>
      </c>
      <c r="AG463" s="75"/>
      <c r="AJ463" s="79" t="s">
        <v>46</v>
      </c>
      <c r="AK463" s="79">
        <v>0</v>
      </c>
      <c r="BB463" s="560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55"/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6"/>
      <c r="P464" s="652" t="s">
        <v>40</v>
      </c>
      <c r="Q464" s="653"/>
      <c r="R464" s="653"/>
      <c r="S464" s="653"/>
      <c r="T464" s="653"/>
      <c r="U464" s="653"/>
      <c r="V464" s="654"/>
      <c r="W464" s="40" t="s">
        <v>39</v>
      </c>
      <c r="X464" s="41">
        <f>IFERROR(X463/H463,"0")</f>
        <v>0</v>
      </c>
      <c r="Y464" s="41">
        <f>IFERROR(Y463/H463,"0")</f>
        <v>0</v>
      </c>
      <c r="Z464" s="41">
        <f>IFERROR(IF(Z463="",0,Z463),"0")</f>
        <v>0</v>
      </c>
      <c r="AA464" s="64"/>
      <c r="AB464" s="64"/>
      <c r="AC464" s="64"/>
    </row>
    <row r="465" spans="1:68" hidden="1" x14ac:dyDescent="0.2">
      <c r="A465" s="655"/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6"/>
      <c r="P465" s="652" t="s">
        <v>40</v>
      </c>
      <c r="Q465" s="653"/>
      <c r="R465" s="653"/>
      <c r="S465" s="653"/>
      <c r="T465" s="653"/>
      <c r="U465" s="653"/>
      <c r="V465" s="654"/>
      <c r="W465" s="40" t="s">
        <v>0</v>
      </c>
      <c r="X465" s="41">
        <f>IFERROR(SUM(X463:X463),"0")</f>
        <v>0</v>
      </c>
      <c r="Y465" s="41">
        <f>IFERROR(SUM(Y463:Y463),"0")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62" t="s">
        <v>85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63"/>
      <c r="AB466" s="63"/>
      <c r="AC466" s="63"/>
    </row>
    <row r="467" spans="1:68" ht="27" hidden="1" customHeight="1" x14ac:dyDescent="0.25">
      <c r="A467" s="60" t="s">
        <v>755</v>
      </c>
      <c r="B467" s="60" t="s">
        <v>756</v>
      </c>
      <c r="C467" s="34">
        <v>4301051899</v>
      </c>
      <c r="D467" s="648">
        <v>4607091384246</v>
      </c>
      <c r="E467" s="648"/>
      <c r="F467" s="59">
        <v>1.5</v>
      </c>
      <c r="G467" s="35">
        <v>6</v>
      </c>
      <c r="H467" s="59">
        <v>9</v>
      </c>
      <c r="I467" s="59">
        <v>9.4939999999999998</v>
      </c>
      <c r="J467" s="35">
        <v>64</v>
      </c>
      <c r="K467" s="35" t="s">
        <v>126</v>
      </c>
      <c r="L467" s="35" t="s">
        <v>46</v>
      </c>
      <c r="M467" s="36" t="s">
        <v>89</v>
      </c>
      <c r="N467" s="36"/>
      <c r="O467" s="35">
        <v>40</v>
      </c>
      <c r="P467" s="7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50"/>
      <c r="R467" s="650"/>
      <c r="S467" s="650"/>
      <c r="T467" s="651"/>
      <c r="U467" s="37" t="s">
        <v>46</v>
      </c>
      <c r="V467" s="37" t="s">
        <v>46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46</v>
      </c>
      <c r="AB467" s="66" t="s">
        <v>46</v>
      </c>
      <c r="AC467" s="561" t="s">
        <v>757</v>
      </c>
      <c r="AG467" s="75"/>
      <c r="AJ467" s="79" t="s">
        <v>46</v>
      </c>
      <c r="AK467" s="79">
        <v>0</v>
      </c>
      <c r="BB467" s="562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hidden="1" customHeight="1" x14ac:dyDescent="0.25">
      <c r="A468" s="60" t="s">
        <v>758</v>
      </c>
      <c r="B468" s="60" t="s">
        <v>759</v>
      </c>
      <c r="C468" s="34">
        <v>4301051660</v>
      </c>
      <c r="D468" s="648">
        <v>4607091384253</v>
      </c>
      <c r="E468" s="648"/>
      <c r="F468" s="59">
        <v>0.4</v>
      </c>
      <c r="G468" s="35">
        <v>6</v>
      </c>
      <c r="H468" s="59">
        <v>2.4</v>
      </c>
      <c r="I468" s="59">
        <v>2.6640000000000001</v>
      </c>
      <c r="J468" s="35">
        <v>182</v>
      </c>
      <c r="K468" s="35" t="s">
        <v>90</v>
      </c>
      <c r="L468" s="35" t="s">
        <v>46</v>
      </c>
      <c r="M468" s="36" t="s">
        <v>89</v>
      </c>
      <c r="N468" s="36"/>
      <c r="O468" s="35">
        <v>40</v>
      </c>
      <c r="P468" s="69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50"/>
      <c r="R468" s="650"/>
      <c r="S468" s="650"/>
      <c r="T468" s="651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 t="s">
        <v>46</v>
      </c>
      <c r="AB468" s="66" t="s">
        <v>46</v>
      </c>
      <c r="AC468" s="563" t="s">
        <v>757</v>
      </c>
      <c r="AG468" s="75"/>
      <c r="AJ468" s="79" t="s">
        <v>46</v>
      </c>
      <c r="AK468" s="79">
        <v>0</v>
      </c>
      <c r="BB468" s="564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758</v>
      </c>
      <c r="B469" s="60" t="s">
        <v>760</v>
      </c>
      <c r="C469" s="34">
        <v>4301052069</v>
      </c>
      <c r="D469" s="648">
        <v>4607091384253</v>
      </c>
      <c r="E469" s="648"/>
      <c r="F469" s="59">
        <v>0.4</v>
      </c>
      <c r="G469" s="35">
        <v>6</v>
      </c>
      <c r="H469" s="59">
        <v>2.4</v>
      </c>
      <c r="I469" s="59">
        <v>2.6640000000000001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40</v>
      </c>
      <c r="P469" s="70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50"/>
      <c r="R469" s="650"/>
      <c r="S469" s="650"/>
      <c r="T469" s="65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655"/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6"/>
      <c r="P470" s="652" t="s">
        <v>40</v>
      </c>
      <c r="Q470" s="653"/>
      <c r="R470" s="653"/>
      <c r="S470" s="653"/>
      <c r="T470" s="653"/>
      <c r="U470" s="653"/>
      <c r="V470" s="654"/>
      <c r="W470" s="40" t="s">
        <v>39</v>
      </c>
      <c r="X470" s="41">
        <f>IFERROR(X467/H467,"0")+IFERROR(X468/H468,"0")+IFERROR(X469/H469,"0")</f>
        <v>0</v>
      </c>
      <c r="Y470" s="41">
        <f>IFERROR(Y467/H467,"0")+IFERROR(Y468/H468,"0")+IFERROR(Y469/H469,"0")</f>
        <v>0</v>
      </c>
      <c r="Z470" s="41">
        <f>IFERROR(IF(Z467="",0,Z467),"0")+IFERROR(IF(Z468="",0,Z468),"0")+IFERROR(IF(Z469="",0,Z469),"0")</f>
        <v>0</v>
      </c>
      <c r="AA470" s="64"/>
      <c r="AB470" s="64"/>
      <c r="AC470" s="64"/>
    </row>
    <row r="471" spans="1:68" hidden="1" x14ac:dyDescent="0.2">
      <c r="A471" s="655"/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6"/>
      <c r="P471" s="652" t="s">
        <v>40</v>
      </c>
      <c r="Q471" s="653"/>
      <c r="R471" s="653"/>
      <c r="S471" s="653"/>
      <c r="T471" s="653"/>
      <c r="U471" s="653"/>
      <c r="V471" s="654"/>
      <c r="W471" s="40" t="s">
        <v>0</v>
      </c>
      <c r="X471" s="41">
        <f>IFERROR(SUM(X467:X469),"0")</f>
        <v>0</v>
      </c>
      <c r="Y471" s="41">
        <f>IFERROR(SUM(Y467:Y469),"0")</f>
        <v>0</v>
      </c>
      <c r="Z471" s="40"/>
      <c r="AA471" s="64"/>
      <c r="AB471" s="64"/>
      <c r="AC471" s="64"/>
    </row>
    <row r="472" spans="1:68" ht="27.75" hidden="1" customHeight="1" x14ac:dyDescent="0.2">
      <c r="A472" s="677" t="s">
        <v>762</v>
      </c>
      <c r="B472" s="677"/>
      <c r="C472" s="677"/>
      <c r="D472" s="677"/>
      <c r="E472" s="677"/>
      <c r="F472" s="677"/>
      <c r="G472" s="677"/>
      <c r="H472" s="677"/>
      <c r="I472" s="677"/>
      <c r="J472" s="677"/>
      <c r="K472" s="677"/>
      <c r="L472" s="677"/>
      <c r="M472" s="677"/>
      <c r="N472" s="677"/>
      <c r="O472" s="677"/>
      <c r="P472" s="677"/>
      <c r="Q472" s="677"/>
      <c r="R472" s="677"/>
      <c r="S472" s="677"/>
      <c r="T472" s="677"/>
      <c r="U472" s="677"/>
      <c r="V472" s="677"/>
      <c r="W472" s="677"/>
      <c r="X472" s="677"/>
      <c r="Y472" s="677"/>
      <c r="Z472" s="677"/>
      <c r="AA472" s="52"/>
      <c r="AB472" s="52"/>
      <c r="AC472" s="52"/>
    </row>
    <row r="473" spans="1:68" ht="16.5" hidden="1" customHeight="1" x14ac:dyDescent="0.25">
      <c r="A473" s="666" t="s">
        <v>763</v>
      </c>
      <c r="B473" s="666"/>
      <c r="C473" s="666"/>
      <c r="D473" s="666"/>
      <c r="E473" s="666"/>
      <c r="F473" s="666"/>
      <c r="G473" s="666"/>
      <c r="H473" s="666"/>
      <c r="I473" s="666"/>
      <c r="J473" s="666"/>
      <c r="K473" s="666"/>
      <c r="L473" s="666"/>
      <c r="M473" s="666"/>
      <c r="N473" s="666"/>
      <c r="O473" s="666"/>
      <c r="P473" s="666"/>
      <c r="Q473" s="666"/>
      <c r="R473" s="666"/>
      <c r="S473" s="666"/>
      <c r="T473" s="666"/>
      <c r="U473" s="666"/>
      <c r="V473" s="666"/>
      <c r="W473" s="666"/>
      <c r="X473" s="666"/>
      <c r="Y473" s="666"/>
      <c r="Z473" s="666"/>
      <c r="AA473" s="62"/>
      <c r="AB473" s="62"/>
      <c r="AC473" s="62"/>
    </row>
    <row r="474" spans="1:68" ht="14.25" hidden="1" customHeight="1" x14ac:dyDescent="0.25">
      <c r="A474" s="662" t="s">
        <v>76</v>
      </c>
      <c r="B474" s="662"/>
      <c r="C474" s="662"/>
      <c r="D474" s="662"/>
      <c r="E474" s="662"/>
      <c r="F474" s="662"/>
      <c r="G474" s="662"/>
      <c r="H474" s="662"/>
      <c r="I474" s="662"/>
      <c r="J474" s="662"/>
      <c r="K474" s="662"/>
      <c r="L474" s="662"/>
      <c r="M474" s="662"/>
      <c r="N474" s="662"/>
      <c r="O474" s="662"/>
      <c r="P474" s="662"/>
      <c r="Q474" s="662"/>
      <c r="R474" s="662"/>
      <c r="S474" s="662"/>
      <c r="T474" s="662"/>
      <c r="U474" s="662"/>
      <c r="V474" s="662"/>
      <c r="W474" s="662"/>
      <c r="X474" s="662"/>
      <c r="Y474" s="662"/>
      <c r="Z474" s="662"/>
      <c r="AA474" s="63"/>
      <c r="AB474" s="63"/>
      <c r="AC474" s="63"/>
    </row>
    <row r="475" spans="1:68" ht="27" hidden="1" customHeight="1" x14ac:dyDescent="0.25">
      <c r="A475" s="60" t="s">
        <v>764</v>
      </c>
      <c r="B475" s="60" t="s">
        <v>765</v>
      </c>
      <c r="C475" s="34">
        <v>4301031405</v>
      </c>
      <c r="D475" s="648">
        <v>4680115886100</v>
      </c>
      <c r="E475" s="648"/>
      <c r="F475" s="59">
        <v>0.9</v>
      </c>
      <c r="G475" s="35">
        <v>6</v>
      </c>
      <c r="H475" s="59">
        <v>5.4</v>
      </c>
      <c r="I475" s="59">
        <v>5.59</v>
      </c>
      <c r="J475" s="35">
        <v>132</v>
      </c>
      <c r="K475" s="35" t="s">
        <v>133</v>
      </c>
      <c r="L475" s="35" t="s">
        <v>46</v>
      </c>
      <c r="M475" s="36" t="s">
        <v>80</v>
      </c>
      <c r="N475" s="36"/>
      <c r="O475" s="35">
        <v>50</v>
      </c>
      <c r="P475" s="70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50"/>
      <c r="R475" s="650"/>
      <c r="S475" s="650"/>
      <c r="T475" s="651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ref="Y475:Y480" si="73">IFERROR(IF(X475="",0,CEILING((X475/$H475),1)*$H475),"")</f>
        <v>0</v>
      </c>
      <c r="Z475" s="39" t="str">
        <f>IFERROR(IF(Y475=0,"",ROUNDUP(Y475/H475,0)*0.00902),"")</f>
        <v/>
      </c>
      <c r="AA475" s="65" t="s">
        <v>46</v>
      </c>
      <c r="AB475" s="66" t="s">
        <v>46</v>
      </c>
      <c r="AC475" s="567" t="s">
        <v>766</v>
      </c>
      <c r="AG475" s="75"/>
      <c r="AJ475" s="79" t="s">
        <v>46</v>
      </c>
      <c r="AK475" s="79">
        <v>0</v>
      </c>
      <c r="BB475" s="568" t="s">
        <v>66</v>
      </c>
      <c r="BM475" s="75">
        <f t="shared" ref="BM475:BM480" si="74">IFERROR(X475*I475/H475,"0")</f>
        <v>0</v>
      </c>
      <c r="BN475" s="75">
        <f t="shared" ref="BN475:BN480" si="75">IFERROR(Y475*I475/H475,"0")</f>
        <v>0</v>
      </c>
      <c r="BO475" s="75">
        <f t="shared" ref="BO475:BO480" si="76">IFERROR(1/J475*(X475/H475),"0")</f>
        <v>0</v>
      </c>
      <c r="BP475" s="75">
        <f t="shared" ref="BP475:BP480" si="77">IFERROR(1/J475*(Y475/H475),"0")</f>
        <v>0</v>
      </c>
    </row>
    <row r="476" spans="1:68" ht="27" hidden="1" customHeight="1" x14ac:dyDescent="0.25">
      <c r="A476" s="60" t="s">
        <v>767</v>
      </c>
      <c r="B476" s="60" t="s">
        <v>768</v>
      </c>
      <c r="C476" s="34">
        <v>4301031402</v>
      </c>
      <c r="D476" s="648">
        <v>4680115886124</v>
      </c>
      <c r="E476" s="648"/>
      <c r="F476" s="59">
        <v>0.9</v>
      </c>
      <c r="G476" s="35">
        <v>6</v>
      </c>
      <c r="H476" s="59">
        <v>5.4</v>
      </c>
      <c r="I476" s="59">
        <v>5.59</v>
      </c>
      <c r="J476" s="35">
        <v>132</v>
      </c>
      <c r="K476" s="35" t="s">
        <v>133</v>
      </c>
      <c r="L476" s="35" t="s">
        <v>46</v>
      </c>
      <c r="M476" s="36" t="s">
        <v>80</v>
      </c>
      <c r="N476" s="36"/>
      <c r="O476" s="35">
        <v>50</v>
      </c>
      <c r="P476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50"/>
      <c r="R476" s="650"/>
      <c r="S476" s="650"/>
      <c r="T476" s="651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IFERROR(IF(Y476=0,"",ROUNDUP(Y476/H476,0)*0.00902),"")</f>
        <v/>
      </c>
      <c r="AA476" s="65" t="s">
        <v>46</v>
      </c>
      <c r="AB476" s="66" t="s">
        <v>46</v>
      </c>
      <c r="AC476" s="569" t="s">
        <v>769</v>
      </c>
      <c r="AG476" s="75"/>
      <c r="AJ476" s="79" t="s">
        <v>46</v>
      </c>
      <c r="AK476" s="79">
        <v>0</v>
      </c>
      <c r="BB476" s="570" t="s">
        <v>66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27" hidden="1" customHeight="1" x14ac:dyDescent="0.25">
      <c r="A477" s="60" t="s">
        <v>770</v>
      </c>
      <c r="B477" s="60" t="s">
        <v>771</v>
      </c>
      <c r="C477" s="34">
        <v>4301031362</v>
      </c>
      <c r="D477" s="648">
        <v>4607091384338</v>
      </c>
      <c r="E477" s="648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81</v>
      </c>
      <c r="L477" s="35" t="s">
        <v>46</v>
      </c>
      <c r="M477" s="36" t="s">
        <v>80</v>
      </c>
      <c r="N477" s="36"/>
      <c r="O477" s="35">
        <v>50</v>
      </c>
      <c r="P477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50"/>
      <c r="R477" s="650"/>
      <c r="S477" s="650"/>
      <c r="T477" s="65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1" t="s">
        <v>766</v>
      </c>
      <c r="AG477" s="75"/>
      <c r="AJ477" s="79" t="s">
        <v>46</v>
      </c>
      <c r="AK477" s="79">
        <v>0</v>
      </c>
      <c r="BB477" s="572" t="s">
        <v>66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t="27" hidden="1" customHeight="1" x14ac:dyDescent="0.25">
      <c r="A478" s="60" t="s">
        <v>772</v>
      </c>
      <c r="B478" s="60" t="s">
        <v>773</v>
      </c>
      <c r="C478" s="34">
        <v>4301031364</v>
      </c>
      <c r="D478" s="648">
        <v>4680115883161</v>
      </c>
      <c r="E478" s="648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81</v>
      </c>
      <c r="L478" s="35" t="s">
        <v>46</v>
      </c>
      <c r="M478" s="36" t="s">
        <v>80</v>
      </c>
      <c r="N478" s="36"/>
      <c r="O478" s="35">
        <v>50</v>
      </c>
      <c r="P478" s="70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50"/>
      <c r="R478" s="650"/>
      <c r="S478" s="650"/>
      <c r="T478" s="65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IFERROR(IF(Y478=0,"",ROUNDUP(Y478/H478,0)*0.00502),"")</f>
        <v/>
      </c>
      <c r="AA478" s="65" t="s">
        <v>46</v>
      </c>
      <c r="AB478" s="66" t="s">
        <v>46</v>
      </c>
      <c r="AC478" s="573" t="s">
        <v>774</v>
      </c>
      <c r="AG478" s="75"/>
      <c r="AJ478" s="79" t="s">
        <v>46</v>
      </c>
      <c r="AK478" s="79">
        <v>0</v>
      </c>
      <c r="BB478" s="574" t="s">
        <v>66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775</v>
      </c>
      <c r="B479" s="60" t="s">
        <v>776</v>
      </c>
      <c r="C479" s="34">
        <v>4301031358</v>
      </c>
      <c r="D479" s="648">
        <v>4607091389531</v>
      </c>
      <c r="E479" s="64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69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50"/>
      <c r="R479" s="650"/>
      <c r="S479" s="650"/>
      <c r="T479" s="65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777</v>
      </c>
      <c r="AG479" s="75"/>
      <c r="AJ479" s="79" t="s">
        <v>46</v>
      </c>
      <c r="AK479" s="79">
        <v>0</v>
      </c>
      <c r="BB479" s="576" t="s">
        <v>66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37.5" hidden="1" customHeight="1" x14ac:dyDescent="0.25">
      <c r="A480" s="60" t="s">
        <v>778</v>
      </c>
      <c r="B480" s="60" t="s">
        <v>779</v>
      </c>
      <c r="C480" s="34">
        <v>4301031360</v>
      </c>
      <c r="D480" s="648">
        <v>4607091384345</v>
      </c>
      <c r="E480" s="648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6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50"/>
      <c r="R480" s="650"/>
      <c r="S480" s="650"/>
      <c r="T480" s="65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774</v>
      </c>
      <c r="AG480" s="75"/>
      <c r="AJ480" s="79" t="s">
        <v>46</v>
      </c>
      <c r="AK480" s="79">
        <v>0</v>
      </c>
      <c r="BB480" s="578" t="s">
        <v>66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idden="1" x14ac:dyDescent="0.2">
      <c r="A481" s="655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2" t="s">
        <v>40</v>
      </c>
      <c r="Q481" s="653"/>
      <c r="R481" s="653"/>
      <c r="S481" s="653"/>
      <c r="T481" s="653"/>
      <c r="U481" s="653"/>
      <c r="V481" s="654"/>
      <c r="W481" s="40" t="s">
        <v>39</v>
      </c>
      <c r="X481" s="41">
        <f>IFERROR(X475/H475,"0")+IFERROR(X476/H476,"0")+IFERROR(X477/H477,"0")+IFERROR(X478/H478,"0")+IFERROR(X479/H479,"0")+IFERROR(X480/H480,"0")</f>
        <v>0</v>
      </c>
      <c r="Y481" s="41">
        <f>IFERROR(Y475/H475,"0")+IFERROR(Y476/H476,"0")+IFERROR(Y477/H477,"0")+IFERROR(Y478/H478,"0")+IFERROR(Y479/H479,"0")+IFERROR(Y480/H480,"0")</f>
        <v>0</v>
      </c>
      <c r="Z481" s="41">
        <f>IFERROR(IF(Z475="",0,Z475),"0")+IFERROR(IF(Z476="",0,Z476),"0")+IFERROR(IF(Z477="",0,Z477),"0")+IFERROR(IF(Z478="",0,Z478),"0")+IFERROR(IF(Z479="",0,Z479),"0")+IFERROR(IF(Z480="",0,Z480),"0")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2" t="s">
        <v>40</v>
      </c>
      <c r="Q482" s="653"/>
      <c r="R482" s="653"/>
      <c r="S482" s="653"/>
      <c r="T482" s="653"/>
      <c r="U482" s="653"/>
      <c r="V482" s="654"/>
      <c r="W482" s="40" t="s">
        <v>0</v>
      </c>
      <c r="X482" s="41">
        <f>IFERROR(SUM(X475:X480),"0")</f>
        <v>0</v>
      </c>
      <c r="Y482" s="41">
        <f>IFERROR(SUM(Y475:Y480),"0")</f>
        <v>0</v>
      </c>
      <c r="Z482" s="40"/>
      <c r="AA482" s="64"/>
      <c r="AB482" s="64"/>
      <c r="AC482" s="64"/>
    </row>
    <row r="483" spans="1:68" ht="14.25" hidden="1" customHeight="1" x14ac:dyDescent="0.25">
      <c r="A483" s="662" t="s">
        <v>85</v>
      </c>
      <c r="B483" s="662"/>
      <c r="C483" s="662"/>
      <c r="D483" s="662"/>
      <c r="E483" s="662"/>
      <c r="F483" s="662"/>
      <c r="G483" s="662"/>
      <c r="H483" s="662"/>
      <c r="I483" s="662"/>
      <c r="J483" s="662"/>
      <c r="K483" s="662"/>
      <c r="L483" s="662"/>
      <c r="M483" s="662"/>
      <c r="N483" s="662"/>
      <c r="O483" s="662"/>
      <c r="P483" s="662"/>
      <c r="Q483" s="662"/>
      <c r="R483" s="662"/>
      <c r="S483" s="662"/>
      <c r="T483" s="662"/>
      <c r="U483" s="662"/>
      <c r="V483" s="662"/>
      <c r="W483" s="662"/>
      <c r="X483" s="662"/>
      <c r="Y483" s="662"/>
      <c r="Z483" s="662"/>
      <c r="AA483" s="63"/>
      <c r="AB483" s="63"/>
      <c r="AC483" s="63"/>
    </row>
    <row r="484" spans="1:68" ht="27" hidden="1" customHeight="1" x14ac:dyDescent="0.25">
      <c r="A484" s="60" t="s">
        <v>780</v>
      </c>
      <c r="B484" s="60" t="s">
        <v>781</v>
      </c>
      <c r="C484" s="34">
        <v>4301051284</v>
      </c>
      <c r="D484" s="648">
        <v>4607091384352</v>
      </c>
      <c r="E484" s="648"/>
      <c r="F484" s="59">
        <v>0.6</v>
      </c>
      <c r="G484" s="35">
        <v>4</v>
      </c>
      <c r="H484" s="59">
        <v>2.4</v>
      </c>
      <c r="I484" s="59">
        <v>2.6259999999999999</v>
      </c>
      <c r="J484" s="35">
        <v>132</v>
      </c>
      <c r="K484" s="35" t="s">
        <v>133</v>
      </c>
      <c r="L484" s="35" t="s">
        <v>46</v>
      </c>
      <c r="M484" s="36" t="s">
        <v>89</v>
      </c>
      <c r="N484" s="36"/>
      <c r="O484" s="35">
        <v>45</v>
      </c>
      <c r="P484" s="69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50"/>
      <c r="R484" s="650"/>
      <c r="S484" s="650"/>
      <c r="T484" s="651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79" t="s">
        <v>782</v>
      </c>
      <c r="AG484" s="75"/>
      <c r="AJ484" s="79" t="s">
        <v>46</v>
      </c>
      <c r="AK484" s="79">
        <v>0</v>
      </c>
      <c r="BB484" s="580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t="27" hidden="1" customHeight="1" x14ac:dyDescent="0.25">
      <c r="A485" s="60" t="s">
        <v>783</v>
      </c>
      <c r="B485" s="60" t="s">
        <v>784</v>
      </c>
      <c r="C485" s="34">
        <v>4301051431</v>
      </c>
      <c r="D485" s="648">
        <v>4607091389654</v>
      </c>
      <c r="E485" s="648"/>
      <c r="F485" s="59">
        <v>0.33</v>
      </c>
      <c r="G485" s="35">
        <v>6</v>
      </c>
      <c r="H485" s="59">
        <v>1.98</v>
      </c>
      <c r="I485" s="59">
        <v>2.238</v>
      </c>
      <c r="J485" s="35">
        <v>182</v>
      </c>
      <c r="K485" s="35" t="s">
        <v>90</v>
      </c>
      <c r="L485" s="35" t="s">
        <v>46</v>
      </c>
      <c r="M485" s="36" t="s">
        <v>89</v>
      </c>
      <c r="N485" s="36"/>
      <c r="O485" s="35">
        <v>45</v>
      </c>
      <c r="P485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50"/>
      <c r="R485" s="650"/>
      <c r="S485" s="650"/>
      <c r="T485" s="651"/>
      <c r="U485" s="37" t="s">
        <v>46</v>
      </c>
      <c r="V485" s="37" t="s">
        <v>46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IFERROR(IF(Y485=0,"",ROUNDUP(Y485/H485,0)*0.00651),"")</f>
        <v/>
      </c>
      <c r="AA485" s="65" t="s">
        <v>46</v>
      </c>
      <c r="AB485" s="66" t="s">
        <v>46</v>
      </c>
      <c r="AC485" s="581" t="s">
        <v>785</v>
      </c>
      <c r="AG485" s="75"/>
      <c r="AJ485" s="79" t="s">
        <v>46</v>
      </c>
      <c r="AK485" s="79">
        <v>0</v>
      </c>
      <c r="BB485" s="582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55"/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6"/>
      <c r="P486" s="652" t="s">
        <v>40</v>
      </c>
      <c r="Q486" s="653"/>
      <c r="R486" s="653"/>
      <c r="S486" s="653"/>
      <c r="T486" s="653"/>
      <c r="U486" s="653"/>
      <c r="V486" s="654"/>
      <c r="W486" s="40" t="s">
        <v>39</v>
      </c>
      <c r="X486" s="41">
        <f>IFERROR(X484/H484,"0")+IFERROR(X485/H485,"0")</f>
        <v>0</v>
      </c>
      <c r="Y486" s="41">
        <f>IFERROR(Y484/H484,"0")+IFERROR(Y485/H485,"0")</f>
        <v>0</v>
      </c>
      <c r="Z486" s="41">
        <f>IFERROR(IF(Z484="",0,Z484),"0")+IFERROR(IF(Z485="",0,Z485),"0")</f>
        <v>0</v>
      </c>
      <c r="AA486" s="64"/>
      <c r="AB486" s="64"/>
      <c r="AC486" s="64"/>
    </row>
    <row r="487" spans="1:68" hidden="1" x14ac:dyDescent="0.2">
      <c r="A487" s="655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2" t="s">
        <v>40</v>
      </c>
      <c r="Q487" s="653"/>
      <c r="R487" s="653"/>
      <c r="S487" s="653"/>
      <c r="T487" s="653"/>
      <c r="U487" s="653"/>
      <c r="V487" s="654"/>
      <c r="W487" s="40" t="s">
        <v>0</v>
      </c>
      <c r="X487" s="41">
        <f>IFERROR(SUM(X484:X485),"0")</f>
        <v>0</v>
      </c>
      <c r="Y487" s="41">
        <f>IFERROR(SUM(Y484:Y485),"0")</f>
        <v>0</v>
      </c>
      <c r="Z487" s="40"/>
      <c r="AA487" s="64"/>
      <c r="AB487" s="64"/>
      <c r="AC487" s="64"/>
    </row>
    <row r="488" spans="1:68" ht="16.5" hidden="1" customHeight="1" x14ac:dyDescent="0.25">
      <c r="A488" s="666" t="s">
        <v>786</v>
      </c>
      <c r="B488" s="666"/>
      <c r="C488" s="666"/>
      <c r="D488" s="666"/>
      <c r="E488" s="666"/>
      <c r="F488" s="666"/>
      <c r="G488" s="666"/>
      <c r="H488" s="666"/>
      <c r="I488" s="666"/>
      <c r="J488" s="666"/>
      <c r="K488" s="666"/>
      <c r="L488" s="666"/>
      <c r="M488" s="666"/>
      <c r="N488" s="666"/>
      <c r="O488" s="666"/>
      <c r="P488" s="666"/>
      <c r="Q488" s="666"/>
      <c r="R488" s="666"/>
      <c r="S488" s="666"/>
      <c r="T488" s="666"/>
      <c r="U488" s="666"/>
      <c r="V488" s="666"/>
      <c r="W488" s="666"/>
      <c r="X488" s="666"/>
      <c r="Y488" s="666"/>
      <c r="Z488" s="666"/>
      <c r="AA488" s="62"/>
      <c r="AB488" s="62"/>
      <c r="AC488" s="62"/>
    </row>
    <row r="489" spans="1:68" ht="14.25" hidden="1" customHeight="1" x14ac:dyDescent="0.25">
      <c r="A489" s="662" t="s">
        <v>156</v>
      </c>
      <c r="B489" s="662"/>
      <c r="C489" s="662"/>
      <c r="D489" s="662"/>
      <c r="E489" s="662"/>
      <c r="F489" s="662"/>
      <c r="G489" s="662"/>
      <c r="H489" s="662"/>
      <c r="I489" s="662"/>
      <c r="J489" s="662"/>
      <c r="K489" s="662"/>
      <c r="L489" s="662"/>
      <c r="M489" s="662"/>
      <c r="N489" s="662"/>
      <c r="O489" s="662"/>
      <c r="P489" s="662"/>
      <c r="Q489" s="662"/>
      <c r="R489" s="662"/>
      <c r="S489" s="662"/>
      <c r="T489" s="662"/>
      <c r="U489" s="662"/>
      <c r="V489" s="662"/>
      <c r="W489" s="662"/>
      <c r="X489" s="662"/>
      <c r="Y489" s="662"/>
      <c r="Z489" s="662"/>
      <c r="AA489" s="63"/>
      <c r="AB489" s="63"/>
      <c r="AC489" s="63"/>
    </row>
    <row r="490" spans="1:68" ht="27" hidden="1" customHeight="1" x14ac:dyDescent="0.25">
      <c r="A490" s="60" t="s">
        <v>787</v>
      </c>
      <c r="B490" s="60" t="s">
        <v>788</v>
      </c>
      <c r="C490" s="34">
        <v>4301020416</v>
      </c>
      <c r="D490" s="648">
        <v>4680115885240</v>
      </c>
      <c r="E490" s="648"/>
      <c r="F490" s="59">
        <v>0.35</v>
      </c>
      <c r="G490" s="35">
        <v>6</v>
      </c>
      <c r="H490" s="59">
        <v>2.1</v>
      </c>
      <c r="I490" s="59">
        <v>2.31</v>
      </c>
      <c r="J490" s="35">
        <v>182</v>
      </c>
      <c r="K490" s="35" t="s">
        <v>90</v>
      </c>
      <c r="L490" s="35" t="s">
        <v>46</v>
      </c>
      <c r="M490" s="36" t="s">
        <v>80</v>
      </c>
      <c r="N490" s="36"/>
      <c r="O490" s="35">
        <v>40</v>
      </c>
      <c r="P490" s="6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50"/>
      <c r="R490" s="650"/>
      <c r="S490" s="650"/>
      <c r="T490" s="651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IFERROR(IF(Y490=0,"",ROUNDUP(Y490/H490,0)*0.00651),"")</f>
        <v/>
      </c>
      <c r="AA490" s="65" t="s">
        <v>46</v>
      </c>
      <c r="AB490" s="66" t="s">
        <v>46</v>
      </c>
      <c r="AC490" s="583" t="s">
        <v>789</v>
      </c>
      <c r="AG490" s="75"/>
      <c r="AJ490" s="79" t="s">
        <v>46</v>
      </c>
      <c r="AK490" s="79">
        <v>0</v>
      </c>
      <c r="BB490" s="584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55"/>
      <c r="B491" s="655"/>
      <c r="C491" s="655"/>
      <c r="D491" s="655"/>
      <c r="E491" s="655"/>
      <c r="F491" s="655"/>
      <c r="G491" s="655"/>
      <c r="H491" s="655"/>
      <c r="I491" s="655"/>
      <c r="J491" s="655"/>
      <c r="K491" s="655"/>
      <c r="L491" s="655"/>
      <c r="M491" s="655"/>
      <c r="N491" s="655"/>
      <c r="O491" s="656"/>
      <c r="P491" s="652" t="s">
        <v>40</v>
      </c>
      <c r="Q491" s="653"/>
      <c r="R491" s="653"/>
      <c r="S491" s="653"/>
      <c r="T491" s="653"/>
      <c r="U491" s="653"/>
      <c r="V491" s="654"/>
      <c r="W491" s="40" t="s">
        <v>39</v>
      </c>
      <c r="X491" s="41">
        <f>IFERROR(X490/H490,"0")</f>
        <v>0</v>
      </c>
      <c r="Y491" s="41">
        <f>IFERROR(Y490/H490,"0")</f>
        <v>0</v>
      </c>
      <c r="Z491" s="41">
        <f>IFERROR(IF(Z490="",0,Z490),"0")</f>
        <v>0</v>
      </c>
      <c r="AA491" s="64"/>
      <c r="AB491" s="64"/>
      <c r="AC491" s="64"/>
    </row>
    <row r="492" spans="1:68" hidden="1" x14ac:dyDescent="0.2">
      <c r="A492" s="655"/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6"/>
      <c r="P492" s="652" t="s">
        <v>40</v>
      </c>
      <c r="Q492" s="653"/>
      <c r="R492" s="653"/>
      <c r="S492" s="653"/>
      <c r="T492" s="653"/>
      <c r="U492" s="653"/>
      <c r="V492" s="654"/>
      <c r="W492" s="40" t="s">
        <v>0</v>
      </c>
      <c r="X492" s="41">
        <f>IFERROR(SUM(X490:X490),"0")</f>
        <v>0</v>
      </c>
      <c r="Y492" s="41">
        <f>IFERROR(SUM(Y490:Y490),"0")</f>
        <v>0</v>
      </c>
      <c r="Z492" s="40"/>
      <c r="AA492" s="64"/>
      <c r="AB492" s="64"/>
      <c r="AC492" s="64"/>
    </row>
    <row r="493" spans="1:68" ht="14.25" hidden="1" customHeight="1" x14ac:dyDescent="0.25">
      <c r="A493" s="662" t="s">
        <v>76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63"/>
      <c r="AB493" s="63"/>
      <c r="AC493" s="63"/>
    </row>
    <row r="494" spans="1:68" ht="27" hidden="1" customHeight="1" x14ac:dyDescent="0.25">
      <c r="A494" s="60" t="s">
        <v>790</v>
      </c>
      <c r="B494" s="60" t="s">
        <v>791</v>
      </c>
      <c r="C494" s="34">
        <v>4301031407</v>
      </c>
      <c r="D494" s="648">
        <v>4680115886094</v>
      </c>
      <c r="E494" s="648"/>
      <c r="F494" s="59">
        <v>0.9</v>
      </c>
      <c r="G494" s="35">
        <v>6</v>
      </c>
      <c r="H494" s="59">
        <v>5.4</v>
      </c>
      <c r="I494" s="59">
        <v>5.59</v>
      </c>
      <c r="J494" s="35">
        <v>132</v>
      </c>
      <c r="K494" s="35" t="s">
        <v>133</v>
      </c>
      <c r="L494" s="35" t="s">
        <v>46</v>
      </c>
      <c r="M494" s="36" t="s">
        <v>80</v>
      </c>
      <c r="N494" s="36"/>
      <c r="O494" s="35">
        <v>50</v>
      </c>
      <c r="P494" s="69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50"/>
      <c r="R494" s="650"/>
      <c r="S494" s="650"/>
      <c r="T494" s="651"/>
      <c r="U494" s="37" t="s">
        <v>46</v>
      </c>
      <c r="V494" s="37" t="s">
        <v>46</v>
      </c>
      <c r="W494" s="38" t="s">
        <v>0</v>
      </c>
      <c r="X494" s="56">
        <v>0</v>
      </c>
      <c r="Y494" s="53">
        <f>IFERROR(IF(X494="",0,CEILING((X494/$H494),1)*$H494),"")</f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5" t="s">
        <v>792</v>
      </c>
      <c r="AG494" s="75"/>
      <c r="AJ494" s="79" t="s">
        <v>46</v>
      </c>
      <c r="AK494" s="79">
        <v>0</v>
      </c>
      <c r="BB494" s="586" t="s">
        <v>66</v>
      </c>
      <c r="BM494" s="75">
        <f>IFERROR(X494*I494/H494,"0")</f>
        <v>0</v>
      </c>
      <c r="BN494" s="75">
        <f>IFERROR(Y494*I494/H494,"0")</f>
        <v>0</v>
      </c>
      <c r="BO494" s="75">
        <f>IFERROR(1/J494*(X494/H494),"0")</f>
        <v>0</v>
      </c>
      <c r="BP494" s="75">
        <f>IFERROR(1/J494*(Y494/H494),"0")</f>
        <v>0</v>
      </c>
    </row>
    <row r="495" spans="1:68" ht="27" hidden="1" customHeight="1" x14ac:dyDescent="0.25">
      <c r="A495" s="60" t="s">
        <v>793</v>
      </c>
      <c r="B495" s="60" t="s">
        <v>794</v>
      </c>
      <c r="C495" s="34">
        <v>4301031373</v>
      </c>
      <c r="D495" s="648">
        <v>4680115880771</v>
      </c>
      <c r="E495" s="648"/>
      <c r="F495" s="59">
        <v>0.28000000000000003</v>
      </c>
      <c r="G495" s="35">
        <v>6</v>
      </c>
      <c r="H495" s="59">
        <v>1.68</v>
      </c>
      <c r="I495" s="59">
        <v>1.81</v>
      </c>
      <c r="J495" s="35">
        <v>234</v>
      </c>
      <c r="K495" s="35" t="s">
        <v>81</v>
      </c>
      <c r="L495" s="35" t="s">
        <v>46</v>
      </c>
      <c r="M495" s="36" t="s">
        <v>80</v>
      </c>
      <c r="N495" s="36"/>
      <c r="O495" s="35">
        <v>50</v>
      </c>
      <c r="P495" s="69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50"/>
      <c r="R495" s="650"/>
      <c r="S495" s="650"/>
      <c r="T495" s="651"/>
      <c r="U495" s="37" t="s">
        <v>46</v>
      </c>
      <c r="V495" s="37" t="s">
        <v>46</v>
      </c>
      <c r="W495" s="38" t="s">
        <v>0</v>
      </c>
      <c r="X495" s="56">
        <v>0</v>
      </c>
      <c r="Y495" s="53">
        <f>IFERROR(IF(X495="",0,CEILING((X495/$H495),1)*$H495),"")</f>
        <v>0</v>
      </c>
      <c r="Z495" s="39" t="str">
        <f>IFERROR(IF(Y495=0,"",ROUNDUP(Y495/H495,0)*0.00502),"")</f>
        <v/>
      </c>
      <c r="AA495" s="65" t="s">
        <v>46</v>
      </c>
      <c r="AB495" s="66" t="s">
        <v>46</v>
      </c>
      <c r="AC495" s="587" t="s">
        <v>795</v>
      </c>
      <c r="AG495" s="75"/>
      <c r="AJ495" s="79" t="s">
        <v>46</v>
      </c>
      <c r="AK495" s="79">
        <v>0</v>
      </c>
      <c r="BB495" s="588" t="s">
        <v>66</v>
      </c>
      <c r="BM495" s="75">
        <f>IFERROR(X495*I495/H495,"0")</f>
        <v>0</v>
      </c>
      <c r="BN495" s="75">
        <f>IFERROR(Y495*I495/H495,"0")</f>
        <v>0</v>
      </c>
      <c r="BO495" s="75">
        <f>IFERROR(1/J495*(X495/H495),"0")</f>
        <v>0</v>
      </c>
      <c r="BP495" s="75">
        <f>IFERROR(1/J495*(Y495/H495),"0")</f>
        <v>0</v>
      </c>
    </row>
    <row r="496" spans="1:68" ht="27" hidden="1" customHeight="1" x14ac:dyDescent="0.25">
      <c r="A496" s="60" t="s">
        <v>796</v>
      </c>
      <c r="B496" s="60" t="s">
        <v>797</v>
      </c>
      <c r="C496" s="34">
        <v>4301031359</v>
      </c>
      <c r="D496" s="648">
        <v>4607091389500</v>
      </c>
      <c r="E496" s="648"/>
      <c r="F496" s="59">
        <v>0.35</v>
      </c>
      <c r="G496" s="35">
        <v>6</v>
      </c>
      <c r="H496" s="59">
        <v>2.1</v>
      </c>
      <c r="I496" s="59">
        <v>2.23</v>
      </c>
      <c r="J496" s="35">
        <v>234</v>
      </c>
      <c r="K496" s="35" t="s">
        <v>81</v>
      </c>
      <c r="L496" s="35" t="s">
        <v>46</v>
      </c>
      <c r="M496" s="36" t="s">
        <v>80</v>
      </c>
      <c r="N496" s="36"/>
      <c r="O496" s="35">
        <v>50</v>
      </c>
      <c r="P496" s="69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50"/>
      <c r="R496" s="650"/>
      <c r="S496" s="650"/>
      <c r="T496" s="65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IFERROR(IF(Y496=0,"",ROUNDUP(Y496/H496,0)*0.00502),"")</f>
        <v/>
      </c>
      <c r="AA496" s="65" t="s">
        <v>46</v>
      </c>
      <c r="AB496" s="66" t="s">
        <v>46</v>
      </c>
      <c r="AC496" s="589" t="s">
        <v>795</v>
      </c>
      <c r="AG496" s="75"/>
      <c r="AJ496" s="79" t="s">
        <v>46</v>
      </c>
      <c r="AK496" s="79">
        <v>0</v>
      </c>
      <c r="BB496" s="590" t="s">
        <v>66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idden="1" x14ac:dyDescent="0.2">
      <c r="A497" s="655"/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6"/>
      <c r="P497" s="652" t="s">
        <v>40</v>
      </c>
      <c r="Q497" s="653"/>
      <c r="R497" s="653"/>
      <c r="S497" s="653"/>
      <c r="T497" s="653"/>
      <c r="U497" s="653"/>
      <c r="V497" s="654"/>
      <c r="W497" s="40" t="s">
        <v>39</v>
      </c>
      <c r="X497" s="41">
        <f>IFERROR(X494/H494,"0")+IFERROR(X495/H495,"0")+IFERROR(X496/H496,"0")</f>
        <v>0</v>
      </c>
      <c r="Y497" s="41">
        <f>IFERROR(Y494/H494,"0")+IFERROR(Y495/H495,"0")+IFERROR(Y496/H496,"0")</f>
        <v>0</v>
      </c>
      <c r="Z497" s="41">
        <f>IFERROR(IF(Z494="",0,Z494),"0")+IFERROR(IF(Z495="",0,Z495),"0")+IFERROR(IF(Z496="",0,Z496),"0")</f>
        <v>0</v>
      </c>
      <c r="AA497" s="64"/>
      <c r="AB497" s="64"/>
      <c r="AC497" s="64"/>
    </row>
    <row r="498" spans="1:68" hidden="1" x14ac:dyDescent="0.2">
      <c r="A498" s="655"/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6"/>
      <c r="P498" s="652" t="s">
        <v>40</v>
      </c>
      <c r="Q498" s="653"/>
      <c r="R498" s="653"/>
      <c r="S498" s="653"/>
      <c r="T498" s="653"/>
      <c r="U498" s="653"/>
      <c r="V498" s="654"/>
      <c r="W498" s="40" t="s">
        <v>0</v>
      </c>
      <c r="X498" s="41">
        <f>IFERROR(SUM(X494:X496),"0")</f>
        <v>0</v>
      </c>
      <c r="Y498" s="41">
        <f>IFERROR(SUM(Y494:Y496),"0")</f>
        <v>0</v>
      </c>
      <c r="Z498" s="40"/>
      <c r="AA498" s="64"/>
      <c r="AB498" s="64"/>
      <c r="AC498" s="64"/>
    </row>
    <row r="499" spans="1:68" ht="27.75" hidden="1" customHeight="1" x14ac:dyDescent="0.2">
      <c r="A499" s="677" t="s">
        <v>798</v>
      </c>
      <c r="B499" s="677"/>
      <c r="C499" s="677"/>
      <c r="D499" s="677"/>
      <c r="E499" s="677"/>
      <c r="F499" s="677"/>
      <c r="G499" s="677"/>
      <c r="H499" s="677"/>
      <c r="I499" s="677"/>
      <c r="J499" s="677"/>
      <c r="K499" s="677"/>
      <c r="L499" s="677"/>
      <c r="M499" s="677"/>
      <c r="N499" s="677"/>
      <c r="O499" s="677"/>
      <c r="P499" s="677"/>
      <c r="Q499" s="677"/>
      <c r="R499" s="677"/>
      <c r="S499" s="677"/>
      <c r="T499" s="677"/>
      <c r="U499" s="677"/>
      <c r="V499" s="677"/>
      <c r="W499" s="677"/>
      <c r="X499" s="677"/>
      <c r="Y499" s="677"/>
      <c r="Z499" s="677"/>
      <c r="AA499" s="52"/>
      <c r="AB499" s="52"/>
      <c r="AC499" s="52"/>
    </row>
    <row r="500" spans="1:68" ht="16.5" hidden="1" customHeight="1" x14ac:dyDescent="0.25">
      <c r="A500" s="666" t="s">
        <v>798</v>
      </c>
      <c r="B500" s="666"/>
      <c r="C500" s="666"/>
      <c r="D500" s="666"/>
      <c r="E500" s="666"/>
      <c r="F500" s="666"/>
      <c r="G500" s="666"/>
      <c r="H500" s="666"/>
      <c r="I500" s="666"/>
      <c r="J500" s="666"/>
      <c r="K500" s="666"/>
      <c r="L500" s="666"/>
      <c r="M500" s="666"/>
      <c r="N500" s="666"/>
      <c r="O500" s="666"/>
      <c r="P500" s="666"/>
      <c r="Q500" s="666"/>
      <c r="R500" s="666"/>
      <c r="S500" s="666"/>
      <c r="T500" s="666"/>
      <c r="U500" s="666"/>
      <c r="V500" s="666"/>
      <c r="W500" s="666"/>
      <c r="X500" s="666"/>
      <c r="Y500" s="666"/>
      <c r="Z500" s="666"/>
      <c r="AA500" s="62"/>
      <c r="AB500" s="62"/>
      <c r="AC500" s="62"/>
    </row>
    <row r="501" spans="1:68" ht="14.25" hidden="1" customHeight="1" x14ac:dyDescent="0.25">
      <c r="A501" s="662" t="s">
        <v>121</v>
      </c>
      <c r="B501" s="662"/>
      <c r="C501" s="662"/>
      <c r="D501" s="662"/>
      <c r="E501" s="662"/>
      <c r="F501" s="662"/>
      <c r="G501" s="662"/>
      <c r="H501" s="662"/>
      <c r="I501" s="662"/>
      <c r="J501" s="662"/>
      <c r="K501" s="662"/>
      <c r="L501" s="662"/>
      <c r="M501" s="662"/>
      <c r="N501" s="662"/>
      <c r="O501" s="662"/>
      <c r="P501" s="662"/>
      <c r="Q501" s="662"/>
      <c r="R501" s="662"/>
      <c r="S501" s="662"/>
      <c r="T501" s="662"/>
      <c r="U501" s="662"/>
      <c r="V501" s="662"/>
      <c r="W501" s="662"/>
      <c r="X501" s="662"/>
      <c r="Y501" s="662"/>
      <c r="Z501" s="662"/>
      <c r="AA501" s="63"/>
      <c r="AB501" s="63"/>
      <c r="AC501" s="63"/>
    </row>
    <row r="502" spans="1:68" ht="27" hidden="1" customHeight="1" x14ac:dyDescent="0.25">
      <c r="A502" s="60" t="s">
        <v>799</v>
      </c>
      <c r="B502" s="60" t="s">
        <v>800</v>
      </c>
      <c r="C502" s="34">
        <v>4301011769</v>
      </c>
      <c r="D502" s="648">
        <v>4607091389067</v>
      </c>
      <c r="E502" s="648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126</v>
      </c>
      <c r="L502" s="35" t="s">
        <v>46</v>
      </c>
      <c r="M502" s="36" t="s">
        <v>89</v>
      </c>
      <c r="N502" s="36"/>
      <c r="O502" s="35">
        <v>60</v>
      </c>
      <c r="P502" s="6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50"/>
      <c r="R502" s="650"/>
      <c r="S502" s="650"/>
      <c r="T502" s="651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ref="Y502:Y510" si="78">IFERROR(IF(X502="",0,CEILING((X502/$H502),1)*$H502),"")</f>
        <v>0</v>
      </c>
      <c r="Z502" s="39" t="str">
        <f t="shared" ref="Z502:Z507" si="79">IFERROR(IF(Y502=0,"",ROUNDUP(Y502/H502,0)*0.01196),"")</f>
        <v/>
      </c>
      <c r="AA502" s="65" t="s">
        <v>46</v>
      </c>
      <c r="AB502" s="66" t="s">
        <v>46</v>
      </c>
      <c r="AC502" s="591" t="s">
        <v>124</v>
      </c>
      <c r="AG502" s="75"/>
      <c r="AJ502" s="79" t="s">
        <v>46</v>
      </c>
      <c r="AK502" s="79">
        <v>0</v>
      </c>
      <c r="BB502" s="592" t="s">
        <v>66</v>
      </c>
      <c r="BM502" s="75">
        <f t="shared" ref="BM502:BM510" si="80">IFERROR(X502*I502/H502,"0")</f>
        <v>0</v>
      </c>
      <c r="BN502" s="75">
        <f t="shared" ref="BN502:BN510" si="81">IFERROR(Y502*I502/H502,"0")</f>
        <v>0</v>
      </c>
      <c r="BO502" s="75">
        <f t="shared" ref="BO502:BO510" si="82">IFERROR(1/J502*(X502/H502),"0")</f>
        <v>0</v>
      </c>
      <c r="BP502" s="75">
        <f t="shared" ref="BP502:BP510" si="83">IFERROR(1/J502*(Y502/H502),"0")</f>
        <v>0</v>
      </c>
    </row>
    <row r="503" spans="1:68" ht="16.5" hidden="1" customHeight="1" x14ac:dyDescent="0.25">
      <c r="A503" s="60" t="s">
        <v>801</v>
      </c>
      <c r="B503" s="60" t="s">
        <v>802</v>
      </c>
      <c r="C503" s="34">
        <v>4301012380</v>
      </c>
      <c r="D503" s="648">
        <v>4680115889576</v>
      </c>
      <c r="E503" s="648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126</v>
      </c>
      <c r="L503" s="35" t="s">
        <v>46</v>
      </c>
      <c r="M503" s="36" t="s">
        <v>125</v>
      </c>
      <c r="N503" s="36"/>
      <c r="O503" s="35">
        <v>60</v>
      </c>
      <c r="P503" s="6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50"/>
      <c r="R503" s="650"/>
      <c r="S503" s="650"/>
      <c r="T503" s="651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3" t="s">
        <v>803</v>
      </c>
      <c r="AG503" s="75"/>
      <c r="AJ503" s="79" t="s">
        <v>46</v>
      </c>
      <c r="AK503" s="79">
        <v>0</v>
      </c>
      <c r="BB503" s="594" t="s">
        <v>66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804</v>
      </c>
      <c r="B504" s="60" t="s">
        <v>805</v>
      </c>
      <c r="C504" s="34">
        <v>4301011961</v>
      </c>
      <c r="D504" s="648">
        <v>4680115885271</v>
      </c>
      <c r="E504" s="64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126</v>
      </c>
      <c r="L504" s="35" t="s">
        <v>46</v>
      </c>
      <c r="M504" s="36" t="s">
        <v>125</v>
      </c>
      <c r="N504" s="36"/>
      <c r="O504" s="35">
        <v>60</v>
      </c>
      <c r="P504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50"/>
      <c r="R504" s="650"/>
      <c r="S504" s="650"/>
      <c r="T504" s="651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595" t="s">
        <v>806</v>
      </c>
      <c r="AG504" s="75"/>
      <c r="AJ504" s="79" t="s">
        <v>46</v>
      </c>
      <c r="AK504" s="79">
        <v>0</v>
      </c>
      <c r="BB504" s="596" t="s">
        <v>66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807</v>
      </c>
      <c r="B505" s="60" t="s">
        <v>808</v>
      </c>
      <c r="C505" s="34">
        <v>4301011369</v>
      </c>
      <c r="D505" s="648">
        <v>4680115885226</v>
      </c>
      <c r="E505" s="64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126</v>
      </c>
      <c r="L505" s="35" t="s">
        <v>46</v>
      </c>
      <c r="M505" s="36" t="s">
        <v>125</v>
      </c>
      <c r="N505" s="36"/>
      <c r="O505" s="35">
        <v>60</v>
      </c>
      <c r="P505" s="6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50"/>
      <c r="R505" s="650"/>
      <c r="S505" s="650"/>
      <c r="T505" s="65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809</v>
      </c>
      <c r="AG505" s="75"/>
      <c r="AJ505" s="79" t="s">
        <v>46</v>
      </c>
      <c r="AK505" s="79">
        <v>0</v>
      </c>
      <c r="BB505" s="598" t="s">
        <v>66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16.5" hidden="1" customHeight="1" x14ac:dyDescent="0.25">
      <c r="A506" s="60" t="s">
        <v>810</v>
      </c>
      <c r="B506" s="60" t="s">
        <v>811</v>
      </c>
      <c r="C506" s="34">
        <v>4301011797</v>
      </c>
      <c r="D506" s="648">
        <v>4680115884502</v>
      </c>
      <c r="E506" s="64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126</v>
      </c>
      <c r="L506" s="35" t="s">
        <v>46</v>
      </c>
      <c r="M506" s="36" t="s">
        <v>89</v>
      </c>
      <c r="N506" s="36"/>
      <c r="O506" s="35">
        <v>60</v>
      </c>
      <c r="P506" s="6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50"/>
      <c r="R506" s="650"/>
      <c r="S506" s="650"/>
      <c r="T506" s="65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812</v>
      </c>
      <c r="AG506" s="75"/>
      <c r="AJ506" s="79" t="s">
        <v>46</v>
      </c>
      <c r="AK506" s="79">
        <v>0</v>
      </c>
      <c r="BB506" s="600" t="s">
        <v>66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813</v>
      </c>
      <c r="B507" s="60" t="s">
        <v>814</v>
      </c>
      <c r="C507" s="34">
        <v>4301011771</v>
      </c>
      <c r="D507" s="648">
        <v>4607091389104</v>
      </c>
      <c r="E507" s="64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126</v>
      </c>
      <c r="L507" s="35" t="s">
        <v>46</v>
      </c>
      <c r="M507" s="36" t="s">
        <v>125</v>
      </c>
      <c r="N507" s="36"/>
      <c r="O507" s="35">
        <v>60</v>
      </c>
      <c r="P507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50"/>
      <c r="R507" s="650"/>
      <c r="S507" s="650"/>
      <c r="T507" s="65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815</v>
      </c>
      <c r="AG507" s="75"/>
      <c r="AJ507" s="79" t="s">
        <v>46</v>
      </c>
      <c r="AK507" s="79">
        <v>0</v>
      </c>
      <c r="BB507" s="602" t="s">
        <v>66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816</v>
      </c>
      <c r="B508" s="60" t="s">
        <v>817</v>
      </c>
      <c r="C508" s="34">
        <v>4301012125</v>
      </c>
      <c r="D508" s="648">
        <v>4680115886391</v>
      </c>
      <c r="E508" s="648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90</v>
      </c>
      <c r="L508" s="35" t="s">
        <v>46</v>
      </c>
      <c r="M508" s="36" t="s">
        <v>89</v>
      </c>
      <c r="N508" s="36"/>
      <c r="O508" s="35">
        <v>60</v>
      </c>
      <c r="P508" s="6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50"/>
      <c r="R508" s="650"/>
      <c r="S508" s="650"/>
      <c r="T508" s="65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603" t="s">
        <v>124</v>
      </c>
      <c r="AG508" s="75"/>
      <c r="AJ508" s="79" t="s">
        <v>46</v>
      </c>
      <c r="AK508" s="79">
        <v>0</v>
      </c>
      <c r="BB508" s="604" t="s">
        <v>66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hidden="1" customHeight="1" x14ac:dyDescent="0.25">
      <c r="A509" s="60" t="s">
        <v>818</v>
      </c>
      <c r="B509" s="60" t="s">
        <v>819</v>
      </c>
      <c r="C509" s="34">
        <v>4301012048</v>
      </c>
      <c r="D509" s="648">
        <v>4680115880603</v>
      </c>
      <c r="E509" s="648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133</v>
      </c>
      <c r="L509" s="35" t="s">
        <v>46</v>
      </c>
      <c r="M509" s="36" t="s">
        <v>89</v>
      </c>
      <c r="N509" s="36"/>
      <c r="O509" s="35">
        <v>60</v>
      </c>
      <c r="P509" s="6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50"/>
      <c r="R509" s="650"/>
      <c r="S509" s="650"/>
      <c r="T509" s="651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5" t="s">
        <v>124</v>
      </c>
      <c r="AG509" s="75"/>
      <c r="AJ509" s="79" t="s">
        <v>46</v>
      </c>
      <c r="AK509" s="79">
        <v>0</v>
      </c>
      <c r="BB509" s="606" t="s">
        <v>66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4301012034</v>
      </c>
      <c r="D510" s="648">
        <v>4607091389982</v>
      </c>
      <c r="E510" s="648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133</v>
      </c>
      <c r="L510" s="35" t="s">
        <v>46</v>
      </c>
      <c r="M510" s="36" t="s">
        <v>125</v>
      </c>
      <c r="N510" s="36"/>
      <c r="O510" s="35">
        <v>60</v>
      </c>
      <c r="P510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50"/>
      <c r="R510" s="650"/>
      <c r="S510" s="650"/>
      <c r="T510" s="65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7" t="s">
        <v>815</v>
      </c>
      <c r="AG510" s="75"/>
      <c r="AJ510" s="79" t="s">
        <v>46</v>
      </c>
      <c r="AK510" s="79">
        <v>0</v>
      </c>
      <c r="BB510" s="608" t="s">
        <v>66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idden="1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2" t="s">
        <v>40</v>
      </c>
      <c r="Q511" s="653"/>
      <c r="R511" s="653"/>
      <c r="S511" s="653"/>
      <c r="T511" s="653"/>
      <c r="U511" s="653"/>
      <c r="V511" s="654"/>
      <c r="W511" s="40" t="s">
        <v>39</v>
      </c>
      <c r="X511" s="41">
        <f>IFERROR(X502/H502,"0")+IFERROR(X503/H503,"0")+IFERROR(X504/H504,"0")+IFERROR(X505/H505,"0")+IFERROR(X506/H506,"0")+IFERROR(X507/H507,"0")+IFERROR(X508/H508,"0")+IFERROR(X509/H509,"0")+IFERROR(X510/H510,"0")</f>
        <v>0</v>
      </c>
      <c r="Y511" s="41">
        <f>IFERROR(Y502/H502,"0")+IFERROR(Y503/H503,"0")+IFERROR(Y504/H504,"0")+IFERROR(Y505/H505,"0")+IFERROR(Y506/H506,"0")+IFERROR(Y507/H507,"0")+IFERROR(Y508/H508,"0")+IFERROR(Y509/H509,"0")+IFERROR(Y510/H510,"0")</f>
        <v>0</v>
      </c>
      <c r="Z511" s="41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55"/>
      <c r="B512" s="655"/>
      <c r="C512" s="655"/>
      <c r="D512" s="655"/>
      <c r="E512" s="655"/>
      <c r="F512" s="655"/>
      <c r="G512" s="655"/>
      <c r="H512" s="655"/>
      <c r="I512" s="655"/>
      <c r="J512" s="655"/>
      <c r="K512" s="655"/>
      <c r="L512" s="655"/>
      <c r="M512" s="655"/>
      <c r="N512" s="655"/>
      <c r="O512" s="656"/>
      <c r="P512" s="652" t="s">
        <v>40</v>
      </c>
      <c r="Q512" s="653"/>
      <c r="R512" s="653"/>
      <c r="S512" s="653"/>
      <c r="T512" s="653"/>
      <c r="U512" s="653"/>
      <c r="V512" s="654"/>
      <c r="W512" s="40" t="s">
        <v>0</v>
      </c>
      <c r="X512" s="41">
        <f>IFERROR(SUM(X502:X510),"0")</f>
        <v>0</v>
      </c>
      <c r="Y512" s="41">
        <f>IFERROR(SUM(Y502:Y510),"0")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62" t="s">
        <v>156</v>
      </c>
      <c r="B513" s="662"/>
      <c r="C513" s="662"/>
      <c r="D513" s="662"/>
      <c r="E513" s="662"/>
      <c r="F513" s="662"/>
      <c r="G513" s="662"/>
      <c r="H513" s="662"/>
      <c r="I513" s="662"/>
      <c r="J513" s="662"/>
      <c r="K513" s="662"/>
      <c r="L513" s="662"/>
      <c r="M513" s="662"/>
      <c r="N513" s="662"/>
      <c r="O513" s="662"/>
      <c r="P513" s="662"/>
      <c r="Q513" s="662"/>
      <c r="R513" s="662"/>
      <c r="S513" s="662"/>
      <c r="T513" s="662"/>
      <c r="U513" s="662"/>
      <c r="V513" s="662"/>
      <c r="W513" s="662"/>
      <c r="X513" s="662"/>
      <c r="Y513" s="662"/>
      <c r="Z513" s="662"/>
      <c r="AA513" s="63"/>
      <c r="AB513" s="63"/>
      <c r="AC513" s="63"/>
    </row>
    <row r="514" spans="1:68" ht="16.5" hidden="1" customHeight="1" x14ac:dyDescent="0.25">
      <c r="A514" s="60" t="s">
        <v>822</v>
      </c>
      <c r="B514" s="60" t="s">
        <v>823</v>
      </c>
      <c r="C514" s="34">
        <v>4301020334</v>
      </c>
      <c r="D514" s="648">
        <v>4607091388930</v>
      </c>
      <c r="E514" s="64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126</v>
      </c>
      <c r="L514" s="35" t="s">
        <v>46</v>
      </c>
      <c r="M514" s="36" t="s">
        <v>89</v>
      </c>
      <c r="N514" s="36"/>
      <c r="O514" s="35">
        <v>70</v>
      </c>
      <c r="P514" s="6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50"/>
      <c r="R514" s="650"/>
      <c r="S514" s="650"/>
      <c r="T514" s="651"/>
      <c r="U514" s="37" t="s">
        <v>46</v>
      </c>
      <c r="V514" s="37" t="s">
        <v>46</v>
      </c>
      <c r="W514" s="38" t="s">
        <v>0</v>
      </c>
      <c r="X514" s="56">
        <v>0</v>
      </c>
      <c r="Y514" s="53">
        <f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9" t="s">
        <v>824</v>
      </c>
      <c r="AG514" s="75"/>
      <c r="AJ514" s="79" t="s">
        <v>46</v>
      </c>
      <c r="AK514" s="79">
        <v>0</v>
      </c>
      <c r="BB514" s="610" t="s">
        <v>66</v>
      </c>
      <c r="BM514" s="75">
        <f>IFERROR(X514*I514/H514,"0")</f>
        <v>0</v>
      </c>
      <c r="BN514" s="75">
        <f>IFERROR(Y514*I514/H514,"0")</f>
        <v>0</v>
      </c>
      <c r="BO514" s="75">
        <f>IFERROR(1/J514*(X514/H514),"0")</f>
        <v>0</v>
      </c>
      <c r="BP514" s="75">
        <f>IFERROR(1/J514*(Y514/H514),"0")</f>
        <v>0</v>
      </c>
    </row>
    <row r="515" spans="1:68" ht="16.5" hidden="1" customHeight="1" x14ac:dyDescent="0.25">
      <c r="A515" s="60" t="s">
        <v>825</v>
      </c>
      <c r="B515" s="60" t="s">
        <v>826</v>
      </c>
      <c r="C515" s="34">
        <v>4301020374</v>
      </c>
      <c r="D515" s="648">
        <v>4680115886407</v>
      </c>
      <c r="E515" s="64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90</v>
      </c>
      <c r="L515" s="35" t="s">
        <v>46</v>
      </c>
      <c r="M515" s="36" t="s">
        <v>125</v>
      </c>
      <c r="N515" s="36"/>
      <c r="O515" s="35">
        <v>70</v>
      </c>
      <c r="P515" s="6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50"/>
      <c r="R515" s="650"/>
      <c r="S515" s="650"/>
      <c r="T515" s="651"/>
      <c r="U515" s="37" t="s">
        <v>46</v>
      </c>
      <c r="V515" s="37" t="s">
        <v>46</v>
      </c>
      <c r="W515" s="38" t="s">
        <v>0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1" t="s">
        <v>824</v>
      </c>
      <c r="AG515" s="75"/>
      <c r="AJ515" s="79" t="s">
        <v>46</v>
      </c>
      <c r="AK515" s="79">
        <v>0</v>
      </c>
      <c r="BB515" s="612" t="s">
        <v>66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ht="16.5" hidden="1" customHeight="1" x14ac:dyDescent="0.25">
      <c r="A516" s="60" t="s">
        <v>827</v>
      </c>
      <c r="B516" s="60" t="s">
        <v>828</v>
      </c>
      <c r="C516" s="34">
        <v>4301020385</v>
      </c>
      <c r="D516" s="648">
        <v>4680115880054</v>
      </c>
      <c r="E516" s="64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133</v>
      </c>
      <c r="L516" s="35" t="s">
        <v>46</v>
      </c>
      <c r="M516" s="36" t="s">
        <v>125</v>
      </c>
      <c r="N516" s="36"/>
      <c r="O516" s="35">
        <v>70</v>
      </c>
      <c r="P516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50"/>
      <c r="R516" s="650"/>
      <c r="S516" s="650"/>
      <c r="T516" s="651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3" t="s">
        <v>824</v>
      </c>
      <c r="AG516" s="75"/>
      <c r="AJ516" s="79" t="s">
        <v>46</v>
      </c>
      <c r="AK516" s="79">
        <v>0</v>
      </c>
      <c r="BB516" s="614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655"/>
      <c r="B517" s="655"/>
      <c r="C517" s="655"/>
      <c r="D517" s="655"/>
      <c r="E517" s="655"/>
      <c r="F517" s="655"/>
      <c r="G517" s="655"/>
      <c r="H517" s="655"/>
      <c r="I517" s="655"/>
      <c r="J517" s="655"/>
      <c r="K517" s="655"/>
      <c r="L517" s="655"/>
      <c r="M517" s="655"/>
      <c r="N517" s="655"/>
      <c r="O517" s="656"/>
      <c r="P517" s="652" t="s">
        <v>40</v>
      </c>
      <c r="Q517" s="653"/>
      <c r="R517" s="653"/>
      <c r="S517" s="653"/>
      <c r="T517" s="653"/>
      <c r="U517" s="653"/>
      <c r="V517" s="654"/>
      <c r="W517" s="40" t="s">
        <v>39</v>
      </c>
      <c r="X517" s="41">
        <f>IFERROR(X514/H514,"0")+IFERROR(X515/H515,"0")+IFERROR(X516/H516,"0")</f>
        <v>0</v>
      </c>
      <c r="Y517" s="41">
        <f>IFERROR(Y514/H514,"0")+IFERROR(Y515/H515,"0")+IFERROR(Y516/H516,"0")</f>
        <v>0</v>
      </c>
      <c r="Z517" s="41">
        <f>IFERROR(IF(Z514="",0,Z514),"0")+IFERROR(IF(Z515="",0,Z515),"0")+IFERROR(IF(Z516="",0,Z516),"0")</f>
        <v>0</v>
      </c>
      <c r="AA517" s="64"/>
      <c r="AB517" s="64"/>
      <c r="AC517" s="64"/>
    </row>
    <row r="518" spans="1:68" hidden="1" x14ac:dyDescent="0.2">
      <c r="A518" s="655"/>
      <c r="B518" s="655"/>
      <c r="C518" s="655"/>
      <c r="D518" s="655"/>
      <c r="E518" s="655"/>
      <c r="F518" s="655"/>
      <c r="G518" s="655"/>
      <c r="H518" s="655"/>
      <c r="I518" s="655"/>
      <c r="J518" s="655"/>
      <c r="K518" s="655"/>
      <c r="L518" s="655"/>
      <c r="M518" s="655"/>
      <c r="N518" s="655"/>
      <c r="O518" s="656"/>
      <c r="P518" s="652" t="s">
        <v>40</v>
      </c>
      <c r="Q518" s="653"/>
      <c r="R518" s="653"/>
      <c r="S518" s="653"/>
      <c r="T518" s="653"/>
      <c r="U518" s="653"/>
      <c r="V518" s="654"/>
      <c r="W518" s="40" t="s">
        <v>0</v>
      </c>
      <c r="X518" s="41">
        <f>IFERROR(SUM(X514:X516),"0")</f>
        <v>0</v>
      </c>
      <c r="Y518" s="41">
        <f>IFERROR(SUM(Y514:Y516),"0")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62" t="s">
        <v>76</v>
      </c>
      <c r="B519" s="662"/>
      <c r="C519" s="662"/>
      <c r="D519" s="662"/>
      <c r="E519" s="662"/>
      <c r="F519" s="662"/>
      <c r="G519" s="662"/>
      <c r="H519" s="662"/>
      <c r="I519" s="662"/>
      <c r="J519" s="662"/>
      <c r="K519" s="662"/>
      <c r="L519" s="662"/>
      <c r="M519" s="662"/>
      <c r="N519" s="662"/>
      <c r="O519" s="662"/>
      <c r="P519" s="662"/>
      <c r="Q519" s="662"/>
      <c r="R519" s="662"/>
      <c r="S519" s="662"/>
      <c r="T519" s="662"/>
      <c r="U519" s="662"/>
      <c r="V519" s="662"/>
      <c r="W519" s="662"/>
      <c r="X519" s="662"/>
      <c r="Y519" s="662"/>
      <c r="Z519" s="662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4301031349</v>
      </c>
      <c r="D520" s="648">
        <v>4680115883116</v>
      </c>
      <c r="E520" s="648"/>
      <c r="F520" s="59">
        <v>0.88</v>
      </c>
      <c r="G520" s="35">
        <v>6</v>
      </c>
      <c r="H520" s="59">
        <v>5.28</v>
      </c>
      <c r="I520" s="59">
        <v>5.63</v>
      </c>
      <c r="J520" s="35">
        <v>104</v>
      </c>
      <c r="K520" s="35" t="s">
        <v>126</v>
      </c>
      <c r="L520" s="35" t="s">
        <v>46</v>
      </c>
      <c r="M520" s="36" t="s">
        <v>125</v>
      </c>
      <c r="N520" s="36"/>
      <c r="O520" s="35">
        <v>70</v>
      </c>
      <c r="P520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50"/>
      <c r="R520" s="650"/>
      <c r="S520" s="650"/>
      <c r="T520" s="651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ref="Y520:Y526" si="84">IFERROR(IF(X520="",0,CEILING((X520/$H520),1)*$H520),"")</f>
        <v>0</v>
      </c>
      <c r="Z520" s="39" t="str">
        <f>IFERROR(IF(Y520=0,"",ROUNDUP(Y520/H520,0)*0.01196),"")</f>
        <v/>
      </c>
      <c r="AA520" s="65" t="s">
        <v>46</v>
      </c>
      <c r="AB520" s="66" t="s">
        <v>46</v>
      </c>
      <c r="AC520" s="615" t="s">
        <v>831</v>
      </c>
      <c r="AG520" s="75"/>
      <c r="AJ520" s="79" t="s">
        <v>46</v>
      </c>
      <c r="AK520" s="79">
        <v>0</v>
      </c>
      <c r="BB520" s="616" t="s">
        <v>66</v>
      </c>
      <c r="BM520" s="75">
        <f t="shared" ref="BM520:BM526" si="85">IFERROR(X520*I520/H520,"0")</f>
        <v>0</v>
      </c>
      <c r="BN520" s="75">
        <f t="shared" ref="BN520:BN526" si="86">IFERROR(Y520*I520/H520,"0")</f>
        <v>0</v>
      </c>
      <c r="BO520" s="75">
        <f t="shared" ref="BO520:BO526" si="87">IFERROR(1/J520*(X520/H520),"0")</f>
        <v>0</v>
      </c>
      <c r="BP520" s="75">
        <f t="shared" ref="BP520:BP526" si="88">IFERROR(1/J520*(Y520/H520),"0")</f>
        <v>0</v>
      </c>
    </row>
    <row r="521" spans="1:68" ht="27" hidden="1" customHeight="1" x14ac:dyDescent="0.25">
      <c r="A521" s="60" t="s">
        <v>832</v>
      </c>
      <c r="B521" s="60" t="s">
        <v>833</v>
      </c>
      <c r="C521" s="34">
        <v>4301031350</v>
      </c>
      <c r="D521" s="648">
        <v>4680115883093</v>
      </c>
      <c r="E521" s="64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126</v>
      </c>
      <c r="L521" s="35" t="s">
        <v>46</v>
      </c>
      <c r="M521" s="36" t="s">
        <v>80</v>
      </c>
      <c r="N521" s="36"/>
      <c r="O521" s="35">
        <v>70</v>
      </c>
      <c r="P521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50"/>
      <c r="R521" s="650"/>
      <c r="S521" s="650"/>
      <c r="T521" s="651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IFERROR(IF(Y521=0,"",ROUNDUP(Y521/H521,0)*0.01196),"")</f>
        <v/>
      </c>
      <c r="AA521" s="65" t="s">
        <v>46</v>
      </c>
      <c r="AB521" s="66" t="s">
        <v>46</v>
      </c>
      <c r="AC521" s="617" t="s">
        <v>834</v>
      </c>
      <c r="AG521" s="75"/>
      <c r="AJ521" s="79" t="s">
        <v>46</v>
      </c>
      <c r="AK521" s="79">
        <v>0</v>
      </c>
      <c r="BB521" s="618" t="s">
        <v>66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835</v>
      </c>
      <c r="B522" s="60" t="s">
        <v>836</v>
      </c>
      <c r="C522" s="34">
        <v>4301031353</v>
      </c>
      <c r="D522" s="648">
        <v>4680115883109</v>
      </c>
      <c r="E522" s="64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126</v>
      </c>
      <c r="L522" s="35" t="s">
        <v>46</v>
      </c>
      <c r="M522" s="36" t="s">
        <v>80</v>
      </c>
      <c r="N522" s="36"/>
      <c r="O522" s="35">
        <v>70</v>
      </c>
      <c r="P522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50"/>
      <c r="R522" s="650"/>
      <c r="S522" s="650"/>
      <c r="T522" s="651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IFERROR(IF(Y522=0,"",ROUNDUP(Y522/H522,0)*0.01196),"")</f>
        <v/>
      </c>
      <c r="AA522" s="65" t="s">
        <v>46</v>
      </c>
      <c r="AB522" s="66" t="s">
        <v>46</v>
      </c>
      <c r="AC522" s="619" t="s">
        <v>837</v>
      </c>
      <c r="AG522" s="75"/>
      <c r="AJ522" s="79" t="s">
        <v>46</v>
      </c>
      <c r="AK522" s="79">
        <v>0</v>
      </c>
      <c r="BB522" s="620" t="s">
        <v>66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838</v>
      </c>
      <c r="B523" s="60" t="s">
        <v>839</v>
      </c>
      <c r="C523" s="34">
        <v>4301031419</v>
      </c>
      <c r="D523" s="648">
        <v>4680115882072</v>
      </c>
      <c r="E523" s="64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133</v>
      </c>
      <c r="L523" s="35" t="s">
        <v>46</v>
      </c>
      <c r="M523" s="36" t="s">
        <v>125</v>
      </c>
      <c r="N523" s="36"/>
      <c r="O523" s="35">
        <v>70</v>
      </c>
      <c r="P523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50"/>
      <c r="R523" s="650"/>
      <c r="S523" s="650"/>
      <c r="T523" s="65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1" t="s">
        <v>831</v>
      </c>
      <c r="AG523" s="75"/>
      <c r="AJ523" s="79" t="s">
        <v>46</v>
      </c>
      <c r="AK523" s="79">
        <v>0</v>
      </c>
      <c r="BB523" s="622" t="s">
        <v>66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hidden="1" customHeight="1" x14ac:dyDescent="0.25">
      <c r="A524" s="60" t="s">
        <v>840</v>
      </c>
      <c r="B524" s="60" t="s">
        <v>841</v>
      </c>
      <c r="C524" s="34">
        <v>4301031352</v>
      </c>
      <c r="D524" s="648">
        <v>4680115882102</v>
      </c>
      <c r="E524" s="648"/>
      <c r="F524" s="59">
        <v>0.6</v>
      </c>
      <c r="G524" s="35">
        <v>6</v>
      </c>
      <c r="H524" s="59">
        <v>3.6</v>
      </c>
      <c r="I524" s="59">
        <v>3.79</v>
      </c>
      <c r="J524" s="35">
        <v>132</v>
      </c>
      <c r="K524" s="35" t="s">
        <v>133</v>
      </c>
      <c r="L524" s="35" t="s">
        <v>46</v>
      </c>
      <c r="M524" s="36" t="s">
        <v>80</v>
      </c>
      <c r="N524" s="36"/>
      <c r="O524" s="35">
        <v>70</v>
      </c>
      <c r="P524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50"/>
      <c r="R524" s="650"/>
      <c r="S524" s="650"/>
      <c r="T524" s="651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23" t="s">
        <v>834</v>
      </c>
      <c r="AG524" s="75"/>
      <c r="AJ524" s="79" t="s">
        <v>46</v>
      </c>
      <c r="AK524" s="79">
        <v>0</v>
      </c>
      <c r="BB524" s="624" t="s">
        <v>66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840</v>
      </c>
      <c r="B525" s="60" t="s">
        <v>842</v>
      </c>
      <c r="C525" s="34">
        <v>4301031418</v>
      </c>
      <c r="D525" s="648">
        <v>4680115882102</v>
      </c>
      <c r="E525" s="648"/>
      <c r="F525" s="59">
        <v>0.6</v>
      </c>
      <c r="G525" s="35">
        <v>8</v>
      </c>
      <c r="H525" s="59">
        <v>4.8</v>
      </c>
      <c r="I525" s="59">
        <v>6.67</v>
      </c>
      <c r="J525" s="35">
        <v>132</v>
      </c>
      <c r="K525" s="35" t="s">
        <v>133</v>
      </c>
      <c r="L525" s="35" t="s">
        <v>46</v>
      </c>
      <c r="M525" s="36" t="s">
        <v>80</v>
      </c>
      <c r="N525" s="36"/>
      <c r="O525" s="35">
        <v>70</v>
      </c>
      <c r="P525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50"/>
      <c r="R525" s="650"/>
      <c r="S525" s="650"/>
      <c r="T525" s="651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25" t="s">
        <v>834</v>
      </c>
      <c r="AG525" s="75"/>
      <c r="AJ525" s="79" t="s">
        <v>46</v>
      </c>
      <c r="AK525" s="79">
        <v>0</v>
      </c>
      <c r="BB525" s="626" t="s">
        <v>66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843</v>
      </c>
      <c r="B526" s="60" t="s">
        <v>844</v>
      </c>
      <c r="C526" s="34">
        <v>4301031417</v>
      </c>
      <c r="D526" s="648">
        <v>4680115882096</v>
      </c>
      <c r="E526" s="648"/>
      <c r="F526" s="59">
        <v>0.6</v>
      </c>
      <c r="G526" s="35">
        <v>8</v>
      </c>
      <c r="H526" s="59">
        <v>4.8</v>
      </c>
      <c r="I526" s="59">
        <v>6.67</v>
      </c>
      <c r="J526" s="35">
        <v>132</v>
      </c>
      <c r="K526" s="35" t="s">
        <v>133</v>
      </c>
      <c r="L526" s="35" t="s">
        <v>46</v>
      </c>
      <c r="M526" s="36" t="s">
        <v>80</v>
      </c>
      <c r="N526" s="36"/>
      <c r="O526" s="35">
        <v>70</v>
      </c>
      <c r="P526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50"/>
      <c r="R526" s="650"/>
      <c r="S526" s="650"/>
      <c r="T526" s="65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837</v>
      </c>
      <c r="AG526" s="75"/>
      <c r="AJ526" s="79" t="s">
        <v>46</v>
      </c>
      <c r="AK526" s="79">
        <v>0</v>
      </c>
      <c r="BB526" s="628" t="s">
        <v>66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idden="1" x14ac:dyDescent="0.2">
      <c r="A527" s="655"/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6"/>
      <c r="P527" s="652" t="s">
        <v>40</v>
      </c>
      <c r="Q527" s="653"/>
      <c r="R527" s="653"/>
      <c r="S527" s="653"/>
      <c r="T527" s="653"/>
      <c r="U527" s="653"/>
      <c r="V527" s="654"/>
      <c r="W527" s="40" t="s">
        <v>39</v>
      </c>
      <c r="X527" s="41">
        <f>IFERROR(X520/H520,"0")+IFERROR(X521/H521,"0")+IFERROR(X522/H522,"0")+IFERROR(X523/H523,"0")+IFERROR(X524/H524,"0")+IFERROR(X525/H525,"0")+IFERROR(X526/H526,"0")</f>
        <v>0</v>
      </c>
      <c r="Y527" s="41">
        <f>IFERROR(Y520/H520,"0")+IFERROR(Y521/H521,"0")+IFERROR(Y522/H522,"0")+IFERROR(Y523/H523,"0")+IFERROR(Y524/H524,"0")+IFERROR(Y525/H525,"0")+IFERROR(Y526/H526,"0")</f>
        <v>0</v>
      </c>
      <c r="Z527" s="41">
        <f>IFERROR(IF(Z520="",0,Z520),"0")+IFERROR(IF(Z521="",0,Z521),"0")+IFERROR(IF(Z522="",0,Z522),"0")+IFERROR(IF(Z523="",0,Z523),"0")+IFERROR(IF(Z524="",0,Z524),"0")+IFERROR(IF(Z525="",0,Z525),"0")+IFERROR(IF(Z526="",0,Z526),"0")</f>
        <v>0</v>
      </c>
      <c r="AA527" s="64"/>
      <c r="AB527" s="64"/>
      <c r="AC527" s="64"/>
    </row>
    <row r="528" spans="1:68" hidden="1" x14ac:dyDescent="0.2">
      <c r="A528" s="655"/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6"/>
      <c r="P528" s="652" t="s">
        <v>40</v>
      </c>
      <c r="Q528" s="653"/>
      <c r="R528" s="653"/>
      <c r="S528" s="653"/>
      <c r="T528" s="653"/>
      <c r="U528" s="653"/>
      <c r="V528" s="654"/>
      <c r="W528" s="40" t="s">
        <v>0</v>
      </c>
      <c r="X528" s="41">
        <f>IFERROR(SUM(X520:X526),"0")</f>
        <v>0</v>
      </c>
      <c r="Y528" s="41">
        <f>IFERROR(SUM(Y520:Y526),"0")</f>
        <v>0</v>
      </c>
      <c r="Z528" s="40"/>
      <c r="AA528" s="64"/>
      <c r="AB528" s="64"/>
      <c r="AC528" s="64"/>
    </row>
    <row r="529" spans="1:68" ht="27.75" hidden="1" customHeight="1" x14ac:dyDescent="0.2">
      <c r="A529" s="677" t="s">
        <v>845</v>
      </c>
      <c r="B529" s="677"/>
      <c r="C529" s="677"/>
      <c r="D529" s="677"/>
      <c r="E529" s="677"/>
      <c r="F529" s="677"/>
      <c r="G529" s="677"/>
      <c r="H529" s="677"/>
      <c r="I529" s="677"/>
      <c r="J529" s="677"/>
      <c r="K529" s="677"/>
      <c r="L529" s="677"/>
      <c r="M529" s="677"/>
      <c r="N529" s="677"/>
      <c r="O529" s="677"/>
      <c r="P529" s="677"/>
      <c r="Q529" s="677"/>
      <c r="R529" s="677"/>
      <c r="S529" s="677"/>
      <c r="T529" s="677"/>
      <c r="U529" s="677"/>
      <c r="V529" s="677"/>
      <c r="W529" s="677"/>
      <c r="X529" s="677"/>
      <c r="Y529" s="677"/>
      <c r="Z529" s="677"/>
      <c r="AA529" s="52"/>
      <c r="AB529" s="52"/>
      <c r="AC529" s="52"/>
    </row>
    <row r="530" spans="1:68" ht="16.5" hidden="1" customHeight="1" x14ac:dyDescent="0.25">
      <c r="A530" s="666" t="s">
        <v>845</v>
      </c>
      <c r="B530" s="666"/>
      <c r="C530" s="666"/>
      <c r="D530" s="666"/>
      <c r="E530" s="666"/>
      <c r="F530" s="666"/>
      <c r="G530" s="666"/>
      <c r="H530" s="666"/>
      <c r="I530" s="666"/>
      <c r="J530" s="666"/>
      <c r="K530" s="666"/>
      <c r="L530" s="666"/>
      <c r="M530" s="666"/>
      <c r="N530" s="666"/>
      <c r="O530" s="666"/>
      <c r="P530" s="666"/>
      <c r="Q530" s="666"/>
      <c r="R530" s="666"/>
      <c r="S530" s="666"/>
      <c r="T530" s="666"/>
      <c r="U530" s="666"/>
      <c r="V530" s="666"/>
      <c r="W530" s="666"/>
      <c r="X530" s="666"/>
      <c r="Y530" s="666"/>
      <c r="Z530" s="666"/>
      <c r="AA530" s="62"/>
      <c r="AB530" s="62"/>
      <c r="AC530" s="62"/>
    </row>
    <row r="531" spans="1:68" ht="14.25" hidden="1" customHeight="1" x14ac:dyDescent="0.25">
      <c r="A531" s="662" t="s">
        <v>121</v>
      </c>
      <c r="B531" s="662"/>
      <c r="C531" s="662"/>
      <c r="D531" s="662"/>
      <c r="E531" s="662"/>
      <c r="F531" s="662"/>
      <c r="G531" s="662"/>
      <c r="H531" s="662"/>
      <c r="I531" s="662"/>
      <c r="J531" s="662"/>
      <c r="K531" s="662"/>
      <c r="L531" s="662"/>
      <c r="M531" s="662"/>
      <c r="N531" s="662"/>
      <c r="O531" s="662"/>
      <c r="P531" s="662"/>
      <c r="Q531" s="662"/>
      <c r="R531" s="662"/>
      <c r="S531" s="662"/>
      <c r="T531" s="662"/>
      <c r="U531" s="662"/>
      <c r="V531" s="662"/>
      <c r="W531" s="662"/>
      <c r="X531" s="662"/>
      <c r="Y531" s="662"/>
      <c r="Z531" s="662"/>
      <c r="AA531" s="63"/>
      <c r="AB531" s="63"/>
      <c r="AC531" s="63"/>
    </row>
    <row r="532" spans="1:68" ht="27" hidden="1" customHeight="1" x14ac:dyDescent="0.25">
      <c r="A532" s="60" t="s">
        <v>846</v>
      </c>
      <c r="B532" s="60" t="s">
        <v>847</v>
      </c>
      <c r="C532" s="34">
        <v>4301011584</v>
      </c>
      <c r="D532" s="648">
        <v>4640242180564</v>
      </c>
      <c r="E532" s="648"/>
      <c r="F532" s="59">
        <v>1.5</v>
      </c>
      <c r="G532" s="35">
        <v>8</v>
      </c>
      <c r="H532" s="59">
        <v>12</v>
      </c>
      <c r="I532" s="59">
        <v>12.41</v>
      </c>
      <c r="J532" s="35">
        <v>64</v>
      </c>
      <c r="K532" s="35" t="s">
        <v>126</v>
      </c>
      <c r="L532" s="35" t="s">
        <v>46</v>
      </c>
      <c r="M532" s="36" t="s">
        <v>125</v>
      </c>
      <c r="N532" s="36"/>
      <c r="O532" s="35">
        <v>50</v>
      </c>
      <c r="P532" s="66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50"/>
      <c r="R532" s="650"/>
      <c r="S532" s="650"/>
      <c r="T532" s="651"/>
      <c r="U532" s="37" t="s">
        <v>46</v>
      </c>
      <c r="V532" s="37" t="s">
        <v>46</v>
      </c>
      <c r="W532" s="38" t="s">
        <v>0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 t="s">
        <v>46</v>
      </c>
      <c r="AB532" s="66" t="s">
        <v>46</v>
      </c>
      <c r="AC532" s="629" t="s">
        <v>848</v>
      </c>
      <c r="AG532" s="75"/>
      <c r="AJ532" s="79" t="s">
        <v>46</v>
      </c>
      <c r="AK532" s="79">
        <v>0</v>
      </c>
      <c r="BB532" s="630" t="s">
        <v>66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idden="1" x14ac:dyDescent="0.2">
      <c r="A533" s="655"/>
      <c r="B533" s="655"/>
      <c r="C533" s="655"/>
      <c r="D533" s="655"/>
      <c r="E533" s="655"/>
      <c r="F533" s="655"/>
      <c r="G533" s="655"/>
      <c r="H533" s="655"/>
      <c r="I533" s="655"/>
      <c r="J533" s="655"/>
      <c r="K533" s="655"/>
      <c r="L533" s="655"/>
      <c r="M533" s="655"/>
      <c r="N533" s="655"/>
      <c r="O533" s="656"/>
      <c r="P533" s="652" t="s">
        <v>40</v>
      </c>
      <c r="Q533" s="653"/>
      <c r="R533" s="653"/>
      <c r="S533" s="653"/>
      <c r="T533" s="653"/>
      <c r="U533" s="653"/>
      <c r="V533" s="654"/>
      <c r="W533" s="40" t="s">
        <v>39</v>
      </c>
      <c r="X533" s="41">
        <f>IFERROR(X532/H532,"0")</f>
        <v>0</v>
      </c>
      <c r="Y533" s="41">
        <f>IFERROR(Y532/H532,"0")</f>
        <v>0</v>
      </c>
      <c r="Z533" s="41">
        <f>IFERROR(IF(Z532="",0,Z532),"0")</f>
        <v>0</v>
      </c>
      <c r="AA533" s="64"/>
      <c r="AB533" s="64"/>
      <c r="AC533" s="64"/>
    </row>
    <row r="534" spans="1:68" hidden="1" x14ac:dyDescent="0.2">
      <c r="A534" s="655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2" t="s">
        <v>40</v>
      </c>
      <c r="Q534" s="653"/>
      <c r="R534" s="653"/>
      <c r="S534" s="653"/>
      <c r="T534" s="653"/>
      <c r="U534" s="653"/>
      <c r="V534" s="654"/>
      <c r="W534" s="40" t="s">
        <v>0</v>
      </c>
      <c r="X534" s="41">
        <f>IFERROR(SUM(X532:X532),"0")</f>
        <v>0</v>
      </c>
      <c r="Y534" s="41">
        <f>IFERROR(SUM(Y532:Y532),"0")</f>
        <v>0</v>
      </c>
      <c r="Z534" s="40"/>
      <c r="AA534" s="64"/>
      <c r="AB534" s="64"/>
      <c r="AC534" s="64"/>
    </row>
    <row r="535" spans="1:68" ht="14.25" hidden="1" customHeight="1" x14ac:dyDescent="0.25">
      <c r="A535" s="662" t="s">
        <v>156</v>
      </c>
      <c r="B535" s="662"/>
      <c r="C535" s="662"/>
      <c r="D535" s="662"/>
      <c r="E535" s="662"/>
      <c r="F535" s="662"/>
      <c r="G535" s="662"/>
      <c r="H535" s="662"/>
      <c r="I535" s="662"/>
      <c r="J535" s="662"/>
      <c r="K535" s="662"/>
      <c r="L535" s="662"/>
      <c r="M535" s="662"/>
      <c r="N535" s="662"/>
      <c r="O535" s="662"/>
      <c r="P535" s="662"/>
      <c r="Q535" s="662"/>
      <c r="R535" s="662"/>
      <c r="S535" s="662"/>
      <c r="T535" s="662"/>
      <c r="U535" s="662"/>
      <c r="V535" s="662"/>
      <c r="W535" s="662"/>
      <c r="X535" s="662"/>
      <c r="Y535" s="662"/>
      <c r="Z535" s="662"/>
      <c r="AA535" s="63"/>
      <c r="AB535" s="63"/>
      <c r="AC535" s="63"/>
    </row>
    <row r="536" spans="1:68" ht="27" hidden="1" customHeight="1" x14ac:dyDescent="0.25">
      <c r="A536" s="60" t="s">
        <v>849</v>
      </c>
      <c r="B536" s="60" t="s">
        <v>850</v>
      </c>
      <c r="C536" s="34">
        <v>4301020400</v>
      </c>
      <c r="D536" s="648">
        <v>4640242180519</v>
      </c>
      <c r="E536" s="648"/>
      <c r="F536" s="59">
        <v>1.5</v>
      </c>
      <c r="G536" s="35">
        <v>8</v>
      </c>
      <c r="H536" s="59">
        <v>12</v>
      </c>
      <c r="I536" s="59">
        <v>12.41</v>
      </c>
      <c r="J536" s="35">
        <v>64</v>
      </c>
      <c r="K536" s="35" t="s">
        <v>126</v>
      </c>
      <c r="L536" s="35" t="s">
        <v>46</v>
      </c>
      <c r="M536" s="36" t="s">
        <v>125</v>
      </c>
      <c r="N536" s="36"/>
      <c r="O536" s="35">
        <v>50</v>
      </c>
      <c r="P536" s="66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50"/>
      <c r="R536" s="650"/>
      <c r="S536" s="650"/>
      <c r="T536" s="651"/>
      <c r="U536" s="37" t="s">
        <v>46</v>
      </c>
      <c r="V536" s="37" t="s">
        <v>46</v>
      </c>
      <c r="W536" s="38" t="s">
        <v>0</v>
      </c>
      <c r="X536" s="56">
        <v>0</v>
      </c>
      <c r="Y536" s="53">
        <f>IFERROR(IF(X536="",0,CEILING((X536/$H536),1)*$H536),"")</f>
        <v>0</v>
      </c>
      <c r="Z536" s="39" t="str">
        <f>IFERROR(IF(Y536=0,"",ROUNDUP(Y536/H536,0)*0.01898),"")</f>
        <v/>
      </c>
      <c r="AA536" s="65" t="s">
        <v>46</v>
      </c>
      <c r="AB536" s="66" t="s">
        <v>46</v>
      </c>
      <c r="AC536" s="631" t="s">
        <v>851</v>
      </c>
      <c r="AG536" s="75"/>
      <c r="AJ536" s="79" t="s">
        <v>46</v>
      </c>
      <c r="AK536" s="79">
        <v>0</v>
      </c>
      <c r="BB536" s="632" t="s">
        <v>66</v>
      </c>
      <c r="BM536" s="75">
        <f>IFERROR(X536*I536/H536,"0")</f>
        <v>0</v>
      </c>
      <c r="BN536" s="75">
        <f>IFERROR(Y536*I536/H536,"0")</f>
        <v>0</v>
      </c>
      <c r="BO536" s="75">
        <f>IFERROR(1/J536*(X536/H536),"0")</f>
        <v>0</v>
      </c>
      <c r="BP536" s="75">
        <f>IFERROR(1/J536*(Y536/H536),"0")</f>
        <v>0</v>
      </c>
    </row>
    <row r="537" spans="1:68" hidden="1" x14ac:dyDescent="0.2">
      <c r="A537" s="655"/>
      <c r="B537" s="655"/>
      <c r="C537" s="655"/>
      <c r="D537" s="655"/>
      <c r="E537" s="655"/>
      <c r="F537" s="655"/>
      <c r="G537" s="655"/>
      <c r="H537" s="655"/>
      <c r="I537" s="655"/>
      <c r="J537" s="655"/>
      <c r="K537" s="655"/>
      <c r="L537" s="655"/>
      <c r="M537" s="655"/>
      <c r="N537" s="655"/>
      <c r="O537" s="656"/>
      <c r="P537" s="652" t="s">
        <v>40</v>
      </c>
      <c r="Q537" s="653"/>
      <c r="R537" s="653"/>
      <c r="S537" s="653"/>
      <c r="T537" s="653"/>
      <c r="U537" s="653"/>
      <c r="V537" s="654"/>
      <c r="W537" s="40" t="s">
        <v>39</v>
      </c>
      <c r="X537" s="41">
        <f>IFERROR(X536/H536,"0")</f>
        <v>0</v>
      </c>
      <c r="Y537" s="41">
        <f>IFERROR(Y536/H536,"0")</f>
        <v>0</v>
      </c>
      <c r="Z537" s="41">
        <f>IFERROR(IF(Z536="",0,Z536),"0")</f>
        <v>0</v>
      </c>
      <c r="AA537" s="64"/>
      <c r="AB537" s="64"/>
      <c r="AC537" s="64"/>
    </row>
    <row r="538" spans="1:68" hidden="1" x14ac:dyDescent="0.2">
      <c r="A538" s="655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2" t="s">
        <v>40</v>
      </c>
      <c r="Q538" s="653"/>
      <c r="R538" s="653"/>
      <c r="S538" s="653"/>
      <c r="T538" s="653"/>
      <c r="U538" s="653"/>
      <c r="V538" s="654"/>
      <c r="W538" s="40" t="s">
        <v>0</v>
      </c>
      <c r="X538" s="41">
        <f>IFERROR(SUM(X536:X536),"0")</f>
        <v>0</v>
      </c>
      <c r="Y538" s="41">
        <f>IFERROR(SUM(Y536:Y536),"0")</f>
        <v>0</v>
      </c>
      <c r="Z538" s="40"/>
      <c r="AA538" s="64"/>
      <c r="AB538" s="64"/>
      <c r="AC538" s="64"/>
    </row>
    <row r="539" spans="1:68" ht="14.25" hidden="1" customHeight="1" x14ac:dyDescent="0.25">
      <c r="A539" s="662" t="s">
        <v>76</v>
      </c>
      <c r="B539" s="662"/>
      <c r="C539" s="662"/>
      <c r="D539" s="662"/>
      <c r="E539" s="662"/>
      <c r="F539" s="662"/>
      <c r="G539" s="662"/>
      <c r="H539" s="662"/>
      <c r="I539" s="662"/>
      <c r="J539" s="662"/>
      <c r="K539" s="662"/>
      <c r="L539" s="662"/>
      <c r="M539" s="662"/>
      <c r="N539" s="662"/>
      <c r="O539" s="662"/>
      <c r="P539" s="662"/>
      <c r="Q539" s="662"/>
      <c r="R539" s="662"/>
      <c r="S539" s="662"/>
      <c r="T539" s="662"/>
      <c r="U539" s="662"/>
      <c r="V539" s="662"/>
      <c r="W539" s="662"/>
      <c r="X539" s="662"/>
      <c r="Y539" s="662"/>
      <c r="Z539" s="662"/>
      <c r="AA539" s="63"/>
      <c r="AB539" s="63"/>
      <c r="AC539" s="63"/>
    </row>
    <row r="540" spans="1:68" ht="27" hidden="1" customHeight="1" x14ac:dyDescent="0.25">
      <c r="A540" s="60" t="s">
        <v>852</v>
      </c>
      <c r="B540" s="60" t="s">
        <v>853</v>
      </c>
      <c r="C540" s="34">
        <v>4301031500</v>
      </c>
      <c r="D540" s="648">
        <v>4640242180595</v>
      </c>
      <c r="E540" s="648"/>
      <c r="F540" s="59">
        <v>0.7</v>
      </c>
      <c r="G540" s="35">
        <v>6</v>
      </c>
      <c r="H540" s="59">
        <v>4.2</v>
      </c>
      <c r="I540" s="59">
        <v>4.45</v>
      </c>
      <c r="J540" s="35">
        <v>132</v>
      </c>
      <c r="K540" s="35" t="s">
        <v>133</v>
      </c>
      <c r="L540" s="35" t="s">
        <v>46</v>
      </c>
      <c r="M540" s="36" t="s">
        <v>80</v>
      </c>
      <c r="N540" s="36"/>
      <c r="O540" s="35">
        <v>40</v>
      </c>
      <c r="P540" s="6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50"/>
      <c r="R540" s="650"/>
      <c r="S540" s="650"/>
      <c r="T540" s="651"/>
      <c r="U540" s="37" t="s">
        <v>46</v>
      </c>
      <c r="V540" s="37" t="s">
        <v>46</v>
      </c>
      <c r="W540" s="38" t="s">
        <v>0</v>
      </c>
      <c r="X540" s="56">
        <v>0</v>
      </c>
      <c r="Y540" s="53">
        <f>IFERROR(IF(X540="",0,CEILING((X540/$H540),1)*$H540),"")</f>
        <v>0</v>
      </c>
      <c r="Z540" s="39" t="str">
        <f>IFERROR(IF(Y540=0,"",ROUNDUP(Y540/H540,0)*0.00902),"")</f>
        <v/>
      </c>
      <c r="AA540" s="65" t="s">
        <v>46</v>
      </c>
      <c r="AB540" s="66" t="s">
        <v>46</v>
      </c>
      <c r="AC540" s="633" t="s">
        <v>854</v>
      </c>
      <c r="AG540" s="75"/>
      <c r="AJ540" s="79" t="s">
        <v>46</v>
      </c>
      <c r="AK540" s="79">
        <v>0</v>
      </c>
      <c r="BB540" s="634" t="s">
        <v>66</v>
      </c>
      <c r="BM540" s="75">
        <f>IFERROR(X540*I540/H540,"0")</f>
        <v>0</v>
      </c>
      <c r="BN540" s="75">
        <f>IFERROR(Y540*I540/H540,"0")</f>
        <v>0</v>
      </c>
      <c r="BO540" s="75">
        <f>IFERROR(1/J540*(X540/H540),"0")</f>
        <v>0</v>
      </c>
      <c r="BP540" s="75">
        <f>IFERROR(1/J540*(Y540/H540),"0")</f>
        <v>0</v>
      </c>
    </row>
    <row r="541" spans="1:68" hidden="1" x14ac:dyDescent="0.2">
      <c r="A541" s="655"/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6"/>
      <c r="P541" s="652" t="s">
        <v>40</v>
      </c>
      <c r="Q541" s="653"/>
      <c r="R541" s="653"/>
      <c r="S541" s="653"/>
      <c r="T541" s="653"/>
      <c r="U541" s="653"/>
      <c r="V541" s="654"/>
      <c r="W541" s="40" t="s">
        <v>39</v>
      </c>
      <c r="X541" s="41">
        <f>IFERROR(X540/H540,"0")</f>
        <v>0</v>
      </c>
      <c r="Y541" s="41">
        <f>IFERROR(Y540/H540,"0")</f>
        <v>0</v>
      </c>
      <c r="Z541" s="41">
        <f>IFERROR(IF(Z540="",0,Z540),"0")</f>
        <v>0</v>
      </c>
      <c r="AA541" s="64"/>
      <c r="AB541" s="64"/>
      <c r="AC541" s="64"/>
    </row>
    <row r="542" spans="1:68" hidden="1" x14ac:dyDescent="0.2">
      <c r="A542" s="655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2" t="s">
        <v>40</v>
      </c>
      <c r="Q542" s="653"/>
      <c r="R542" s="653"/>
      <c r="S542" s="653"/>
      <c r="T542" s="653"/>
      <c r="U542" s="653"/>
      <c r="V542" s="654"/>
      <c r="W542" s="40" t="s">
        <v>0</v>
      </c>
      <c r="X542" s="41">
        <f>IFERROR(SUM(X540:X540),"0")</f>
        <v>0</v>
      </c>
      <c r="Y542" s="41">
        <f>IFERROR(SUM(Y540:Y540),"0")</f>
        <v>0</v>
      </c>
      <c r="Z542" s="40"/>
      <c r="AA542" s="64"/>
      <c r="AB542" s="64"/>
      <c r="AC542" s="64"/>
    </row>
    <row r="543" spans="1:68" ht="14.25" hidden="1" customHeight="1" x14ac:dyDescent="0.25">
      <c r="A543" s="662" t="s">
        <v>85</v>
      </c>
      <c r="B543" s="662"/>
      <c r="C543" s="662"/>
      <c r="D543" s="662"/>
      <c r="E543" s="662"/>
      <c r="F543" s="662"/>
      <c r="G543" s="662"/>
      <c r="H543" s="662"/>
      <c r="I543" s="662"/>
      <c r="J543" s="662"/>
      <c r="K543" s="662"/>
      <c r="L543" s="662"/>
      <c r="M543" s="662"/>
      <c r="N543" s="662"/>
      <c r="O543" s="662"/>
      <c r="P543" s="662"/>
      <c r="Q543" s="662"/>
      <c r="R543" s="662"/>
      <c r="S543" s="662"/>
      <c r="T543" s="662"/>
      <c r="U543" s="662"/>
      <c r="V543" s="662"/>
      <c r="W543" s="662"/>
      <c r="X543" s="662"/>
      <c r="Y543" s="662"/>
      <c r="Z543" s="662"/>
      <c r="AA543" s="63"/>
      <c r="AB543" s="63"/>
      <c r="AC543" s="63"/>
    </row>
    <row r="544" spans="1:68" ht="27" hidden="1" customHeight="1" x14ac:dyDescent="0.25">
      <c r="A544" s="60" t="s">
        <v>855</v>
      </c>
      <c r="B544" s="60" t="s">
        <v>856</v>
      </c>
      <c r="C544" s="34">
        <v>4301052043</v>
      </c>
      <c r="D544" s="648">
        <v>4640242180533</v>
      </c>
      <c r="E544" s="648"/>
      <c r="F544" s="59">
        <v>1.5</v>
      </c>
      <c r="G544" s="35">
        <v>6</v>
      </c>
      <c r="H544" s="59">
        <v>9</v>
      </c>
      <c r="I544" s="59">
        <v>9.4939999999999998</v>
      </c>
      <c r="J544" s="35">
        <v>64</v>
      </c>
      <c r="K544" s="35" t="s">
        <v>126</v>
      </c>
      <c r="L544" s="35" t="s">
        <v>46</v>
      </c>
      <c r="M544" s="36" t="s">
        <v>89</v>
      </c>
      <c r="N544" s="36"/>
      <c r="O544" s="35">
        <v>45</v>
      </c>
      <c r="P544" s="66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50"/>
      <c r="R544" s="650"/>
      <c r="S544" s="650"/>
      <c r="T544" s="651"/>
      <c r="U544" s="37" t="s">
        <v>46</v>
      </c>
      <c r="V544" s="37" t="s">
        <v>46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46</v>
      </c>
      <c r="AB544" s="66" t="s">
        <v>46</v>
      </c>
      <c r="AC544" s="635" t="s">
        <v>857</v>
      </c>
      <c r="AG544" s="75"/>
      <c r="AJ544" s="79" t="s">
        <v>46</v>
      </c>
      <c r="AK544" s="79">
        <v>0</v>
      </c>
      <c r="BB544" s="636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idden="1" x14ac:dyDescent="0.2">
      <c r="A545" s="655"/>
      <c r="B545" s="655"/>
      <c r="C545" s="655"/>
      <c r="D545" s="655"/>
      <c r="E545" s="655"/>
      <c r="F545" s="655"/>
      <c r="G545" s="655"/>
      <c r="H545" s="655"/>
      <c r="I545" s="655"/>
      <c r="J545" s="655"/>
      <c r="K545" s="655"/>
      <c r="L545" s="655"/>
      <c r="M545" s="655"/>
      <c r="N545" s="655"/>
      <c r="O545" s="656"/>
      <c r="P545" s="652" t="s">
        <v>40</v>
      </c>
      <c r="Q545" s="653"/>
      <c r="R545" s="653"/>
      <c r="S545" s="653"/>
      <c r="T545" s="653"/>
      <c r="U545" s="653"/>
      <c r="V545" s="654"/>
      <c r="W545" s="40" t="s">
        <v>39</v>
      </c>
      <c r="X545" s="41">
        <f>IFERROR(X544/H544,"0")</f>
        <v>0</v>
      </c>
      <c r="Y545" s="41">
        <f>IFERROR(Y544/H544,"0")</f>
        <v>0</v>
      </c>
      <c r="Z545" s="41">
        <f>IFERROR(IF(Z544="",0,Z544),"0")</f>
        <v>0</v>
      </c>
      <c r="AA545" s="64"/>
      <c r="AB545" s="64"/>
      <c r="AC545" s="64"/>
    </row>
    <row r="546" spans="1:68" hidden="1" x14ac:dyDescent="0.2">
      <c r="A546" s="655"/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6"/>
      <c r="P546" s="652" t="s">
        <v>40</v>
      </c>
      <c r="Q546" s="653"/>
      <c r="R546" s="653"/>
      <c r="S546" s="653"/>
      <c r="T546" s="653"/>
      <c r="U546" s="653"/>
      <c r="V546" s="654"/>
      <c r="W546" s="40" t="s">
        <v>0</v>
      </c>
      <c r="X546" s="41">
        <f>IFERROR(SUM(X544:X544),"0")</f>
        <v>0</v>
      </c>
      <c r="Y546" s="41">
        <f>IFERROR(SUM(Y544:Y544),"0")</f>
        <v>0</v>
      </c>
      <c r="Z546" s="40"/>
      <c r="AA546" s="64"/>
      <c r="AB546" s="64"/>
      <c r="AC546" s="64"/>
    </row>
    <row r="547" spans="1:68" ht="14.25" hidden="1" customHeight="1" x14ac:dyDescent="0.25">
      <c r="A547" s="662" t="s">
        <v>174</v>
      </c>
      <c r="B547" s="662"/>
      <c r="C547" s="662"/>
      <c r="D547" s="662"/>
      <c r="E547" s="662"/>
      <c r="F547" s="662"/>
      <c r="G547" s="662"/>
      <c r="H547" s="662"/>
      <c r="I547" s="662"/>
      <c r="J547" s="662"/>
      <c r="K547" s="662"/>
      <c r="L547" s="662"/>
      <c r="M547" s="662"/>
      <c r="N547" s="662"/>
      <c r="O547" s="662"/>
      <c r="P547" s="662"/>
      <c r="Q547" s="662"/>
      <c r="R547" s="662"/>
      <c r="S547" s="662"/>
      <c r="T547" s="662"/>
      <c r="U547" s="662"/>
      <c r="V547" s="662"/>
      <c r="W547" s="662"/>
      <c r="X547" s="662"/>
      <c r="Y547" s="662"/>
      <c r="Z547" s="662"/>
      <c r="AA547" s="63"/>
      <c r="AB547" s="63"/>
      <c r="AC547" s="63"/>
    </row>
    <row r="548" spans="1:68" ht="27" hidden="1" customHeight="1" x14ac:dyDescent="0.25">
      <c r="A548" s="60" t="s">
        <v>858</v>
      </c>
      <c r="B548" s="60" t="s">
        <v>859</v>
      </c>
      <c r="C548" s="34">
        <v>4301060535</v>
      </c>
      <c r="D548" s="648">
        <v>4640242180120</v>
      </c>
      <c r="E548" s="648"/>
      <c r="F548" s="59">
        <v>1.5</v>
      </c>
      <c r="G548" s="35">
        <v>6</v>
      </c>
      <c r="H548" s="59">
        <v>9</v>
      </c>
      <c r="I548" s="59">
        <v>9.41</v>
      </c>
      <c r="J548" s="35">
        <v>64</v>
      </c>
      <c r="K548" s="35" t="s">
        <v>126</v>
      </c>
      <c r="L548" s="35" t="s">
        <v>46</v>
      </c>
      <c r="M548" s="36" t="s">
        <v>89</v>
      </c>
      <c r="N548" s="36"/>
      <c r="O548" s="35">
        <v>40</v>
      </c>
      <c r="P548" s="66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50"/>
      <c r="R548" s="650"/>
      <c r="S548" s="650"/>
      <c r="T548" s="651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7" t="s">
        <v>860</v>
      </c>
      <c r="AG548" s="75"/>
      <c r="AJ548" s="79" t="s">
        <v>46</v>
      </c>
      <c r="AK548" s="79">
        <v>0</v>
      </c>
      <c r="BB548" s="638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t="27" hidden="1" customHeight="1" x14ac:dyDescent="0.25">
      <c r="A549" s="60" t="s">
        <v>861</v>
      </c>
      <c r="B549" s="60" t="s">
        <v>862</v>
      </c>
      <c r="C549" s="34">
        <v>4301060536</v>
      </c>
      <c r="D549" s="648">
        <v>4640242180137</v>
      </c>
      <c r="E549" s="648"/>
      <c r="F549" s="59">
        <v>1.5</v>
      </c>
      <c r="G549" s="35">
        <v>6</v>
      </c>
      <c r="H549" s="59">
        <v>9</v>
      </c>
      <c r="I549" s="59">
        <v>9.41</v>
      </c>
      <c r="J549" s="35">
        <v>64</v>
      </c>
      <c r="K549" s="35" t="s">
        <v>126</v>
      </c>
      <c r="L549" s="35" t="s">
        <v>46</v>
      </c>
      <c r="M549" s="36" t="s">
        <v>89</v>
      </c>
      <c r="N549" s="36"/>
      <c r="O549" s="35">
        <v>40</v>
      </c>
      <c r="P549" s="6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50"/>
      <c r="R549" s="650"/>
      <c r="S549" s="650"/>
      <c r="T549" s="651"/>
      <c r="U549" s="37" t="s">
        <v>46</v>
      </c>
      <c r="V549" s="37" t="s">
        <v>46</v>
      </c>
      <c r="W549" s="38" t="s">
        <v>0</v>
      </c>
      <c r="X549" s="56">
        <v>0</v>
      </c>
      <c r="Y549" s="53">
        <f>IFERROR(IF(X549="",0,CEILING((X549/$H549),1)*$H549),"")</f>
        <v>0</v>
      </c>
      <c r="Z549" s="39" t="str">
        <f>IFERROR(IF(Y549=0,"",ROUNDUP(Y549/H549,0)*0.01898),"")</f>
        <v/>
      </c>
      <c r="AA549" s="65" t="s">
        <v>46</v>
      </c>
      <c r="AB549" s="66" t="s">
        <v>46</v>
      </c>
      <c r="AC549" s="639" t="s">
        <v>863</v>
      </c>
      <c r="AG549" s="75"/>
      <c r="AJ549" s="79" t="s">
        <v>46</v>
      </c>
      <c r="AK549" s="79">
        <v>0</v>
      </c>
      <c r="BB549" s="640" t="s">
        <v>66</v>
      </c>
      <c r="BM549" s="75">
        <f>IFERROR(X549*I549/H549,"0")</f>
        <v>0</v>
      </c>
      <c r="BN549" s="75">
        <f>IFERROR(Y549*I549/H549,"0")</f>
        <v>0</v>
      </c>
      <c r="BO549" s="75">
        <f>IFERROR(1/J549*(X549/H549),"0")</f>
        <v>0</v>
      </c>
      <c r="BP549" s="75">
        <f>IFERROR(1/J549*(Y549/H549),"0")</f>
        <v>0</v>
      </c>
    </row>
    <row r="550" spans="1:68" hidden="1" x14ac:dyDescent="0.2">
      <c r="A550" s="655"/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6"/>
      <c r="P550" s="652" t="s">
        <v>40</v>
      </c>
      <c r="Q550" s="653"/>
      <c r="R550" s="653"/>
      <c r="S550" s="653"/>
      <c r="T550" s="653"/>
      <c r="U550" s="653"/>
      <c r="V550" s="654"/>
      <c r="W550" s="40" t="s">
        <v>39</v>
      </c>
      <c r="X550" s="41">
        <f>IFERROR(X548/H548,"0")+IFERROR(X549/H549,"0")</f>
        <v>0</v>
      </c>
      <c r="Y550" s="41">
        <f>IFERROR(Y548/H548,"0")+IFERROR(Y549/H549,"0")</f>
        <v>0</v>
      </c>
      <c r="Z550" s="41">
        <f>IFERROR(IF(Z548="",0,Z548),"0")+IFERROR(IF(Z549="",0,Z549),"0")</f>
        <v>0</v>
      </c>
      <c r="AA550" s="64"/>
      <c r="AB550" s="64"/>
      <c r="AC550" s="64"/>
    </row>
    <row r="551" spans="1:68" hidden="1" x14ac:dyDescent="0.2">
      <c r="A551" s="655"/>
      <c r="B551" s="655"/>
      <c r="C551" s="655"/>
      <c r="D551" s="655"/>
      <c r="E551" s="655"/>
      <c r="F551" s="655"/>
      <c r="G551" s="655"/>
      <c r="H551" s="655"/>
      <c r="I551" s="655"/>
      <c r="J551" s="655"/>
      <c r="K551" s="655"/>
      <c r="L551" s="655"/>
      <c r="M551" s="655"/>
      <c r="N551" s="655"/>
      <c r="O551" s="656"/>
      <c r="P551" s="652" t="s">
        <v>40</v>
      </c>
      <c r="Q551" s="653"/>
      <c r="R551" s="653"/>
      <c r="S551" s="653"/>
      <c r="T551" s="653"/>
      <c r="U551" s="653"/>
      <c r="V551" s="654"/>
      <c r="W551" s="40" t="s">
        <v>0</v>
      </c>
      <c r="X551" s="41">
        <f>IFERROR(SUM(X548:X549),"0")</f>
        <v>0</v>
      </c>
      <c r="Y551" s="41">
        <f>IFERROR(SUM(Y548:Y549),"0")</f>
        <v>0</v>
      </c>
      <c r="Z551" s="40"/>
      <c r="AA551" s="64"/>
      <c r="AB551" s="64"/>
      <c r="AC551" s="64"/>
    </row>
    <row r="552" spans="1:68" ht="16.5" hidden="1" customHeight="1" x14ac:dyDescent="0.25">
      <c r="A552" s="666" t="s">
        <v>864</v>
      </c>
      <c r="B552" s="666"/>
      <c r="C552" s="666"/>
      <c r="D552" s="666"/>
      <c r="E552" s="666"/>
      <c r="F552" s="666"/>
      <c r="G552" s="666"/>
      <c r="H552" s="666"/>
      <c r="I552" s="666"/>
      <c r="J552" s="666"/>
      <c r="K552" s="666"/>
      <c r="L552" s="666"/>
      <c r="M552" s="666"/>
      <c r="N552" s="666"/>
      <c r="O552" s="666"/>
      <c r="P552" s="666"/>
      <c r="Q552" s="666"/>
      <c r="R552" s="666"/>
      <c r="S552" s="666"/>
      <c r="T552" s="666"/>
      <c r="U552" s="666"/>
      <c r="V552" s="666"/>
      <c r="W552" s="666"/>
      <c r="X552" s="666"/>
      <c r="Y552" s="666"/>
      <c r="Z552" s="666"/>
      <c r="AA552" s="62"/>
      <c r="AB552" s="62"/>
      <c r="AC552" s="62"/>
    </row>
    <row r="553" spans="1:68" ht="14.25" hidden="1" customHeight="1" x14ac:dyDescent="0.25">
      <c r="A553" s="662" t="s">
        <v>156</v>
      </c>
      <c r="B553" s="662"/>
      <c r="C553" s="662"/>
      <c r="D553" s="662"/>
      <c r="E553" s="662"/>
      <c r="F553" s="662"/>
      <c r="G553" s="662"/>
      <c r="H553" s="662"/>
      <c r="I553" s="662"/>
      <c r="J553" s="662"/>
      <c r="K553" s="662"/>
      <c r="L553" s="662"/>
      <c r="M553" s="662"/>
      <c r="N553" s="662"/>
      <c r="O553" s="662"/>
      <c r="P553" s="662"/>
      <c r="Q553" s="662"/>
      <c r="R553" s="662"/>
      <c r="S553" s="662"/>
      <c r="T553" s="662"/>
      <c r="U553" s="662"/>
      <c r="V553" s="662"/>
      <c r="W553" s="662"/>
      <c r="X553" s="662"/>
      <c r="Y553" s="662"/>
      <c r="Z553" s="662"/>
      <c r="AA553" s="63"/>
      <c r="AB553" s="63"/>
      <c r="AC553" s="63"/>
    </row>
    <row r="554" spans="1:68" ht="27" hidden="1" customHeight="1" x14ac:dyDescent="0.25">
      <c r="A554" s="60" t="s">
        <v>865</v>
      </c>
      <c r="B554" s="60" t="s">
        <v>866</v>
      </c>
      <c r="C554" s="34">
        <v>4301020428</v>
      </c>
      <c r="D554" s="648">
        <v>4640242180090</v>
      </c>
      <c r="E554" s="648"/>
      <c r="F554" s="59">
        <v>1.5</v>
      </c>
      <c r="G554" s="35">
        <v>8</v>
      </c>
      <c r="H554" s="59">
        <v>12</v>
      </c>
      <c r="I554" s="59">
        <v>12.41</v>
      </c>
      <c r="J554" s="35">
        <v>64</v>
      </c>
      <c r="K554" s="35" t="s">
        <v>126</v>
      </c>
      <c r="L554" s="35" t="s">
        <v>46</v>
      </c>
      <c r="M554" s="36" t="s">
        <v>125</v>
      </c>
      <c r="N554" s="36"/>
      <c r="O554" s="35">
        <v>50</v>
      </c>
      <c r="P554" s="66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50"/>
      <c r="R554" s="650"/>
      <c r="S554" s="650"/>
      <c r="T554" s="651"/>
      <c r="U554" s="37" t="s">
        <v>46</v>
      </c>
      <c r="V554" s="37" t="s">
        <v>46</v>
      </c>
      <c r="W554" s="38" t="s">
        <v>0</v>
      </c>
      <c r="X554" s="56">
        <v>0</v>
      </c>
      <c r="Y554" s="53">
        <f>IFERROR(IF(X554="",0,CEILING((X554/$H554),1)*$H554),"")</f>
        <v>0</v>
      </c>
      <c r="Z554" s="39" t="str">
        <f>IFERROR(IF(Y554=0,"",ROUNDUP(Y554/H554,0)*0.01898),"")</f>
        <v/>
      </c>
      <c r="AA554" s="65" t="s">
        <v>46</v>
      </c>
      <c r="AB554" s="66" t="s">
        <v>46</v>
      </c>
      <c r="AC554" s="641" t="s">
        <v>867</v>
      </c>
      <c r="AG554" s="75"/>
      <c r="AJ554" s="79" t="s">
        <v>46</v>
      </c>
      <c r="AK554" s="79">
        <v>0</v>
      </c>
      <c r="BB554" s="642" t="s">
        <v>66</v>
      </c>
      <c r="BM554" s="75">
        <f>IFERROR(X554*I554/H554,"0")</f>
        <v>0</v>
      </c>
      <c r="BN554" s="75">
        <f>IFERROR(Y554*I554/H554,"0")</f>
        <v>0</v>
      </c>
      <c r="BO554" s="75">
        <f>IFERROR(1/J554*(X554/H554),"0")</f>
        <v>0</v>
      </c>
      <c r="BP554" s="75">
        <f>IFERROR(1/J554*(Y554/H554),"0")</f>
        <v>0</v>
      </c>
    </row>
    <row r="555" spans="1:68" ht="27" hidden="1" customHeight="1" x14ac:dyDescent="0.25">
      <c r="A555" s="60" t="s">
        <v>868</v>
      </c>
      <c r="B555" s="60" t="s">
        <v>869</v>
      </c>
      <c r="C555" s="34">
        <v>4301020441</v>
      </c>
      <c r="D555" s="648">
        <v>4680115889798</v>
      </c>
      <c r="E555" s="648"/>
      <c r="F555" s="59">
        <v>1.5</v>
      </c>
      <c r="G555" s="35">
        <v>8</v>
      </c>
      <c r="H555" s="59">
        <v>12</v>
      </c>
      <c r="I555" s="59">
        <v>12.41</v>
      </c>
      <c r="J555" s="35">
        <v>64</v>
      </c>
      <c r="K555" s="35" t="s">
        <v>126</v>
      </c>
      <c r="L555" s="35" t="s">
        <v>46</v>
      </c>
      <c r="M555" s="36" t="s">
        <v>125</v>
      </c>
      <c r="N555" s="36"/>
      <c r="O555" s="35">
        <v>50</v>
      </c>
      <c r="P555" s="649" t="s">
        <v>870</v>
      </c>
      <c r="Q555" s="650"/>
      <c r="R555" s="650"/>
      <c r="S555" s="650"/>
      <c r="T555" s="65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43" t="s">
        <v>871</v>
      </c>
      <c r="AG555" s="75"/>
      <c r="AJ555" s="79" t="s">
        <v>46</v>
      </c>
      <c r="AK555" s="79">
        <v>0</v>
      </c>
      <c r="BB555" s="644" t="s">
        <v>66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idden="1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6"/>
      <c r="P556" s="652" t="s">
        <v>40</v>
      </c>
      <c r="Q556" s="653"/>
      <c r="R556" s="653"/>
      <c r="S556" s="653"/>
      <c r="T556" s="653"/>
      <c r="U556" s="653"/>
      <c r="V556" s="654"/>
      <c r="W556" s="40" t="s">
        <v>39</v>
      </c>
      <c r="X556" s="41">
        <f>IFERROR(X554/H554,"0")+IFERROR(X555/H555,"0")</f>
        <v>0</v>
      </c>
      <c r="Y556" s="41">
        <f>IFERROR(Y554/H554,"0")+IFERROR(Y555/H555,"0")</f>
        <v>0</v>
      </c>
      <c r="Z556" s="41">
        <f>IFERROR(IF(Z554="",0,Z554),"0")+IFERROR(IF(Z555="",0,Z555),"0")</f>
        <v>0</v>
      </c>
      <c r="AA556" s="64"/>
      <c r="AB556" s="64"/>
      <c r="AC556" s="64"/>
    </row>
    <row r="557" spans="1:68" hidden="1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6"/>
      <c r="P557" s="652" t="s">
        <v>40</v>
      </c>
      <c r="Q557" s="653"/>
      <c r="R557" s="653"/>
      <c r="S557" s="653"/>
      <c r="T557" s="653"/>
      <c r="U557" s="653"/>
      <c r="V557" s="654"/>
      <c r="W557" s="40" t="s">
        <v>0</v>
      </c>
      <c r="X557" s="41">
        <f>IFERROR(SUM(X554:X555),"0")</f>
        <v>0</v>
      </c>
      <c r="Y557" s="41">
        <f>IFERROR(SUM(Y554:Y555),"0")</f>
        <v>0</v>
      </c>
      <c r="Z557" s="40"/>
      <c r="AA557" s="64"/>
      <c r="AB557" s="64"/>
      <c r="AC557" s="64"/>
    </row>
    <row r="558" spans="1:68" ht="15" customHeight="1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660"/>
      <c r="P558" s="657" t="s">
        <v>33</v>
      </c>
      <c r="Q558" s="658"/>
      <c r="R558" s="658"/>
      <c r="S558" s="658"/>
      <c r="T558" s="658"/>
      <c r="U558" s="658"/>
      <c r="V558" s="659"/>
      <c r="W558" s="40" t="s">
        <v>0</v>
      </c>
      <c r="X558" s="41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670</v>
      </c>
      <c r="Y558" s="41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675</v>
      </c>
      <c r="Z558" s="40"/>
      <c r="AA558" s="64"/>
      <c r="AB558" s="64"/>
      <c r="AC558" s="64"/>
    </row>
    <row r="559" spans="1:68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60"/>
      <c r="P559" s="657" t="s">
        <v>34</v>
      </c>
      <c r="Q559" s="658"/>
      <c r="R559" s="658"/>
      <c r="S559" s="658"/>
      <c r="T559" s="658"/>
      <c r="U559" s="658"/>
      <c r="V559" s="659"/>
      <c r="W559" s="40" t="s">
        <v>0</v>
      </c>
      <c r="X559" s="41">
        <f>IFERROR(SUM(BM22:BM555),"0")</f>
        <v>690.99333333333334</v>
      </c>
      <c r="Y559" s="41">
        <f>IFERROR(SUM(BN22:BN555),"0")</f>
        <v>696.15000000000009</v>
      </c>
      <c r="Z559" s="40"/>
      <c r="AA559" s="64"/>
      <c r="AB559" s="64"/>
      <c r="AC559" s="6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60"/>
      <c r="P560" s="657" t="s">
        <v>35</v>
      </c>
      <c r="Q560" s="658"/>
      <c r="R560" s="658"/>
      <c r="S560" s="658"/>
      <c r="T560" s="658"/>
      <c r="U560" s="658"/>
      <c r="V560" s="659"/>
      <c r="W560" s="40" t="s">
        <v>20</v>
      </c>
      <c r="X560" s="42">
        <f>ROUNDUP(SUM(BO22:BO555),0)</f>
        <v>1</v>
      </c>
      <c r="Y560" s="42">
        <f>ROUNDUP(SUM(BP22:BP555),0)</f>
        <v>1</v>
      </c>
      <c r="Z560" s="40"/>
      <c r="AA560" s="64"/>
      <c r="AB560" s="64"/>
      <c r="AC560" s="64"/>
    </row>
    <row r="561" spans="1:32" x14ac:dyDescent="0.2">
      <c r="A561" s="655"/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60"/>
      <c r="P561" s="657" t="s">
        <v>36</v>
      </c>
      <c r="Q561" s="658"/>
      <c r="R561" s="658"/>
      <c r="S561" s="658"/>
      <c r="T561" s="658"/>
      <c r="U561" s="658"/>
      <c r="V561" s="659"/>
      <c r="W561" s="40" t="s">
        <v>0</v>
      </c>
      <c r="X561" s="41">
        <f>GrossWeightTotal+PalletQtyTotal*25</f>
        <v>715.99333333333334</v>
      </c>
      <c r="Y561" s="41">
        <f>GrossWeightTotalR+PalletQtyTotalR*25</f>
        <v>721.15000000000009</v>
      </c>
      <c r="Z561" s="40"/>
      <c r="AA561" s="64"/>
      <c r="AB561" s="64"/>
      <c r="AC561" s="64"/>
    </row>
    <row r="562" spans="1:32" x14ac:dyDescent="0.2">
      <c r="A562" s="655"/>
      <c r="B562" s="655"/>
      <c r="C562" s="655"/>
      <c r="D562" s="655"/>
      <c r="E562" s="655"/>
      <c r="F562" s="655"/>
      <c r="G562" s="655"/>
      <c r="H562" s="655"/>
      <c r="I562" s="655"/>
      <c r="J562" s="655"/>
      <c r="K562" s="655"/>
      <c r="L562" s="655"/>
      <c r="M562" s="655"/>
      <c r="N562" s="655"/>
      <c r="O562" s="660"/>
      <c r="P562" s="657" t="s">
        <v>37</v>
      </c>
      <c r="Q562" s="658"/>
      <c r="R562" s="658"/>
      <c r="S562" s="658"/>
      <c r="T562" s="658"/>
      <c r="U562" s="658"/>
      <c r="V562" s="659"/>
      <c r="W562" s="40" t="s">
        <v>20</v>
      </c>
      <c r="X562" s="41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44.666666666666671</v>
      </c>
      <c r="Y562" s="41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45</v>
      </c>
      <c r="Z562" s="40"/>
      <c r="AA562" s="64"/>
      <c r="AB562" s="64"/>
      <c r="AC562" s="64"/>
    </row>
    <row r="563" spans="1:32" ht="14.25" hidden="1" x14ac:dyDescent="0.2">
      <c r="A563" s="655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60"/>
      <c r="P563" s="657" t="s">
        <v>38</v>
      </c>
      <c r="Q563" s="658"/>
      <c r="R563" s="658"/>
      <c r="S563" s="658"/>
      <c r="T563" s="658"/>
      <c r="U563" s="658"/>
      <c r="V563" s="659"/>
      <c r="W563" s="43" t="s">
        <v>52</v>
      </c>
      <c r="X563" s="40"/>
      <c r="Y563" s="40"/>
      <c r="Z563" s="40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0.9787499999999999</v>
      </c>
      <c r="AA563" s="64"/>
      <c r="AB563" s="64"/>
      <c r="AC563" s="64"/>
    </row>
    <row r="564" spans="1:32" ht="13.5" thickBot="1" x14ac:dyDescent="0.25"/>
    <row r="565" spans="1:32" ht="27" thickTop="1" thickBot="1" x14ac:dyDescent="0.25">
      <c r="A565" s="44" t="s">
        <v>9</v>
      </c>
      <c r="B565" s="80" t="s">
        <v>75</v>
      </c>
      <c r="C565" s="80" t="s">
        <v>45</v>
      </c>
      <c r="D565" s="645" t="s">
        <v>119</v>
      </c>
      <c r="E565" s="645" t="s">
        <v>119</v>
      </c>
      <c r="F565" s="645" t="s">
        <v>119</v>
      </c>
      <c r="G565" s="645" t="s">
        <v>119</v>
      </c>
      <c r="H565" s="645" t="s">
        <v>119</v>
      </c>
      <c r="I565" s="645" t="s">
        <v>119</v>
      </c>
      <c r="J565" s="645" t="s">
        <v>119</v>
      </c>
      <c r="K565" s="645" t="s">
        <v>343</v>
      </c>
      <c r="L565" s="645" t="s">
        <v>343</v>
      </c>
      <c r="M565" s="645" t="s">
        <v>343</v>
      </c>
      <c r="N565" s="661"/>
      <c r="O565" s="645" t="s">
        <v>343</v>
      </c>
      <c r="P565" s="645" t="s">
        <v>343</v>
      </c>
      <c r="Q565" s="645" t="s">
        <v>343</v>
      </c>
      <c r="R565" s="645" t="s">
        <v>343</v>
      </c>
      <c r="S565" s="645" t="s">
        <v>343</v>
      </c>
      <c r="T565" s="645" t="s">
        <v>343</v>
      </c>
      <c r="U565" s="645" t="s">
        <v>343</v>
      </c>
      <c r="V565" s="645" t="s">
        <v>343</v>
      </c>
      <c r="W565" s="645" t="s">
        <v>696</v>
      </c>
      <c r="X565" s="645" t="s">
        <v>696</v>
      </c>
      <c r="Y565" s="645" t="s">
        <v>762</v>
      </c>
      <c r="Z565" s="645" t="s">
        <v>762</v>
      </c>
      <c r="AA565" s="80" t="s">
        <v>798</v>
      </c>
      <c r="AB565" s="645" t="s">
        <v>845</v>
      </c>
      <c r="AC565" s="645" t="s">
        <v>845</v>
      </c>
      <c r="AF565" s="1"/>
    </row>
    <row r="566" spans="1:32" ht="14.25" customHeight="1" thickTop="1" x14ac:dyDescent="0.2">
      <c r="A566" s="646" t="s">
        <v>10</v>
      </c>
      <c r="B566" s="645" t="s">
        <v>75</v>
      </c>
      <c r="C566" s="645" t="s">
        <v>103</v>
      </c>
      <c r="D566" s="645" t="s">
        <v>120</v>
      </c>
      <c r="E566" s="645" t="s">
        <v>136</v>
      </c>
      <c r="F566" s="645" t="s">
        <v>182</v>
      </c>
      <c r="G566" s="645" t="s">
        <v>206</v>
      </c>
      <c r="H566" s="645" t="s">
        <v>246</v>
      </c>
      <c r="I566" s="645" t="s">
        <v>259</v>
      </c>
      <c r="J566" s="645" t="s">
        <v>119</v>
      </c>
      <c r="K566" s="645" t="s">
        <v>344</v>
      </c>
      <c r="L566" s="645" t="s">
        <v>365</v>
      </c>
      <c r="M566" s="645" t="s">
        <v>439</v>
      </c>
      <c r="N566" s="1"/>
      <c r="O566" s="645" t="s">
        <v>507</v>
      </c>
      <c r="P566" s="645" t="s">
        <v>540</v>
      </c>
      <c r="Q566" s="645" t="s">
        <v>556</v>
      </c>
      <c r="R566" s="645" t="s">
        <v>565</v>
      </c>
      <c r="S566" s="645" t="s">
        <v>586</v>
      </c>
      <c r="T566" s="645" t="s">
        <v>595</v>
      </c>
      <c r="U566" s="645" t="s">
        <v>679</v>
      </c>
      <c r="V566" s="645" t="s">
        <v>686</v>
      </c>
      <c r="W566" s="645" t="s">
        <v>697</v>
      </c>
      <c r="X566" s="645" t="s">
        <v>746</v>
      </c>
      <c r="Y566" s="645" t="s">
        <v>763</v>
      </c>
      <c r="Z566" s="645" t="s">
        <v>786</v>
      </c>
      <c r="AA566" s="645" t="s">
        <v>798</v>
      </c>
      <c r="AB566" s="645" t="s">
        <v>845</v>
      </c>
      <c r="AC566" s="645" t="s">
        <v>864</v>
      </c>
      <c r="AF566" s="1"/>
    </row>
    <row r="567" spans="1:32" ht="13.5" thickBot="1" x14ac:dyDescent="0.25">
      <c r="A567" s="647"/>
      <c r="B567" s="645"/>
      <c r="C567" s="645"/>
      <c r="D567" s="645"/>
      <c r="E567" s="645"/>
      <c r="F567" s="645"/>
      <c r="G567" s="645"/>
      <c r="H567" s="645"/>
      <c r="I567" s="645"/>
      <c r="J567" s="645"/>
      <c r="K567" s="645"/>
      <c r="L567" s="645"/>
      <c r="M567" s="645"/>
      <c r="N567" s="1"/>
      <c r="O567" s="645"/>
      <c r="P567" s="645"/>
      <c r="Q567" s="645"/>
      <c r="R567" s="645"/>
      <c r="S567" s="645"/>
      <c r="T567" s="645"/>
      <c r="U567" s="645"/>
      <c r="V567" s="645"/>
      <c r="W567" s="645"/>
      <c r="X567" s="645"/>
      <c r="Y567" s="645"/>
      <c r="Z567" s="645"/>
      <c r="AA567" s="645"/>
      <c r="AB567" s="645"/>
      <c r="AC567" s="645"/>
      <c r="AF567" s="1"/>
    </row>
    <row r="568" spans="1:32" ht="18" thickTop="1" thickBot="1" x14ac:dyDescent="0.25">
      <c r="A568" s="44" t="s">
        <v>13</v>
      </c>
      <c r="B568" s="50">
        <f>IFERROR(Y22*1,"0")+IFERROR(Y23*1,"0")+IFERROR(Y27*1,"0")+IFERROR(Y28*1,"0")+IFERROR(Y29*1,"0")+IFERROR(Y30*1,"0")+IFERROR(Y31*1,"0")</f>
        <v>0</v>
      </c>
      <c r="C568" s="50">
        <f>IFERROR(Y37*1,"0")+IFERROR(Y38*1,"0")+IFERROR(Y39*1,"0")+IFERROR(Y40*1,"0")+IFERROR(Y41*1,"0")</f>
        <v>0</v>
      </c>
      <c r="D568" s="50">
        <f>IFERROR(Y47*1,"0")+IFERROR(Y48*1,"0")+IFERROR(Y49*1,"0")+IFERROR(Y50*1,"0")</f>
        <v>0</v>
      </c>
      <c r="E568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8" s="50">
        <f>IFERROR(Y85*1,"0")+IFERROR(Y86*1,"0")+IFERROR(Y87*1,"0")+IFERROR(Y88*1,"0")+IFERROR(Y89*1,"0")+IFERROR(Y90*1,"0")+IFERROR(Y94*1,"0")+IFERROR(Y95*1,"0")+IFERROR(Y96*1,"0")+IFERROR(Y97*1,"0")</f>
        <v>0</v>
      </c>
      <c r="G568" s="50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68" s="50">
        <f>IFERROR(Y131*1,"0")+IFERROR(Y132*1,"0")+IFERROR(Y136*1,"0")+IFERROR(Y137*1,"0")+IFERROR(Y141*1,"0")+IFERROR(Y142*1,"0")</f>
        <v>0</v>
      </c>
      <c r="I568" s="50">
        <f>IFERROR(Y147*1,"0")+IFERROR(Y148*1,"0")+IFERROR(Y149*1,"0")+IFERROR(Y150*1,"0")+IFERROR(Y151*1,"0")+IFERROR(Y152*1,"0")+IFERROR(Y156*1,"0")</f>
        <v>0</v>
      </c>
      <c r="J568" s="50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0</v>
      </c>
      <c r="K568" s="50">
        <f>IFERROR(Y203*1,"0")+IFERROR(Y204*1,"0")+IFERROR(Y205*1,"0")+IFERROR(Y206*1,"0")+IFERROR(Y207*1,"0")+IFERROR(Y208*1,"0")+IFERROR(Y209*1,"0")</f>
        <v>0</v>
      </c>
      <c r="L568" s="50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0</v>
      </c>
      <c r="M568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8" s="1"/>
      <c r="O568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8" s="50">
        <f>IFERROR(Y326*1,"0")+IFERROR(Y327*1,"0")+IFERROR(Y328*1,"0")+IFERROR(Y329*1,"0")+IFERROR(Y330*1,"0")</f>
        <v>0</v>
      </c>
      <c r="Q568" s="50">
        <f>IFERROR(Y335*1,"0")+IFERROR(Y336*1,"0")+IFERROR(Y337*1,"0")</f>
        <v>0</v>
      </c>
      <c r="R568" s="50">
        <f>IFERROR(Y342*1,"0")+IFERROR(Y343*1,"0")+IFERROR(Y344*1,"0")+IFERROR(Y345*1,"0")+IFERROR(Y346*1,"0")+IFERROR(Y350*1,"0")+IFERROR(Y351*1,"0")</f>
        <v>0</v>
      </c>
      <c r="S568" s="50">
        <f>IFERROR(Y356*1,"0")+IFERROR(Y357*1,"0")+IFERROR(Y358*1,"0")</f>
        <v>0</v>
      </c>
      <c r="T568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8" s="50">
        <f>IFERROR(Y415*1,"0")+IFERROR(Y416*1,"0")</f>
        <v>0</v>
      </c>
      <c r="V568" s="50">
        <f>IFERROR(Y421*1,"0")+IFERROR(Y422*1,"0")+IFERROR(Y423*1,"0")</f>
        <v>0</v>
      </c>
      <c r="W568" s="50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675</v>
      </c>
      <c r="X568" s="50">
        <f>IFERROR(Y458*1,"0")+IFERROR(Y459*1,"0")+IFERROR(Y463*1,"0")+IFERROR(Y467*1,"0")+IFERROR(Y468*1,"0")+IFERROR(Y469*1,"0")</f>
        <v>0</v>
      </c>
      <c r="Y568" s="50">
        <f>IFERROR(Y475*1,"0")+IFERROR(Y476*1,"0")+IFERROR(Y477*1,"0")+IFERROR(Y478*1,"0")+IFERROR(Y479*1,"0")+IFERROR(Y480*1,"0")+IFERROR(Y484*1,"0")+IFERROR(Y485*1,"0")</f>
        <v>0</v>
      </c>
      <c r="Z568" s="50">
        <f>IFERROR(Y490*1,"0")+IFERROR(Y494*1,"0")+IFERROR(Y495*1,"0")+IFERROR(Y496*1,"0")</f>
        <v>0</v>
      </c>
      <c r="AA568" s="50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0</v>
      </c>
      <c r="AB568" s="50">
        <f>IFERROR(Y532*1,"0")+IFERROR(Y536*1,"0")+IFERROR(Y540*1,"0")+IFERROR(Y544*1,"0")+IFERROR(Y548*1,"0")+IFERROR(Y549*1,"0")</f>
        <v>0</v>
      </c>
      <c r="AC568" s="50">
        <f>IFERROR(Y554*1,"0")+IFERROR(Y555*1,"0")</f>
        <v>0</v>
      </c>
      <c r="AF568" s="1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270,00"/>
        <filter val="400,00"/>
        <filter val="44,67"/>
        <filter val="670,00"/>
        <filter val="690,99"/>
        <filter val="715,99"/>
      </filters>
    </filterColumn>
    <filterColumn colId="29" showButton="0"/>
    <filterColumn colId="30" showButton="0"/>
  </autoFilter>
  <dataConsolidate/>
  <mergeCells count="100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D156:E156"/>
    <mergeCell ref="P156:T156"/>
    <mergeCell ref="P157:V157"/>
    <mergeCell ref="A157:O158"/>
    <mergeCell ref="P158:V158"/>
    <mergeCell ref="A159:Z159"/>
    <mergeCell ref="A160:Z160"/>
    <mergeCell ref="D161:E161"/>
    <mergeCell ref="P161:T161"/>
    <mergeCell ref="D162:E162"/>
    <mergeCell ref="P162:T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A212:Z212"/>
    <mergeCell ref="A213:Z213"/>
    <mergeCell ref="D214:E214"/>
    <mergeCell ref="P214:T214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A428:Z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A474:Z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P486:V486"/>
    <mergeCell ref="A486:O487"/>
    <mergeCell ref="P487:V487"/>
    <mergeCell ref="A488:Z488"/>
    <mergeCell ref="A489:Z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D495:E495"/>
    <mergeCell ref="P495:T495"/>
    <mergeCell ref="D496:E496"/>
    <mergeCell ref="P496:T496"/>
    <mergeCell ref="P497:V497"/>
    <mergeCell ref="A497:O498"/>
    <mergeCell ref="P498:V498"/>
    <mergeCell ref="A499:Z499"/>
    <mergeCell ref="A500:Z500"/>
    <mergeCell ref="A501:Z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P527:V527"/>
    <mergeCell ref="A527:O528"/>
    <mergeCell ref="P528:V528"/>
    <mergeCell ref="A529:Z529"/>
    <mergeCell ref="A530:Z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D549:E549"/>
    <mergeCell ref="P549:T549"/>
    <mergeCell ref="P550:V550"/>
    <mergeCell ref="A550:O551"/>
    <mergeCell ref="P551:V551"/>
    <mergeCell ref="A552:Z552"/>
    <mergeCell ref="A553:Z553"/>
    <mergeCell ref="D554:E554"/>
    <mergeCell ref="P554:T554"/>
    <mergeCell ref="D555:E555"/>
    <mergeCell ref="P555:T555"/>
    <mergeCell ref="P556:V556"/>
    <mergeCell ref="A556:O557"/>
    <mergeCell ref="P557:V557"/>
    <mergeCell ref="P558:V558"/>
    <mergeCell ref="A558:O563"/>
    <mergeCell ref="P559:V559"/>
    <mergeCell ref="P560:V560"/>
    <mergeCell ref="P561:V561"/>
    <mergeCell ref="P562:V562"/>
    <mergeCell ref="P563:V563"/>
    <mergeCell ref="D565:J565"/>
    <mergeCell ref="K565:V565"/>
    <mergeCell ref="W565:X565"/>
    <mergeCell ref="Y565:Z565"/>
    <mergeCell ref="AB565:AC565"/>
    <mergeCell ref="S566:S567"/>
    <mergeCell ref="T566:T567"/>
    <mergeCell ref="U566:U567"/>
    <mergeCell ref="V566:V567"/>
    <mergeCell ref="W566:W567"/>
    <mergeCell ref="X566:X567"/>
    <mergeCell ref="Y566:Y567"/>
    <mergeCell ref="Z566:Z567"/>
    <mergeCell ref="AA566:AA567"/>
    <mergeCell ref="AB566:AB567"/>
    <mergeCell ref="AC566:AC567"/>
    <mergeCell ref="A566:A567"/>
    <mergeCell ref="B566:B567"/>
    <mergeCell ref="C566:C567"/>
    <mergeCell ref="D566:D567"/>
    <mergeCell ref="E566:E567"/>
    <mergeCell ref="F566:F567"/>
    <mergeCell ref="G566:G567"/>
    <mergeCell ref="H566:H567"/>
    <mergeCell ref="I566:I567"/>
    <mergeCell ref="J566:J567"/>
    <mergeCell ref="K566:K567"/>
    <mergeCell ref="L566:L567"/>
    <mergeCell ref="M566:M567"/>
    <mergeCell ref="O566:O567"/>
    <mergeCell ref="P566:P567"/>
    <mergeCell ref="Q566:Q567"/>
    <mergeCell ref="R566:R567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872</v>
      </c>
      <c r="H1" s="9"/>
    </row>
    <row r="3" spans="2:8" x14ac:dyDescent="0.2">
      <c r="B3" s="51" t="s">
        <v>873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874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875</v>
      </c>
      <c r="C6" s="51" t="s">
        <v>876</v>
      </c>
      <c r="D6" s="51" t="s">
        <v>877</v>
      </c>
      <c r="E6" s="51" t="s">
        <v>46</v>
      </c>
    </row>
    <row r="7" spans="2:8" x14ac:dyDescent="0.2">
      <c r="B7" s="51" t="s">
        <v>878</v>
      </c>
      <c r="C7" s="51" t="s">
        <v>879</v>
      </c>
      <c r="D7" s="51" t="s">
        <v>880</v>
      </c>
      <c r="E7" s="51" t="s">
        <v>46</v>
      </c>
    </row>
    <row r="8" spans="2:8" x14ac:dyDescent="0.2">
      <c r="B8" s="51" t="s">
        <v>881</v>
      </c>
      <c r="C8" s="51" t="s">
        <v>882</v>
      </c>
      <c r="D8" s="51" t="s">
        <v>883</v>
      </c>
      <c r="E8" s="51" t="s">
        <v>46</v>
      </c>
    </row>
    <row r="9" spans="2:8" x14ac:dyDescent="0.2">
      <c r="B9" s="51" t="s">
        <v>884</v>
      </c>
      <c r="C9" s="51" t="s">
        <v>885</v>
      </c>
      <c r="D9" s="51" t="s">
        <v>886</v>
      </c>
      <c r="E9" s="51" t="s">
        <v>46</v>
      </c>
    </row>
    <row r="10" spans="2:8" x14ac:dyDescent="0.2">
      <c r="B10" s="51" t="s">
        <v>887</v>
      </c>
      <c r="C10" s="51" t="s">
        <v>888</v>
      </c>
      <c r="D10" s="51" t="s">
        <v>889</v>
      </c>
      <c r="E10" s="51" t="s">
        <v>46</v>
      </c>
    </row>
    <row r="11" spans="2:8" x14ac:dyDescent="0.2">
      <c r="B11" s="51" t="s">
        <v>890</v>
      </c>
      <c r="C11" s="51" t="s">
        <v>891</v>
      </c>
      <c r="D11" s="51" t="s">
        <v>892</v>
      </c>
      <c r="E11" s="51" t="s">
        <v>46</v>
      </c>
    </row>
    <row r="12" spans="2:8" x14ac:dyDescent="0.2">
      <c r="B12" s="51" t="s">
        <v>893</v>
      </c>
      <c r="C12" s="51" t="s">
        <v>894</v>
      </c>
      <c r="D12" s="51" t="s">
        <v>895</v>
      </c>
      <c r="E12" s="51" t="s">
        <v>46</v>
      </c>
    </row>
    <row r="14" spans="2:8" x14ac:dyDescent="0.2">
      <c r="B14" s="51" t="s">
        <v>896</v>
      </c>
      <c r="C14" s="51" t="s">
        <v>876</v>
      </c>
      <c r="D14" s="51" t="s">
        <v>46</v>
      </c>
      <c r="E14" s="51" t="s">
        <v>46</v>
      </c>
    </row>
    <row r="16" spans="2:8" x14ac:dyDescent="0.2">
      <c r="B16" s="51" t="s">
        <v>897</v>
      </c>
      <c r="C16" s="51" t="s">
        <v>879</v>
      </c>
      <c r="D16" s="51" t="s">
        <v>46</v>
      </c>
      <c r="E16" s="51" t="s">
        <v>46</v>
      </c>
    </row>
    <row r="18" spans="2:5" x14ac:dyDescent="0.2">
      <c r="B18" s="51" t="s">
        <v>898</v>
      </c>
      <c r="C18" s="51" t="s">
        <v>882</v>
      </c>
      <c r="D18" s="51" t="s">
        <v>46</v>
      </c>
      <c r="E18" s="51" t="s">
        <v>46</v>
      </c>
    </row>
    <row r="20" spans="2:5" x14ac:dyDescent="0.2">
      <c r="B20" s="51" t="s">
        <v>899</v>
      </c>
      <c r="C20" s="51" t="s">
        <v>885</v>
      </c>
      <c r="D20" s="51" t="s">
        <v>46</v>
      </c>
      <c r="E20" s="51" t="s">
        <v>46</v>
      </c>
    </row>
    <row r="22" spans="2:5" x14ac:dyDescent="0.2">
      <c r="B22" s="51" t="s">
        <v>900</v>
      </c>
      <c r="C22" s="51" t="s">
        <v>888</v>
      </c>
      <c r="D22" s="51" t="s">
        <v>46</v>
      </c>
      <c r="E22" s="51" t="s">
        <v>46</v>
      </c>
    </row>
    <row r="24" spans="2:5" x14ac:dyDescent="0.2">
      <c r="B24" s="51" t="s">
        <v>901</v>
      </c>
      <c r="C24" s="51" t="s">
        <v>891</v>
      </c>
      <c r="D24" s="51" t="s">
        <v>46</v>
      </c>
      <c r="E24" s="51" t="s">
        <v>46</v>
      </c>
    </row>
    <row r="26" spans="2:5" x14ac:dyDescent="0.2">
      <c r="B26" s="51" t="s">
        <v>902</v>
      </c>
      <c r="C26" s="51" t="s">
        <v>894</v>
      </c>
      <c r="D26" s="51" t="s">
        <v>46</v>
      </c>
      <c r="E26" s="51" t="s">
        <v>46</v>
      </c>
    </row>
    <row r="28" spans="2:5" x14ac:dyDescent="0.2">
      <c r="B28" s="51" t="s">
        <v>903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904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905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906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907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908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909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910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911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912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913</v>
      </c>
      <c r="C38" s="51" t="s">
        <v>46</v>
      </c>
      <c r="D38" s="51" t="s">
        <v>46</v>
      </c>
      <c r="E38" s="51" t="s">
        <v>46</v>
      </c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2026-09-12T08:04:15Z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