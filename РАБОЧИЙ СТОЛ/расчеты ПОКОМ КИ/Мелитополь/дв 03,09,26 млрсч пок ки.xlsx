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9A2A1C3E-1D8C-4BC5-9CDC-E4F407D8EC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31,08" sheetId="2" r:id="rId2"/>
    <sheet name="недогруз 07,09" sheetId="3" r:id="rId3"/>
  </sheets>
  <externalReferences>
    <externalReference r:id="rId4"/>
  </externalReferences>
  <definedNames>
    <definedName name="_xlnm._FilterDatabase" localSheetId="0" hidden="1">Sheet!$A$3:$AO$134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P5" i="1" l="1"/>
  <c r="H28" i="2" l="1"/>
  <c r="B28" i="2"/>
  <c r="H27" i="2"/>
  <c r="B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V134" i="1"/>
  <c r="AN134" i="1" s="1"/>
  <c r="T134" i="1"/>
  <c r="AB134" i="1" s="1"/>
  <c r="L134" i="1"/>
  <c r="V133" i="1"/>
  <c r="AN133" i="1" s="1"/>
  <c r="T133" i="1"/>
  <c r="AB133" i="1" s="1"/>
  <c r="L133" i="1"/>
  <c r="V132" i="1"/>
  <c r="AN132" i="1" s="1"/>
  <c r="T132" i="1"/>
  <c r="AB132" i="1" s="1"/>
  <c r="L132" i="1"/>
  <c r="AN131" i="1"/>
  <c r="Z131" i="1"/>
  <c r="Y131" i="1"/>
  <c r="T131" i="1"/>
  <c r="AA131" i="1" s="1"/>
  <c r="L131" i="1"/>
  <c r="V130" i="1"/>
  <c r="AN130" i="1" s="1"/>
  <c r="T130" i="1"/>
  <c r="AB130" i="1" s="1"/>
  <c r="L130" i="1"/>
  <c r="V129" i="1"/>
  <c r="AN129" i="1" s="1"/>
  <c r="T129" i="1"/>
  <c r="AB129" i="1" s="1"/>
  <c r="L129" i="1"/>
  <c r="V128" i="1"/>
  <c r="AN128" i="1" s="1"/>
  <c r="T128" i="1"/>
  <c r="AB128" i="1" s="1"/>
  <c r="L128" i="1"/>
  <c r="V127" i="1"/>
  <c r="AN127" i="1" s="1"/>
  <c r="T127" i="1"/>
  <c r="AB127" i="1" s="1"/>
  <c r="L127" i="1"/>
  <c r="AN126" i="1"/>
  <c r="Z126" i="1"/>
  <c r="Y126" i="1"/>
  <c r="F126" i="1"/>
  <c r="E126" i="1"/>
  <c r="L126" i="1" s="1"/>
  <c r="AN125" i="1"/>
  <c r="Z125" i="1"/>
  <c r="Y125" i="1"/>
  <c r="T125" i="1"/>
  <c r="AB125" i="1" s="1"/>
  <c r="L125" i="1"/>
  <c r="V124" i="1"/>
  <c r="AN124" i="1" s="1"/>
  <c r="T124" i="1"/>
  <c r="AB124" i="1" s="1"/>
  <c r="L124" i="1"/>
  <c r="V123" i="1"/>
  <c r="AN123" i="1" s="1"/>
  <c r="T123" i="1"/>
  <c r="AB123" i="1" s="1"/>
  <c r="L123" i="1"/>
  <c r="V122" i="1"/>
  <c r="AN122" i="1" s="1"/>
  <c r="T122" i="1"/>
  <c r="AB122" i="1" s="1"/>
  <c r="L122" i="1"/>
  <c r="T121" i="1"/>
  <c r="AB121" i="1" s="1"/>
  <c r="L121" i="1"/>
  <c r="V120" i="1"/>
  <c r="AN120" i="1" s="1"/>
  <c r="T120" i="1"/>
  <c r="L120" i="1"/>
  <c r="V119" i="1"/>
  <c r="AN119" i="1" s="1"/>
  <c r="T119" i="1"/>
  <c r="L119" i="1"/>
  <c r="V118" i="1"/>
  <c r="AN118" i="1" s="1"/>
  <c r="T118" i="1"/>
  <c r="L118" i="1"/>
  <c r="V117" i="1"/>
  <c r="AN117" i="1" s="1"/>
  <c r="T117" i="1"/>
  <c r="L117" i="1"/>
  <c r="V116" i="1"/>
  <c r="AN116" i="1" s="1"/>
  <c r="T116" i="1"/>
  <c r="L116" i="1"/>
  <c r="AN115" i="1"/>
  <c r="Z115" i="1"/>
  <c r="Y115" i="1"/>
  <c r="T115" i="1"/>
  <c r="AB115" i="1" s="1"/>
  <c r="L115" i="1"/>
  <c r="AN114" i="1"/>
  <c r="Z114" i="1"/>
  <c r="Y114" i="1"/>
  <c r="T114" i="1"/>
  <c r="AB114" i="1" s="1"/>
  <c r="L114" i="1"/>
  <c r="AN113" i="1"/>
  <c r="Z113" i="1"/>
  <c r="Y113" i="1"/>
  <c r="T113" i="1"/>
  <c r="AB113" i="1" s="1"/>
  <c r="L113" i="1"/>
  <c r="V112" i="1"/>
  <c r="AN112" i="1" s="1"/>
  <c r="T112" i="1"/>
  <c r="AB112" i="1" s="1"/>
  <c r="L112" i="1"/>
  <c r="V111" i="1"/>
  <c r="AN111" i="1" s="1"/>
  <c r="T111" i="1"/>
  <c r="AB111" i="1" s="1"/>
  <c r="L111" i="1"/>
  <c r="AN110" i="1"/>
  <c r="Z110" i="1"/>
  <c r="Y110" i="1"/>
  <c r="T110" i="1"/>
  <c r="AB110" i="1" s="1"/>
  <c r="L110" i="1"/>
  <c r="AN109" i="1"/>
  <c r="Z109" i="1"/>
  <c r="Y109" i="1"/>
  <c r="T109" i="1"/>
  <c r="AB109" i="1" s="1"/>
  <c r="L109" i="1"/>
  <c r="AN108" i="1"/>
  <c r="Z108" i="1"/>
  <c r="Y108" i="1"/>
  <c r="T108" i="1"/>
  <c r="AB108" i="1" s="1"/>
  <c r="L108" i="1"/>
  <c r="V107" i="1"/>
  <c r="AN107" i="1" s="1"/>
  <c r="T107" i="1"/>
  <c r="L107" i="1"/>
  <c r="V106" i="1"/>
  <c r="AN106" i="1" s="1"/>
  <c r="T106" i="1"/>
  <c r="L106" i="1"/>
  <c r="V105" i="1"/>
  <c r="AN105" i="1" s="1"/>
  <c r="T105" i="1"/>
  <c r="L105" i="1"/>
  <c r="V104" i="1"/>
  <c r="AN104" i="1" s="1"/>
  <c r="T104" i="1"/>
  <c r="L104" i="1"/>
  <c r="V103" i="1"/>
  <c r="AN103" i="1" s="1"/>
  <c r="T103" i="1"/>
  <c r="L103" i="1"/>
  <c r="V102" i="1"/>
  <c r="AN102" i="1" s="1"/>
  <c r="T102" i="1"/>
  <c r="L102" i="1"/>
  <c r="V101" i="1"/>
  <c r="AN101" i="1" s="1"/>
  <c r="T101" i="1"/>
  <c r="L101" i="1"/>
  <c r="V100" i="1"/>
  <c r="AN100" i="1" s="1"/>
  <c r="T100" i="1"/>
  <c r="AB100" i="1" s="1"/>
  <c r="L100" i="1"/>
  <c r="V99" i="1"/>
  <c r="AN99" i="1" s="1"/>
  <c r="T99" i="1"/>
  <c r="AB99" i="1" s="1"/>
  <c r="L99" i="1"/>
  <c r="V98" i="1"/>
  <c r="AN98" i="1" s="1"/>
  <c r="T98" i="1"/>
  <c r="AB98" i="1" s="1"/>
  <c r="L98" i="1"/>
  <c r="V97" i="1"/>
  <c r="AN97" i="1" s="1"/>
  <c r="T97" i="1"/>
  <c r="AB97" i="1" s="1"/>
  <c r="L97" i="1"/>
  <c r="V96" i="1"/>
  <c r="AN96" i="1" s="1"/>
  <c r="T96" i="1"/>
  <c r="AB96" i="1" s="1"/>
  <c r="L96" i="1"/>
  <c r="V95" i="1"/>
  <c r="AN95" i="1" s="1"/>
  <c r="T95" i="1"/>
  <c r="AB95" i="1" s="1"/>
  <c r="L95" i="1"/>
  <c r="V94" i="1"/>
  <c r="AN94" i="1" s="1"/>
  <c r="T94" i="1"/>
  <c r="AB94" i="1" s="1"/>
  <c r="L94" i="1"/>
  <c r="V93" i="1"/>
  <c r="AN93" i="1" s="1"/>
  <c r="T93" i="1"/>
  <c r="AB93" i="1" s="1"/>
  <c r="L93" i="1"/>
  <c r="T92" i="1"/>
  <c r="AB92" i="1" s="1"/>
  <c r="L92" i="1"/>
  <c r="AN91" i="1"/>
  <c r="T91" i="1"/>
  <c r="AA91" i="1" s="1"/>
  <c r="L91" i="1"/>
  <c r="T90" i="1"/>
  <c r="U90" i="1" s="1"/>
  <c r="V90" i="1" s="1"/>
  <c r="L90" i="1"/>
  <c r="V89" i="1"/>
  <c r="AN89" i="1" s="1"/>
  <c r="T89" i="1"/>
  <c r="AB89" i="1" s="1"/>
  <c r="L89" i="1"/>
  <c r="T88" i="1"/>
  <c r="AB88" i="1" s="1"/>
  <c r="L88" i="1"/>
  <c r="V87" i="1"/>
  <c r="T87" i="1"/>
  <c r="AB87" i="1" s="1"/>
  <c r="L87" i="1"/>
  <c r="V86" i="1"/>
  <c r="T86" i="1"/>
  <c r="AB86" i="1" s="1"/>
  <c r="L86" i="1"/>
  <c r="V85" i="1"/>
  <c r="T85" i="1"/>
  <c r="AB85" i="1" s="1"/>
  <c r="L85" i="1"/>
  <c r="V84" i="1"/>
  <c r="T84" i="1"/>
  <c r="AB84" i="1" s="1"/>
  <c r="L84" i="1"/>
  <c r="V83" i="1"/>
  <c r="T83" i="1"/>
  <c r="AB83" i="1" s="1"/>
  <c r="L83" i="1"/>
  <c r="V82" i="1"/>
  <c r="T82" i="1"/>
  <c r="AB82" i="1" s="1"/>
  <c r="L82" i="1"/>
  <c r="T81" i="1"/>
  <c r="U81" i="1" s="1"/>
  <c r="V81" i="1" s="1"/>
  <c r="L81" i="1"/>
  <c r="V80" i="1"/>
  <c r="AN80" i="1" s="1"/>
  <c r="T80" i="1"/>
  <c r="AB80" i="1" s="1"/>
  <c r="L80" i="1"/>
  <c r="V79" i="1"/>
  <c r="AN79" i="1" s="1"/>
  <c r="T79" i="1"/>
  <c r="AB79" i="1" s="1"/>
  <c r="L79" i="1"/>
  <c r="V78" i="1"/>
  <c r="AN78" i="1" s="1"/>
  <c r="T78" i="1"/>
  <c r="AB78" i="1" s="1"/>
  <c r="L78" i="1"/>
  <c r="V77" i="1"/>
  <c r="AN77" i="1" s="1"/>
  <c r="T77" i="1"/>
  <c r="AB77" i="1" s="1"/>
  <c r="L77" i="1"/>
  <c r="V76" i="1"/>
  <c r="AN76" i="1" s="1"/>
  <c r="T76" i="1"/>
  <c r="AB76" i="1" s="1"/>
  <c r="L76" i="1"/>
  <c r="V75" i="1"/>
  <c r="AN75" i="1" s="1"/>
  <c r="T75" i="1"/>
  <c r="AB75" i="1" s="1"/>
  <c r="L75" i="1"/>
  <c r="V74" i="1"/>
  <c r="AN74" i="1" s="1"/>
  <c r="T74" i="1"/>
  <c r="AB74" i="1" s="1"/>
  <c r="L74" i="1"/>
  <c r="V73" i="1"/>
  <c r="AN73" i="1" s="1"/>
  <c r="T73" i="1"/>
  <c r="AB73" i="1" s="1"/>
  <c r="L73" i="1"/>
  <c r="V72" i="1"/>
  <c r="AN72" i="1" s="1"/>
  <c r="T72" i="1"/>
  <c r="AB72" i="1" s="1"/>
  <c r="L72" i="1"/>
  <c r="V71" i="1"/>
  <c r="AN71" i="1" s="1"/>
  <c r="T71" i="1"/>
  <c r="AB71" i="1" s="1"/>
  <c r="L71" i="1"/>
  <c r="V70" i="1"/>
  <c r="T70" i="1"/>
  <c r="AB70" i="1" s="1"/>
  <c r="L70" i="1"/>
  <c r="V69" i="1"/>
  <c r="T69" i="1"/>
  <c r="AB69" i="1" s="1"/>
  <c r="L69" i="1"/>
  <c r="V68" i="1"/>
  <c r="T68" i="1"/>
  <c r="AB68" i="1" s="1"/>
  <c r="L68" i="1"/>
  <c r="V67" i="1"/>
  <c r="T67" i="1"/>
  <c r="AB67" i="1" s="1"/>
  <c r="L67" i="1"/>
  <c r="V66" i="1"/>
  <c r="T66" i="1"/>
  <c r="AB66" i="1" s="1"/>
  <c r="L66" i="1"/>
  <c r="T65" i="1"/>
  <c r="U65" i="1" s="1"/>
  <c r="V65" i="1" s="1"/>
  <c r="L65" i="1"/>
  <c r="V64" i="1"/>
  <c r="AN64" i="1" s="1"/>
  <c r="T64" i="1"/>
  <c r="AB64" i="1" s="1"/>
  <c r="L64" i="1"/>
  <c r="V63" i="1"/>
  <c r="AN63" i="1" s="1"/>
  <c r="T63" i="1"/>
  <c r="AB63" i="1" s="1"/>
  <c r="L63" i="1"/>
  <c r="V62" i="1"/>
  <c r="AN62" i="1" s="1"/>
  <c r="T62" i="1"/>
  <c r="AB62" i="1" s="1"/>
  <c r="L62" i="1"/>
  <c r="AN61" i="1"/>
  <c r="Z61" i="1"/>
  <c r="Y61" i="1"/>
  <c r="T61" i="1"/>
  <c r="AB61" i="1" s="1"/>
  <c r="L61" i="1"/>
  <c r="V60" i="1"/>
  <c r="T60" i="1"/>
  <c r="AB60" i="1" s="1"/>
  <c r="L60" i="1"/>
  <c r="V59" i="1"/>
  <c r="T59" i="1"/>
  <c r="AB59" i="1" s="1"/>
  <c r="L59" i="1"/>
  <c r="AN58" i="1"/>
  <c r="Z58" i="1"/>
  <c r="Y58" i="1"/>
  <c r="F58" i="1"/>
  <c r="E58" i="1"/>
  <c r="L58" i="1" s="1"/>
  <c r="V57" i="1"/>
  <c r="AN57" i="1" s="1"/>
  <c r="T57" i="1"/>
  <c r="AB57" i="1" s="1"/>
  <c r="L57" i="1"/>
  <c r="V56" i="1"/>
  <c r="AN56" i="1" s="1"/>
  <c r="T56" i="1"/>
  <c r="AB56" i="1" s="1"/>
  <c r="L56" i="1"/>
  <c r="V55" i="1"/>
  <c r="AN55" i="1" s="1"/>
  <c r="T55" i="1"/>
  <c r="AB55" i="1" s="1"/>
  <c r="L55" i="1"/>
  <c r="V54" i="1"/>
  <c r="AN54" i="1" s="1"/>
  <c r="T54" i="1"/>
  <c r="AB54" i="1" s="1"/>
  <c r="L54" i="1"/>
  <c r="V53" i="1"/>
  <c r="AN53" i="1" s="1"/>
  <c r="T53" i="1"/>
  <c r="AB53" i="1" s="1"/>
  <c r="L53" i="1"/>
  <c r="V52" i="1"/>
  <c r="AN52" i="1" s="1"/>
  <c r="T52" i="1"/>
  <c r="AB52" i="1" s="1"/>
  <c r="L52" i="1"/>
  <c r="V51" i="1"/>
  <c r="AN51" i="1" s="1"/>
  <c r="T51" i="1"/>
  <c r="AB51" i="1" s="1"/>
  <c r="L51" i="1"/>
  <c r="V50" i="1"/>
  <c r="AN50" i="1" s="1"/>
  <c r="T50" i="1"/>
  <c r="AB50" i="1" s="1"/>
  <c r="L50" i="1"/>
  <c r="V49" i="1"/>
  <c r="AN49" i="1" s="1"/>
  <c r="T49" i="1"/>
  <c r="AB49" i="1" s="1"/>
  <c r="L49" i="1"/>
  <c r="V48" i="1"/>
  <c r="AN48" i="1" s="1"/>
  <c r="T48" i="1"/>
  <c r="AB48" i="1" s="1"/>
  <c r="L48" i="1"/>
  <c r="V47" i="1"/>
  <c r="AN47" i="1" s="1"/>
  <c r="T47" i="1"/>
  <c r="AB47" i="1" s="1"/>
  <c r="L47" i="1"/>
  <c r="V46" i="1"/>
  <c r="AN46" i="1" s="1"/>
  <c r="T46" i="1"/>
  <c r="AB46" i="1" s="1"/>
  <c r="L46" i="1"/>
  <c r="V45" i="1"/>
  <c r="AN45" i="1" s="1"/>
  <c r="T45" i="1"/>
  <c r="AB45" i="1" s="1"/>
  <c r="L45" i="1"/>
  <c r="V44" i="1"/>
  <c r="AN44" i="1" s="1"/>
  <c r="T44" i="1"/>
  <c r="AB44" i="1" s="1"/>
  <c r="L44" i="1"/>
  <c r="AN43" i="1"/>
  <c r="Z43" i="1"/>
  <c r="Y43" i="1"/>
  <c r="T43" i="1"/>
  <c r="AB43" i="1" s="1"/>
  <c r="L43" i="1"/>
  <c r="V42" i="1"/>
  <c r="T42" i="1"/>
  <c r="AB42" i="1" s="1"/>
  <c r="L42" i="1"/>
  <c r="AN41" i="1"/>
  <c r="Z41" i="1"/>
  <c r="Y41" i="1"/>
  <c r="T41" i="1"/>
  <c r="AA41" i="1" s="1"/>
  <c r="L41" i="1"/>
  <c r="V40" i="1"/>
  <c r="AN40" i="1" s="1"/>
  <c r="T40" i="1"/>
  <c r="AB40" i="1" s="1"/>
  <c r="L40" i="1"/>
  <c r="V39" i="1"/>
  <c r="AN39" i="1" s="1"/>
  <c r="T39" i="1"/>
  <c r="AB39" i="1" s="1"/>
  <c r="L39" i="1"/>
  <c r="V38" i="1"/>
  <c r="AN38" i="1" s="1"/>
  <c r="T38" i="1"/>
  <c r="AB38" i="1" s="1"/>
  <c r="L38" i="1"/>
  <c r="V37" i="1"/>
  <c r="AN37" i="1" s="1"/>
  <c r="T37" i="1"/>
  <c r="AB37" i="1" s="1"/>
  <c r="L37" i="1"/>
  <c r="V36" i="1"/>
  <c r="AN36" i="1" s="1"/>
  <c r="T36" i="1"/>
  <c r="AB36" i="1" s="1"/>
  <c r="L36" i="1"/>
  <c r="V35" i="1"/>
  <c r="AN35" i="1" s="1"/>
  <c r="T35" i="1"/>
  <c r="AB35" i="1" s="1"/>
  <c r="L35" i="1"/>
  <c r="V34" i="1"/>
  <c r="AN34" i="1" s="1"/>
  <c r="T34" i="1"/>
  <c r="AB34" i="1" s="1"/>
  <c r="L34" i="1"/>
  <c r="V33" i="1"/>
  <c r="AN33" i="1" s="1"/>
  <c r="T33" i="1"/>
  <c r="AB33" i="1" s="1"/>
  <c r="L33" i="1"/>
  <c r="V32" i="1"/>
  <c r="AN32" i="1" s="1"/>
  <c r="T32" i="1"/>
  <c r="AB32" i="1" s="1"/>
  <c r="L32" i="1"/>
  <c r="V31" i="1"/>
  <c r="AN31" i="1" s="1"/>
  <c r="T31" i="1"/>
  <c r="AB31" i="1" s="1"/>
  <c r="L31" i="1"/>
  <c r="V30" i="1"/>
  <c r="AN30" i="1" s="1"/>
  <c r="T30" i="1"/>
  <c r="AB30" i="1" s="1"/>
  <c r="L30" i="1"/>
  <c r="V29" i="1"/>
  <c r="AN29" i="1" s="1"/>
  <c r="T29" i="1"/>
  <c r="AB29" i="1" s="1"/>
  <c r="L29" i="1"/>
  <c r="V28" i="1"/>
  <c r="AN28" i="1" s="1"/>
  <c r="T28" i="1"/>
  <c r="AB28" i="1" s="1"/>
  <c r="L28" i="1"/>
  <c r="T27" i="1"/>
  <c r="AB27" i="1" s="1"/>
  <c r="L27" i="1"/>
  <c r="V26" i="1"/>
  <c r="T26" i="1"/>
  <c r="AB26" i="1" s="1"/>
  <c r="L26" i="1"/>
  <c r="V25" i="1"/>
  <c r="T25" i="1"/>
  <c r="AB25" i="1" s="1"/>
  <c r="L25" i="1"/>
  <c r="AN24" i="1"/>
  <c r="Z24" i="1"/>
  <c r="Y24" i="1"/>
  <c r="T24" i="1"/>
  <c r="AA24" i="1" s="1"/>
  <c r="L24" i="1"/>
  <c r="V23" i="1"/>
  <c r="AN23" i="1" s="1"/>
  <c r="T23" i="1"/>
  <c r="AB23" i="1" s="1"/>
  <c r="L23" i="1"/>
  <c r="V22" i="1"/>
  <c r="AN22" i="1" s="1"/>
  <c r="T22" i="1"/>
  <c r="AB22" i="1" s="1"/>
  <c r="L22" i="1"/>
  <c r="T21" i="1"/>
  <c r="AB21" i="1" s="1"/>
  <c r="L21" i="1"/>
  <c r="T20" i="1"/>
  <c r="U20" i="1" s="1"/>
  <c r="V20" i="1" s="1"/>
  <c r="L20" i="1"/>
  <c r="V19" i="1"/>
  <c r="AN19" i="1" s="1"/>
  <c r="T19" i="1"/>
  <c r="AB19" i="1" s="1"/>
  <c r="L19" i="1"/>
  <c r="T18" i="1"/>
  <c r="AB18" i="1" s="1"/>
  <c r="L18" i="1"/>
  <c r="T17" i="1"/>
  <c r="AB17" i="1" s="1"/>
  <c r="L17" i="1"/>
  <c r="AN16" i="1"/>
  <c r="T16" i="1"/>
  <c r="AA16" i="1" s="1"/>
  <c r="L16" i="1"/>
  <c r="T15" i="1"/>
  <c r="U15" i="1" s="1"/>
  <c r="V15" i="1" s="1"/>
  <c r="L15" i="1"/>
  <c r="V14" i="1"/>
  <c r="AN14" i="1" s="1"/>
  <c r="T14" i="1"/>
  <c r="AB14" i="1" s="1"/>
  <c r="L14" i="1"/>
  <c r="V13" i="1"/>
  <c r="AN13" i="1" s="1"/>
  <c r="T13" i="1"/>
  <c r="AB13" i="1" s="1"/>
  <c r="L13" i="1"/>
  <c r="V12" i="1"/>
  <c r="AN12" i="1" s="1"/>
  <c r="T12" i="1"/>
  <c r="AB12" i="1" s="1"/>
  <c r="L12" i="1"/>
  <c r="V11" i="1"/>
  <c r="AN11" i="1" s="1"/>
  <c r="T11" i="1"/>
  <c r="AB11" i="1" s="1"/>
  <c r="L11" i="1"/>
  <c r="T10" i="1"/>
  <c r="AB10" i="1" s="1"/>
  <c r="L10" i="1"/>
  <c r="T9" i="1"/>
  <c r="U9" i="1" s="1"/>
  <c r="V9" i="1" s="1"/>
  <c r="L9" i="1"/>
  <c r="T8" i="1"/>
  <c r="AB8" i="1" s="1"/>
  <c r="L8" i="1"/>
  <c r="T7" i="1"/>
  <c r="U7" i="1" s="1"/>
  <c r="L7" i="1"/>
  <c r="V6" i="1"/>
  <c r="AN6" i="1" s="1"/>
  <c r="T6" i="1"/>
  <c r="AB6" i="1" s="1"/>
  <c r="L6" i="1"/>
  <c r="AL5" i="1"/>
  <c r="AK5" i="1"/>
  <c r="AJ5" i="1"/>
  <c r="AI5" i="1"/>
  <c r="AH5" i="1"/>
  <c r="AG5" i="1"/>
  <c r="AF5" i="1"/>
  <c r="AE5" i="1"/>
  <c r="AD5" i="1"/>
  <c r="AC5" i="1"/>
  <c r="X5" i="1"/>
  <c r="S5" i="1"/>
  <c r="R5" i="1"/>
  <c r="Q5" i="1"/>
  <c r="O5" i="1"/>
  <c r="N5" i="1"/>
  <c r="M5" i="1"/>
  <c r="K5" i="1"/>
  <c r="E5" i="1" l="1"/>
  <c r="U8" i="1"/>
  <c r="V8" i="1" s="1"/>
  <c r="AA8" i="1" s="1"/>
  <c r="AA116" i="1"/>
  <c r="AA117" i="1"/>
  <c r="AA118" i="1"/>
  <c r="AA119" i="1"/>
  <c r="AA120" i="1"/>
  <c r="U21" i="1"/>
  <c r="V21" i="1" s="1"/>
  <c r="AA21" i="1" s="1"/>
  <c r="U27" i="1"/>
  <c r="V27" i="1" s="1"/>
  <c r="AN27" i="1" s="1"/>
  <c r="U88" i="1"/>
  <c r="V88" i="1" s="1"/>
  <c r="AA88" i="1" s="1"/>
  <c r="U92" i="1"/>
  <c r="V92" i="1" s="1"/>
  <c r="AN92" i="1" s="1"/>
  <c r="L5" i="1"/>
  <c r="U16" i="1"/>
  <c r="U18" i="1"/>
  <c r="V18" i="1" s="1"/>
  <c r="AA18" i="1" s="1"/>
  <c r="AA113" i="1"/>
  <c r="AB91" i="1"/>
  <c r="F5" i="1"/>
  <c r="U10" i="1"/>
  <c r="V10" i="1" s="1"/>
  <c r="AN10" i="1" s="1"/>
  <c r="AB16" i="1"/>
  <c r="U17" i="1"/>
  <c r="V17" i="1" s="1"/>
  <c r="AN17" i="1" s="1"/>
  <c r="AB41" i="1"/>
  <c r="AA43" i="1"/>
  <c r="T58" i="1"/>
  <c r="AB58" i="1" s="1"/>
  <c r="AA61" i="1"/>
  <c r="AA71" i="1"/>
  <c r="AN88" i="1"/>
  <c r="U91" i="1"/>
  <c r="AA101" i="1"/>
  <c r="AA102" i="1"/>
  <c r="AA103" i="1"/>
  <c r="AA104" i="1"/>
  <c r="AA105" i="1"/>
  <c r="AA106" i="1"/>
  <c r="AA107" i="1"/>
  <c r="AA109" i="1"/>
  <c r="AA115" i="1"/>
  <c r="AA125" i="1"/>
  <c r="T126" i="1"/>
  <c r="AB126" i="1" s="1"/>
  <c r="AN8" i="1"/>
  <c r="AN9" i="1"/>
  <c r="AA9" i="1"/>
  <c r="AN65" i="1"/>
  <c r="AA65" i="1"/>
  <c r="V7" i="1"/>
  <c r="AN15" i="1"/>
  <c r="AA15" i="1"/>
  <c r="AA6" i="1"/>
  <c r="AB7" i="1"/>
  <c r="AB9" i="1"/>
  <c r="AA11" i="1"/>
  <c r="AA12" i="1"/>
  <c r="AA13" i="1"/>
  <c r="AA14" i="1"/>
  <c r="AB15" i="1"/>
  <c r="AA19" i="1"/>
  <c r="AN20" i="1"/>
  <c r="AA20" i="1"/>
  <c r="AA22" i="1"/>
  <c r="AA29" i="1"/>
  <c r="AA31" i="1"/>
  <c r="AA33" i="1"/>
  <c r="AA35" i="1"/>
  <c r="AA37" i="1"/>
  <c r="AA39" i="1"/>
  <c r="AA44" i="1"/>
  <c r="AA46" i="1"/>
  <c r="AA48" i="1"/>
  <c r="AA50" i="1"/>
  <c r="AA52" i="1"/>
  <c r="AA54" i="1"/>
  <c r="AA56" i="1"/>
  <c r="AN59" i="1"/>
  <c r="AA59" i="1"/>
  <c r="AN60" i="1"/>
  <c r="AA60" i="1"/>
  <c r="AA63" i="1"/>
  <c r="AB65" i="1"/>
  <c r="AA72" i="1"/>
  <c r="AA76" i="1"/>
  <c r="AA80" i="1"/>
  <c r="AN81" i="1"/>
  <c r="AA81" i="1"/>
  <c r="AA89" i="1"/>
  <c r="AN90" i="1"/>
  <c r="AA90" i="1"/>
  <c r="AA96" i="1"/>
  <c r="AA100" i="1"/>
  <c r="AB20" i="1"/>
  <c r="AA23" i="1"/>
  <c r="AB24" i="1"/>
  <c r="AN25" i="1"/>
  <c r="AA25" i="1"/>
  <c r="AN26" i="1"/>
  <c r="AA26" i="1"/>
  <c r="AA28" i="1"/>
  <c r="AA30" i="1"/>
  <c r="AA32" i="1"/>
  <c r="AA34" i="1"/>
  <c r="AA36" i="1"/>
  <c r="AA38" i="1"/>
  <c r="AA40" i="1"/>
  <c r="AN42" i="1"/>
  <c r="AA42" i="1"/>
  <c r="AA45" i="1"/>
  <c r="AA47" i="1"/>
  <c r="AA49" i="1"/>
  <c r="AA51" i="1"/>
  <c r="AA53" i="1"/>
  <c r="AA55" i="1"/>
  <c r="AA57" i="1"/>
  <c r="AA62" i="1"/>
  <c r="AA64" i="1"/>
  <c r="AN66" i="1"/>
  <c r="AA66" i="1"/>
  <c r="AN67" i="1"/>
  <c r="AA67" i="1"/>
  <c r="AN68" i="1"/>
  <c r="AA68" i="1"/>
  <c r="AN69" i="1"/>
  <c r="AA69" i="1"/>
  <c r="AN70" i="1"/>
  <c r="AA70" i="1"/>
  <c r="AA74" i="1"/>
  <c r="AA78" i="1"/>
  <c r="AN82" i="1"/>
  <c r="AA82" i="1"/>
  <c r="AN83" i="1"/>
  <c r="AA83" i="1"/>
  <c r="AN84" i="1"/>
  <c r="AA84" i="1"/>
  <c r="AN85" i="1"/>
  <c r="AA85" i="1"/>
  <c r="AN86" i="1"/>
  <c r="AA86" i="1"/>
  <c r="AN87" i="1"/>
  <c r="AA87" i="1"/>
  <c r="AA94" i="1"/>
  <c r="AA98" i="1"/>
  <c r="AA73" i="1"/>
  <c r="AA75" i="1"/>
  <c r="AA77" i="1"/>
  <c r="AA79" i="1"/>
  <c r="AB81" i="1"/>
  <c r="AB90" i="1"/>
  <c r="AA93" i="1"/>
  <c r="AA95" i="1"/>
  <c r="AA97" i="1"/>
  <c r="AA99" i="1"/>
  <c r="AB101" i="1"/>
  <c r="AB102" i="1"/>
  <c r="AB103" i="1"/>
  <c r="AB104" i="1"/>
  <c r="AB105" i="1"/>
  <c r="AB106" i="1"/>
  <c r="AB107" i="1"/>
  <c r="AA108" i="1"/>
  <c r="AA110" i="1"/>
  <c r="AA111" i="1"/>
  <c r="AA112" i="1"/>
  <c r="AA114" i="1"/>
  <c r="AB116" i="1"/>
  <c r="AB117" i="1"/>
  <c r="AB118" i="1"/>
  <c r="AB119" i="1"/>
  <c r="AB120" i="1"/>
  <c r="U121" i="1"/>
  <c r="V121" i="1" s="1"/>
  <c r="AA122" i="1"/>
  <c r="AA123" i="1"/>
  <c r="AA124" i="1"/>
  <c r="AA126" i="1"/>
  <c r="AA127" i="1"/>
  <c r="AA128" i="1"/>
  <c r="AA129" i="1"/>
  <c r="AA130" i="1"/>
  <c r="AB131" i="1"/>
  <c r="AA132" i="1"/>
  <c r="AA133" i="1"/>
  <c r="AA134" i="1"/>
  <c r="AA27" i="1" l="1"/>
  <c r="AA92" i="1"/>
  <c r="AN21" i="1"/>
  <c r="AA17" i="1"/>
  <c r="AA10" i="1"/>
  <c r="AN18" i="1"/>
  <c r="T5" i="1"/>
  <c r="AA58" i="1"/>
  <c r="AN121" i="1"/>
  <c r="AA121" i="1"/>
  <c r="AN7" i="1"/>
  <c r="AA7" i="1"/>
  <c r="V5" i="1"/>
  <c r="U5" i="1"/>
  <c r="AN5" i="1" l="1"/>
  <c r="AN1" i="1" s="1"/>
</calcChain>
</file>

<file path=xl/sharedStrings.xml><?xml version="1.0" encoding="utf-8"?>
<sst xmlns="http://schemas.openxmlformats.org/spreadsheetml/2006/main" count="922" uniqueCount="495">
  <si>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</si>
  <si>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</si>
  <si>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</si>
  <si>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</si>
  <si>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</si>
  <si>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</si>
  <si>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</si>
  <si>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</si>
  <si>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</si>
  <si>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</si>
  <si>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</si>
  <si>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</si>
  <si>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</si>
  <si>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</si>
  <si>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</si>
  <si>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</si>
  <si>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</si>
  <si>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</si>
  <si>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</si>
  <si>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</si>
  <si>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</si>
  <si>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</si>
  <si>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</si>
  <si>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</si>
  <si>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</si>
  <si>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</si>
  <si>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</si>
  <si>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</si>
  <si>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</si>
  <si>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01,09,недогр</t>
  </si>
  <si>
    <t>03,09,</t>
  </si>
  <si>
    <t>07,09,</t>
  </si>
  <si>
    <t>07,09,доз</t>
  </si>
  <si>
    <t>Боярко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</si>
  <si>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</si>
  <si>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</si>
  <si>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</si>
  <si>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</si>
  <si>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</si>
  <si>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</si>
  <si>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</si>
  <si>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</si>
  <si>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</si>
  <si>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</si>
  <si>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</si>
  <si>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</si>
  <si>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</si>
  <si>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</si>
  <si>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</si>
  <si>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</si>
  <si>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</si>
  <si>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</si>
  <si>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</si>
  <si>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</si>
  <si>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</si>
  <si>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</si>
  <si>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</si>
  <si>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</si>
  <si>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</si>
  <si>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</si>
  <si>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</si>
  <si>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</si>
  <si>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</si>
  <si>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</si>
  <si>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</si>
  <si>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</si>
  <si>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</si>
  <si>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</si>
  <si>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</si>
  <si>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</si>
  <si>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</si>
  <si>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</si>
  <si>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</si>
  <si>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</si>
  <si>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</si>
  <si>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</si>
  <si>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</si>
  <si>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</si>
  <si>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</si>
  <si>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</si>
  <si>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</si>
  <si>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</si>
  <si>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</si>
  <si>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</si>
  <si>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</si>
  <si>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нужно увеличить продажи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</si>
  <si>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</si>
  <si>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</si>
  <si>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</si>
  <si>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</si>
  <si>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</si>
  <si>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</si>
  <si>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</si>
  <si>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</si>
  <si>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</si>
  <si>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</si>
  <si>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</si>
  <si>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</si>
  <si>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</si>
  <si>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</si>
  <si>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</si>
  <si>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</si>
  <si>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</si>
  <si>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</si>
  <si>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</si>
  <si>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</si>
  <si>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</si>
  <si>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</si>
  <si>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</si>
  <si>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</si>
  <si>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</si>
  <si>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</si>
  <si>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</si>
  <si>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</si>
  <si>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</si>
  <si>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</si>
  <si>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</si>
  <si>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</si>
  <si>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</si>
  <si>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</si>
  <si>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</si>
  <si>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</si>
  <si>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</si>
  <si>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</si>
  <si>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</si>
  <si>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</si>
  <si>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</si>
  <si>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</si>
  <si>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</si>
  <si>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</si>
  <si>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</si>
  <si>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</si>
  <si>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</si>
  <si>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</si>
  <si>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</si>
  <si>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</si>
  <si>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</si>
  <si>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</si>
  <si>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</si>
  <si>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</si>
  <si>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</si>
  <si>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</si>
  <si>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</si>
  <si>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</si>
  <si>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</si>
  <si>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нужно увеличить продажи / ПРОМО сентябрь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</si>
  <si>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</si>
  <si>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</si>
  <si>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</si>
  <si>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</si>
  <si>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</si>
  <si>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</si>
  <si>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</si>
  <si>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</si>
  <si>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</si>
  <si>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</si>
  <si>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</si>
  <si>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</si>
  <si>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</si>
  <si>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</si>
  <si>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</si>
  <si>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</si>
  <si>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</si>
  <si>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</si>
  <si>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</si>
  <si>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</si>
  <si>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</si>
  <si>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</si>
  <si>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</si>
  <si>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</si>
  <si>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</si>
  <si>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</si>
  <si>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задача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</si>
  <si>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</si>
  <si>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</si>
  <si>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</si>
  <si>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</si>
  <si>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</si>
  <si>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</si>
  <si>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</si>
  <si>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</si>
  <si>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</si>
  <si>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</si>
  <si>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</si>
  <si>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</si>
  <si>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</si>
  <si>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</si>
  <si>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</si>
  <si>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</si>
  <si>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</si>
  <si>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</si>
  <si>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</si>
  <si>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</si>
  <si>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</si>
  <si>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</si>
  <si>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</si>
  <si>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</si>
  <si>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</si>
  <si>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</si>
  <si>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</si>
  <si>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</si>
  <si>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</si>
  <si>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</si>
  <si>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</si>
  <si>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</si>
  <si>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</si>
  <si>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</si>
  <si>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</si>
  <si>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</si>
  <si>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</si>
  <si>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</si>
  <si>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</si>
  <si>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</si>
  <si>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</si>
  <si>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</si>
  <si>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</si>
  <si>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</si>
  <si>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</si>
  <si>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</si>
  <si>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</si>
  <si>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</si>
  <si>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</si>
  <si>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</si>
  <si>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</si>
  <si>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</si>
  <si>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</si>
  <si>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</si>
  <si>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</si>
  <si>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</si>
  <si>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</si>
  <si>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</si>
  <si>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</si>
  <si>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</si>
  <si>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</si>
  <si>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</si>
  <si>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</si>
  <si>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</si>
  <si>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</si>
  <si>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</si>
  <si>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</si>
  <si>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</si>
  <si>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</si>
  <si>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</si>
  <si>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</si>
  <si>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</si>
  <si>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</si>
  <si>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</si>
  <si>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</si>
  <si>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</si>
  <si>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</si>
  <si>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</si>
  <si>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</si>
  <si>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</si>
  <si>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</si>
  <si>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</si>
  <si>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</si>
  <si>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</si>
  <si>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</si>
  <si>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</si>
  <si>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</si>
  <si>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</si>
  <si>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</si>
  <si>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</si>
  <si>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</si>
  <si>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</si>
  <si>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</si>
  <si>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</si>
  <si>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</si>
  <si>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</si>
  <si>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</si>
  <si>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</si>
  <si>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</si>
  <si>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</si>
  <si>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</si>
  <si>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</si>
  <si>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</si>
  <si>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</si>
  <si>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</si>
  <si>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</si>
  <si>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</si>
  <si>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</si>
  <si>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</si>
  <si>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</si>
  <si>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</si>
  <si>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</si>
  <si>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</si>
  <si>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</si>
  <si>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</si>
  <si>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</si>
  <si>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</si>
  <si>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</si>
  <si>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</si>
  <si>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</si>
  <si>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</si>
  <si>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</si>
  <si>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</si>
  <si>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</si>
  <si>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</si>
  <si>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</si>
  <si>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</si>
  <si>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</si>
  <si>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</si>
  <si>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</si>
  <si>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</si>
  <si>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</si>
  <si>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</si>
  <si>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</si>
  <si>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</si>
  <si>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</si>
  <si>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</si>
  <si>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</si>
  <si>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</si>
  <si>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</si>
  <si>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</si>
  <si>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</si>
  <si>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</si>
  <si>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</si>
  <si>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</si>
  <si>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</si>
  <si>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</si>
  <si>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</si>
  <si>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</si>
  <si>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 SU001051 </t>
  </si>
  <si>
    <t> Сардельки «Нежные» Весовые NDX мгс ТМ «Стародворье» </t>
  </si>
  <si>
    <t> 101 </t>
  </si>
  <si>
    <t> 0 </t>
  </si>
  <si>
    <t> -101 </t>
  </si>
  <si>
    <t> SU002074 </t>
  </si>
  <si>
    <t> Сосиски «Молочные для завтрака» Весовой п/а ТМ «Особый рецепт» </t>
  </si>
  <si>
    <t> 207 </t>
  </si>
  <si>
    <t> -207 </t>
  </si>
  <si>
    <t> SU002182 </t>
  </si>
  <si>
    <t> Вареные колбасы «Дугушка со шпиком» Весовой Вектор ТМ «Дугушка» </t>
  </si>
  <si>
    <t> 69 </t>
  </si>
  <si>
    <t> -69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</si>
  <si>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</si>
  <si>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</si>
  <si>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</si>
  <si>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</si>
  <si>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SU002287 </t>
  </si>
  <si>
    <t> Сардельки «Сочные» Весовой п/а ТМ «Особый рецепт» </t>
  </si>
  <si>
    <t> 108 </t>
  </si>
  <si>
    <t> -108 </t>
  </si>
  <si>
    <t> SU002618 </t>
  </si>
  <si>
    <t> Сосиски «Сочинки с сочной грудинкой» Фикс.вес 0,4 П/а мгс ТМ «Стародворье» </t>
  </si>
  <si>
    <t> 120 </t>
  </si>
  <si>
    <t> -120 </t>
  </si>
  <si>
    <t> SU002655 </t>
  </si>
  <si>
    <t> Сосиски «Датские» Весовой п/а ТМ «Зареченские продукты» </t>
  </si>
  <si>
    <t> 54 </t>
  </si>
  <si>
    <t> -54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</si>
  <si>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</si>
  <si>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</si>
  <si>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55 </t>
  </si>
  <si>
    <t> -55 </t>
  </si>
  <si>
    <t> SU002756 </t>
  </si>
  <si>
    <t> Колбаса Мясорубская ТМ Стародворье с рубленой грудинкой в оболочке фиброуз в вакуумной упаковке </t>
  </si>
  <si>
    <t> 63 </t>
  </si>
  <si>
    <t> -63 </t>
  </si>
  <si>
    <t> SU002758 </t>
  </si>
  <si>
    <t> Сардельки «Сочинки» Фикс.вес 0,4 п/а ТМ «Стародворье» </t>
  </si>
  <si>
    <t> 48 </t>
  </si>
  <si>
    <t> -48 </t>
  </si>
  <si>
    <t> SU002759 </t>
  </si>
  <si>
    <t> Сардельки «Сочинки с сыром» Фикс.вес 0,4 п/а ТМ «Стародворье» </t>
  </si>
  <si>
    <t> SU002801 </t>
  </si>
  <si>
    <t> Сосиски «Сочинки по-баварски с сыром» Фикс.вес 0,4 П/а мгс ТМ «Стародворье» </t>
  </si>
  <si>
    <t> 41 </t>
  </si>
  <si>
    <t> 26 </t>
  </si>
  <si>
    <t> -15 </t>
  </si>
  <si>
    <t> SU002835 </t>
  </si>
  <si>
    <t> Сардельки «Филейские» Весовой н/о ТМ «Вязанка» </t>
  </si>
  <si>
    <t> 328 </t>
  </si>
  <si>
    <t> 150 </t>
  </si>
  <si>
    <t> 155 </t>
  </si>
  <si>
    <t> -173 </t>
  </si>
  <si>
    <t> SU002847 </t>
  </si>
  <si>
    <t> В/к колбасы Сервелат Мясорубский с мелкорубленным окороком Бордо Весовой фиброуз Стародворье </t>
  </si>
  <si>
    <t> 50 </t>
  </si>
  <si>
    <t> -50 </t>
  </si>
  <si>
    <t> SU002941 </t>
  </si>
  <si>
    <t> В/к колбасы «Сочинка по-европейски с сочной грудинкой» Весовой фиброуз ТМ «Стародворье» </t>
  </si>
  <si>
    <t> 70 </t>
  </si>
  <si>
    <t> -70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</si>
  <si>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</si>
  <si>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</si>
  <si>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</si>
  <si>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-9 </t>
  </si>
  <si>
    <t> SU002943 </t>
  </si>
  <si>
    <t> В/к колбасы «Сочинка по-фински с сочным окороком» Весовой фиброуз ТМ «Стародворье» </t>
  </si>
  <si>
    <t> SU002944 </t>
  </si>
  <si>
    <t> В/к колбасы «Сочинка по-европейски с сочной грудинкой» срез Фикс.вес 0,3 фиброуз ТМ «Стародворье» </t>
  </si>
  <si>
    <t> 34 </t>
  </si>
  <si>
    <t> -34 </t>
  </si>
  <si>
    <t> SU002945 </t>
  </si>
  <si>
    <t> П/к колбасы «Сочинка зернистая с сочной грудинкой» Весовой фиброуз ТМ «Стародворье» </t>
  </si>
  <si>
    <t> 184 </t>
  </si>
  <si>
    <t> -184 </t>
  </si>
  <si>
    <t> SU002947 </t>
  </si>
  <si>
    <t> П/к колбасы «Сочинка рубленая с сочным окороком» Весовой фиброуз ТМ «Стародворье» </t>
  </si>
  <si>
    <t> 81 </t>
  </si>
  <si>
    <t> -81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</si>
  <si>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</si>
  <si>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</si>
  <si>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</si>
  <si>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-31 </t>
  </si>
  <si>
    <t> SU003167 </t>
  </si>
  <si>
    <t> Сосиски «Баварские» Фикс.вес 0,35 П/а ТМ «Стародворье» </t>
  </si>
  <si>
    <t> 13 </t>
  </si>
  <si>
    <t> -13 </t>
  </si>
  <si>
    <t> SU003168 </t>
  </si>
  <si>
    <t> Сосиски «Баварские с сыром» Фикс.вес 0,35 п/а ТМ «Стародворье» </t>
  </si>
  <si>
    <t> 8 </t>
  </si>
  <si>
    <t> -8 </t>
  </si>
  <si>
    <t> SU003829 </t>
  </si>
  <si>
    <t> Копченые колбасы «Сервелат Мясорубский Делюкс» Фикс.вес 0,3 фиброуз ТМ «Стародворье» </t>
  </si>
  <si>
    <t> 18 </t>
  </si>
  <si>
    <t> -18 </t>
  </si>
  <si>
    <t> SU003893 </t>
  </si>
  <si>
    <t> Сырокопченые колбасы «Сальчичон» Фикс.вес 0,07 нарезка ТМ «Стародворье» </t>
  </si>
  <si>
    <t> 4 </t>
  </si>
  <si>
    <t> -4 </t>
  </si>
  <si>
    <t> SU003921 </t>
  </si>
  <si>
    <t> Деликатесы в/к «Грудинка копчено-вареная» Фикс.вес 0,12 нарезка ТМ «Стародворье» </t>
  </si>
  <si>
    <t> SU004041 </t>
  </si>
  <si>
    <t> Копченые колбасы «Балыковая» Весовой фиброуз ТМ «Вязанка» </t>
  </si>
  <si>
    <t> 151 </t>
  </si>
  <si>
    <t> -151 </t>
  </si>
  <si>
    <t>31,08,недогр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</si>
  <si>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</si>
  <si>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</si>
  <si>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</si>
  <si>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Сардельки «Нежные» Весовые NDX мгс ТМ «Стародворье»</t>
  </si>
  <si>
    <t>Вареные колбасы Докторская ГОСТ Вязанка Фикс.вес 0,4 Вектор Вязанка</t>
  </si>
  <si>
    <t>Сосиски «Вязанка Молочные» Весовой п/а ТМ «Вязанка»</t>
  </si>
  <si>
    <t>Сосиски «Вязанка Молочные» Фикс.вес 0,45 п/а ТМ «Вязанка»</t>
  </si>
  <si>
    <t>Сосиски «Вязанка Сливочные» Весовой п/а ТМ «Вязанка»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</si>
  <si>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</si>
  <si>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</si>
  <si>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</si>
  <si>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</si>
  <si>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</si>
  <si>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</si>
  <si>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</si>
  <si>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</si>
  <si>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</si>
  <si>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</si>
  <si>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Паштеты Со сливочным маслом ГОСТ Бордо фикс.вес 0,1 Стародворье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</si>
  <si>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</si>
  <si>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</si>
  <si>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</si>
  <si>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«Дугушка Стародворская» Вес п/а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</si>
  <si>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</si>
  <si>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</si>
  <si>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</si>
  <si>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</si>
  <si>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</si>
  <si>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</si>
  <si>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</si>
  <si>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</si>
  <si>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</si>
  <si>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</si>
  <si>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</si>
  <si>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</si>
  <si>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</si>
  <si>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</si>
  <si>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</si>
  <si>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</si>
  <si>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</si>
  <si>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</si>
  <si>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</si>
  <si>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</si>
  <si>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</si>
  <si>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</si>
  <si>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</si>
  <si>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</si>
  <si>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</si>
  <si>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</si>
  <si>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</si>
  <si>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</si>
  <si>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</si>
  <si>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</si>
  <si>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</si>
  <si>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</si>
  <si>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</si>
  <si>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</si>
  <si>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</si>
  <si>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</si>
  <si>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</si>
  <si>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</si>
  <si>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</si>
  <si>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«Со шпиком»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</si>
  <si>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</si>
  <si>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«Буженина в пряном маринаде» Фикс.вес 0,25 ТМ «Стародворье»</t>
  </si>
  <si>
    <t>07,09,недогр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</si>
</sst>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0" borderId="1" xfId="1" applyNumberFormat="1"/>
    <xf numFmtId="0" fontId="0" fillId="0" borderId="1" xfId="0"/>
    <xf numFmtId="164" fontId="1" fillId="8" borderId="2" xfId="1" applyNumberFormat="1" applyFill="1" applyBorder="1"/>
    <xf numFmtId="165" fontId="1" fillId="0" borderId="1" xfId="1" applyNumberFormat="1"/>
    <xf numFmtId="0" fontId="0" fillId="0" borderId="1" xfId="0" applyBorder="1"/>
    <xf numFmtId="0" fontId="7" fillId="7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66" fontId="0" fillId="7" borderId="3" xfId="0" applyNumberForma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9,26/03,09,26%20&#1055;&#1054;&#1050;&#1054;&#1052;%20&#1050;&#1048;/_&#1050;&#1086;&#1087;&#1080;&#1103;%20&#1076;&#1074;%200309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31,08,</v>
          </cell>
          <cell r="P4" t="str">
            <v>31,08,доз</v>
          </cell>
          <cell r="Q4" t="str">
            <v>01,09,</v>
          </cell>
          <cell r="R4" t="str">
            <v>01,09,недогр</v>
          </cell>
          <cell r="S4" t="str">
            <v>03,09,</v>
          </cell>
        </row>
        <row r="5">
          <cell r="E5">
            <v>15696.048999999999</v>
          </cell>
          <cell r="F5">
            <v>17243.144999999997</v>
          </cell>
          <cell r="K5">
            <v>19020.500000000007</v>
          </cell>
          <cell r="L5">
            <v>-3324.4509999999987</v>
          </cell>
          <cell r="M5">
            <v>0</v>
          </cell>
          <cell r="N5">
            <v>0</v>
          </cell>
          <cell r="O5">
            <v>12929.7593908</v>
          </cell>
          <cell r="P5">
            <v>1000</v>
          </cell>
          <cell r="Q5">
            <v>6274.1</v>
          </cell>
          <cell r="R5">
            <v>-130</v>
          </cell>
          <cell r="S5">
            <v>3139.2097999999987</v>
          </cell>
          <cell r="T5">
            <v>7750.8753538000001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257.27600000000001</v>
          </cell>
          <cell r="D6">
            <v>416.84300000000002</v>
          </cell>
          <cell r="E6">
            <v>147.58199999999999</v>
          </cell>
          <cell r="F6">
            <v>481.57600000000002</v>
          </cell>
          <cell r="G6">
            <v>1</v>
          </cell>
          <cell r="H6">
            <v>50</v>
          </cell>
          <cell r="I6" t="str">
            <v>матрица</v>
          </cell>
          <cell r="K6">
            <v>155.6</v>
          </cell>
          <cell r="L6">
            <v>-8.0180000000000007</v>
          </cell>
          <cell r="O6">
            <v>0</v>
          </cell>
          <cell r="S6">
            <v>29.516399999999997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820.76199999999994</v>
          </cell>
          <cell r="D7">
            <v>820.09900000000005</v>
          </cell>
          <cell r="E7">
            <v>661.85599999999999</v>
          </cell>
          <cell r="F7">
            <v>766.928</v>
          </cell>
          <cell r="G7">
            <v>1</v>
          </cell>
          <cell r="H7">
            <v>45</v>
          </cell>
          <cell r="I7" t="str">
            <v>матрица</v>
          </cell>
          <cell r="K7">
            <v>676.3</v>
          </cell>
          <cell r="L7">
            <v>-14.44399999999996</v>
          </cell>
          <cell r="O7">
            <v>184.68157439999999</v>
          </cell>
          <cell r="Q7">
            <v>50</v>
          </cell>
          <cell r="S7">
            <v>132.37119999999999</v>
          </cell>
          <cell r="T7">
            <v>454.47362559999976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591.30899999999997</v>
          </cell>
          <cell r="D8">
            <v>961.59</v>
          </cell>
          <cell r="E8">
            <v>674.74199999999996</v>
          </cell>
          <cell r="F8">
            <v>694.64400000000001</v>
          </cell>
          <cell r="G8">
            <v>1</v>
          </cell>
          <cell r="H8">
            <v>45</v>
          </cell>
          <cell r="I8" t="str">
            <v>матрица</v>
          </cell>
          <cell r="K8">
            <v>713.55</v>
          </cell>
          <cell r="L8">
            <v>-38.807999999999993</v>
          </cell>
          <cell r="O8">
            <v>377.00872339999989</v>
          </cell>
          <cell r="Q8">
            <v>120</v>
          </cell>
          <cell r="S8">
            <v>134.94839999999999</v>
          </cell>
          <cell r="T8">
            <v>292.77967660000002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1</v>
          </cell>
          <cell r="D9">
            <v>40</v>
          </cell>
          <cell r="E9">
            <v>34</v>
          </cell>
          <cell r="F9">
            <v>3</v>
          </cell>
          <cell r="G9">
            <v>0.4</v>
          </cell>
          <cell r="H9">
            <v>50</v>
          </cell>
          <cell r="I9" t="str">
            <v>матрица</v>
          </cell>
          <cell r="K9">
            <v>38</v>
          </cell>
          <cell r="L9">
            <v>-4</v>
          </cell>
          <cell r="O9">
            <v>0</v>
          </cell>
          <cell r="S9">
            <v>6.8</v>
          </cell>
          <cell r="T9">
            <v>51.4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69</v>
          </cell>
          <cell r="D10">
            <v>354</v>
          </cell>
          <cell r="E10">
            <v>208</v>
          </cell>
          <cell r="F10">
            <v>145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279</v>
          </cell>
          <cell r="L10">
            <v>-71</v>
          </cell>
          <cell r="O10">
            <v>141</v>
          </cell>
          <cell r="Q10">
            <v>159</v>
          </cell>
          <cell r="S10">
            <v>41.6</v>
          </cell>
          <cell r="T10">
            <v>12.600000000000023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10</v>
          </cell>
          <cell r="D11">
            <v>472</v>
          </cell>
          <cell r="E11">
            <v>188</v>
          </cell>
          <cell r="F11">
            <v>193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266</v>
          </cell>
          <cell r="L11">
            <v>-78</v>
          </cell>
          <cell r="O11">
            <v>117.5</v>
          </cell>
          <cell r="Q11">
            <v>132.5</v>
          </cell>
          <cell r="S11">
            <v>37.6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S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10</v>
          </cell>
          <cell r="D13">
            <v>54</v>
          </cell>
          <cell r="E13">
            <v>53</v>
          </cell>
          <cell r="F13">
            <v>9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92</v>
          </cell>
          <cell r="L13">
            <v>-39</v>
          </cell>
          <cell r="O13">
            <v>50</v>
          </cell>
          <cell r="S13">
            <v>10.6</v>
          </cell>
          <cell r="T13">
            <v>80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8</v>
          </cell>
          <cell r="D14">
            <v>345</v>
          </cell>
          <cell r="E14">
            <v>50</v>
          </cell>
          <cell r="F14">
            <v>285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75</v>
          </cell>
          <cell r="L14">
            <v>-25</v>
          </cell>
          <cell r="O14">
            <v>70.5</v>
          </cell>
          <cell r="Q14">
            <v>79.5</v>
          </cell>
          <cell r="S14">
            <v>10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365.911</v>
          </cell>
          <cell r="D15">
            <v>250.00299999999999</v>
          </cell>
          <cell r="E15">
            <v>349.33300000000003</v>
          </cell>
          <cell r="F15">
            <v>172.76400000000001</v>
          </cell>
          <cell r="G15">
            <v>1</v>
          </cell>
          <cell r="H15">
            <v>70</v>
          </cell>
          <cell r="I15" t="str">
            <v>матрица</v>
          </cell>
          <cell r="K15">
            <v>369.68</v>
          </cell>
          <cell r="L15">
            <v>-20.34699999999998</v>
          </cell>
          <cell r="O15">
            <v>163.73361799999989</v>
          </cell>
          <cell r="Q15">
            <v>60</v>
          </cell>
          <cell r="S15">
            <v>69.866600000000005</v>
          </cell>
          <cell r="T15">
            <v>372.03498200000013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2151.0590000000002</v>
          </cell>
          <cell r="D16">
            <v>1271.2619999999999</v>
          </cell>
          <cell r="E16">
            <v>1586.4849999999999</v>
          </cell>
          <cell r="F16">
            <v>1449.9960000000001</v>
          </cell>
          <cell r="G16">
            <v>1</v>
          </cell>
          <cell r="H16">
            <v>50</v>
          </cell>
          <cell r="I16" t="str">
            <v>матрица</v>
          </cell>
          <cell r="K16">
            <v>1708.6</v>
          </cell>
          <cell r="L16">
            <v>-122.11500000000001</v>
          </cell>
          <cell r="O16">
            <v>611</v>
          </cell>
          <cell r="P16">
            <v>250</v>
          </cell>
          <cell r="Q16">
            <v>689</v>
          </cell>
          <cell r="S16">
            <v>317.29699999999997</v>
          </cell>
          <cell r="T16">
            <v>490.27099999999973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59.015999999999998</v>
          </cell>
          <cell r="D17">
            <v>42.671999999999997</v>
          </cell>
          <cell r="E17">
            <v>67.38</v>
          </cell>
          <cell r="F17">
            <v>22.001999999999999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62.1</v>
          </cell>
          <cell r="L17">
            <v>5.279999999999994</v>
          </cell>
          <cell r="O17">
            <v>93.454199999999986</v>
          </cell>
          <cell r="S17">
            <v>13.475999999999999</v>
          </cell>
          <cell r="T17">
            <v>32.779800000000009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55.344000000000001</v>
          </cell>
          <cell r="D18">
            <v>15.888999999999999</v>
          </cell>
          <cell r="E18">
            <v>56.398000000000003</v>
          </cell>
          <cell r="F18">
            <v>8.6649999999999991</v>
          </cell>
          <cell r="G18">
            <v>1</v>
          </cell>
          <cell r="H18">
            <v>60</v>
          </cell>
          <cell r="I18" t="str">
            <v>матрица</v>
          </cell>
          <cell r="K18">
            <v>51.1</v>
          </cell>
          <cell r="L18">
            <v>5.2980000000000018</v>
          </cell>
          <cell r="O18">
            <v>64.537800000000004</v>
          </cell>
          <cell r="S18">
            <v>11.2796</v>
          </cell>
          <cell r="T18">
            <v>50.872800000000005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14.396000000000001</v>
          </cell>
          <cell r="D19">
            <v>58.44</v>
          </cell>
          <cell r="E19">
            <v>15.31</v>
          </cell>
          <cell r="F19">
            <v>50.100999999999999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13.25</v>
          </cell>
          <cell r="L19">
            <v>2.0600000000000005</v>
          </cell>
          <cell r="O19">
            <v>40</v>
          </cell>
          <cell r="S19">
            <v>3.0620000000000003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250.82900000000001</v>
          </cell>
          <cell r="D20">
            <v>470.79</v>
          </cell>
          <cell r="E20">
            <v>338.63200000000001</v>
          </cell>
          <cell r="F20">
            <v>301.31900000000002</v>
          </cell>
          <cell r="G20">
            <v>1</v>
          </cell>
          <cell r="H20">
            <v>60</v>
          </cell>
          <cell r="I20" t="str">
            <v>матрица</v>
          </cell>
          <cell r="K20">
            <v>346.36</v>
          </cell>
          <cell r="L20">
            <v>-7.7280000000000086</v>
          </cell>
          <cell r="O20">
            <v>201.81852639999991</v>
          </cell>
          <cell r="Q20">
            <v>80</v>
          </cell>
          <cell r="S20">
            <v>67.726399999999998</v>
          </cell>
          <cell r="T20">
            <v>161.85287360000012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103.337</v>
          </cell>
          <cell r="D21">
            <v>68.947999999999993</v>
          </cell>
          <cell r="E21">
            <v>127.40600000000001</v>
          </cell>
          <cell r="F21">
            <v>27.236000000000001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129.58000000000001</v>
          </cell>
          <cell r="L21">
            <v>-2.1740000000000066</v>
          </cell>
          <cell r="O21">
            <v>70.5</v>
          </cell>
          <cell r="Q21">
            <v>79.5</v>
          </cell>
          <cell r="S21">
            <v>25.481200000000001</v>
          </cell>
          <cell r="T21">
            <v>103.05720000000001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-3.1789999999999998</v>
          </cell>
          <cell r="D22">
            <v>74.155000000000001</v>
          </cell>
          <cell r="E22">
            <v>32.521999999999998</v>
          </cell>
          <cell r="F22">
            <v>-1.202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46.26</v>
          </cell>
          <cell r="L22">
            <v>-13.738</v>
          </cell>
          <cell r="O22">
            <v>250</v>
          </cell>
          <cell r="S22">
            <v>6.5043999999999995</v>
          </cell>
          <cell r="T22">
            <v>100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-0.48099999999999998</v>
          </cell>
          <cell r="D23">
            <v>83.444999999999993</v>
          </cell>
          <cell r="E23">
            <v>9.7840000000000007</v>
          </cell>
          <cell r="F23">
            <v>66.563999999999993</v>
          </cell>
          <cell r="G23">
            <v>1</v>
          </cell>
          <cell r="H23">
            <v>180</v>
          </cell>
          <cell r="I23" t="str">
            <v>матрица</v>
          </cell>
          <cell r="K23">
            <v>9.27</v>
          </cell>
          <cell r="L23">
            <v>0.51400000000000112</v>
          </cell>
          <cell r="O23">
            <v>88</v>
          </cell>
          <cell r="S23">
            <v>1.9568000000000001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-11.143000000000001</v>
          </cell>
          <cell r="D24">
            <v>73.465000000000003</v>
          </cell>
          <cell r="E24">
            <v>43.853000000000002</v>
          </cell>
          <cell r="F24">
            <v>-11.355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81.94</v>
          </cell>
          <cell r="L24">
            <v>-38.086999999999996</v>
          </cell>
          <cell r="O24">
            <v>70</v>
          </cell>
          <cell r="S24">
            <v>8.7706</v>
          </cell>
          <cell r="T24">
            <v>70</v>
          </cell>
          <cell r="U24" t="str">
            <v>300КГ</v>
          </cell>
          <cell r="V24" t="str">
            <v>Промо ЖЦ</v>
          </cell>
        </row>
        <row r="25">
          <cell r="A25" t="str">
            <v xml:space="preserve"> 243  Колбаса Сервелат Зернистый, ВЕС.  ПОКОМ</v>
          </cell>
          <cell r="B25" t="str">
            <v>кг</v>
          </cell>
          <cell r="C25">
            <v>0.39800000000000002</v>
          </cell>
          <cell r="E25">
            <v>-0.71399999999999997</v>
          </cell>
          <cell r="F25">
            <v>0.39800000000000002</v>
          </cell>
          <cell r="G25">
            <v>0</v>
          </cell>
          <cell r="H25">
            <v>35</v>
          </cell>
          <cell r="I25" t="str">
            <v>не в матрице</v>
          </cell>
          <cell r="K25">
            <v>2.8</v>
          </cell>
          <cell r="L25">
            <v>-3.5139999999999998</v>
          </cell>
          <cell r="O25">
            <v>0</v>
          </cell>
          <cell r="S25">
            <v>-0.14279999999999998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O26">
            <v>0</v>
          </cell>
          <cell r="S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165.69800000000001</v>
          </cell>
          <cell r="D27">
            <v>71.355000000000004</v>
          </cell>
          <cell r="E27">
            <v>205.637</v>
          </cell>
          <cell r="F27">
            <v>8.9359999999999999</v>
          </cell>
          <cell r="G27">
            <v>1</v>
          </cell>
          <cell r="H27">
            <v>30</v>
          </cell>
          <cell r="I27" t="str">
            <v>матрица</v>
          </cell>
          <cell r="K27">
            <v>217.3</v>
          </cell>
          <cell r="L27">
            <v>-11.663000000000011</v>
          </cell>
          <cell r="O27">
            <v>99.590931999999995</v>
          </cell>
          <cell r="S27">
            <v>41.127400000000002</v>
          </cell>
          <cell r="T27">
            <v>261.61966800000005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3.702</v>
          </cell>
          <cell r="F28">
            <v>3.702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54.1</v>
          </cell>
          <cell r="L28">
            <v>-54.1</v>
          </cell>
          <cell r="O28">
            <v>100</v>
          </cell>
          <cell r="S28">
            <v>0</v>
          </cell>
          <cell r="T28">
            <v>50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-0.13</v>
          </cell>
          <cell r="D29">
            <v>240.28</v>
          </cell>
          <cell r="E29">
            <v>225.25899999999999</v>
          </cell>
          <cell r="F29">
            <v>-7.0999999999999994E-2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257.85000000000002</v>
          </cell>
          <cell r="L29">
            <v>-32.591000000000037</v>
          </cell>
          <cell r="O29">
            <v>150</v>
          </cell>
          <cell r="S29">
            <v>45.0518</v>
          </cell>
          <cell r="T29">
            <v>200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-7.4480000000000004</v>
          </cell>
          <cell r="D30">
            <v>1376.1210000000001</v>
          </cell>
          <cell r="E30">
            <v>446.45100000000002</v>
          </cell>
          <cell r="F30">
            <v>704.26199999999994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411.9</v>
          </cell>
          <cell r="L30">
            <v>34.551000000000045</v>
          </cell>
          <cell r="O30">
            <v>200</v>
          </cell>
          <cell r="S30">
            <v>89.290199999999999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0.28199999999999997</v>
          </cell>
          <cell r="F31">
            <v>0.28199999999999997</v>
          </cell>
          <cell r="G31">
            <v>1</v>
          </cell>
          <cell r="H31">
            <v>40</v>
          </cell>
          <cell r="I31" t="str">
            <v>НЕДОГРУЗ / матрица</v>
          </cell>
          <cell r="K31">
            <v>13.8</v>
          </cell>
          <cell r="L31">
            <v>-13.8</v>
          </cell>
          <cell r="O31">
            <v>20</v>
          </cell>
          <cell r="S31">
            <v>0</v>
          </cell>
          <cell r="T31">
            <v>10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13.888999999999999</v>
          </cell>
          <cell r="D32">
            <v>178.56399999999999</v>
          </cell>
          <cell r="E32">
            <v>19.670999999999999</v>
          </cell>
          <cell r="F32">
            <v>151.37299999999999</v>
          </cell>
          <cell r="G32">
            <v>1</v>
          </cell>
          <cell r="H32">
            <v>30</v>
          </cell>
          <cell r="I32" t="str">
            <v>матрица</v>
          </cell>
          <cell r="K32">
            <v>36.6</v>
          </cell>
          <cell r="L32">
            <v>-16.929000000000002</v>
          </cell>
          <cell r="O32">
            <v>0</v>
          </cell>
          <cell r="S32">
            <v>3.9341999999999997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50.965000000000003</v>
          </cell>
          <cell r="D33">
            <v>19.21</v>
          </cell>
          <cell r="E33">
            <v>57.561999999999998</v>
          </cell>
          <cell r="F33">
            <v>-0.17799999999999999</v>
          </cell>
          <cell r="G33">
            <v>1</v>
          </cell>
          <cell r="H33">
            <v>50</v>
          </cell>
          <cell r="I33" t="str">
            <v>матрица</v>
          </cell>
          <cell r="K33">
            <v>55.3</v>
          </cell>
          <cell r="L33">
            <v>2.2620000000000005</v>
          </cell>
          <cell r="O33">
            <v>70.5</v>
          </cell>
          <cell r="Q33">
            <v>79.5</v>
          </cell>
          <cell r="S33">
            <v>11.5124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B34" t="str">
            <v>кг</v>
          </cell>
          <cell r="C34">
            <v>3.173</v>
          </cell>
          <cell r="E34">
            <v>-0.90400000000000003</v>
          </cell>
          <cell r="F34">
            <v>3.173</v>
          </cell>
          <cell r="G34">
            <v>0</v>
          </cell>
          <cell r="H34">
            <v>50</v>
          </cell>
          <cell r="I34" t="str">
            <v>не в матрице</v>
          </cell>
          <cell r="K34">
            <v>13.2</v>
          </cell>
          <cell r="L34">
            <v>-14.103999999999999</v>
          </cell>
          <cell r="O34">
            <v>0</v>
          </cell>
          <cell r="S34">
            <v>-0.18080000000000002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 t="str">
            <v>кг</v>
          </cell>
          <cell r="C35">
            <v>9.5950000000000006</v>
          </cell>
          <cell r="D35">
            <v>43.792999999999999</v>
          </cell>
          <cell r="E35">
            <v>21.922999999999998</v>
          </cell>
          <cell r="F35">
            <v>12.292999999999999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20.3</v>
          </cell>
          <cell r="L35">
            <v>1.6229999999999976</v>
          </cell>
          <cell r="O35">
            <v>50</v>
          </cell>
          <cell r="S35">
            <v>4.3845999999999998</v>
          </cell>
          <cell r="T35">
            <v>20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>
            <v>3</v>
          </cell>
          <cell r="D36">
            <v>271</v>
          </cell>
          <cell r="E36">
            <v>268</v>
          </cell>
          <cell r="F36">
            <v>3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636</v>
          </cell>
          <cell r="L36">
            <v>-368</v>
          </cell>
          <cell r="O36">
            <v>300</v>
          </cell>
          <cell r="S36">
            <v>53.6</v>
          </cell>
          <cell r="T36">
            <v>200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B37" t="str">
            <v>шт</v>
          </cell>
          <cell r="C37">
            <v>17</v>
          </cell>
          <cell r="D37">
            <v>540</v>
          </cell>
          <cell r="E37">
            <v>59</v>
          </cell>
          <cell r="F37">
            <v>470</v>
          </cell>
          <cell r="G37">
            <v>0.45</v>
          </cell>
          <cell r="H37">
            <v>50</v>
          </cell>
          <cell r="I37" t="str">
            <v>матрица</v>
          </cell>
          <cell r="K37">
            <v>64</v>
          </cell>
          <cell r="L37">
            <v>-5</v>
          </cell>
          <cell r="O37">
            <v>140</v>
          </cell>
          <cell r="S37">
            <v>11.8</v>
          </cell>
        </row>
        <row r="38">
          <cell r="A38" t="str">
            <v xml:space="preserve"> 278  Сосиски Сочинки с сочным окороком, МГС 0.4кг,   ПОКОМ</v>
          </cell>
          <cell r="B38" t="str">
            <v>шт</v>
          </cell>
          <cell r="C38">
            <v>22</v>
          </cell>
          <cell r="D38">
            <v>73</v>
          </cell>
          <cell r="E38">
            <v>71</v>
          </cell>
          <cell r="F38">
            <v>22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193</v>
          </cell>
          <cell r="L38">
            <v>-122</v>
          </cell>
          <cell r="O38">
            <v>100</v>
          </cell>
          <cell r="S38">
            <v>14.2</v>
          </cell>
          <cell r="T38">
            <v>80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B39" t="str">
            <v>шт</v>
          </cell>
          <cell r="C39">
            <v>-2</v>
          </cell>
          <cell r="F39">
            <v>-2</v>
          </cell>
          <cell r="G39">
            <v>0.4</v>
          </cell>
          <cell r="H39">
            <v>40</v>
          </cell>
          <cell r="I39" t="str">
            <v>НЕДОГРУЗ / матрица</v>
          </cell>
          <cell r="K39">
            <v>6</v>
          </cell>
          <cell r="L39">
            <v>-6</v>
          </cell>
          <cell r="O39">
            <v>20</v>
          </cell>
          <cell r="S39">
            <v>0</v>
          </cell>
          <cell r="T39">
            <v>10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-0.105</v>
          </cell>
          <cell r="D40">
            <v>77.013000000000005</v>
          </cell>
          <cell r="E40">
            <v>23.242000000000001</v>
          </cell>
          <cell r="F40">
            <v>32.369</v>
          </cell>
          <cell r="G40">
            <v>1</v>
          </cell>
          <cell r="H40">
            <v>45</v>
          </cell>
          <cell r="I40" t="str">
            <v>НЕДОГРУЗ / матрица</v>
          </cell>
          <cell r="K40">
            <v>23.05</v>
          </cell>
          <cell r="L40">
            <v>0.19200000000000017</v>
          </cell>
          <cell r="O40">
            <v>40</v>
          </cell>
          <cell r="S40">
            <v>4.6484000000000005</v>
          </cell>
          <cell r="T40">
            <v>20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5</v>
          </cell>
          <cell r="D41">
            <v>920</v>
          </cell>
          <cell r="E41">
            <v>185</v>
          </cell>
          <cell r="F41">
            <v>624</v>
          </cell>
          <cell r="G41">
            <v>0.1</v>
          </cell>
          <cell r="H41">
            <v>731</v>
          </cell>
          <cell r="I41" t="str">
            <v>матрица</v>
          </cell>
          <cell r="K41">
            <v>210</v>
          </cell>
          <cell r="L41">
            <v>-25</v>
          </cell>
          <cell r="O41">
            <v>235</v>
          </cell>
          <cell r="Q41">
            <v>265</v>
          </cell>
          <cell r="S41">
            <v>37</v>
          </cell>
          <cell r="U41" t="str">
            <v>500шт</v>
          </cell>
          <cell r="V41" t="str">
            <v>Промо N+1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5</v>
          </cell>
          <cell r="D42">
            <v>1</v>
          </cell>
          <cell r="F42">
            <v>5</v>
          </cell>
          <cell r="G42">
            <v>0.35</v>
          </cell>
          <cell r="H42">
            <v>40</v>
          </cell>
          <cell r="I42" t="str">
            <v>НЕДОГРУЗ / матрица</v>
          </cell>
          <cell r="K42">
            <v>68</v>
          </cell>
          <cell r="L42">
            <v>-68</v>
          </cell>
          <cell r="O42">
            <v>150</v>
          </cell>
          <cell r="S42">
            <v>0</v>
          </cell>
          <cell r="T42">
            <v>50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24.088000000000001</v>
          </cell>
          <cell r="D43">
            <v>44.323999999999998</v>
          </cell>
          <cell r="E43">
            <v>42.207000000000001</v>
          </cell>
          <cell r="F43">
            <v>1.2E-2</v>
          </cell>
          <cell r="G43">
            <v>1</v>
          </cell>
          <cell r="H43">
            <v>40</v>
          </cell>
          <cell r="I43" t="str">
            <v>НЕДОГРУЗ / матрица</v>
          </cell>
          <cell r="K43">
            <v>57.2</v>
          </cell>
          <cell r="L43">
            <v>-14.993000000000002</v>
          </cell>
          <cell r="O43">
            <v>60</v>
          </cell>
          <cell r="S43">
            <v>8.4413999999999998</v>
          </cell>
          <cell r="T43">
            <v>50</v>
          </cell>
          <cell r="U43" t="str">
            <v>125кг</v>
          </cell>
          <cell r="V43" t="str">
            <v>Промо ЖЦ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13</v>
          </cell>
          <cell r="D44">
            <v>150</v>
          </cell>
          <cell r="E44">
            <v>58</v>
          </cell>
          <cell r="F44">
            <v>96</v>
          </cell>
          <cell r="G44">
            <v>0.4</v>
          </cell>
          <cell r="H44">
            <v>40</v>
          </cell>
          <cell r="I44" t="str">
            <v>НЕДОГРУЗ / матрица</v>
          </cell>
          <cell r="K44">
            <v>80</v>
          </cell>
          <cell r="L44">
            <v>-22</v>
          </cell>
          <cell r="O44">
            <v>100</v>
          </cell>
          <cell r="S44">
            <v>11.6</v>
          </cell>
          <cell r="T44">
            <v>40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16</v>
          </cell>
          <cell r="D45">
            <v>162</v>
          </cell>
          <cell r="E45">
            <v>57</v>
          </cell>
          <cell r="F45">
            <v>111</v>
          </cell>
          <cell r="G45">
            <v>0.4</v>
          </cell>
          <cell r="H45">
            <v>45</v>
          </cell>
          <cell r="I45" t="str">
            <v>НЕДОГРУЗ / матрица</v>
          </cell>
          <cell r="K45">
            <v>86</v>
          </cell>
          <cell r="L45">
            <v>-29</v>
          </cell>
          <cell r="O45">
            <v>150</v>
          </cell>
          <cell r="S45">
            <v>11.4</v>
          </cell>
          <cell r="T45">
            <v>50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2.2000000000000002</v>
          </cell>
          <cell r="F46">
            <v>2.2000000000000002</v>
          </cell>
          <cell r="G46">
            <v>0</v>
          </cell>
          <cell r="H46">
            <v>40</v>
          </cell>
          <cell r="I46" t="str">
            <v>не в матрице</v>
          </cell>
          <cell r="K46">
            <v>22.8</v>
          </cell>
          <cell r="L46">
            <v>-22.8</v>
          </cell>
          <cell r="O46">
            <v>0</v>
          </cell>
          <cell r="S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-7.6029999999999998</v>
          </cell>
          <cell r="D47">
            <v>43.99</v>
          </cell>
          <cell r="E47">
            <v>24.911999999999999</v>
          </cell>
          <cell r="F47">
            <v>-6.1449999999999996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26.4</v>
          </cell>
          <cell r="L47">
            <v>-1.4879999999999995</v>
          </cell>
          <cell r="O47">
            <v>50</v>
          </cell>
          <cell r="S47">
            <v>4.9824000000000002</v>
          </cell>
          <cell r="T47">
            <v>20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4</v>
          </cell>
          <cell r="D48">
            <v>145</v>
          </cell>
          <cell r="E48">
            <v>98</v>
          </cell>
          <cell r="F48">
            <v>4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152</v>
          </cell>
          <cell r="L48">
            <v>-54</v>
          </cell>
          <cell r="O48">
            <v>150</v>
          </cell>
          <cell r="S48">
            <v>19.600000000000001</v>
          </cell>
          <cell r="T48">
            <v>120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6</v>
          </cell>
          <cell r="D49">
            <v>295</v>
          </cell>
          <cell r="E49">
            <v>155</v>
          </cell>
          <cell r="F49">
            <v>96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197</v>
          </cell>
          <cell r="L49">
            <v>-42</v>
          </cell>
          <cell r="O49">
            <v>150</v>
          </cell>
          <cell r="S49">
            <v>31</v>
          </cell>
          <cell r="T49">
            <v>100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44.265000000000001</v>
          </cell>
          <cell r="D50">
            <v>86.4</v>
          </cell>
          <cell r="E50">
            <v>33.704000000000001</v>
          </cell>
          <cell r="F50">
            <v>90.221000000000004</v>
          </cell>
          <cell r="G50">
            <v>1</v>
          </cell>
          <cell r="H50">
            <v>50</v>
          </cell>
          <cell r="I50" t="str">
            <v>матрица</v>
          </cell>
          <cell r="K50">
            <v>31.3</v>
          </cell>
          <cell r="L50">
            <v>2.4039999999999999</v>
          </cell>
          <cell r="O50">
            <v>93.555600000000041</v>
          </cell>
          <cell r="S50">
            <v>6.7408000000000001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80.350999999999999</v>
          </cell>
          <cell r="D51">
            <v>218.518</v>
          </cell>
          <cell r="E51">
            <v>65.08</v>
          </cell>
          <cell r="F51">
            <v>198.05699999999999</v>
          </cell>
          <cell r="G51">
            <v>1</v>
          </cell>
          <cell r="H51">
            <v>50</v>
          </cell>
          <cell r="I51" t="str">
            <v>матрица</v>
          </cell>
          <cell r="K51">
            <v>68.650000000000006</v>
          </cell>
          <cell r="L51">
            <v>-3.5700000000000074</v>
          </cell>
          <cell r="O51">
            <v>70.5</v>
          </cell>
          <cell r="Q51">
            <v>79.5</v>
          </cell>
          <cell r="S51">
            <v>13.016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-0.125</v>
          </cell>
          <cell r="F52">
            <v>-0.125</v>
          </cell>
          <cell r="G52">
            <v>1</v>
          </cell>
          <cell r="H52">
            <v>45</v>
          </cell>
          <cell r="I52" t="str">
            <v>НЕДОГРУЗ / матрица</v>
          </cell>
          <cell r="K52">
            <v>7.6</v>
          </cell>
          <cell r="L52">
            <v>-7.6</v>
          </cell>
          <cell r="O52">
            <v>50</v>
          </cell>
          <cell r="S52">
            <v>0</v>
          </cell>
          <cell r="T52">
            <v>30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53</v>
          </cell>
          <cell r="D53">
            <v>160</v>
          </cell>
          <cell r="E53">
            <v>105</v>
          </cell>
          <cell r="F53">
            <v>91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144</v>
          </cell>
          <cell r="L53">
            <v>-39</v>
          </cell>
          <cell r="O53">
            <v>117.5</v>
          </cell>
          <cell r="Q53">
            <v>132.5</v>
          </cell>
          <cell r="S53">
            <v>21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101</v>
          </cell>
          <cell r="D54">
            <v>420</v>
          </cell>
          <cell r="E54">
            <v>130</v>
          </cell>
          <cell r="F54">
            <v>381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148</v>
          </cell>
          <cell r="L54">
            <v>-18</v>
          </cell>
          <cell r="O54">
            <v>94</v>
          </cell>
          <cell r="Q54">
            <v>106</v>
          </cell>
          <cell r="S54">
            <v>26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-3</v>
          </cell>
          <cell r="E55">
            <v>2</v>
          </cell>
          <cell r="F55">
            <v>-6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3</v>
          </cell>
          <cell r="L55">
            <v>-1</v>
          </cell>
          <cell r="O55">
            <v>120</v>
          </cell>
          <cell r="S55">
            <v>0.4</v>
          </cell>
          <cell r="T55">
            <v>50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22</v>
          </cell>
          <cell r="D56">
            <v>168</v>
          </cell>
          <cell r="E56">
            <v>46</v>
          </cell>
          <cell r="F56">
            <v>121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117</v>
          </cell>
          <cell r="L56">
            <v>-71</v>
          </cell>
          <cell r="O56">
            <v>120</v>
          </cell>
          <cell r="S56">
            <v>9.1999999999999993</v>
          </cell>
          <cell r="T56">
            <v>60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78.028999999999996</v>
          </cell>
          <cell r="D57">
            <v>208.74</v>
          </cell>
          <cell r="E57">
            <v>50.591000000000001</v>
          </cell>
          <cell r="F57">
            <v>226.149</v>
          </cell>
          <cell r="G57">
            <v>1</v>
          </cell>
          <cell r="H57">
            <v>50</v>
          </cell>
          <cell r="I57" t="str">
            <v>матрица</v>
          </cell>
          <cell r="K57">
            <v>54</v>
          </cell>
          <cell r="L57">
            <v>-3.4089999999999989</v>
          </cell>
          <cell r="O57">
            <v>70.5</v>
          </cell>
          <cell r="Q57">
            <v>79.5</v>
          </cell>
          <cell r="S57">
            <v>10.1182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146</v>
          </cell>
          <cell r="D58">
            <v>504</v>
          </cell>
          <cell r="E58">
            <v>293</v>
          </cell>
          <cell r="F58">
            <v>48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265</v>
          </cell>
          <cell r="L58">
            <v>28</v>
          </cell>
          <cell r="O58">
            <v>376</v>
          </cell>
          <cell r="Q58">
            <v>424</v>
          </cell>
          <cell r="S58">
            <v>58.6</v>
          </cell>
          <cell r="U58" t="str">
            <v>1000шт</v>
          </cell>
          <cell r="V58" t="str">
            <v>Промо N+1 + бонус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67.572000000000003</v>
          </cell>
          <cell r="D59">
            <v>116.086</v>
          </cell>
          <cell r="E59">
            <v>38.067999999999998</v>
          </cell>
          <cell r="F59">
            <v>114.29600000000001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43.6</v>
          </cell>
          <cell r="L59">
            <v>-5.5320000000000036</v>
          </cell>
          <cell r="O59">
            <v>70.5</v>
          </cell>
          <cell r="Q59">
            <v>79.5</v>
          </cell>
          <cell r="S59">
            <v>7.6135999999999999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21.689</v>
          </cell>
          <cell r="D60">
            <v>59.387</v>
          </cell>
          <cell r="E60">
            <v>21.905999999999999</v>
          </cell>
          <cell r="F60">
            <v>56.43</v>
          </cell>
          <cell r="G60">
            <v>1</v>
          </cell>
          <cell r="H60">
            <v>55</v>
          </cell>
          <cell r="I60" t="str">
            <v>матрица</v>
          </cell>
          <cell r="K60">
            <v>19.600000000000001</v>
          </cell>
          <cell r="L60">
            <v>2.3059999999999974</v>
          </cell>
          <cell r="O60">
            <v>44.261800000000008</v>
          </cell>
          <cell r="S60">
            <v>4.3811999999999998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-10</v>
          </cell>
          <cell r="D61">
            <v>840</v>
          </cell>
          <cell r="E61">
            <v>136</v>
          </cell>
          <cell r="F61">
            <v>603</v>
          </cell>
          <cell r="G61">
            <v>0.1</v>
          </cell>
          <cell r="H61">
            <v>731</v>
          </cell>
          <cell r="I61" t="str">
            <v>матрица</v>
          </cell>
          <cell r="K61">
            <v>161</v>
          </cell>
          <cell r="L61">
            <v>-25</v>
          </cell>
          <cell r="O61">
            <v>235</v>
          </cell>
          <cell r="Q61">
            <v>265</v>
          </cell>
          <cell r="S61">
            <v>27.2</v>
          </cell>
          <cell r="U61" t="str">
            <v xml:space="preserve">200шт </v>
          </cell>
          <cell r="V61" t="str">
            <v xml:space="preserve">Промо N+1 + 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25</v>
          </cell>
          <cell r="D62">
            <v>50</v>
          </cell>
          <cell r="E62">
            <v>22</v>
          </cell>
          <cell r="F62">
            <v>47</v>
          </cell>
          <cell r="G62">
            <v>0.4</v>
          </cell>
          <cell r="H62">
            <v>50</v>
          </cell>
          <cell r="I62" t="str">
            <v>матрица</v>
          </cell>
          <cell r="K62">
            <v>22</v>
          </cell>
          <cell r="L62">
            <v>0</v>
          </cell>
          <cell r="O62">
            <v>18.999999999999989</v>
          </cell>
          <cell r="S62">
            <v>4.4000000000000004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-0.79800000000000004</v>
          </cell>
          <cell r="D63">
            <v>96.602000000000004</v>
          </cell>
          <cell r="E63">
            <v>67.424000000000007</v>
          </cell>
          <cell r="F63">
            <v>0.61599999999999999</v>
          </cell>
          <cell r="G63">
            <v>1</v>
          </cell>
          <cell r="H63">
            <v>40</v>
          </cell>
          <cell r="I63" t="str">
            <v>НЕДОГРУЗ / матрица</v>
          </cell>
          <cell r="K63">
            <v>73.599999999999994</v>
          </cell>
          <cell r="L63">
            <v>-6.1759999999999877</v>
          </cell>
          <cell r="O63">
            <v>47.746800000000007</v>
          </cell>
          <cell r="S63">
            <v>13.484800000000002</v>
          </cell>
          <cell r="T63">
            <v>50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2.4620000000000002</v>
          </cell>
          <cell r="D64">
            <v>369.90800000000002</v>
          </cell>
          <cell r="E64">
            <v>67.777000000000001</v>
          </cell>
          <cell r="F64">
            <v>245.821</v>
          </cell>
          <cell r="G64">
            <v>1</v>
          </cell>
          <cell r="H64">
            <v>40</v>
          </cell>
          <cell r="I64" t="str">
            <v>матрица</v>
          </cell>
          <cell r="K64">
            <v>89.25</v>
          </cell>
          <cell r="L64">
            <v>-21.472999999999999</v>
          </cell>
          <cell r="O64">
            <v>0</v>
          </cell>
          <cell r="S64">
            <v>13.555400000000001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323</v>
          </cell>
          <cell r="D65">
            <v>252</v>
          </cell>
          <cell r="E65">
            <v>252</v>
          </cell>
          <cell r="F65">
            <v>323</v>
          </cell>
          <cell r="G65">
            <v>0.4</v>
          </cell>
          <cell r="H65">
            <v>40</v>
          </cell>
          <cell r="I65" t="str">
            <v>матрица</v>
          </cell>
          <cell r="K65">
            <v>491</v>
          </cell>
          <cell r="L65">
            <v>-239</v>
          </cell>
          <cell r="O65">
            <v>0</v>
          </cell>
          <cell r="S65">
            <v>50.4</v>
          </cell>
          <cell r="T65">
            <v>181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8</v>
          </cell>
          <cell r="D66">
            <v>372</v>
          </cell>
          <cell r="E66">
            <v>207</v>
          </cell>
          <cell r="F66">
            <v>83</v>
          </cell>
          <cell r="G66">
            <v>0.4</v>
          </cell>
          <cell r="H66">
            <v>40</v>
          </cell>
          <cell r="I66" t="str">
            <v>НЕДОГРУЗ / матрица</v>
          </cell>
          <cell r="K66">
            <v>261</v>
          </cell>
          <cell r="L66">
            <v>-54</v>
          </cell>
          <cell r="O66">
            <v>300</v>
          </cell>
          <cell r="S66">
            <v>41.4</v>
          </cell>
          <cell r="T66">
            <v>200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-4.2160000000000002</v>
          </cell>
          <cell r="D67">
            <v>70.847999999999999</v>
          </cell>
          <cell r="E67">
            <v>15.427</v>
          </cell>
          <cell r="F67">
            <v>12.18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19</v>
          </cell>
          <cell r="L67">
            <v>-3.5730000000000004</v>
          </cell>
          <cell r="O67">
            <v>70</v>
          </cell>
          <cell r="S67">
            <v>3.0853999999999999</v>
          </cell>
          <cell r="T67">
            <v>60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-0.66700000000000004</v>
          </cell>
          <cell r="D68">
            <v>70.194999999999993</v>
          </cell>
          <cell r="E68">
            <v>16.207000000000001</v>
          </cell>
          <cell r="F68">
            <v>12.801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18.8</v>
          </cell>
          <cell r="L68">
            <v>-2.593</v>
          </cell>
          <cell r="O68">
            <v>70</v>
          </cell>
          <cell r="S68">
            <v>3.2414000000000001</v>
          </cell>
          <cell r="T68">
            <v>50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3.847</v>
          </cell>
          <cell r="D69">
            <v>141.20099999999999</v>
          </cell>
          <cell r="E69">
            <v>67.840999999999994</v>
          </cell>
          <cell r="F69">
            <v>14.624000000000001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157.6</v>
          </cell>
          <cell r="L69">
            <v>-89.759</v>
          </cell>
          <cell r="O69">
            <v>180</v>
          </cell>
          <cell r="S69">
            <v>13.568199999999999</v>
          </cell>
          <cell r="T69">
            <v>80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7.3179999999999996</v>
          </cell>
          <cell r="D70">
            <v>70.774000000000001</v>
          </cell>
          <cell r="E70">
            <v>63.493000000000002</v>
          </cell>
          <cell r="F70">
            <v>5.5129999999999999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101.4</v>
          </cell>
          <cell r="L70">
            <v>-37.907000000000004</v>
          </cell>
          <cell r="O70">
            <v>80</v>
          </cell>
          <cell r="S70">
            <v>12.698600000000001</v>
          </cell>
          <cell r="T70">
            <v>60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32</v>
          </cell>
          <cell r="F71">
            <v>14</v>
          </cell>
          <cell r="G71">
            <v>0.6</v>
          </cell>
          <cell r="H71">
            <v>70</v>
          </cell>
          <cell r="I71" t="str">
            <v>матрица</v>
          </cell>
          <cell r="L71">
            <v>0</v>
          </cell>
          <cell r="O71">
            <v>0</v>
          </cell>
          <cell r="S71">
            <v>0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66.745999999999995</v>
          </cell>
          <cell r="D72">
            <v>476.15899999999999</v>
          </cell>
          <cell r="E72">
            <v>127.206</v>
          </cell>
          <cell r="F72">
            <v>285.69200000000001</v>
          </cell>
          <cell r="G72">
            <v>1</v>
          </cell>
          <cell r="H72">
            <v>30</v>
          </cell>
          <cell r="I72" t="str">
            <v>НЕДОГРУЗ / матрица</v>
          </cell>
          <cell r="K72">
            <v>278.5</v>
          </cell>
          <cell r="L72">
            <v>-151.29399999999998</v>
          </cell>
          <cell r="O72">
            <v>320.2200522</v>
          </cell>
          <cell r="Q72">
            <v>250</v>
          </cell>
          <cell r="R72">
            <v>-130</v>
          </cell>
          <cell r="S72">
            <v>25.441200000000002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G73">
            <v>0</v>
          </cell>
          <cell r="I73" t="str">
            <v>матрица</v>
          </cell>
          <cell r="L73">
            <v>0</v>
          </cell>
          <cell r="O73">
            <v>0</v>
          </cell>
          <cell r="S73">
            <v>0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37</v>
          </cell>
          <cell r="D74">
            <v>224</v>
          </cell>
          <cell r="E74">
            <v>34</v>
          </cell>
          <cell r="F74">
            <v>227</v>
          </cell>
          <cell r="G74">
            <v>0.6</v>
          </cell>
          <cell r="H74">
            <v>60</v>
          </cell>
          <cell r="I74" t="str">
            <v>матрица</v>
          </cell>
          <cell r="K74">
            <v>36</v>
          </cell>
          <cell r="L74">
            <v>-2</v>
          </cell>
          <cell r="O74">
            <v>80</v>
          </cell>
          <cell r="S74">
            <v>6.8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5</v>
          </cell>
          <cell r="D75">
            <v>184</v>
          </cell>
          <cell r="E75">
            <v>52</v>
          </cell>
          <cell r="F75">
            <v>124</v>
          </cell>
          <cell r="G75">
            <v>0.4</v>
          </cell>
          <cell r="H75">
            <v>90</v>
          </cell>
          <cell r="I75" t="str">
            <v>матрица</v>
          </cell>
          <cell r="K75">
            <v>70</v>
          </cell>
          <cell r="L75">
            <v>-18</v>
          </cell>
          <cell r="O75">
            <v>70.5</v>
          </cell>
          <cell r="Q75">
            <v>79.5</v>
          </cell>
          <cell r="S75">
            <v>10.4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6</v>
          </cell>
          <cell r="D76">
            <v>382</v>
          </cell>
          <cell r="E76">
            <v>107</v>
          </cell>
          <cell r="F76">
            <v>256</v>
          </cell>
          <cell r="G76">
            <v>0.33</v>
          </cell>
          <cell r="H76">
            <v>60</v>
          </cell>
          <cell r="I76" t="str">
            <v>матрица</v>
          </cell>
          <cell r="K76">
            <v>152</v>
          </cell>
          <cell r="L76">
            <v>-45</v>
          </cell>
          <cell r="O76">
            <v>56.4</v>
          </cell>
          <cell r="Q76">
            <v>63.6</v>
          </cell>
          <cell r="S76">
            <v>21.4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3</v>
          </cell>
          <cell r="D77">
            <v>120</v>
          </cell>
          <cell r="E77">
            <v>59</v>
          </cell>
          <cell r="F77">
            <v>40</v>
          </cell>
          <cell r="G77">
            <v>0.35</v>
          </cell>
          <cell r="H77">
            <v>90</v>
          </cell>
          <cell r="I77" t="str">
            <v>матрица</v>
          </cell>
          <cell r="K77">
            <v>77</v>
          </cell>
          <cell r="L77">
            <v>-18</v>
          </cell>
          <cell r="O77">
            <v>70.5</v>
          </cell>
          <cell r="Q77">
            <v>79.5</v>
          </cell>
          <cell r="S77">
            <v>11.8</v>
          </cell>
        </row>
        <row r="78">
          <cell r="A78" t="str">
            <v xml:space="preserve"> 395  Колбаса Докторская ГОСТ ТМ Вязанка в оболочке полиамид 0,37 кг. ПОКОМ</v>
          </cell>
          <cell r="B78" t="str">
            <v>шт</v>
          </cell>
          <cell r="C78">
            <v>4</v>
          </cell>
          <cell r="D78">
            <v>480</v>
          </cell>
          <cell r="E78">
            <v>5</v>
          </cell>
          <cell r="F78">
            <v>473</v>
          </cell>
          <cell r="G78">
            <v>0.37</v>
          </cell>
          <cell r="H78">
            <v>50</v>
          </cell>
          <cell r="I78" t="str">
            <v>матрица</v>
          </cell>
          <cell r="K78">
            <v>6</v>
          </cell>
          <cell r="L78">
            <v>-1</v>
          </cell>
          <cell r="O78">
            <v>94</v>
          </cell>
          <cell r="Q78">
            <v>106</v>
          </cell>
          <cell r="S78">
            <v>1</v>
          </cell>
        </row>
        <row r="79">
          <cell r="A79" t="str">
            <v xml:space="preserve"> 397  Ветчина Дугушка ТМ Стародворье ТС Дугушка в полиамидной оболочке 0,6 кг. ПОКОМ</v>
          </cell>
          <cell r="B79" t="str">
            <v>шт</v>
          </cell>
          <cell r="G79">
            <v>0</v>
          </cell>
          <cell r="I79" t="str">
            <v>матрица</v>
          </cell>
          <cell r="L79">
            <v>0</v>
          </cell>
          <cell r="O79">
            <v>0</v>
          </cell>
          <cell r="S79">
            <v>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1</v>
          </cell>
          <cell r="D80">
            <v>186</v>
          </cell>
          <cell r="E80">
            <v>38</v>
          </cell>
          <cell r="F80">
            <v>118</v>
          </cell>
          <cell r="G80">
            <v>0.33</v>
          </cell>
          <cell r="H80">
            <v>40</v>
          </cell>
          <cell r="I80" t="str">
            <v>матрица</v>
          </cell>
          <cell r="K80">
            <v>58</v>
          </cell>
          <cell r="L80">
            <v>-20</v>
          </cell>
          <cell r="O80">
            <v>0</v>
          </cell>
          <cell r="S80">
            <v>7.6</v>
          </cell>
        </row>
        <row r="81">
          <cell r="A81" t="str">
            <v xml:space="preserve"> 408  Ветчина Сливушка с индейкой ТМ Вязанка, 0,4кг  ПОКОМ</v>
          </cell>
          <cell r="B81" t="str">
            <v>шт</v>
          </cell>
          <cell r="C81">
            <v>228</v>
          </cell>
          <cell r="E81">
            <v>93</v>
          </cell>
          <cell r="F81">
            <v>132</v>
          </cell>
          <cell r="G81">
            <v>0.4</v>
          </cell>
          <cell r="H81">
            <v>55</v>
          </cell>
          <cell r="I81" t="str">
            <v>матрица</v>
          </cell>
          <cell r="K81">
            <v>92</v>
          </cell>
          <cell r="L81">
            <v>1</v>
          </cell>
          <cell r="O81">
            <v>60</v>
          </cell>
          <cell r="S81">
            <v>18.600000000000001</v>
          </cell>
          <cell r="T81">
            <v>12.600000000000023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5</v>
          </cell>
          <cell r="F82">
            <v>5</v>
          </cell>
          <cell r="G82">
            <v>0.35</v>
          </cell>
          <cell r="H82">
            <v>40</v>
          </cell>
          <cell r="I82" t="str">
            <v>НЕДОГРУЗ / матрица</v>
          </cell>
          <cell r="K82">
            <v>4</v>
          </cell>
          <cell r="L82">
            <v>-4</v>
          </cell>
          <cell r="O82">
            <v>20</v>
          </cell>
          <cell r="S82">
            <v>0</v>
          </cell>
          <cell r="T82">
            <v>10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5</v>
          </cell>
          <cell r="D83">
            <v>42</v>
          </cell>
          <cell r="E83">
            <v>18</v>
          </cell>
          <cell r="F83">
            <v>29</v>
          </cell>
          <cell r="G83">
            <v>0.35</v>
          </cell>
          <cell r="H83">
            <v>45</v>
          </cell>
          <cell r="I83" t="str">
            <v>НЕДОГРУЗ / матрица</v>
          </cell>
          <cell r="K83">
            <v>18</v>
          </cell>
          <cell r="L83">
            <v>0</v>
          </cell>
          <cell r="O83">
            <v>30</v>
          </cell>
          <cell r="S83">
            <v>3.6</v>
          </cell>
          <cell r="T83">
            <v>20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S84">
            <v>0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S85">
            <v>0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-5</v>
          </cell>
          <cell r="F86">
            <v>-5</v>
          </cell>
          <cell r="G86">
            <v>0</v>
          </cell>
          <cell r="H86">
            <v>55</v>
          </cell>
          <cell r="I86" t="str">
            <v>не в матрице</v>
          </cell>
          <cell r="L86">
            <v>0</v>
          </cell>
          <cell r="O86">
            <v>0</v>
          </cell>
          <cell r="S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12.851000000000001</v>
          </cell>
          <cell r="D87">
            <v>34.451000000000001</v>
          </cell>
          <cell r="E87">
            <v>4.3120000000000003</v>
          </cell>
          <cell r="F87">
            <v>41.537999999999997</v>
          </cell>
          <cell r="G87">
            <v>1</v>
          </cell>
          <cell r="H87">
            <v>55</v>
          </cell>
          <cell r="I87" t="str">
            <v>матрица</v>
          </cell>
          <cell r="K87">
            <v>4</v>
          </cell>
          <cell r="L87">
            <v>0.31200000000000028</v>
          </cell>
          <cell r="O87">
            <v>0</v>
          </cell>
          <cell r="S87">
            <v>0.86240000000000006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205.08</v>
          </cell>
          <cell r="D88">
            <v>219.38399999999999</v>
          </cell>
          <cell r="E88">
            <v>204.114</v>
          </cell>
          <cell r="F88">
            <v>184.55600000000001</v>
          </cell>
          <cell r="G88">
            <v>1</v>
          </cell>
          <cell r="H88">
            <v>60</v>
          </cell>
          <cell r="I88" t="str">
            <v>матрица</v>
          </cell>
          <cell r="K88">
            <v>222.86</v>
          </cell>
          <cell r="L88">
            <v>-18.746000000000009</v>
          </cell>
          <cell r="O88">
            <v>8.8788000000001261</v>
          </cell>
          <cell r="S88">
            <v>40.822800000000001</v>
          </cell>
          <cell r="T88">
            <v>255.61599999999984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S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2495.194</v>
          </cell>
          <cell r="D90">
            <v>35.19</v>
          </cell>
          <cell r="E90">
            <v>1515.9059999999999</v>
          </cell>
          <cell r="F90">
            <v>644.65</v>
          </cell>
          <cell r="G90">
            <v>1</v>
          </cell>
          <cell r="H90">
            <v>60</v>
          </cell>
          <cell r="I90" t="str">
            <v>матрица</v>
          </cell>
          <cell r="K90">
            <v>1632</v>
          </cell>
          <cell r="L90">
            <v>-116.09400000000005</v>
          </cell>
          <cell r="O90">
            <v>659.76607199999967</v>
          </cell>
          <cell r="Q90">
            <v>650</v>
          </cell>
          <cell r="S90">
            <v>303.18119999999999</v>
          </cell>
          <cell r="T90">
            <v>1380.5771280000004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1034.9259999999999</v>
          </cell>
          <cell r="D91">
            <v>1582.2750000000001</v>
          </cell>
          <cell r="E91">
            <v>1287.2550000000001</v>
          </cell>
          <cell r="F91">
            <v>984.27800000000002</v>
          </cell>
          <cell r="G91">
            <v>1</v>
          </cell>
          <cell r="H91">
            <v>60</v>
          </cell>
          <cell r="I91" t="str">
            <v>матрица</v>
          </cell>
          <cell r="K91">
            <v>1436.5</v>
          </cell>
          <cell r="L91">
            <v>-149.24499999999989</v>
          </cell>
          <cell r="O91">
            <v>611</v>
          </cell>
          <cell r="P91">
            <v>400</v>
          </cell>
          <cell r="Q91">
            <v>600</v>
          </cell>
          <cell r="S91">
            <v>257.45100000000002</v>
          </cell>
          <cell r="T91">
            <v>236.68300000000022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2752.576</v>
          </cell>
          <cell r="D92">
            <v>1239.71</v>
          </cell>
          <cell r="E92">
            <v>2011.164</v>
          </cell>
          <cell r="F92">
            <v>1544.768</v>
          </cell>
          <cell r="G92">
            <v>1</v>
          </cell>
          <cell r="H92">
            <v>60</v>
          </cell>
          <cell r="I92" t="str">
            <v>матрица</v>
          </cell>
          <cell r="K92">
            <v>2220.5</v>
          </cell>
          <cell r="L92">
            <v>-209.33600000000001</v>
          </cell>
          <cell r="O92">
            <v>860.09999999999991</v>
          </cell>
          <cell r="P92">
            <v>350</v>
          </cell>
          <cell r="Q92">
            <v>900</v>
          </cell>
          <cell r="S92">
            <v>402.2328</v>
          </cell>
          <cell r="T92">
            <v>769.69280000000026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O93">
            <v>0</v>
          </cell>
          <cell r="S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C94">
            <v>-13</v>
          </cell>
          <cell r="D94">
            <v>3</v>
          </cell>
          <cell r="E94">
            <v>-4</v>
          </cell>
          <cell r="F94">
            <v>-11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4</v>
          </cell>
          <cell r="L94">
            <v>-8</v>
          </cell>
          <cell r="O94">
            <v>100</v>
          </cell>
          <cell r="S94">
            <v>-0.8</v>
          </cell>
          <cell r="T94">
            <v>50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0.3</v>
          </cell>
          <cell r="I95" t="str">
            <v>матрица</v>
          </cell>
          <cell r="L95">
            <v>0</v>
          </cell>
          <cell r="O95">
            <v>80</v>
          </cell>
          <cell r="S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27</v>
          </cell>
          <cell r="D96">
            <v>54</v>
          </cell>
          <cell r="E96">
            <v>26</v>
          </cell>
          <cell r="F96">
            <v>39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31</v>
          </cell>
          <cell r="L96">
            <v>-5</v>
          </cell>
          <cell r="O96">
            <v>40</v>
          </cell>
          <cell r="S96">
            <v>5.2</v>
          </cell>
          <cell r="T96">
            <v>20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D97">
            <v>54</v>
          </cell>
          <cell r="E97">
            <v>21</v>
          </cell>
          <cell r="F97">
            <v>26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27</v>
          </cell>
          <cell r="L97">
            <v>-6</v>
          </cell>
          <cell r="O97">
            <v>30</v>
          </cell>
          <cell r="S97">
            <v>4.2</v>
          </cell>
          <cell r="T97">
            <v>20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9</v>
          </cell>
          <cell r="D98">
            <v>198</v>
          </cell>
          <cell r="E98">
            <v>35</v>
          </cell>
          <cell r="F98">
            <v>163</v>
          </cell>
          <cell r="G98">
            <v>7.0000000000000007E-2</v>
          </cell>
          <cell r="H98">
            <v>90</v>
          </cell>
          <cell r="I98" t="str">
            <v>матрица</v>
          </cell>
          <cell r="K98">
            <v>42</v>
          </cell>
          <cell r="L98">
            <v>-7</v>
          </cell>
          <cell r="O98">
            <v>100</v>
          </cell>
          <cell r="S98">
            <v>7</v>
          </cell>
        </row>
        <row r="99">
          <cell r="A99" t="str">
            <v xml:space="preserve"> 526  Корейка вяленая выдержанная нарезка 0,05кг ТМ Стародворье  ПОКОМ</v>
          </cell>
          <cell r="B99" t="str">
            <v>шт</v>
          </cell>
          <cell r="C99">
            <v>7</v>
          </cell>
          <cell r="F99">
            <v>7</v>
          </cell>
          <cell r="G99">
            <v>0</v>
          </cell>
          <cell r="H99">
            <v>90</v>
          </cell>
          <cell r="I99" t="str">
            <v>не в матрице</v>
          </cell>
          <cell r="K99">
            <v>29</v>
          </cell>
          <cell r="L99">
            <v>-29</v>
          </cell>
          <cell r="O99">
            <v>0</v>
          </cell>
          <cell r="S99">
            <v>0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C100">
            <v>1</v>
          </cell>
          <cell r="F100">
            <v>1</v>
          </cell>
          <cell r="G100">
            <v>0</v>
          </cell>
          <cell r="I100" t="str">
            <v>не в матрице</v>
          </cell>
          <cell r="K100">
            <v>1</v>
          </cell>
          <cell r="L100">
            <v>-1</v>
          </cell>
          <cell r="O100">
            <v>0</v>
          </cell>
          <cell r="S100">
            <v>0</v>
          </cell>
        </row>
        <row r="101">
          <cell r="A101" t="str">
            <v xml:space="preserve"> 544  Сосиски Мясные для гриля ТС Ядрена копоть 0,3 кг  ПОКОМ</v>
          </cell>
          <cell r="B101" t="str">
            <v>шт</v>
          </cell>
          <cell r="G101">
            <v>0.3</v>
          </cell>
          <cell r="I101" t="str">
            <v>матрица</v>
          </cell>
          <cell r="L101">
            <v>0</v>
          </cell>
          <cell r="O101">
            <v>80</v>
          </cell>
          <cell r="S101">
            <v>0</v>
          </cell>
        </row>
        <row r="102">
          <cell r="A102" t="str">
            <v xml:space="preserve"> 547  Колбаса Мясная Классическая ТМ Вязанка в оболочке полиамид. ВЕС  ПОКОМ</v>
          </cell>
          <cell r="B102" t="str">
            <v>кг</v>
          </cell>
          <cell r="C102">
            <v>-3.173</v>
          </cell>
          <cell r="F102">
            <v>-3.173</v>
          </cell>
          <cell r="G102">
            <v>0</v>
          </cell>
          <cell r="I102" t="str">
            <v>матрица</v>
          </cell>
          <cell r="K102">
            <v>1</v>
          </cell>
          <cell r="L102">
            <v>-1</v>
          </cell>
          <cell r="O102">
            <v>0</v>
          </cell>
          <cell r="S102">
            <v>0</v>
          </cell>
        </row>
        <row r="103">
          <cell r="A103" t="str">
            <v xml:space="preserve"> 551  Колбаса Сливушка ТМ Вязанка в модифицированной газовой среде 0,11 кг нарезка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S103">
            <v>0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S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C105">
            <v>2</v>
          </cell>
          <cell r="D105">
            <v>270</v>
          </cell>
          <cell r="E105">
            <v>70</v>
          </cell>
          <cell r="F105">
            <v>182</v>
          </cell>
          <cell r="G105">
            <v>0.08</v>
          </cell>
          <cell r="H105">
            <v>45</v>
          </cell>
          <cell r="I105" t="str">
            <v>матрица</v>
          </cell>
          <cell r="K105">
            <v>77</v>
          </cell>
          <cell r="L105">
            <v>-7</v>
          </cell>
          <cell r="O105">
            <v>100</v>
          </cell>
          <cell r="S105">
            <v>14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C106">
            <v>34</v>
          </cell>
          <cell r="D106">
            <v>170</v>
          </cell>
          <cell r="E106">
            <v>91</v>
          </cell>
          <cell r="F106">
            <v>87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98</v>
          </cell>
          <cell r="L106">
            <v>-7</v>
          </cell>
          <cell r="O106">
            <v>94</v>
          </cell>
          <cell r="Q106">
            <v>106</v>
          </cell>
          <cell r="S106">
            <v>18.2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S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C108">
            <v>-1.296</v>
          </cell>
          <cell r="D108">
            <v>84.037999999999997</v>
          </cell>
          <cell r="E108">
            <v>81.257999999999996</v>
          </cell>
          <cell r="F108">
            <v>-1.371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98.4</v>
          </cell>
          <cell r="L108">
            <v>-17.14200000000001</v>
          </cell>
          <cell r="O108">
            <v>100</v>
          </cell>
          <cell r="S108">
            <v>16.2516</v>
          </cell>
          <cell r="T108">
            <v>80</v>
          </cell>
          <cell r="U108">
            <v>200</v>
          </cell>
          <cell r="V108" t="str">
            <v>Промо ЖЦ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C109">
            <v>-0.16400000000000001</v>
          </cell>
          <cell r="D109">
            <v>47.32</v>
          </cell>
          <cell r="E109">
            <v>50.820999999999998</v>
          </cell>
          <cell r="F109">
            <v>-6.75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84.8</v>
          </cell>
          <cell r="L109">
            <v>-33.978999999999999</v>
          </cell>
          <cell r="O109">
            <v>100</v>
          </cell>
          <cell r="S109">
            <v>10.164199999999999</v>
          </cell>
          <cell r="T109">
            <v>40</v>
          </cell>
          <cell r="U109">
            <v>200</v>
          </cell>
          <cell r="V109" t="str">
            <v>Промо ЖЦ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C110">
            <v>8.0519999999999996</v>
          </cell>
          <cell r="D110">
            <v>0.7</v>
          </cell>
          <cell r="E110">
            <v>-2.1</v>
          </cell>
          <cell r="F110">
            <v>8.0519999999999996</v>
          </cell>
          <cell r="G110">
            <v>1</v>
          </cell>
          <cell r="H110">
            <v>40</v>
          </cell>
          <cell r="I110" t="str">
            <v>НЕДОГРУЗ / матрица</v>
          </cell>
          <cell r="K110">
            <v>179.5</v>
          </cell>
          <cell r="L110">
            <v>-181.6</v>
          </cell>
          <cell r="O110">
            <v>150</v>
          </cell>
          <cell r="S110">
            <v>-0.42000000000000004</v>
          </cell>
          <cell r="T110">
            <v>120</v>
          </cell>
          <cell r="U110">
            <v>200</v>
          </cell>
          <cell r="V110" t="str">
            <v>Промо ЖЦ</v>
          </cell>
        </row>
        <row r="111">
          <cell r="A111" t="str">
            <v xml:space="preserve"> 564  Сосиски Сочные 0,3 кг ТМ Вязанка  ПОКОМ</v>
          </cell>
          <cell r="B111" t="str">
            <v>шт</v>
          </cell>
          <cell r="G111">
            <v>0</v>
          </cell>
          <cell r="I111" t="str">
            <v>матрица</v>
          </cell>
          <cell r="L111">
            <v>0</v>
          </cell>
          <cell r="O111">
            <v>0</v>
          </cell>
          <cell r="S111">
            <v>0</v>
          </cell>
        </row>
        <row r="112">
          <cell r="A112" t="str">
            <v xml:space="preserve"> 567 Колбаса Со шпиком Стародворская ТМ Стародворье в оболочке полиамид ВЕС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S112">
            <v>0</v>
          </cell>
        </row>
        <row r="113">
          <cell r="A113" t="str">
            <v xml:space="preserve"> 569  Колбаса Балыковая ТМ Вязанка в оболочке фиброуз в вакуумной упаковке 0,28 кг срез.  ПОКОМ</v>
          </cell>
          <cell r="B113" t="str">
            <v>шт</v>
          </cell>
          <cell r="C113">
            <v>7</v>
          </cell>
          <cell r="D113">
            <v>109</v>
          </cell>
          <cell r="E113">
            <v>89</v>
          </cell>
          <cell r="F113">
            <v>7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136</v>
          </cell>
          <cell r="L113">
            <v>-47</v>
          </cell>
          <cell r="O113">
            <v>100</v>
          </cell>
          <cell r="S113">
            <v>17.8</v>
          </cell>
          <cell r="T113">
            <v>80</v>
          </cell>
          <cell r="U113">
            <v>250</v>
          </cell>
          <cell r="V113" t="str">
            <v>Промо ЖЦ</v>
          </cell>
        </row>
        <row r="114">
          <cell r="A114" t="str">
            <v xml:space="preserve"> 570  Колбаса Сервелат Финский ТМ Вязанка в оболочке фиброуз в вак. упаковке 0,28 кг срез  ПОКОМ</v>
          </cell>
          <cell r="B114" t="str">
            <v>шт</v>
          </cell>
          <cell r="C114">
            <v>2</v>
          </cell>
          <cell r="D114">
            <v>73</v>
          </cell>
          <cell r="E114">
            <v>69</v>
          </cell>
          <cell r="F114">
            <v>2</v>
          </cell>
          <cell r="G114">
            <v>0.28000000000000003</v>
          </cell>
          <cell r="H114">
            <v>40</v>
          </cell>
          <cell r="I114" t="str">
            <v>НЕДОГРУЗ / матрица</v>
          </cell>
          <cell r="K114">
            <v>115</v>
          </cell>
          <cell r="L114">
            <v>-46</v>
          </cell>
          <cell r="O114">
            <v>100</v>
          </cell>
          <cell r="S114">
            <v>13.8</v>
          </cell>
          <cell r="T114">
            <v>70</v>
          </cell>
          <cell r="U114">
            <v>250</v>
          </cell>
          <cell r="V114" t="str">
            <v>Промо ЖЦ</v>
          </cell>
        </row>
        <row r="115">
          <cell r="A115" t="str">
            <v xml:space="preserve"> 571  Колбаса Сервелат Ореховый ТМ Вязанка в оболочке фиброуз в вак. упаковке 0,28 кг срез  ПОКОМ</v>
          </cell>
          <cell r="B115" t="str">
            <v>шт</v>
          </cell>
          <cell r="C115">
            <v>-4</v>
          </cell>
          <cell r="D115">
            <v>73</v>
          </cell>
          <cell r="E115">
            <v>66</v>
          </cell>
          <cell r="F115">
            <v>-7</v>
          </cell>
          <cell r="G115">
            <v>0.28000000000000003</v>
          </cell>
          <cell r="H115">
            <v>40</v>
          </cell>
          <cell r="I115" t="str">
            <v>НЕДОГРУЗ / матрица</v>
          </cell>
          <cell r="K115">
            <v>78</v>
          </cell>
          <cell r="L115">
            <v>-12</v>
          </cell>
          <cell r="O115">
            <v>80</v>
          </cell>
          <cell r="S115">
            <v>13.2</v>
          </cell>
          <cell r="T115">
            <v>80</v>
          </cell>
          <cell r="U115">
            <v>250</v>
          </cell>
          <cell r="V115" t="str">
            <v>Промо ЖЦ</v>
          </cell>
        </row>
        <row r="116">
          <cell r="A116" t="str">
            <v xml:space="preserve"> 574  Колбаса Сервелат Финский ТМ Вязанка в упаковке скин 0,09 кг нарезка  ПОКОМ</v>
          </cell>
          <cell r="B116" t="str">
            <v>шт</v>
          </cell>
          <cell r="G116">
            <v>0</v>
          </cell>
          <cell r="I116" t="str">
            <v>матрица</v>
          </cell>
          <cell r="L116">
            <v>0</v>
          </cell>
          <cell r="O116">
            <v>0</v>
          </cell>
          <cell r="S116">
            <v>0</v>
          </cell>
        </row>
        <row r="117">
          <cell r="A117" t="str">
            <v xml:space="preserve"> 579  Колбаса Ветчинно-рубленая ТМ Особый рецепт в оболочке полиамид.ВЕС  ПОКОМ</v>
          </cell>
          <cell r="B117" t="str">
            <v>кг</v>
          </cell>
          <cell r="C117">
            <v>159.47499999999999</v>
          </cell>
          <cell r="E117">
            <v>15.052</v>
          </cell>
          <cell r="F117">
            <v>134.398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16</v>
          </cell>
          <cell r="L117">
            <v>-0.9480000000000004</v>
          </cell>
          <cell r="O117">
            <v>0</v>
          </cell>
          <cell r="S117">
            <v>3.0103999999999997</v>
          </cell>
        </row>
        <row r="118">
          <cell r="A118" t="str">
            <v xml:space="preserve"> 580  Ветчина Нежная с индейкой ТМ Особый рецепт в оболочке полиамид.ВЕС  ПОКОМ</v>
          </cell>
          <cell r="B118" t="str">
            <v>кг</v>
          </cell>
          <cell r="C118">
            <v>47.527999999999999</v>
          </cell>
          <cell r="D118">
            <v>14.98</v>
          </cell>
          <cell r="E118">
            <v>19.870999999999999</v>
          </cell>
          <cell r="F118">
            <v>32.731999999999999</v>
          </cell>
          <cell r="G118">
            <v>1</v>
          </cell>
          <cell r="H118">
            <v>50</v>
          </cell>
          <cell r="I118" t="str">
            <v>матрица</v>
          </cell>
          <cell r="K118">
            <v>21</v>
          </cell>
          <cell r="L118">
            <v>-1.1290000000000013</v>
          </cell>
          <cell r="O118">
            <v>51.075799999999987</v>
          </cell>
          <cell r="S118">
            <v>3.9741999999999997</v>
          </cell>
        </row>
        <row r="119">
          <cell r="A119" t="str">
            <v xml:space="preserve"> 583  Колбаса Балыковая ТМ Вязанка в упаковке скин 0,09 кг нарезка  ПОКОМ</v>
          </cell>
          <cell r="B119" t="str">
            <v>шт</v>
          </cell>
          <cell r="G119">
            <v>0.09</v>
          </cell>
          <cell r="I119" t="str">
            <v>матрица</v>
          </cell>
          <cell r="L119">
            <v>0</v>
          </cell>
          <cell r="O119">
            <v>60</v>
          </cell>
          <cell r="S119">
            <v>0</v>
          </cell>
        </row>
        <row r="120">
          <cell r="A120" t="str">
            <v xml:space="preserve"> 584  Колбаса Сервелат Ореховый ТМ Вязанка в упаковке скин 0,09 кг нарезка  ПОКОМ</v>
          </cell>
          <cell r="B120" t="str">
            <v>шт</v>
          </cell>
          <cell r="G120">
            <v>0</v>
          </cell>
          <cell r="I120" t="str">
            <v>матрица</v>
          </cell>
          <cell r="L120">
            <v>0</v>
          </cell>
          <cell r="O120">
            <v>0</v>
          </cell>
          <cell r="S120">
            <v>0</v>
          </cell>
        </row>
        <row r="121">
          <cell r="A121" t="str">
            <v xml:space="preserve"> 585  Колбаса Молочная ТМ Стародворье в оболочке вектор НД ВЕС.  ПОКОМ</v>
          </cell>
          <cell r="B121" t="str">
            <v>кг</v>
          </cell>
          <cell r="C121">
            <v>31.363</v>
          </cell>
          <cell r="D121">
            <v>169.374</v>
          </cell>
          <cell r="E121">
            <v>109.069</v>
          </cell>
          <cell r="F121">
            <v>42.987000000000002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137.55000000000001</v>
          </cell>
          <cell r="L121">
            <v>-28.481000000000009</v>
          </cell>
          <cell r="O121">
            <v>70.5</v>
          </cell>
          <cell r="Q121">
            <v>79.5</v>
          </cell>
          <cell r="S121">
            <v>21.813800000000001</v>
          </cell>
          <cell r="T121">
            <v>46.96479999999999</v>
          </cell>
        </row>
        <row r="122">
          <cell r="A122" t="str">
            <v xml:space="preserve"> 586  Колбаса Мясная ТМ Стародворье в оболочке вектор НД ВЕС.  ПОКОМ</v>
          </cell>
          <cell r="B122" t="str">
            <v>кг</v>
          </cell>
          <cell r="C122">
            <v>5.7619999999999996</v>
          </cell>
          <cell r="D122">
            <v>613.54600000000005</v>
          </cell>
          <cell r="E122">
            <v>83.622</v>
          </cell>
          <cell r="F122">
            <v>505.01600000000002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113.9</v>
          </cell>
          <cell r="L122">
            <v>-30.278000000000006</v>
          </cell>
          <cell r="O122">
            <v>100</v>
          </cell>
          <cell r="S122">
            <v>16.724399999999999</v>
          </cell>
        </row>
        <row r="123">
          <cell r="A123" t="str">
            <v xml:space="preserve"> 588 Колбаса Со шпиком ТМ Стародворье в оболочке вектор ВЕС  ПОКОМ</v>
          </cell>
          <cell r="B123" t="str">
            <v>кг</v>
          </cell>
          <cell r="C123">
            <v>11.692</v>
          </cell>
          <cell r="D123">
            <v>130.81700000000001</v>
          </cell>
          <cell r="E123">
            <v>42.055999999999997</v>
          </cell>
          <cell r="F123">
            <v>90.93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46.7</v>
          </cell>
          <cell r="L123">
            <v>-4.6440000000000055</v>
          </cell>
          <cell r="O123">
            <v>0</v>
          </cell>
          <cell r="S123">
            <v>8.4111999999999991</v>
          </cell>
          <cell r="T123">
            <v>4</v>
          </cell>
        </row>
        <row r="124">
          <cell r="A124" t="str">
            <v xml:space="preserve"> 597  Колбаса Классическая ТМ Особый рецепт в оболочке полиамид ВЕС. ПОКОМ</v>
          </cell>
          <cell r="B124" t="str">
            <v>кг</v>
          </cell>
          <cell r="C124">
            <v>487.39600000000002</v>
          </cell>
          <cell r="D124">
            <v>959.32500000000005</v>
          </cell>
          <cell r="E124">
            <v>563.60799999999995</v>
          </cell>
          <cell r="F124">
            <v>703.03099999999995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619.5</v>
          </cell>
          <cell r="L124">
            <v>-55.892000000000053</v>
          </cell>
          <cell r="O124">
            <v>404.01149240000012</v>
          </cell>
          <cell r="Q124">
            <v>400</v>
          </cell>
          <cell r="S124">
            <v>112.7216</v>
          </cell>
        </row>
        <row r="125">
          <cell r="A125" t="str">
            <v xml:space="preserve"> 614  Буженина в пряном маринаде 0,25 кг консервы из мяса индейки ТМ Стародворье  ПОКОМ</v>
          </cell>
          <cell r="B125" t="str">
            <v>шт</v>
          </cell>
          <cell r="C125">
            <v>4</v>
          </cell>
          <cell r="D125">
            <v>96</v>
          </cell>
          <cell r="E125">
            <v>72</v>
          </cell>
          <cell r="F125">
            <v>13</v>
          </cell>
          <cell r="G125">
            <v>0.25</v>
          </cell>
          <cell r="H125">
            <v>1096</v>
          </cell>
          <cell r="I125" t="str">
            <v>НЕДОГРУЗ / матрица</v>
          </cell>
          <cell r="K125">
            <v>73</v>
          </cell>
          <cell r="L125">
            <v>-1</v>
          </cell>
          <cell r="O125">
            <v>200</v>
          </cell>
          <cell r="S125">
            <v>14.4</v>
          </cell>
          <cell r="U125" t="str">
            <v>300шт</v>
          </cell>
          <cell r="V125" t="str">
            <v>Промо N+1</v>
          </cell>
        </row>
        <row r="126">
          <cell r="A126" t="str">
            <v xml:space="preserve"> 615  Гречка по-купечески с говядиной и овощами 0,325кг ТМ Стародворье  ПОКОМ</v>
          </cell>
          <cell r="B126" t="str">
            <v>шт</v>
          </cell>
          <cell r="D126">
            <v>72</v>
          </cell>
          <cell r="E126">
            <v>60</v>
          </cell>
          <cell r="F126">
            <v>18</v>
          </cell>
          <cell r="G126">
            <v>0.32500000000000001</v>
          </cell>
          <cell r="H126">
            <v>1096</v>
          </cell>
          <cell r="I126" t="str">
            <v>НЕДОГРУЗ / матрица</v>
          </cell>
          <cell r="K126">
            <v>57</v>
          </cell>
          <cell r="L126">
            <v>3</v>
          </cell>
          <cell r="O126">
            <v>400</v>
          </cell>
          <cell r="S126">
            <v>12</v>
          </cell>
          <cell r="U126" t="str">
            <v>300ШТ</v>
          </cell>
          <cell r="V126" t="str">
            <v>Промо N+1</v>
          </cell>
        </row>
        <row r="127">
          <cell r="A127" t="str">
            <v xml:space="preserve"> 616  Индейка томлёная в собственном соку 0,25кг ТМ Стародлворье Консервый из мяс.птицы  ПОКОМ</v>
          </cell>
          <cell r="B127" t="str">
            <v>шт</v>
          </cell>
          <cell r="C127">
            <v>190</v>
          </cell>
          <cell r="D127">
            <v>324</v>
          </cell>
          <cell r="E127">
            <v>121</v>
          </cell>
          <cell r="F127">
            <v>354</v>
          </cell>
          <cell r="G127">
            <v>0.25</v>
          </cell>
          <cell r="H127">
            <v>1096</v>
          </cell>
          <cell r="I127" t="str">
            <v>матрица</v>
          </cell>
          <cell r="K127">
            <v>119</v>
          </cell>
          <cell r="L127">
            <v>2</v>
          </cell>
          <cell r="O127">
            <v>14.400000000000089</v>
          </cell>
          <cell r="S127">
            <v>24.2</v>
          </cell>
        </row>
        <row r="128">
          <cell r="A128" t="str">
            <v>495  Колбаса Сочинка по-европейски с сочной грудинкой 0,3кг ТМ Стародворье  ПОКОМ</v>
          </cell>
          <cell r="B128" t="str">
            <v>шт</v>
          </cell>
          <cell r="E128">
            <v>-3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2</v>
          </cell>
          <cell r="L128">
            <v>-5</v>
          </cell>
          <cell r="O128">
            <v>110</v>
          </cell>
          <cell r="S128">
            <v>-0.6</v>
          </cell>
          <cell r="T128">
            <v>30</v>
          </cell>
        </row>
        <row r="129">
          <cell r="A129" t="str">
            <v>496  Колбаса Сочинка по-фински с сочным окроком 0,3кг ТМ Стародворье  ПОКОМ</v>
          </cell>
          <cell r="B129" t="str">
            <v>шт</v>
          </cell>
          <cell r="C129">
            <v>1</v>
          </cell>
          <cell r="D129">
            <v>1</v>
          </cell>
          <cell r="F129">
            <v>1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17</v>
          </cell>
          <cell r="L129">
            <v>-17</v>
          </cell>
          <cell r="O129">
            <v>30</v>
          </cell>
          <cell r="S129">
            <v>0</v>
          </cell>
          <cell r="T129">
            <v>30</v>
          </cell>
        </row>
        <row r="130">
          <cell r="A130" t="str">
            <v>503 Колбаса Филейская со шпиком ТМ Вязанка в оболочке полиамид.ПОКОМ</v>
          </cell>
          <cell r="B130" t="str">
            <v>кг</v>
          </cell>
          <cell r="C130">
            <v>8</v>
          </cell>
          <cell r="D130">
            <v>44.512</v>
          </cell>
          <cell r="E130">
            <v>6.7880000000000003</v>
          </cell>
          <cell r="F130">
            <v>44.384</v>
          </cell>
          <cell r="G130">
            <v>1</v>
          </cell>
          <cell r="H130">
            <v>50</v>
          </cell>
          <cell r="I130" t="str">
            <v>матрица</v>
          </cell>
          <cell r="K130">
            <v>6.2</v>
          </cell>
          <cell r="L130">
            <v>0.58800000000000008</v>
          </cell>
          <cell r="O130">
            <v>7.0175999999999981</v>
          </cell>
          <cell r="S130">
            <v>1.3576000000000001</v>
          </cell>
        </row>
        <row r="131">
          <cell r="A131" t="str">
            <v>515  Колбаса Сервелат Мясорубский Делюкс 0,3кг ТМ Стародворье  ПОКОМ</v>
          </cell>
          <cell r="B131" t="str">
            <v>шт</v>
          </cell>
          <cell r="C131">
            <v>13</v>
          </cell>
          <cell r="D131">
            <v>1</v>
          </cell>
          <cell r="E131">
            <v>-2</v>
          </cell>
          <cell r="F131">
            <v>12</v>
          </cell>
          <cell r="G131">
            <v>0.3</v>
          </cell>
          <cell r="H131">
            <v>40</v>
          </cell>
          <cell r="I131" t="str">
            <v>НЕДОГРУЗ / матрица</v>
          </cell>
          <cell r="K131">
            <v>49</v>
          </cell>
          <cell r="L131">
            <v>-51</v>
          </cell>
          <cell r="O131">
            <v>60</v>
          </cell>
          <cell r="S131">
            <v>-0.4</v>
          </cell>
          <cell r="U131" t="str">
            <v>150шт</v>
          </cell>
          <cell r="V131" t="str">
            <v>Дефицит</v>
          </cell>
        </row>
        <row r="132">
          <cell r="A132" t="str">
            <v>519  Грудинка 0,12 кг нарезка ТМ Стародворье  ПОКОМ</v>
          </cell>
          <cell r="B132" t="str">
            <v>шт</v>
          </cell>
          <cell r="C132">
            <v>7</v>
          </cell>
          <cell r="D132">
            <v>60</v>
          </cell>
          <cell r="E132">
            <v>45</v>
          </cell>
          <cell r="F132">
            <v>19</v>
          </cell>
          <cell r="G132">
            <v>0.12</v>
          </cell>
          <cell r="H132">
            <v>45</v>
          </cell>
          <cell r="I132" t="str">
            <v>НЕДОГРУЗ / матрица</v>
          </cell>
          <cell r="K132">
            <v>67</v>
          </cell>
          <cell r="L132">
            <v>-22</v>
          </cell>
          <cell r="O132">
            <v>70</v>
          </cell>
          <cell r="S132">
            <v>9</v>
          </cell>
          <cell r="T132">
            <v>20</v>
          </cell>
        </row>
        <row r="133">
          <cell r="A133" t="str">
            <v>БОНУС_ 334  Паштет Любительский ТМ Стародворье ламистер 0,1 кг  ПОКОМ</v>
          </cell>
          <cell r="B133" t="str">
            <v>шт</v>
          </cell>
          <cell r="D133">
            <v>100</v>
          </cell>
          <cell r="E133">
            <v>48</v>
          </cell>
          <cell r="F133">
            <v>6</v>
          </cell>
          <cell r="G133">
            <v>0</v>
          </cell>
          <cell r="I133" t="str">
            <v>бонус</v>
          </cell>
          <cell r="J133" t="str">
            <v xml:space="preserve"> 334  Паштет Любительский ТМ Стародворье ламистер 0,1 кг  ПОКОМ</v>
          </cell>
          <cell r="K133">
            <v>48</v>
          </cell>
          <cell r="L133">
            <v>0</v>
          </cell>
          <cell r="S133">
            <v>9.6</v>
          </cell>
        </row>
        <row r="134">
          <cell r="A134" t="str">
            <v>БОНУС_615  Гречка по-купечески с говядиной и овощами 0,325кг ТМ Стародворье  ПОКОМ</v>
          </cell>
          <cell r="B134" t="str">
            <v>шт</v>
          </cell>
          <cell r="C134">
            <v>7</v>
          </cell>
          <cell r="E134">
            <v>5</v>
          </cell>
          <cell r="F134">
            <v>2</v>
          </cell>
          <cell r="G134">
            <v>0</v>
          </cell>
          <cell r="I134" t="str">
            <v>бонус</v>
          </cell>
          <cell r="J134" t="str">
            <v xml:space="preserve"> 615  Гречка по-купечески с говядиной и овощами 0,325кг ТМ Стародворье  ПОКОМ</v>
          </cell>
          <cell r="K134">
            <v>4</v>
          </cell>
          <cell r="L134">
            <v>1</v>
          </cell>
          <cell r="O134">
            <v>0</v>
          </cell>
          <cell r="S134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0" sqref="Z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5" width="7" customWidth="1"/>
    <col min="16" max="16" width="7" style="20" customWidth="1"/>
    <col min="17" max="22" width="7" customWidth="1"/>
    <col min="23" max="23" width="7" style="20" customWidth="1"/>
    <col min="24" max="24" width="7" customWidth="1"/>
    <col min="25" max="25" width="7" style="17" customWidth="1"/>
    <col min="26" max="26" width="7.85546875" style="17" customWidth="1"/>
    <col min="27" max="28" width="5" customWidth="1"/>
    <col min="29" max="38" width="6" customWidth="1"/>
    <col min="39" max="39" width="4" customWidth="1"/>
    <col min="40" max="40" width="7" customWidth="1"/>
  </cols>
  <sheetData>
    <row r="1" spans="1:41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9">
        <v>1.36</v>
      </c>
      <c r="W1" s="19"/>
      <c r="X1" s="19">
        <v>780</v>
      </c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>
        <f>AN2-AN5</f>
        <v>5</v>
      </c>
    </row>
    <row r="2" spans="1:41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 t="s">
        <v>0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>
        <v>7000</v>
      </c>
    </row>
    <row r="3" spans="1:4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19</v>
      </c>
      <c r="Z3" s="2" t="s">
        <v>20</v>
      </c>
      <c r="AA3" s="1" t="s">
        <v>21</v>
      </c>
      <c r="AB3" s="1" t="s">
        <v>22</v>
      </c>
      <c r="AC3" s="1" t="s">
        <v>23</v>
      </c>
      <c r="AD3" s="1" t="s">
        <v>23</v>
      </c>
      <c r="AE3" s="1" t="s">
        <v>23</v>
      </c>
      <c r="AF3" s="1" t="s">
        <v>23</v>
      </c>
      <c r="AG3" s="1" t="s">
        <v>23</v>
      </c>
      <c r="AH3" s="1" t="s">
        <v>23</v>
      </c>
      <c r="AI3" s="1" t="s">
        <v>23</v>
      </c>
      <c r="AJ3" s="1" t="s">
        <v>23</v>
      </c>
      <c r="AK3" s="1" t="s">
        <v>23</v>
      </c>
      <c r="AL3" s="1" t="s">
        <v>23</v>
      </c>
      <c r="AM3" s="1" t="s">
        <v>24</v>
      </c>
      <c r="AN3" s="1" t="s">
        <v>25</v>
      </c>
    </row>
    <row r="4" spans="1:41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26</v>
      </c>
      <c r="P4" s="16" t="s">
        <v>428</v>
      </c>
      <c r="Q4" s="16" t="s">
        <v>27</v>
      </c>
      <c r="R4" s="16" t="s">
        <v>28</v>
      </c>
      <c r="S4" s="16" t="s">
        <v>29</v>
      </c>
      <c r="T4" s="16" t="s">
        <v>30</v>
      </c>
      <c r="U4" s="16"/>
      <c r="V4" s="16" t="s">
        <v>31</v>
      </c>
      <c r="W4" s="16" t="s">
        <v>494</v>
      </c>
      <c r="X4" s="16" t="s">
        <v>32</v>
      </c>
      <c r="Y4" s="16" t="s">
        <v>33</v>
      </c>
      <c r="Z4" s="16"/>
      <c r="AA4" s="16"/>
      <c r="AB4" s="16"/>
      <c r="AC4" s="16" t="s">
        <v>28</v>
      </c>
      <c r="AD4" s="16" t="s">
        <v>34</v>
      </c>
      <c r="AE4" s="16" t="s">
        <v>35</v>
      </c>
      <c r="AF4" s="16" t="s">
        <v>36</v>
      </c>
      <c r="AG4" s="16" t="s">
        <v>37</v>
      </c>
      <c r="AH4" s="16" t="s">
        <v>38</v>
      </c>
      <c r="AI4" s="16" t="s">
        <v>39</v>
      </c>
      <c r="AJ4" s="16" t="s">
        <v>40</v>
      </c>
      <c r="AK4" s="16" t="s">
        <v>41</v>
      </c>
      <c r="AL4" s="16" t="s">
        <v>42</v>
      </c>
      <c r="AM4" s="16"/>
      <c r="AN4" s="16"/>
    </row>
    <row r="5" spans="1:41" x14ac:dyDescent="0.25">
      <c r="A5" s="16"/>
      <c r="B5" s="16"/>
      <c r="C5" s="16"/>
      <c r="D5" s="16"/>
      <c r="E5" s="3">
        <f>SUM(E6:E500)</f>
        <v>15696.048999999999</v>
      </c>
      <c r="F5" s="3">
        <f>SUM(F6:F500)</f>
        <v>17243.144999999997</v>
      </c>
      <c r="G5" s="6"/>
      <c r="H5" s="16"/>
      <c r="I5" s="16"/>
      <c r="J5" s="16"/>
      <c r="K5" s="3">
        <f t="shared" ref="K5:X5" si="0">SUM(K6:K500)</f>
        <v>19020.500000000007</v>
      </c>
      <c r="L5" s="3">
        <f t="shared" si="0"/>
        <v>-3324.4509999999987</v>
      </c>
      <c r="M5" s="3">
        <f t="shared" si="0"/>
        <v>0</v>
      </c>
      <c r="N5" s="3">
        <f t="shared" si="0"/>
        <v>0</v>
      </c>
      <c r="O5" s="3">
        <f t="shared" si="0"/>
        <v>12929.7593908</v>
      </c>
      <c r="P5" s="3">
        <f t="shared" ref="P5" si="1">SUM(P6:P500)</f>
        <v>-2639.4523809523816</v>
      </c>
      <c r="Q5" s="3">
        <f t="shared" si="0"/>
        <v>1000</v>
      </c>
      <c r="R5" s="3">
        <f t="shared" si="0"/>
        <v>6274.1</v>
      </c>
      <c r="S5" s="3">
        <f t="shared" si="0"/>
        <v>-130</v>
      </c>
      <c r="T5" s="3">
        <f t="shared" si="0"/>
        <v>3139.2097999999987</v>
      </c>
      <c r="U5" s="3">
        <f t="shared" si="0"/>
        <v>7750.8753538000001</v>
      </c>
      <c r="V5" s="3">
        <f t="shared" si="0"/>
        <v>10150.081961800002</v>
      </c>
      <c r="W5" s="3">
        <f t="shared" ref="W5" si="2">SUM(W6:W500)</f>
        <v>-1376.5</v>
      </c>
      <c r="X5" s="3">
        <f t="shared" si="0"/>
        <v>780</v>
      </c>
      <c r="Y5" s="3"/>
      <c r="Z5" s="3"/>
      <c r="AA5" s="16"/>
      <c r="AB5" s="16"/>
      <c r="AC5" s="3">
        <f t="shared" ref="AC5:AL5" si="3">SUM(AC6:AC500)</f>
        <v>2557.4352000000008</v>
      </c>
      <c r="AD5" s="3">
        <f t="shared" si="3"/>
        <v>3687.9288000000001</v>
      </c>
      <c r="AE5" s="3">
        <f t="shared" si="3"/>
        <v>4635.2076000000015</v>
      </c>
      <c r="AF5" s="3">
        <f t="shared" si="3"/>
        <v>4207.7697999999991</v>
      </c>
      <c r="AG5" s="3">
        <f t="shared" si="3"/>
        <v>3443.0367999999989</v>
      </c>
      <c r="AH5" s="3">
        <f t="shared" si="3"/>
        <v>3963.5633999999986</v>
      </c>
      <c r="AI5" s="3">
        <f t="shared" si="3"/>
        <v>3762.9608000000012</v>
      </c>
      <c r="AJ5" s="3">
        <f t="shared" si="3"/>
        <v>3888.003999999999</v>
      </c>
      <c r="AK5" s="3">
        <f t="shared" si="3"/>
        <v>4297.2658000000001</v>
      </c>
      <c r="AL5" s="3">
        <f t="shared" si="3"/>
        <v>4684.4022000000004</v>
      </c>
      <c r="AM5" s="16"/>
      <c r="AN5" s="3">
        <f>SUM(AN6:AN500)</f>
        <v>6995</v>
      </c>
    </row>
    <row r="6" spans="1:41" x14ac:dyDescent="0.25">
      <c r="A6" s="16" t="s">
        <v>43</v>
      </c>
      <c r="B6" s="16" t="s">
        <v>44</v>
      </c>
      <c r="C6" s="16">
        <v>257.27600000000001</v>
      </c>
      <c r="D6" s="16">
        <v>416.84300000000002</v>
      </c>
      <c r="E6" s="16">
        <v>147.58199999999999</v>
      </c>
      <c r="F6" s="16">
        <v>481.57600000000002</v>
      </c>
      <c r="G6" s="6">
        <v>1</v>
      </c>
      <c r="H6" s="16">
        <v>50</v>
      </c>
      <c r="I6" s="16" t="s">
        <v>45</v>
      </c>
      <c r="J6" s="16"/>
      <c r="K6" s="16">
        <v>155.6</v>
      </c>
      <c r="L6" s="16">
        <f t="shared" ref="L6:L37" si="4">E6-K6</f>
        <v>-8.0180000000000007</v>
      </c>
      <c r="M6" s="16"/>
      <c r="N6" s="16"/>
      <c r="O6" s="16">
        <v>0</v>
      </c>
      <c r="P6" s="16"/>
      <c r="Q6" s="16"/>
      <c r="R6" s="16"/>
      <c r="S6" s="16"/>
      <c r="T6" s="16">
        <f t="shared" ref="T6:T37" si="5">E6/5</f>
        <v>29.516399999999997</v>
      </c>
      <c r="U6" s="4"/>
      <c r="V6" s="4">
        <f>U6</f>
        <v>0</v>
      </c>
      <c r="W6" s="4"/>
      <c r="X6" s="4"/>
      <c r="Y6" s="16"/>
      <c r="Z6" s="16"/>
      <c r="AA6" s="16">
        <f t="shared" ref="AA6:AA37" si="6">(F6+O6+Q6+R6+S6+V6)/T6</f>
        <v>16.315539835481292</v>
      </c>
      <c r="AB6" s="16">
        <f t="shared" ref="AB6:AB37" si="7">(F6+O6+Q6+R6+S6)/T6</f>
        <v>16.315539835481292</v>
      </c>
      <c r="AC6" s="16">
        <v>27.771999999999998</v>
      </c>
      <c r="AD6" s="16">
        <v>46.390599999999999</v>
      </c>
      <c r="AE6" s="16">
        <v>62.169199999999996</v>
      </c>
      <c r="AF6" s="16">
        <v>46.914400000000001</v>
      </c>
      <c r="AG6" s="16">
        <v>34.5426</v>
      </c>
      <c r="AH6" s="16">
        <v>43.8718</v>
      </c>
      <c r="AI6" s="16">
        <v>37.962800000000001</v>
      </c>
      <c r="AJ6" s="16">
        <v>34.125799999999998</v>
      </c>
      <c r="AK6" s="16">
        <v>48.797400000000003</v>
      </c>
      <c r="AL6" s="16">
        <v>48.463799999999999</v>
      </c>
      <c r="AM6" s="16"/>
      <c r="AN6" s="16">
        <f t="shared" ref="AN6:AN37" si="8">ROUND(G6*V6,0)</f>
        <v>0</v>
      </c>
      <c r="AO6" t="s">
        <v>46</v>
      </c>
    </row>
    <row r="7" spans="1:41" x14ac:dyDescent="0.25">
      <c r="A7" s="16" t="s">
        <v>47</v>
      </c>
      <c r="B7" s="16" t="s">
        <v>44</v>
      </c>
      <c r="C7" s="16">
        <v>820.76199999999994</v>
      </c>
      <c r="D7" s="16">
        <v>820.09900000000005</v>
      </c>
      <c r="E7" s="16">
        <v>661.85599999999999</v>
      </c>
      <c r="F7" s="16">
        <v>766.928</v>
      </c>
      <c r="G7" s="6">
        <v>1</v>
      </c>
      <c r="H7" s="16">
        <v>45</v>
      </c>
      <c r="I7" s="16" t="s">
        <v>45</v>
      </c>
      <c r="J7" s="16"/>
      <c r="K7" s="16">
        <v>676.3</v>
      </c>
      <c r="L7" s="16">
        <f t="shared" si="4"/>
        <v>-14.44399999999996</v>
      </c>
      <c r="M7" s="16"/>
      <c r="N7" s="16"/>
      <c r="O7" s="16">
        <v>184.68157439999999</v>
      </c>
      <c r="P7" s="16"/>
      <c r="Q7" s="16"/>
      <c r="R7" s="16">
        <v>50</v>
      </c>
      <c r="S7" s="16"/>
      <c r="T7" s="16">
        <f t="shared" si="5"/>
        <v>132.37119999999999</v>
      </c>
      <c r="U7" s="4">
        <f>11*T7-S7-R7-Q7-O7-F7</f>
        <v>454.47362559999976</v>
      </c>
      <c r="V7" s="4">
        <f>U7+$V$1*T7</f>
        <v>634.49845759999971</v>
      </c>
      <c r="W7" s="4"/>
      <c r="X7" s="4"/>
      <c r="Y7" s="16"/>
      <c r="Z7" s="16"/>
      <c r="AA7" s="16">
        <f t="shared" si="6"/>
        <v>12.359999999999998</v>
      </c>
      <c r="AB7" s="16">
        <f t="shared" si="7"/>
        <v>7.5666729197891991</v>
      </c>
      <c r="AC7" s="16">
        <v>119.9396</v>
      </c>
      <c r="AD7" s="16">
        <v>148.16139999999999</v>
      </c>
      <c r="AE7" s="16">
        <v>172.14420000000001</v>
      </c>
      <c r="AF7" s="16">
        <v>171.35</v>
      </c>
      <c r="AG7" s="16">
        <v>161.2954</v>
      </c>
      <c r="AH7" s="16">
        <v>174.07939999999999</v>
      </c>
      <c r="AI7" s="16">
        <v>156.54300000000001</v>
      </c>
      <c r="AJ7" s="16">
        <v>115.7188</v>
      </c>
      <c r="AK7" s="16">
        <v>123.2384</v>
      </c>
      <c r="AL7" s="16">
        <v>165.91419999999999</v>
      </c>
      <c r="AM7" s="16"/>
      <c r="AN7" s="16">
        <f t="shared" si="8"/>
        <v>634</v>
      </c>
      <c r="AO7" t="s">
        <v>48</v>
      </c>
    </row>
    <row r="8" spans="1:41" x14ac:dyDescent="0.25">
      <c r="A8" s="16" t="s">
        <v>49</v>
      </c>
      <c r="B8" s="16" t="s">
        <v>44</v>
      </c>
      <c r="C8" s="16">
        <v>591.30899999999997</v>
      </c>
      <c r="D8" s="16">
        <v>961.59</v>
      </c>
      <c r="E8" s="16">
        <v>674.74199999999996</v>
      </c>
      <c r="F8" s="16">
        <v>694.64400000000001</v>
      </c>
      <c r="G8" s="6">
        <v>1</v>
      </c>
      <c r="H8" s="16">
        <v>45</v>
      </c>
      <c r="I8" s="16" t="s">
        <v>45</v>
      </c>
      <c r="J8" s="16"/>
      <c r="K8" s="16">
        <v>713.55</v>
      </c>
      <c r="L8" s="16">
        <f t="shared" si="4"/>
        <v>-38.807999999999993</v>
      </c>
      <c r="M8" s="16"/>
      <c r="N8" s="16"/>
      <c r="O8" s="16">
        <v>377.00872339999989</v>
      </c>
      <c r="P8" s="16"/>
      <c r="Q8" s="16"/>
      <c r="R8" s="16">
        <v>120</v>
      </c>
      <c r="S8" s="16"/>
      <c r="T8" s="16">
        <f t="shared" si="5"/>
        <v>134.94839999999999</v>
      </c>
      <c r="U8" s="4">
        <f>11*T8-S8-R8-Q8-O8-F8</f>
        <v>292.77967660000002</v>
      </c>
      <c r="V8" s="4">
        <f>U8+$V$1*T8</f>
        <v>476.30950059999998</v>
      </c>
      <c r="W8" s="4"/>
      <c r="X8" s="4"/>
      <c r="Y8" s="16"/>
      <c r="Z8" s="16"/>
      <c r="AA8" s="16">
        <f t="shared" si="6"/>
        <v>12.36</v>
      </c>
      <c r="AB8" s="16">
        <f t="shared" si="7"/>
        <v>8.8304323978646657</v>
      </c>
      <c r="AC8" s="16">
        <v>134.37119999999999</v>
      </c>
      <c r="AD8" s="16">
        <v>157.68879999999999</v>
      </c>
      <c r="AE8" s="16">
        <v>164.05779999999999</v>
      </c>
      <c r="AF8" s="16">
        <v>176.13800000000001</v>
      </c>
      <c r="AG8" s="16">
        <v>166.39340000000001</v>
      </c>
      <c r="AH8" s="16">
        <v>154.95760000000001</v>
      </c>
      <c r="AI8" s="16">
        <v>140.4342</v>
      </c>
      <c r="AJ8" s="16">
        <v>130.178</v>
      </c>
      <c r="AK8" s="16">
        <v>141.642</v>
      </c>
      <c r="AL8" s="16">
        <v>157.6602</v>
      </c>
      <c r="AM8" s="16"/>
      <c r="AN8" s="16">
        <f t="shared" si="8"/>
        <v>476</v>
      </c>
      <c r="AO8" t="s">
        <v>50</v>
      </c>
    </row>
    <row r="9" spans="1:41" x14ac:dyDescent="0.25">
      <c r="A9" s="16" t="s">
        <v>51</v>
      </c>
      <c r="B9" s="16" t="s">
        <v>52</v>
      </c>
      <c r="C9" s="16">
        <v>1</v>
      </c>
      <c r="D9" s="16">
        <v>40</v>
      </c>
      <c r="E9" s="16">
        <v>34</v>
      </c>
      <c r="F9" s="16">
        <v>3</v>
      </c>
      <c r="G9" s="6">
        <v>0.4</v>
      </c>
      <c r="H9" s="16">
        <v>50</v>
      </c>
      <c r="I9" s="16" t="s">
        <v>45</v>
      </c>
      <c r="J9" s="16"/>
      <c r="K9" s="16">
        <v>38</v>
      </c>
      <c r="L9" s="16">
        <f t="shared" si="4"/>
        <v>-4</v>
      </c>
      <c r="M9" s="16"/>
      <c r="N9" s="16"/>
      <c r="O9" s="16">
        <v>0</v>
      </c>
      <c r="P9" s="16"/>
      <c r="Q9" s="16"/>
      <c r="R9" s="16"/>
      <c r="S9" s="16"/>
      <c r="T9" s="16">
        <f t="shared" si="5"/>
        <v>6.8</v>
      </c>
      <c r="U9" s="4">
        <f>8*T9-S9-R9-Q9-O9-F9</f>
        <v>51.4</v>
      </c>
      <c r="V9" s="4">
        <f>U9</f>
        <v>51.4</v>
      </c>
      <c r="W9" s="4"/>
      <c r="X9" s="4"/>
      <c r="Y9" s="16"/>
      <c r="Z9" s="16"/>
      <c r="AA9" s="16">
        <f t="shared" si="6"/>
        <v>8</v>
      </c>
      <c r="AB9" s="16">
        <f t="shared" si="7"/>
        <v>0.44117647058823528</v>
      </c>
      <c r="AC9" s="16">
        <v>0.4</v>
      </c>
      <c r="AD9" s="16">
        <v>0.4</v>
      </c>
      <c r="AE9" s="16">
        <v>2.6</v>
      </c>
      <c r="AF9" s="16">
        <v>6.2</v>
      </c>
      <c r="AG9" s="16">
        <v>4.5999999999999996</v>
      </c>
      <c r="AH9" s="16">
        <v>2</v>
      </c>
      <c r="AI9" s="16">
        <v>2.6</v>
      </c>
      <c r="AJ9" s="16">
        <v>1.4</v>
      </c>
      <c r="AK9" s="16">
        <v>0.2</v>
      </c>
      <c r="AL9" s="16">
        <v>1</v>
      </c>
      <c r="AM9" s="16" t="s">
        <v>53</v>
      </c>
      <c r="AN9" s="16">
        <f t="shared" si="8"/>
        <v>21</v>
      </c>
      <c r="AO9" t="s">
        <v>54</v>
      </c>
    </row>
    <row r="10" spans="1:41" x14ac:dyDescent="0.25">
      <c r="A10" s="16" t="s">
        <v>55</v>
      </c>
      <c r="B10" s="16" t="s">
        <v>52</v>
      </c>
      <c r="C10" s="16">
        <v>69</v>
      </c>
      <c r="D10" s="16">
        <v>354</v>
      </c>
      <c r="E10" s="16">
        <v>208</v>
      </c>
      <c r="F10" s="16">
        <v>145</v>
      </c>
      <c r="G10" s="6">
        <v>0.45</v>
      </c>
      <c r="H10" s="16">
        <v>45</v>
      </c>
      <c r="I10" s="16" t="s">
        <v>45</v>
      </c>
      <c r="J10" s="16"/>
      <c r="K10" s="16">
        <v>279</v>
      </c>
      <c r="L10" s="16">
        <f t="shared" si="4"/>
        <v>-71</v>
      </c>
      <c r="M10" s="16"/>
      <c r="N10" s="16"/>
      <c r="O10" s="16">
        <v>141</v>
      </c>
      <c r="P10" s="16"/>
      <c r="Q10" s="16"/>
      <c r="R10" s="16">
        <v>159</v>
      </c>
      <c r="S10" s="16"/>
      <c r="T10" s="16">
        <f t="shared" si="5"/>
        <v>41.6</v>
      </c>
      <c r="U10" s="4">
        <f>11*T10-S10-R10-Q10-O10-F10</f>
        <v>12.600000000000023</v>
      </c>
      <c r="V10" s="4">
        <f>U10+$V$1*T10</f>
        <v>69.17600000000003</v>
      </c>
      <c r="W10" s="4"/>
      <c r="X10" s="4"/>
      <c r="Y10" s="16"/>
      <c r="Z10" s="16"/>
      <c r="AA10" s="16">
        <f t="shared" si="6"/>
        <v>12.360000000000001</v>
      </c>
      <c r="AB10" s="16">
        <f t="shared" si="7"/>
        <v>10.697115384615385</v>
      </c>
      <c r="AC10" s="16">
        <v>45.2</v>
      </c>
      <c r="AD10" s="16">
        <v>39.6</v>
      </c>
      <c r="AE10" s="16">
        <v>42.2</v>
      </c>
      <c r="AF10" s="16">
        <v>64.599999999999994</v>
      </c>
      <c r="AG10" s="16">
        <v>52.4</v>
      </c>
      <c r="AH10" s="16">
        <v>54.8</v>
      </c>
      <c r="AI10" s="16">
        <v>47.6</v>
      </c>
      <c r="AJ10" s="16">
        <v>31.2</v>
      </c>
      <c r="AK10" s="16">
        <v>38.4</v>
      </c>
      <c r="AL10" s="16">
        <v>60.4</v>
      </c>
      <c r="AM10" s="16"/>
      <c r="AN10" s="16">
        <f t="shared" si="8"/>
        <v>31</v>
      </c>
      <c r="AO10" t="s">
        <v>56</v>
      </c>
    </row>
    <row r="11" spans="1:41" x14ac:dyDescent="0.25">
      <c r="A11" s="16" t="s">
        <v>57</v>
      </c>
      <c r="B11" s="16" t="s">
        <v>52</v>
      </c>
      <c r="C11" s="16">
        <v>10</v>
      </c>
      <c r="D11" s="16">
        <v>472</v>
      </c>
      <c r="E11" s="16">
        <v>188</v>
      </c>
      <c r="F11" s="16">
        <v>193</v>
      </c>
      <c r="G11" s="6">
        <v>0.45</v>
      </c>
      <c r="H11" s="16">
        <v>45</v>
      </c>
      <c r="I11" s="16" t="s">
        <v>45</v>
      </c>
      <c r="J11" s="16"/>
      <c r="K11" s="16">
        <v>266</v>
      </c>
      <c r="L11" s="16">
        <f t="shared" si="4"/>
        <v>-78</v>
      </c>
      <c r="M11" s="16"/>
      <c r="N11" s="16"/>
      <c r="O11" s="16">
        <v>117.5</v>
      </c>
      <c r="P11" s="16"/>
      <c r="Q11" s="16"/>
      <c r="R11" s="16">
        <v>132.5</v>
      </c>
      <c r="S11" s="16"/>
      <c r="T11" s="16">
        <f t="shared" si="5"/>
        <v>37.6</v>
      </c>
      <c r="U11" s="4"/>
      <c r="V11" s="4">
        <f>U11</f>
        <v>0</v>
      </c>
      <c r="W11" s="4"/>
      <c r="X11" s="4"/>
      <c r="Y11" s="16"/>
      <c r="Z11" s="16"/>
      <c r="AA11" s="16">
        <f t="shared" si="6"/>
        <v>11.781914893617021</v>
      </c>
      <c r="AB11" s="16">
        <f t="shared" si="7"/>
        <v>11.781914893617021</v>
      </c>
      <c r="AC11" s="16">
        <v>38.200000000000003</v>
      </c>
      <c r="AD11" s="16">
        <v>44.6</v>
      </c>
      <c r="AE11" s="16">
        <v>39.4</v>
      </c>
      <c r="AF11" s="16">
        <v>82.8</v>
      </c>
      <c r="AG11" s="16">
        <v>80.599999999999994</v>
      </c>
      <c r="AH11" s="16">
        <v>70</v>
      </c>
      <c r="AI11" s="16">
        <v>63.8</v>
      </c>
      <c r="AJ11" s="16">
        <v>57.2</v>
      </c>
      <c r="AK11" s="16">
        <v>72.2</v>
      </c>
      <c r="AL11" s="16">
        <v>90</v>
      </c>
      <c r="AM11" s="16" t="s">
        <v>58</v>
      </c>
      <c r="AN11" s="16">
        <f t="shared" si="8"/>
        <v>0</v>
      </c>
      <c r="AO11" t="s">
        <v>59</v>
      </c>
    </row>
    <row r="12" spans="1:41" x14ac:dyDescent="0.25">
      <c r="A12" s="9" t="s">
        <v>60</v>
      </c>
      <c r="B12" s="9" t="s">
        <v>52</v>
      </c>
      <c r="C12" s="9"/>
      <c r="D12" s="9"/>
      <c r="E12" s="9"/>
      <c r="F12" s="9"/>
      <c r="G12" s="10">
        <v>0</v>
      </c>
      <c r="H12" s="9"/>
      <c r="I12" s="9" t="s">
        <v>45</v>
      </c>
      <c r="J12" s="9"/>
      <c r="K12" s="9"/>
      <c r="L12" s="9">
        <f t="shared" si="4"/>
        <v>0</v>
      </c>
      <c r="M12" s="9"/>
      <c r="N12" s="9"/>
      <c r="O12" s="9">
        <v>0</v>
      </c>
      <c r="P12" s="9"/>
      <c r="Q12" s="9"/>
      <c r="R12" s="9"/>
      <c r="S12" s="9"/>
      <c r="T12" s="9">
        <f t="shared" si="5"/>
        <v>0</v>
      </c>
      <c r="U12" s="11"/>
      <c r="V12" s="4">
        <f>U12</f>
        <v>0</v>
      </c>
      <c r="W12" s="4"/>
      <c r="X12" s="4"/>
      <c r="Y12" s="16"/>
      <c r="Z12" s="16"/>
      <c r="AA12" s="16" t="e">
        <f t="shared" si="6"/>
        <v>#DIV/0!</v>
      </c>
      <c r="AB12" s="9" t="e">
        <f t="shared" si="7"/>
        <v>#DIV/0!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 t="s">
        <v>61</v>
      </c>
      <c r="AN12" s="16">
        <f t="shared" si="8"/>
        <v>0</v>
      </c>
      <c r="AO12" t="s">
        <v>62</v>
      </c>
    </row>
    <row r="13" spans="1:41" x14ac:dyDescent="0.25">
      <c r="A13" s="16" t="s">
        <v>63</v>
      </c>
      <c r="B13" s="16" t="s">
        <v>52</v>
      </c>
      <c r="C13" s="16">
        <v>10</v>
      </c>
      <c r="D13" s="16">
        <v>54</v>
      </c>
      <c r="E13" s="16">
        <v>53</v>
      </c>
      <c r="F13" s="16">
        <v>9</v>
      </c>
      <c r="G13" s="6">
        <v>0.3</v>
      </c>
      <c r="H13" s="16">
        <v>40</v>
      </c>
      <c r="I13" s="8" t="s">
        <v>64</v>
      </c>
      <c r="J13" s="16"/>
      <c r="K13" s="16">
        <v>92</v>
      </c>
      <c r="L13" s="16">
        <f t="shared" si="4"/>
        <v>-39</v>
      </c>
      <c r="M13" s="16"/>
      <c r="N13" s="16"/>
      <c r="O13" s="16">
        <v>50</v>
      </c>
      <c r="P13" s="16"/>
      <c r="Q13" s="16"/>
      <c r="R13" s="16"/>
      <c r="S13" s="16"/>
      <c r="T13" s="16">
        <f t="shared" si="5"/>
        <v>10.6</v>
      </c>
      <c r="U13" s="4">
        <v>80</v>
      </c>
      <c r="V13" s="4">
        <f>U13</f>
        <v>80</v>
      </c>
      <c r="W13" s="4"/>
      <c r="X13" s="4"/>
      <c r="Y13" s="16"/>
      <c r="Z13" s="16"/>
      <c r="AA13" s="16">
        <f t="shared" si="6"/>
        <v>13.113207547169813</v>
      </c>
      <c r="AB13" s="16">
        <f t="shared" si="7"/>
        <v>5.5660377358490569</v>
      </c>
      <c r="AC13" s="16">
        <v>3</v>
      </c>
      <c r="AD13" s="16">
        <v>16.8</v>
      </c>
      <c r="AE13" s="16">
        <v>27</v>
      </c>
      <c r="AF13" s="16">
        <v>25</v>
      </c>
      <c r="AG13" s="16">
        <v>19.399999999999999</v>
      </c>
      <c r="AH13" s="16">
        <v>21.6</v>
      </c>
      <c r="AI13" s="16">
        <v>19.8</v>
      </c>
      <c r="AJ13" s="16">
        <v>20.2</v>
      </c>
      <c r="AK13" s="16">
        <v>21.4</v>
      </c>
      <c r="AL13" s="16">
        <v>22.4</v>
      </c>
      <c r="AM13" s="16"/>
      <c r="AN13" s="16">
        <f t="shared" si="8"/>
        <v>24</v>
      </c>
      <c r="AO13" t="s">
        <v>65</v>
      </c>
    </row>
    <row r="14" spans="1:41" x14ac:dyDescent="0.25">
      <c r="A14" s="16" t="s">
        <v>66</v>
      </c>
      <c r="B14" s="16" t="s">
        <v>52</v>
      </c>
      <c r="C14" s="16">
        <v>8</v>
      </c>
      <c r="D14" s="16">
        <v>345</v>
      </c>
      <c r="E14" s="16">
        <v>50</v>
      </c>
      <c r="F14" s="16">
        <v>285</v>
      </c>
      <c r="G14" s="6">
        <v>0.17</v>
      </c>
      <c r="H14" s="16">
        <v>180</v>
      </c>
      <c r="I14" s="16" t="s">
        <v>45</v>
      </c>
      <c r="J14" s="16"/>
      <c r="K14" s="16">
        <v>75</v>
      </c>
      <c r="L14" s="16">
        <f t="shared" si="4"/>
        <v>-25</v>
      </c>
      <c r="M14" s="16"/>
      <c r="N14" s="16"/>
      <c r="O14" s="16">
        <v>70.5</v>
      </c>
      <c r="P14" s="16"/>
      <c r="Q14" s="16"/>
      <c r="R14" s="16">
        <v>79.5</v>
      </c>
      <c r="S14" s="16"/>
      <c r="T14" s="16">
        <f t="shared" si="5"/>
        <v>10</v>
      </c>
      <c r="U14" s="4"/>
      <c r="V14" s="4">
        <f>U14</f>
        <v>0</v>
      </c>
      <c r="W14" s="4"/>
      <c r="X14" s="4"/>
      <c r="Y14" s="16"/>
      <c r="Z14" s="16"/>
      <c r="AA14" s="16">
        <f t="shared" si="6"/>
        <v>43.5</v>
      </c>
      <c r="AB14" s="16">
        <f t="shared" si="7"/>
        <v>43.5</v>
      </c>
      <c r="AC14" s="16">
        <v>1.4</v>
      </c>
      <c r="AD14" s="16">
        <v>13.6</v>
      </c>
      <c r="AE14" s="16">
        <v>31.2</v>
      </c>
      <c r="AF14" s="16">
        <v>32.200000000000003</v>
      </c>
      <c r="AG14" s="16">
        <v>17.8</v>
      </c>
      <c r="AH14" s="16">
        <v>16.2</v>
      </c>
      <c r="AI14" s="16">
        <v>18</v>
      </c>
      <c r="AJ14" s="16">
        <v>19.2</v>
      </c>
      <c r="AK14" s="16">
        <v>22</v>
      </c>
      <c r="AL14" s="16">
        <v>18.8</v>
      </c>
      <c r="AM14" s="16"/>
      <c r="AN14" s="16">
        <f t="shared" si="8"/>
        <v>0</v>
      </c>
      <c r="AO14" t="s">
        <v>67</v>
      </c>
    </row>
    <row r="15" spans="1:41" x14ac:dyDescent="0.25">
      <c r="A15" s="16" t="s">
        <v>68</v>
      </c>
      <c r="B15" s="16" t="s">
        <v>44</v>
      </c>
      <c r="C15" s="16">
        <v>365.911</v>
      </c>
      <c r="D15" s="16">
        <v>250.00299999999999</v>
      </c>
      <c r="E15" s="16">
        <v>349.33300000000003</v>
      </c>
      <c r="F15" s="16">
        <v>172.76400000000001</v>
      </c>
      <c r="G15" s="6">
        <v>1</v>
      </c>
      <c r="H15" s="16">
        <v>70</v>
      </c>
      <c r="I15" s="8" t="s">
        <v>64</v>
      </c>
      <c r="J15" s="16"/>
      <c r="K15" s="16">
        <v>369.68</v>
      </c>
      <c r="L15" s="16">
        <f t="shared" si="4"/>
        <v>-20.34699999999998</v>
      </c>
      <c r="M15" s="16"/>
      <c r="N15" s="16"/>
      <c r="O15" s="16">
        <v>163.73361799999989</v>
      </c>
      <c r="P15" s="16"/>
      <c r="Q15" s="16"/>
      <c r="R15" s="16">
        <v>60</v>
      </c>
      <c r="S15" s="16"/>
      <c r="T15" s="16">
        <f t="shared" si="5"/>
        <v>69.866600000000005</v>
      </c>
      <c r="U15" s="4">
        <f>11*T15-S15-R15-Q15-O15-F15</f>
        <v>372.03498200000013</v>
      </c>
      <c r="V15" s="4">
        <f>U15+$V$1*T15</f>
        <v>467.05355800000012</v>
      </c>
      <c r="W15" s="4"/>
      <c r="X15" s="4"/>
      <c r="Y15" s="16"/>
      <c r="Z15" s="16"/>
      <c r="AA15" s="16">
        <f t="shared" si="6"/>
        <v>12.359999999999998</v>
      </c>
      <c r="AB15" s="16">
        <f t="shared" si="7"/>
        <v>5.675066741475896</v>
      </c>
      <c r="AC15" s="16">
        <v>59.2682</v>
      </c>
      <c r="AD15" s="16">
        <v>64.551999999999992</v>
      </c>
      <c r="AE15" s="16">
        <v>60.460999999999999</v>
      </c>
      <c r="AF15" s="16">
        <v>67.999800000000008</v>
      </c>
      <c r="AG15" s="16">
        <v>67.419600000000003</v>
      </c>
      <c r="AH15" s="16">
        <v>63.860999999999997</v>
      </c>
      <c r="AI15" s="16">
        <v>64.120199999999997</v>
      </c>
      <c r="AJ15" s="16">
        <v>71.404200000000003</v>
      </c>
      <c r="AK15" s="16">
        <v>76.710000000000008</v>
      </c>
      <c r="AL15" s="16">
        <v>82.161599999999993</v>
      </c>
      <c r="AM15" s="16"/>
      <c r="AN15" s="16">
        <f t="shared" si="8"/>
        <v>467</v>
      </c>
      <c r="AO15" t="s">
        <v>69</v>
      </c>
    </row>
    <row r="16" spans="1:41" x14ac:dyDescent="0.25">
      <c r="A16" s="16" t="s">
        <v>70</v>
      </c>
      <c r="B16" s="16" t="s">
        <v>44</v>
      </c>
      <c r="C16" s="16">
        <v>2151.0590000000002</v>
      </c>
      <c r="D16" s="16">
        <v>1271.2619999999999</v>
      </c>
      <c r="E16" s="16">
        <v>1586.4849999999999</v>
      </c>
      <c r="F16" s="16">
        <v>1449.9960000000001</v>
      </c>
      <c r="G16" s="6">
        <v>1</v>
      </c>
      <c r="H16" s="16">
        <v>50</v>
      </c>
      <c r="I16" s="16" t="s">
        <v>45</v>
      </c>
      <c r="J16" s="16"/>
      <c r="K16" s="16">
        <v>1708.6</v>
      </c>
      <c r="L16" s="16">
        <f t="shared" si="4"/>
        <v>-122.11500000000001</v>
      </c>
      <c r="M16" s="16"/>
      <c r="N16" s="16"/>
      <c r="O16" s="16">
        <v>611</v>
      </c>
      <c r="P16" s="16"/>
      <c r="Q16" s="16">
        <v>250</v>
      </c>
      <c r="R16" s="16">
        <v>689</v>
      </c>
      <c r="S16" s="16"/>
      <c r="T16" s="16">
        <f t="shared" si="5"/>
        <v>317.29699999999997</v>
      </c>
      <c r="U16" s="4">
        <f>11*T16-S16-R16-Q16-O16-F16</f>
        <v>490.27099999999973</v>
      </c>
      <c r="V16" s="18">
        <v>170</v>
      </c>
      <c r="W16" s="18"/>
      <c r="X16" s="18">
        <v>200</v>
      </c>
      <c r="Y16" s="16"/>
      <c r="Z16" s="16"/>
      <c r="AA16" s="16">
        <f t="shared" si="6"/>
        <v>9.9906270781003297</v>
      </c>
      <c r="AB16" s="16">
        <f t="shared" si="7"/>
        <v>9.4548514483275934</v>
      </c>
      <c r="AC16" s="16">
        <v>275.59399999999999</v>
      </c>
      <c r="AD16" s="16">
        <v>362.4502</v>
      </c>
      <c r="AE16" s="16">
        <v>400.47460000000001</v>
      </c>
      <c r="AF16" s="16">
        <v>338.92259999999999</v>
      </c>
      <c r="AG16" s="16">
        <v>312.99419999999998</v>
      </c>
      <c r="AH16" s="16">
        <v>340.73579999999998</v>
      </c>
      <c r="AI16" s="16">
        <v>301.46600000000001</v>
      </c>
      <c r="AJ16" s="16">
        <v>223.81219999999999</v>
      </c>
      <c r="AK16" s="16">
        <v>225.41679999999999</v>
      </c>
      <c r="AL16" s="16">
        <v>363.58780000000002</v>
      </c>
      <c r="AM16" s="16"/>
      <c r="AN16" s="16">
        <f t="shared" si="8"/>
        <v>170</v>
      </c>
      <c r="AO16" t="s">
        <v>71</v>
      </c>
    </row>
    <row r="17" spans="1:41" x14ac:dyDescent="0.25">
      <c r="A17" s="16" t="s">
        <v>72</v>
      </c>
      <c r="B17" s="16" t="s">
        <v>44</v>
      </c>
      <c r="C17" s="16">
        <v>59.015999999999998</v>
      </c>
      <c r="D17" s="16">
        <v>42.671999999999997</v>
      </c>
      <c r="E17" s="16">
        <v>67.38</v>
      </c>
      <c r="F17" s="16">
        <v>22.001999999999999</v>
      </c>
      <c r="G17" s="6">
        <v>1</v>
      </c>
      <c r="H17" s="16">
        <v>60</v>
      </c>
      <c r="I17" s="16" t="s">
        <v>45</v>
      </c>
      <c r="J17" s="16"/>
      <c r="K17" s="16">
        <v>62.1</v>
      </c>
      <c r="L17" s="16">
        <f t="shared" si="4"/>
        <v>5.279999999999994</v>
      </c>
      <c r="M17" s="16"/>
      <c r="N17" s="16"/>
      <c r="O17" s="16">
        <v>93.454199999999986</v>
      </c>
      <c r="P17" s="16"/>
      <c r="Q17" s="16"/>
      <c r="R17" s="16"/>
      <c r="S17" s="16"/>
      <c r="T17" s="16">
        <f t="shared" si="5"/>
        <v>13.475999999999999</v>
      </c>
      <c r="U17" s="4">
        <f>11*T17-S17-R17-Q17-O17-F17</f>
        <v>32.779800000000009</v>
      </c>
      <c r="V17" s="4">
        <f>U17</f>
        <v>32.779800000000009</v>
      </c>
      <c r="W17" s="4"/>
      <c r="X17" s="4"/>
      <c r="Y17" s="16"/>
      <c r="Z17" s="16"/>
      <c r="AA17" s="16">
        <f t="shared" si="6"/>
        <v>11</v>
      </c>
      <c r="AB17" s="16">
        <f t="shared" si="7"/>
        <v>8.5675422974176314</v>
      </c>
      <c r="AC17" s="16">
        <v>14.8294</v>
      </c>
      <c r="AD17" s="16">
        <v>16.038599999999999</v>
      </c>
      <c r="AE17" s="16">
        <v>10.763999999999999</v>
      </c>
      <c r="AF17" s="16">
        <v>8.6592000000000002</v>
      </c>
      <c r="AG17" s="16">
        <v>14.825799999999999</v>
      </c>
      <c r="AH17" s="16">
        <v>13.7936</v>
      </c>
      <c r="AI17" s="16">
        <v>9.2590000000000003</v>
      </c>
      <c r="AJ17" s="16">
        <v>15.664400000000001</v>
      </c>
      <c r="AK17" s="16">
        <v>19.814599999999999</v>
      </c>
      <c r="AL17" s="16">
        <v>17.560199999999998</v>
      </c>
      <c r="AM17" s="16"/>
      <c r="AN17" s="16">
        <f t="shared" si="8"/>
        <v>33</v>
      </c>
      <c r="AO17" t="s">
        <v>73</v>
      </c>
    </row>
    <row r="18" spans="1:41" x14ac:dyDescent="0.25">
      <c r="A18" s="16" t="s">
        <v>74</v>
      </c>
      <c r="B18" s="16" t="s">
        <v>44</v>
      </c>
      <c r="C18" s="16">
        <v>55.344000000000001</v>
      </c>
      <c r="D18" s="16">
        <v>15.888999999999999</v>
      </c>
      <c r="E18" s="16">
        <v>56.398000000000003</v>
      </c>
      <c r="F18" s="16">
        <v>8.6649999999999991</v>
      </c>
      <c r="G18" s="6">
        <v>1</v>
      </c>
      <c r="H18" s="16">
        <v>60</v>
      </c>
      <c r="I18" s="8" t="s">
        <v>64</v>
      </c>
      <c r="J18" s="16"/>
      <c r="K18" s="16">
        <v>51.1</v>
      </c>
      <c r="L18" s="16">
        <f t="shared" si="4"/>
        <v>5.2980000000000018</v>
      </c>
      <c r="M18" s="16"/>
      <c r="N18" s="16"/>
      <c r="O18" s="16">
        <v>64.537800000000004</v>
      </c>
      <c r="P18" s="16">
        <v>-69</v>
      </c>
      <c r="Q18" s="16"/>
      <c r="R18" s="16"/>
      <c r="S18" s="16"/>
      <c r="T18" s="16">
        <f t="shared" si="5"/>
        <v>11.2796</v>
      </c>
      <c r="U18" s="4">
        <f>11*T18-S18-R18-Q18-O18-F18</f>
        <v>50.872800000000005</v>
      </c>
      <c r="V18" s="4">
        <f>U18</f>
        <v>50.872800000000005</v>
      </c>
      <c r="W18" s="4"/>
      <c r="X18" s="4"/>
      <c r="Y18" s="16"/>
      <c r="Z18" s="16"/>
      <c r="AA18" s="16">
        <f t="shared" si="6"/>
        <v>11</v>
      </c>
      <c r="AB18" s="16">
        <f t="shared" si="7"/>
        <v>6.4898400652505401</v>
      </c>
      <c r="AC18" s="16">
        <v>9.8811999999999998</v>
      </c>
      <c r="AD18" s="16">
        <v>10.02</v>
      </c>
      <c r="AE18" s="16">
        <v>6.4992000000000001</v>
      </c>
      <c r="AF18" s="16">
        <v>4.6139999999999999</v>
      </c>
      <c r="AG18" s="16">
        <v>9.6975999999999996</v>
      </c>
      <c r="AH18" s="16">
        <v>9.870000000000001</v>
      </c>
      <c r="AI18" s="16">
        <v>4.0758000000000001</v>
      </c>
      <c r="AJ18" s="16">
        <v>5.8464</v>
      </c>
      <c r="AK18" s="16">
        <v>11.7798</v>
      </c>
      <c r="AL18" s="16">
        <v>9.9963999999999995</v>
      </c>
      <c r="AM18" s="16"/>
      <c r="AN18" s="16">
        <f t="shared" si="8"/>
        <v>51</v>
      </c>
      <c r="AO18" t="s">
        <v>75</v>
      </c>
    </row>
    <row r="19" spans="1:41" x14ac:dyDescent="0.25">
      <c r="A19" s="16" t="s">
        <v>76</v>
      </c>
      <c r="B19" s="16" t="s">
        <v>44</v>
      </c>
      <c r="C19" s="16">
        <v>14.396000000000001</v>
      </c>
      <c r="D19" s="16">
        <v>58.44</v>
      </c>
      <c r="E19" s="16">
        <v>15.31</v>
      </c>
      <c r="F19" s="16">
        <v>50.100999999999999</v>
      </c>
      <c r="G19" s="6">
        <v>1</v>
      </c>
      <c r="H19" s="16">
        <v>180</v>
      </c>
      <c r="I19" s="16" t="s">
        <v>45</v>
      </c>
      <c r="J19" s="16"/>
      <c r="K19" s="16">
        <v>13.25</v>
      </c>
      <c r="L19" s="16">
        <f t="shared" si="4"/>
        <v>2.0600000000000005</v>
      </c>
      <c r="M19" s="16"/>
      <c r="N19" s="16"/>
      <c r="O19" s="16">
        <v>40</v>
      </c>
      <c r="P19" s="16"/>
      <c r="Q19" s="16"/>
      <c r="R19" s="16"/>
      <c r="S19" s="16"/>
      <c r="T19" s="16">
        <f t="shared" si="5"/>
        <v>3.0620000000000003</v>
      </c>
      <c r="U19" s="4"/>
      <c r="V19" s="4">
        <f>U19</f>
        <v>0</v>
      </c>
      <c r="W19" s="4"/>
      <c r="X19" s="4"/>
      <c r="Y19" s="16"/>
      <c r="Z19" s="16"/>
      <c r="AA19" s="16">
        <f t="shared" si="6"/>
        <v>29.425538863487912</v>
      </c>
      <c r="AB19" s="16">
        <f t="shared" si="7"/>
        <v>29.425538863487912</v>
      </c>
      <c r="AC19" s="16">
        <v>3.778799999999999</v>
      </c>
      <c r="AD19" s="16">
        <v>6.1134000000000004</v>
      </c>
      <c r="AE19" s="16">
        <v>6.3506</v>
      </c>
      <c r="AF19" s="16">
        <v>4.6951999999999998</v>
      </c>
      <c r="AG19" s="16">
        <v>3.7277999999999998</v>
      </c>
      <c r="AH19" s="16">
        <v>4.875</v>
      </c>
      <c r="AI19" s="16">
        <v>3.3774000000000002</v>
      </c>
      <c r="AJ19" s="16">
        <v>2.6214</v>
      </c>
      <c r="AK19" s="16">
        <v>3.2532000000000001</v>
      </c>
      <c r="AL19" s="16">
        <v>2.9756</v>
      </c>
      <c r="AM19" s="16"/>
      <c r="AN19" s="16">
        <f t="shared" si="8"/>
        <v>0</v>
      </c>
      <c r="AO19" t="s">
        <v>77</v>
      </c>
    </row>
    <row r="20" spans="1:41" x14ac:dyDescent="0.25">
      <c r="A20" s="16" t="s">
        <v>78</v>
      </c>
      <c r="B20" s="16" t="s">
        <v>44</v>
      </c>
      <c r="C20" s="16">
        <v>250.82900000000001</v>
      </c>
      <c r="D20" s="16">
        <v>470.79</v>
      </c>
      <c r="E20" s="16">
        <v>338.63200000000001</v>
      </c>
      <c r="F20" s="16">
        <v>301.31900000000002</v>
      </c>
      <c r="G20" s="6">
        <v>1</v>
      </c>
      <c r="H20" s="16">
        <v>60</v>
      </c>
      <c r="I20" s="16" t="s">
        <v>45</v>
      </c>
      <c r="J20" s="16"/>
      <c r="K20" s="16">
        <v>346.36</v>
      </c>
      <c r="L20" s="16">
        <f t="shared" si="4"/>
        <v>-7.7280000000000086</v>
      </c>
      <c r="M20" s="16"/>
      <c r="N20" s="16"/>
      <c r="O20" s="16">
        <v>201.81852639999991</v>
      </c>
      <c r="P20" s="16"/>
      <c r="Q20" s="16"/>
      <c r="R20" s="16">
        <v>80</v>
      </c>
      <c r="S20" s="16"/>
      <c r="T20" s="16">
        <f t="shared" si="5"/>
        <v>67.726399999999998</v>
      </c>
      <c r="U20" s="4">
        <f>11*T20-S20-R20-Q20-O20-F20</f>
        <v>161.85287360000012</v>
      </c>
      <c r="V20" s="4">
        <f>U20+$V$1*T20</f>
        <v>253.96077760000014</v>
      </c>
      <c r="W20" s="4"/>
      <c r="X20" s="4"/>
      <c r="Y20" s="16"/>
      <c r="Z20" s="16"/>
      <c r="AA20" s="16">
        <f t="shared" si="6"/>
        <v>12.360000000000001</v>
      </c>
      <c r="AB20" s="16">
        <f t="shared" si="7"/>
        <v>8.6101952325828623</v>
      </c>
      <c r="AC20" s="16">
        <v>70.512</v>
      </c>
      <c r="AD20" s="16">
        <v>77.909599999999998</v>
      </c>
      <c r="AE20" s="16">
        <v>72.000399999999999</v>
      </c>
      <c r="AF20" s="16">
        <v>75.010799999999989</v>
      </c>
      <c r="AG20" s="16">
        <v>77.209599999999995</v>
      </c>
      <c r="AH20" s="16">
        <v>79.551599999999993</v>
      </c>
      <c r="AI20" s="16">
        <v>73.747199999999992</v>
      </c>
      <c r="AJ20" s="16">
        <v>84.715599999999995</v>
      </c>
      <c r="AK20" s="16">
        <v>89.979399999999998</v>
      </c>
      <c r="AL20" s="16">
        <v>85.64500000000001</v>
      </c>
      <c r="AM20" s="16"/>
      <c r="AN20" s="16">
        <f t="shared" si="8"/>
        <v>254</v>
      </c>
      <c r="AO20" t="s">
        <v>79</v>
      </c>
    </row>
    <row r="21" spans="1:41" x14ac:dyDescent="0.25">
      <c r="A21" s="16" t="s">
        <v>80</v>
      </c>
      <c r="B21" s="16" t="s">
        <v>44</v>
      </c>
      <c r="C21" s="16">
        <v>103.337</v>
      </c>
      <c r="D21" s="16">
        <v>68.947999999999993</v>
      </c>
      <c r="E21" s="16">
        <v>127.40600000000001</v>
      </c>
      <c r="F21" s="16">
        <v>27.236000000000001</v>
      </c>
      <c r="G21" s="6">
        <v>1</v>
      </c>
      <c r="H21" s="16">
        <v>70</v>
      </c>
      <c r="I21" s="16" t="s">
        <v>45</v>
      </c>
      <c r="J21" s="16"/>
      <c r="K21" s="16">
        <v>129.58000000000001</v>
      </c>
      <c r="L21" s="16">
        <f t="shared" si="4"/>
        <v>-2.1740000000000066</v>
      </c>
      <c r="M21" s="16"/>
      <c r="N21" s="16"/>
      <c r="O21" s="16">
        <v>70.5</v>
      </c>
      <c r="P21" s="16"/>
      <c r="Q21" s="16"/>
      <c r="R21" s="16">
        <v>79.5</v>
      </c>
      <c r="S21" s="16"/>
      <c r="T21" s="16">
        <f t="shared" si="5"/>
        <v>25.481200000000001</v>
      </c>
      <c r="U21" s="4">
        <f>11*T21-S21-R21-Q21-O21-F21</f>
        <v>103.05720000000001</v>
      </c>
      <c r="V21" s="4">
        <f>U21+$V$1*T21</f>
        <v>137.71163200000001</v>
      </c>
      <c r="W21" s="4"/>
      <c r="X21" s="4"/>
      <c r="Y21" s="16"/>
      <c r="Z21" s="16"/>
      <c r="AA21" s="16">
        <f t="shared" si="6"/>
        <v>12.36</v>
      </c>
      <c r="AB21" s="16">
        <f t="shared" si="7"/>
        <v>6.9555593928072454</v>
      </c>
      <c r="AC21" s="16">
        <v>24.018799999999999</v>
      </c>
      <c r="AD21" s="16">
        <v>17.2928</v>
      </c>
      <c r="AE21" s="16">
        <v>16.8612</v>
      </c>
      <c r="AF21" s="16">
        <v>15.4404</v>
      </c>
      <c r="AG21" s="16">
        <v>13</v>
      </c>
      <c r="AH21" s="16">
        <v>21.806999999999999</v>
      </c>
      <c r="AI21" s="16">
        <v>21.227</v>
      </c>
      <c r="AJ21" s="16">
        <v>14.3834</v>
      </c>
      <c r="AK21" s="16">
        <v>19.766999999999999</v>
      </c>
      <c r="AL21" s="16">
        <v>31.105599999999999</v>
      </c>
      <c r="AM21" s="16"/>
      <c r="AN21" s="16">
        <f t="shared" si="8"/>
        <v>138</v>
      </c>
      <c r="AO21" t="s">
        <v>81</v>
      </c>
    </row>
    <row r="22" spans="1:41" x14ac:dyDescent="0.25">
      <c r="A22" s="16" t="s">
        <v>82</v>
      </c>
      <c r="B22" s="16" t="s">
        <v>44</v>
      </c>
      <c r="C22" s="16">
        <v>-3.1789999999999998</v>
      </c>
      <c r="D22" s="16">
        <v>74.155000000000001</v>
      </c>
      <c r="E22" s="16">
        <v>32.521999999999998</v>
      </c>
      <c r="F22" s="16">
        <v>-1.202</v>
      </c>
      <c r="G22" s="6">
        <v>1</v>
      </c>
      <c r="H22" s="16">
        <v>70</v>
      </c>
      <c r="I22" s="8" t="s">
        <v>64</v>
      </c>
      <c r="J22" s="16"/>
      <c r="K22" s="16">
        <v>46.26</v>
      </c>
      <c r="L22" s="16">
        <f t="shared" si="4"/>
        <v>-13.738</v>
      </c>
      <c r="M22" s="16"/>
      <c r="N22" s="16"/>
      <c r="O22" s="16">
        <v>250</v>
      </c>
      <c r="P22" s="16"/>
      <c r="Q22" s="16"/>
      <c r="R22" s="16"/>
      <c r="S22" s="16"/>
      <c r="T22" s="16">
        <f t="shared" si="5"/>
        <v>6.5043999999999995</v>
      </c>
      <c r="U22" s="4">
        <v>100</v>
      </c>
      <c r="V22" s="4">
        <f>U22</f>
        <v>100</v>
      </c>
      <c r="W22" s="4"/>
      <c r="X22" s="4"/>
      <c r="Y22" s="16"/>
      <c r="Z22" s="16"/>
      <c r="AA22" s="16">
        <f t="shared" si="6"/>
        <v>53.624930816062978</v>
      </c>
      <c r="AB22" s="16">
        <f t="shared" si="7"/>
        <v>38.250722587786733</v>
      </c>
      <c r="AC22" s="16">
        <v>18.438800000000001</v>
      </c>
      <c r="AD22" s="16">
        <v>35.318600000000004</v>
      </c>
      <c r="AE22" s="16">
        <v>41.7134</v>
      </c>
      <c r="AF22" s="16">
        <v>43.699199999999998</v>
      </c>
      <c r="AG22" s="16">
        <v>38.575599999999987</v>
      </c>
      <c r="AH22" s="16">
        <v>44.986800000000002</v>
      </c>
      <c r="AI22" s="16">
        <v>38.965000000000003</v>
      </c>
      <c r="AJ22" s="16">
        <v>37.324399999999997</v>
      </c>
      <c r="AK22" s="16">
        <v>42.604799999999997</v>
      </c>
      <c r="AL22" s="16">
        <v>42.156199999999998</v>
      </c>
      <c r="AM22" s="16"/>
      <c r="AN22" s="16">
        <f t="shared" si="8"/>
        <v>100</v>
      </c>
      <c r="AO22" t="s">
        <v>83</v>
      </c>
    </row>
    <row r="23" spans="1:41" x14ac:dyDescent="0.25">
      <c r="A23" s="16" t="s">
        <v>84</v>
      </c>
      <c r="B23" s="16" t="s">
        <v>44</v>
      </c>
      <c r="C23" s="16">
        <v>-0.48099999999999998</v>
      </c>
      <c r="D23" s="16">
        <v>83.444999999999993</v>
      </c>
      <c r="E23" s="16">
        <v>9.7840000000000007</v>
      </c>
      <c r="F23" s="16">
        <v>66.563999999999993</v>
      </c>
      <c r="G23" s="6">
        <v>1</v>
      </c>
      <c r="H23" s="16">
        <v>180</v>
      </c>
      <c r="I23" s="16" t="s">
        <v>45</v>
      </c>
      <c r="J23" s="16"/>
      <c r="K23" s="16">
        <v>9.27</v>
      </c>
      <c r="L23" s="16">
        <f t="shared" si="4"/>
        <v>0.51400000000000112</v>
      </c>
      <c r="M23" s="16"/>
      <c r="N23" s="16"/>
      <c r="O23" s="16">
        <v>88</v>
      </c>
      <c r="P23" s="16"/>
      <c r="Q23" s="16"/>
      <c r="R23" s="16"/>
      <c r="S23" s="16"/>
      <c r="T23" s="16">
        <f t="shared" si="5"/>
        <v>1.9568000000000001</v>
      </c>
      <c r="U23" s="4"/>
      <c r="V23" s="4">
        <f>U23</f>
        <v>0</v>
      </c>
      <c r="W23" s="4"/>
      <c r="X23" s="4"/>
      <c r="Y23" s="16"/>
      <c r="Z23" s="16"/>
      <c r="AA23" s="16">
        <f t="shared" si="6"/>
        <v>78.988143908421904</v>
      </c>
      <c r="AB23" s="16">
        <f t="shared" si="7"/>
        <v>78.988143908421904</v>
      </c>
      <c r="AC23" s="16">
        <v>2.3163999999999998</v>
      </c>
      <c r="AD23" s="16">
        <v>7.5906000000000002</v>
      </c>
      <c r="AE23" s="16">
        <v>9.031600000000001</v>
      </c>
      <c r="AF23" s="16">
        <v>4.0991999999999997</v>
      </c>
      <c r="AG23" s="16">
        <v>1.9630000000000001</v>
      </c>
      <c r="AH23" s="16">
        <v>4.3348000000000004</v>
      </c>
      <c r="AI23" s="16">
        <v>3.0522</v>
      </c>
      <c r="AJ23" s="16">
        <v>3.3224</v>
      </c>
      <c r="AK23" s="16">
        <v>4.6915999999999993</v>
      </c>
      <c r="AL23" s="16">
        <v>3.9258000000000002</v>
      </c>
      <c r="AM23" s="13" t="s">
        <v>85</v>
      </c>
      <c r="AN23" s="16">
        <f t="shared" si="8"/>
        <v>0</v>
      </c>
      <c r="AO23" t="s">
        <v>86</v>
      </c>
    </row>
    <row r="24" spans="1:41" x14ac:dyDescent="0.25">
      <c r="A24" s="16" t="s">
        <v>87</v>
      </c>
      <c r="B24" s="16" t="s">
        <v>44</v>
      </c>
      <c r="C24" s="16">
        <v>-11.143000000000001</v>
      </c>
      <c r="D24" s="16">
        <v>73.465000000000003</v>
      </c>
      <c r="E24" s="16">
        <v>43.853000000000002</v>
      </c>
      <c r="F24" s="16">
        <v>-11.355</v>
      </c>
      <c r="G24" s="6">
        <v>1</v>
      </c>
      <c r="H24" s="16">
        <v>70</v>
      </c>
      <c r="I24" s="8" t="s">
        <v>64</v>
      </c>
      <c r="J24" s="16"/>
      <c r="K24" s="16">
        <v>81.94</v>
      </c>
      <c r="L24" s="16">
        <f t="shared" si="4"/>
        <v>-38.086999999999996</v>
      </c>
      <c r="M24" s="16"/>
      <c r="N24" s="16"/>
      <c r="O24" s="16">
        <v>70</v>
      </c>
      <c r="P24" s="16"/>
      <c r="Q24" s="16"/>
      <c r="R24" s="16"/>
      <c r="S24" s="16"/>
      <c r="T24" s="16">
        <f t="shared" si="5"/>
        <v>8.7706</v>
      </c>
      <c r="U24" s="4">
        <v>70</v>
      </c>
      <c r="V24" s="4">
        <v>200</v>
      </c>
      <c r="W24" s="4"/>
      <c r="X24" s="4"/>
      <c r="Y24" s="16" t="str">
        <f>VLOOKUP(A24,[1]Sheet!$A:$V,21,0)</f>
        <v>300КГ</v>
      </c>
      <c r="Z24" s="16" t="str">
        <f>VLOOKUP(A24,[1]Sheet!$A:$V,22,0)</f>
        <v>Промо ЖЦ</v>
      </c>
      <c r="AA24" s="16">
        <f t="shared" si="6"/>
        <v>29.490000684103709</v>
      </c>
      <c r="AB24" s="16">
        <f t="shared" si="7"/>
        <v>6.6865436800218907</v>
      </c>
      <c r="AC24" s="16">
        <v>14.5794</v>
      </c>
      <c r="AD24" s="16">
        <v>31.823799999999999</v>
      </c>
      <c r="AE24" s="16">
        <v>37.118400000000001</v>
      </c>
      <c r="AF24" s="16">
        <v>39.154400000000003</v>
      </c>
      <c r="AG24" s="16">
        <v>36.545400000000001</v>
      </c>
      <c r="AH24" s="16">
        <v>37.086200000000012</v>
      </c>
      <c r="AI24" s="16">
        <v>30.3794</v>
      </c>
      <c r="AJ24" s="16">
        <v>37.165799999999997</v>
      </c>
      <c r="AK24" s="16">
        <v>46.671199999999999</v>
      </c>
      <c r="AL24" s="16">
        <v>51.576599999999999</v>
      </c>
      <c r="AM24" s="16"/>
      <c r="AN24" s="16">
        <f t="shared" si="8"/>
        <v>200</v>
      </c>
      <c r="AO24" t="s">
        <v>88</v>
      </c>
    </row>
    <row r="25" spans="1:41" x14ac:dyDescent="0.25">
      <c r="A25" s="9" t="s">
        <v>89</v>
      </c>
      <c r="B25" s="9" t="s">
        <v>44</v>
      </c>
      <c r="C25" s="9">
        <v>0.39800000000000002</v>
      </c>
      <c r="D25" s="9"/>
      <c r="E25" s="9">
        <v>-0.71399999999999997</v>
      </c>
      <c r="F25" s="9">
        <v>0.39800000000000002</v>
      </c>
      <c r="G25" s="10">
        <v>0</v>
      </c>
      <c r="H25" s="9">
        <v>35</v>
      </c>
      <c r="I25" s="9" t="s">
        <v>90</v>
      </c>
      <c r="J25" s="9"/>
      <c r="K25" s="9">
        <v>2.8</v>
      </c>
      <c r="L25" s="9">
        <f t="shared" si="4"/>
        <v>-3.5139999999999998</v>
      </c>
      <c r="M25" s="9"/>
      <c r="N25" s="9"/>
      <c r="O25" s="9">
        <v>0</v>
      </c>
      <c r="P25" s="9"/>
      <c r="Q25" s="9"/>
      <c r="R25" s="9"/>
      <c r="S25" s="9"/>
      <c r="T25" s="9">
        <f t="shared" si="5"/>
        <v>-0.14279999999999998</v>
      </c>
      <c r="U25" s="11"/>
      <c r="V25" s="4">
        <f>U25</f>
        <v>0</v>
      </c>
      <c r="W25" s="4"/>
      <c r="X25" s="4"/>
      <c r="Y25" s="16"/>
      <c r="Z25" s="16"/>
      <c r="AA25" s="16">
        <f t="shared" si="6"/>
        <v>-2.7871148459383757</v>
      </c>
      <c r="AB25" s="9">
        <f t="shared" si="7"/>
        <v>-2.7871148459383757</v>
      </c>
      <c r="AC25" s="9">
        <v>0</v>
      </c>
      <c r="AD25" s="9">
        <v>-0.1394</v>
      </c>
      <c r="AE25" s="9">
        <v>-0.42159999999999997</v>
      </c>
      <c r="AF25" s="9">
        <v>-0.28220000000000001</v>
      </c>
      <c r="AG25" s="9">
        <v>-0.14000000000000001</v>
      </c>
      <c r="AH25" s="9">
        <v>-0.14000000000000001</v>
      </c>
      <c r="AI25" s="9">
        <v>0</v>
      </c>
      <c r="AJ25" s="9">
        <v>4.6292</v>
      </c>
      <c r="AK25" s="9">
        <v>6.452</v>
      </c>
      <c r="AL25" s="9">
        <v>6.3102</v>
      </c>
      <c r="AM25" s="9"/>
      <c r="AN25" s="16">
        <f t="shared" si="8"/>
        <v>0</v>
      </c>
      <c r="AO25" t="s">
        <v>91</v>
      </c>
    </row>
    <row r="26" spans="1:41" x14ac:dyDescent="0.25">
      <c r="A26" s="9" t="s">
        <v>92</v>
      </c>
      <c r="B26" s="9" t="s">
        <v>44</v>
      </c>
      <c r="C26" s="9"/>
      <c r="D26" s="9"/>
      <c r="E26" s="9"/>
      <c r="F26" s="9"/>
      <c r="G26" s="10">
        <v>0</v>
      </c>
      <c r="H26" s="9"/>
      <c r="I26" s="9" t="s">
        <v>45</v>
      </c>
      <c r="J26" s="9"/>
      <c r="K26" s="9"/>
      <c r="L26" s="9">
        <f t="shared" si="4"/>
        <v>0</v>
      </c>
      <c r="M26" s="9"/>
      <c r="N26" s="9"/>
      <c r="O26" s="9">
        <v>0</v>
      </c>
      <c r="P26" s="9"/>
      <c r="Q26" s="9"/>
      <c r="R26" s="9"/>
      <c r="S26" s="9"/>
      <c r="T26" s="9">
        <f t="shared" si="5"/>
        <v>0</v>
      </c>
      <c r="U26" s="11"/>
      <c r="V26" s="4">
        <f>U26</f>
        <v>0</v>
      </c>
      <c r="W26" s="4"/>
      <c r="X26" s="4"/>
      <c r="Y26" s="16"/>
      <c r="Z26" s="16"/>
      <c r="AA26" s="16" t="e">
        <f t="shared" si="6"/>
        <v>#DIV/0!</v>
      </c>
      <c r="AB26" s="9" t="e">
        <f t="shared" si="7"/>
        <v>#DIV/0!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 t="s">
        <v>61</v>
      </c>
      <c r="AN26" s="16">
        <f t="shared" si="8"/>
        <v>0</v>
      </c>
      <c r="AO26" t="s">
        <v>93</v>
      </c>
    </row>
    <row r="27" spans="1:41" x14ac:dyDescent="0.25">
      <c r="A27" s="16" t="s">
        <v>94</v>
      </c>
      <c r="B27" s="16" t="s">
        <v>44</v>
      </c>
      <c r="C27" s="16">
        <v>165.69800000000001</v>
      </c>
      <c r="D27" s="16">
        <v>71.355000000000004</v>
      </c>
      <c r="E27" s="16">
        <v>205.637</v>
      </c>
      <c r="F27" s="16">
        <v>8.9359999999999999</v>
      </c>
      <c r="G27" s="6">
        <v>1</v>
      </c>
      <c r="H27" s="16">
        <v>30</v>
      </c>
      <c r="I27" s="16" t="s">
        <v>45</v>
      </c>
      <c r="J27" s="16"/>
      <c r="K27" s="16">
        <v>217.3</v>
      </c>
      <c r="L27" s="16">
        <f t="shared" si="4"/>
        <v>-11.663000000000011</v>
      </c>
      <c r="M27" s="16"/>
      <c r="N27" s="16"/>
      <c r="O27" s="16">
        <v>99.590931999999995</v>
      </c>
      <c r="P27" s="16">
        <v>-101</v>
      </c>
      <c r="Q27" s="16"/>
      <c r="R27" s="16"/>
      <c r="S27" s="16"/>
      <c r="T27" s="16">
        <f t="shared" si="5"/>
        <v>41.127400000000002</v>
      </c>
      <c r="U27" s="4">
        <f>9*T27-S27-R27-Q27-O27-F27</f>
        <v>261.61966800000005</v>
      </c>
      <c r="V27" s="4">
        <f>U27+$V$1*T27</f>
        <v>317.55293200000006</v>
      </c>
      <c r="W27" s="4"/>
      <c r="X27" s="4"/>
      <c r="Y27" s="16"/>
      <c r="Z27" s="16"/>
      <c r="AA27" s="16">
        <f t="shared" si="6"/>
        <v>10.360000000000001</v>
      </c>
      <c r="AB27" s="16">
        <f t="shared" si="7"/>
        <v>2.6387987570330238</v>
      </c>
      <c r="AC27" s="16">
        <v>48.219200000000001</v>
      </c>
      <c r="AD27" s="16">
        <v>53.691999999999993</v>
      </c>
      <c r="AE27" s="16">
        <v>57.585799999999992</v>
      </c>
      <c r="AF27" s="16">
        <v>41.682000000000002</v>
      </c>
      <c r="AG27" s="16">
        <v>45.629399999999997</v>
      </c>
      <c r="AH27" s="16">
        <v>54.0336</v>
      </c>
      <c r="AI27" s="16">
        <v>33.3504</v>
      </c>
      <c r="AJ27" s="16">
        <v>39.0062</v>
      </c>
      <c r="AK27" s="16">
        <v>53.301000000000002</v>
      </c>
      <c r="AL27" s="16">
        <v>46.706800000000001</v>
      </c>
      <c r="AM27" s="16"/>
      <c r="AN27" s="16">
        <f t="shared" si="8"/>
        <v>318</v>
      </c>
      <c r="AO27" t="s">
        <v>95</v>
      </c>
    </row>
    <row r="28" spans="1:41" x14ac:dyDescent="0.25">
      <c r="A28" s="16" t="s">
        <v>96</v>
      </c>
      <c r="B28" s="16" t="s">
        <v>44</v>
      </c>
      <c r="C28" s="16">
        <v>3.702</v>
      </c>
      <c r="D28" s="16"/>
      <c r="E28" s="16"/>
      <c r="F28" s="16">
        <v>3.702</v>
      </c>
      <c r="G28" s="6">
        <v>1</v>
      </c>
      <c r="H28" s="16">
        <v>40</v>
      </c>
      <c r="I28" s="8" t="s">
        <v>64</v>
      </c>
      <c r="J28" s="16"/>
      <c r="K28" s="16">
        <v>54.1</v>
      </c>
      <c r="L28" s="16">
        <f t="shared" si="4"/>
        <v>-54.1</v>
      </c>
      <c r="M28" s="16"/>
      <c r="N28" s="16"/>
      <c r="O28" s="16">
        <v>100</v>
      </c>
      <c r="P28" s="16">
        <v>-108</v>
      </c>
      <c r="Q28" s="16"/>
      <c r="R28" s="16"/>
      <c r="S28" s="16"/>
      <c r="T28" s="16">
        <f t="shared" si="5"/>
        <v>0</v>
      </c>
      <c r="U28" s="4">
        <v>50</v>
      </c>
      <c r="V28" s="4">
        <f t="shared" ref="V28:V40" si="9">U28</f>
        <v>50</v>
      </c>
      <c r="W28" s="4"/>
      <c r="X28" s="4"/>
      <c r="Y28" s="16"/>
      <c r="Z28" s="16"/>
      <c r="AA28" s="16" t="e">
        <f t="shared" si="6"/>
        <v>#DIV/0!</v>
      </c>
      <c r="AB28" s="16" t="e">
        <f t="shared" si="7"/>
        <v>#DIV/0!</v>
      </c>
      <c r="AC28" s="16">
        <v>0</v>
      </c>
      <c r="AD28" s="16">
        <v>-0.40960000000000002</v>
      </c>
      <c r="AE28" s="16">
        <v>-0.79859999999999998</v>
      </c>
      <c r="AF28" s="16">
        <v>0.30380000000000001</v>
      </c>
      <c r="AG28" s="16">
        <v>-2.1000000000000001E-2</v>
      </c>
      <c r="AH28" s="16">
        <v>0.1164</v>
      </c>
      <c r="AI28" s="16">
        <v>1.6801999999999999</v>
      </c>
      <c r="AJ28" s="16">
        <v>37.1038</v>
      </c>
      <c r="AK28" s="16">
        <v>73.638800000000003</v>
      </c>
      <c r="AL28" s="16">
        <v>62.238599999999998</v>
      </c>
      <c r="AM28" s="16"/>
      <c r="AN28" s="16">
        <f t="shared" si="8"/>
        <v>50</v>
      </c>
      <c r="AO28" t="s">
        <v>97</v>
      </c>
    </row>
    <row r="29" spans="1:41" x14ac:dyDescent="0.25">
      <c r="A29" s="16" t="s">
        <v>98</v>
      </c>
      <c r="B29" s="16" t="s">
        <v>44</v>
      </c>
      <c r="C29" s="16">
        <v>-0.13</v>
      </c>
      <c r="D29" s="16">
        <v>240.28</v>
      </c>
      <c r="E29" s="16">
        <v>225.25899999999999</v>
      </c>
      <c r="F29" s="16">
        <v>-7.0999999999999994E-2</v>
      </c>
      <c r="G29" s="6">
        <v>1</v>
      </c>
      <c r="H29" s="16">
        <v>30</v>
      </c>
      <c r="I29" s="8" t="s">
        <v>64</v>
      </c>
      <c r="J29" s="16"/>
      <c r="K29" s="16">
        <v>257.85000000000002</v>
      </c>
      <c r="L29" s="16">
        <f t="shared" si="4"/>
        <v>-32.591000000000037</v>
      </c>
      <c r="M29" s="16"/>
      <c r="N29" s="16"/>
      <c r="O29" s="16">
        <v>150</v>
      </c>
      <c r="P29" s="16"/>
      <c r="Q29" s="16"/>
      <c r="R29" s="16"/>
      <c r="S29" s="16"/>
      <c r="T29" s="16">
        <f t="shared" si="5"/>
        <v>45.0518</v>
      </c>
      <c r="U29" s="4">
        <v>200</v>
      </c>
      <c r="V29" s="4">
        <f t="shared" si="9"/>
        <v>200</v>
      </c>
      <c r="W29" s="4"/>
      <c r="X29" s="4"/>
      <c r="Y29" s="16"/>
      <c r="Z29" s="16"/>
      <c r="AA29" s="16">
        <f t="shared" si="6"/>
        <v>7.7672590218370843</v>
      </c>
      <c r="AB29" s="16">
        <f t="shared" si="7"/>
        <v>3.3279247444053288</v>
      </c>
      <c r="AC29" s="16">
        <v>-8.8800000000000004E-2</v>
      </c>
      <c r="AD29" s="16">
        <v>11.554</v>
      </c>
      <c r="AE29" s="16">
        <v>72.658000000000001</v>
      </c>
      <c r="AF29" s="16">
        <v>66.253200000000007</v>
      </c>
      <c r="AG29" s="16">
        <v>2.3946000000000001</v>
      </c>
      <c r="AH29" s="16">
        <v>-0.96219999999999994</v>
      </c>
      <c r="AI29" s="16">
        <v>10.6404</v>
      </c>
      <c r="AJ29" s="16">
        <v>28.9634</v>
      </c>
      <c r="AK29" s="16">
        <v>20.459</v>
      </c>
      <c r="AL29" s="16">
        <v>-1.2302</v>
      </c>
      <c r="AM29" s="16" t="s">
        <v>58</v>
      </c>
      <c r="AN29" s="16">
        <f t="shared" si="8"/>
        <v>200</v>
      </c>
      <c r="AO29" t="s">
        <v>99</v>
      </c>
    </row>
    <row r="30" spans="1:41" x14ac:dyDescent="0.25">
      <c r="A30" s="16" t="s">
        <v>100</v>
      </c>
      <c r="B30" s="16" t="s">
        <v>44</v>
      </c>
      <c r="C30" s="16">
        <v>-7.4480000000000004</v>
      </c>
      <c r="D30" s="16">
        <v>1376.1210000000001</v>
      </c>
      <c r="E30" s="16">
        <v>446.45100000000002</v>
      </c>
      <c r="F30" s="16">
        <v>704.26199999999994</v>
      </c>
      <c r="G30" s="6">
        <v>1</v>
      </c>
      <c r="H30" s="16">
        <v>40</v>
      </c>
      <c r="I30" s="8" t="s">
        <v>64</v>
      </c>
      <c r="J30" s="16"/>
      <c r="K30" s="16">
        <v>411.9</v>
      </c>
      <c r="L30" s="16">
        <f t="shared" si="4"/>
        <v>34.551000000000045</v>
      </c>
      <c r="M30" s="16"/>
      <c r="N30" s="16"/>
      <c r="O30" s="16">
        <v>200</v>
      </c>
      <c r="P30" s="16">
        <v>-207</v>
      </c>
      <c r="Q30" s="16"/>
      <c r="R30" s="16"/>
      <c r="S30" s="16"/>
      <c r="T30" s="16">
        <f t="shared" si="5"/>
        <v>89.290199999999999</v>
      </c>
      <c r="U30" s="4"/>
      <c r="V30" s="4">
        <f t="shared" si="9"/>
        <v>0</v>
      </c>
      <c r="W30" s="4"/>
      <c r="X30" s="4"/>
      <c r="Y30" s="16"/>
      <c r="Z30" s="16"/>
      <c r="AA30" s="16">
        <f t="shared" si="6"/>
        <v>10.127225608185444</v>
      </c>
      <c r="AB30" s="16">
        <f t="shared" si="7"/>
        <v>10.127225608185444</v>
      </c>
      <c r="AC30" s="16">
        <v>4.0186000000000002</v>
      </c>
      <c r="AD30" s="16">
        <v>4.0195999999999996</v>
      </c>
      <c r="AE30" s="16">
        <v>85.760400000000004</v>
      </c>
      <c r="AF30" s="16">
        <v>91.31280000000001</v>
      </c>
      <c r="AG30" s="16">
        <v>5.6337999999999999</v>
      </c>
      <c r="AH30" s="16">
        <v>-0.54759999999999998</v>
      </c>
      <c r="AI30" s="16">
        <v>-0.10059999999999999</v>
      </c>
      <c r="AJ30" s="16">
        <v>-0.82639999999999991</v>
      </c>
      <c r="AK30" s="16">
        <v>0.14080000000000001</v>
      </c>
      <c r="AL30" s="16">
        <v>2.6922000000000001</v>
      </c>
      <c r="AM30" s="16" t="s">
        <v>58</v>
      </c>
      <c r="AN30" s="16">
        <f t="shared" si="8"/>
        <v>0</v>
      </c>
      <c r="AO30" t="s">
        <v>101</v>
      </c>
    </row>
    <row r="31" spans="1:41" x14ac:dyDescent="0.25">
      <c r="A31" s="16" t="s">
        <v>102</v>
      </c>
      <c r="B31" s="16" t="s">
        <v>44</v>
      </c>
      <c r="C31" s="16">
        <v>0.28199999999999997</v>
      </c>
      <c r="D31" s="16"/>
      <c r="E31" s="16"/>
      <c r="F31" s="16">
        <v>0.28199999999999997</v>
      </c>
      <c r="G31" s="6">
        <v>1</v>
      </c>
      <c r="H31" s="16">
        <v>40</v>
      </c>
      <c r="I31" s="8" t="s">
        <v>64</v>
      </c>
      <c r="J31" s="16"/>
      <c r="K31" s="16">
        <v>13.8</v>
      </c>
      <c r="L31" s="16">
        <f t="shared" si="4"/>
        <v>-13.8</v>
      </c>
      <c r="M31" s="16"/>
      <c r="N31" s="16"/>
      <c r="O31" s="16">
        <v>20</v>
      </c>
      <c r="P31" s="16"/>
      <c r="Q31" s="16"/>
      <c r="R31" s="16"/>
      <c r="S31" s="16"/>
      <c r="T31" s="16">
        <f t="shared" si="5"/>
        <v>0</v>
      </c>
      <c r="U31" s="4">
        <v>10</v>
      </c>
      <c r="V31" s="4">
        <f t="shared" si="9"/>
        <v>10</v>
      </c>
      <c r="W31" s="4"/>
      <c r="X31" s="4"/>
      <c r="Y31" s="16"/>
      <c r="Z31" s="16"/>
      <c r="AA31" s="16" t="e">
        <f t="shared" si="6"/>
        <v>#DIV/0!</v>
      </c>
      <c r="AB31" s="16" t="e">
        <f t="shared" si="7"/>
        <v>#DIV/0!</v>
      </c>
      <c r="AC31" s="16">
        <v>0</v>
      </c>
      <c r="AD31" s="16">
        <v>3.4148000000000009</v>
      </c>
      <c r="AE31" s="16">
        <v>5.5952000000000002</v>
      </c>
      <c r="AF31" s="16">
        <v>2.1804000000000001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/>
      <c r="AN31" s="16">
        <f t="shared" si="8"/>
        <v>10</v>
      </c>
      <c r="AO31" t="s">
        <v>103</v>
      </c>
    </row>
    <row r="32" spans="1:41" x14ac:dyDescent="0.25">
      <c r="A32" s="16" t="s">
        <v>104</v>
      </c>
      <c r="B32" s="16" t="s">
        <v>44</v>
      </c>
      <c r="C32" s="16">
        <v>13.888999999999999</v>
      </c>
      <c r="D32" s="16">
        <v>178.56399999999999</v>
      </c>
      <c r="E32" s="16">
        <v>19.670999999999999</v>
      </c>
      <c r="F32" s="16">
        <v>151.37299999999999</v>
      </c>
      <c r="G32" s="6">
        <v>1</v>
      </c>
      <c r="H32" s="16">
        <v>30</v>
      </c>
      <c r="I32" s="16" t="s">
        <v>45</v>
      </c>
      <c r="J32" s="16"/>
      <c r="K32" s="16">
        <v>36.6</v>
      </c>
      <c r="L32" s="16">
        <f t="shared" si="4"/>
        <v>-16.929000000000002</v>
      </c>
      <c r="M32" s="16"/>
      <c r="N32" s="16"/>
      <c r="O32" s="16">
        <v>0</v>
      </c>
      <c r="P32" s="16"/>
      <c r="Q32" s="16"/>
      <c r="R32" s="16"/>
      <c r="S32" s="16"/>
      <c r="T32" s="16">
        <f t="shared" si="5"/>
        <v>3.9341999999999997</v>
      </c>
      <c r="U32" s="4"/>
      <c r="V32" s="4">
        <f t="shared" si="9"/>
        <v>0</v>
      </c>
      <c r="W32" s="4"/>
      <c r="X32" s="4"/>
      <c r="Y32" s="16"/>
      <c r="Z32" s="16"/>
      <c r="AA32" s="16">
        <f t="shared" si="6"/>
        <v>38.476183213868133</v>
      </c>
      <c r="AB32" s="16">
        <f t="shared" si="7"/>
        <v>38.476183213868133</v>
      </c>
      <c r="AC32" s="16">
        <v>1.4094</v>
      </c>
      <c r="AD32" s="16">
        <v>13.768800000000001</v>
      </c>
      <c r="AE32" s="16">
        <v>18.741599999999998</v>
      </c>
      <c r="AF32" s="16">
        <v>8.1288</v>
      </c>
      <c r="AG32" s="16">
        <v>0.57519999999999993</v>
      </c>
      <c r="AH32" s="16">
        <v>4.4287999999999998</v>
      </c>
      <c r="AI32" s="16">
        <v>9.4892000000000003</v>
      </c>
      <c r="AJ32" s="16">
        <v>9.4754000000000005</v>
      </c>
      <c r="AK32" s="16">
        <v>3.5449999999999999</v>
      </c>
      <c r="AL32" s="16">
        <v>0</v>
      </c>
      <c r="AM32" s="14" t="s">
        <v>105</v>
      </c>
      <c r="AN32" s="16">
        <f t="shared" si="8"/>
        <v>0</v>
      </c>
      <c r="AO32" t="s">
        <v>106</v>
      </c>
    </row>
    <row r="33" spans="1:41" x14ac:dyDescent="0.25">
      <c r="A33" s="16" t="s">
        <v>107</v>
      </c>
      <c r="B33" s="16" t="s">
        <v>44</v>
      </c>
      <c r="C33" s="16">
        <v>50.965000000000003</v>
      </c>
      <c r="D33" s="16">
        <v>19.21</v>
      </c>
      <c r="E33" s="16">
        <v>57.561999999999998</v>
      </c>
      <c r="F33" s="16">
        <v>-0.17799999999999999</v>
      </c>
      <c r="G33" s="6">
        <v>1</v>
      </c>
      <c r="H33" s="16">
        <v>50</v>
      </c>
      <c r="I33" s="8" t="s">
        <v>64</v>
      </c>
      <c r="J33" s="16"/>
      <c r="K33" s="16">
        <v>55.3</v>
      </c>
      <c r="L33" s="16">
        <f t="shared" si="4"/>
        <v>2.2620000000000005</v>
      </c>
      <c r="M33" s="16"/>
      <c r="N33" s="16"/>
      <c r="O33" s="16">
        <v>70.5</v>
      </c>
      <c r="P33" s="16"/>
      <c r="Q33" s="16"/>
      <c r="R33" s="16">
        <v>79.5</v>
      </c>
      <c r="S33" s="16"/>
      <c r="T33" s="16">
        <f t="shared" si="5"/>
        <v>11.5124</v>
      </c>
      <c r="U33" s="4"/>
      <c r="V33" s="4">
        <f t="shared" si="9"/>
        <v>0</v>
      </c>
      <c r="W33" s="4"/>
      <c r="X33" s="4"/>
      <c r="Y33" s="16"/>
      <c r="Z33" s="16"/>
      <c r="AA33" s="16">
        <f t="shared" si="6"/>
        <v>13.013967548035163</v>
      </c>
      <c r="AB33" s="16">
        <f t="shared" si="7"/>
        <v>13.013967548035163</v>
      </c>
      <c r="AC33" s="16">
        <v>10.9542</v>
      </c>
      <c r="AD33" s="16">
        <v>11.3468</v>
      </c>
      <c r="AE33" s="16">
        <v>12.454000000000001</v>
      </c>
      <c r="AF33" s="16">
        <v>10.270799999999999</v>
      </c>
      <c r="AG33" s="16">
        <v>14.135999999999999</v>
      </c>
      <c r="AH33" s="16">
        <v>12.776400000000001</v>
      </c>
      <c r="AI33" s="16">
        <v>6.4742000000000006</v>
      </c>
      <c r="AJ33" s="16">
        <v>12.1784</v>
      </c>
      <c r="AK33" s="16">
        <v>24.013999999999999</v>
      </c>
      <c r="AL33" s="16">
        <v>21.271599999999999</v>
      </c>
      <c r="AM33" s="16"/>
      <c r="AN33" s="16">
        <f t="shared" si="8"/>
        <v>0</v>
      </c>
      <c r="AO33" t="s">
        <v>108</v>
      </c>
    </row>
    <row r="34" spans="1:41" x14ac:dyDescent="0.25">
      <c r="A34" s="9" t="s">
        <v>109</v>
      </c>
      <c r="B34" s="9" t="s">
        <v>44</v>
      </c>
      <c r="C34" s="9">
        <v>3.173</v>
      </c>
      <c r="D34" s="9"/>
      <c r="E34" s="9">
        <v>-0.90400000000000003</v>
      </c>
      <c r="F34" s="9">
        <v>3.173</v>
      </c>
      <c r="G34" s="10">
        <v>0</v>
      </c>
      <c r="H34" s="9">
        <v>50</v>
      </c>
      <c r="I34" s="9" t="s">
        <v>90</v>
      </c>
      <c r="J34" s="9"/>
      <c r="K34" s="9">
        <v>13.2</v>
      </c>
      <c r="L34" s="9">
        <f t="shared" si="4"/>
        <v>-14.103999999999999</v>
      </c>
      <c r="M34" s="9"/>
      <c r="N34" s="9"/>
      <c r="O34" s="9">
        <v>0</v>
      </c>
      <c r="P34" s="9"/>
      <c r="Q34" s="9"/>
      <c r="R34" s="9"/>
      <c r="S34" s="9"/>
      <c r="T34" s="9">
        <f t="shared" si="5"/>
        <v>-0.18080000000000002</v>
      </c>
      <c r="U34" s="11"/>
      <c r="V34" s="4">
        <f t="shared" si="9"/>
        <v>0</v>
      </c>
      <c r="W34" s="4"/>
      <c r="X34" s="4"/>
      <c r="Y34" s="16"/>
      <c r="Z34" s="16"/>
      <c r="AA34" s="16">
        <f t="shared" si="6"/>
        <v>-17.549778761061944</v>
      </c>
      <c r="AB34" s="9">
        <f t="shared" si="7"/>
        <v>-17.549778761061944</v>
      </c>
      <c r="AC34" s="9">
        <v>-0.36299999999999999</v>
      </c>
      <c r="AD34" s="9">
        <v>-0.1822</v>
      </c>
      <c r="AE34" s="9">
        <v>-0.54239999999999999</v>
      </c>
      <c r="AF34" s="9">
        <v>-2.3757999999999999</v>
      </c>
      <c r="AG34" s="9">
        <v>-0.74660000000000004</v>
      </c>
      <c r="AH34" s="9">
        <v>5.9942000000000002</v>
      </c>
      <c r="AI34" s="9">
        <v>6.5543999999999993</v>
      </c>
      <c r="AJ34" s="9">
        <v>7.2969999999999997</v>
      </c>
      <c r="AK34" s="9">
        <v>12.2094</v>
      </c>
      <c r="AL34" s="9">
        <v>12.5466</v>
      </c>
      <c r="AM34" s="9"/>
      <c r="AN34" s="16">
        <f t="shared" si="8"/>
        <v>0</v>
      </c>
      <c r="AO34" t="s">
        <v>110</v>
      </c>
    </row>
    <row r="35" spans="1:41" x14ac:dyDescent="0.25">
      <c r="A35" s="16" t="s">
        <v>111</v>
      </c>
      <c r="B35" s="16" t="s">
        <v>44</v>
      </c>
      <c r="C35" s="16">
        <v>9.5950000000000006</v>
      </c>
      <c r="D35" s="16">
        <v>43.792999999999999</v>
      </c>
      <c r="E35" s="16">
        <v>21.922999999999998</v>
      </c>
      <c r="F35" s="16">
        <v>12.292999999999999</v>
      </c>
      <c r="G35" s="6">
        <v>1</v>
      </c>
      <c r="H35" s="16">
        <v>50</v>
      </c>
      <c r="I35" s="16" t="s">
        <v>45</v>
      </c>
      <c r="J35" s="16"/>
      <c r="K35" s="16">
        <v>20.3</v>
      </c>
      <c r="L35" s="16">
        <f t="shared" si="4"/>
        <v>1.6229999999999976</v>
      </c>
      <c r="M35" s="16"/>
      <c r="N35" s="16"/>
      <c r="O35" s="16">
        <v>50</v>
      </c>
      <c r="P35" s="16"/>
      <c r="Q35" s="16"/>
      <c r="R35" s="16"/>
      <c r="S35" s="16"/>
      <c r="T35" s="16">
        <f t="shared" si="5"/>
        <v>4.3845999999999998</v>
      </c>
      <c r="U35" s="4">
        <v>20</v>
      </c>
      <c r="V35" s="4">
        <f t="shared" si="9"/>
        <v>20</v>
      </c>
      <c r="W35" s="4"/>
      <c r="X35" s="4"/>
      <c r="Y35" s="16"/>
      <c r="Z35" s="16"/>
      <c r="AA35" s="16">
        <f t="shared" si="6"/>
        <v>18.768644802262465</v>
      </c>
      <c r="AB35" s="16">
        <f t="shared" si="7"/>
        <v>14.207225288509784</v>
      </c>
      <c r="AC35" s="16">
        <v>6.3595999999999986</v>
      </c>
      <c r="AD35" s="16">
        <v>12.702</v>
      </c>
      <c r="AE35" s="16">
        <v>10.155799999999999</v>
      </c>
      <c r="AF35" s="16">
        <v>6.3393999999999986</v>
      </c>
      <c r="AG35" s="16">
        <v>11.959199999999999</v>
      </c>
      <c r="AH35" s="16">
        <v>10.5078</v>
      </c>
      <c r="AI35" s="16">
        <v>5.4367999999999999</v>
      </c>
      <c r="AJ35" s="16">
        <v>6.6819999999999986</v>
      </c>
      <c r="AK35" s="16">
        <v>14.173999999999999</v>
      </c>
      <c r="AL35" s="16">
        <v>14.984400000000001</v>
      </c>
      <c r="AM35" s="16"/>
      <c r="AN35" s="16">
        <f t="shared" si="8"/>
        <v>20</v>
      </c>
      <c r="AO35" t="s">
        <v>112</v>
      </c>
    </row>
    <row r="36" spans="1:41" x14ac:dyDescent="0.25">
      <c r="A36" s="16" t="s">
        <v>113</v>
      </c>
      <c r="B36" s="16" t="s">
        <v>52</v>
      </c>
      <c r="C36" s="16">
        <v>3</v>
      </c>
      <c r="D36" s="16">
        <v>271</v>
      </c>
      <c r="E36" s="16">
        <v>268</v>
      </c>
      <c r="F36" s="16">
        <v>3</v>
      </c>
      <c r="G36" s="6">
        <v>0.4</v>
      </c>
      <c r="H36" s="16">
        <v>45</v>
      </c>
      <c r="I36" s="8" t="s">
        <v>64</v>
      </c>
      <c r="J36" s="16"/>
      <c r="K36" s="16">
        <v>636</v>
      </c>
      <c r="L36" s="16">
        <f t="shared" si="4"/>
        <v>-368</v>
      </c>
      <c r="M36" s="16"/>
      <c r="N36" s="16"/>
      <c r="O36" s="16">
        <v>300</v>
      </c>
      <c r="P36" s="16">
        <v>-300</v>
      </c>
      <c r="Q36" s="16"/>
      <c r="R36" s="16"/>
      <c r="S36" s="16"/>
      <c r="T36" s="16">
        <f t="shared" si="5"/>
        <v>53.6</v>
      </c>
      <c r="U36" s="4">
        <v>200</v>
      </c>
      <c r="V36" s="4">
        <f t="shared" si="9"/>
        <v>200</v>
      </c>
      <c r="W36" s="4"/>
      <c r="X36" s="4"/>
      <c r="Y36" s="16"/>
      <c r="Z36" s="16"/>
      <c r="AA36" s="16">
        <f t="shared" si="6"/>
        <v>9.3843283582089558</v>
      </c>
      <c r="AB36" s="16">
        <f t="shared" si="7"/>
        <v>5.6529850746268657</v>
      </c>
      <c r="AC36" s="16">
        <v>82</v>
      </c>
      <c r="AD36" s="16">
        <v>105.6</v>
      </c>
      <c r="AE36" s="16">
        <v>114.4</v>
      </c>
      <c r="AF36" s="16">
        <v>104.2</v>
      </c>
      <c r="AG36" s="16">
        <v>116</v>
      </c>
      <c r="AH36" s="16">
        <v>216.8</v>
      </c>
      <c r="AI36" s="16">
        <v>207.6</v>
      </c>
      <c r="AJ36" s="16">
        <v>159.19999999999999</v>
      </c>
      <c r="AK36" s="16">
        <v>176.4</v>
      </c>
      <c r="AL36" s="16">
        <v>250</v>
      </c>
      <c r="AM36" s="16"/>
      <c r="AN36" s="16">
        <f t="shared" si="8"/>
        <v>80</v>
      </c>
      <c r="AO36" t="s">
        <v>114</v>
      </c>
    </row>
    <row r="37" spans="1:41" x14ac:dyDescent="0.25">
      <c r="A37" s="16" t="s">
        <v>115</v>
      </c>
      <c r="B37" s="16" t="s">
        <v>52</v>
      </c>
      <c r="C37" s="16">
        <v>17</v>
      </c>
      <c r="D37" s="16">
        <v>540</v>
      </c>
      <c r="E37" s="16">
        <v>59</v>
      </c>
      <c r="F37" s="16">
        <v>470</v>
      </c>
      <c r="G37" s="6">
        <v>0.45</v>
      </c>
      <c r="H37" s="16">
        <v>50</v>
      </c>
      <c r="I37" s="16" t="s">
        <v>45</v>
      </c>
      <c r="J37" s="16"/>
      <c r="K37" s="16">
        <v>64</v>
      </c>
      <c r="L37" s="16">
        <f t="shared" si="4"/>
        <v>-5</v>
      </c>
      <c r="M37" s="16"/>
      <c r="N37" s="16"/>
      <c r="O37" s="16">
        <v>140</v>
      </c>
      <c r="P37" s="16"/>
      <c r="Q37" s="16"/>
      <c r="R37" s="16"/>
      <c r="S37" s="16"/>
      <c r="T37" s="16">
        <f t="shared" si="5"/>
        <v>11.8</v>
      </c>
      <c r="U37" s="4"/>
      <c r="V37" s="4">
        <f t="shared" si="9"/>
        <v>0</v>
      </c>
      <c r="W37" s="4"/>
      <c r="X37" s="4"/>
      <c r="Y37" s="16"/>
      <c r="Z37" s="16"/>
      <c r="AA37" s="16">
        <f t="shared" si="6"/>
        <v>51.694915254237287</v>
      </c>
      <c r="AB37" s="16">
        <f t="shared" si="7"/>
        <v>51.694915254237287</v>
      </c>
      <c r="AC37" s="16">
        <v>12.6</v>
      </c>
      <c r="AD37" s="16">
        <v>23.8</v>
      </c>
      <c r="AE37" s="16">
        <v>51.6</v>
      </c>
      <c r="AF37" s="16">
        <v>52.6</v>
      </c>
      <c r="AG37" s="16">
        <v>22.2</v>
      </c>
      <c r="AH37" s="16">
        <v>31.6</v>
      </c>
      <c r="AI37" s="16">
        <v>33.799999999999997</v>
      </c>
      <c r="AJ37" s="16">
        <v>31.2</v>
      </c>
      <c r="AK37" s="16">
        <v>42</v>
      </c>
      <c r="AL37" s="16">
        <v>45.4</v>
      </c>
      <c r="AM37" s="16"/>
      <c r="AN37" s="16">
        <f t="shared" si="8"/>
        <v>0</v>
      </c>
      <c r="AO37" t="s">
        <v>116</v>
      </c>
    </row>
    <row r="38" spans="1:41" x14ac:dyDescent="0.25">
      <c r="A38" s="16" t="s">
        <v>117</v>
      </c>
      <c r="B38" s="16" t="s">
        <v>52</v>
      </c>
      <c r="C38" s="16">
        <v>22</v>
      </c>
      <c r="D38" s="16">
        <v>73</v>
      </c>
      <c r="E38" s="16">
        <v>71</v>
      </c>
      <c r="F38" s="16">
        <v>22</v>
      </c>
      <c r="G38" s="6">
        <v>0.4</v>
      </c>
      <c r="H38" s="16">
        <v>45</v>
      </c>
      <c r="I38" s="8" t="s">
        <v>64</v>
      </c>
      <c r="J38" s="16"/>
      <c r="K38" s="16">
        <v>193</v>
      </c>
      <c r="L38" s="16">
        <f t="shared" ref="L38:L69" si="10">E38-K38</f>
        <v>-122</v>
      </c>
      <c r="M38" s="16"/>
      <c r="N38" s="16"/>
      <c r="O38" s="16">
        <v>100</v>
      </c>
      <c r="P38" s="16"/>
      <c r="Q38" s="16"/>
      <c r="R38" s="16"/>
      <c r="S38" s="16"/>
      <c r="T38" s="16">
        <f t="shared" ref="T38:T69" si="11">E38/5</f>
        <v>14.2</v>
      </c>
      <c r="U38" s="4">
        <v>80</v>
      </c>
      <c r="V38" s="4">
        <f t="shared" si="9"/>
        <v>80</v>
      </c>
      <c r="W38" s="4"/>
      <c r="X38" s="4"/>
      <c r="Y38" s="16"/>
      <c r="Z38" s="16"/>
      <c r="AA38" s="16">
        <f t="shared" ref="AA38:AA69" si="12">(F38+O38+Q38+R38+S38+V38)/T38</f>
        <v>14.225352112676058</v>
      </c>
      <c r="AB38" s="16">
        <f t="shared" ref="AB38:AB69" si="13">(F38+O38+Q38+R38+S38)/T38</f>
        <v>8.591549295774648</v>
      </c>
      <c r="AC38" s="16">
        <v>-0.4</v>
      </c>
      <c r="AD38" s="16">
        <v>2.4</v>
      </c>
      <c r="AE38" s="16">
        <v>29</v>
      </c>
      <c r="AF38" s="16">
        <v>33.6</v>
      </c>
      <c r="AG38" s="16">
        <v>5.4</v>
      </c>
      <c r="AH38" s="16">
        <v>27.8</v>
      </c>
      <c r="AI38" s="16">
        <v>61.4</v>
      </c>
      <c r="AJ38" s="16">
        <v>43.8</v>
      </c>
      <c r="AK38" s="16">
        <v>19.8</v>
      </c>
      <c r="AL38" s="16">
        <v>19</v>
      </c>
      <c r="AM38" s="16"/>
      <c r="AN38" s="16">
        <f t="shared" ref="AN38:AN69" si="14">ROUND(G38*V38,0)</f>
        <v>32</v>
      </c>
      <c r="AO38" t="s">
        <v>118</v>
      </c>
    </row>
    <row r="39" spans="1:41" x14ac:dyDescent="0.25">
      <c r="A39" s="16" t="s">
        <v>119</v>
      </c>
      <c r="B39" s="16" t="s">
        <v>52</v>
      </c>
      <c r="C39" s="16">
        <v>-2</v>
      </c>
      <c r="D39" s="16"/>
      <c r="E39" s="16"/>
      <c r="F39" s="16">
        <v>-2</v>
      </c>
      <c r="G39" s="6">
        <v>0.4</v>
      </c>
      <c r="H39" s="16">
        <v>40</v>
      </c>
      <c r="I39" s="8" t="s">
        <v>64</v>
      </c>
      <c r="J39" s="16"/>
      <c r="K39" s="16">
        <v>6</v>
      </c>
      <c r="L39" s="16">
        <f t="shared" si="10"/>
        <v>-6</v>
      </c>
      <c r="M39" s="16"/>
      <c r="N39" s="16"/>
      <c r="O39" s="16">
        <v>20</v>
      </c>
      <c r="P39" s="16">
        <v>-25</v>
      </c>
      <c r="Q39" s="16"/>
      <c r="R39" s="16"/>
      <c r="S39" s="16"/>
      <c r="T39" s="16">
        <f t="shared" si="11"/>
        <v>0</v>
      </c>
      <c r="U39" s="4">
        <v>10</v>
      </c>
      <c r="V39" s="4">
        <f t="shared" si="9"/>
        <v>10</v>
      </c>
      <c r="W39" s="4">
        <v>-11.999999999999998</v>
      </c>
      <c r="X39" s="4"/>
      <c r="Y39" s="16"/>
      <c r="Z39" s="16"/>
      <c r="AA39" s="16" t="e">
        <f t="shared" si="12"/>
        <v>#DIV/0!</v>
      </c>
      <c r="AB39" s="16" t="e">
        <f t="shared" si="13"/>
        <v>#DIV/0!</v>
      </c>
      <c r="AC39" s="16">
        <v>0</v>
      </c>
      <c r="AD39" s="16">
        <v>3</v>
      </c>
      <c r="AE39" s="16">
        <v>8.6</v>
      </c>
      <c r="AF39" s="16">
        <v>9.1999999999999993</v>
      </c>
      <c r="AG39" s="16">
        <v>5.6</v>
      </c>
      <c r="AH39" s="16">
        <v>11.2</v>
      </c>
      <c r="AI39" s="16">
        <v>12</v>
      </c>
      <c r="AJ39" s="16">
        <v>6.6</v>
      </c>
      <c r="AK39" s="16">
        <v>6.2</v>
      </c>
      <c r="AL39" s="16">
        <v>6</v>
      </c>
      <c r="AM39" s="16"/>
      <c r="AN39" s="16">
        <f t="shared" si="14"/>
        <v>4</v>
      </c>
      <c r="AO39" t="s">
        <v>120</v>
      </c>
    </row>
    <row r="40" spans="1:41" x14ac:dyDescent="0.25">
      <c r="A40" s="16" t="s">
        <v>121</v>
      </c>
      <c r="B40" s="16" t="s">
        <v>44</v>
      </c>
      <c r="C40" s="16">
        <v>-0.105</v>
      </c>
      <c r="D40" s="16">
        <v>77.013000000000005</v>
      </c>
      <c r="E40" s="16">
        <v>23.242000000000001</v>
      </c>
      <c r="F40" s="16">
        <v>32.369</v>
      </c>
      <c r="G40" s="6">
        <v>1</v>
      </c>
      <c r="H40" s="16">
        <v>45</v>
      </c>
      <c r="I40" s="8" t="s">
        <v>64</v>
      </c>
      <c r="J40" s="16"/>
      <c r="K40" s="16">
        <v>23.05</v>
      </c>
      <c r="L40" s="16">
        <f t="shared" si="10"/>
        <v>0.19200000000000017</v>
      </c>
      <c r="M40" s="16"/>
      <c r="N40" s="16"/>
      <c r="O40" s="16">
        <v>40</v>
      </c>
      <c r="P40" s="16"/>
      <c r="Q40" s="16"/>
      <c r="R40" s="16"/>
      <c r="S40" s="16"/>
      <c r="T40" s="16">
        <f t="shared" si="11"/>
        <v>4.6484000000000005</v>
      </c>
      <c r="U40" s="4">
        <v>20</v>
      </c>
      <c r="V40" s="4">
        <f t="shared" si="9"/>
        <v>20</v>
      </c>
      <c r="W40" s="4"/>
      <c r="X40" s="4"/>
      <c r="Y40" s="16"/>
      <c r="Z40" s="16"/>
      <c r="AA40" s="16">
        <f t="shared" si="12"/>
        <v>19.871138456243006</v>
      </c>
      <c r="AB40" s="16">
        <f t="shared" si="13"/>
        <v>15.568582738146457</v>
      </c>
      <c r="AC40" s="16">
        <v>2.3094000000000001</v>
      </c>
      <c r="AD40" s="16">
        <v>9.5343999999999998</v>
      </c>
      <c r="AE40" s="16">
        <v>16.715199999999999</v>
      </c>
      <c r="AF40" s="16">
        <v>10.9094</v>
      </c>
      <c r="AG40" s="16">
        <v>0</v>
      </c>
      <c r="AH40" s="16">
        <v>0</v>
      </c>
      <c r="AI40" s="16">
        <v>0</v>
      </c>
      <c r="AJ40" s="16">
        <v>0</v>
      </c>
      <c r="AK40" s="16">
        <v>2.0533999999999999</v>
      </c>
      <c r="AL40" s="16">
        <v>4.7110000000000003</v>
      </c>
      <c r="AM40" s="16"/>
      <c r="AN40" s="16">
        <f t="shared" si="14"/>
        <v>20</v>
      </c>
      <c r="AO40" t="s">
        <v>122</v>
      </c>
    </row>
    <row r="41" spans="1:41" x14ac:dyDescent="0.25">
      <c r="A41" s="16" t="s">
        <v>123</v>
      </c>
      <c r="B41" s="16" t="s">
        <v>52</v>
      </c>
      <c r="C41" s="16">
        <v>5</v>
      </c>
      <c r="D41" s="16">
        <v>920</v>
      </c>
      <c r="E41" s="16">
        <v>185</v>
      </c>
      <c r="F41" s="16">
        <v>624</v>
      </c>
      <c r="G41" s="6">
        <v>0.1</v>
      </c>
      <c r="H41" s="16">
        <v>731</v>
      </c>
      <c r="I41" s="16" t="s">
        <v>45</v>
      </c>
      <c r="J41" s="16"/>
      <c r="K41" s="16">
        <v>210</v>
      </c>
      <c r="L41" s="16">
        <f t="shared" si="10"/>
        <v>-25</v>
      </c>
      <c r="M41" s="16"/>
      <c r="N41" s="16"/>
      <c r="O41" s="16">
        <v>235</v>
      </c>
      <c r="P41" s="16"/>
      <c r="Q41" s="16"/>
      <c r="R41" s="16">
        <v>265</v>
      </c>
      <c r="S41" s="16"/>
      <c r="T41" s="16">
        <f t="shared" si="11"/>
        <v>37</v>
      </c>
      <c r="U41" s="4"/>
      <c r="V41" s="4">
        <v>400</v>
      </c>
      <c r="W41" s="4"/>
      <c r="X41" s="4"/>
      <c r="Y41" s="16" t="str">
        <f>VLOOKUP(A41,[1]Sheet!$A:$V,21,0)</f>
        <v>500шт</v>
      </c>
      <c r="Z41" s="16" t="str">
        <f>VLOOKUP(A41,[1]Sheet!$A:$V,22,0)</f>
        <v>Промо N+1</v>
      </c>
      <c r="AA41" s="16">
        <f t="shared" si="12"/>
        <v>41.189189189189186</v>
      </c>
      <c r="AB41" s="16">
        <f t="shared" si="13"/>
        <v>30.378378378378379</v>
      </c>
      <c r="AC41" s="16">
        <v>22.6</v>
      </c>
      <c r="AD41" s="16">
        <v>58.2</v>
      </c>
      <c r="AE41" s="16">
        <v>88</v>
      </c>
      <c r="AF41" s="16">
        <v>90</v>
      </c>
      <c r="AG41" s="16">
        <v>67.400000000000006</v>
      </c>
      <c r="AH41" s="16">
        <v>57.8</v>
      </c>
      <c r="AI41" s="16">
        <v>47.8</v>
      </c>
      <c r="AJ41" s="16">
        <v>59.6</v>
      </c>
      <c r="AK41" s="16">
        <v>64.2</v>
      </c>
      <c r="AL41" s="16">
        <v>86</v>
      </c>
      <c r="AM41" s="16" t="s">
        <v>124</v>
      </c>
      <c r="AN41" s="16">
        <f t="shared" si="14"/>
        <v>40</v>
      </c>
      <c r="AO41" t="s">
        <v>125</v>
      </c>
    </row>
    <row r="42" spans="1:41" x14ac:dyDescent="0.25">
      <c r="A42" s="16" t="s">
        <v>126</v>
      </c>
      <c r="B42" s="16" t="s">
        <v>52</v>
      </c>
      <c r="C42" s="16">
        <v>5</v>
      </c>
      <c r="D42" s="16">
        <v>1</v>
      </c>
      <c r="E42" s="16"/>
      <c r="F42" s="16">
        <v>5</v>
      </c>
      <c r="G42" s="6">
        <v>0.35</v>
      </c>
      <c r="H42" s="16">
        <v>40</v>
      </c>
      <c r="I42" s="8" t="s">
        <v>64</v>
      </c>
      <c r="J42" s="16"/>
      <c r="K42" s="16">
        <v>68</v>
      </c>
      <c r="L42" s="16">
        <f t="shared" si="10"/>
        <v>-68</v>
      </c>
      <c r="M42" s="16"/>
      <c r="N42" s="16"/>
      <c r="O42" s="16">
        <v>150</v>
      </c>
      <c r="P42" s="16">
        <v>-157.14285714285714</v>
      </c>
      <c r="Q42" s="16"/>
      <c r="R42" s="16"/>
      <c r="S42" s="16"/>
      <c r="T42" s="16">
        <f t="shared" si="11"/>
        <v>0</v>
      </c>
      <c r="U42" s="4">
        <v>50</v>
      </c>
      <c r="V42" s="4">
        <f>U42</f>
        <v>50</v>
      </c>
      <c r="W42" s="4"/>
      <c r="X42" s="4"/>
      <c r="Y42" s="16"/>
      <c r="Z42" s="16"/>
      <c r="AA42" s="16" t="e">
        <f t="shared" si="12"/>
        <v>#DIV/0!</v>
      </c>
      <c r="AB42" s="16" t="e">
        <f t="shared" si="13"/>
        <v>#DIV/0!</v>
      </c>
      <c r="AC42" s="16">
        <v>0</v>
      </c>
      <c r="AD42" s="16">
        <v>-0.2</v>
      </c>
      <c r="AE42" s="16">
        <v>-0.8</v>
      </c>
      <c r="AF42" s="16">
        <v>0</v>
      </c>
      <c r="AG42" s="16">
        <v>-0.2</v>
      </c>
      <c r="AH42" s="16">
        <v>-0.8</v>
      </c>
      <c r="AI42" s="16">
        <v>3.8</v>
      </c>
      <c r="AJ42" s="16">
        <v>1.4</v>
      </c>
      <c r="AK42" s="16">
        <v>-3</v>
      </c>
      <c r="AL42" s="16">
        <v>5.6</v>
      </c>
      <c r="AM42" s="16"/>
      <c r="AN42" s="16">
        <f t="shared" si="14"/>
        <v>18</v>
      </c>
      <c r="AO42" t="s">
        <v>127</v>
      </c>
    </row>
    <row r="43" spans="1:41" x14ac:dyDescent="0.25">
      <c r="A43" s="16" t="s">
        <v>128</v>
      </c>
      <c r="B43" s="16" t="s">
        <v>44</v>
      </c>
      <c r="C43" s="16">
        <v>24.088000000000001</v>
      </c>
      <c r="D43" s="16">
        <v>44.323999999999998</v>
      </c>
      <c r="E43" s="16">
        <v>42.207000000000001</v>
      </c>
      <c r="F43" s="16">
        <v>1.2E-2</v>
      </c>
      <c r="G43" s="6">
        <v>1</v>
      </c>
      <c r="H43" s="16">
        <v>40</v>
      </c>
      <c r="I43" s="8" t="s">
        <v>64</v>
      </c>
      <c r="J43" s="16"/>
      <c r="K43" s="16">
        <v>57.2</v>
      </c>
      <c r="L43" s="16">
        <f t="shared" si="10"/>
        <v>-14.993000000000002</v>
      </c>
      <c r="M43" s="16"/>
      <c r="N43" s="16"/>
      <c r="O43" s="16">
        <v>60</v>
      </c>
      <c r="P43" s="16">
        <v>-63</v>
      </c>
      <c r="Q43" s="16"/>
      <c r="R43" s="16"/>
      <c r="S43" s="16"/>
      <c r="T43" s="16">
        <f t="shared" si="11"/>
        <v>8.4413999999999998</v>
      </c>
      <c r="U43" s="4">
        <v>50</v>
      </c>
      <c r="V43" s="4">
        <v>100</v>
      </c>
      <c r="W43" s="4"/>
      <c r="X43" s="4"/>
      <c r="Y43" s="16" t="str">
        <f>VLOOKUP(A43,[1]Sheet!$A:$V,21,0)</f>
        <v>125кг</v>
      </c>
      <c r="Z43" s="16" t="str">
        <f>VLOOKUP(A43,[1]Sheet!$A:$V,22,0)</f>
        <v>Промо ЖЦ</v>
      </c>
      <c r="AA43" s="16">
        <f t="shared" si="12"/>
        <v>18.955623474779067</v>
      </c>
      <c r="AB43" s="16">
        <f t="shared" si="13"/>
        <v>7.1092472812566641</v>
      </c>
      <c r="AC43" s="16">
        <v>18.788799999999998</v>
      </c>
      <c r="AD43" s="16">
        <v>21.273199999999999</v>
      </c>
      <c r="AE43" s="16">
        <v>22.917999999999999</v>
      </c>
      <c r="AF43" s="16">
        <v>21.759399999999999</v>
      </c>
      <c r="AG43" s="16">
        <v>16.7</v>
      </c>
      <c r="AH43" s="16">
        <v>22.0274</v>
      </c>
      <c r="AI43" s="16">
        <v>19.802399999999999</v>
      </c>
      <c r="AJ43" s="16">
        <v>21.879200000000001</v>
      </c>
      <c r="AK43" s="16">
        <v>21.395800000000001</v>
      </c>
      <c r="AL43" s="16">
        <v>23.605599999999999</v>
      </c>
      <c r="AM43" s="16"/>
      <c r="AN43" s="16">
        <f t="shared" si="14"/>
        <v>100</v>
      </c>
      <c r="AO43" t="s">
        <v>129</v>
      </c>
    </row>
    <row r="44" spans="1:41" x14ac:dyDescent="0.25">
      <c r="A44" s="16" t="s">
        <v>130</v>
      </c>
      <c r="B44" s="16" t="s">
        <v>52</v>
      </c>
      <c r="C44" s="16">
        <v>13</v>
      </c>
      <c r="D44" s="16">
        <v>150</v>
      </c>
      <c r="E44" s="16">
        <v>58</v>
      </c>
      <c r="F44" s="16">
        <v>96</v>
      </c>
      <c r="G44" s="6">
        <v>0.4</v>
      </c>
      <c r="H44" s="16">
        <v>40</v>
      </c>
      <c r="I44" s="8" t="s">
        <v>64</v>
      </c>
      <c r="J44" s="16"/>
      <c r="K44" s="16">
        <v>80</v>
      </c>
      <c r="L44" s="16">
        <f t="shared" si="10"/>
        <v>-22</v>
      </c>
      <c r="M44" s="16"/>
      <c r="N44" s="16"/>
      <c r="O44" s="16">
        <v>100</v>
      </c>
      <c r="P44" s="16">
        <v>-37.5</v>
      </c>
      <c r="Q44" s="16"/>
      <c r="R44" s="16"/>
      <c r="S44" s="16"/>
      <c r="T44" s="16">
        <f t="shared" si="11"/>
        <v>11.6</v>
      </c>
      <c r="U44" s="4">
        <v>40</v>
      </c>
      <c r="V44" s="4">
        <f t="shared" ref="V44:V57" si="15">U44</f>
        <v>40</v>
      </c>
      <c r="W44" s="4"/>
      <c r="X44" s="4"/>
      <c r="Y44" s="16"/>
      <c r="Z44" s="16"/>
      <c r="AA44" s="16">
        <f t="shared" si="12"/>
        <v>20.344827586206897</v>
      </c>
      <c r="AB44" s="16">
        <f t="shared" si="13"/>
        <v>16.896551724137932</v>
      </c>
      <c r="AC44" s="16">
        <v>11</v>
      </c>
      <c r="AD44" s="16">
        <v>16.399999999999999</v>
      </c>
      <c r="AE44" s="16">
        <v>26.8</v>
      </c>
      <c r="AF44" s="16">
        <v>22.8</v>
      </c>
      <c r="AG44" s="16">
        <v>2</v>
      </c>
      <c r="AH44" s="16">
        <v>6.2</v>
      </c>
      <c r="AI44" s="16">
        <v>16.399999999999999</v>
      </c>
      <c r="AJ44" s="16">
        <v>13.2</v>
      </c>
      <c r="AK44" s="16">
        <v>1</v>
      </c>
      <c r="AL44" s="16">
        <v>0</v>
      </c>
      <c r="AM44" s="16"/>
      <c r="AN44" s="16">
        <f t="shared" si="14"/>
        <v>16</v>
      </c>
      <c r="AO44" t="s">
        <v>131</v>
      </c>
    </row>
    <row r="45" spans="1:41" x14ac:dyDescent="0.25">
      <c r="A45" s="16" t="s">
        <v>132</v>
      </c>
      <c r="B45" s="16" t="s">
        <v>52</v>
      </c>
      <c r="C45" s="16">
        <v>16</v>
      </c>
      <c r="D45" s="16">
        <v>162</v>
      </c>
      <c r="E45" s="16">
        <v>57</v>
      </c>
      <c r="F45" s="16">
        <v>111</v>
      </c>
      <c r="G45" s="6">
        <v>0.4</v>
      </c>
      <c r="H45" s="16">
        <v>45</v>
      </c>
      <c r="I45" s="16" t="s">
        <v>45</v>
      </c>
      <c r="J45" s="16"/>
      <c r="K45" s="16">
        <v>86</v>
      </c>
      <c r="L45" s="16">
        <f t="shared" si="10"/>
        <v>-29</v>
      </c>
      <c r="M45" s="16"/>
      <c r="N45" s="16"/>
      <c r="O45" s="16">
        <v>150</v>
      </c>
      <c r="P45" s="16"/>
      <c r="Q45" s="16"/>
      <c r="R45" s="16"/>
      <c r="S45" s="16"/>
      <c r="T45" s="16">
        <f t="shared" si="11"/>
        <v>11.4</v>
      </c>
      <c r="U45" s="4">
        <v>50</v>
      </c>
      <c r="V45" s="4">
        <f t="shared" si="15"/>
        <v>50</v>
      </c>
      <c r="W45" s="4"/>
      <c r="X45" s="4"/>
      <c r="Y45" s="16"/>
      <c r="Z45" s="16"/>
      <c r="AA45" s="16">
        <f t="shared" si="12"/>
        <v>27.280701754385966</v>
      </c>
      <c r="AB45" s="16">
        <f t="shared" si="13"/>
        <v>22.894736842105264</v>
      </c>
      <c r="AC45" s="16">
        <v>1.4</v>
      </c>
      <c r="AD45" s="16">
        <v>4.8</v>
      </c>
      <c r="AE45" s="16">
        <v>25</v>
      </c>
      <c r="AF45" s="16">
        <v>30.8</v>
      </c>
      <c r="AG45" s="16">
        <v>13.8</v>
      </c>
      <c r="AH45" s="16">
        <v>21.8</v>
      </c>
      <c r="AI45" s="16">
        <v>26.4</v>
      </c>
      <c r="AJ45" s="16">
        <v>14.8</v>
      </c>
      <c r="AK45" s="16">
        <v>2.4</v>
      </c>
      <c r="AL45" s="16">
        <v>0</v>
      </c>
      <c r="AM45" s="16"/>
      <c r="AN45" s="16">
        <f t="shared" si="14"/>
        <v>20</v>
      </c>
      <c r="AO45" t="s">
        <v>133</v>
      </c>
    </row>
    <row r="46" spans="1:41" x14ac:dyDescent="0.25">
      <c r="A46" s="9" t="s">
        <v>134</v>
      </c>
      <c r="B46" s="9" t="s">
        <v>44</v>
      </c>
      <c r="C46" s="9">
        <v>2.2000000000000002</v>
      </c>
      <c r="D46" s="9"/>
      <c r="E46" s="9"/>
      <c r="F46" s="9">
        <v>2.2000000000000002</v>
      </c>
      <c r="G46" s="10">
        <v>0</v>
      </c>
      <c r="H46" s="9">
        <v>40</v>
      </c>
      <c r="I46" s="9" t="s">
        <v>90</v>
      </c>
      <c r="J46" s="9"/>
      <c r="K46" s="9">
        <v>22.8</v>
      </c>
      <c r="L46" s="9">
        <f t="shared" si="10"/>
        <v>-22.8</v>
      </c>
      <c r="M46" s="9"/>
      <c r="N46" s="9"/>
      <c r="O46" s="9">
        <v>0</v>
      </c>
      <c r="P46" s="9"/>
      <c r="Q46" s="9"/>
      <c r="R46" s="9"/>
      <c r="S46" s="9"/>
      <c r="T46" s="9">
        <f t="shared" si="11"/>
        <v>0</v>
      </c>
      <c r="U46" s="11"/>
      <c r="V46" s="4">
        <f t="shared" si="15"/>
        <v>0</v>
      </c>
      <c r="W46" s="4"/>
      <c r="X46" s="4"/>
      <c r="Y46" s="16"/>
      <c r="Z46" s="16"/>
      <c r="AA46" s="16" t="e">
        <f t="shared" si="12"/>
        <v>#DIV/0!</v>
      </c>
      <c r="AB46" s="9" t="e">
        <f t="shared" si="13"/>
        <v>#DIV/0!</v>
      </c>
      <c r="AC46" s="9">
        <v>0</v>
      </c>
      <c r="AD46" s="9">
        <v>0</v>
      </c>
      <c r="AE46" s="9">
        <v>-0.1434</v>
      </c>
      <c r="AF46" s="9">
        <v>-0.1434</v>
      </c>
      <c r="AG46" s="9">
        <v>0</v>
      </c>
      <c r="AH46" s="9">
        <v>-0.43659999999999999</v>
      </c>
      <c r="AI46" s="9">
        <v>-0.43659999999999999</v>
      </c>
      <c r="AJ46" s="9">
        <v>-0.28799999999999998</v>
      </c>
      <c r="AK46" s="9">
        <v>0.14779999999999999</v>
      </c>
      <c r="AL46" s="9">
        <v>9.0436000000000014</v>
      </c>
      <c r="AM46" s="9"/>
      <c r="AN46" s="16">
        <f t="shared" si="14"/>
        <v>0</v>
      </c>
      <c r="AO46" t="s">
        <v>135</v>
      </c>
    </row>
    <row r="47" spans="1:41" x14ac:dyDescent="0.25">
      <c r="A47" s="16" t="s">
        <v>136</v>
      </c>
      <c r="B47" s="16" t="s">
        <v>44</v>
      </c>
      <c r="C47" s="16">
        <v>-7.6029999999999998</v>
      </c>
      <c r="D47" s="16">
        <v>43.99</v>
      </c>
      <c r="E47" s="16">
        <v>24.911999999999999</v>
      </c>
      <c r="F47" s="16">
        <v>-6.1449999999999996</v>
      </c>
      <c r="G47" s="6">
        <v>1</v>
      </c>
      <c r="H47" s="16">
        <v>40</v>
      </c>
      <c r="I47" s="8" t="s">
        <v>64</v>
      </c>
      <c r="J47" s="16"/>
      <c r="K47" s="16">
        <v>26.4</v>
      </c>
      <c r="L47" s="16">
        <f t="shared" si="10"/>
        <v>-1.4879999999999995</v>
      </c>
      <c r="M47" s="16"/>
      <c r="N47" s="16"/>
      <c r="O47" s="16">
        <v>50</v>
      </c>
      <c r="P47" s="16">
        <v>-50</v>
      </c>
      <c r="Q47" s="16"/>
      <c r="R47" s="16"/>
      <c r="S47" s="16"/>
      <c r="T47" s="16">
        <f t="shared" si="11"/>
        <v>4.9824000000000002</v>
      </c>
      <c r="U47" s="4">
        <v>20</v>
      </c>
      <c r="V47" s="4">
        <f t="shared" si="15"/>
        <v>20</v>
      </c>
      <c r="W47" s="4"/>
      <c r="X47" s="4"/>
      <c r="Y47" s="16"/>
      <c r="Z47" s="16"/>
      <c r="AA47" s="16">
        <f t="shared" si="12"/>
        <v>12.816112716763007</v>
      </c>
      <c r="AB47" s="16">
        <f t="shared" si="13"/>
        <v>8.8019829800899174</v>
      </c>
      <c r="AC47" s="16">
        <v>7.7111999999999998</v>
      </c>
      <c r="AD47" s="16">
        <v>16.299800000000001</v>
      </c>
      <c r="AE47" s="16">
        <v>23.334199999999999</v>
      </c>
      <c r="AF47" s="16">
        <v>20.9544</v>
      </c>
      <c r="AG47" s="16">
        <v>15.678000000000001</v>
      </c>
      <c r="AH47" s="16">
        <v>20.927800000000001</v>
      </c>
      <c r="AI47" s="16">
        <v>16.421600000000002</v>
      </c>
      <c r="AJ47" s="16">
        <v>18.161000000000001</v>
      </c>
      <c r="AK47" s="16">
        <v>19.6008</v>
      </c>
      <c r="AL47" s="16">
        <v>24.483599999999999</v>
      </c>
      <c r="AM47" s="16"/>
      <c r="AN47" s="16">
        <f t="shared" si="14"/>
        <v>20</v>
      </c>
      <c r="AO47" t="s">
        <v>137</v>
      </c>
    </row>
    <row r="48" spans="1:41" x14ac:dyDescent="0.25">
      <c r="A48" s="16" t="s">
        <v>138</v>
      </c>
      <c r="B48" s="16" t="s">
        <v>52</v>
      </c>
      <c r="C48" s="16">
        <v>4</v>
      </c>
      <c r="D48" s="16">
        <v>145</v>
      </c>
      <c r="E48" s="16">
        <v>98</v>
      </c>
      <c r="F48" s="16">
        <v>4</v>
      </c>
      <c r="G48" s="6">
        <v>0.35</v>
      </c>
      <c r="H48" s="16">
        <v>40</v>
      </c>
      <c r="I48" s="8" t="s">
        <v>64</v>
      </c>
      <c r="J48" s="16"/>
      <c r="K48" s="16">
        <v>152</v>
      </c>
      <c r="L48" s="16">
        <f t="shared" si="10"/>
        <v>-54</v>
      </c>
      <c r="M48" s="16"/>
      <c r="N48" s="16"/>
      <c r="O48" s="16">
        <v>150</v>
      </c>
      <c r="P48" s="16"/>
      <c r="Q48" s="16"/>
      <c r="R48" s="16"/>
      <c r="S48" s="16"/>
      <c r="T48" s="16">
        <f t="shared" si="11"/>
        <v>19.600000000000001</v>
      </c>
      <c r="U48" s="4">
        <v>120</v>
      </c>
      <c r="V48" s="4">
        <f t="shared" si="15"/>
        <v>120</v>
      </c>
      <c r="W48" s="4"/>
      <c r="X48" s="4"/>
      <c r="Y48" s="16"/>
      <c r="Z48" s="16"/>
      <c r="AA48" s="16">
        <f t="shared" si="12"/>
        <v>13.979591836734693</v>
      </c>
      <c r="AB48" s="16">
        <f t="shared" si="13"/>
        <v>7.8571428571428568</v>
      </c>
      <c r="AC48" s="16">
        <v>0</v>
      </c>
      <c r="AD48" s="16">
        <v>2.2000000000000002</v>
      </c>
      <c r="AE48" s="16">
        <v>53</v>
      </c>
      <c r="AF48" s="16">
        <v>103</v>
      </c>
      <c r="AG48" s="16">
        <v>97.6</v>
      </c>
      <c r="AH48" s="16">
        <v>89</v>
      </c>
      <c r="AI48" s="16">
        <v>59.8</v>
      </c>
      <c r="AJ48" s="16">
        <v>29.4</v>
      </c>
      <c r="AK48" s="16">
        <v>28.2</v>
      </c>
      <c r="AL48" s="16">
        <v>68</v>
      </c>
      <c r="AM48" s="16"/>
      <c r="AN48" s="16">
        <f t="shared" si="14"/>
        <v>42</v>
      </c>
      <c r="AO48" t="s">
        <v>139</v>
      </c>
    </row>
    <row r="49" spans="1:41" x14ac:dyDescent="0.25">
      <c r="A49" s="16" t="s">
        <v>140</v>
      </c>
      <c r="B49" s="16" t="s">
        <v>52</v>
      </c>
      <c r="C49" s="16">
        <v>6</v>
      </c>
      <c r="D49" s="16">
        <v>295</v>
      </c>
      <c r="E49" s="16">
        <v>155</v>
      </c>
      <c r="F49" s="16">
        <v>96</v>
      </c>
      <c r="G49" s="6">
        <v>0.4</v>
      </c>
      <c r="H49" s="16">
        <v>40</v>
      </c>
      <c r="I49" s="8" t="s">
        <v>64</v>
      </c>
      <c r="J49" s="16"/>
      <c r="K49" s="16">
        <v>197</v>
      </c>
      <c r="L49" s="16">
        <f t="shared" si="10"/>
        <v>-42</v>
      </c>
      <c r="M49" s="16"/>
      <c r="N49" s="16"/>
      <c r="O49" s="16">
        <v>150</v>
      </c>
      <c r="P49" s="16"/>
      <c r="Q49" s="16"/>
      <c r="R49" s="16"/>
      <c r="S49" s="16"/>
      <c r="T49" s="16">
        <f t="shared" si="11"/>
        <v>31</v>
      </c>
      <c r="U49" s="4">
        <v>100</v>
      </c>
      <c r="V49" s="4">
        <f t="shared" si="15"/>
        <v>100</v>
      </c>
      <c r="W49" s="4">
        <v>-101.99999999999999</v>
      </c>
      <c r="X49" s="4"/>
      <c r="Y49" s="16"/>
      <c r="Z49" s="16"/>
      <c r="AA49" s="16">
        <f t="shared" si="12"/>
        <v>11.161290322580646</v>
      </c>
      <c r="AB49" s="16">
        <f t="shared" si="13"/>
        <v>7.935483870967742</v>
      </c>
      <c r="AC49" s="16">
        <v>7</v>
      </c>
      <c r="AD49" s="16">
        <v>16.399999999999999</v>
      </c>
      <c r="AE49" s="16">
        <v>57.2</v>
      </c>
      <c r="AF49" s="16">
        <v>50.6</v>
      </c>
      <c r="AG49" s="16">
        <v>5.8</v>
      </c>
      <c r="AH49" s="16">
        <v>33.6</v>
      </c>
      <c r="AI49" s="16">
        <v>70.400000000000006</v>
      </c>
      <c r="AJ49" s="16">
        <v>38.799999999999997</v>
      </c>
      <c r="AK49" s="16">
        <v>-0.4</v>
      </c>
      <c r="AL49" s="16">
        <v>4.8</v>
      </c>
      <c r="AM49" s="16"/>
      <c r="AN49" s="16">
        <f t="shared" si="14"/>
        <v>40</v>
      </c>
      <c r="AO49" t="s">
        <v>141</v>
      </c>
    </row>
    <row r="50" spans="1:41" x14ac:dyDescent="0.25">
      <c r="A50" s="16" t="s">
        <v>142</v>
      </c>
      <c r="B50" s="16" t="s">
        <v>44</v>
      </c>
      <c r="C50" s="16">
        <v>44.265000000000001</v>
      </c>
      <c r="D50" s="16">
        <v>86.4</v>
      </c>
      <c r="E50" s="16">
        <v>33.704000000000001</v>
      </c>
      <c r="F50" s="16">
        <v>90.221000000000004</v>
      </c>
      <c r="G50" s="6">
        <v>1</v>
      </c>
      <c r="H50" s="16">
        <v>50</v>
      </c>
      <c r="I50" s="16" t="s">
        <v>45</v>
      </c>
      <c r="J50" s="16"/>
      <c r="K50" s="16">
        <v>31.3</v>
      </c>
      <c r="L50" s="16">
        <f t="shared" si="10"/>
        <v>2.4039999999999999</v>
      </c>
      <c r="M50" s="16"/>
      <c r="N50" s="16"/>
      <c r="O50" s="16">
        <v>93.555600000000041</v>
      </c>
      <c r="P50" s="16"/>
      <c r="Q50" s="16"/>
      <c r="R50" s="16"/>
      <c r="S50" s="16"/>
      <c r="T50" s="16">
        <f t="shared" si="11"/>
        <v>6.7408000000000001</v>
      </c>
      <c r="U50" s="4"/>
      <c r="V50" s="4">
        <f t="shared" si="15"/>
        <v>0</v>
      </c>
      <c r="W50" s="4"/>
      <c r="X50" s="4"/>
      <c r="Y50" s="16"/>
      <c r="Z50" s="16"/>
      <c r="AA50" s="16">
        <f t="shared" si="12"/>
        <v>27.263321860906721</v>
      </c>
      <c r="AB50" s="16">
        <f t="shared" si="13"/>
        <v>27.263321860906721</v>
      </c>
      <c r="AC50" s="16">
        <v>7.5424000000000007</v>
      </c>
      <c r="AD50" s="16">
        <v>17.248200000000001</v>
      </c>
      <c r="AE50" s="16">
        <v>16.198599999999999</v>
      </c>
      <c r="AF50" s="16">
        <v>4.0784000000000002</v>
      </c>
      <c r="AG50" s="16">
        <v>5.7111999999999998</v>
      </c>
      <c r="AH50" s="16">
        <v>8.3732000000000006</v>
      </c>
      <c r="AI50" s="16">
        <v>5.0987999999999998</v>
      </c>
      <c r="AJ50" s="16">
        <v>3.4666000000000001</v>
      </c>
      <c r="AK50" s="16">
        <v>8.6292000000000009</v>
      </c>
      <c r="AL50" s="16">
        <v>14.634600000000001</v>
      </c>
      <c r="AM50" s="14" t="s">
        <v>105</v>
      </c>
      <c r="AN50" s="16">
        <f t="shared" si="14"/>
        <v>0</v>
      </c>
      <c r="AO50" t="s">
        <v>143</v>
      </c>
    </row>
    <row r="51" spans="1:41" x14ac:dyDescent="0.25">
      <c r="A51" s="16" t="s">
        <v>144</v>
      </c>
      <c r="B51" s="16" t="s">
        <v>44</v>
      </c>
      <c r="C51" s="16">
        <v>80.350999999999999</v>
      </c>
      <c r="D51" s="16">
        <v>218.518</v>
      </c>
      <c r="E51" s="16">
        <v>65.08</v>
      </c>
      <c r="F51" s="16">
        <v>198.05699999999999</v>
      </c>
      <c r="G51" s="6">
        <v>1</v>
      </c>
      <c r="H51" s="16">
        <v>50</v>
      </c>
      <c r="I51" s="16" t="s">
        <v>45</v>
      </c>
      <c r="J51" s="16"/>
      <c r="K51" s="16">
        <v>68.650000000000006</v>
      </c>
      <c r="L51" s="16">
        <f t="shared" si="10"/>
        <v>-3.5700000000000074</v>
      </c>
      <c r="M51" s="16"/>
      <c r="N51" s="16"/>
      <c r="O51" s="16">
        <v>70.5</v>
      </c>
      <c r="P51" s="16"/>
      <c r="Q51" s="16"/>
      <c r="R51" s="16">
        <v>79.5</v>
      </c>
      <c r="S51" s="16"/>
      <c r="T51" s="16">
        <f t="shared" si="11"/>
        <v>13.016</v>
      </c>
      <c r="U51" s="4"/>
      <c r="V51" s="4">
        <f t="shared" si="15"/>
        <v>0</v>
      </c>
      <c r="W51" s="4"/>
      <c r="X51" s="4"/>
      <c r="Y51" s="16"/>
      <c r="Z51" s="16"/>
      <c r="AA51" s="16">
        <f t="shared" si="12"/>
        <v>26.740703749231717</v>
      </c>
      <c r="AB51" s="16">
        <f t="shared" si="13"/>
        <v>26.740703749231717</v>
      </c>
      <c r="AC51" s="16">
        <v>12.1088</v>
      </c>
      <c r="AD51" s="16">
        <v>26.9346</v>
      </c>
      <c r="AE51" s="16">
        <v>28.4544</v>
      </c>
      <c r="AF51" s="16">
        <v>15.607200000000001</v>
      </c>
      <c r="AG51" s="16">
        <v>15.357799999999999</v>
      </c>
      <c r="AH51" s="16">
        <v>21.200199999999999</v>
      </c>
      <c r="AI51" s="16">
        <v>14.8202</v>
      </c>
      <c r="AJ51" s="16">
        <v>20.593</v>
      </c>
      <c r="AK51" s="16">
        <v>27.026800000000001</v>
      </c>
      <c r="AL51" s="16">
        <v>24.317599999999999</v>
      </c>
      <c r="AM51" s="13" t="s">
        <v>145</v>
      </c>
      <c r="AN51" s="16">
        <f t="shared" si="14"/>
        <v>0</v>
      </c>
      <c r="AO51" t="s">
        <v>146</v>
      </c>
    </row>
    <row r="52" spans="1:41" x14ac:dyDescent="0.25">
      <c r="A52" s="16" t="s">
        <v>147</v>
      </c>
      <c r="B52" s="16" t="s">
        <v>44</v>
      </c>
      <c r="C52" s="16">
        <v>-0.125</v>
      </c>
      <c r="D52" s="16"/>
      <c r="E52" s="16"/>
      <c r="F52" s="16">
        <v>-0.125</v>
      </c>
      <c r="G52" s="6">
        <v>1</v>
      </c>
      <c r="H52" s="16">
        <v>45</v>
      </c>
      <c r="I52" s="8" t="s">
        <v>64</v>
      </c>
      <c r="J52" s="16"/>
      <c r="K52" s="16">
        <v>7.6</v>
      </c>
      <c r="L52" s="16">
        <f t="shared" si="10"/>
        <v>-7.6</v>
      </c>
      <c r="M52" s="16"/>
      <c r="N52" s="16"/>
      <c r="O52" s="16">
        <v>50</v>
      </c>
      <c r="P52" s="16">
        <v>-54</v>
      </c>
      <c r="Q52" s="16"/>
      <c r="R52" s="16"/>
      <c r="S52" s="16"/>
      <c r="T52" s="16">
        <f t="shared" si="11"/>
        <v>0</v>
      </c>
      <c r="U52" s="4">
        <v>30</v>
      </c>
      <c r="V52" s="4">
        <f t="shared" si="15"/>
        <v>30</v>
      </c>
      <c r="W52" s="4">
        <v>-36</v>
      </c>
      <c r="X52" s="4"/>
      <c r="Y52" s="16"/>
      <c r="Z52" s="16"/>
      <c r="AA52" s="16" t="e">
        <f t="shared" si="12"/>
        <v>#DIV/0!</v>
      </c>
      <c r="AB52" s="16" t="e">
        <f t="shared" si="13"/>
        <v>#DIV/0!</v>
      </c>
      <c r="AC52" s="16">
        <v>0</v>
      </c>
      <c r="AD52" s="16">
        <v>0</v>
      </c>
      <c r="AE52" s="16">
        <v>-0.03</v>
      </c>
      <c r="AF52" s="16">
        <v>-0.03</v>
      </c>
      <c r="AG52" s="16">
        <v>0</v>
      </c>
      <c r="AH52" s="16">
        <v>0.57939999999999992</v>
      </c>
      <c r="AI52" s="16">
        <v>19.140999999999998</v>
      </c>
      <c r="AJ52" s="16">
        <v>23.854800000000001</v>
      </c>
      <c r="AK52" s="16">
        <v>5.6736000000000004</v>
      </c>
      <c r="AL52" s="16">
        <v>9.59</v>
      </c>
      <c r="AM52" s="16"/>
      <c r="AN52" s="16">
        <f t="shared" si="14"/>
        <v>30</v>
      </c>
      <c r="AO52" t="s">
        <v>148</v>
      </c>
    </row>
    <row r="53" spans="1:41" x14ac:dyDescent="0.25">
      <c r="A53" s="16" t="s">
        <v>149</v>
      </c>
      <c r="B53" s="16" t="s">
        <v>52</v>
      </c>
      <c r="C53" s="16">
        <v>53</v>
      </c>
      <c r="D53" s="16">
        <v>160</v>
      </c>
      <c r="E53" s="16">
        <v>105</v>
      </c>
      <c r="F53" s="16">
        <v>91</v>
      </c>
      <c r="G53" s="6">
        <v>0.45</v>
      </c>
      <c r="H53" s="16">
        <v>50</v>
      </c>
      <c r="I53" s="16" t="s">
        <v>45</v>
      </c>
      <c r="J53" s="16"/>
      <c r="K53" s="16">
        <v>144</v>
      </c>
      <c r="L53" s="16">
        <f t="shared" si="10"/>
        <v>-39</v>
      </c>
      <c r="M53" s="16"/>
      <c r="N53" s="16"/>
      <c r="O53" s="16">
        <v>117.5</v>
      </c>
      <c r="P53" s="16"/>
      <c r="Q53" s="16"/>
      <c r="R53" s="16">
        <v>132.5</v>
      </c>
      <c r="S53" s="16"/>
      <c r="T53" s="16">
        <f t="shared" si="11"/>
        <v>21</v>
      </c>
      <c r="U53" s="4"/>
      <c r="V53" s="4">
        <f t="shared" si="15"/>
        <v>0</v>
      </c>
      <c r="W53" s="4"/>
      <c r="X53" s="4"/>
      <c r="Y53" s="16"/>
      <c r="Z53" s="16"/>
      <c r="AA53" s="16">
        <f t="shared" si="12"/>
        <v>16.238095238095237</v>
      </c>
      <c r="AB53" s="16">
        <f t="shared" si="13"/>
        <v>16.238095238095237</v>
      </c>
      <c r="AC53" s="16">
        <v>22</v>
      </c>
      <c r="AD53" s="16">
        <v>21.8</v>
      </c>
      <c r="AE53" s="16">
        <v>20.2</v>
      </c>
      <c r="AF53" s="16">
        <v>20.6</v>
      </c>
      <c r="AG53" s="16">
        <v>16.399999999999999</v>
      </c>
      <c r="AH53" s="16">
        <v>19.600000000000001</v>
      </c>
      <c r="AI53" s="16">
        <v>21.8</v>
      </c>
      <c r="AJ53" s="16">
        <v>20.2</v>
      </c>
      <c r="AK53" s="16">
        <v>25.4</v>
      </c>
      <c r="AL53" s="16">
        <v>24.4</v>
      </c>
      <c r="AM53" s="16"/>
      <c r="AN53" s="16">
        <f t="shared" si="14"/>
        <v>0</v>
      </c>
      <c r="AO53" t="s">
        <v>150</v>
      </c>
    </row>
    <row r="54" spans="1:41" x14ac:dyDescent="0.25">
      <c r="A54" s="16" t="s">
        <v>151</v>
      </c>
      <c r="B54" s="16" t="s">
        <v>52</v>
      </c>
      <c r="C54" s="16">
        <v>101</v>
      </c>
      <c r="D54" s="16">
        <v>420</v>
      </c>
      <c r="E54" s="16">
        <v>130</v>
      </c>
      <c r="F54" s="16">
        <v>381</v>
      </c>
      <c r="G54" s="6">
        <v>0.45</v>
      </c>
      <c r="H54" s="16">
        <v>50</v>
      </c>
      <c r="I54" s="16" t="s">
        <v>45</v>
      </c>
      <c r="J54" s="16"/>
      <c r="K54" s="16">
        <v>148</v>
      </c>
      <c r="L54" s="16">
        <f t="shared" si="10"/>
        <v>-18</v>
      </c>
      <c r="M54" s="16"/>
      <c r="N54" s="16"/>
      <c r="O54" s="16">
        <v>94</v>
      </c>
      <c r="P54" s="16"/>
      <c r="Q54" s="16"/>
      <c r="R54" s="16">
        <v>106</v>
      </c>
      <c r="S54" s="16"/>
      <c r="T54" s="16">
        <f t="shared" si="11"/>
        <v>26</v>
      </c>
      <c r="U54" s="4"/>
      <c r="V54" s="4">
        <f t="shared" si="15"/>
        <v>0</v>
      </c>
      <c r="W54" s="4"/>
      <c r="X54" s="4"/>
      <c r="Y54" s="16"/>
      <c r="Z54" s="16"/>
      <c r="AA54" s="16">
        <f t="shared" si="12"/>
        <v>22.346153846153847</v>
      </c>
      <c r="AB54" s="16">
        <f t="shared" si="13"/>
        <v>22.346153846153847</v>
      </c>
      <c r="AC54" s="16">
        <v>33</v>
      </c>
      <c r="AD54" s="16">
        <v>31.8</v>
      </c>
      <c r="AE54" s="16">
        <v>48.2</v>
      </c>
      <c r="AF54" s="16">
        <v>45.8</v>
      </c>
      <c r="AG54" s="16">
        <v>21.2</v>
      </c>
      <c r="AH54" s="16">
        <v>24</v>
      </c>
      <c r="AI54" s="16">
        <v>25.8</v>
      </c>
      <c r="AJ54" s="16">
        <v>20.8</v>
      </c>
      <c r="AK54" s="16">
        <v>32.200000000000003</v>
      </c>
      <c r="AL54" s="16">
        <v>52.2</v>
      </c>
      <c r="AM54" s="16"/>
      <c r="AN54" s="16">
        <f t="shared" si="14"/>
        <v>0</v>
      </c>
      <c r="AO54" t="s">
        <v>152</v>
      </c>
    </row>
    <row r="55" spans="1:41" x14ac:dyDescent="0.25">
      <c r="A55" s="16" t="s">
        <v>153</v>
      </c>
      <c r="B55" s="16" t="s">
        <v>52</v>
      </c>
      <c r="C55" s="16">
        <v>-3</v>
      </c>
      <c r="D55" s="16"/>
      <c r="E55" s="16">
        <v>2</v>
      </c>
      <c r="F55" s="16">
        <v>-6</v>
      </c>
      <c r="G55" s="6">
        <v>0.4</v>
      </c>
      <c r="H55" s="16">
        <v>40</v>
      </c>
      <c r="I55" s="8" t="s">
        <v>64</v>
      </c>
      <c r="J55" s="16"/>
      <c r="K55" s="16">
        <v>3</v>
      </c>
      <c r="L55" s="16">
        <f t="shared" si="10"/>
        <v>-1</v>
      </c>
      <c r="M55" s="16"/>
      <c r="N55" s="16"/>
      <c r="O55" s="16">
        <v>120</v>
      </c>
      <c r="P55" s="16">
        <v>-120</v>
      </c>
      <c r="Q55" s="16"/>
      <c r="R55" s="16"/>
      <c r="S55" s="16"/>
      <c r="T55" s="16">
        <f t="shared" si="11"/>
        <v>0.4</v>
      </c>
      <c r="U55" s="4">
        <v>50</v>
      </c>
      <c r="V55" s="4">
        <f t="shared" si="15"/>
        <v>50</v>
      </c>
      <c r="W55" s="4">
        <v>-54</v>
      </c>
      <c r="X55" s="4"/>
      <c r="Y55" s="16"/>
      <c r="Z55" s="16"/>
      <c r="AA55" s="16">
        <f t="shared" si="12"/>
        <v>410</v>
      </c>
      <c r="AB55" s="16">
        <f t="shared" si="13"/>
        <v>285</v>
      </c>
      <c r="AC55" s="16">
        <v>0.4</v>
      </c>
      <c r="AD55" s="16">
        <v>5.2</v>
      </c>
      <c r="AE55" s="16">
        <v>32</v>
      </c>
      <c r="AF55" s="16">
        <v>37.200000000000003</v>
      </c>
      <c r="AG55" s="16">
        <v>17</v>
      </c>
      <c r="AH55" s="16">
        <v>23.2</v>
      </c>
      <c r="AI55" s="16">
        <v>22.4</v>
      </c>
      <c r="AJ55" s="16">
        <v>14.8</v>
      </c>
      <c r="AK55" s="16">
        <v>21.2</v>
      </c>
      <c r="AL55" s="16">
        <v>21.8</v>
      </c>
      <c r="AM55" s="16"/>
      <c r="AN55" s="16">
        <f t="shared" si="14"/>
        <v>20</v>
      </c>
      <c r="AO55" t="s">
        <v>154</v>
      </c>
    </row>
    <row r="56" spans="1:41" x14ac:dyDescent="0.25">
      <c r="A56" s="16" t="s">
        <v>155</v>
      </c>
      <c r="B56" s="16" t="s">
        <v>52</v>
      </c>
      <c r="C56" s="16">
        <v>22</v>
      </c>
      <c r="D56" s="16">
        <v>168</v>
      </c>
      <c r="E56" s="16">
        <v>46</v>
      </c>
      <c r="F56" s="16">
        <v>121</v>
      </c>
      <c r="G56" s="6">
        <v>0.4</v>
      </c>
      <c r="H56" s="16">
        <v>40</v>
      </c>
      <c r="I56" s="8" t="s">
        <v>64</v>
      </c>
      <c r="J56" s="16"/>
      <c r="K56" s="16">
        <v>117</v>
      </c>
      <c r="L56" s="16">
        <f t="shared" si="10"/>
        <v>-71</v>
      </c>
      <c r="M56" s="16"/>
      <c r="N56" s="16"/>
      <c r="O56" s="16">
        <v>120</v>
      </c>
      <c r="P56" s="16">
        <v>-120</v>
      </c>
      <c r="Q56" s="16"/>
      <c r="R56" s="16"/>
      <c r="S56" s="16"/>
      <c r="T56" s="16">
        <f t="shared" si="11"/>
        <v>9.1999999999999993</v>
      </c>
      <c r="U56" s="4">
        <v>60</v>
      </c>
      <c r="V56" s="4">
        <f t="shared" si="15"/>
        <v>60</v>
      </c>
      <c r="W56" s="4"/>
      <c r="X56" s="4"/>
      <c r="Y56" s="16"/>
      <c r="Z56" s="16"/>
      <c r="AA56" s="16">
        <f t="shared" si="12"/>
        <v>32.717391304347828</v>
      </c>
      <c r="AB56" s="16">
        <f t="shared" si="13"/>
        <v>26.195652173913047</v>
      </c>
      <c r="AC56" s="16">
        <v>11.2</v>
      </c>
      <c r="AD56" s="16">
        <v>18.600000000000001</v>
      </c>
      <c r="AE56" s="16">
        <v>35.200000000000003</v>
      </c>
      <c r="AF56" s="16">
        <v>32</v>
      </c>
      <c r="AG56" s="16">
        <v>12.8</v>
      </c>
      <c r="AH56" s="16">
        <v>20.8</v>
      </c>
      <c r="AI56" s="16">
        <v>25.4</v>
      </c>
      <c r="AJ56" s="16">
        <v>15.6</v>
      </c>
      <c r="AK56" s="16">
        <v>12.8</v>
      </c>
      <c r="AL56" s="16">
        <v>14.4</v>
      </c>
      <c r="AM56" s="16"/>
      <c r="AN56" s="16">
        <f t="shared" si="14"/>
        <v>24</v>
      </c>
      <c r="AO56" t="s">
        <v>156</v>
      </c>
    </row>
    <row r="57" spans="1:41" x14ac:dyDescent="0.25">
      <c r="A57" s="16" t="s">
        <v>157</v>
      </c>
      <c r="B57" s="16" t="s">
        <v>44</v>
      </c>
      <c r="C57" s="16">
        <v>78.028999999999996</v>
      </c>
      <c r="D57" s="16">
        <v>208.74</v>
      </c>
      <c r="E57" s="16">
        <v>50.591000000000001</v>
      </c>
      <c r="F57" s="16">
        <v>226.149</v>
      </c>
      <c r="G57" s="6">
        <v>1</v>
      </c>
      <c r="H57" s="16">
        <v>50</v>
      </c>
      <c r="I57" s="16" t="s">
        <v>45</v>
      </c>
      <c r="J57" s="16"/>
      <c r="K57" s="16">
        <v>54</v>
      </c>
      <c r="L57" s="16">
        <f t="shared" si="10"/>
        <v>-3.4089999999999989</v>
      </c>
      <c r="M57" s="16"/>
      <c r="N57" s="16"/>
      <c r="O57" s="16">
        <v>70.5</v>
      </c>
      <c r="P57" s="16"/>
      <c r="Q57" s="16"/>
      <c r="R57" s="16">
        <v>79.5</v>
      </c>
      <c r="S57" s="16"/>
      <c r="T57" s="16">
        <f t="shared" si="11"/>
        <v>10.1182</v>
      </c>
      <c r="U57" s="4"/>
      <c r="V57" s="4">
        <f t="shared" si="15"/>
        <v>0</v>
      </c>
      <c r="W57" s="4"/>
      <c r="X57" s="4"/>
      <c r="Y57" s="16"/>
      <c r="Z57" s="16"/>
      <c r="AA57" s="16">
        <f t="shared" si="12"/>
        <v>37.175485758336464</v>
      </c>
      <c r="AB57" s="16">
        <f t="shared" si="13"/>
        <v>37.175485758336464</v>
      </c>
      <c r="AC57" s="16">
        <v>9.234</v>
      </c>
      <c r="AD57" s="16">
        <v>17.479399999999998</v>
      </c>
      <c r="AE57" s="16">
        <v>25.413399999999999</v>
      </c>
      <c r="AF57" s="16">
        <v>15.8782</v>
      </c>
      <c r="AG57" s="16">
        <v>12.8612</v>
      </c>
      <c r="AH57" s="16">
        <v>18.917200000000001</v>
      </c>
      <c r="AI57" s="16">
        <v>14.224399999999999</v>
      </c>
      <c r="AJ57" s="16">
        <v>14.7386</v>
      </c>
      <c r="AK57" s="16">
        <v>21.672000000000001</v>
      </c>
      <c r="AL57" s="16">
        <v>21.163</v>
      </c>
      <c r="AM57" s="13" t="s">
        <v>145</v>
      </c>
      <c r="AN57" s="16">
        <f t="shared" si="14"/>
        <v>0</v>
      </c>
      <c r="AO57" t="s">
        <v>158</v>
      </c>
    </row>
    <row r="58" spans="1:41" x14ac:dyDescent="0.25">
      <c r="A58" s="16" t="s">
        <v>159</v>
      </c>
      <c r="B58" s="16" t="s">
        <v>52</v>
      </c>
      <c r="C58" s="16">
        <v>146</v>
      </c>
      <c r="D58" s="16">
        <v>504</v>
      </c>
      <c r="E58" s="12">
        <f>245+E133</f>
        <v>293</v>
      </c>
      <c r="F58" s="12">
        <f>42+F133</f>
        <v>48</v>
      </c>
      <c r="G58" s="6">
        <v>0.1</v>
      </c>
      <c r="H58" s="16">
        <v>731</v>
      </c>
      <c r="I58" s="16" t="s">
        <v>45</v>
      </c>
      <c r="J58" s="16"/>
      <c r="K58" s="16">
        <v>265</v>
      </c>
      <c r="L58" s="16">
        <f t="shared" si="10"/>
        <v>28</v>
      </c>
      <c r="M58" s="16"/>
      <c r="N58" s="16"/>
      <c r="O58" s="16">
        <v>376</v>
      </c>
      <c r="P58" s="16"/>
      <c r="Q58" s="16"/>
      <c r="R58" s="16">
        <v>424</v>
      </c>
      <c r="S58" s="16"/>
      <c r="T58" s="16">
        <f t="shared" si="11"/>
        <v>58.6</v>
      </c>
      <c r="U58" s="4"/>
      <c r="V58" s="4">
        <v>1000</v>
      </c>
      <c r="W58" s="4"/>
      <c r="X58" s="4"/>
      <c r="Y58" s="16" t="str">
        <f>VLOOKUP(A58,[1]Sheet!$A:$V,21,0)</f>
        <v>1000шт</v>
      </c>
      <c r="Z58" s="16" t="str">
        <f>VLOOKUP(A58,[1]Sheet!$A:$V,22,0)</f>
        <v>Промо N+1 + бонус</v>
      </c>
      <c r="AA58" s="16">
        <f t="shared" si="12"/>
        <v>31.535836177474401</v>
      </c>
      <c r="AB58" s="16">
        <f t="shared" si="13"/>
        <v>14.470989761092151</v>
      </c>
      <c r="AC58" s="16">
        <v>45.4</v>
      </c>
      <c r="AD58" s="16">
        <v>50</v>
      </c>
      <c r="AE58" s="16">
        <v>44.8</v>
      </c>
      <c r="AF58" s="16">
        <v>32.4</v>
      </c>
      <c r="AG58" s="16">
        <v>36.799999999999997</v>
      </c>
      <c r="AH58" s="16">
        <v>25.6</v>
      </c>
      <c r="AI58" s="16">
        <v>16.2</v>
      </c>
      <c r="AJ58" s="16">
        <v>44</v>
      </c>
      <c r="AK58" s="16">
        <v>53</v>
      </c>
      <c r="AL58" s="16">
        <v>43.4</v>
      </c>
      <c r="AM58" s="16" t="s">
        <v>124</v>
      </c>
      <c r="AN58" s="16">
        <f t="shared" si="14"/>
        <v>100</v>
      </c>
      <c r="AO58" t="s">
        <v>160</v>
      </c>
    </row>
    <row r="59" spans="1:41" x14ac:dyDescent="0.25">
      <c r="A59" s="16" t="s">
        <v>161</v>
      </c>
      <c r="B59" s="16" t="s">
        <v>44</v>
      </c>
      <c r="C59" s="16">
        <v>67.572000000000003</v>
      </c>
      <c r="D59" s="16">
        <v>116.086</v>
      </c>
      <c r="E59" s="16">
        <v>38.067999999999998</v>
      </c>
      <c r="F59" s="16">
        <v>114.29600000000001</v>
      </c>
      <c r="G59" s="6">
        <v>1</v>
      </c>
      <c r="H59" s="16">
        <v>50</v>
      </c>
      <c r="I59" s="16" t="s">
        <v>45</v>
      </c>
      <c r="J59" s="16"/>
      <c r="K59" s="16">
        <v>43.6</v>
      </c>
      <c r="L59" s="16">
        <f t="shared" si="10"/>
        <v>-5.5320000000000036</v>
      </c>
      <c r="M59" s="16"/>
      <c r="N59" s="16"/>
      <c r="O59" s="16">
        <v>70.5</v>
      </c>
      <c r="P59" s="16"/>
      <c r="Q59" s="16"/>
      <c r="R59" s="16">
        <v>79.5</v>
      </c>
      <c r="S59" s="16"/>
      <c r="T59" s="16">
        <f t="shared" si="11"/>
        <v>7.6135999999999999</v>
      </c>
      <c r="U59" s="4"/>
      <c r="V59" s="4">
        <f>U59</f>
        <v>0</v>
      </c>
      <c r="W59" s="4"/>
      <c r="X59" s="4"/>
      <c r="Y59" s="16"/>
      <c r="Z59" s="16"/>
      <c r="AA59" s="16">
        <f t="shared" si="12"/>
        <v>34.713670274246084</v>
      </c>
      <c r="AB59" s="16">
        <f t="shared" si="13"/>
        <v>34.713670274246084</v>
      </c>
      <c r="AC59" s="16">
        <v>7.0691999999999986</v>
      </c>
      <c r="AD59" s="16">
        <v>16.045000000000002</v>
      </c>
      <c r="AE59" s="16">
        <v>15.5054</v>
      </c>
      <c r="AF59" s="16">
        <v>10.170400000000001</v>
      </c>
      <c r="AG59" s="16">
        <v>14.961</v>
      </c>
      <c r="AH59" s="16">
        <v>15.6616</v>
      </c>
      <c r="AI59" s="16">
        <v>8.7063999999999986</v>
      </c>
      <c r="AJ59" s="16">
        <v>10.54</v>
      </c>
      <c r="AK59" s="16">
        <v>16.8352</v>
      </c>
      <c r="AL59" s="16">
        <v>17.306999999999999</v>
      </c>
      <c r="AM59" s="13" t="s">
        <v>145</v>
      </c>
      <c r="AN59" s="16">
        <f t="shared" si="14"/>
        <v>0</v>
      </c>
      <c r="AO59" t="s">
        <v>162</v>
      </c>
    </row>
    <row r="60" spans="1:41" x14ac:dyDescent="0.25">
      <c r="A60" s="16" t="s">
        <v>163</v>
      </c>
      <c r="B60" s="16" t="s">
        <v>44</v>
      </c>
      <c r="C60" s="16">
        <v>21.689</v>
      </c>
      <c r="D60" s="16">
        <v>59.387</v>
      </c>
      <c r="E60" s="16">
        <v>21.905999999999999</v>
      </c>
      <c r="F60" s="16">
        <v>56.43</v>
      </c>
      <c r="G60" s="6">
        <v>1</v>
      </c>
      <c r="H60" s="16">
        <v>55</v>
      </c>
      <c r="I60" s="16" t="s">
        <v>45</v>
      </c>
      <c r="J60" s="16"/>
      <c r="K60" s="16">
        <v>19.600000000000001</v>
      </c>
      <c r="L60" s="16">
        <f t="shared" si="10"/>
        <v>2.3059999999999974</v>
      </c>
      <c r="M60" s="16"/>
      <c r="N60" s="16"/>
      <c r="O60" s="16">
        <v>44.261800000000008</v>
      </c>
      <c r="P60" s="16"/>
      <c r="Q60" s="16"/>
      <c r="R60" s="16"/>
      <c r="S60" s="16"/>
      <c r="T60" s="16">
        <f t="shared" si="11"/>
        <v>4.3811999999999998</v>
      </c>
      <c r="U60" s="4"/>
      <c r="V60" s="4">
        <f>U60</f>
        <v>0</v>
      </c>
      <c r="W60" s="4"/>
      <c r="X60" s="4"/>
      <c r="Y60" s="16"/>
      <c r="Z60" s="16"/>
      <c r="AA60" s="16">
        <f t="shared" si="12"/>
        <v>22.982698803980647</v>
      </c>
      <c r="AB60" s="16">
        <f t="shared" si="13"/>
        <v>22.982698803980647</v>
      </c>
      <c r="AC60" s="16">
        <v>5.7595999999999998</v>
      </c>
      <c r="AD60" s="16">
        <v>8.5346000000000011</v>
      </c>
      <c r="AE60" s="16">
        <v>7.9825999999999997</v>
      </c>
      <c r="AF60" s="16">
        <v>2.7427999999999999</v>
      </c>
      <c r="AG60" s="16">
        <v>6.0340000000000007</v>
      </c>
      <c r="AH60" s="16">
        <v>6.3116000000000003</v>
      </c>
      <c r="AI60" s="16">
        <v>1.65</v>
      </c>
      <c r="AJ60" s="16">
        <v>4.9256000000000002</v>
      </c>
      <c r="AK60" s="16">
        <v>7.6627999999999998</v>
      </c>
      <c r="AL60" s="16">
        <v>7.9290000000000003</v>
      </c>
      <c r="AM60" s="16"/>
      <c r="AN60" s="16">
        <f t="shared" si="14"/>
        <v>0</v>
      </c>
      <c r="AO60" t="s">
        <v>164</v>
      </c>
    </row>
    <row r="61" spans="1:41" x14ac:dyDescent="0.25">
      <c r="A61" s="16" t="s">
        <v>165</v>
      </c>
      <c r="B61" s="16" t="s">
        <v>52</v>
      </c>
      <c r="C61" s="16">
        <v>-10</v>
      </c>
      <c r="D61" s="16">
        <v>840</v>
      </c>
      <c r="E61" s="16">
        <v>136</v>
      </c>
      <c r="F61" s="16">
        <v>603</v>
      </c>
      <c r="G61" s="6">
        <v>0.1</v>
      </c>
      <c r="H61" s="16">
        <v>731</v>
      </c>
      <c r="I61" s="16" t="s">
        <v>45</v>
      </c>
      <c r="J61" s="16"/>
      <c r="K61" s="16">
        <v>161</v>
      </c>
      <c r="L61" s="16">
        <f t="shared" si="10"/>
        <v>-25</v>
      </c>
      <c r="M61" s="16"/>
      <c r="N61" s="16"/>
      <c r="O61" s="16">
        <v>235</v>
      </c>
      <c r="P61" s="16"/>
      <c r="Q61" s="16"/>
      <c r="R61" s="16">
        <v>265</v>
      </c>
      <c r="S61" s="16"/>
      <c r="T61" s="16">
        <f t="shared" si="11"/>
        <v>27.2</v>
      </c>
      <c r="U61" s="4"/>
      <c r="V61" s="4">
        <v>100</v>
      </c>
      <c r="W61" s="4"/>
      <c r="X61" s="4"/>
      <c r="Y61" s="16" t="str">
        <f>VLOOKUP(A61,[1]Sheet!$A:$V,21,0)</f>
        <v xml:space="preserve">200шт </v>
      </c>
      <c r="Z61" s="16" t="str">
        <f>VLOOKUP(A61,[1]Sheet!$A:$V,22,0)</f>
        <v xml:space="preserve">Промо N+1 + </v>
      </c>
      <c r="AA61" s="16">
        <f t="shared" si="12"/>
        <v>44.227941176470587</v>
      </c>
      <c r="AB61" s="16">
        <f t="shared" si="13"/>
        <v>40.551470588235297</v>
      </c>
      <c r="AC61" s="16">
        <v>7</v>
      </c>
      <c r="AD61" s="16">
        <v>29</v>
      </c>
      <c r="AE61" s="16">
        <v>73.2</v>
      </c>
      <c r="AF61" s="16">
        <v>64.2</v>
      </c>
      <c r="AG61" s="16">
        <v>32.799999999999997</v>
      </c>
      <c r="AH61" s="16">
        <v>32.6</v>
      </c>
      <c r="AI61" s="16">
        <v>33.200000000000003</v>
      </c>
      <c r="AJ61" s="16">
        <v>38.4</v>
      </c>
      <c r="AK61" s="16">
        <v>39</v>
      </c>
      <c r="AL61" s="16">
        <v>48.6</v>
      </c>
      <c r="AM61" s="16" t="s">
        <v>124</v>
      </c>
      <c r="AN61" s="16">
        <f t="shared" si="14"/>
        <v>10</v>
      </c>
      <c r="AO61" t="s">
        <v>166</v>
      </c>
    </row>
    <row r="62" spans="1:41" x14ac:dyDescent="0.25">
      <c r="A62" s="16" t="s">
        <v>167</v>
      </c>
      <c r="B62" s="16" t="s">
        <v>52</v>
      </c>
      <c r="C62" s="16">
        <v>25</v>
      </c>
      <c r="D62" s="16">
        <v>50</v>
      </c>
      <c r="E62" s="16">
        <v>22</v>
      </c>
      <c r="F62" s="16">
        <v>47</v>
      </c>
      <c r="G62" s="6">
        <v>0.4</v>
      </c>
      <c r="H62" s="16">
        <v>50</v>
      </c>
      <c r="I62" s="16" t="s">
        <v>45</v>
      </c>
      <c r="J62" s="16"/>
      <c r="K62" s="16">
        <v>22</v>
      </c>
      <c r="L62" s="16">
        <f t="shared" si="10"/>
        <v>0</v>
      </c>
      <c r="M62" s="16"/>
      <c r="N62" s="16"/>
      <c r="O62" s="16">
        <v>18.999999999999989</v>
      </c>
      <c r="P62" s="16"/>
      <c r="Q62" s="16"/>
      <c r="R62" s="16"/>
      <c r="S62" s="16"/>
      <c r="T62" s="16">
        <f t="shared" si="11"/>
        <v>4.4000000000000004</v>
      </c>
      <c r="U62" s="4"/>
      <c r="V62" s="4">
        <f>U62</f>
        <v>0</v>
      </c>
      <c r="W62" s="4"/>
      <c r="X62" s="4"/>
      <c r="Y62" s="16"/>
      <c r="Z62" s="16"/>
      <c r="AA62" s="16">
        <f t="shared" si="12"/>
        <v>14.999999999999996</v>
      </c>
      <c r="AB62" s="16">
        <f t="shared" si="13"/>
        <v>14.999999999999996</v>
      </c>
      <c r="AC62" s="16">
        <v>3.6</v>
      </c>
      <c r="AD62" s="16">
        <v>7.6</v>
      </c>
      <c r="AE62" s="16">
        <v>8.8000000000000007</v>
      </c>
      <c r="AF62" s="16">
        <v>4</v>
      </c>
      <c r="AG62" s="16">
        <v>4</v>
      </c>
      <c r="AH62" s="16">
        <v>3.6</v>
      </c>
      <c r="AI62" s="16">
        <v>2.6</v>
      </c>
      <c r="AJ62" s="16">
        <v>3.6</v>
      </c>
      <c r="AK62" s="16">
        <v>4</v>
      </c>
      <c r="AL62" s="16">
        <v>9</v>
      </c>
      <c r="AM62" s="16"/>
      <c r="AN62" s="16">
        <f t="shared" si="14"/>
        <v>0</v>
      </c>
      <c r="AO62" t="s">
        <v>168</v>
      </c>
    </row>
    <row r="63" spans="1:41" x14ac:dyDescent="0.25">
      <c r="A63" s="16" t="s">
        <v>169</v>
      </c>
      <c r="B63" s="16" t="s">
        <v>44</v>
      </c>
      <c r="C63" s="16">
        <v>-0.79800000000000004</v>
      </c>
      <c r="D63" s="16">
        <v>96.602000000000004</v>
      </c>
      <c r="E63" s="16">
        <v>67.424000000000007</v>
      </c>
      <c r="F63" s="16">
        <v>0.61599999999999999</v>
      </c>
      <c r="G63" s="6">
        <v>1</v>
      </c>
      <c r="H63" s="16">
        <v>40</v>
      </c>
      <c r="I63" s="8" t="s">
        <v>64</v>
      </c>
      <c r="J63" s="16"/>
      <c r="K63" s="16">
        <v>73.599999999999994</v>
      </c>
      <c r="L63" s="16">
        <f t="shared" si="10"/>
        <v>-6.1759999999999877</v>
      </c>
      <c r="M63" s="16"/>
      <c r="N63" s="16"/>
      <c r="O63" s="16">
        <v>47.746800000000007</v>
      </c>
      <c r="P63" s="16"/>
      <c r="Q63" s="16"/>
      <c r="R63" s="16"/>
      <c r="S63" s="16"/>
      <c r="T63" s="16">
        <f t="shared" si="11"/>
        <v>13.484800000000002</v>
      </c>
      <c r="U63" s="4">
        <v>50</v>
      </c>
      <c r="V63" s="4">
        <f>U63</f>
        <v>50</v>
      </c>
      <c r="W63" s="4"/>
      <c r="X63" s="4"/>
      <c r="Y63" s="16"/>
      <c r="Z63" s="16"/>
      <c r="AA63" s="16">
        <f t="shared" si="12"/>
        <v>7.2943462268628378</v>
      </c>
      <c r="AB63" s="16">
        <f t="shared" si="13"/>
        <v>3.5864677266255338</v>
      </c>
      <c r="AC63" s="16">
        <v>5.4063999999999997</v>
      </c>
      <c r="AD63" s="16">
        <v>11.4124</v>
      </c>
      <c r="AE63" s="16">
        <v>15.1564</v>
      </c>
      <c r="AF63" s="16">
        <v>9.6504000000000012</v>
      </c>
      <c r="AG63" s="16">
        <v>0</v>
      </c>
      <c r="AH63" s="16">
        <v>13.583600000000001</v>
      </c>
      <c r="AI63" s="16">
        <v>14.9016</v>
      </c>
      <c r="AJ63" s="16">
        <v>6.7847999999999997</v>
      </c>
      <c r="AK63" s="16">
        <v>7.556</v>
      </c>
      <c r="AL63" s="16">
        <v>3.6623999999999999</v>
      </c>
      <c r="AM63" s="16"/>
      <c r="AN63" s="16">
        <f t="shared" si="14"/>
        <v>50</v>
      </c>
      <c r="AO63" t="s">
        <v>170</v>
      </c>
    </row>
    <row r="64" spans="1:41" x14ac:dyDescent="0.25">
      <c r="A64" s="16" t="s">
        <v>171</v>
      </c>
      <c r="B64" s="16" t="s">
        <v>44</v>
      </c>
      <c r="C64" s="16">
        <v>2.4620000000000002</v>
      </c>
      <c r="D64" s="16">
        <v>369.90800000000002</v>
      </c>
      <c r="E64" s="16">
        <v>67.777000000000001</v>
      </c>
      <c r="F64" s="16">
        <v>245.821</v>
      </c>
      <c r="G64" s="6">
        <v>1</v>
      </c>
      <c r="H64" s="16">
        <v>40</v>
      </c>
      <c r="I64" s="8" t="s">
        <v>64</v>
      </c>
      <c r="J64" s="16"/>
      <c r="K64" s="16">
        <v>89.25</v>
      </c>
      <c r="L64" s="16">
        <f t="shared" si="10"/>
        <v>-21.472999999999999</v>
      </c>
      <c r="M64" s="16"/>
      <c r="N64" s="16"/>
      <c r="O64" s="16">
        <v>0</v>
      </c>
      <c r="P64" s="16"/>
      <c r="Q64" s="16"/>
      <c r="R64" s="16"/>
      <c r="S64" s="16"/>
      <c r="T64" s="16">
        <f t="shared" si="11"/>
        <v>13.555400000000001</v>
      </c>
      <c r="U64" s="4"/>
      <c r="V64" s="4">
        <f>U64</f>
        <v>0</v>
      </c>
      <c r="W64" s="4"/>
      <c r="X64" s="4"/>
      <c r="Y64" s="16"/>
      <c r="Z64" s="16"/>
      <c r="AA64" s="16">
        <f t="shared" si="12"/>
        <v>18.134544166900277</v>
      </c>
      <c r="AB64" s="16">
        <f t="shared" si="13"/>
        <v>18.134544166900277</v>
      </c>
      <c r="AC64" s="16">
        <v>7.0035999999999996</v>
      </c>
      <c r="AD64" s="16">
        <v>20.619199999999999</v>
      </c>
      <c r="AE64" s="16">
        <v>34.844000000000001</v>
      </c>
      <c r="AF64" s="16">
        <v>21.790600000000001</v>
      </c>
      <c r="AG64" s="16">
        <v>3.8224</v>
      </c>
      <c r="AH64" s="16">
        <v>16.229199999999999</v>
      </c>
      <c r="AI64" s="16">
        <v>13.7578</v>
      </c>
      <c r="AJ64" s="16">
        <v>11.1006</v>
      </c>
      <c r="AK64" s="16">
        <v>15.066599999999999</v>
      </c>
      <c r="AL64" s="16">
        <v>7.2840000000000007</v>
      </c>
      <c r="AM64" s="16" t="s">
        <v>172</v>
      </c>
      <c r="AN64" s="16">
        <f t="shared" si="14"/>
        <v>0</v>
      </c>
      <c r="AO64" t="s">
        <v>173</v>
      </c>
    </row>
    <row r="65" spans="1:41" x14ac:dyDescent="0.25">
      <c r="A65" s="16" t="s">
        <v>174</v>
      </c>
      <c r="B65" s="16" t="s">
        <v>52</v>
      </c>
      <c r="C65" s="16">
        <v>323</v>
      </c>
      <c r="D65" s="16">
        <v>252</v>
      </c>
      <c r="E65" s="16">
        <v>252</v>
      </c>
      <c r="F65" s="16">
        <v>323</v>
      </c>
      <c r="G65" s="6">
        <v>0.4</v>
      </c>
      <c r="H65" s="16">
        <v>40</v>
      </c>
      <c r="I65" s="8" t="s">
        <v>64</v>
      </c>
      <c r="J65" s="16"/>
      <c r="K65" s="16">
        <v>491</v>
      </c>
      <c r="L65" s="16">
        <f t="shared" si="10"/>
        <v>-239</v>
      </c>
      <c r="M65" s="16"/>
      <c r="N65" s="16"/>
      <c r="O65" s="16">
        <v>0</v>
      </c>
      <c r="P65" s="16"/>
      <c r="Q65" s="16"/>
      <c r="R65" s="16"/>
      <c r="S65" s="16"/>
      <c r="T65" s="16">
        <f t="shared" si="11"/>
        <v>50.4</v>
      </c>
      <c r="U65" s="4">
        <f>10*T65-S65-R65-Q65-O65-F65</f>
        <v>181</v>
      </c>
      <c r="V65" s="4">
        <f>U65+$V$1*T65</f>
        <v>249.54399999999998</v>
      </c>
      <c r="W65" s="4"/>
      <c r="X65" s="4"/>
      <c r="Y65" s="16"/>
      <c r="Z65" s="16"/>
      <c r="AA65" s="16">
        <f t="shared" si="12"/>
        <v>11.36</v>
      </c>
      <c r="AB65" s="16">
        <f t="shared" si="13"/>
        <v>6.4087301587301591</v>
      </c>
      <c r="AC65" s="16">
        <v>4</v>
      </c>
      <c r="AD65" s="16">
        <v>2.4</v>
      </c>
      <c r="AE65" s="16">
        <v>49</v>
      </c>
      <c r="AF65" s="16">
        <v>58</v>
      </c>
      <c r="AG65" s="16">
        <v>10</v>
      </c>
      <c r="AH65" s="16">
        <v>24.8</v>
      </c>
      <c r="AI65" s="16">
        <v>56.2</v>
      </c>
      <c r="AJ65" s="16">
        <v>44.2</v>
      </c>
      <c r="AK65" s="16">
        <v>14.2</v>
      </c>
      <c r="AL65" s="16">
        <v>1.4</v>
      </c>
      <c r="AM65" s="16"/>
      <c r="AN65" s="16">
        <f t="shared" si="14"/>
        <v>100</v>
      </c>
      <c r="AO65" t="s">
        <v>175</v>
      </c>
    </row>
    <row r="66" spans="1:41" x14ac:dyDescent="0.25">
      <c r="A66" s="16" t="s">
        <v>176</v>
      </c>
      <c r="B66" s="16" t="s">
        <v>52</v>
      </c>
      <c r="C66" s="16">
        <v>8</v>
      </c>
      <c r="D66" s="16">
        <v>372</v>
      </c>
      <c r="E66" s="16">
        <v>207</v>
      </c>
      <c r="F66" s="16">
        <v>83</v>
      </c>
      <c r="G66" s="6">
        <v>0.4</v>
      </c>
      <c r="H66" s="16">
        <v>40</v>
      </c>
      <c r="I66" s="16" t="s">
        <v>45</v>
      </c>
      <c r="J66" s="16"/>
      <c r="K66" s="16">
        <v>261</v>
      </c>
      <c r="L66" s="16">
        <f t="shared" si="10"/>
        <v>-54</v>
      </c>
      <c r="M66" s="16"/>
      <c r="N66" s="16"/>
      <c r="O66" s="16">
        <v>300</v>
      </c>
      <c r="P66" s="16"/>
      <c r="Q66" s="16"/>
      <c r="R66" s="16"/>
      <c r="S66" s="16"/>
      <c r="T66" s="16">
        <f t="shared" si="11"/>
        <v>41.4</v>
      </c>
      <c r="U66" s="4">
        <v>200</v>
      </c>
      <c r="V66" s="4">
        <f t="shared" ref="V66:V87" si="16">U66</f>
        <v>200</v>
      </c>
      <c r="W66" s="4"/>
      <c r="X66" s="4"/>
      <c r="Y66" s="16"/>
      <c r="Z66" s="16"/>
      <c r="AA66" s="16">
        <f t="shared" si="12"/>
        <v>14.082125603864736</v>
      </c>
      <c r="AB66" s="16">
        <f t="shared" si="13"/>
        <v>9.2512077294686001</v>
      </c>
      <c r="AC66" s="16">
        <v>17.2</v>
      </c>
      <c r="AD66" s="16">
        <v>65.599999999999994</v>
      </c>
      <c r="AE66" s="16">
        <v>94.4</v>
      </c>
      <c r="AF66" s="16">
        <v>46.4</v>
      </c>
      <c r="AG66" s="16">
        <v>4</v>
      </c>
      <c r="AH66" s="16">
        <v>-0.2</v>
      </c>
      <c r="AI66" s="16">
        <v>-0.2</v>
      </c>
      <c r="AJ66" s="16">
        <v>-0.2</v>
      </c>
      <c r="AK66" s="16">
        <v>0</v>
      </c>
      <c r="AL66" s="16">
        <v>0</v>
      </c>
      <c r="AM66" s="16"/>
      <c r="AN66" s="16">
        <f t="shared" si="14"/>
        <v>80</v>
      </c>
      <c r="AO66" t="s">
        <v>177</v>
      </c>
    </row>
    <row r="67" spans="1:41" x14ac:dyDescent="0.25">
      <c r="A67" s="16" t="s">
        <v>178</v>
      </c>
      <c r="B67" s="16" t="s">
        <v>44</v>
      </c>
      <c r="C67" s="16">
        <v>-4.2160000000000002</v>
      </c>
      <c r="D67" s="16">
        <v>70.847999999999999</v>
      </c>
      <c r="E67" s="16">
        <v>15.427</v>
      </c>
      <c r="F67" s="16">
        <v>12.18</v>
      </c>
      <c r="G67" s="6">
        <v>1</v>
      </c>
      <c r="H67" s="16">
        <v>40</v>
      </c>
      <c r="I67" s="8" t="s">
        <v>64</v>
      </c>
      <c r="J67" s="16"/>
      <c r="K67" s="16">
        <v>19</v>
      </c>
      <c r="L67" s="16">
        <f t="shared" si="10"/>
        <v>-3.5730000000000004</v>
      </c>
      <c r="M67" s="16"/>
      <c r="N67" s="16"/>
      <c r="O67" s="16">
        <v>70</v>
      </c>
      <c r="P67" s="16">
        <v>-70</v>
      </c>
      <c r="Q67" s="16"/>
      <c r="R67" s="16"/>
      <c r="S67" s="16"/>
      <c r="T67" s="16">
        <f t="shared" si="11"/>
        <v>3.0853999999999999</v>
      </c>
      <c r="U67" s="4">
        <v>60</v>
      </c>
      <c r="V67" s="4">
        <f t="shared" si="16"/>
        <v>60</v>
      </c>
      <c r="W67" s="4"/>
      <c r="X67" s="4"/>
      <c r="Y67" s="16"/>
      <c r="Z67" s="16"/>
      <c r="AA67" s="16">
        <f t="shared" si="12"/>
        <v>46.081545342581194</v>
      </c>
      <c r="AB67" s="16">
        <f t="shared" si="13"/>
        <v>26.635120243728529</v>
      </c>
      <c r="AC67" s="16">
        <v>12.965400000000001</v>
      </c>
      <c r="AD67" s="16">
        <v>26.226199999999999</v>
      </c>
      <c r="AE67" s="16">
        <v>32.113799999999998</v>
      </c>
      <c r="AF67" s="16">
        <v>30.863199999999999</v>
      </c>
      <c r="AG67" s="16">
        <v>28.920999999999999</v>
      </c>
      <c r="AH67" s="16">
        <v>27.451000000000001</v>
      </c>
      <c r="AI67" s="16">
        <v>27.457799999999999</v>
      </c>
      <c r="AJ67" s="16">
        <v>33.810199999999988</v>
      </c>
      <c r="AK67" s="16">
        <v>30.891400000000001</v>
      </c>
      <c r="AL67" s="16">
        <v>39.8172</v>
      </c>
      <c r="AM67" s="16"/>
      <c r="AN67" s="16">
        <f t="shared" si="14"/>
        <v>60</v>
      </c>
      <c r="AO67" t="s">
        <v>179</v>
      </c>
    </row>
    <row r="68" spans="1:41" x14ac:dyDescent="0.25">
      <c r="A68" s="16" t="s">
        <v>180</v>
      </c>
      <c r="B68" s="16" t="s">
        <v>44</v>
      </c>
      <c r="C68" s="16">
        <v>-0.66700000000000004</v>
      </c>
      <c r="D68" s="16">
        <v>70.194999999999993</v>
      </c>
      <c r="E68" s="16">
        <v>16.207000000000001</v>
      </c>
      <c r="F68" s="16">
        <v>12.801</v>
      </c>
      <c r="G68" s="6">
        <v>1</v>
      </c>
      <c r="H68" s="16">
        <v>40</v>
      </c>
      <c r="I68" s="8" t="s">
        <v>64</v>
      </c>
      <c r="J68" s="16"/>
      <c r="K68" s="16">
        <v>18.8</v>
      </c>
      <c r="L68" s="16">
        <f t="shared" si="10"/>
        <v>-2.593</v>
      </c>
      <c r="M68" s="16"/>
      <c r="N68" s="16"/>
      <c r="O68" s="16">
        <v>70</v>
      </c>
      <c r="P68" s="16">
        <v>-70</v>
      </c>
      <c r="Q68" s="16"/>
      <c r="R68" s="16"/>
      <c r="S68" s="16"/>
      <c r="T68" s="16">
        <f t="shared" si="11"/>
        <v>3.2414000000000001</v>
      </c>
      <c r="U68" s="4">
        <v>50</v>
      </c>
      <c r="V68" s="4">
        <f t="shared" si="16"/>
        <v>50</v>
      </c>
      <c r="W68" s="4">
        <v>-54</v>
      </c>
      <c r="X68" s="4"/>
      <c r="Y68" s="16"/>
      <c r="Z68" s="16"/>
      <c r="AA68" s="16">
        <f t="shared" si="12"/>
        <v>40.970259764299371</v>
      </c>
      <c r="AB68" s="16">
        <f t="shared" si="13"/>
        <v>25.5448263096193</v>
      </c>
      <c r="AC68" s="16">
        <v>-0.35539999999999999</v>
      </c>
      <c r="AD68" s="16">
        <v>0.54620000000000002</v>
      </c>
      <c r="AE68" s="16">
        <v>13.5738</v>
      </c>
      <c r="AF68" s="16">
        <v>26.236799999999999</v>
      </c>
      <c r="AG68" s="16">
        <v>30.546399999999998</v>
      </c>
      <c r="AH68" s="16">
        <v>28.173400000000001</v>
      </c>
      <c r="AI68" s="16">
        <v>25.8324</v>
      </c>
      <c r="AJ68" s="16">
        <v>32.492199999999997</v>
      </c>
      <c r="AK68" s="16">
        <v>34.5336</v>
      </c>
      <c r="AL68" s="16">
        <v>33.2986</v>
      </c>
      <c r="AM68" s="16"/>
      <c r="AN68" s="16">
        <f t="shared" si="14"/>
        <v>50</v>
      </c>
      <c r="AO68" t="s">
        <v>181</v>
      </c>
    </row>
    <row r="69" spans="1:41" x14ac:dyDescent="0.25">
      <c r="A69" s="16" t="s">
        <v>182</v>
      </c>
      <c r="B69" s="16" t="s">
        <v>44</v>
      </c>
      <c r="C69" s="16">
        <v>3.847</v>
      </c>
      <c r="D69" s="16">
        <v>141.20099999999999</v>
      </c>
      <c r="E69" s="16">
        <v>67.840999999999994</v>
      </c>
      <c r="F69" s="16">
        <v>14.624000000000001</v>
      </c>
      <c r="G69" s="6">
        <v>1</v>
      </c>
      <c r="H69" s="16">
        <v>40</v>
      </c>
      <c r="I69" s="8" t="s">
        <v>64</v>
      </c>
      <c r="J69" s="16"/>
      <c r="K69" s="16">
        <v>157.6</v>
      </c>
      <c r="L69" s="16">
        <f t="shared" si="10"/>
        <v>-89.759</v>
      </c>
      <c r="M69" s="16"/>
      <c r="N69" s="16"/>
      <c r="O69" s="16">
        <v>180</v>
      </c>
      <c r="P69" s="16">
        <v>-184</v>
      </c>
      <c r="Q69" s="16"/>
      <c r="R69" s="16"/>
      <c r="S69" s="16"/>
      <c r="T69" s="16">
        <f t="shared" si="11"/>
        <v>13.568199999999999</v>
      </c>
      <c r="U69" s="4">
        <v>80</v>
      </c>
      <c r="V69" s="4">
        <f t="shared" si="16"/>
        <v>80</v>
      </c>
      <c r="W69" s="4">
        <v>-81</v>
      </c>
      <c r="X69" s="4"/>
      <c r="Y69" s="16"/>
      <c r="Z69" s="16"/>
      <c r="AA69" s="16">
        <f t="shared" si="12"/>
        <v>20.240267684733425</v>
      </c>
      <c r="AB69" s="16">
        <f t="shared" si="13"/>
        <v>14.344128182072788</v>
      </c>
      <c r="AC69" s="16">
        <v>13.93</v>
      </c>
      <c r="AD69" s="16">
        <v>51.272399999999998</v>
      </c>
      <c r="AE69" s="16">
        <v>69.817999999999998</v>
      </c>
      <c r="AF69" s="16">
        <v>64.147799999999989</v>
      </c>
      <c r="AG69" s="16">
        <v>64.944199999999995</v>
      </c>
      <c r="AH69" s="16">
        <v>60.923400000000001</v>
      </c>
      <c r="AI69" s="16">
        <v>43.718000000000004</v>
      </c>
      <c r="AJ69" s="16">
        <v>53.330599999999997</v>
      </c>
      <c r="AK69" s="16">
        <v>67.684799999999996</v>
      </c>
      <c r="AL69" s="16">
        <v>69.110199999999992</v>
      </c>
      <c r="AM69" s="16"/>
      <c r="AN69" s="16">
        <f t="shared" si="14"/>
        <v>80</v>
      </c>
      <c r="AO69" t="s">
        <v>183</v>
      </c>
    </row>
    <row r="70" spans="1:41" x14ac:dyDescent="0.25">
      <c r="A70" s="16" t="s">
        <v>184</v>
      </c>
      <c r="B70" s="16" t="s">
        <v>44</v>
      </c>
      <c r="C70" s="16">
        <v>7.3179999999999996</v>
      </c>
      <c r="D70" s="16">
        <v>70.774000000000001</v>
      </c>
      <c r="E70" s="16">
        <v>63.493000000000002</v>
      </c>
      <c r="F70" s="16">
        <v>5.5129999999999999</v>
      </c>
      <c r="G70" s="6">
        <v>1</v>
      </c>
      <c r="H70" s="16">
        <v>40</v>
      </c>
      <c r="I70" s="8" t="s">
        <v>64</v>
      </c>
      <c r="J70" s="16"/>
      <c r="K70" s="16">
        <v>101.4</v>
      </c>
      <c r="L70" s="16">
        <f t="shared" ref="L70:L101" si="17">E70-K70</f>
        <v>-37.907000000000004</v>
      </c>
      <c r="M70" s="16"/>
      <c r="N70" s="16"/>
      <c r="O70" s="16">
        <v>80</v>
      </c>
      <c r="P70" s="16">
        <v>-81</v>
      </c>
      <c r="Q70" s="16"/>
      <c r="R70" s="16"/>
      <c r="S70" s="16"/>
      <c r="T70" s="16">
        <f t="shared" ref="T70:T101" si="18">E70/5</f>
        <v>12.698600000000001</v>
      </c>
      <c r="U70" s="4">
        <v>60</v>
      </c>
      <c r="V70" s="4">
        <f t="shared" si="16"/>
        <v>60</v>
      </c>
      <c r="W70" s="4"/>
      <c r="X70" s="4"/>
      <c r="Y70" s="16"/>
      <c r="Z70" s="16"/>
      <c r="AA70" s="16">
        <f t="shared" ref="AA70:AA101" si="19">(F70+O70+Q70+R70+S70+V70)/T70</f>
        <v>11.458979730048981</v>
      </c>
      <c r="AB70" s="16">
        <f t="shared" ref="AB70:AB101" si="20">(F70+O70+Q70+R70+S70)/T70</f>
        <v>6.7340494227710144</v>
      </c>
      <c r="AC70" s="16">
        <v>15.569800000000001</v>
      </c>
      <c r="AD70" s="16">
        <v>33.192999999999998</v>
      </c>
      <c r="AE70" s="16">
        <v>31.08</v>
      </c>
      <c r="AF70" s="16">
        <v>25.4434</v>
      </c>
      <c r="AG70" s="16">
        <v>23.120999999999999</v>
      </c>
      <c r="AH70" s="16">
        <v>23.457599999999999</v>
      </c>
      <c r="AI70" s="16">
        <v>20.8584</v>
      </c>
      <c r="AJ70" s="16">
        <v>27.188800000000001</v>
      </c>
      <c r="AK70" s="16">
        <v>28.836200000000002</v>
      </c>
      <c r="AL70" s="16">
        <v>31.062999999999999</v>
      </c>
      <c r="AM70" s="16"/>
      <c r="AN70" s="16">
        <f t="shared" ref="AN70:AN101" si="21">ROUND(G70*V70,0)</f>
        <v>60</v>
      </c>
      <c r="AO70" t="s">
        <v>185</v>
      </c>
    </row>
    <row r="71" spans="1:41" x14ac:dyDescent="0.25">
      <c r="A71" s="16" t="s">
        <v>186</v>
      </c>
      <c r="B71" s="16" t="s">
        <v>52</v>
      </c>
      <c r="C71" s="16">
        <v>32</v>
      </c>
      <c r="D71" s="16"/>
      <c r="E71" s="16"/>
      <c r="F71" s="16">
        <v>14</v>
      </c>
      <c r="G71" s="6">
        <v>0.6</v>
      </c>
      <c r="H71" s="16">
        <v>70</v>
      </c>
      <c r="I71" s="16" t="s">
        <v>45</v>
      </c>
      <c r="J71" s="16"/>
      <c r="K71" s="16"/>
      <c r="L71" s="16">
        <f t="shared" si="17"/>
        <v>0</v>
      </c>
      <c r="M71" s="16"/>
      <c r="N71" s="16"/>
      <c r="O71" s="16">
        <v>0</v>
      </c>
      <c r="P71" s="16"/>
      <c r="Q71" s="16"/>
      <c r="R71" s="16"/>
      <c r="S71" s="16"/>
      <c r="T71" s="16">
        <f t="shared" si="18"/>
        <v>0</v>
      </c>
      <c r="U71" s="4"/>
      <c r="V71" s="4">
        <f t="shared" si="16"/>
        <v>0</v>
      </c>
      <c r="W71" s="4"/>
      <c r="X71" s="4"/>
      <c r="Y71" s="16"/>
      <c r="Z71" s="16"/>
      <c r="AA71" s="16" t="e">
        <f t="shared" si="19"/>
        <v>#DIV/0!</v>
      </c>
      <c r="AB71" s="16" t="e">
        <f t="shared" si="20"/>
        <v>#DIV/0!</v>
      </c>
      <c r="AC71" s="16">
        <v>0</v>
      </c>
      <c r="AD71" s="16">
        <v>2.2000000000000002</v>
      </c>
      <c r="AE71" s="16">
        <v>2.8</v>
      </c>
      <c r="AF71" s="16">
        <v>2.2000000000000002</v>
      </c>
      <c r="AG71" s="16">
        <v>1.6</v>
      </c>
      <c r="AH71" s="16">
        <v>1.6</v>
      </c>
      <c r="AI71" s="16">
        <v>1.6</v>
      </c>
      <c r="AJ71" s="16">
        <v>0.6</v>
      </c>
      <c r="AK71" s="16">
        <v>1</v>
      </c>
      <c r="AL71" s="16">
        <v>0.8</v>
      </c>
      <c r="AM71" s="14" t="s">
        <v>105</v>
      </c>
      <c r="AN71" s="16">
        <f t="shared" si="21"/>
        <v>0</v>
      </c>
      <c r="AO71" t="s">
        <v>187</v>
      </c>
    </row>
    <row r="72" spans="1:41" x14ac:dyDescent="0.25">
      <c r="A72" s="16" t="s">
        <v>188</v>
      </c>
      <c r="B72" s="16" t="s">
        <v>44</v>
      </c>
      <c r="C72" s="16">
        <v>66.745999999999995</v>
      </c>
      <c r="D72" s="16">
        <v>476.15899999999999</v>
      </c>
      <c r="E72" s="16">
        <v>127.206</v>
      </c>
      <c r="F72" s="16">
        <v>285.69200000000001</v>
      </c>
      <c r="G72" s="6">
        <v>1</v>
      </c>
      <c r="H72" s="16">
        <v>30</v>
      </c>
      <c r="I72" s="8" t="s">
        <v>64</v>
      </c>
      <c r="J72" s="16"/>
      <c r="K72" s="16">
        <v>278.5</v>
      </c>
      <c r="L72" s="16">
        <f t="shared" si="17"/>
        <v>-151.29399999999998</v>
      </c>
      <c r="M72" s="16"/>
      <c r="N72" s="16"/>
      <c r="O72" s="16">
        <v>320.2200522</v>
      </c>
      <c r="P72" s="16">
        <v>-173</v>
      </c>
      <c r="Q72" s="16"/>
      <c r="R72" s="16">
        <v>250</v>
      </c>
      <c r="S72" s="16">
        <v>-130</v>
      </c>
      <c r="T72" s="16">
        <f t="shared" si="18"/>
        <v>25.441200000000002</v>
      </c>
      <c r="U72" s="4"/>
      <c r="V72" s="4">
        <f t="shared" si="16"/>
        <v>0</v>
      </c>
      <c r="W72" s="4"/>
      <c r="X72" s="4"/>
      <c r="Y72" s="16"/>
      <c r="Z72" s="16"/>
      <c r="AA72" s="16">
        <f t="shared" si="19"/>
        <v>28.532932888385769</v>
      </c>
      <c r="AB72" s="16">
        <f t="shared" si="20"/>
        <v>28.532932888385769</v>
      </c>
      <c r="AC72" s="16">
        <v>47.512</v>
      </c>
      <c r="AD72" s="16">
        <v>93.200599999999994</v>
      </c>
      <c r="AE72" s="16">
        <v>88.773200000000003</v>
      </c>
      <c r="AF72" s="16">
        <v>43.605600000000003</v>
      </c>
      <c r="AG72" s="16">
        <v>12.5822</v>
      </c>
      <c r="AH72" s="16">
        <v>49.552399999999999</v>
      </c>
      <c r="AI72" s="16">
        <v>72.886200000000002</v>
      </c>
      <c r="AJ72" s="16">
        <v>41.464399999999998</v>
      </c>
      <c r="AK72" s="16">
        <v>16.122800000000002</v>
      </c>
      <c r="AL72" s="16">
        <v>65.612400000000008</v>
      </c>
      <c r="AM72" s="16" t="s">
        <v>58</v>
      </c>
      <c r="AN72" s="16">
        <f t="shared" si="21"/>
        <v>0</v>
      </c>
      <c r="AO72" t="s">
        <v>189</v>
      </c>
    </row>
    <row r="73" spans="1:41" x14ac:dyDescent="0.25">
      <c r="A73" s="9" t="s">
        <v>190</v>
      </c>
      <c r="B73" s="9" t="s">
        <v>52</v>
      </c>
      <c r="C73" s="9"/>
      <c r="D73" s="9"/>
      <c r="E73" s="9"/>
      <c r="F73" s="9"/>
      <c r="G73" s="10">
        <v>0</v>
      </c>
      <c r="H73" s="9"/>
      <c r="I73" s="9" t="s">
        <v>45</v>
      </c>
      <c r="J73" s="9"/>
      <c r="K73" s="9"/>
      <c r="L73" s="9">
        <f t="shared" si="17"/>
        <v>0</v>
      </c>
      <c r="M73" s="9"/>
      <c r="N73" s="9"/>
      <c r="O73" s="9">
        <v>0</v>
      </c>
      <c r="P73" s="9"/>
      <c r="Q73" s="9"/>
      <c r="R73" s="9"/>
      <c r="S73" s="9"/>
      <c r="T73" s="9">
        <f t="shared" si="18"/>
        <v>0</v>
      </c>
      <c r="U73" s="11"/>
      <c r="V73" s="4">
        <f t="shared" si="16"/>
        <v>0</v>
      </c>
      <c r="W73" s="4"/>
      <c r="X73" s="4"/>
      <c r="Y73" s="16"/>
      <c r="Z73" s="16"/>
      <c r="AA73" s="16" t="e">
        <f t="shared" si="19"/>
        <v>#DIV/0!</v>
      </c>
      <c r="AB73" s="9" t="e">
        <f t="shared" si="20"/>
        <v>#DIV/0!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 t="s">
        <v>61</v>
      </c>
      <c r="AN73" s="16">
        <f t="shared" si="21"/>
        <v>0</v>
      </c>
      <c r="AO73" t="s">
        <v>191</v>
      </c>
    </row>
    <row r="74" spans="1:41" x14ac:dyDescent="0.25">
      <c r="A74" s="16" t="s">
        <v>192</v>
      </c>
      <c r="B74" s="16" t="s">
        <v>52</v>
      </c>
      <c r="C74" s="16">
        <v>37</v>
      </c>
      <c r="D74" s="16">
        <v>224</v>
      </c>
      <c r="E74" s="16">
        <v>34</v>
      </c>
      <c r="F74" s="16">
        <v>227</v>
      </c>
      <c r="G74" s="6">
        <v>0.6</v>
      </c>
      <c r="H74" s="16">
        <v>60</v>
      </c>
      <c r="I74" s="16" t="s">
        <v>45</v>
      </c>
      <c r="J74" s="16"/>
      <c r="K74" s="16">
        <v>36</v>
      </c>
      <c r="L74" s="16">
        <f t="shared" si="17"/>
        <v>-2</v>
      </c>
      <c r="M74" s="16"/>
      <c r="N74" s="16"/>
      <c r="O74" s="16">
        <v>80</v>
      </c>
      <c r="P74" s="16"/>
      <c r="Q74" s="16"/>
      <c r="R74" s="16"/>
      <c r="S74" s="16"/>
      <c r="T74" s="16">
        <f t="shared" si="18"/>
        <v>6.8</v>
      </c>
      <c r="U74" s="4"/>
      <c r="V74" s="4">
        <f t="shared" si="16"/>
        <v>0</v>
      </c>
      <c r="W74" s="4"/>
      <c r="X74" s="4"/>
      <c r="Y74" s="16"/>
      <c r="Z74" s="16"/>
      <c r="AA74" s="16">
        <f t="shared" si="19"/>
        <v>45.147058823529413</v>
      </c>
      <c r="AB74" s="16">
        <f t="shared" si="20"/>
        <v>45.147058823529413</v>
      </c>
      <c r="AC74" s="16">
        <v>12.6</v>
      </c>
      <c r="AD74" s="16">
        <v>8.1999999999999993</v>
      </c>
      <c r="AE74" s="16">
        <v>22.4</v>
      </c>
      <c r="AF74" s="16">
        <v>22.4</v>
      </c>
      <c r="AG74" s="16">
        <v>1.8</v>
      </c>
      <c r="AH74" s="16">
        <v>12</v>
      </c>
      <c r="AI74" s="16">
        <v>16.8</v>
      </c>
      <c r="AJ74" s="16">
        <v>10</v>
      </c>
      <c r="AK74" s="16">
        <v>13.4</v>
      </c>
      <c r="AL74" s="16">
        <v>8.1999999999999993</v>
      </c>
      <c r="AM74" s="13" t="s">
        <v>85</v>
      </c>
      <c r="AN74" s="16">
        <f t="shared" si="21"/>
        <v>0</v>
      </c>
      <c r="AO74" t="s">
        <v>193</v>
      </c>
    </row>
    <row r="75" spans="1:41" x14ac:dyDescent="0.25">
      <c r="A75" s="16" t="s">
        <v>194</v>
      </c>
      <c r="B75" s="16" t="s">
        <v>52</v>
      </c>
      <c r="C75" s="16">
        <v>5</v>
      </c>
      <c r="D75" s="16">
        <v>184</v>
      </c>
      <c r="E75" s="16">
        <v>52</v>
      </c>
      <c r="F75" s="16">
        <v>124</v>
      </c>
      <c r="G75" s="6">
        <v>0.4</v>
      </c>
      <c r="H75" s="16">
        <v>90</v>
      </c>
      <c r="I75" s="16" t="s">
        <v>45</v>
      </c>
      <c r="J75" s="16"/>
      <c r="K75" s="16">
        <v>70</v>
      </c>
      <c r="L75" s="16">
        <f t="shared" si="17"/>
        <v>-18</v>
      </c>
      <c r="M75" s="16"/>
      <c r="N75" s="16"/>
      <c r="O75" s="16">
        <v>70.5</v>
      </c>
      <c r="P75" s="16"/>
      <c r="Q75" s="16"/>
      <c r="R75" s="16">
        <v>79.5</v>
      </c>
      <c r="S75" s="16"/>
      <c r="T75" s="16">
        <f t="shared" si="18"/>
        <v>10.4</v>
      </c>
      <c r="U75" s="4"/>
      <c r="V75" s="4">
        <f t="shared" si="16"/>
        <v>0</v>
      </c>
      <c r="W75" s="4"/>
      <c r="X75" s="4"/>
      <c r="Y75" s="16"/>
      <c r="Z75" s="16"/>
      <c r="AA75" s="16">
        <f t="shared" si="19"/>
        <v>26.346153846153847</v>
      </c>
      <c r="AB75" s="16">
        <f t="shared" si="20"/>
        <v>26.346153846153847</v>
      </c>
      <c r="AC75" s="16">
        <v>8.1999999999999993</v>
      </c>
      <c r="AD75" s="16">
        <v>16</v>
      </c>
      <c r="AE75" s="16">
        <v>19</v>
      </c>
      <c r="AF75" s="16">
        <v>17.600000000000001</v>
      </c>
      <c r="AG75" s="16">
        <v>16.600000000000001</v>
      </c>
      <c r="AH75" s="16">
        <v>13.6</v>
      </c>
      <c r="AI75" s="16">
        <v>5.4</v>
      </c>
      <c r="AJ75" s="16">
        <v>5.6</v>
      </c>
      <c r="AK75" s="16">
        <v>9.8000000000000007</v>
      </c>
      <c r="AL75" s="16">
        <v>16.600000000000001</v>
      </c>
      <c r="AM75" s="13" t="s">
        <v>85</v>
      </c>
      <c r="AN75" s="16">
        <f t="shared" si="21"/>
        <v>0</v>
      </c>
      <c r="AO75" t="s">
        <v>195</v>
      </c>
    </row>
    <row r="76" spans="1:41" x14ac:dyDescent="0.25">
      <c r="A76" s="16" t="s">
        <v>196</v>
      </c>
      <c r="B76" s="16" t="s">
        <v>52</v>
      </c>
      <c r="C76" s="16">
        <v>6</v>
      </c>
      <c r="D76" s="16">
        <v>382</v>
      </c>
      <c r="E76" s="16">
        <v>107</v>
      </c>
      <c r="F76" s="16">
        <v>256</v>
      </c>
      <c r="G76" s="6">
        <v>0.33</v>
      </c>
      <c r="H76" s="16">
        <v>60</v>
      </c>
      <c r="I76" s="8" t="s">
        <v>64</v>
      </c>
      <c r="J76" s="16"/>
      <c r="K76" s="16">
        <v>152</v>
      </c>
      <c r="L76" s="16">
        <f t="shared" si="17"/>
        <v>-45</v>
      </c>
      <c r="M76" s="16"/>
      <c r="N76" s="16"/>
      <c r="O76" s="16">
        <v>56.4</v>
      </c>
      <c r="P76" s="16"/>
      <c r="Q76" s="16"/>
      <c r="R76" s="16">
        <v>63.6</v>
      </c>
      <c r="S76" s="16"/>
      <c r="T76" s="16">
        <f t="shared" si="18"/>
        <v>21.4</v>
      </c>
      <c r="U76" s="4"/>
      <c r="V76" s="4">
        <f t="shared" si="16"/>
        <v>0</v>
      </c>
      <c r="W76" s="4"/>
      <c r="X76" s="4"/>
      <c r="Y76" s="16"/>
      <c r="Z76" s="16"/>
      <c r="AA76" s="16">
        <f t="shared" si="19"/>
        <v>17.570093457943926</v>
      </c>
      <c r="AB76" s="16">
        <f t="shared" si="20"/>
        <v>17.570093457943926</v>
      </c>
      <c r="AC76" s="16">
        <v>11.8</v>
      </c>
      <c r="AD76" s="16">
        <v>27.4</v>
      </c>
      <c r="AE76" s="16">
        <v>37.6</v>
      </c>
      <c r="AF76" s="16">
        <v>36</v>
      </c>
      <c r="AG76" s="16">
        <v>29.6</v>
      </c>
      <c r="AH76" s="16">
        <v>26.2</v>
      </c>
      <c r="AI76" s="16">
        <v>20.399999999999999</v>
      </c>
      <c r="AJ76" s="16">
        <v>23.4</v>
      </c>
      <c r="AK76" s="16">
        <v>26.6</v>
      </c>
      <c r="AL76" s="16">
        <v>29</v>
      </c>
      <c r="AM76" s="16"/>
      <c r="AN76" s="16">
        <f t="shared" si="21"/>
        <v>0</v>
      </c>
      <c r="AO76" t="s">
        <v>197</v>
      </c>
    </row>
    <row r="77" spans="1:41" x14ac:dyDescent="0.25">
      <c r="A77" s="16" t="s">
        <v>198</v>
      </c>
      <c r="B77" s="16" t="s">
        <v>52</v>
      </c>
      <c r="C77" s="16">
        <v>3</v>
      </c>
      <c r="D77" s="16">
        <v>120</v>
      </c>
      <c r="E77" s="16">
        <v>59</v>
      </c>
      <c r="F77" s="16">
        <v>40</v>
      </c>
      <c r="G77" s="6">
        <v>0.35</v>
      </c>
      <c r="H77" s="16">
        <v>90</v>
      </c>
      <c r="I77" s="16" t="s">
        <v>45</v>
      </c>
      <c r="J77" s="16"/>
      <c r="K77" s="16">
        <v>77</v>
      </c>
      <c r="L77" s="16">
        <f t="shared" si="17"/>
        <v>-18</v>
      </c>
      <c r="M77" s="16"/>
      <c r="N77" s="16"/>
      <c r="O77" s="16">
        <v>70.5</v>
      </c>
      <c r="P77" s="16"/>
      <c r="Q77" s="16"/>
      <c r="R77" s="16">
        <v>79.5</v>
      </c>
      <c r="S77" s="16"/>
      <c r="T77" s="16">
        <f t="shared" si="18"/>
        <v>11.8</v>
      </c>
      <c r="U77" s="4"/>
      <c r="V77" s="4">
        <f t="shared" si="16"/>
        <v>0</v>
      </c>
      <c r="W77" s="4"/>
      <c r="X77" s="4"/>
      <c r="Y77" s="16"/>
      <c r="Z77" s="16"/>
      <c r="AA77" s="16">
        <f t="shared" si="19"/>
        <v>16.101694915254235</v>
      </c>
      <c r="AB77" s="16">
        <f t="shared" si="20"/>
        <v>16.101694915254235</v>
      </c>
      <c r="AC77" s="16">
        <v>10.4</v>
      </c>
      <c r="AD77" s="16">
        <v>13.6</v>
      </c>
      <c r="AE77" s="16">
        <v>7.8</v>
      </c>
      <c r="AF77" s="16">
        <v>18.399999999999999</v>
      </c>
      <c r="AG77" s="16">
        <v>25</v>
      </c>
      <c r="AH77" s="16">
        <v>13</v>
      </c>
      <c r="AI77" s="16">
        <v>5.4</v>
      </c>
      <c r="AJ77" s="16">
        <v>7.2</v>
      </c>
      <c r="AK77" s="16">
        <v>11</v>
      </c>
      <c r="AL77" s="16">
        <v>15</v>
      </c>
      <c r="AM77" s="16"/>
      <c r="AN77" s="16">
        <f t="shared" si="21"/>
        <v>0</v>
      </c>
      <c r="AO77" t="s">
        <v>199</v>
      </c>
    </row>
    <row r="78" spans="1:41" x14ac:dyDescent="0.25">
      <c r="A78" s="16" t="s">
        <v>200</v>
      </c>
      <c r="B78" s="16" t="s">
        <v>52</v>
      </c>
      <c r="C78" s="16">
        <v>4</v>
      </c>
      <c r="D78" s="16">
        <v>480</v>
      </c>
      <c r="E78" s="16">
        <v>5</v>
      </c>
      <c r="F78" s="16">
        <v>473</v>
      </c>
      <c r="G78" s="6">
        <v>0.37</v>
      </c>
      <c r="H78" s="16">
        <v>50</v>
      </c>
      <c r="I78" s="16" t="s">
        <v>45</v>
      </c>
      <c r="J78" s="16"/>
      <c r="K78" s="16">
        <v>6</v>
      </c>
      <c r="L78" s="16">
        <f t="shared" si="17"/>
        <v>-1</v>
      </c>
      <c r="M78" s="16"/>
      <c r="N78" s="16"/>
      <c r="O78" s="16">
        <v>94</v>
      </c>
      <c r="P78" s="16"/>
      <c r="Q78" s="16"/>
      <c r="R78" s="16">
        <v>106</v>
      </c>
      <c r="S78" s="16"/>
      <c r="T78" s="16">
        <f t="shared" si="18"/>
        <v>1</v>
      </c>
      <c r="U78" s="4"/>
      <c r="V78" s="4">
        <f t="shared" si="16"/>
        <v>0</v>
      </c>
      <c r="W78" s="4"/>
      <c r="X78" s="4"/>
      <c r="Y78" s="16"/>
      <c r="Z78" s="16"/>
      <c r="AA78" s="16">
        <f t="shared" si="19"/>
        <v>673</v>
      </c>
      <c r="AB78" s="16">
        <f t="shared" si="20"/>
        <v>673</v>
      </c>
      <c r="AC78" s="16">
        <v>8.1999999999999993</v>
      </c>
      <c r="AD78" s="16">
        <v>13.4</v>
      </c>
      <c r="AE78" s="16">
        <v>43.8</v>
      </c>
      <c r="AF78" s="16">
        <v>44.4</v>
      </c>
      <c r="AG78" s="16">
        <v>11.8</v>
      </c>
      <c r="AH78" s="16">
        <v>23.6</v>
      </c>
      <c r="AI78" s="16">
        <v>22.4</v>
      </c>
      <c r="AJ78" s="16">
        <v>18.399999999999999</v>
      </c>
      <c r="AK78" s="16">
        <v>26</v>
      </c>
      <c r="AL78" s="16">
        <v>33.4</v>
      </c>
      <c r="AM78" s="16"/>
      <c r="AN78" s="16">
        <f t="shared" si="21"/>
        <v>0</v>
      </c>
      <c r="AO78" t="s">
        <v>201</v>
      </c>
    </row>
    <row r="79" spans="1:41" x14ac:dyDescent="0.25">
      <c r="A79" s="9" t="s">
        <v>202</v>
      </c>
      <c r="B79" s="9" t="s">
        <v>52</v>
      </c>
      <c r="C79" s="9"/>
      <c r="D79" s="9"/>
      <c r="E79" s="9"/>
      <c r="F79" s="9"/>
      <c r="G79" s="10">
        <v>0</v>
      </c>
      <c r="H79" s="9"/>
      <c r="I79" s="9" t="s">
        <v>45</v>
      </c>
      <c r="J79" s="9"/>
      <c r="K79" s="9"/>
      <c r="L79" s="9">
        <f t="shared" si="17"/>
        <v>0</v>
      </c>
      <c r="M79" s="9"/>
      <c r="N79" s="9"/>
      <c r="O79" s="9">
        <v>0</v>
      </c>
      <c r="P79" s="9"/>
      <c r="Q79" s="9"/>
      <c r="R79" s="9"/>
      <c r="S79" s="9"/>
      <c r="T79" s="9">
        <f t="shared" si="18"/>
        <v>0</v>
      </c>
      <c r="U79" s="11"/>
      <c r="V79" s="4">
        <f t="shared" si="16"/>
        <v>0</v>
      </c>
      <c r="W79" s="4"/>
      <c r="X79" s="4"/>
      <c r="Y79" s="16"/>
      <c r="Z79" s="16"/>
      <c r="AA79" s="16" t="e">
        <f t="shared" si="19"/>
        <v>#DIV/0!</v>
      </c>
      <c r="AB79" s="9" t="e">
        <f t="shared" si="20"/>
        <v>#DIV/0!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 t="s">
        <v>61</v>
      </c>
      <c r="AN79" s="16">
        <f t="shared" si="21"/>
        <v>0</v>
      </c>
      <c r="AO79" t="s">
        <v>203</v>
      </c>
    </row>
    <row r="80" spans="1:41" x14ac:dyDescent="0.25">
      <c r="A80" s="16" t="s">
        <v>204</v>
      </c>
      <c r="B80" s="16" t="s">
        <v>52</v>
      </c>
      <c r="C80" s="16">
        <v>1</v>
      </c>
      <c r="D80" s="16">
        <v>186</v>
      </c>
      <c r="E80" s="16">
        <v>38</v>
      </c>
      <c r="F80" s="16">
        <v>118</v>
      </c>
      <c r="G80" s="6">
        <v>0.33</v>
      </c>
      <c r="H80" s="16">
        <v>40</v>
      </c>
      <c r="I80" s="16" t="s">
        <v>45</v>
      </c>
      <c r="J80" s="16"/>
      <c r="K80" s="16">
        <v>58</v>
      </c>
      <c r="L80" s="16">
        <f t="shared" si="17"/>
        <v>-20</v>
      </c>
      <c r="M80" s="16"/>
      <c r="N80" s="16"/>
      <c r="O80" s="16">
        <v>0</v>
      </c>
      <c r="P80" s="16"/>
      <c r="Q80" s="16"/>
      <c r="R80" s="16"/>
      <c r="S80" s="16"/>
      <c r="T80" s="16">
        <f t="shared" si="18"/>
        <v>7.6</v>
      </c>
      <c r="U80" s="4"/>
      <c r="V80" s="4">
        <f t="shared" si="16"/>
        <v>0</v>
      </c>
      <c r="W80" s="4"/>
      <c r="X80" s="4"/>
      <c r="Y80" s="16"/>
      <c r="Z80" s="16"/>
      <c r="AA80" s="16">
        <f t="shared" si="19"/>
        <v>15.526315789473685</v>
      </c>
      <c r="AB80" s="16">
        <f t="shared" si="20"/>
        <v>15.526315789473685</v>
      </c>
      <c r="AC80" s="16">
        <v>4.5999999999999996</v>
      </c>
      <c r="AD80" s="16">
        <v>8.8000000000000007</v>
      </c>
      <c r="AE80" s="16">
        <v>16.600000000000001</v>
      </c>
      <c r="AF80" s="16">
        <v>15.4</v>
      </c>
      <c r="AG80" s="16">
        <v>6.4</v>
      </c>
      <c r="AH80" s="16">
        <v>8.6</v>
      </c>
      <c r="AI80" s="16">
        <v>8.4</v>
      </c>
      <c r="AJ80" s="16">
        <v>6</v>
      </c>
      <c r="AK80" s="16">
        <v>5.6</v>
      </c>
      <c r="AL80" s="16">
        <v>8.1999999999999993</v>
      </c>
      <c r="AM80" s="16"/>
      <c r="AN80" s="16">
        <f t="shared" si="21"/>
        <v>0</v>
      </c>
      <c r="AO80" t="s">
        <v>205</v>
      </c>
    </row>
    <row r="81" spans="1:41" x14ac:dyDescent="0.25">
      <c r="A81" s="16" t="s">
        <v>206</v>
      </c>
      <c r="B81" s="16" t="s">
        <v>52</v>
      </c>
      <c r="C81" s="16">
        <v>228</v>
      </c>
      <c r="D81" s="16"/>
      <c r="E81" s="16">
        <v>93</v>
      </c>
      <c r="F81" s="16">
        <v>132</v>
      </c>
      <c r="G81" s="6">
        <v>0.4</v>
      </c>
      <c r="H81" s="16">
        <v>55</v>
      </c>
      <c r="I81" s="16" t="s">
        <v>45</v>
      </c>
      <c r="J81" s="16"/>
      <c r="K81" s="16">
        <v>92</v>
      </c>
      <c r="L81" s="16">
        <f t="shared" si="17"/>
        <v>1</v>
      </c>
      <c r="M81" s="16"/>
      <c r="N81" s="16"/>
      <c r="O81" s="16">
        <v>60</v>
      </c>
      <c r="P81" s="16"/>
      <c r="Q81" s="16"/>
      <c r="R81" s="16"/>
      <c r="S81" s="16"/>
      <c r="T81" s="16">
        <f t="shared" si="18"/>
        <v>18.600000000000001</v>
      </c>
      <c r="U81" s="4">
        <f>11*T81-S81-R81-Q81-O81-F81</f>
        <v>12.600000000000023</v>
      </c>
      <c r="V81" s="4">
        <f t="shared" si="16"/>
        <v>12.600000000000023</v>
      </c>
      <c r="W81" s="4"/>
      <c r="X81" s="4"/>
      <c r="Y81" s="16"/>
      <c r="Z81" s="16"/>
      <c r="AA81" s="16">
        <f t="shared" si="19"/>
        <v>11</v>
      </c>
      <c r="AB81" s="16">
        <f t="shared" si="20"/>
        <v>10.32258064516129</v>
      </c>
      <c r="AC81" s="16">
        <v>21.2</v>
      </c>
      <c r="AD81" s="16">
        <v>8.8000000000000007</v>
      </c>
      <c r="AE81" s="16">
        <v>14.8</v>
      </c>
      <c r="AF81" s="16">
        <v>11</v>
      </c>
      <c r="AG81" s="16">
        <v>4.4000000000000004</v>
      </c>
      <c r="AH81" s="16">
        <v>12.2</v>
      </c>
      <c r="AI81" s="16">
        <v>13.8</v>
      </c>
      <c r="AJ81" s="16">
        <v>9</v>
      </c>
      <c r="AK81" s="16">
        <v>12.6</v>
      </c>
      <c r="AL81" s="16">
        <v>8.6</v>
      </c>
      <c r="AM81" s="16"/>
      <c r="AN81" s="16">
        <f t="shared" si="21"/>
        <v>5</v>
      </c>
      <c r="AO81" t="s">
        <v>207</v>
      </c>
    </row>
    <row r="82" spans="1:41" x14ac:dyDescent="0.25">
      <c r="A82" s="16" t="s">
        <v>208</v>
      </c>
      <c r="B82" s="16" t="s">
        <v>52</v>
      </c>
      <c r="C82" s="16">
        <v>5</v>
      </c>
      <c r="D82" s="16"/>
      <c r="E82" s="16"/>
      <c r="F82" s="16">
        <v>5</v>
      </c>
      <c r="G82" s="6">
        <v>0.35</v>
      </c>
      <c r="H82" s="16">
        <v>40</v>
      </c>
      <c r="I82" s="8" t="s">
        <v>64</v>
      </c>
      <c r="J82" s="16"/>
      <c r="K82" s="16">
        <v>4</v>
      </c>
      <c r="L82" s="16">
        <f t="shared" si="17"/>
        <v>-4</v>
      </c>
      <c r="M82" s="16"/>
      <c r="N82" s="16"/>
      <c r="O82" s="16">
        <v>20</v>
      </c>
      <c r="P82" s="16">
        <v>-22.857142857142858</v>
      </c>
      <c r="Q82" s="16"/>
      <c r="R82" s="16"/>
      <c r="S82" s="16"/>
      <c r="T82" s="16">
        <f t="shared" si="18"/>
        <v>0</v>
      </c>
      <c r="U82" s="4">
        <v>10</v>
      </c>
      <c r="V82" s="4">
        <f t="shared" si="16"/>
        <v>10</v>
      </c>
      <c r="W82" s="4">
        <v>-12.000000000000002</v>
      </c>
      <c r="X82" s="4"/>
      <c r="Y82" s="16"/>
      <c r="Z82" s="16"/>
      <c r="AA82" s="16" t="e">
        <f t="shared" si="19"/>
        <v>#DIV/0!</v>
      </c>
      <c r="AB82" s="16" t="e">
        <f t="shared" si="20"/>
        <v>#DIV/0!</v>
      </c>
      <c r="AC82" s="16">
        <v>0</v>
      </c>
      <c r="AD82" s="16">
        <v>0</v>
      </c>
      <c r="AE82" s="16">
        <v>2</v>
      </c>
      <c r="AF82" s="16">
        <v>2</v>
      </c>
      <c r="AG82" s="16">
        <v>0</v>
      </c>
      <c r="AH82" s="16">
        <v>0</v>
      </c>
      <c r="AI82" s="16">
        <v>2.4</v>
      </c>
      <c r="AJ82" s="16">
        <v>6.2</v>
      </c>
      <c r="AK82" s="16">
        <v>7</v>
      </c>
      <c r="AL82" s="16">
        <v>8</v>
      </c>
      <c r="AM82" s="16"/>
      <c r="AN82" s="16">
        <f t="shared" si="21"/>
        <v>4</v>
      </c>
      <c r="AO82" t="s">
        <v>209</v>
      </c>
    </row>
    <row r="83" spans="1:41" x14ac:dyDescent="0.25">
      <c r="A83" s="16" t="s">
        <v>210</v>
      </c>
      <c r="B83" s="16" t="s">
        <v>52</v>
      </c>
      <c r="C83" s="16">
        <v>5</v>
      </c>
      <c r="D83" s="16">
        <v>42</v>
      </c>
      <c r="E83" s="16">
        <v>18</v>
      </c>
      <c r="F83" s="16">
        <v>29</v>
      </c>
      <c r="G83" s="6">
        <v>0.35</v>
      </c>
      <c r="H83" s="16">
        <v>45</v>
      </c>
      <c r="I83" s="8" t="s">
        <v>64</v>
      </c>
      <c r="J83" s="16"/>
      <c r="K83" s="16">
        <v>18</v>
      </c>
      <c r="L83" s="16">
        <f t="shared" si="17"/>
        <v>0</v>
      </c>
      <c r="M83" s="16"/>
      <c r="N83" s="16"/>
      <c r="O83" s="16">
        <v>30</v>
      </c>
      <c r="P83" s="16">
        <v>-37.142857142857146</v>
      </c>
      <c r="Q83" s="16"/>
      <c r="R83" s="16"/>
      <c r="S83" s="16"/>
      <c r="T83" s="16">
        <f t="shared" si="18"/>
        <v>3.6</v>
      </c>
      <c r="U83" s="4">
        <v>20</v>
      </c>
      <c r="V83" s="4">
        <f t="shared" si="16"/>
        <v>20</v>
      </c>
      <c r="W83" s="4"/>
      <c r="X83" s="4"/>
      <c r="Y83" s="16"/>
      <c r="Z83" s="16"/>
      <c r="AA83" s="16">
        <f t="shared" si="19"/>
        <v>21.944444444444443</v>
      </c>
      <c r="AB83" s="16">
        <f t="shared" si="20"/>
        <v>16.388888888888889</v>
      </c>
      <c r="AC83" s="16">
        <v>2</v>
      </c>
      <c r="AD83" s="16">
        <v>8</v>
      </c>
      <c r="AE83" s="16">
        <v>9.4</v>
      </c>
      <c r="AF83" s="16">
        <v>3.4</v>
      </c>
      <c r="AG83" s="16">
        <v>0</v>
      </c>
      <c r="AH83" s="16">
        <v>0</v>
      </c>
      <c r="AI83" s="16">
        <v>1.4</v>
      </c>
      <c r="AJ83" s="16">
        <v>5.4</v>
      </c>
      <c r="AK83" s="16">
        <v>8.1999999999999993</v>
      </c>
      <c r="AL83" s="16">
        <v>9</v>
      </c>
      <c r="AM83" s="16"/>
      <c r="AN83" s="16">
        <f t="shared" si="21"/>
        <v>7</v>
      </c>
      <c r="AO83" t="s">
        <v>211</v>
      </c>
    </row>
    <row r="84" spans="1:41" x14ac:dyDescent="0.25">
      <c r="A84" s="9" t="s">
        <v>212</v>
      </c>
      <c r="B84" s="9" t="s">
        <v>52</v>
      </c>
      <c r="C84" s="9"/>
      <c r="D84" s="9"/>
      <c r="E84" s="9"/>
      <c r="F84" s="9"/>
      <c r="G84" s="10">
        <v>0</v>
      </c>
      <c r="H84" s="9"/>
      <c r="I84" s="9" t="s">
        <v>45</v>
      </c>
      <c r="J84" s="9"/>
      <c r="K84" s="9"/>
      <c r="L84" s="9">
        <f t="shared" si="17"/>
        <v>0</v>
      </c>
      <c r="M84" s="9"/>
      <c r="N84" s="9"/>
      <c r="O84" s="9">
        <v>0</v>
      </c>
      <c r="P84" s="9"/>
      <c r="Q84" s="9"/>
      <c r="R84" s="9"/>
      <c r="S84" s="9"/>
      <c r="T84" s="9">
        <f t="shared" si="18"/>
        <v>0</v>
      </c>
      <c r="U84" s="11"/>
      <c r="V84" s="4">
        <f t="shared" si="16"/>
        <v>0</v>
      </c>
      <c r="W84" s="4"/>
      <c r="X84" s="4"/>
      <c r="Y84" s="16"/>
      <c r="Z84" s="16"/>
      <c r="AA84" s="16" t="e">
        <f t="shared" si="19"/>
        <v>#DIV/0!</v>
      </c>
      <c r="AB84" s="9" t="e">
        <f t="shared" si="20"/>
        <v>#DIV/0!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 t="s">
        <v>61</v>
      </c>
      <c r="AN84" s="16">
        <f t="shared" si="21"/>
        <v>0</v>
      </c>
      <c r="AO84" t="s">
        <v>213</v>
      </c>
    </row>
    <row r="85" spans="1:41" x14ac:dyDescent="0.25">
      <c r="A85" s="9" t="s">
        <v>214</v>
      </c>
      <c r="B85" s="9" t="s">
        <v>44</v>
      </c>
      <c r="C85" s="9"/>
      <c r="D85" s="9"/>
      <c r="E85" s="9"/>
      <c r="F85" s="9"/>
      <c r="G85" s="10">
        <v>0</v>
      </c>
      <c r="H85" s="9"/>
      <c r="I85" s="9" t="s">
        <v>45</v>
      </c>
      <c r="J85" s="9"/>
      <c r="K85" s="9"/>
      <c r="L85" s="9">
        <f t="shared" si="17"/>
        <v>0</v>
      </c>
      <c r="M85" s="9"/>
      <c r="N85" s="9"/>
      <c r="O85" s="9">
        <v>0</v>
      </c>
      <c r="P85" s="9"/>
      <c r="Q85" s="9"/>
      <c r="R85" s="9"/>
      <c r="S85" s="9"/>
      <c r="T85" s="9">
        <f t="shared" si="18"/>
        <v>0</v>
      </c>
      <c r="U85" s="11"/>
      <c r="V85" s="4">
        <f t="shared" si="16"/>
        <v>0</v>
      </c>
      <c r="W85" s="4"/>
      <c r="X85" s="4"/>
      <c r="Y85" s="16"/>
      <c r="Z85" s="16"/>
      <c r="AA85" s="16" t="e">
        <f t="shared" si="19"/>
        <v>#DIV/0!</v>
      </c>
      <c r="AB85" s="9" t="e">
        <f t="shared" si="20"/>
        <v>#DIV/0!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 t="s">
        <v>61</v>
      </c>
      <c r="AN85" s="16">
        <f t="shared" si="21"/>
        <v>0</v>
      </c>
      <c r="AO85" t="s">
        <v>215</v>
      </c>
    </row>
    <row r="86" spans="1:41" x14ac:dyDescent="0.25">
      <c r="A86" s="9" t="s">
        <v>216</v>
      </c>
      <c r="B86" s="9" t="s">
        <v>52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90</v>
      </c>
      <c r="J86" s="9"/>
      <c r="K86" s="9"/>
      <c r="L86" s="9">
        <f t="shared" si="17"/>
        <v>0</v>
      </c>
      <c r="M86" s="9"/>
      <c r="N86" s="9"/>
      <c r="O86" s="9">
        <v>0</v>
      </c>
      <c r="P86" s="9"/>
      <c r="Q86" s="9"/>
      <c r="R86" s="9"/>
      <c r="S86" s="9"/>
      <c r="T86" s="9">
        <f t="shared" si="18"/>
        <v>0</v>
      </c>
      <c r="U86" s="11"/>
      <c r="V86" s="4">
        <f t="shared" si="16"/>
        <v>0</v>
      </c>
      <c r="W86" s="4"/>
      <c r="X86" s="4"/>
      <c r="Y86" s="16"/>
      <c r="Z86" s="16"/>
      <c r="AA86" s="16" t="e">
        <f t="shared" si="19"/>
        <v>#DIV/0!</v>
      </c>
      <c r="AB86" s="9" t="e">
        <f t="shared" si="20"/>
        <v>#DIV/0!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2</v>
      </c>
      <c r="AJ86" s="9">
        <v>2</v>
      </c>
      <c r="AK86" s="9">
        <v>0</v>
      </c>
      <c r="AL86" s="9">
        <v>8.6</v>
      </c>
      <c r="AM86" s="9"/>
      <c r="AN86" s="16">
        <f t="shared" si="21"/>
        <v>0</v>
      </c>
      <c r="AO86" t="s">
        <v>217</v>
      </c>
    </row>
    <row r="87" spans="1:41" x14ac:dyDescent="0.25">
      <c r="A87" s="16" t="s">
        <v>218</v>
      </c>
      <c r="B87" s="16" t="s">
        <v>44</v>
      </c>
      <c r="C87" s="16">
        <v>12.851000000000001</v>
      </c>
      <c r="D87" s="16">
        <v>34.451000000000001</v>
      </c>
      <c r="E87" s="16">
        <v>4.3120000000000003</v>
      </c>
      <c r="F87" s="16">
        <v>41.537999999999997</v>
      </c>
      <c r="G87" s="6">
        <v>1</v>
      </c>
      <c r="H87" s="16">
        <v>55</v>
      </c>
      <c r="I87" s="16" t="s">
        <v>45</v>
      </c>
      <c r="J87" s="16"/>
      <c r="K87" s="16">
        <v>4</v>
      </c>
      <c r="L87" s="16">
        <f t="shared" si="17"/>
        <v>0.31200000000000028</v>
      </c>
      <c r="M87" s="16"/>
      <c r="N87" s="16"/>
      <c r="O87" s="16">
        <v>0</v>
      </c>
      <c r="P87" s="16"/>
      <c r="Q87" s="16"/>
      <c r="R87" s="16"/>
      <c r="S87" s="16"/>
      <c r="T87" s="16">
        <f t="shared" si="18"/>
        <v>0.86240000000000006</v>
      </c>
      <c r="U87" s="4"/>
      <c r="V87" s="4">
        <f t="shared" si="16"/>
        <v>0</v>
      </c>
      <c r="W87" s="4"/>
      <c r="X87" s="4"/>
      <c r="Y87" s="16"/>
      <c r="Z87" s="16"/>
      <c r="AA87" s="16">
        <f t="shared" si="19"/>
        <v>48.165584415584412</v>
      </c>
      <c r="AB87" s="16">
        <f t="shared" si="20"/>
        <v>48.165584415584412</v>
      </c>
      <c r="AC87" s="16">
        <v>0</v>
      </c>
      <c r="AD87" s="16">
        <v>2.0213999999999999</v>
      </c>
      <c r="AE87" s="16">
        <v>3.1659999999999999</v>
      </c>
      <c r="AF87" s="16">
        <v>2.0042</v>
      </c>
      <c r="AG87" s="16">
        <v>1.1472</v>
      </c>
      <c r="AH87" s="16">
        <v>0.57320000000000004</v>
      </c>
      <c r="AI87" s="16">
        <v>0.57420000000000004</v>
      </c>
      <c r="AJ87" s="16">
        <v>0.57440000000000002</v>
      </c>
      <c r="AK87" s="16">
        <v>1.1494</v>
      </c>
      <c r="AL87" s="16">
        <v>2.0078</v>
      </c>
      <c r="AM87" s="14" t="s">
        <v>105</v>
      </c>
      <c r="AN87" s="16">
        <f t="shared" si="21"/>
        <v>0</v>
      </c>
      <c r="AO87" t="s">
        <v>219</v>
      </c>
    </row>
    <row r="88" spans="1:41" x14ac:dyDescent="0.25">
      <c r="A88" s="16" t="s">
        <v>220</v>
      </c>
      <c r="B88" s="16" t="s">
        <v>44</v>
      </c>
      <c r="C88" s="16">
        <v>205.08</v>
      </c>
      <c r="D88" s="16">
        <v>219.38399999999999</v>
      </c>
      <c r="E88" s="16">
        <v>204.114</v>
      </c>
      <c r="F88" s="16">
        <v>184.55600000000001</v>
      </c>
      <c r="G88" s="6">
        <v>1</v>
      </c>
      <c r="H88" s="16">
        <v>60</v>
      </c>
      <c r="I88" s="16" t="s">
        <v>45</v>
      </c>
      <c r="J88" s="16"/>
      <c r="K88" s="16">
        <v>222.86</v>
      </c>
      <c r="L88" s="16">
        <f t="shared" si="17"/>
        <v>-18.746000000000009</v>
      </c>
      <c r="M88" s="16"/>
      <c r="N88" s="16"/>
      <c r="O88" s="16">
        <v>8.8788000000001261</v>
      </c>
      <c r="P88" s="16"/>
      <c r="Q88" s="16"/>
      <c r="R88" s="16"/>
      <c r="S88" s="16"/>
      <c r="T88" s="16">
        <f t="shared" si="18"/>
        <v>40.822800000000001</v>
      </c>
      <c r="U88" s="4">
        <f>11*T88-S88-R88-Q88-O88-F88</f>
        <v>255.61599999999984</v>
      </c>
      <c r="V88" s="4">
        <f>U88+$V$1*T88</f>
        <v>311.13500799999986</v>
      </c>
      <c r="W88" s="4"/>
      <c r="X88" s="4"/>
      <c r="Y88" s="16"/>
      <c r="Z88" s="16"/>
      <c r="AA88" s="16">
        <f t="shared" si="19"/>
        <v>12.36</v>
      </c>
      <c r="AB88" s="16">
        <f t="shared" si="20"/>
        <v>4.7384010895871951</v>
      </c>
      <c r="AC88" s="16">
        <v>37.770800000000001</v>
      </c>
      <c r="AD88" s="16">
        <v>33.010000000000012</v>
      </c>
      <c r="AE88" s="16">
        <v>40.011200000000002</v>
      </c>
      <c r="AF88" s="16">
        <v>37.158999999999999</v>
      </c>
      <c r="AG88" s="16">
        <v>27.297799999999999</v>
      </c>
      <c r="AH88" s="16">
        <v>35.398400000000002</v>
      </c>
      <c r="AI88" s="16">
        <v>35.738399999999999</v>
      </c>
      <c r="AJ88" s="16">
        <v>39.966799999999999</v>
      </c>
      <c r="AK88" s="16">
        <v>42.334800000000001</v>
      </c>
      <c r="AL88" s="16">
        <v>54.258799999999987</v>
      </c>
      <c r="AM88" s="16"/>
      <c r="AN88" s="16">
        <f t="shared" si="21"/>
        <v>311</v>
      </c>
      <c r="AO88" t="s">
        <v>221</v>
      </c>
    </row>
    <row r="89" spans="1:41" x14ac:dyDescent="0.25">
      <c r="A89" s="9" t="s">
        <v>222</v>
      </c>
      <c r="B89" s="9" t="s">
        <v>52</v>
      </c>
      <c r="C89" s="9"/>
      <c r="D89" s="9"/>
      <c r="E89" s="9"/>
      <c r="F89" s="9"/>
      <c r="G89" s="10">
        <v>0</v>
      </c>
      <c r="H89" s="9"/>
      <c r="I89" s="9" t="s">
        <v>45</v>
      </c>
      <c r="J89" s="9"/>
      <c r="K89" s="9"/>
      <c r="L89" s="9">
        <f t="shared" si="17"/>
        <v>0</v>
      </c>
      <c r="M89" s="9"/>
      <c r="N89" s="9"/>
      <c r="O89" s="9">
        <v>0</v>
      </c>
      <c r="P89" s="9"/>
      <c r="Q89" s="9"/>
      <c r="R89" s="9"/>
      <c r="S89" s="9"/>
      <c r="T89" s="9">
        <f t="shared" si="18"/>
        <v>0</v>
      </c>
      <c r="U89" s="11"/>
      <c r="V89" s="4">
        <f>U89</f>
        <v>0</v>
      </c>
      <c r="W89" s="4"/>
      <c r="X89" s="4"/>
      <c r="Y89" s="16"/>
      <c r="Z89" s="16"/>
      <c r="AA89" s="16" t="e">
        <f t="shared" si="19"/>
        <v>#DIV/0!</v>
      </c>
      <c r="AB89" s="9" t="e">
        <f t="shared" si="20"/>
        <v>#DIV/0!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 t="s">
        <v>61</v>
      </c>
      <c r="AN89" s="16">
        <f t="shared" si="21"/>
        <v>0</v>
      </c>
      <c r="AO89" t="s">
        <v>223</v>
      </c>
    </row>
    <row r="90" spans="1:41" x14ac:dyDescent="0.25">
      <c r="A90" s="16" t="s">
        <v>224</v>
      </c>
      <c r="B90" s="16" t="s">
        <v>44</v>
      </c>
      <c r="C90" s="16">
        <v>2495.194</v>
      </c>
      <c r="D90" s="16">
        <v>35.19</v>
      </c>
      <c r="E90" s="16">
        <v>1515.9059999999999</v>
      </c>
      <c r="F90" s="16">
        <v>644.65</v>
      </c>
      <c r="G90" s="6">
        <v>1</v>
      </c>
      <c r="H90" s="16">
        <v>60</v>
      </c>
      <c r="I90" s="16" t="s">
        <v>45</v>
      </c>
      <c r="J90" s="16"/>
      <c r="K90" s="16">
        <v>1632</v>
      </c>
      <c r="L90" s="16">
        <f t="shared" si="17"/>
        <v>-116.09400000000005</v>
      </c>
      <c r="M90" s="16"/>
      <c r="N90" s="16"/>
      <c r="O90" s="16">
        <v>659.76607199999967</v>
      </c>
      <c r="P90" s="16"/>
      <c r="Q90" s="16"/>
      <c r="R90" s="16">
        <v>650</v>
      </c>
      <c r="S90" s="16"/>
      <c r="T90" s="16">
        <f t="shared" si="18"/>
        <v>303.18119999999999</v>
      </c>
      <c r="U90" s="4">
        <f>11*T90-S90-R90-Q90-O90-F90</f>
        <v>1380.5771280000004</v>
      </c>
      <c r="V90" s="18">
        <f>U90-T90</f>
        <v>1077.3959280000004</v>
      </c>
      <c r="W90" s="18"/>
      <c r="X90" s="18">
        <v>150</v>
      </c>
      <c r="Y90" s="16"/>
      <c r="Z90" s="16"/>
      <c r="AA90" s="16">
        <f t="shared" si="19"/>
        <v>10</v>
      </c>
      <c r="AB90" s="16">
        <f t="shared" si="20"/>
        <v>6.4463630066771938</v>
      </c>
      <c r="AC90" s="16">
        <v>264.67619999999999</v>
      </c>
      <c r="AD90" s="16">
        <v>304.95080000000002</v>
      </c>
      <c r="AE90" s="16">
        <v>256.99919999999997</v>
      </c>
      <c r="AF90" s="16">
        <v>231.32480000000001</v>
      </c>
      <c r="AG90" s="16">
        <v>263.76119999999997</v>
      </c>
      <c r="AH90" s="16">
        <v>305.51940000000002</v>
      </c>
      <c r="AI90" s="16">
        <v>261.89159999999998</v>
      </c>
      <c r="AJ90" s="16">
        <v>278.6728</v>
      </c>
      <c r="AK90" s="16">
        <v>349.59500000000003</v>
      </c>
      <c r="AL90" s="16">
        <v>386.44279999999998</v>
      </c>
      <c r="AM90" s="16"/>
      <c r="AN90" s="16">
        <f t="shared" si="21"/>
        <v>1077</v>
      </c>
      <c r="AO90" t="s">
        <v>225</v>
      </c>
    </row>
    <row r="91" spans="1:41" x14ac:dyDescent="0.25">
      <c r="A91" s="16" t="s">
        <v>226</v>
      </c>
      <c r="B91" s="16" t="s">
        <v>44</v>
      </c>
      <c r="C91" s="16">
        <v>1034.9259999999999</v>
      </c>
      <c r="D91" s="16">
        <v>1582.2750000000001</v>
      </c>
      <c r="E91" s="16">
        <v>1287.2550000000001</v>
      </c>
      <c r="F91" s="16">
        <v>984.27800000000002</v>
      </c>
      <c r="G91" s="6">
        <v>1</v>
      </c>
      <c r="H91" s="16">
        <v>60</v>
      </c>
      <c r="I91" s="16" t="s">
        <v>45</v>
      </c>
      <c r="J91" s="16"/>
      <c r="K91" s="16">
        <v>1436.5</v>
      </c>
      <c r="L91" s="16">
        <f t="shared" si="17"/>
        <v>-149.24499999999989</v>
      </c>
      <c r="M91" s="16"/>
      <c r="N91" s="16"/>
      <c r="O91" s="16">
        <v>611</v>
      </c>
      <c r="P91" s="16"/>
      <c r="Q91" s="16">
        <v>400</v>
      </c>
      <c r="R91" s="16">
        <v>600</v>
      </c>
      <c r="S91" s="16"/>
      <c r="T91" s="16">
        <f t="shared" si="18"/>
        <v>257.45100000000002</v>
      </c>
      <c r="U91" s="4">
        <f>11*T91-S91-R91-Q91-O91-F91</f>
        <v>236.68300000000022</v>
      </c>
      <c r="V91" s="18"/>
      <c r="W91" s="18"/>
      <c r="X91" s="18">
        <v>150</v>
      </c>
      <c r="Y91" s="16"/>
      <c r="Z91" s="16"/>
      <c r="AA91" s="16">
        <f t="shared" si="19"/>
        <v>10.080667777557672</v>
      </c>
      <c r="AB91" s="16">
        <f t="shared" si="20"/>
        <v>10.080667777557672</v>
      </c>
      <c r="AC91" s="16">
        <v>207.36179999999999</v>
      </c>
      <c r="AD91" s="16">
        <v>301.77659999999997</v>
      </c>
      <c r="AE91" s="16">
        <v>293.72859999999997</v>
      </c>
      <c r="AF91" s="16">
        <v>213.80719999999999</v>
      </c>
      <c r="AG91" s="16">
        <v>230.60740000000001</v>
      </c>
      <c r="AH91" s="16">
        <v>267.38240000000002</v>
      </c>
      <c r="AI91" s="16">
        <v>257.27859999999998</v>
      </c>
      <c r="AJ91" s="16">
        <v>302.92239999999998</v>
      </c>
      <c r="AK91" s="16">
        <v>335.65300000000002</v>
      </c>
      <c r="AL91" s="16">
        <v>342.85480000000001</v>
      </c>
      <c r="AM91" s="16"/>
      <c r="AN91" s="16">
        <f t="shared" si="21"/>
        <v>0</v>
      </c>
      <c r="AO91" t="s">
        <v>227</v>
      </c>
    </row>
    <row r="92" spans="1:41" x14ac:dyDescent="0.25">
      <c r="A92" s="16" t="s">
        <v>228</v>
      </c>
      <c r="B92" s="16" t="s">
        <v>44</v>
      </c>
      <c r="C92" s="16">
        <v>2752.576</v>
      </c>
      <c r="D92" s="16">
        <v>1239.71</v>
      </c>
      <c r="E92" s="16">
        <v>2011.164</v>
      </c>
      <c r="F92" s="16">
        <v>1544.768</v>
      </c>
      <c r="G92" s="6">
        <v>1</v>
      </c>
      <c r="H92" s="16">
        <v>60</v>
      </c>
      <c r="I92" s="16" t="s">
        <v>45</v>
      </c>
      <c r="J92" s="16"/>
      <c r="K92" s="16">
        <v>2220.5</v>
      </c>
      <c r="L92" s="16">
        <f t="shared" si="17"/>
        <v>-209.33600000000001</v>
      </c>
      <c r="M92" s="16"/>
      <c r="N92" s="16"/>
      <c r="O92" s="16">
        <v>860.09999999999991</v>
      </c>
      <c r="P92" s="16"/>
      <c r="Q92" s="16">
        <v>350</v>
      </c>
      <c r="R92" s="16">
        <v>900</v>
      </c>
      <c r="S92" s="16"/>
      <c r="T92" s="16">
        <f t="shared" si="18"/>
        <v>402.2328</v>
      </c>
      <c r="U92" s="4">
        <f>11*T92-S92-R92-Q92-O92-F92</f>
        <v>769.69280000000026</v>
      </c>
      <c r="V92" s="18">
        <f>U92-T92</f>
        <v>367.46000000000026</v>
      </c>
      <c r="W92" s="18"/>
      <c r="X92" s="18">
        <v>280</v>
      </c>
      <c r="Y92" s="16"/>
      <c r="Z92" s="16"/>
      <c r="AA92" s="16">
        <f t="shared" si="19"/>
        <v>10.000000000000002</v>
      </c>
      <c r="AB92" s="16">
        <f t="shared" si="20"/>
        <v>9.0864494392302166</v>
      </c>
      <c r="AC92" s="16">
        <v>356.45299999999997</v>
      </c>
      <c r="AD92" s="16">
        <v>435.99239999999998</v>
      </c>
      <c r="AE92" s="16">
        <v>464.71859999999998</v>
      </c>
      <c r="AF92" s="16">
        <v>390.34859999999998</v>
      </c>
      <c r="AG92" s="16">
        <v>377.59100000000001</v>
      </c>
      <c r="AH92" s="16">
        <v>432.98239999999998</v>
      </c>
      <c r="AI92" s="16">
        <v>418.18819999999988</v>
      </c>
      <c r="AJ92" s="16">
        <v>465.66320000000002</v>
      </c>
      <c r="AK92" s="16">
        <v>537.89380000000006</v>
      </c>
      <c r="AL92" s="16">
        <v>509.97379999999998</v>
      </c>
      <c r="AM92" s="16"/>
      <c r="AN92" s="16">
        <f t="shared" si="21"/>
        <v>367</v>
      </c>
      <c r="AO92" t="s">
        <v>229</v>
      </c>
    </row>
    <row r="93" spans="1:41" x14ac:dyDescent="0.25">
      <c r="A93" s="9" t="s">
        <v>230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45</v>
      </c>
      <c r="J93" s="9"/>
      <c r="K93" s="9"/>
      <c r="L93" s="9">
        <f t="shared" si="17"/>
        <v>0</v>
      </c>
      <c r="M93" s="9"/>
      <c r="N93" s="9"/>
      <c r="O93" s="9">
        <v>0</v>
      </c>
      <c r="P93" s="9"/>
      <c r="Q93" s="9"/>
      <c r="R93" s="9"/>
      <c r="S93" s="9"/>
      <c r="T93" s="9">
        <f t="shared" si="18"/>
        <v>0</v>
      </c>
      <c r="U93" s="11"/>
      <c r="V93" s="4">
        <f t="shared" ref="V93:V107" si="22">U93</f>
        <v>0</v>
      </c>
      <c r="W93" s="4"/>
      <c r="X93" s="4"/>
      <c r="Y93" s="16"/>
      <c r="Z93" s="16"/>
      <c r="AA93" s="16" t="e">
        <f t="shared" si="19"/>
        <v>#DIV/0!</v>
      </c>
      <c r="AB93" s="9" t="e">
        <f t="shared" si="20"/>
        <v>#DIV/0!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 t="s">
        <v>61</v>
      </c>
      <c r="AN93" s="16">
        <f t="shared" si="21"/>
        <v>0</v>
      </c>
      <c r="AO93" t="s">
        <v>231</v>
      </c>
    </row>
    <row r="94" spans="1:41" x14ac:dyDescent="0.25">
      <c r="A94" s="16" t="s">
        <v>232</v>
      </c>
      <c r="B94" s="16" t="s">
        <v>52</v>
      </c>
      <c r="C94" s="16">
        <v>-13</v>
      </c>
      <c r="D94" s="16">
        <v>3</v>
      </c>
      <c r="E94" s="16">
        <v>-4</v>
      </c>
      <c r="F94" s="16">
        <v>-11</v>
      </c>
      <c r="G94" s="6">
        <v>0.3</v>
      </c>
      <c r="H94" s="16">
        <v>40</v>
      </c>
      <c r="I94" s="8" t="s">
        <v>64</v>
      </c>
      <c r="J94" s="16"/>
      <c r="K94" s="16">
        <v>4</v>
      </c>
      <c r="L94" s="16">
        <f t="shared" si="17"/>
        <v>-8</v>
      </c>
      <c r="M94" s="16"/>
      <c r="N94" s="16"/>
      <c r="O94" s="16">
        <v>100</v>
      </c>
      <c r="P94" s="16">
        <v>-103.33333333333334</v>
      </c>
      <c r="Q94" s="16"/>
      <c r="R94" s="16"/>
      <c r="S94" s="16"/>
      <c r="T94" s="16">
        <f t="shared" si="18"/>
        <v>-0.8</v>
      </c>
      <c r="U94" s="4">
        <v>50</v>
      </c>
      <c r="V94" s="4">
        <f t="shared" si="22"/>
        <v>50</v>
      </c>
      <c r="W94" s="4">
        <v>-54</v>
      </c>
      <c r="X94" s="4"/>
      <c r="Y94" s="16"/>
      <c r="Z94" s="16"/>
      <c r="AA94" s="16">
        <f t="shared" si="19"/>
        <v>-173.75</v>
      </c>
      <c r="AB94" s="16">
        <f t="shared" si="20"/>
        <v>-111.25</v>
      </c>
      <c r="AC94" s="16">
        <v>-1</v>
      </c>
      <c r="AD94" s="16">
        <v>-1.2</v>
      </c>
      <c r="AE94" s="16">
        <v>-1</v>
      </c>
      <c r="AF94" s="16">
        <v>5.4</v>
      </c>
      <c r="AG94" s="16">
        <v>28.6</v>
      </c>
      <c r="AH94" s="16">
        <v>48.6</v>
      </c>
      <c r="AI94" s="16">
        <v>42.6</v>
      </c>
      <c r="AJ94" s="16">
        <v>15.2</v>
      </c>
      <c r="AK94" s="16">
        <v>0.6</v>
      </c>
      <c r="AL94" s="16">
        <v>35</v>
      </c>
      <c r="AM94" s="16"/>
      <c r="AN94" s="16">
        <f t="shared" si="21"/>
        <v>15</v>
      </c>
      <c r="AO94" t="s">
        <v>233</v>
      </c>
    </row>
    <row r="95" spans="1:41" x14ac:dyDescent="0.25">
      <c r="A95" s="16" t="s">
        <v>234</v>
      </c>
      <c r="B95" s="16" t="s">
        <v>52</v>
      </c>
      <c r="C95" s="16"/>
      <c r="D95" s="16"/>
      <c r="E95" s="16"/>
      <c r="F95" s="16"/>
      <c r="G95" s="6">
        <v>0.3</v>
      </c>
      <c r="H95" s="16"/>
      <c r="I95" s="16" t="s">
        <v>45</v>
      </c>
      <c r="J95" s="16"/>
      <c r="K95" s="16"/>
      <c r="L95" s="16">
        <f t="shared" si="17"/>
        <v>0</v>
      </c>
      <c r="M95" s="16"/>
      <c r="N95" s="16"/>
      <c r="O95" s="16">
        <v>80</v>
      </c>
      <c r="P95" s="16"/>
      <c r="Q95" s="16"/>
      <c r="R95" s="16"/>
      <c r="S95" s="16"/>
      <c r="T95" s="16">
        <f t="shared" si="18"/>
        <v>0</v>
      </c>
      <c r="U95" s="4"/>
      <c r="V95" s="4">
        <f t="shared" si="22"/>
        <v>0</v>
      </c>
      <c r="W95" s="4"/>
      <c r="X95" s="4"/>
      <c r="Y95" s="16"/>
      <c r="Z95" s="16"/>
      <c r="AA95" s="16" t="e">
        <f t="shared" si="19"/>
        <v>#DIV/0!</v>
      </c>
      <c r="AB95" s="16" t="e">
        <f t="shared" si="20"/>
        <v>#DIV/0!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 t="s">
        <v>235</v>
      </c>
      <c r="AN95" s="16">
        <f t="shared" si="21"/>
        <v>0</v>
      </c>
      <c r="AO95" t="s">
        <v>236</v>
      </c>
    </row>
    <row r="96" spans="1:41" x14ac:dyDescent="0.25">
      <c r="A96" s="16" t="s">
        <v>237</v>
      </c>
      <c r="B96" s="16" t="s">
        <v>52</v>
      </c>
      <c r="C96" s="16">
        <v>27</v>
      </c>
      <c r="D96" s="16">
        <v>54</v>
      </c>
      <c r="E96" s="16">
        <v>26</v>
      </c>
      <c r="F96" s="16">
        <v>39</v>
      </c>
      <c r="G96" s="6">
        <v>7.0000000000000007E-2</v>
      </c>
      <c r="H96" s="16">
        <v>90</v>
      </c>
      <c r="I96" s="8" t="s">
        <v>64</v>
      </c>
      <c r="J96" s="16"/>
      <c r="K96" s="16">
        <v>31</v>
      </c>
      <c r="L96" s="16">
        <f t="shared" si="17"/>
        <v>-5</v>
      </c>
      <c r="M96" s="16"/>
      <c r="N96" s="16"/>
      <c r="O96" s="16">
        <v>40</v>
      </c>
      <c r="P96" s="16">
        <v>-57.142857142857139</v>
      </c>
      <c r="Q96" s="16"/>
      <c r="R96" s="16"/>
      <c r="S96" s="16"/>
      <c r="T96" s="16">
        <f t="shared" si="18"/>
        <v>5.2</v>
      </c>
      <c r="U96" s="4">
        <v>20</v>
      </c>
      <c r="V96" s="4">
        <f t="shared" si="22"/>
        <v>20</v>
      </c>
      <c r="W96" s="4">
        <v>-18</v>
      </c>
      <c r="X96" s="4"/>
      <c r="Y96" s="16"/>
      <c r="Z96" s="16"/>
      <c r="AA96" s="16">
        <f t="shared" si="19"/>
        <v>19.038461538461537</v>
      </c>
      <c r="AB96" s="16">
        <f t="shared" si="20"/>
        <v>15.192307692307692</v>
      </c>
      <c r="AC96" s="16">
        <v>7.6</v>
      </c>
      <c r="AD96" s="16">
        <v>16</v>
      </c>
      <c r="AE96" s="16">
        <v>18.2</v>
      </c>
      <c r="AF96" s="16">
        <v>15.2</v>
      </c>
      <c r="AG96" s="16">
        <v>12.6</v>
      </c>
      <c r="AH96" s="16">
        <v>7</v>
      </c>
      <c r="AI96" s="16">
        <v>4.4000000000000004</v>
      </c>
      <c r="AJ96" s="16">
        <v>14.2</v>
      </c>
      <c r="AK96" s="16">
        <v>17</v>
      </c>
      <c r="AL96" s="16">
        <v>9.4</v>
      </c>
      <c r="AM96" s="16"/>
      <c r="AN96" s="16">
        <f t="shared" si="21"/>
        <v>1</v>
      </c>
      <c r="AO96" t="s">
        <v>238</v>
      </c>
    </row>
    <row r="97" spans="1:41" x14ac:dyDescent="0.25">
      <c r="A97" s="16" t="s">
        <v>239</v>
      </c>
      <c r="B97" s="16" t="s">
        <v>52</v>
      </c>
      <c r="C97" s="16"/>
      <c r="D97" s="16">
        <v>54</v>
      </c>
      <c r="E97" s="16">
        <v>21</v>
      </c>
      <c r="F97" s="16">
        <v>26</v>
      </c>
      <c r="G97" s="6">
        <v>7.0000000000000007E-2</v>
      </c>
      <c r="H97" s="16">
        <v>90</v>
      </c>
      <c r="I97" s="8" t="s">
        <v>64</v>
      </c>
      <c r="J97" s="16"/>
      <c r="K97" s="16">
        <v>27</v>
      </c>
      <c r="L97" s="16">
        <f t="shared" si="17"/>
        <v>-6</v>
      </c>
      <c r="M97" s="16"/>
      <c r="N97" s="16"/>
      <c r="O97" s="16">
        <v>30</v>
      </c>
      <c r="P97" s="16"/>
      <c r="Q97" s="16"/>
      <c r="R97" s="16"/>
      <c r="S97" s="16"/>
      <c r="T97" s="16">
        <f t="shared" si="18"/>
        <v>4.2</v>
      </c>
      <c r="U97" s="4">
        <v>20</v>
      </c>
      <c r="V97" s="4">
        <f t="shared" si="22"/>
        <v>20</v>
      </c>
      <c r="W97" s="4"/>
      <c r="X97" s="4"/>
      <c r="Y97" s="16"/>
      <c r="Z97" s="16"/>
      <c r="AA97" s="16">
        <f t="shared" si="19"/>
        <v>18.095238095238095</v>
      </c>
      <c r="AB97" s="16">
        <f t="shared" si="20"/>
        <v>13.333333333333332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7.2</v>
      </c>
      <c r="AK97" s="16">
        <v>11.2</v>
      </c>
      <c r="AL97" s="16">
        <v>7.2</v>
      </c>
      <c r="AM97" s="16"/>
      <c r="AN97" s="16">
        <f t="shared" si="21"/>
        <v>1</v>
      </c>
      <c r="AO97" t="s">
        <v>240</v>
      </c>
    </row>
    <row r="98" spans="1:41" x14ac:dyDescent="0.25">
      <c r="A98" s="16" t="s">
        <v>241</v>
      </c>
      <c r="B98" s="16" t="s">
        <v>52</v>
      </c>
      <c r="C98" s="16">
        <v>9</v>
      </c>
      <c r="D98" s="16">
        <v>198</v>
      </c>
      <c r="E98" s="16">
        <v>35</v>
      </c>
      <c r="F98" s="16">
        <v>163</v>
      </c>
      <c r="G98" s="6">
        <v>7.0000000000000007E-2</v>
      </c>
      <c r="H98" s="16">
        <v>90</v>
      </c>
      <c r="I98" s="8" t="s">
        <v>64</v>
      </c>
      <c r="J98" s="16"/>
      <c r="K98" s="16">
        <v>42</v>
      </c>
      <c r="L98" s="16">
        <f t="shared" si="17"/>
        <v>-7</v>
      </c>
      <c r="M98" s="16"/>
      <c r="N98" s="16"/>
      <c r="O98" s="16">
        <v>100</v>
      </c>
      <c r="P98" s="16"/>
      <c r="Q98" s="16"/>
      <c r="R98" s="16"/>
      <c r="S98" s="16"/>
      <c r="T98" s="16">
        <f t="shared" si="18"/>
        <v>7</v>
      </c>
      <c r="U98" s="4"/>
      <c r="V98" s="4">
        <f t="shared" si="22"/>
        <v>0</v>
      </c>
      <c r="W98" s="4"/>
      <c r="X98" s="4"/>
      <c r="Y98" s="16"/>
      <c r="Z98" s="16"/>
      <c r="AA98" s="16">
        <f t="shared" si="19"/>
        <v>37.571428571428569</v>
      </c>
      <c r="AB98" s="16">
        <f t="shared" si="20"/>
        <v>37.571428571428569</v>
      </c>
      <c r="AC98" s="16">
        <v>-0.2</v>
      </c>
      <c r="AD98" s="16">
        <v>10</v>
      </c>
      <c r="AE98" s="16">
        <v>17.2</v>
      </c>
      <c r="AF98" s="16">
        <v>13</v>
      </c>
      <c r="AG98" s="16">
        <v>12.2</v>
      </c>
      <c r="AH98" s="16">
        <v>9.1999999999999993</v>
      </c>
      <c r="AI98" s="16">
        <v>5</v>
      </c>
      <c r="AJ98" s="16">
        <v>11</v>
      </c>
      <c r="AK98" s="16">
        <v>12.6</v>
      </c>
      <c r="AL98" s="16">
        <v>7</v>
      </c>
      <c r="AM98" s="16"/>
      <c r="AN98" s="16">
        <f t="shared" si="21"/>
        <v>0</v>
      </c>
      <c r="AO98" t="s">
        <v>242</v>
      </c>
    </row>
    <row r="99" spans="1:41" x14ac:dyDescent="0.25">
      <c r="A99" s="9" t="s">
        <v>243</v>
      </c>
      <c r="B99" s="9" t="s">
        <v>52</v>
      </c>
      <c r="C99" s="9">
        <v>7</v>
      </c>
      <c r="D99" s="9"/>
      <c r="E99" s="9"/>
      <c r="F99" s="9">
        <v>7</v>
      </c>
      <c r="G99" s="10">
        <v>0</v>
      </c>
      <c r="H99" s="9">
        <v>90</v>
      </c>
      <c r="I99" s="9" t="s">
        <v>90</v>
      </c>
      <c r="J99" s="9"/>
      <c r="K99" s="9">
        <v>29</v>
      </c>
      <c r="L99" s="9">
        <f t="shared" si="17"/>
        <v>-29</v>
      </c>
      <c r="M99" s="9"/>
      <c r="N99" s="9"/>
      <c r="O99" s="9">
        <v>0</v>
      </c>
      <c r="P99" s="9"/>
      <c r="Q99" s="9"/>
      <c r="R99" s="9"/>
      <c r="S99" s="9"/>
      <c r="T99" s="9">
        <f t="shared" si="18"/>
        <v>0</v>
      </c>
      <c r="U99" s="11"/>
      <c r="V99" s="4">
        <f t="shared" si="22"/>
        <v>0</v>
      </c>
      <c r="W99" s="4"/>
      <c r="X99" s="4"/>
      <c r="Y99" s="16"/>
      <c r="Z99" s="16"/>
      <c r="AA99" s="16" t="e">
        <f t="shared" si="19"/>
        <v>#DIV/0!</v>
      </c>
      <c r="AB99" s="9" t="e">
        <f t="shared" si="20"/>
        <v>#DIV/0!</v>
      </c>
      <c r="AC99" s="9">
        <v>0</v>
      </c>
      <c r="AD99" s="9">
        <v>-0.2</v>
      </c>
      <c r="AE99" s="9">
        <v>-0.2</v>
      </c>
      <c r="AF99" s="9">
        <v>-0.2</v>
      </c>
      <c r="AG99" s="9">
        <v>-0.6</v>
      </c>
      <c r="AH99" s="9">
        <v>-0.4</v>
      </c>
      <c r="AI99" s="9">
        <v>0</v>
      </c>
      <c r="AJ99" s="9">
        <v>8.8000000000000007</v>
      </c>
      <c r="AK99" s="9">
        <v>14</v>
      </c>
      <c r="AL99" s="9">
        <v>12.6</v>
      </c>
      <c r="AM99" s="9"/>
      <c r="AN99" s="16">
        <f t="shared" si="21"/>
        <v>0</v>
      </c>
      <c r="AO99" t="s">
        <v>244</v>
      </c>
    </row>
    <row r="100" spans="1:41" x14ac:dyDescent="0.25">
      <c r="A100" s="9" t="s">
        <v>245</v>
      </c>
      <c r="B100" s="9" t="s">
        <v>52</v>
      </c>
      <c r="C100" s="9">
        <v>1</v>
      </c>
      <c r="D100" s="9"/>
      <c r="E100" s="9"/>
      <c r="F100" s="9">
        <v>1</v>
      </c>
      <c r="G100" s="10">
        <v>0</v>
      </c>
      <c r="H100" s="9"/>
      <c r="I100" s="9" t="s">
        <v>90</v>
      </c>
      <c r="J100" s="9"/>
      <c r="K100" s="9">
        <v>1</v>
      </c>
      <c r="L100" s="9">
        <f t="shared" si="17"/>
        <v>-1</v>
      </c>
      <c r="M100" s="9"/>
      <c r="N100" s="9"/>
      <c r="O100" s="9">
        <v>0</v>
      </c>
      <c r="P100" s="9"/>
      <c r="Q100" s="9"/>
      <c r="R100" s="9"/>
      <c r="S100" s="9"/>
      <c r="T100" s="9">
        <f t="shared" si="18"/>
        <v>0</v>
      </c>
      <c r="U100" s="11"/>
      <c r="V100" s="4">
        <f t="shared" si="22"/>
        <v>0</v>
      </c>
      <c r="W100" s="4"/>
      <c r="X100" s="4"/>
      <c r="Y100" s="16"/>
      <c r="Z100" s="16"/>
      <c r="AA100" s="16" t="e">
        <f t="shared" si="19"/>
        <v>#DIV/0!</v>
      </c>
      <c r="AB100" s="9" t="e">
        <f t="shared" si="20"/>
        <v>#DIV/0!</v>
      </c>
      <c r="AC100" s="9">
        <v>0</v>
      </c>
      <c r="AD100" s="9">
        <v>0</v>
      </c>
      <c r="AE100" s="9">
        <v>0</v>
      </c>
      <c r="AF100" s="9">
        <v>-0.2</v>
      </c>
      <c r="AG100" s="9">
        <v>-0.2</v>
      </c>
      <c r="AH100" s="9">
        <v>-0.2</v>
      </c>
      <c r="AI100" s="9">
        <v>-0.2</v>
      </c>
      <c r="AJ100" s="9">
        <v>-1.8</v>
      </c>
      <c r="AK100" s="9">
        <v>-1.8</v>
      </c>
      <c r="AL100" s="9">
        <v>0</v>
      </c>
      <c r="AM100" s="9" t="s">
        <v>246</v>
      </c>
      <c r="AN100" s="16">
        <f t="shared" si="21"/>
        <v>0</v>
      </c>
      <c r="AO100" t="s">
        <v>247</v>
      </c>
    </row>
    <row r="101" spans="1:41" x14ac:dyDescent="0.25">
      <c r="A101" s="16" t="s">
        <v>248</v>
      </c>
      <c r="B101" s="16" t="s">
        <v>52</v>
      </c>
      <c r="C101" s="16"/>
      <c r="D101" s="16"/>
      <c r="E101" s="16"/>
      <c r="F101" s="16"/>
      <c r="G101" s="6">
        <v>0.3</v>
      </c>
      <c r="H101" s="16"/>
      <c r="I101" s="16" t="s">
        <v>45</v>
      </c>
      <c r="J101" s="16"/>
      <c r="K101" s="16"/>
      <c r="L101" s="16">
        <f t="shared" si="17"/>
        <v>0</v>
      </c>
      <c r="M101" s="16"/>
      <c r="N101" s="16"/>
      <c r="O101" s="16">
        <v>80</v>
      </c>
      <c r="P101" s="16"/>
      <c r="Q101" s="16"/>
      <c r="R101" s="16"/>
      <c r="S101" s="16"/>
      <c r="T101" s="16">
        <f t="shared" si="18"/>
        <v>0</v>
      </c>
      <c r="U101" s="4"/>
      <c r="V101" s="4">
        <f t="shared" si="22"/>
        <v>0</v>
      </c>
      <c r="W101" s="4"/>
      <c r="X101" s="4"/>
      <c r="Y101" s="16"/>
      <c r="Z101" s="16"/>
      <c r="AA101" s="16" t="e">
        <f t="shared" si="19"/>
        <v>#DIV/0!</v>
      </c>
      <c r="AB101" s="16" t="e">
        <f t="shared" si="20"/>
        <v>#DIV/0!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 t="s">
        <v>235</v>
      </c>
      <c r="AN101" s="16">
        <f t="shared" si="21"/>
        <v>0</v>
      </c>
      <c r="AO101" t="s">
        <v>249</v>
      </c>
    </row>
    <row r="102" spans="1:41" x14ac:dyDescent="0.25">
      <c r="A102" s="9" t="s">
        <v>250</v>
      </c>
      <c r="B102" s="9" t="s">
        <v>44</v>
      </c>
      <c r="C102" s="9">
        <v>-3.173</v>
      </c>
      <c r="D102" s="9"/>
      <c r="E102" s="9"/>
      <c r="F102" s="9">
        <v>-3.173</v>
      </c>
      <c r="G102" s="10">
        <v>0</v>
      </c>
      <c r="H102" s="9"/>
      <c r="I102" s="9" t="s">
        <v>45</v>
      </c>
      <c r="J102" s="9"/>
      <c r="K102" s="9">
        <v>1</v>
      </c>
      <c r="L102" s="9">
        <f t="shared" ref="L102:L133" si="23">E102-K102</f>
        <v>-1</v>
      </c>
      <c r="M102" s="9"/>
      <c r="N102" s="9"/>
      <c r="O102" s="9">
        <v>0</v>
      </c>
      <c r="P102" s="9"/>
      <c r="Q102" s="9"/>
      <c r="R102" s="9"/>
      <c r="S102" s="9"/>
      <c r="T102" s="9">
        <f t="shared" ref="T102:T134" si="24">E102/5</f>
        <v>0</v>
      </c>
      <c r="U102" s="11"/>
      <c r="V102" s="4">
        <f t="shared" si="22"/>
        <v>0</v>
      </c>
      <c r="W102" s="4"/>
      <c r="X102" s="4"/>
      <c r="Y102" s="16"/>
      <c r="Z102" s="16"/>
      <c r="AA102" s="16" t="e">
        <f t="shared" ref="AA102:AA134" si="25">(F102+O102+Q102+R102+S102+V102)/T102</f>
        <v>#DIV/0!</v>
      </c>
      <c r="AB102" s="9" t="e">
        <f t="shared" ref="AB102:AB134" si="26">(F102+O102+Q102+R102+S102)/T102</f>
        <v>#DIV/0!</v>
      </c>
      <c r="AC102" s="9">
        <v>0</v>
      </c>
      <c r="AD102" s="9">
        <v>0</v>
      </c>
      <c r="AE102" s="9">
        <v>0</v>
      </c>
      <c r="AF102" s="9">
        <v>0</v>
      </c>
      <c r="AG102" s="9">
        <v>-0.32</v>
      </c>
      <c r="AH102" s="9">
        <v>-0.32</v>
      </c>
      <c r="AI102" s="9">
        <v>-0.31919999999999998</v>
      </c>
      <c r="AJ102" s="9">
        <v>-0.31919999999999998</v>
      </c>
      <c r="AK102" s="9">
        <v>-5.4399999999999997E-2</v>
      </c>
      <c r="AL102" s="9">
        <v>0.63460000000000005</v>
      </c>
      <c r="AM102" s="9" t="s">
        <v>61</v>
      </c>
      <c r="AN102" s="16">
        <f t="shared" ref="AN102:AN134" si="27">ROUND(G102*V102,0)</f>
        <v>0</v>
      </c>
      <c r="AO102" t="s">
        <v>251</v>
      </c>
    </row>
    <row r="103" spans="1:41" x14ac:dyDescent="0.25">
      <c r="A103" s="9" t="s">
        <v>252</v>
      </c>
      <c r="B103" s="9" t="s">
        <v>52</v>
      </c>
      <c r="C103" s="9"/>
      <c r="D103" s="9"/>
      <c r="E103" s="9"/>
      <c r="F103" s="9"/>
      <c r="G103" s="10">
        <v>0</v>
      </c>
      <c r="H103" s="9"/>
      <c r="I103" s="9" t="s">
        <v>45</v>
      </c>
      <c r="J103" s="9"/>
      <c r="K103" s="9"/>
      <c r="L103" s="9">
        <f t="shared" si="23"/>
        <v>0</v>
      </c>
      <c r="M103" s="9"/>
      <c r="N103" s="9"/>
      <c r="O103" s="9">
        <v>0</v>
      </c>
      <c r="P103" s="9"/>
      <c r="Q103" s="9"/>
      <c r="R103" s="9"/>
      <c r="S103" s="9"/>
      <c r="T103" s="9">
        <f t="shared" si="24"/>
        <v>0</v>
      </c>
      <c r="U103" s="11"/>
      <c r="V103" s="4">
        <f t="shared" si="22"/>
        <v>0</v>
      </c>
      <c r="W103" s="4"/>
      <c r="X103" s="4"/>
      <c r="Y103" s="16"/>
      <c r="Z103" s="16"/>
      <c r="AA103" s="16" t="e">
        <f t="shared" si="25"/>
        <v>#DIV/0!</v>
      </c>
      <c r="AB103" s="9" t="e">
        <f t="shared" si="26"/>
        <v>#DIV/0!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 t="s">
        <v>61</v>
      </c>
      <c r="AN103" s="16">
        <f t="shared" si="27"/>
        <v>0</v>
      </c>
      <c r="AO103" t="s">
        <v>253</v>
      </c>
    </row>
    <row r="104" spans="1:41" x14ac:dyDescent="0.25">
      <c r="A104" s="9" t="s">
        <v>254</v>
      </c>
      <c r="B104" s="9" t="s">
        <v>52</v>
      </c>
      <c r="C104" s="9"/>
      <c r="D104" s="9"/>
      <c r="E104" s="9"/>
      <c r="F104" s="9"/>
      <c r="G104" s="10">
        <v>0</v>
      </c>
      <c r="H104" s="9"/>
      <c r="I104" s="9" t="s">
        <v>45</v>
      </c>
      <c r="J104" s="9"/>
      <c r="K104" s="9"/>
      <c r="L104" s="9">
        <f t="shared" si="23"/>
        <v>0</v>
      </c>
      <c r="M104" s="9"/>
      <c r="N104" s="9"/>
      <c r="O104" s="9">
        <v>0</v>
      </c>
      <c r="P104" s="9"/>
      <c r="Q104" s="9"/>
      <c r="R104" s="9"/>
      <c r="S104" s="9"/>
      <c r="T104" s="9">
        <f t="shared" si="24"/>
        <v>0</v>
      </c>
      <c r="U104" s="11"/>
      <c r="V104" s="4">
        <f t="shared" si="22"/>
        <v>0</v>
      </c>
      <c r="W104" s="4"/>
      <c r="X104" s="4"/>
      <c r="Y104" s="16"/>
      <c r="Z104" s="16"/>
      <c r="AA104" s="16" t="e">
        <f t="shared" si="25"/>
        <v>#DIV/0!</v>
      </c>
      <c r="AB104" s="9" t="e">
        <f t="shared" si="26"/>
        <v>#DIV/0!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 t="s">
        <v>61</v>
      </c>
      <c r="AN104" s="16">
        <f t="shared" si="27"/>
        <v>0</v>
      </c>
      <c r="AO104" t="s">
        <v>255</v>
      </c>
    </row>
    <row r="105" spans="1:41" x14ac:dyDescent="0.25">
      <c r="A105" s="16" t="s">
        <v>256</v>
      </c>
      <c r="B105" s="16" t="s">
        <v>52</v>
      </c>
      <c r="C105" s="16">
        <v>2</v>
      </c>
      <c r="D105" s="16">
        <v>270</v>
      </c>
      <c r="E105" s="16">
        <v>70</v>
      </c>
      <c r="F105" s="16">
        <v>182</v>
      </c>
      <c r="G105" s="6">
        <v>0.08</v>
      </c>
      <c r="H105" s="16">
        <v>45</v>
      </c>
      <c r="I105" s="16" t="s">
        <v>45</v>
      </c>
      <c r="J105" s="16"/>
      <c r="K105" s="16">
        <v>77</v>
      </c>
      <c r="L105" s="16">
        <f t="shared" si="23"/>
        <v>-7</v>
      </c>
      <c r="M105" s="16"/>
      <c r="N105" s="16"/>
      <c r="O105" s="16">
        <v>100</v>
      </c>
      <c r="P105" s="16"/>
      <c r="Q105" s="16"/>
      <c r="R105" s="16"/>
      <c r="S105" s="16"/>
      <c r="T105" s="16">
        <f t="shared" si="24"/>
        <v>14</v>
      </c>
      <c r="U105" s="4"/>
      <c r="V105" s="4">
        <f t="shared" si="22"/>
        <v>0</v>
      </c>
      <c r="W105" s="4"/>
      <c r="X105" s="4"/>
      <c r="Y105" s="16"/>
      <c r="Z105" s="16"/>
      <c r="AA105" s="16">
        <f t="shared" si="25"/>
        <v>20.142857142857142</v>
      </c>
      <c r="AB105" s="16">
        <f t="shared" si="26"/>
        <v>20.142857142857142</v>
      </c>
      <c r="AC105" s="16">
        <v>0.6</v>
      </c>
      <c r="AD105" s="16">
        <v>11.2</v>
      </c>
      <c r="AE105" s="16">
        <v>23.6</v>
      </c>
      <c r="AF105" s="16">
        <v>19</v>
      </c>
      <c r="AG105" s="16">
        <v>14.6</v>
      </c>
      <c r="AH105" s="16">
        <v>11.6</v>
      </c>
      <c r="AI105" s="16">
        <v>5.4</v>
      </c>
      <c r="AJ105" s="16">
        <v>13.6</v>
      </c>
      <c r="AK105" s="16">
        <v>20</v>
      </c>
      <c r="AL105" s="16">
        <v>12.6</v>
      </c>
      <c r="AM105" s="16"/>
      <c r="AN105" s="16">
        <f t="shared" si="27"/>
        <v>0</v>
      </c>
      <c r="AO105" t="s">
        <v>257</v>
      </c>
    </row>
    <row r="106" spans="1:41" x14ac:dyDescent="0.25">
      <c r="A106" s="16" t="s">
        <v>258</v>
      </c>
      <c r="B106" s="16" t="s">
        <v>52</v>
      </c>
      <c r="C106" s="16">
        <v>34</v>
      </c>
      <c r="D106" s="16">
        <v>170</v>
      </c>
      <c r="E106" s="16">
        <v>91</v>
      </c>
      <c r="F106" s="16">
        <v>87</v>
      </c>
      <c r="G106" s="6">
        <v>0.08</v>
      </c>
      <c r="H106" s="16">
        <v>45</v>
      </c>
      <c r="I106" s="16" t="s">
        <v>45</v>
      </c>
      <c r="J106" s="16"/>
      <c r="K106" s="16">
        <v>98</v>
      </c>
      <c r="L106" s="16">
        <f t="shared" si="23"/>
        <v>-7</v>
      </c>
      <c r="M106" s="16"/>
      <c r="N106" s="16"/>
      <c r="O106" s="16">
        <v>94</v>
      </c>
      <c r="P106" s="16"/>
      <c r="Q106" s="16"/>
      <c r="R106" s="16">
        <v>106</v>
      </c>
      <c r="S106" s="16"/>
      <c r="T106" s="16">
        <f t="shared" si="24"/>
        <v>18.2</v>
      </c>
      <c r="U106" s="4"/>
      <c r="V106" s="4">
        <f t="shared" si="22"/>
        <v>0</v>
      </c>
      <c r="W106" s="4"/>
      <c r="X106" s="4"/>
      <c r="Y106" s="16"/>
      <c r="Z106" s="16"/>
      <c r="AA106" s="16">
        <f t="shared" si="25"/>
        <v>15.76923076923077</v>
      </c>
      <c r="AB106" s="16">
        <f t="shared" si="26"/>
        <v>15.76923076923077</v>
      </c>
      <c r="AC106" s="16">
        <v>11</v>
      </c>
      <c r="AD106" s="16">
        <v>21</v>
      </c>
      <c r="AE106" s="16">
        <v>22.2</v>
      </c>
      <c r="AF106" s="16">
        <v>14.4</v>
      </c>
      <c r="AG106" s="16">
        <v>15.6</v>
      </c>
      <c r="AH106" s="16">
        <v>9.8000000000000007</v>
      </c>
      <c r="AI106" s="16">
        <v>4.2</v>
      </c>
      <c r="AJ106" s="16">
        <v>18</v>
      </c>
      <c r="AK106" s="16">
        <v>20</v>
      </c>
      <c r="AL106" s="16">
        <v>9.4</v>
      </c>
      <c r="AM106" s="15" t="s">
        <v>124</v>
      </c>
      <c r="AN106" s="16">
        <f t="shared" si="27"/>
        <v>0</v>
      </c>
      <c r="AO106" t="s">
        <v>259</v>
      </c>
    </row>
    <row r="107" spans="1:41" x14ac:dyDescent="0.25">
      <c r="A107" s="9" t="s">
        <v>260</v>
      </c>
      <c r="B107" s="9" t="s">
        <v>52</v>
      </c>
      <c r="C107" s="9"/>
      <c r="D107" s="9"/>
      <c r="E107" s="9"/>
      <c r="F107" s="9"/>
      <c r="G107" s="10">
        <v>0</v>
      </c>
      <c r="H107" s="9"/>
      <c r="I107" s="9" t="s">
        <v>45</v>
      </c>
      <c r="J107" s="9"/>
      <c r="K107" s="9"/>
      <c r="L107" s="9">
        <f t="shared" si="23"/>
        <v>0</v>
      </c>
      <c r="M107" s="9"/>
      <c r="N107" s="9"/>
      <c r="O107" s="9">
        <v>0</v>
      </c>
      <c r="P107" s="9"/>
      <c r="Q107" s="9"/>
      <c r="R107" s="9"/>
      <c r="S107" s="9"/>
      <c r="T107" s="9">
        <f t="shared" si="24"/>
        <v>0</v>
      </c>
      <c r="U107" s="11"/>
      <c r="V107" s="4">
        <f t="shared" si="22"/>
        <v>0</v>
      </c>
      <c r="W107" s="4"/>
      <c r="X107" s="4"/>
      <c r="Y107" s="16"/>
      <c r="Z107" s="16"/>
      <c r="AA107" s="16" t="e">
        <f t="shared" si="25"/>
        <v>#DIV/0!</v>
      </c>
      <c r="AB107" s="9" t="e">
        <f t="shared" si="26"/>
        <v>#DIV/0!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 t="s">
        <v>61</v>
      </c>
      <c r="AN107" s="16">
        <f t="shared" si="27"/>
        <v>0</v>
      </c>
      <c r="AO107" t="s">
        <v>261</v>
      </c>
    </row>
    <row r="108" spans="1:41" x14ac:dyDescent="0.25">
      <c r="A108" s="16" t="s">
        <v>262</v>
      </c>
      <c r="B108" s="16" t="s">
        <v>44</v>
      </c>
      <c r="C108" s="16">
        <v>-1.296</v>
      </c>
      <c r="D108" s="16">
        <v>84.037999999999997</v>
      </c>
      <c r="E108" s="16">
        <v>81.257999999999996</v>
      </c>
      <c r="F108" s="16">
        <v>-1.371</v>
      </c>
      <c r="G108" s="6">
        <v>1</v>
      </c>
      <c r="H108" s="16">
        <v>40</v>
      </c>
      <c r="I108" s="8" t="s">
        <v>64</v>
      </c>
      <c r="J108" s="16"/>
      <c r="K108" s="16">
        <v>98.4</v>
      </c>
      <c r="L108" s="16">
        <f t="shared" si="23"/>
        <v>-17.14200000000001</v>
      </c>
      <c r="M108" s="16"/>
      <c r="N108" s="16"/>
      <c r="O108" s="16">
        <v>100</v>
      </c>
      <c r="P108" s="16"/>
      <c r="Q108" s="16"/>
      <c r="R108" s="16"/>
      <c r="S108" s="16"/>
      <c r="T108" s="16">
        <f t="shared" si="24"/>
        <v>16.2516</v>
      </c>
      <c r="U108" s="4">
        <v>80</v>
      </c>
      <c r="V108" s="4">
        <v>150</v>
      </c>
      <c r="W108" s="4">
        <v>-150.5</v>
      </c>
      <c r="X108" s="4"/>
      <c r="Y108" s="16">
        <f>VLOOKUP(A108,[1]Sheet!$A:$V,21,0)</f>
        <v>200</v>
      </c>
      <c r="Z108" s="16" t="str">
        <f>VLOOKUP(A108,[1]Sheet!$A:$V,22,0)</f>
        <v>Промо ЖЦ</v>
      </c>
      <c r="AA108" s="16">
        <f t="shared" si="25"/>
        <v>15.298739816387311</v>
      </c>
      <c r="AB108" s="16">
        <f t="shared" si="26"/>
        <v>6.0688793718772311</v>
      </c>
      <c r="AC108" s="16">
        <v>0.43880000000000002</v>
      </c>
      <c r="AD108" s="16">
        <v>18.152000000000001</v>
      </c>
      <c r="AE108" s="16">
        <v>37.6066</v>
      </c>
      <c r="AF108" s="16">
        <v>48.525799999999997</v>
      </c>
      <c r="AG108" s="16">
        <v>48.293199999999999</v>
      </c>
      <c r="AH108" s="16">
        <v>40.6768</v>
      </c>
      <c r="AI108" s="16">
        <v>32.158000000000001</v>
      </c>
      <c r="AJ108" s="16">
        <v>35.068199999999997</v>
      </c>
      <c r="AK108" s="16">
        <v>38.737400000000001</v>
      </c>
      <c r="AL108" s="16">
        <v>37.202199999999998</v>
      </c>
      <c r="AM108" s="16"/>
      <c r="AN108" s="16">
        <f t="shared" si="27"/>
        <v>150</v>
      </c>
      <c r="AO108" t="s">
        <v>263</v>
      </c>
    </row>
    <row r="109" spans="1:41" x14ac:dyDescent="0.25">
      <c r="A109" s="16" t="s">
        <v>264</v>
      </c>
      <c r="B109" s="16" t="s">
        <v>44</v>
      </c>
      <c r="C109" s="16">
        <v>-0.16400000000000001</v>
      </c>
      <c r="D109" s="16">
        <v>47.32</v>
      </c>
      <c r="E109" s="16">
        <v>50.820999999999998</v>
      </c>
      <c r="F109" s="16">
        <v>-6.75</v>
      </c>
      <c r="G109" s="6">
        <v>1</v>
      </c>
      <c r="H109" s="16">
        <v>40</v>
      </c>
      <c r="I109" s="8" t="s">
        <v>64</v>
      </c>
      <c r="J109" s="16"/>
      <c r="K109" s="16">
        <v>84.8</v>
      </c>
      <c r="L109" s="16">
        <f t="shared" si="23"/>
        <v>-33.978999999999999</v>
      </c>
      <c r="M109" s="16"/>
      <c r="N109" s="16"/>
      <c r="O109" s="16">
        <v>100</v>
      </c>
      <c r="P109" s="16"/>
      <c r="Q109" s="16"/>
      <c r="R109" s="16"/>
      <c r="S109" s="16"/>
      <c r="T109" s="16">
        <f t="shared" si="24"/>
        <v>10.164199999999999</v>
      </c>
      <c r="U109" s="4">
        <v>40</v>
      </c>
      <c r="V109" s="4">
        <v>150</v>
      </c>
      <c r="W109" s="4"/>
      <c r="X109" s="4"/>
      <c r="Y109" s="16">
        <f>VLOOKUP(A109,[1]Sheet!$A:$V,21,0)</f>
        <v>200</v>
      </c>
      <c r="Z109" s="16" t="str">
        <f>VLOOKUP(A109,[1]Sheet!$A:$V,22,0)</f>
        <v>Промо ЖЦ</v>
      </c>
      <c r="AA109" s="16">
        <f t="shared" si="25"/>
        <v>23.932035969382738</v>
      </c>
      <c r="AB109" s="16">
        <f t="shared" si="26"/>
        <v>9.174357057122057</v>
      </c>
      <c r="AC109" s="16">
        <v>1.1066</v>
      </c>
      <c r="AD109" s="16">
        <v>18.8582</v>
      </c>
      <c r="AE109" s="16">
        <v>41.940399999999997</v>
      </c>
      <c r="AF109" s="16">
        <v>51.450800000000001</v>
      </c>
      <c r="AG109" s="16">
        <v>46.6586</v>
      </c>
      <c r="AH109" s="16">
        <v>38.007399999999997</v>
      </c>
      <c r="AI109" s="16">
        <v>31.772600000000001</v>
      </c>
      <c r="AJ109" s="16">
        <v>34.806199999999997</v>
      </c>
      <c r="AK109" s="16">
        <v>35.509799999999998</v>
      </c>
      <c r="AL109" s="16">
        <v>40.703800000000001</v>
      </c>
      <c r="AM109" s="16"/>
      <c r="AN109" s="16">
        <f t="shared" si="27"/>
        <v>150</v>
      </c>
      <c r="AO109" t="s">
        <v>265</v>
      </c>
    </row>
    <row r="110" spans="1:41" x14ac:dyDescent="0.25">
      <c r="A110" s="16" t="s">
        <v>266</v>
      </c>
      <c r="B110" s="16" t="s">
        <v>44</v>
      </c>
      <c r="C110" s="16">
        <v>8.0519999999999996</v>
      </c>
      <c r="D110" s="16">
        <v>0.7</v>
      </c>
      <c r="E110" s="16">
        <v>-2.1</v>
      </c>
      <c r="F110" s="16">
        <v>8.0519999999999996</v>
      </c>
      <c r="G110" s="6">
        <v>1</v>
      </c>
      <c r="H110" s="16">
        <v>40</v>
      </c>
      <c r="I110" s="8" t="s">
        <v>64</v>
      </c>
      <c r="J110" s="16"/>
      <c r="K110" s="16">
        <v>179.5</v>
      </c>
      <c r="L110" s="16">
        <f t="shared" si="23"/>
        <v>-181.6</v>
      </c>
      <c r="M110" s="16"/>
      <c r="N110" s="16"/>
      <c r="O110" s="16">
        <v>150</v>
      </c>
      <c r="P110" s="16">
        <v>-151</v>
      </c>
      <c r="Q110" s="16"/>
      <c r="R110" s="16"/>
      <c r="S110" s="16"/>
      <c r="T110" s="16">
        <f t="shared" si="24"/>
        <v>-0.42000000000000004</v>
      </c>
      <c r="U110" s="4">
        <v>120</v>
      </c>
      <c r="V110" s="4">
        <v>200</v>
      </c>
      <c r="W110" s="4">
        <v>-203</v>
      </c>
      <c r="X110" s="4"/>
      <c r="Y110" s="16">
        <f>VLOOKUP(A110,[1]Sheet!$A:$V,21,0)</f>
        <v>200</v>
      </c>
      <c r="Z110" s="16" t="str">
        <f>VLOOKUP(A110,[1]Sheet!$A:$V,22,0)</f>
        <v>Промо ЖЦ</v>
      </c>
      <c r="AA110" s="16">
        <f t="shared" si="25"/>
        <v>-852.50476190476184</v>
      </c>
      <c r="AB110" s="16">
        <f t="shared" si="26"/>
        <v>-376.31428571428569</v>
      </c>
      <c r="AC110" s="16">
        <v>-0.42220000000000002</v>
      </c>
      <c r="AD110" s="16">
        <v>-1.1372</v>
      </c>
      <c r="AE110" s="16">
        <v>-1.2682</v>
      </c>
      <c r="AF110" s="16">
        <v>29.753599999999999</v>
      </c>
      <c r="AG110" s="16">
        <v>60.248199999999997</v>
      </c>
      <c r="AH110" s="16">
        <v>61.4514</v>
      </c>
      <c r="AI110" s="16">
        <v>45.332599999999999</v>
      </c>
      <c r="AJ110" s="16">
        <v>44.720799999999997</v>
      </c>
      <c r="AK110" s="16">
        <v>51.527799999999999</v>
      </c>
      <c r="AL110" s="16">
        <v>51.247799999999998</v>
      </c>
      <c r="AM110" s="16"/>
      <c r="AN110" s="16">
        <f t="shared" si="27"/>
        <v>200</v>
      </c>
      <c r="AO110" t="s">
        <v>267</v>
      </c>
    </row>
    <row r="111" spans="1:41" x14ac:dyDescent="0.25">
      <c r="A111" s="9" t="s">
        <v>268</v>
      </c>
      <c r="B111" s="9" t="s">
        <v>52</v>
      </c>
      <c r="C111" s="9"/>
      <c r="D111" s="9"/>
      <c r="E111" s="9"/>
      <c r="F111" s="9"/>
      <c r="G111" s="10">
        <v>0</v>
      </c>
      <c r="H111" s="9"/>
      <c r="I111" s="9" t="s">
        <v>45</v>
      </c>
      <c r="J111" s="9"/>
      <c r="K111" s="9"/>
      <c r="L111" s="9">
        <f t="shared" si="23"/>
        <v>0</v>
      </c>
      <c r="M111" s="9"/>
      <c r="N111" s="9"/>
      <c r="O111" s="9">
        <v>0</v>
      </c>
      <c r="P111" s="9"/>
      <c r="Q111" s="9"/>
      <c r="R111" s="9"/>
      <c r="S111" s="9"/>
      <c r="T111" s="9">
        <f t="shared" si="24"/>
        <v>0</v>
      </c>
      <c r="U111" s="11"/>
      <c r="V111" s="4">
        <f>U111</f>
        <v>0</v>
      </c>
      <c r="W111" s="4"/>
      <c r="X111" s="4"/>
      <c r="Y111" s="16"/>
      <c r="Z111" s="16"/>
      <c r="AA111" s="16" t="e">
        <f t="shared" si="25"/>
        <v>#DIV/0!</v>
      </c>
      <c r="AB111" s="9" t="e">
        <f t="shared" si="26"/>
        <v>#DIV/0!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 t="s">
        <v>61</v>
      </c>
      <c r="AN111" s="16">
        <f t="shared" si="27"/>
        <v>0</v>
      </c>
      <c r="AO111" t="s">
        <v>269</v>
      </c>
    </row>
    <row r="112" spans="1:41" x14ac:dyDescent="0.25">
      <c r="A112" s="9" t="s">
        <v>270</v>
      </c>
      <c r="B112" s="9" t="s">
        <v>52</v>
      </c>
      <c r="C112" s="9"/>
      <c r="D112" s="9"/>
      <c r="E112" s="9"/>
      <c r="F112" s="9"/>
      <c r="G112" s="10">
        <v>0</v>
      </c>
      <c r="H112" s="9"/>
      <c r="I112" s="9" t="s">
        <v>45</v>
      </c>
      <c r="J112" s="9"/>
      <c r="K112" s="9"/>
      <c r="L112" s="9">
        <f t="shared" si="23"/>
        <v>0</v>
      </c>
      <c r="M112" s="9"/>
      <c r="N112" s="9"/>
      <c r="O112" s="9">
        <v>0</v>
      </c>
      <c r="P112" s="9"/>
      <c r="Q112" s="9"/>
      <c r="R112" s="9"/>
      <c r="S112" s="9"/>
      <c r="T112" s="9">
        <f t="shared" si="24"/>
        <v>0</v>
      </c>
      <c r="U112" s="11"/>
      <c r="V112" s="4">
        <f>U112</f>
        <v>0</v>
      </c>
      <c r="W112" s="4"/>
      <c r="X112" s="4"/>
      <c r="Y112" s="16"/>
      <c r="Z112" s="16"/>
      <c r="AA112" s="16" t="e">
        <f t="shared" si="25"/>
        <v>#DIV/0!</v>
      </c>
      <c r="AB112" s="9" t="e">
        <f t="shared" si="26"/>
        <v>#DIV/0!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 t="s">
        <v>61</v>
      </c>
      <c r="AN112" s="16">
        <f t="shared" si="27"/>
        <v>0</v>
      </c>
      <c r="AO112" t="s">
        <v>271</v>
      </c>
    </row>
    <row r="113" spans="1:41" x14ac:dyDescent="0.25">
      <c r="A113" s="16" t="s">
        <v>272</v>
      </c>
      <c r="B113" s="16" t="s">
        <v>52</v>
      </c>
      <c r="C113" s="16">
        <v>7</v>
      </c>
      <c r="D113" s="16">
        <v>109</v>
      </c>
      <c r="E113" s="16">
        <v>89</v>
      </c>
      <c r="F113" s="16">
        <v>7</v>
      </c>
      <c r="G113" s="6">
        <v>0.28000000000000003</v>
      </c>
      <c r="H113" s="16">
        <v>40</v>
      </c>
      <c r="I113" s="8" t="s">
        <v>64</v>
      </c>
      <c r="J113" s="16"/>
      <c r="K113" s="16">
        <v>136</v>
      </c>
      <c r="L113" s="16">
        <f t="shared" si="23"/>
        <v>-47</v>
      </c>
      <c r="M113" s="16"/>
      <c r="N113" s="16"/>
      <c r="O113" s="16">
        <v>100</v>
      </c>
      <c r="P113" s="16"/>
      <c r="Q113" s="16"/>
      <c r="R113" s="16"/>
      <c r="S113" s="16"/>
      <c r="T113" s="16">
        <f t="shared" si="24"/>
        <v>17.8</v>
      </c>
      <c r="U113" s="4">
        <v>80</v>
      </c>
      <c r="V113" s="4">
        <v>200</v>
      </c>
      <c r="W113" s="4"/>
      <c r="X113" s="4"/>
      <c r="Y113" s="16">
        <f>VLOOKUP(A113,[1]Sheet!$A:$V,21,0)</f>
        <v>250</v>
      </c>
      <c r="Z113" s="16" t="str">
        <f>VLOOKUP(A113,[1]Sheet!$A:$V,22,0)</f>
        <v>Промо ЖЦ</v>
      </c>
      <c r="AA113" s="16">
        <f t="shared" si="25"/>
        <v>17.247191011235955</v>
      </c>
      <c r="AB113" s="16">
        <f t="shared" si="26"/>
        <v>6.0112359550561791</v>
      </c>
      <c r="AC113" s="16">
        <v>-1.2</v>
      </c>
      <c r="AD113" s="16">
        <v>19.2</v>
      </c>
      <c r="AE113" s="16">
        <v>56.6</v>
      </c>
      <c r="AF113" s="16">
        <v>41</v>
      </c>
      <c r="AG113" s="16">
        <v>1</v>
      </c>
      <c r="AH113" s="16">
        <v>-2</v>
      </c>
      <c r="AI113" s="16">
        <v>7</v>
      </c>
      <c r="AJ113" s="16">
        <v>46</v>
      </c>
      <c r="AK113" s="16">
        <v>56.4</v>
      </c>
      <c r="AL113" s="16">
        <v>36.6</v>
      </c>
      <c r="AM113" s="16"/>
      <c r="AN113" s="16">
        <f t="shared" si="27"/>
        <v>56</v>
      </c>
      <c r="AO113" t="s">
        <v>273</v>
      </c>
    </row>
    <row r="114" spans="1:41" x14ac:dyDescent="0.25">
      <c r="A114" s="16" t="s">
        <v>274</v>
      </c>
      <c r="B114" s="16" t="s">
        <v>52</v>
      </c>
      <c r="C114" s="16">
        <v>2</v>
      </c>
      <c r="D114" s="16">
        <v>73</v>
      </c>
      <c r="E114" s="16">
        <v>69</v>
      </c>
      <c r="F114" s="16">
        <v>2</v>
      </c>
      <c r="G114" s="6">
        <v>0.28000000000000003</v>
      </c>
      <c r="H114" s="16">
        <v>40</v>
      </c>
      <c r="I114" s="8" t="s">
        <v>64</v>
      </c>
      <c r="J114" s="16"/>
      <c r="K114" s="16">
        <v>115</v>
      </c>
      <c r="L114" s="16">
        <f t="shared" si="23"/>
        <v>-46</v>
      </c>
      <c r="M114" s="16"/>
      <c r="N114" s="16"/>
      <c r="O114" s="16">
        <v>100</v>
      </c>
      <c r="P114" s="16"/>
      <c r="Q114" s="16"/>
      <c r="R114" s="16"/>
      <c r="S114" s="16"/>
      <c r="T114" s="16">
        <f t="shared" si="24"/>
        <v>13.8</v>
      </c>
      <c r="U114" s="4">
        <v>70</v>
      </c>
      <c r="V114" s="4">
        <v>200</v>
      </c>
      <c r="W114" s="4">
        <v>-203.99999999999997</v>
      </c>
      <c r="X114" s="4"/>
      <c r="Y114" s="16">
        <f>VLOOKUP(A114,[1]Sheet!$A:$V,21,0)</f>
        <v>250</v>
      </c>
      <c r="Z114" s="16" t="str">
        <f>VLOOKUP(A114,[1]Sheet!$A:$V,22,0)</f>
        <v>Промо ЖЦ</v>
      </c>
      <c r="AA114" s="16">
        <f t="shared" si="25"/>
        <v>21.884057971014492</v>
      </c>
      <c r="AB114" s="16">
        <f t="shared" si="26"/>
        <v>7.3913043478260869</v>
      </c>
      <c r="AC114" s="16">
        <v>-0.6</v>
      </c>
      <c r="AD114" s="16">
        <v>-1</v>
      </c>
      <c r="AE114" s="16">
        <v>-2.4</v>
      </c>
      <c r="AF114" s="16">
        <v>-2.4</v>
      </c>
      <c r="AG114" s="16">
        <v>1</v>
      </c>
      <c r="AH114" s="16">
        <v>22.4</v>
      </c>
      <c r="AI114" s="16">
        <v>34.6</v>
      </c>
      <c r="AJ114" s="16">
        <v>45.2</v>
      </c>
      <c r="AK114" s="16">
        <v>45.8</v>
      </c>
      <c r="AL114" s="16">
        <v>35</v>
      </c>
      <c r="AM114" s="16"/>
      <c r="AN114" s="16">
        <f t="shared" si="27"/>
        <v>56</v>
      </c>
      <c r="AO114" t="s">
        <v>275</v>
      </c>
    </row>
    <row r="115" spans="1:41" x14ac:dyDescent="0.25">
      <c r="A115" s="16" t="s">
        <v>276</v>
      </c>
      <c r="B115" s="16" t="s">
        <v>52</v>
      </c>
      <c r="C115" s="16">
        <v>-4</v>
      </c>
      <c r="D115" s="16">
        <v>73</v>
      </c>
      <c r="E115" s="16">
        <v>66</v>
      </c>
      <c r="F115" s="16">
        <v>-7</v>
      </c>
      <c r="G115" s="6">
        <v>0.28000000000000003</v>
      </c>
      <c r="H115" s="16">
        <v>40</v>
      </c>
      <c r="I115" s="8" t="s">
        <v>64</v>
      </c>
      <c r="J115" s="16"/>
      <c r="K115" s="16">
        <v>78</v>
      </c>
      <c r="L115" s="16">
        <f t="shared" si="23"/>
        <v>-12</v>
      </c>
      <c r="M115" s="16"/>
      <c r="N115" s="16"/>
      <c r="O115" s="16">
        <v>80</v>
      </c>
      <c r="P115" s="16"/>
      <c r="Q115" s="16"/>
      <c r="R115" s="16"/>
      <c r="S115" s="16"/>
      <c r="T115" s="16">
        <f t="shared" si="24"/>
        <v>13.2</v>
      </c>
      <c r="U115" s="4">
        <v>80</v>
      </c>
      <c r="V115" s="4">
        <v>200</v>
      </c>
      <c r="W115" s="4">
        <v>-203.99999999999997</v>
      </c>
      <c r="X115" s="4"/>
      <c r="Y115" s="16">
        <f>VLOOKUP(A115,[1]Sheet!$A:$V,21,0)</f>
        <v>250</v>
      </c>
      <c r="Z115" s="16" t="str">
        <f>VLOOKUP(A115,[1]Sheet!$A:$V,22,0)</f>
        <v>Промо ЖЦ</v>
      </c>
      <c r="AA115" s="16">
        <f t="shared" si="25"/>
        <v>20.681818181818183</v>
      </c>
      <c r="AB115" s="16">
        <f t="shared" si="26"/>
        <v>5.5303030303030303</v>
      </c>
      <c r="AC115" s="16">
        <v>8</v>
      </c>
      <c r="AD115" s="16">
        <v>42.2</v>
      </c>
      <c r="AE115" s="16">
        <v>68.2</v>
      </c>
      <c r="AF115" s="16">
        <v>49.2</v>
      </c>
      <c r="AG115" s="16">
        <v>33</v>
      </c>
      <c r="AH115" s="16">
        <v>39.200000000000003</v>
      </c>
      <c r="AI115" s="16">
        <v>30.6</v>
      </c>
      <c r="AJ115" s="16">
        <v>43.4</v>
      </c>
      <c r="AK115" s="16">
        <v>43</v>
      </c>
      <c r="AL115" s="16">
        <v>33</v>
      </c>
      <c r="AM115" s="16"/>
      <c r="AN115" s="16">
        <f t="shared" si="27"/>
        <v>56</v>
      </c>
      <c r="AO115" t="s">
        <v>277</v>
      </c>
    </row>
    <row r="116" spans="1:41" x14ac:dyDescent="0.25">
      <c r="A116" s="9" t="s">
        <v>278</v>
      </c>
      <c r="B116" s="9" t="s">
        <v>52</v>
      </c>
      <c r="C116" s="9"/>
      <c r="D116" s="9"/>
      <c r="E116" s="9"/>
      <c r="F116" s="9"/>
      <c r="G116" s="10">
        <v>0</v>
      </c>
      <c r="H116" s="9"/>
      <c r="I116" s="9" t="s">
        <v>45</v>
      </c>
      <c r="J116" s="9"/>
      <c r="K116" s="9"/>
      <c r="L116" s="9">
        <f t="shared" si="23"/>
        <v>0</v>
      </c>
      <c r="M116" s="9"/>
      <c r="N116" s="9"/>
      <c r="O116" s="9">
        <v>0</v>
      </c>
      <c r="P116" s="9"/>
      <c r="Q116" s="9"/>
      <c r="R116" s="9"/>
      <c r="S116" s="9"/>
      <c r="T116" s="9">
        <f t="shared" si="24"/>
        <v>0</v>
      </c>
      <c r="U116" s="11"/>
      <c r="V116" s="4">
        <f>U116</f>
        <v>0</v>
      </c>
      <c r="W116" s="4"/>
      <c r="X116" s="4"/>
      <c r="Y116" s="16"/>
      <c r="Z116" s="16"/>
      <c r="AA116" s="16" t="e">
        <f t="shared" si="25"/>
        <v>#DIV/0!</v>
      </c>
      <c r="AB116" s="9" t="e">
        <f t="shared" si="26"/>
        <v>#DIV/0!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 t="s">
        <v>61</v>
      </c>
      <c r="AN116" s="16">
        <f t="shared" si="27"/>
        <v>0</v>
      </c>
      <c r="AO116" t="s">
        <v>279</v>
      </c>
    </row>
    <row r="117" spans="1:41" x14ac:dyDescent="0.25">
      <c r="A117" s="16" t="s">
        <v>280</v>
      </c>
      <c r="B117" s="16" t="s">
        <v>44</v>
      </c>
      <c r="C117" s="16">
        <v>159.47499999999999</v>
      </c>
      <c r="D117" s="16"/>
      <c r="E117" s="16">
        <v>15.052</v>
      </c>
      <c r="F117" s="16">
        <v>134.398</v>
      </c>
      <c r="G117" s="6">
        <v>1</v>
      </c>
      <c r="H117" s="16">
        <v>60</v>
      </c>
      <c r="I117" s="16" t="s">
        <v>45</v>
      </c>
      <c r="J117" s="16"/>
      <c r="K117" s="16">
        <v>16</v>
      </c>
      <c r="L117" s="16">
        <f t="shared" si="23"/>
        <v>-0.9480000000000004</v>
      </c>
      <c r="M117" s="16"/>
      <c r="N117" s="16"/>
      <c r="O117" s="16">
        <v>0</v>
      </c>
      <c r="P117" s="16"/>
      <c r="Q117" s="16"/>
      <c r="R117" s="16"/>
      <c r="S117" s="16"/>
      <c r="T117" s="16">
        <f t="shared" si="24"/>
        <v>3.0103999999999997</v>
      </c>
      <c r="U117" s="4"/>
      <c r="V117" s="4">
        <f>U117</f>
        <v>0</v>
      </c>
      <c r="W117" s="4"/>
      <c r="X117" s="4"/>
      <c r="Y117" s="16"/>
      <c r="Z117" s="16"/>
      <c r="AA117" s="16">
        <f t="shared" si="25"/>
        <v>44.644565506245023</v>
      </c>
      <c r="AB117" s="16">
        <f t="shared" si="26"/>
        <v>44.644565506245023</v>
      </c>
      <c r="AC117" s="16">
        <v>7.0028000000000006</v>
      </c>
      <c r="AD117" s="16">
        <v>11.0334</v>
      </c>
      <c r="AE117" s="16">
        <v>6.3334000000000001</v>
      </c>
      <c r="AF117" s="16">
        <v>3.678199999999999</v>
      </c>
      <c r="AG117" s="16">
        <v>4.3917999999999999</v>
      </c>
      <c r="AH117" s="16">
        <v>9.8704000000000001</v>
      </c>
      <c r="AI117" s="16">
        <v>11.0616</v>
      </c>
      <c r="AJ117" s="16">
        <v>18.499199999999998</v>
      </c>
      <c r="AK117" s="16">
        <v>18.447199999999999</v>
      </c>
      <c r="AL117" s="16">
        <v>12.635400000000001</v>
      </c>
      <c r="AM117" s="14" t="s">
        <v>105</v>
      </c>
      <c r="AN117" s="16">
        <f t="shared" si="27"/>
        <v>0</v>
      </c>
      <c r="AO117" t="s">
        <v>281</v>
      </c>
    </row>
    <row r="118" spans="1:41" x14ac:dyDescent="0.25">
      <c r="A118" s="16" t="s">
        <v>282</v>
      </c>
      <c r="B118" s="16" t="s">
        <v>44</v>
      </c>
      <c r="C118" s="16">
        <v>47.527999999999999</v>
      </c>
      <c r="D118" s="16">
        <v>14.98</v>
      </c>
      <c r="E118" s="16">
        <v>19.870999999999999</v>
      </c>
      <c r="F118" s="16">
        <v>32.731999999999999</v>
      </c>
      <c r="G118" s="6">
        <v>1</v>
      </c>
      <c r="H118" s="16">
        <v>50</v>
      </c>
      <c r="I118" s="16" t="s">
        <v>45</v>
      </c>
      <c r="J118" s="16"/>
      <c r="K118" s="16">
        <v>21</v>
      </c>
      <c r="L118" s="16">
        <f t="shared" si="23"/>
        <v>-1.1290000000000013</v>
      </c>
      <c r="M118" s="16"/>
      <c r="N118" s="16"/>
      <c r="O118" s="16">
        <v>51.075799999999987</v>
      </c>
      <c r="P118" s="16"/>
      <c r="Q118" s="16"/>
      <c r="R118" s="16"/>
      <c r="S118" s="16"/>
      <c r="T118" s="16">
        <f t="shared" si="24"/>
        <v>3.9741999999999997</v>
      </c>
      <c r="U118" s="4"/>
      <c r="V118" s="4">
        <f>U118</f>
        <v>0</v>
      </c>
      <c r="W118" s="4"/>
      <c r="X118" s="4"/>
      <c r="Y118" s="16"/>
      <c r="Z118" s="16"/>
      <c r="AA118" s="16">
        <f t="shared" si="25"/>
        <v>21.087967389663326</v>
      </c>
      <c r="AB118" s="16">
        <f t="shared" si="26"/>
        <v>21.087967389663326</v>
      </c>
      <c r="AC118" s="16">
        <v>4.4668000000000001</v>
      </c>
      <c r="AD118" s="16">
        <v>8.9374000000000002</v>
      </c>
      <c r="AE118" s="16">
        <v>6.4590000000000014</v>
      </c>
      <c r="AF118" s="16">
        <v>1.9887999999999999</v>
      </c>
      <c r="AG118" s="16">
        <v>5.2645999999999997</v>
      </c>
      <c r="AH118" s="16">
        <v>7.7645999999999997</v>
      </c>
      <c r="AI118" s="16">
        <v>5.4868000000000006</v>
      </c>
      <c r="AJ118" s="16">
        <v>7.4721999999999991</v>
      </c>
      <c r="AK118" s="16">
        <v>9.9611999999999998</v>
      </c>
      <c r="AL118" s="16">
        <v>8.8994</v>
      </c>
      <c r="AM118" s="13" t="s">
        <v>85</v>
      </c>
      <c r="AN118" s="16">
        <f t="shared" si="27"/>
        <v>0</v>
      </c>
      <c r="AO118" t="s">
        <v>283</v>
      </c>
    </row>
    <row r="119" spans="1:41" x14ac:dyDescent="0.25">
      <c r="A119" s="16" t="s">
        <v>284</v>
      </c>
      <c r="B119" s="16" t="s">
        <v>52</v>
      </c>
      <c r="C119" s="16"/>
      <c r="D119" s="16"/>
      <c r="E119" s="16"/>
      <c r="F119" s="16"/>
      <c r="G119" s="6">
        <v>0.09</v>
      </c>
      <c r="H119" s="16"/>
      <c r="I119" s="16" t="s">
        <v>45</v>
      </c>
      <c r="J119" s="16"/>
      <c r="K119" s="16"/>
      <c r="L119" s="16">
        <f t="shared" si="23"/>
        <v>0</v>
      </c>
      <c r="M119" s="16"/>
      <c r="N119" s="16"/>
      <c r="O119" s="16">
        <v>60</v>
      </c>
      <c r="P119" s="16"/>
      <c r="Q119" s="16"/>
      <c r="R119" s="16"/>
      <c r="S119" s="16"/>
      <c r="T119" s="16">
        <f t="shared" si="24"/>
        <v>0</v>
      </c>
      <c r="U119" s="4"/>
      <c r="V119" s="4">
        <f>U119</f>
        <v>0</v>
      </c>
      <c r="W119" s="4"/>
      <c r="X119" s="4"/>
      <c r="Y119" s="16"/>
      <c r="Z119" s="16"/>
      <c r="AA119" s="16" t="e">
        <f t="shared" si="25"/>
        <v>#DIV/0!</v>
      </c>
      <c r="AB119" s="16" t="e">
        <f t="shared" si="26"/>
        <v>#DIV/0!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 t="s">
        <v>235</v>
      </c>
      <c r="AN119" s="16">
        <f t="shared" si="27"/>
        <v>0</v>
      </c>
      <c r="AO119" t="s">
        <v>285</v>
      </c>
    </row>
    <row r="120" spans="1:41" x14ac:dyDescent="0.25">
      <c r="A120" s="9" t="s">
        <v>286</v>
      </c>
      <c r="B120" s="9" t="s">
        <v>52</v>
      </c>
      <c r="C120" s="9"/>
      <c r="D120" s="9"/>
      <c r="E120" s="9"/>
      <c r="F120" s="9"/>
      <c r="G120" s="10">
        <v>0</v>
      </c>
      <c r="H120" s="9"/>
      <c r="I120" s="9" t="s">
        <v>45</v>
      </c>
      <c r="J120" s="9"/>
      <c r="K120" s="9"/>
      <c r="L120" s="9">
        <f t="shared" si="23"/>
        <v>0</v>
      </c>
      <c r="M120" s="9"/>
      <c r="N120" s="9"/>
      <c r="O120" s="9">
        <v>0</v>
      </c>
      <c r="P120" s="9"/>
      <c r="Q120" s="9"/>
      <c r="R120" s="9"/>
      <c r="S120" s="9"/>
      <c r="T120" s="9">
        <f t="shared" si="24"/>
        <v>0</v>
      </c>
      <c r="U120" s="11"/>
      <c r="V120" s="4">
        <f>U120</f>
        <v>0</v>
      </c>
      <c r="W120" s="4"/>
      <c r="X120" s="4"/>
      <c r="Y120" s="16"/>
      <c r="Z120" s="16"/>
      <c r="AA120" s="16" t="e">
        <f t="shared" si="25"/>
        <v>#DIV/0!</v>
      </c>
      <c r="AB120" s="9" t="e">
        <f t="shared" si="26"/>
        <v>#DIV/0!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 t="s">
        <v>61</v>
      </c>
      <c r="AN120" s="16">
        <f t="shared" si="27"/>
        <v>0</v>
      </c>
      <c r="AO120" t="s">
        <v>287</v>
      </c>
    </row>
    <row r="121" spans="1:41" x14ac:dyDescent="0.25">
      <c r="A121" s="16" t="s">
        <v>288</v>
      </c>
      <c r="B121" s="16" t="s">
        <v>44</v>
      </c>
      <c r="C121" s="16">
        <v>31.363</v>
      </c>
      <c r="D121" s="16">
        <v>169.374</v>
      </c>
      <c r="E121" s="16">
        <v>109.069</v>
      </c>
      <c r="F121" s="16">
        <v>42.987000000000002</v>
      </c>
      <c r="G121" s="6">
        <v>1</v>
      </c>
      <c r="H121" s="16">
        <v>60</v>
      </c>
      <c r="I121" s="16" t="s">
        <v>45</v>
      </c>
      <c r="J121" s="16"/>
      <c r="K121" s="16">
        <v>137.55000000000001</v>
      </c>
      <c r="L121" s="16">
        <f t="shared" si="23"/>
        <v>-28.481000000000009</v>
      </c>
      <c r="M121" s="16"/>
      <c r="N121" s="16"/>
      <c r="O121" s="16">
        <v>70.5</v>
      </c>
      <c r="P121" s="16"/>
      <c r="Q121" s="16"/>
      <c r="R121" s="16">
        <v>79.5</v>
      </c>
      <c r="S121" s="16"/>
      <c r="T121" s="16">
        <f t="shared" si="24"/>
        <v>21.813800000000001</v>
      </c>
      <c r="U121" s="4">
        <f>11*T121-S121-R121-Q121-O121-F121</f>
        <v>46.96479999999999</v>
      </c>
      <c r="V121" s="4">
        <f>U121+$V$1*T121</f>
        <v>76.631567999999987</v>
      </c>
      <c r="W121" s="4"/>
      <c r="X121" s="4"/>
      <c r="Y121" s="16"/>
      <c r="Z121" s="16"/>
      <c r="AA121" s="16">
        <f t="shared" si="25"/>
        <v>12.36</v>
      </c>
      <c r="AB121" s="16">
        <f t="shared" si="26"/>
        <v>8.8470142753669698</v>
      </c>
      <c r="AC121" s="16">
        <v>19.250399999999999</v>
      </c>
      <c r="AD121" s="16">
        <v>20.642199999999999</v>
      </c>
      <c r="AE121" s="16">
        <v>20.875599999999999</v>
      </c>
      <c r="AF121" s="16">
        <v>23.84</v>
      </c>
      <c r="AG121" s="16">
        <v>21.065799999999999</v>
      </c>
      <c r="AH121" s="16">
        <v>20.172000000000001</v>
      </c>
      <c r="AI121" s="16">
        <v>15.214600000000001</v>
      </c>
      <c r="AJ121" s="16">
        <v>14.1698</v>
      </c>
      <c r="AK121" s="16">
        <v>20.410399999999999</v>
      </c>
      <c r="AL121" s="16">
        <v>21.778199999999998</v>
      </c>
      <c r="AM121" s="16" t="s">
        <v>124</v>
      </c>
      <c r="AN121" s="16">
        <f t="shared" si="27"/>
        <v>77</v>
      </c>
      <c r="AO121" t="s">
        <v>289</v>
      </c>
    </row>
    <row r="122" spans="1:41" x14ac:dyDescent="0.25">
      <c r="A122" s="16" t="s">
        <v>290</v>
      </c>
      <c r="B122" s="16" t="s">
        <v>44</v>
      </c>
      <c r="C122" s="16">
        <v>5.7619999999999996</v>
      </c>
      <c r="D122" s="16">
        <v>613.54600000000005</v>
      </c>
      <c r="E122" s="16">
        <v>83.622</v>
      </c>
      <c r="F122" s="16">
        <v>505.01600000000002</v>
      </c>
      <c r="G122" s="6">
        <v>1</v>
      </c>
      <c r="H122" s="16">
        <v>60</v>
      </c>
      <c r="I122" s="16" t="s">
        <v>45</v>
      </c>
      <c r="J122" s="16"/>
      <c r="K122" s="16">
        <v>113.9</v>
      </c>
      <c r="L122" s="16">
        <f t="shared" si="23"/>
        <v>-30.278000000000006</v>
      </c>
      <c r="M122" s="16"/>
      <c r="N122" s="16"/>
      <c r="O122" s="16">
        <v>100</v>
      </c>
      <c r="P122" s="16"/>
      <c r="Q122" s="16"/>
      <c r="R122" s="16"/>
      <c r="S122" s="16"/>
      <c r="T122" s="16">
        <f t="shared" si="24"/>
        <v>16.724399999999999</v>
      </c>
      <c r="U122" s="4"/>
      <c r="V122" s="4">
        <f>U122</f>
        <v>0</v>
      </c>
      <c r="W122" s="4"/>
      <c r="X122" s="4"/>
      <c r="Y122" s="16"/>
      <c r="Z122" s="16"/>
      <c r="AA122" s="16">
        <f t="shared" si="25"/>
        <v>36.175647556863034</v>
      </c>
      <c r="AB122" s="16">
        <f t="shared" si="26"/>
        <v>36.175647556863034</v>
      </c>
      <c r="AC122" s="16">
        <v>15.421799999999999</v>
      </c>
      <c r="AD122" s="16">
        <v>46.654200000000003</v>
      </c>
      <c r="AE122" s="16">
        <v>57.178999999999988</v>
      </c>
      <c r="AF122" s="16">
        <v>41.480200000000004</v>
      </c>
      <c r="AG122" s="16">
        <v>28.829000000000001</v>
      </c>
      <c r="AH122" s="16">
        <v>33.867400000000004</v>
      </c>
      <c r="AI122" s="16">
        <v>37.478999999999999</v>
      </c>
      <c r="AJ122" s="16">
        <v>34.275799999999997</v>
      </c>
      <c r="AK122" s="16">
        <v>36.581000000000003</v>
      </c>
      <c r="AL122" s="16">
        <v>40.446399999999997</v>
      </c>
      <c r="AM122" s="16" t="s">
        <v>124</v>
      </c>
      <c r="AN122" s="16">
        <f t="shared" si="27"/>
        <v>0</v>
      </c>
      <c r="AO122" t="s">
        <v>291</v>
      </c>
    </row>
    <row r="123" spans="1:41" x14ac:dyDescent="0.25">
      <c r="A123" s="16" t="s">
        <v>292</v>
      </c>
      <c r="B123" s="16" t="s">
        <v>44</v>
      </c>
      <c r="C123" s="16">
        <v>11.692</v>
      </c>
      <c r="D123" s="16">
        <v>130.81700000000001</v>
      </c>
      <c r="E123" s="16">
        <v>42.055999999999997</v>
      </c>
      <c r="F123" s="16">
        <v>90.93</v>
      </c>
      <c r="G123" s="6">
        <v>1</v>
      </c>
      <c r="H123" s="16">
        <v>60</v>
      </c>
      <c r="I123" s="16" t="s">
        <v>45</v>
      </c>
      <c r="J123" s="16"/>
      <c r="K123" s="16">
        <v>46.7</v>
      </c>
      <c r="L123" s="16">
        <f t="shared" si="23"/>
        <v>-4.6440000000000055</v>
      </c>
      <c r="M123" s="16"/>
      <c r="N123" s="16"/>
      <c r="O123" s="16">
        <v>0</v>
      </c>
      <c r="P123" s="16"/>
      <c r="Q123" s="16"/>
      <c r="R123" s="16"/>
      <c r="S123" s="16"/>
      <c r="T123" s="16">
        <f t="shared" si="24"/>
        <v>8.4111999999999991</v>
      </c>
      <c r="U123" s="4">
        <v>4</v>
      </c>
      <c r="V123" s="4">
        <f>U123</f>
        <v>4</v>
      </c>
      <c r="W123" s="4"/>
      <c r="X123" s="4"/>
      <c r="Y123" s="16"/>
      <c r="Z123" s="16"/>
      <c r="AA123" s="16">
        <f t="shared" si="25"/>
        <v>11.286142286475178</v>
      </c>
      <c r="AB123" s="16">
        <f t="shared" si="26"/>
        <v>10.81058588548602</v>
      </c>
      <c r="AC123" s="16">
        <v>7.3227999999999991</v>
      </c>
      <c r="AD123" s="16">
        <v>10.3934</v>
      </c>
      <c r="AE123" s="16">
        <v>13.385199999999999</v>
      </c>
      <c r="AF123" s="16">
        <v>14.412599999999999</v>
      </c>
      <c r="AG123" s="16">
        <v>11.468</v>
      </c>
      <c r="AH123" s="16">
        <v>9.6209999999999987</v>
      </c>
      <c r="AI123" s="16">
        <v>8.5533999999999999</v>
      </c>
      <c r="AJ123" s="16">
        <v>12.0816</v>
      </c>
      <c r="AK123" s="16">
        <v>11.7842</v>
      </c>
      <c r="AL123" s="16">
        <v>5.2182000000000004</v>
      </c>
      <c r="AM123" s="16"/>
      <c r="AN123" s="16">
        <f t="shared" si="27"/>
        <v>4</v>
      </c>
      <c r="AO123" t="s">
        <v>293</v>
      </c>
    </row>
    <row r="124" spans="1:41" x14ac:dyDescent="0.25">
      <c r="A124" s="16" t="s">
        <v>294</v>
      </c>
      <c r="B124" s="16" t="s">
        <v>44</v>
      </c>
      <c r="C124" s="16">
        <v>487.39600000000002</v>
      </c>
      <c r="D124" s="16">
        <v>959.32500000000005</v>
      </c>
      <c r="E124" s="16">
        <v>563.60799999999995</v>
      </c>
      <c r="F124" s="16">
        <v>703.03099999999995</v>
      </c>
      <c r="G124" s="6">
        <v>1</v>
      </c>
      <c r="H124" s="16">
        <v>60</v>
      </c>
      <c r="I124" s="16" t="s">
        <v>45</v>
      </c>
      <c r="J124" s="16"/>
      <c r="K124" s="16">
        <v>619.5</v>
      </c>
      <c r="L124" s="16">
        <f t="shared" si="23"/>
        <v>-55.892000000000053</v>
      </c>
      <c r="M124" s="16"/>
      <c r="N124" s="16"/>
      <c r="O124" s="16">
        <v>404.01149240000012</v>
      </c>
      <c r="P124" s="16"/>
      <c r="Q124" s="16"/>
      <c r="R124" s="16">
        <v>400</v>
      </c>
      <c r="S124" s="16"/>
      <c r="T124" s="16">
        <f t="shared" si="24"/>
        <v>112.7216</v>
      </c>
      <c r="U124" s="4"/>
      <c r="V124" s="4">
        <f>U124</f>
        <v>0</v>
      </c>
      <c r="W124" s="4"/>
      <c r="X124" s="4"/>
      <c r="Y124" s="16"/>
      <c r="Z124" s="16"/>
      <c r="AA124" s="16">
        <f t="shared" si="25"/>
        <v>13.369598128486468</v>
      </c>
      <c r="AB124" s="16">
        <f t="shared" si="26"/>
        <v>13.369598128486468</v>
      </c>
      <c r="AC124" s="16">
        <v>127.8082</v>
      </c>
      <c r="AD124" s="16">
        <v>160.60159999999999</v>
      </c>
      <c r="AE124" s="16">
        <v>163.82</v>
      </c>
      <c r="AF124" s="16">
        <v>131.39340000000001</v>
      </c>
      <c r="AG124" s="16">
        <v>135.7192</v>
      </c>
      <c r="AH124" s="16">
        <v>165.4958</v>
      </c>
      <c r="AI124" s="16">
        <v>148.43340000000001</v>
      </c>
      <c r="AJ124" s="16">
        <v>180.2364</v>
      </c>
      <c r="AK124" s="16">
        <v>202.20419999999999</v>
      </c>
      <c r="AL124" s="16">
        <v>198.17320000000001</v>
      </c>
      <c r="AM124" s="16"/>
      <c r="AN124" s="16">
        <f t="shared" si="27"/>
        <v>0</v>
      </c>
      <c r="AO124" t="s">
        <v>295</v>
      </c>
    </row>
    <row r="125" spans="1:41" x14ac:dyDescent="0.25">
      <c r="A125" s="16" t="s">
        <v>296</v>
      </c>
      <c r="B125" s="16" t="s">
        <v>52</v>
      </c>
      <c r="C125" s="16">
        <v>4</v>
      </c>
      <c r="D125" s="16">
        <v>96</v>
      </c>
      <c r="E125" s="16">
        <v>72</v>
      </c>
      <c r="F125" s="16">
        <v>13</v>
      </c>
      <c r="G125" s="6">
        <v>0.25</v>
      </c>
      <c r="H125" s="16">
        <v>1096</v>
      </c>
      <c r="I125" s="16" t="s">
        <v>45</v>
      </c>
      <c r="J125" s="16"/>
      <c r="K125" s="16">
        <v>73</v>
      </c>
      <c r="L125" s="16">
        <f t="shared" si="23"/>
        <v>-1</v>
      </c>
      <c r="M125" s="16"/>
      <c r="N125" s="16"/>
      <c r="O125" s="16">
        <v>200</v>
      </c>
      <c r="P125" s="16"/>
      <c r="Q125" s="16"/>
      <c r="R125" s="16"/>
      <c r="S125" s="16"/>
      <c r="T125" s="16">
        <f t="shared" si="24"/>
        <v>14.4</v>
      </c>
      <c r="U125" s="4"/>
      <c r="V125" s="4">
        <v>200</v>
      </c>
      <c r="W125" s="4"/>
      <c r="X125" s="4"/>
      <c r="Y125" s="16" t="str">
        <f>VLOOKUP(A125,[1]Sheet!$A:$V,21,0)</f>
        <v>300шт</v>
      </c>
      <c r="Z125" s="16" t="str">
        <f>VLOOKUP(A125,[1]Sheet!$A:$V,22,0)</f>
        <v>Промо N+1</v>
      </c>
      <c r="AA125" s="16">
        <f t="shared" si="25"/>
        <v>28.680555555555554</v>
      </c>
      <c r="AB125" s="16">
        <f t="shared" si="26"/>
        <v>14.791666666666666</v>
      </c>
      <c r="AC125" s="16">
        <v>0.6</v>
      </c>
      <c r="AD125" s="16">
        <v>0</v>
      </c>
      <c r="AE125" s="16">
        <v>0</v>
      </c>
      <c r="AF125" s="16">
        <v>0</v>
      </c>
      <c r="AG125" s="16">
        <v>1.6</v>
      </c>
      <c r="AH125" s="16">
        <v>3.6</v>
      </c>
      <c r="AI125" s="16">
        <v>5.4</v>
      </c>
      <c r="AJ125" s="16">
        <v>25.8</v>
      </c>
      <c r="AK125" s="16">
        <v>33</v>
      </c>
      <c r="AL125" s="16">
        <v>10.6</v>
      </c>
      <c r="AM125" s="16" t="s">
        <v>124</v>
      </c>
      <c r="AN125" s="16">
        <f t="shared" si="27"/>
        <v>50</v>
      </c>
      <c r="AO125" t="s">
        <v>297</v>
      </c>
    </row>
    <row r="126" spans="1:41" x14ac:dyDescent="0.25">
      <c r="A126" s="16" t="s">
        <v>298</v>
      </c>
      <c r="B126" s="16" t="s">
        <v>52</v>
      </c>
      <c r="C126" s="16"/>
      <c r="D126" s="16">
        <v>72</v>
      </c>
      <c r="E126" s="12">
        <f>55+E134</f>
        <v>60</v>
      </c>
      <c r="F126" s="12">
        <f>16+F134</f>
        <v>18</v>
      </c>
      <c r="G126" s="6">
        <v>0.32500000000000001</v>
      </c>
      <c r="H126" s="16">
        <v>1096</v>
      </c>
      <c r="I126" s="16" t="s">
        <v>45</v>
      </c>
      <c r="J126" s="16"/>
      <c r="K126" s="16">
        <v>57</v>
      </c>
      <c r="L126" s="16">
        <f t="shared" si="23"/>
        <v>3</v>
      </c>
      <c r="M126" s="16"/>
      <c r="N126" s="16"/>
      <c r="O126" s="16">
        <v>400</v>
      </c>
      <c r="P126" s="16"/>
      <c r="Q126" s="16"/>
      <c r="R126" s="16"/>
      <c r="S126" s="16"/>
      <c r="T126" s="16">
        <f t="shared" si="24"/>
        <v>12</v>
      </c>
      <c r="U126" s="4"/>
      <c r="V126" s="4">
        <v>200</v>
      </c>
      <c r="W126" s="4"/>
      <c r="X126" s="4"/>
      <c r="Y126" s="16" t="str">
        <f>VLOOKUP(A126,[1]Sheet!$A:$V,21,0)</f>
        <v>300ШТ</v>
      </c>
      <c r="Z126" s="16" t="str">
        <f>VLOOKUP(A126,[1]Sheet!$A:$V,22,0)</f>
        <v>Промо N+1</v>
      </c>
      <c r="AA126" s="16">
        <f t="shared" si="25"/>
        <v>51.5</v>
      </c>
      <c r="AB126" s="16">
        <f t="shared" si="26"/>
        <v>34.833333333333336</v>
      </c>
      <c r="AC126" s="16">
        <v>0</v>
      </c>
      <c r="AD126" s="16">
        <v>0</v>
      </c>
      <c r="AE126" s="16">
        <v>0.4</v>
      </c>
      <c r="AF126" s="16">
        <v>6.2</v>
      </c>
      <c r="AG126" s="16">
        <v>11</v>
      </c>
      <c r="AH126" s="16">
        <v>8</v>
      </c>
      <c r="AI126" s="16">
        <v>5.6</v>
      </c>
      <c r="AJ126" s="16">
        <v>22</v>
      </c>
      <c r="AK126" s="16">
        <v>22.4</v>
      </c>
      <c r="AL126" s="16">
        <v>3.2</v>
      </c>
      <c r="AM126" s="16" t="s">
        <v>124</v>
      </c>
      <c r="AN126" s="16">
        <f t="shared" si="27"/>
        <v>65</v>
      </c>
      <c r="AO126" t="s">
        <v>299</v>
      </c>
    </row>
    <row r="127" spans="1:41" x14ac:dyDescent="0.25">
      <c r="A127" s="16" t="s">
        <v>300</v>
      </c>
      <c r="B127" s="16" t="s">
        <v>52</v>
      </c>
      <c r="C127" s="16">
        <v>190</v>
      </c>
      <c r="D127" s="16">
        <v>324</v>
      </c>
      <c r="E127" s="16">
        <v>121</v>
      </c>
      <c r="F127" s="16">
        <v>354</v>
      </c>
      <c r="G127" s="6">
        <v>0.25</v>
      </c>
      <c r="H127" s="16">
        <v>1096</v>
      </c>
      <c r="I127" s="16" t="s">
        <v>45</v>
      </c>
      <c r="J127" s="16"/>
      <c r="K127" s="16">
        <v>119</v>
      </c>
      <c r="L127" s="16">
        <f t="shared" si="23"/>
        <v>2</v>
      </c>
      <c r="M127" s="16"/>
      <c r="N127" s="16"/>
      <c r="O127" s="16">
        <v>14.400000000000089</v>
      </c>
      <c r="P127" s="16"/>
      <c r="Q127" s="16"/>
      <c r="R127" s="16"/>
      <c r="S127" s="16"/>
      <c r="T127" s="16">
        <f t="shared" si="24"/>
        <v>24.2</v>
      </c>
      <c r="U127" s="4"/>
      <c r="V127" s="4">
        <f>U127</f>
        <v>0</v>
      </c>
      <c r="W127" s="4"/>
      <c r="X127" s="4"/>
      <c r="Y127" s="16"/>
      <c r="Z127" s="16"/>
      <c r="AA127" s="16">
        <f t="shared" si="25"/>
        <v>15.223140495867773</v>
      </c>
      <c r="AB127" s="16">
        <f t="shared" si="26"/>
        <v>15.223140495867773</v>
      </c>
      <c r="AC127" s="16">
        <v>18.399999999999999</v>
      </c>
      <c r="AD127" s="16">
        <v>43.2</v>
      </c>
      <c r="AE127" s="16">
        <v>52.6</v>
      </c>
      <c r="AF127" s="16">
        <v>20.399999999999999</v>
      </c>
      <c r="AG127" s="16">
        <v>3</v>
      </c>
      <c r="AH127" s="16">
        <v>5.2</v>
      </c>
      <c r="AI127" s="16">
        <v>8.1999999999999993</v>
      </c>
      <c r="AJ127" s="16">
        <v>27.6</v>
      </c>
      <c r="AK127" s="16">
        <v>29.4</v>
      </c>
      <c r="AL127" s="16">
        <v>7.2</v>
      </c>
      <c r="AM127" s="16"/>
      <c r="AN127" s="16">
        <f t="shared" si="27"/>
        <v>0</v>
      </c>
      <c r="AO127" t="s">
        <v>301</v>
      </c>
    </row>
    <row r="128" spans="1:41" x14ac:dyDescent="0.25">
      <c r="A128" s="16" t="s">
        <v>302</v>
      </c>
      <c r="B128" s="16" t="s">
        <v>52</v>
      </c>
      <c r="C128" s="16"/>
      <c r="D128" s="16"/>
      <c r="E128" s="16">
        <v>-3</v>
      </c>
      <c r="F128" s="16"/>
      <c r="G128" s="6">
        <v>0.3</v>
      </c>
      <c r="H128" s="16">
        <v>40</v>
      </c>
      <c r="I128" s="8" t="s">
        <v>64</v>
      </c>
      <c r="J128" s="16"/>
      <c r="K128" s="16">
        <v>2</v>
      </c>
      <c r="L128" s="16">
        <f t="shared" si="23"/>
        <v>-5</v>
      </c>
      <c r="M128" s="16"/>
      <c r="N128" s="16"/>
      <c r="O128" s="16">
        <v>110</v>
      </c>
      <c r="P128" s="16">
        <v>-113.33333333333334</v>
      </c>
      <c r="Q128" s="16"/>
      <c r="R128" s="16"/>
      <c r="S128" s="16"/>
      <c r="T128" s="16">
        <f t="shared" si="24"/>
        <v>-0.6</v>
      </c>
      <c r="U128" s="4">
        <v>30</v>
      </c>
      <c r="V128" s="4">
        <f>U128</f>
        <v>30</v>
      </c>
      <c r="W128" s="4">
        <v>-30</v>
      </c>
      <c r="X128" s="4"/>
      <c r="Y128" s="16"/>
      <c r="Z128" s="16"/>
      <c r="AA128" s="16">
        <f t="shared" si="25"/>
        <v>-233.33333333333334</v>
      </c>
      <c r="AB128" s="16">
        <f t="shared" si="26"/>
        <v>-183.33333333333334</v>
      </c>
      <c r="AC128" s="16">
        <v>0</v>
      </c>
      <c r="AD128" s="16">
        <v>0</v>
      </c>
      <c r="AE128" s="16">
        <v>0</v>
      </c>
      <c r="AF128" s="16">
        <v>-0.2</v>
      </c>
      <c r="AG128" s="16">
        <v>-0.4</v>
      </c>
      <c r="AH128" s="16">
        <v>-1</v>
      </c>
      <c r="AI128" s="16">
        <v>-1.2</v>
      </c>
      <c r="AJ128" s="16">
        <v>-0.6</v>
      </c>
      <c r="AK128" s="16">
        <v>15.2</v>
      </c>
      <c r="AL128" s="16">
        <v>36.4</v>
      </c>
      <c r="AM128" s="16"/>
      <c r="AN128" s="16">
        <f t="shared" si="27"/>
        <v>9</v>
      </c>
      <c r="AO128" t="s">
        <v>303</v>
      </c>
    </row>
    <row r="129" spans="1:41" x14ac:dyDescent="0.25">
      <c r="A129" s="16" t="s">
        <v>304</v>
      </c>
      <c r="B129" s="16" t="s">
        <v>52</v>
      </c>
      <c r="C129" s="16">
        <v>1</v>
      </c>
      <c r="D129" s="16">
        <v>1</v>
      </c>
      <c r="E129" s="16"/>
      <c r="F129" s="16">
        <v>1</v>
      </c>
      <c r="G129" s="6">
        <v>0.3</v>
      </c>
      <c r="H129" s="16">
        <v>40</v>
      </c>
      <c r="I129" s="8" t="s">
        <v>64</v>
      </c>
      <c r="J129" s="16"/>
      <c r="K129" s="16">
        <v>17</v>
      </c>
      <c r="L129" s="16">
        <f t="shared" si="23"/>
        <v>-17</v>
      </c>
      <c r="M129" s="16"/>
      <c r="N129" s="16"/>
      <c r="O129" s="16">
        <v>30</v>
      </c>
      <c r="P129" s="16">
        <v>-30</v>
      </c>
      <c r="Q129" s="16"/>
      <c r="R129" s="16"/>
      <c r="S129" s="16"/>
      <c r="T129" s="16">
        <f t="shared" si="24"/>
        <v>0</v>
      </c>
      <c r="U129" s="4">
        <v>30</v>
      </c>
      <c r="V129" s="4">
        <f>U129</f>
        <v>30</v>
      </c>
      <c r="W129" s="4">
        <v>-30</v>
      </c>
      <c r="X129" s="4"/>
      <c r="Y129" s="16"/>
      <c r="Z129" s="16"/>
      <c r="AA129" s="16" t="e">
        <f t="shared" si="25"/>
        <v>#DIV/0!</v>
      </c>
      <c r="AB129" s="16" t="e">
        <f t="shared" si="26"/>
        <v>#DIV/0!</v>
      </c>
      <c r="AC129" s="16">
        <v>0</v>
      </c>
      <c r="AD129" s="16">
        <v>0</v>
      </c>
      <c r="AE129" s="16">
        <v>-0.8</v>
      </c>
      <c r="AF129" s="16">
        <v>-0.2</v>
      </c>
      <c r="AG129" s="16">
        <v>0</v>
      </c>
      <c r="AH129" s="16">
        <v>0.6</v>
      </c>
      <c r="AI129" s="16">
        <v>5.8</v>
      </c>
      <c r="AJ129" s="16">
        <v>6.8</v>
      </c>
      <c r="AK129" s="16">
        <v>1.4</v>
      </c>
      <c r="AL129" s="16">
        <v>-0.2</v>
      </c>
      <c r="AM129" s="16" t="s">
        <v>305</v>
      </c>
      <c r="AN129" s="16">
        <f t="shared" si="27"/>
        <v>9</v>
      </c>
      <c r="AO129" t="s">
        <v>306</v>
      </c>
    </row>
    <row r="130" spans="1:41" x14ac:dyDescent="0.25">
      <c r="A130" s="16" t="s">
        <v>307</v>
      </c>
      <c r="B130" s="16" t="s">
        <v>44</v>
      </c>
      <c r="C130" s="16">
        <v>8</v>
      </c>
      <c r="D130" s="16">
        <v>44.512</v>
      </c>
      <c r="E130" s="16">
        <v>6.7880000000000003</v>
      </c>
      <c r="F130" s="16">
        <v>44.384</v>
      </c>
      <c r="G130" s="6">
        <v>1</v>
      </c>
      <c r="H130" s="16">
        <v>50</v>
      </c>
      <c r="I130" s="16" t="s">
        <v>45</v>
      </c>
      <c r="J130" s="16"/>
      <c r="K130" s="16">
        <v>6.2</v>
      </c>
      <c r="L130" s="16">
        <f t="shared" si="23"/>
        <v>0.58800000000000008</v>
      </c>
      <c r="M130" s="16"/>
      <c r="N130" s="16"/>
      <c r="O130" s="16">
        <v>7.0175999999999981</v>
      </c>
      <c r="P130" s="16"/>
      <c r="Q130" s="16"/>
      <c r="R130" s="16"/>
      <c r="S130" s="16"/>
      <c r="T130" s="16">
        <f t="shared" si="24"/>
        <v>1.3576000000000001</v>
      </c>
      <c r="U130" s="4"/>
      <c r="V130" s="4">
        <f>U130</f>
        <v>0</v>
      </c>
      <c r="W130" s="4"/>
      <c r="X130" s="4"/>
      <c r="Y130" s="16"/>
      <c r="Z130" s="16"/>
      <c r="AA130" s="16">
        <f t="shared" si="25"/>
        <v>37.862109605185623</v>
      </c>
      <c r="AB130" s="16">
        <f t="shared" si="26"/>
        <v>37.862109605185623</v>
      </c>
      <c r="AC130" s="16">
        <v>0.81319999999999992</v>
      </c>
      <c r="AD130" s="16">
        <v>4.306</v>
      </c>
      <c r="AE130" s="16">
        <v>5.1116000000000001</v>
      </c>
      <c r="AF130" s="16">
        <v>2.4276</v>
      </c>
      <c r="AG130" s="16">
        <v>2.9628000000000001</v>
      </c>
      <c r="AH130" s="16">
        <v>2.1503999999999999</v>
      </c>
      <c r="AI130" s="16">
        <v>2.1423999999999999</v>
      </c>
      <c r="AJ130" s="16">
        <v>2.9592000000000001</v>
      </c>
      <c r="AK130" s="16">
        <v>2.4420000000000002</v>
      </c>
      <c r="AL130" s="16">
        <v>4.0430000000000001</v>
      </c>
      <c r="AM130" s="16"/>
      <c r="AN130" s="16">
        <f t="shared" si="27"/>
        <v>0</v>
      </c>
      <c r="AO130" t="s">
        <v>308</v>
      </c>
    </row>
    <row r="131" spans="1:41" x14ac:dyDescent="0.25">
      <c r="A131" s="16" t="s">
        <v>309</v>
      </c>
      <c r="B131" s="16" t="s">
        <v>52</v>
      </c>
      <c r="C131" s="16">
        <v>13</v>
      </c>
      <c r="D131" s="16">
        <v>1</v>
      </c>
      <c r="E131" s="16">
        <v>-2</v>
      </c>
      <c r="F131" s="16">
        <v>12</v>
      </c>
      <c r="G131" s="6">
        <v>0.3</v>
      </c>
      <c r="H131" s="16">
        <v>40</v>
      </c>
      <c r="I131" s="8" t="s">
        <v>64</v>
      </c>
      <c r="J131" s="16"/>
      <c r="K131" s="16">
        <v>49</v>
      </c>
      <c r="L131" s="16">
        <f t="shared" si="23"/>
        <v>-51</v>
      </c>
      <c r="M131" s="16"/>
      <c r="N131" s="16"/>
      <c r="O131" s="16">
        <v>60</v>
      </c>
      <c r="P131" s="16">
        <v>-60</v>
      </c>
      <c r="Q131" s="16"/>
      <c r="R131" s="16"/>
      <c r="S131" s="16"/>
      <c r="T131" s="16">
        <f t="shared" si="24"/>
        <v>-0.4</v>
      </c>
      <c r="U131" s="4"/>
      <c r="V131" s="4">
        <v>100</v>
      </c>
      <c r="W131" s="4">
        <v>-102.00000000000001</v>
      </c>
      <c r="X131" s="4"/>
      <c r="Y131" s="16" t="str">
        <f>VLOOKUP(A131,[1]Sheet!$A:$V,21,0)</f>
        <v>150шт</v>
      </c>
      <c r="Z131" s="16" t="str">
        <f>VLOOKUP(A131,[1]Sheet!$A:$V,22,0)</f>
        <v>Дефицит</v>
      </c>
      <c r="AA131" s="16">
        <f t="shared" si="25"/>
        <v>-430</v>
      </c>
      <c r="AB131" s="16">
        <f t="shared" si="26"/>
        <v>-180</v>
      </c>
      <c r="AC131" s="16">
        <v>-0.2</v>
      </c>
      <c r="AD131" s="16">
        <v>1</v>
      </c>
      <c r="AE131" s="16">
        <v>20.8</v>
      </c>
      <c r="AF131" s="16">
        <v>23.4</v>
      </c>
      <c r="AG131" s="16">
        <v>2.4</v>
      </c>
      <c r="AH131" s="16">
        <v>4</v>
      </c>
      <c r="AI131" s="16">
        <v>11.6</v>
      </c>
      <c r="AJ131" s="16">
        <v>31.2</v>
      </c>
      <c r="AK131" s="16">
        <v>39.6</v>
      </c>
      <c r="AL131" s="16">
        <v>28.2</v>
      </c>
      <c r="AM131" s="16"/>
      <c r="AN131" s="16">
        <f t="shared" si="27"/>
        <v>30</v>
      </c>
      <c r="AO131" t="s">
        <v>310</v>
      </c>
    </row>
    <row r="132" spans="1:41" x14ac:dyDescent="0.25">
      <c r="A132" s="16" t="s">
        <v>311</v>
      </c>
      <c r="B132" s="16" t="s">
        <v>52</v>
      </c>
      <c r="C132" s="16">
        <v>7</v>
      </c>
      <c r="D132" s="16">
        <v>60</v>
      </c>
      <c r="E132" s="16">
        <v>45</v>
      </c>
      <c r="F132" s="16">
        <v>19</v>
      </c>
      <c r="G132" s="6">
        <v>0.12</v>
      </c>
      <c r="H132" s="16">
        <v>45</v>
      </c>
      <c r="I132" s="8" t="s">
        <v>64</v>
      </c>
      <c r="J132" s="16"/>
      <c r="K132" s="16">
        <v>67</v>
      </c>
      <c r="L132" s="16">
        <f t="shared" si="23"/>
        <v>-22</v>
      </c>
      <c r="M132" s="16"/>
      <c r="N132" s="16"/>
      <c r="O132" s="16">
        <v>70</v>
      </c>
      <c r="P132" s="16">
        <v>-75</v>
      </c>
      <c r="Q132" s="16"/>
      <c r="R132" s="16"/>
      <c r="S132" s="16"/>
      <c r="T132" s="16">
        <f t="shared" si="24"/>
        <v>9</v>
      </c>
      <c r="U132" s="4">
        <v>20</v>
      </c>
      <c r="V132" s="4">
        <f>U132</f>
        <v>20</v>
      </c>
      <c r="W132" s="4">
        <v>-30.000000000000004</v>
      </c>
      <c r="X132" s="4"/>
      <c r="Y132" s="16"/>
      <c r="Z132" s="16"/>
      <c r="AA132" s="16">
        <f t="shared" si="25"/>
        <v>12.111111111111111</v>
      </c>
      <c r="AB132" s="16">
        <f t="shared" si="26"/>
        <v>9.8888888888888893</v>
      </c>
      <c r="AC132" s="16">
        <v>-0.6</v>
      </c>
      <c r="AD132" s="16">
        <v>3.4</v>
      </c>
      <c r="AE132" s="16">
        <v>9.6</v>
      </c>
      <c r="AF132" s="16">
        <v>9.8000000000000007</v>
      </c>
      <c r="AG132" s="16">
        <v>6</v>
      </c>
      <c r="AH132" s="16">
        <v>8.6</v>
      </c>
      <c r="AI132" s="16">
        <v>9</v>
      </c>
      <c r="AJ132" s="16">
        <v>13.4</v>
      </c>
      <c r="AK132" s="16">
        <v>15</v>
      </c>
      <c r="AL132" s="16">
        <v>11.8</v>
      </c>
      <c r="AM132" s="16"/>
      <c r="AN132" s="16">
        <f t="shared" si="27"/>
        <v>2</v>
      </c>
      <c r="AO132" t="s">
        <v>312</v>
      </c>
    </row>
    <row r="133" spans="1:41" x14ac:dyDescent="0.25">
      <c r="A133" s="9" t="s">
        <v>313</v>
      </c>
      <c r="B133" s="9" t="s">
        <v>52</v>
      </c>
      <c r="C133" s="9"/>
      <c r="D133" s="9">
        <v>100</v>
      </c>
      <c r="E133" s="12">
        <v>48</v>
      </c>
      <c r="F133" s="12">
        <v>6</v>
      </c>
      <c r="G133" s="10">
        <v>0</v>
      </c>
      <c r="H133" s="9"/>
      <c r="I133" s="9" t="s">
        <v>314</v>
      </c>
      <c r="J133" s="9" t="s">
        <v>159</v>
      </c>
      <c r="K133" s="9">
        <v>48</v>
      </c>
      <c r="L133" s="9">
        <f t="shared" si="23"/>
        <v>0</v>
      </c>
      <c r="M133" s="9"/>
      <c r="N133" s="9"/>
      <c r="O133" s="9"/>
      <c r="P133" s="9"/>
      <c r="Q133" s="9"/>
      <c r="R133" s="9"/>
      <c r="S133" s="9"/>
      <c r="T133" s="9">
        <f t="shared" si="24"/>
        <v>9.6</v>
      </c>
      <c r="U133" s="11"/>
      <c r="V133" s="4">
        <f>U133</f>
        <v>0</v>
      </c>
      <c r="W133" s="4"/>
      <c r="X133" s="4"/>
      <c r="Y133" s="16"/>
      <c r="Z133" s="16"/>
      <c r="AA133" s="16">
        <f t="shared" si="25"/>
        <v>0.625</v>
      </c>
      <c r="AB133" s="9">
        <f t="shared" si="26"/>
        <v>0.625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/>
      <c r="AN133" s="16">
        <f t="shared" si="27"/>
        <v>0</v>
      </c>
    </row>
    <row r="134" spans="1:41" x14ac:dyDescent="0.25">
      <c r="A134" s="9" t="s">
        <v>315</v>
      </c>
      <c r="B134" s="9" t="s">
        <v>52</v>
      </c>
      <c r="C134" s="9">
        <v>7</v>
      </c>
      <c r="D134" s="9"/>
      <c r="E134" s="12">
        <v>5</v>
      </c>
      <c r="F134" s="12">
        <v>2</v>
      </c>
      <c r="G134" s="10">
        <v>0</v>
      </c>
      <c r="H134" s="9"/>
      <c r="I134" s="9" t="s">
        <v>314</v>
      </c>
      <c r="J134" s="9" t="s">
        <v>298</v>
      </c>
      <c r="K134" s="9">
        <v>4</v>
      </c>
      <c r="L134" s="9">
        <f t="shared" ref="L134" si="28">E134-K134</f>
        <v>1</v>
      </c>
      <c r="M134" s="9"/>
      <c r="N134" s="9"/>
      <c r="O134" s="9">
        <v>0</v>
      </c>
      <c r="P134" s="9"/>
      <c r="Q134" s="9"/>
      <c r="R134" s="9"/>
      <c r="S134" s="9"/>
      <c r="T134" s="9">
        <f t="shared" si="24"/>
        <v>1</v>
      </c>
      <c r="U134" s="11"/>
      <c r="V134" s="4">
        <f>U134</f>
        <v>0</v>
      </c>
      <c r="W134" s="4"/>
      <c r="X134" s="4"/>
      <c r="Y134" s="16"/>
      <c r="Z134" s="16"/>
      <c r="AA134" s="16">
        <f t="shared" si="25"/>
        <v>2</v>
      </c>
      <c r="AB134" s="9">
        <f t="shared" si="26"/>
        <v>2</v>
      </c>
      <c r="AC134" s="9">
        <v>0</v>
      </c>
      <c r="AD134" s="9">
        <v>0</v>
      </c>
      <c r="AE134" s="9">
        <v>0.4</v>
      </c>
      <c r="AF134" s="9">
        <v>5.2</v>
      </c>
      <c r="AG134" s="9">
        <v>5.2</v>
      </c>
      <c r="AH134" s="9">
        <v>1.4</v>
      </c>
      <c r="AI134" s="9">
        <v>2.4</v>
      </c>
      <c r="AJ134" s="9">
        <v>2</v>
      </c>
      <c r="AK134" s="9">
        <v>0.6</v>
      </c>
      <c r="AL134" s="9">
        <v>0</v>
      </c>
      <c r="AM134" s="9"/>
      <c r="AN134" s="16">
        <f t="shared" si="27"/>
        <v>0</v>
      </c>
    </row>
    <row r="135" spans="1:41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spans="1:41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spans="1:41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spans="1:41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spans="1:41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spans="1:41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spans="1:41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spans="1:41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spans="1:41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spans="1:41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spans="1:40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spans="1:40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spans="1:40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spans="1:40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spans="1:40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spans="1:40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spans="1:40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spans="1:40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spans="1:40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spans="1:40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spans="1:40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spans="1:40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spans="1:40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spans="1:40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spans="1:40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spans="1:40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spans="1:40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spans="1:40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spans="1:40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spans="1:40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spans="1:40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spans="1:40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spans="1:40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spans="1:40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spans="1:40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spans="1:40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spans="1:40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spans="1:40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spans="1:40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spans="1:40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spans="1:40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spans="1:40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spans="1:40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spans="1:40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spans="1:40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spans="1:40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spans="1:40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spans="1:40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spans="1:40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spans="1:40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spans="1:40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spans="1:40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spans="1:40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spans="1:40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spans="1:40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spans="1:40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spans="1:40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spans="1:40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spans="1:40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spans="1:40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spans="1:40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spans="1:40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spans="1:40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spans="1:40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  <row r="199" spans="1:40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</row>
    <row r="200" spans="1:40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</row>
    <row r="201" spans="1:40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</row>
    <row r="202" spans="1:40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</row>
    <row r="203" spans="1:40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</row>
    <row r="204" spans="1:40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</row>
    <row r="205" spans="1:40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</row>
    <row r="206" spans="1:40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</row>
    <row r="207" spans="1:40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</row>
    <row r="208" spans="1:40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</row>
    <row r="209" spans="1:40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</row>
    <row r="210" spans="1:40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 spans="1:40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</row>
    <row r="212" spans="1:40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</row>
    <row r="213" spans="1:40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</row>
    <row r="214" spans="1:40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</row>
    <row r="215" spans="1:40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</row>
    <row r="216" spans="1:40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</row>
    <row r="217" spans="1:40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</row>
    <row r="218" spans="1:40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</row>
    <row r="219" spans="1:40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</row>
    <row r="220" spans="1:40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 spans="1:40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</row>
    <row r="222" spans="1:40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</row>
    <row r="223" spans="1:40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</row>
    <row r="224" spans="1:40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</row>
    <row r="225" spans="1:40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</row>
    <row r="226" spans="1:40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</row>
    <row r="227" spans="1:40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</row>
    <row r="228" spans="1:40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</row>
    <row r="229" spans="1:40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</row>
    <row r="230" spans="1:40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</row>
    <row r="231" spans="1:40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</row>
    <row r="232" spans="1:40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</row>
    <row r="233" spans="1:40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 spans="1:40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</row>
    <row r="235" spans="1:40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</row>
    <row r="236" spans="1:40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</row>
    <row r="237" spans="1:40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</row>
    <row r="238" spans="1:40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</row>
    <row r="239" spans="1:40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</row>
    <row r="240" spans="1:40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</row>
    <row r="241" spans="1:40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 spans="1:40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</row>
    <row r="243" spans="1:40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</row>
    <row r="244" spans="1:40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</row>
    <row r="245" spans="1:40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</row>
    <row r="246" spans="1:40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</row>
    <row r="247" spans="1:40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</row>
    <row r="248" spans="1:40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</row>
    <row r="249" spans="1:40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</row>
    <row r="250" spans="1:40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</row>
    <row r="251" spans="1:40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</row>
    <row r="252" spans="1:40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</row>
    <row r="253" spans="1:40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</row>
    <row r="254" spans="1:40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</row>
    <row r="255" spans="1:40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</row>
    <row r="256" spans="1:40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</row>
    <row r="257" spans="1:40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</row>
    <row r="258" spans="1:40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</row>
    <row r="259" spans="1:40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</row>
    <row r="260" spans="1:40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</row>
    <row r="261" spans="1:40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</row>
    <row r="262" spans="1:40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</row>
    <row r="263" spans="1:40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</row>
    <row r="264" spans="1:40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 spans="1:40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</row>
    <row r="266" spans="1:40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</row>
    <row r="267" spans="1:40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</row>
    <row r="268" spans="1:40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</row>
    <row r="269" spans="1:40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</row>
    <row r="270" spans="1:40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</row>
    <row r="271" spans="1:40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 spans="1:40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</row>
    <row r="273" spans="1:40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</row>
    <row r="274" spans="1:40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</row>
    <row r="275" spans="1:40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</row>
    <row r="276" spans="1:40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</row>
    <row r="277" spans="1:40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</row>
    <row r="278" spans="1:40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</row>
    <row r="279" spans="1:40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</row>
    <row r="280" spans="1:40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</row>
    <row r="281" spans="1:40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 spans="1:40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</row>
    <row r="283" spans="1:40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</row>
    <row r="284" spans="1:40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</row>
    <row r="285" spans="1:40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</row>
    <row r="286" spans="1:40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 spans="1:40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</row>
    <row r="288" spans="1:40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</row>
    <row r="289" spans="1:40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</row>
    <row r="290" spans="1:40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</row>
    <row r="291" spans="1:40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</row>
    <row r="292" spans="1:40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 spans="1:40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</row>
    <row r="294" spans="1:40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</row>
    <row r="295" spans="1:40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</row>
    <row r="296" spans="1:40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</row>
    <row r="297" spans="1:40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</row>
    <row r="298" spans="1:40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</row>
    <row r="299" spans="1:40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</row>
    <row r="300" spans="1:40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 spans="1:40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</row>
    <row r="302" spans="1:40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</row>
    <row r="303" spans="1:40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</row>
    <row r="304" spans="1:40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</row>
    <row r="305" spans="1:40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</row>
    <row r="306" spans="1:40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</row>
    <row r="307" spans="1:40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</row>
    <row r="308" spans="1:40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</row>
    <row r="309" spans="1:40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</row>
    <row r="310" spans="1:40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</row>
    <row r="311" spans="1:40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</row>
    <row r="312" spans="1:40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</row>
    <row r="313" spans="1:40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</row>
    <row r="314" spans="1:40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</row>
    <row r="315" spans="1:40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</row>
    <row r="316" spans="1:40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</row>
    <row r="317" spans="1:40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</row>
    <row r="318" spans="1:40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</row>
    <row r="319" spans="1:40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</row>
    <row r="320" spans="1:40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</row>
    <row r="321" spans="1:40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</row>
    <row r="322" spans="1:40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</row>
    <row r="323" spans="1:40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</row>
    <row r="324" spans="1:40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</row>
    <row r="325" spans="1:40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</row>
    <row r="326" spans="1:40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</row>
    <row r="327" spans="1:40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</row>
    <row r="328" spans="1:40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</row>
    <row r="329" spans="1:40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</row>
    <row r="330" spans="1:40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</row>
    <row r="331" spans="1:40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</row>
    <row r="332" spans="1:40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</row>
    <row r="333" spans="1:40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</row>
    <row r="334" spans="1:40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</row>
    <row r="335" spans="1:40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</row>
    <row r="336" spans="1:40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</row>
    <row r="337" spans="1:40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</row>
    <row r="338" spans="1:40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</row>
    <row r="339" spans="1:40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</row>
    <row r="340" spans="1:40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</row>
    <row r="341" spans="1:40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</row>
    <row r="342" spans="1:40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</row>
    <row r="343" spans="1:40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</row>
    <row r="344" spans="1:40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</row>
    <row r="345" spans="1:40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</row>
    <row r="346" spans="1:40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</row>
    <row r="347" spans="1:40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</row>
    <row r="348" spans="1:40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</row>
    <row r="349" spans="1:40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</row>
    <row r="350" spans="1:40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</row>
    <row r="351" spans="1:40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</row>
    <row r="352" spans="1:40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</row>
    <row r="353" spans="1:40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</row>
    <row r="354" spans="1:40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</row>
    <row r="355" spans="1:40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</row>
    <row r="356" spans="1:40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</row>
    <row r="357" spans="1:40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</row>
    <row r="358" spans="1:40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</row>
    <row r="359" spans="1:40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</row>
    <row r="360" spans="1:40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</row>
    <row r="361" spans="1:40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</row>
    <row r="362" spans="1:40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</row>
    <row r="363" spans="1:40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</row>
    <row r="364" spans="1:40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</row>
    <row r="365" spans="1:40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</row>
    <row r="366" spans="1:40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</row>
    <row r="367" spans="1:40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</row>
    <row r="368" spans="1:40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</row>
    <row r="369" spans="1:40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</row>
    <row r="370" spans="1:40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</row>
    <row r="371" spans="1:40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</row>
    <row r="372" spans="1:40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</row>
    <row r="373" spans="1:40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</row>
    <row r="374" spans="1:40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</row>
    <row r="375" spans="1:40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</row>
    <row r="376" spans="1:40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</row>
    <row r="377" spans="1:40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</row>
    <row r="378" spans="1:40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</row>
    <row r="379" spans="1:40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</row>
    <row r="380" spans="1:40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</row>
    <row r="381" spans="1:40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</row>
    <row r="382" spans="1:40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</row>
    <row r="383" spans="1:40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</row>
    <row r="384" spans="1:40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</row>
    <row r="385" spans="1:40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</row>
    <row r="386" spans="1:40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</row>
    <row r="387" spans="1:40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</row>
    <row r="388" spans="1:40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</row>
    <row r="389" spans="1:40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</row>
    <row r="390" spans="1:40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</row>
    <row r="391" spans="1:40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</row>
    <row r="392" spans="1:40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</row>
    <row r="393" spans="1:40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</row>
    <row r="394" spans="1:40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</row>
    <row r="395" spans="1:40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</row>
    <row r="396" spans="1:40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</row>
    <row r="397" spans="1:40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</row>
    <row r="398" spans="1:40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</row>
    <row r="399" spans="1:40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</row>
    <row r="400" spans="1:40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</row>
    <row r="401" spans="1:40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</row>
    <row r="402" spans="1:40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</row>
    <row r="403" spans="1:40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</row>
    <row r="404" spans="1:40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</row>
    <row r="405" spans="1:40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</row>
    <row r="406" spans="1:40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</row>
    <row r="407" spans="1:40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</row>
    <row r="408" spans="1:40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</row>
    <row r="409" spans="1:40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</row>
    <row r="410" spans="1:40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</row>
    <row r="411" spans="1:40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</row>
    <row r="412" spans="1:40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</row>
    <row r="413" spans="1:40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</row>
    <row r="414" spans="1:40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</row>
    <row r="415" spans="1:40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</row>
    <row r="416" spans="1:40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</row>
    <row r="417" spans="1:40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</row>
    <row r="418" spans="1:40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</row>
    <row r="419" spans="1:40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</row>
    <row r="420" spans="1:40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</row>
    <row r="421" spans="1:40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</row>
    <row r="422" spans="1:40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</row>
    <row r="423" spans="1:40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</row>
    <row r="424" spans="1:40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</row>
    <row r="425" spans="1:40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</row>
    <row r="426" spans="1:40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</row>
    <row r="427" spans="1:40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</row>
    <row r="428" spans="1:40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</row>
    <row r="429" spans="1:40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</row>
    <row r="430" spans="1:40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</row>
    <row r="431" spans="1:40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</row>
    <row r="432" spans="1:40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</row>
    <row r="433" spans="1:40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</row>
    <row r="434" spans="1:40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</row>
    <row r="435" spans="1:40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</row>
    <row r="436" spans="1:40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</row>
    <row r="437" spans="1:40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</row>
    <row r="438" spans="1:40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</row>
    <row r="439" spans="1:40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</row>
    <row r="440" spans="1:40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</row>
    <row r="441" spans="1:40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</row>
    <row r="442" spans="1:40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</row>
    <row r="443" spans="1:40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</row>
    <row r="444" spans="1:40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</row>
    <row r="445" spans="1:40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</row>
    <row r="446" spans="1:40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</row>
    <row r="447" spans="1:40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</row>
    <row r="448" spans="1:40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</row>
    <row r="449" spans="1:40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</row>
    <row r="450" spans="1:40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</row>
    <row r="451" spans="1:40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</row>
    <row r="452" spans="1:40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</row>
    <row r="453" spans="1:40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</row>
    <row r="454" spans="1:40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</row>
    <row r="455" spans="1:40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</row>
    <row r="456" spans="1:40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</row>
    <row r="457" spans="1:40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</row>
    <row r="458" spans="1:40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</row>
    <row r="459" spans="1:40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</row>
    <row r="460" spans="1:40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</row>
    <row r="461" spans="1:40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</row>
    <row r="462" spans="1:40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</row>
    <row r="463" spans="1:40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</row>
    <row r="464" spans="1:40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</row>
    <row r="465" spans="1:40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</row>
    <row r="466" spans="1:40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</row>
    <row r="467" spans="1:40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</row>
    <row r="468" spans="1:40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</row>
    <row r="469" spans="1:40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</row>
    <row r="470" spans="1:40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</row>
    <row r="471" spans="1:40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</row>
    <row r="472" spans="1:40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</row>
    <row r="473" spans="1:40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</row>
    <row r="474" spans="1:40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</row>
    <row r="475" spans="1:40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</row>
    <row r="476" spans="1:40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</row>
    <row r="477" spans="1:40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</row>
    <row r="478" spans="1:40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</row>
    <row r="479" spans="1:40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</row>
    <row r="480" spans="1:40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</row>
    <row r="481" spans="1:40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</row>
    <row r="482" spans="1:40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</row>
    <row r="483" spans="1:40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</row>
    <row r="484" spans="1:40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</row>
    <row r="485" spans="1:40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</row>
    <row r="486" spans="1:40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</row>
    <row r="487" spans="1:40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</row>
    <row r="488" spans="1:40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</row>
    <row r="489" spans="1:40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</row>
    <row r="490" spans="1:40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</row>
    <row r="491" spans="1:40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</row>
    <row r="492" spans="1:40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</row>
    <row r="493" spans="1:40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</row>
    <row r="494" spans="1:40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</row>
    <row r="495" spans="1:40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</row>
    <row r="496" spans="1:40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</row>
    <row r="497" spans="1:40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</row>
    <row r="498" spans="1:40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</row>
    <row r="499" spans="1:40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</row>
    <row r="500" spans="1:40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</row>
  </sheetData>
  <autoFilter ref="A3:AO134" xr:uid="{C8212252-7AEC-4413-9A88-F0DD392B64E5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N12" sqref="N12"/>
    </sheetView>
  </sheetViews>
  <sheetFormatPr defaultRowHeight="15" x14ac:dyDescent="0.25"/>
  <cols>
    <col min="2" max="2" width="9.140625" style="17" customWidth="1"/>
    <col min="3" max="3" width="111.140625" bestFit="1" customWidth="1"/>
  </cols>
  <sheetData>
    <row r="1" spans="1:8" x14ac:dyDescent="0.25">
      <c r="A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</row>
    <row r="2" spans="1:8" x14ac:dyDescent="0.25">
      <c r="A2" t="s">
        <v>322</v>
      </c>
      <c r="B2" s="17" t="str">
        <f t="shared" ref="B2:B28" si="0">SUBSTITUTE(A2," ","")</f>
        <v>SU001051</v>
      </c>
      <c r="C2" t="s">
        <v>323</v>
      </c>
      <c r="D2" t="s">
        <v>324</v>
      </c>
      <c r="E2" t="s">
        <v>325</v>
      </c>
      <c r="F2" t="s">
        <v>325</v>
      </c>
      <c r="G2" t="s">
        <v>326</v>
      </c>
      <c r="H2">
        <f t="shared" ref="H2:H28" si="1">--SUBSTITUTE(G2," ","")</f>
        <v>-101</v>
      </c>
    </row>
    <row r="3" spans="1:8" x14ac:dyDescent="0.25">
      <c r="A3" t="s">
        <v>327</v>
      </c>
      <c r="B3" s="17" t="str">
        <f t="shared" si="0"/>
        <v>SU002074</v>
      </c>
      <c r="C3" t="s">
        <v>328</v>
      </c>
      <c r="D3" t="s">
        <v>329</v>
      </c>
      <c r="E3" t="s">
        <v>325</v>
      </c>
      <c r="F3" t="s">
        <v>325</v>
      </c>
      <c r="G3" t="s">
        <v>330</v>
      </c>
      <c r="H3">
        <f t="shared" si="1"/>
        <v>-207</v>
      </c>
    </row>
    <row r="4" spans="1:8" x14ac:dyDescent="0.25">
      <c r="A4" t="s">
        <v>331</v>
      </c>
      <c r="B4" s="17" t="str">
        <f t="shared" si="0"/>
        <v>SU002182</v>
      </c>
      <c r="C4" t="s">
        <v>332</v>
      </c>
      <c r="D4" t="s">
        <v>333</v>
      </c>
      <c r="E4" t="s">
        <v>333</v>
      </c>
      <c r="F4" t="s">
        <v>325</v>
      </c>
      <c r="G4" t="s">
        <v>334</v>
      </c>
      <c r="H4">
        <f t="shared" si="1"/>
        <v>-69</v>
      </c>
    </row>
    <row r="5" spans="1:8" x14ac:dyDescent="0.25">
      <c r="A5" t="s">
        <v>335</v>
      </c>
      <c r="B5" s="17" t="str">
        <f t="shared" si="0"/>
        <v>SU002205</v>
      </c>
      <c r="C5" t="s">
        <v>336</v>
      </c>
      <c r="D5" t="s">
        <v>337</v>
      </c>
      <c r="E5" t="s">
        <v>325</v>
      </c>
      <c r="F5" t="s">
        <v>325</v>
      </c>
      <c r="G5" t="s">
        <v>338</v>
      </c>
      <c r="H5">
        <f t="shared" si="1"/>
        <v>-10</v>
      </c>
    </row>
    <row r="6" spans="1:8" x14ac:dyDescent="0.25">
      <c r="A6" t="s">
        <v>339</v>
      </c>
      <c r="B6" s="17" t="str">
        <f t="shared" si="0"/>
        <v>SU002287</v>
      </c>
      <c r="C6" t="s">
        <v>340</v>
      </c>
      <c r="D6" t="s">
        <v>341</v>
      </c>
      <c r="E6" t="s">
        <v>325</v>
      </c>
      <c r="F6" t="s">
        <v>325</v>
      </c>
      <c r="G6" t="s">
        <v>342</v>
      </c>
      <c r="H6">
        <f t="shared" si="1"/>
        <v>-108</v>
      </c>
    </row>
    <row r="7" spans="1:8" x14ac:dyDescent="0.25">
      <c r="A7" t="s">
        <v>343</v>
      </c>
      <c r="B7" s="17" t="str">
        <f t="shared" si="0"/>
        <v>SU002618</v>
      </c>
      <c r="C7" t="s">
        <v>344</v>
      </c>
      <c r="D7" t="s">
        <v>345</v>
      </c>
      <c r="E7" t="s">
        <v>325</v>
      </c>
      <c r="F7" t="s">
        <v>325</v>
      </c>
      <c r="G7" t="s">
        <v>346</v>
      </c>
      <c r="H7">
        <f t="shared" si="1"/>
        <v>-120</v>
      </c>
    </row>
    <row r="8" spans="1:8" x14ac:dyDescent="0.25">
      <c r="A8" t="s">
        <v>347</v>
      </c>
      <c r="B8" s="17" t="str">
        <f t="shared" si="0"/>
        <v>SU002655</v>
      </c>
      <c r="C8" t="s">
        <v>348</v>
      </c>
      <c r="D8" t="s">
        <v>349</v>
      </c>
      <c r="E8" t="s">
        <v>325</v>
      </c>
      <c r="F8" t="s">
        <v>325</v>
      </c>
      <c r="G8" t="s">
        <v>350</v>
      </c>
      <c r="H8">
        <f t="shared" si="1"/>
        <v>-54</v>
      </c>
    </row>
    <row r="9" spans="1:8" x14ac:dyDescent="0.25">
      <c r="A9" t="s">
        <v>351</v>
      </c>
      <c r="B9" s="17" t="str">
        <f t="shared" si="0"/>
        <v>SU002660</v>
      </c>
      <c r="C9" t="s">
        <v>352</v>
      </c>
      <c r="D9" t="s">
        <v>353</v>
      </c>
      <c r="E9" t="s">
        <v>325</v>
      </c>
      <c r="F9" t="s">
        <v>325</v>
      </c>
      <c r="G9" t="s">
        <v>354</v>
      </c>
      <c r="H9">
        <f t="shared" si="1"/>
        <v>-55</v>
      </c>
    </row>
    <row r="10" spans="1:8" x14ac:dyDescent="0.25">
      <c r="A10" t="s">
        <v>355</v>
      </c>
      <c r="B10" s="17" t="str">
        <f t="shared" si="0"/>
        <v>SU002756</v>
      </c>
      <c r="C10" t="s">
        <v>356</v>
      </c>
      <c r="D10" t="s">
        <v>357</v>
      </c>
      <c r="E10" t="s">
        <v>357</v>
      </c>
      <c r="F10" t="s">
        <v>325</v>
      </c>
      <c r="G10" t="s">
        <v>358</v>
      </c>
      <c r="H10">
        <f t="shared" si="1"/>
        <v>-63</v>
      </c>
    </row>
    <row r="11" spans="1:8" x14ac:dyDescent="0.25">
      <c r="A11" t="s">
        <v>359</v>
      </c>
      <c r="B11" s="17" t="str">
        <f t="shared" si="0"/>
        <v>SU002758</v>
      </c>
      <c r="C11" t="s">
        <v>360</v>
      </c>
      <c r="D11" t="s">
        <v>361</v>
      </c>
      <c r="E11" t="s">
        <v>325</v>
      </c>
      <c r="F11" t="s">
        <v>325</v>
      </c>
      <c r="G11" t="s">
        <v>362</v>
      </c>
      <c r="H11">
        <f t="shared" si="1"/>
        <v>-48</v>
      </c>
    </row>
    <row r="12" spans="1:8" x14ac:dyDescent="0.25">
      <c r="A12" t="s">
        <v>363</v>
      </c>
      <c r="B12" s="17" t="str">
        <f t="shared" si="0"/>
        <v>SU002759</v>
      </c>
      <c r="C12" t="s">
        <v>364</v>
      </c>
      <c r="D12" t="s">
        <v>361</v>
      </c>
      <c r="E12" t="s">
        <v>361</v>
      </c>
      <c r="F12" t="s">
        <v>325</v>
      </c>
      <c r="G12" t="s">
        <v>362</v>
      </c>
      <c r="H12">
        <f t="shared" si="1"/>
        <v>-48</v>
      </c>
    </row>
    <row r="13" spans="1:8" x14ac:dyDescent="0.25">
      <c r="A13" t="s">
        <v>365</v>
      </c>
      <c r="B13" s="17" t="str">
        <f t="shared" si="0"/>
        <v>SU002801</v>
      </c>
      <c r="C13" t="s">
        <v>366</v>
      </c>
      <c r="D13" t="s">
        <v>367</v>
      </c>
      <c r="E13" t="s">
        <v>367</v>
      </c>
      <c r="F13" t="s">
        <v>368</v>
      </c>
      <c r="G13" t="s">
        <v>369</v>
      </c>
      <c r="H13">
        <f t="shared" si="1"/>
        <v>-15</v>
      </c>
    </row>
    <row r="14" spans="1:8" x14ac:dyDescent="0.25">
      <c r="A14" t="s">
        <v>370</v>
      </c>
      <c r="B14" s="17" t="str">
        <f t="shared" si="0"/>
        <v>SU002835</v>
      </c>
      <c r="C14" t="s">
        <v>371</v>
      </c>
      <c r="D14" t="s">
        <v>372</v>
      </c>
      <c r="E14" t="s">
        <v>373</v>
      </c>
      <c r="F14" t="s">
        <v>374</v>
      </c>
      <c r="G14" t="s">
        <v>375</v>
      </c>
      <c r="H14">
        <f t="shared" si="1"/>
        <v>-173</v>
      </c>
    </row>
    <row r="15" spans="1:8" x14ac:dyDescent="0.25">
      <c r="A15" t="s">
        <v>376</v>
      </c>
      <c r="B15" s="17" t="str">
        <f t="shared" si="0"/>
        <v>SU002847</v>
      </c>
      <c r="C15" t="s">
        <v>377</v>
      </c>
      <c r="D15" t="s">
        <v>378</v>
      </c>
      <c r="E15" t="s">
        <v>325</v>
      </c>
      <c r="F15" t="s">
        <v>325</v>
      </c>
      <c r="G15" t="s">
        <v>379</v>
      </c>
      <c r="H15">
        <f t="shared" si="1"/>
        <v>-50</v>
      </c>
    </row>
    <row r="16" spans="1:8" x14ac:dyDescent="0.25">
      <c r="A16" t="s">
        <v>380</v>
      </c>
      <c r="B16" s="17" t="str">
        <f t="shared" si="0"/>
        <v>SU002941</v>
      </c>
      <c r="C16" t="s">
        <v>381</v>
      </c>
      <c r="D16" t="s">
        <v>382</v>
      </c>
      <c r="E16" t="s">
        <v>325</v>
      </c>
      <c r="F16" t="s">
        <v>325</v>
      </c>
      <c r="G16" t="s">
        <v>383</v>
      </c>
      <c r="H16">
        <f t="shared" si="1"/>
        <v>-70</v>
      </c>
    </row>
    <row r="17" spans="1:8" x14ac:dyDescent="0.25">
      <c r="A17" t="s">
        <v>384</v>
      </c>
      <c r="B17" s="17" t="str">
        <f t="shared" si="0"/>
        <v>SU002942</v>
      </c>
      <c r="C17" t="s">
        <v>385</v>
      </c>
      <c r="D17" t="s">
        <v>386</v>
      </c>
      <c r="E17" t="s">
        <v>325</v>
      </c>
      <c r="F17" t="s">
        <v>325</v>
      </c>
      <c r="G17" t="s">
        <v>387</v>
      </c>
      <c r="H17">
        <f t="shared" si="1"/>
        <v>-9</v>
      </c>
    </row>
    <row r="18" spans="1:8" x14ac:dyDescent="0.25">
      <c r="A18" t="s">
        <v>388</v>
      </c>
      <c r="B18" s="17" t="str">
        <f t="shared" si="0"/>
        <v>SU002943</v>
      </c>
      <c r="C18" t="s">
        <v>389</v>
      </c>
      <c r="D18" t="s">
        <v>382</v>
      </c>
      <c r="E18" t="s">
        <v>325</v>
      </c>
      <c r="F18" t="s">
        <v>325</v>
      </c>
      <c r="G18" t="s">
        <v>383</v>
      </c>
      <c r="H18">
        <f t="shared" si="1"/>
        <v>-70</v>
      </c>
    </row>
    <row r="19" spans="1:8" x14ac:dyDescent="0.25">
      <c r="A19" t="s">
        <v>390</v>
      </c>
      <c r="B19" s="17" t="str">
        <f t="shared" si="0"/>
        <v>SU002944</v>
      </c>
      <c r="C19" t="s">
        <v>391</v>
      </c>
      <c r="D19" t="s">
        <v>392</v>
      </c>
      <c r="E19" t="s">
        <v>392</v>
      </c>
      <c r="F19" t="s">
        <v>325</v>
      </c>
      <c r="G19" t="s">
        <v>393</v>
      </c>
      <c r="H19">
        <f t="shared" si="1"/>
        <v>-34</v>
      </c>
    </row>
    <row r="20" spans="1:8" x14ac:dyDescent="0.25">
      <c r="A20" t="s">
        <v>394</v>
      </c>
      <c r="B20" s="17" t="str">
        <f t="shared" si="0"/>
        <v>SU002945</v>
      </c>
      <c r="C20" t="s">
        <v>395</v>
      </c>
      <c r="D20" t="s">
        <v>396</v>
      </c>
      <c r="E20" t="s">
        <v>325</v>
      </c>
      <c r="F20" t="s">
        <v>325</v>
      </c>
      <c r="G20" t="s">
        <v>397</v>
      </c>
      <c r="H20">
        <f t="shared" si="1"/>
        <v>-184</v>
      </c>
    </row>
    <row r="21" spans="1:8" x14ac:dyDescent="0.25">
      <c r="A21" t="s">
        <v>398</v>
      </c>
      <c r="B21" s="17" t="str">
        <f t="shared" si="0"/>
        <v>SU002947</v>
      </c>
      <c r="C21" t="s">
        <v>399</v>
      </c>
      <c r="D21" t="s">
        <v>400</v>
      </c>
      <c r="E21" t="s">
        <v>400</v>
      </c>
      <c r="F21" t="s">
        <v>325</v>
      </c>
      <c r="G21" t="s">
        <v>401</v>
      </c>
      <c r="H21">
        <f t="shared" si="1"/>
        <v>-81</v>
      </c>
    </row>
    <row r="22" spans="1:8" x14ac:dyDescent="0.25">
      <c r="A22" t="s">
        <v>402</v>
      </c>
      <c r="B22" s="17" t="str">
        <f t="shared" si="0"/>
        <v>SU002948</v>
      </c>
      <c r="C22" t="s">
        <v>403</v>
      </c>
      <c r="D22" t="s">
        <v>404</v>
      </c>
      <c r="E22" t="s">
        <v>325</v>
      </c>
      <c r="F22" t="s">
        <v>325</v>
      </c>
      <c r="G22" t="s">
        <v>405</v>
      </c>
      <c r="H22">
        <f t="shared" si="1"/>
        <v>-31</v>
      </c>
    </row>
    <row r="23" spans="1:8" x14ac:dyDescent="0.25">
      <c r="A23" t="s">
        <v>406</v>
      </c>
      <c r="B23" s="17" t="str">
        <f t="shared" si="0"/>
        <v>SU003167</v>
      </c>
      <c r="C23" t="s">
        <v>407</v>
      </c>
      <c r="D23" t="s">
        <v>408</v>
      </c>
      <c r="E23" t="s">
        <v>325</v>
      </c>
      <c r="F23" t="s">
        <v>325</v>
      </c>
      <c r="G23" t="s">
        <v>409</v>
      </c>
      <c r="H23">
        <f t="shared" si="1"/>
        <v>-13</v>
      </c>
    </row>
    <row r="24" spans="1:8" x14ac:dyDescent="0.25">
      <c r="A24" t="s">
        <v>410</v>
      </c>
      <c r="B24" s="17" t="str">
        <f t="shared" si="0"/>
        <v>SU003168</v>
      </c>
      <c r="C24" t="s">
        <v>411</v>
      </c>
      <c r="D24" t="s">
        <v>412</v>
      </c>
      <c r="E24" t="s">
        <v>325</v>
      </c>
      <c r="F24" t="s">
        <v>325</v>
      </c>
      <c r="G24" t="s">
        <v>413</v>
      </c>
      <c r="H24">
        <f t="shared" si="1"/>
        <v>-8</v>
      </c>
    </row>
    <row r="25" spans="1:8" x14ac:dyDescent="0.25">
      <c r="A25" t="s">
        <v>414</v>
      </c>
      <c r="B25" s="17" t="str">
        <f t="shared" si="0"/>
        <v>SU003829</v>
      </c>
      <c r="C25" t="s">
        <v>415</v>
      </c>
      <c r="D25" t="s">
        <v>416</v>
      </c>
      <c r="E25" t="s">
        <v>325</v>
      </c>
      <c r="F25" t="s">
        <v>325</v>
      </c>
      <c r="G25" t="s">
        <v>417</v>
      </c>
      <c r="H25">
        <f t="shared" si="1"/>
        <v>-18</v>
      </c>
    </row>
    <row r="26" spans="1:8" x14ac:dyDescent="0.25">
      <c r="A26" t="s">
        <v>418</v>
      </c>
      <c r="B26" s="17" t="str">
        <f t="shared" si="0"/>
        <v>SU003893</v>
      </c>
      <c r="C26" t="s">
        <v>419</v>
      </c>
      <c r="D26" t="s">
        <v>420</v>
      </c>
      <c r="E26" t="s">
        <v>325</v>
      </c>
      <c r="F26" t="s">
        <v>325</v>
      </c>
      <c r="G26" t="s">
        <v>421</v>
      </c>
      <c r="H26">
        <f t="shared" si="1"/>
        <v>-4</v>
      </c>
    </row>
    <row r="27" spans="1:8" x14ac:dyDescent="0.25">
      <c r="A27" t="s">
        <v>422</v>
      </c>
      <c r="B27" s="17" t="str">
        <f t="shared" si="0"/>
        <v>SU003921</v>
      </c>
      <c r="C27" t="s">
        <v>423</v>
      </c>
      <c r="D27" t="s">
        <v>386</v>
      </c>
      <c r="E27" t="s">
        <v>325</v>
      </c>
      <c r="F27" t="s">
        <v>325</v>
      </c>
      <c r="G27" t="s">
        <v>387</v>
      </c>
      <c r="H27">
        <f t="shared" si="1"/>
        <v>-9</v>
      </c>
    </row>
    <row r="28" spans="1:8" x14ac:dyDescent="0.25">
      <c r="A28" t="s">
        <v>424</v>
      </c>
      <c r="B28" s="17" t="str">
        <f t="shared" si="0"/>
        <v>SU004041</v>
      </c>
      <c r="C28" t="s">
        <v>425</v>
      </c>
      <c r="D28" t="s">
        <v>426</v>
      </c>
      <c r="E28" t="s">
        <v>325</v>
      </c>
      <c r="F28" t="s">
        <v>325</v>
      </c>
      <c r="G28" t="s">
        <v>427</v>
      </c>
      <c r="H28">
        <f t="shared" si="1"/>
        <v>-151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6920-4B3C-4241-859D-870D2115651C}">
  <dimension ref="A1:E65"/>
  <sheetViews>
    <sheetView workbookViewId="0">
      <selection activeCell="H9" sqref="H9"/>
    </sheetView>
  </sheetViews>
  <sheetFormatPr defaultRowHeight="15" x14ac:dyDescent="0.25"/>
  <cols>
    <col min="2" max="2" width="110.28515625" bestFit="1" customWidth="1"/>
  </cols>
  <sheetData>
    <row r="1" spans="1:5" x14ac:dyDescent="0.25">
      <c r="A1" s="21" t="s">
        <v>71</v>
      </c>
      <c r="B1" s="22" t="s">
        <v>429</v>
      </c>
      <c r="C1" s="23">
        <v>180</v>
      </c>
      <c r="D1" s="23">
        <v>180</v>
      </c>
      <c r="E1" s="23"/>
    </row>
    <row r="2" spans="1:5" x14ac:dyDescent="0.25">
      <c r="A2" s="24" t="s">
        <v>99</v>
      </c>
      <c r="B2" s="25" t="s">
        <v>430</v>
      </c>
      <c r="C2" s="26">
        <v>202.8</v>
      </c>
      <c r="D2" s="26">
        <v>202.8</v>
      </c>
      <c r="E2" s="26"/>
    </row>
    <row r="3" spans="1:5" x14ac:dyDescent="0.25">
      <c r="A3" s="24" t="s">
        <v>103</v>
      </c>
      <c r="B3" s="25" t="s">
        <v>431</v>
      </c>
      <c r="C3" s="26">
        <v>18</v>
      </c>
      <c r="D3" s="26">
        <v>18</v>
      </c>
      <c r="E3" s="26"/>
    </row>
    <row r="4" spans="1:5" x14ac:dyDescent="0.25">
      <c r="A4" s="24" t="s">
        <v>95</v>
      </c>
      <c r="B4" s="25" t="s">
        <v>432</v>
      </c>
      <c r="C4" s="26">
        <v>319.2</v>
      </c>
      <c r="D4" s="26">
        <v>319.2</v>
      </c>
      <c r="E4" s="26"/>
    </row>
    <row r="5" spans="1:5" x14ac:dyDescent="0.25">
      <c r="A5" s="24" t="s">
        <v>54</v>
      </c>
      <c r="B5" s="25" t="s">
        <v>433</v>
      </c>
      <c r="C5" s="26">
        <v>24</v>
      </c>
      <c r="D5" s="26">
        <v>24</v>
      </c>
      <c r="E5" s="26"/>
    </row>
    <row r="6" spans="1:5" x14ac:dyDescent="0.25">
      <c r="A6" s="24" t="s">
        <v>48</v>
      </c>
      <c r="B6" s="25" t="s">
        <v>434</v>
      </c>
      <c r="C6" s="26">
        <v>639.9</v>
      </c>
      <c r="D6" s="26">
        <v>639.9</v>
      </c>
      <c r="E6" s="26"/>
    </row>
    <row r="7" spans="1:5" x14ac:dyDescent="0.25">
      <c r="A7" s="24" t="s">
        <v>56</v>
      </c>
      <c r="B7" s="25" t="s">
        <v>435</v>
      </c>
      <c r="C7" s="26">
        <v>32.4</v>
      </c>
      <c r="D7" s="26">
        <v>32.4</v>
      </c>
      <c r="E7" s="26"/>
    </row>
    <row r="8" spans="1:5" x14ac:dyDescent="0.25">
      <c r="A8" s="24" t="s">
        <v>50</v>
      </c>
      <c r="B8" s="25" t="s">
        <v>436</v>
      </c>
      <c r="C8" s="26">
        <v>477.9</v>
      </c>
      <c r="D8" s="26">
        <v>477.9</v>
      </c>
      <c r="E8" s="26"/>
    </row>
    <row r="9" spans="1:5" x14ac:dyDescent="0.25">
      <c r="A9" s="24" t="s">
        <v>79</v>
      </c>
      <c r="B9" s="25" t="s">
        <v>437</v>
      </c>
      <c r="C9" s="26">
        <v>258.72000000000003</v>
      </c>
      <c r="D9" s="26">
        <v>258.72000000000003</v>
      </c>
      <c r="E9" s="26"/>
    </row>
    <row r="10" spans="1:5" x14ac:dyDescent="0.25">
      <c r="A10" s="24" t="s">
        <v>73</v>
      </c>
      <c r="B10" s="25" t="s">
        <v>438</v>
      </c>
      <c r="C10" s="26">
        <v>36.96</v>
      </c>
      <c r="D10" s="26">
        <v>36.96</v>
      </c>
      <c r="E10" s="26"/>
    </row>
    <row r="11" spans="1:5" x14ac:dyDescent="0.25">
      <c r="A11" s="24" t="s">
        <v>69</v>
      </c>
      <c r="B11" s="25" t="s">
        <v>439</v>
      </c>
      <c r="C11" s="26">
        <v>469.92</v>
      </c>
      <c r="D11" s="26">
        <v>469.92</v>
      </c>
      <c r="E11" s="26"/>
    </row>
    <row r="12" spans="1:5" x14ac:dyDescent="0.25">
      <c r="A12" s="24" t="s">
        <v>81</v>
      </c>
      <c r="B12" s="25" t="s">
        <v>440</v>
      </c>
      <c r="C12" s="26">
        <v>142.56</v>
      </c>
      <c r="D12" s="26">
        <v>142.56</v>
      </c>
      <c r="E12" s="26"/>
    </row>
    <row r="13" spans="1:5" x14ac:dyDescent="0.25">
      <c r="A13" s="24" t="s">
        <v>88</v>
      </c>
      <c r="B13" s="25" t="s">
        <v>441</v>
      </c>
      <c r="C13" s="26">
        <v>200.64</v>
      </c>
      <c r="D13" s="26">
        <v>200.64</v>
      </c>
      <c r="E13" s="26"/>
    </row>
    <row r="14" spans="1:5" x14ac:dyDescent="0.25">
      <c r="A14" s="24" t="s">
        <v>83</v>
      </c>
      <c r="B14" s="25" t="s">
        <v>442</v>
      </c>
      <c r="C14" s="26">
        <v>100.32</v>
      </c>
      <c r="D14" s="26">
        <v>100.32</v>
      </c>
      <c r="E14" s="26"/>
    </row>
    <row r="15" spans="1:5" x14ac:dyDescent="0.25">
      <c r="A15" s="24" t="s">
        <v>75</v>
      </c>
      <c r="B15" s="25" t="s">
        <v>443</v>
      </c>
      <c r="C15" s="26">
        <v>52.8</v>
      </c>
      <c r="D15" s="26">
        <v>52.8</v>
      </c>
      <c r="E15" s="26"/>
    </row>
    <row r="16" spans="1:5" x14ac:dyDescent="0.25">
      <c r="A16" s="24" t="s">
        <v>120</v>
      </c>
      <c r="B16" s="25" t="s">
        <v>444</v>
      </c>
      <c r="C16" s="26">
        <v>4.8</v>
      </c>
      <c r="D16" s="26"/>
      <c r="E16" s="26">
        <v>-4.8</v>
      </c>
    </row>
    <row r="17" spans="1:5" x14ac:dyDescent="0.25">
      <c r="A17" s="24" t="s">
        <v>65</v>
      </c>
      <c r="B17" s="25" t="s">
        <v>445</v>
      </c>
      <c r="C17" s="26">
        <v>25.2</v>
      </c>
      <c r="D17" s="26">
        <v>25.2</v>
      </c>
      <c r="E17" s="26"/>
    </row>
    <row r="18" spans="1:5" x14ac:dyDescent="0.25">
      <c r="A18" s="24" t="s">
        <v>97</v>
      </c>
      <c r="B18" s="25" t="s">
        <v>446</v>
      </c>
      <c r="C18" s="26">
        <v>54</v>
      </c>
      <c r="D18" s="26">
        <v>54</v>
      </c>
      <c r="E18" s="26"/>
    </row>
    <row r="19" spans="1:5" x14ac:dyDescent="0.25">
      <c r="A19" s="24" t="s">
        <v>125</v>
      </c>
      <c r="B19" s="25" t="s">
        <v>447</v>
      </c>
      <c r="C19" s="26">
        <v>40</v>
      </c>
      <c r="D19" s="26">
        <v>40</v>
      </c>
      <c r="E19" s="26"/>
    </row>
    <row r="20" spans="1:5" x14ac:dyDescent="0.25">
      <c r="A20" s="24" t="s">
        <v>112</v>
      </c>
      <c r="B20" s="25" t="s">
        <v>448</v>
      </c>
      <c r="C20" s="26">
        <v>21.6</v>
      </c>
      <c r="D20" s="26">
        <v>21.6</v>
      </c>
      <c r="E20" s="26"/>
    </row>
    <row r="21" spans="1:5" x14ac:dyDescent="0.25">
      <c r="A21" s="24" t="s">
        <v>114</v>
      </c>
      <c r="B21" s="25" t="s">
        <v>449</v>
      </c>
      <c r="C21" s="26">
        <v>81.599999999999994</v>
      </c>
      <c r="D21" s="26">
        <v>81.599999999999994</v>
      </c>
      <c r="E21" s="26"/>
    </row>
    <row r="22" spans="1:5" x14ac:dyDescent="0.25">
      <c r="A22" s="24" t="s">
        <v>118</v>
      </c>
      <c r="B22" s="25" t="s">
        <v>450</v>
      </c>
      <c r="C22" s="26">
        <v>33.6</v>
      </c>
      <c r="D22" s="26">
        <v>33.6</v>
      </c>
      <c r="E22" s="26"/>
    </row>
    <row r="23" spans="1:5" x14ac:dyDescent="0.25">
      <c r="A23" s="24" t="s">
        <v>221</v>
      </c>
      <c r="B23" s="25" t="s">
        <v>451</v>
      </c>
      <c r="C23" s="26">
        <v>311.52</v>
      </c>
      <c r="D23" s="26">
        <v>311.52</v>
      </c>
      <c r="E23" s="26"/>
    </row>
    <row r="24" spans="1:5" x14ac:dyDescent="0.25">
      <c r="A24" s="24" t="s">
        <v>148</v>
      </c>
      <c r="B24" s="25" t="s">
        <v>452</v>
      </c>
      <c r="C24" s="26">
        <v>36</v>
      </c>
      <c r="D24" s="26"/>
      <c r="E24" s="26">
        <v>-36</v>
      </c>
    </row>
    <row r="25" spans="1:5" x14ac:dyDescent="0.25">
      <c r="A25" s="24" t="s">
        <v>127</v>
      </c>
      <c r="B25" s="25" t="s">
        <v>453</v>
      </c>
      <c r="C25" s="26">
        <v>18.899999999999999</v>
      </c>
      <c r="D25" s="26">
        <v>18.899999999999999</v>
      </c>
      <c r="E25" s="26"/>
    </row>
    <row r="26" spans="1:5" x14ac:dyDescent="0.25">
      <c r="A26" s="24" t="s">
        <v>141</v>
      </c>
      <c r="B26" s="25" t="s">
        <v>454</v>
      </c>
      <c r="C26" s="26">
        <v>40.799999999999997</v>
      </c>
      <c r="D26" s="26"/>
      <c r="E26" s="26">
        <v>-40.799999999999997</v>
      </c>
    </row>
    <row r="27" spans="1:5" x14ac:dyDescent="0.25">
      <c r="A27" s="24" t="s">
        <v>122</v>
      </c>
      <c r="B27" s="25" t="s">
        <v>455</v>
      </c>
      <c r="C27" s="26">
        <v>26.1</v>
      </c>
      <c r="D27" s="26">
        <v>26.1</v>
      </c>
      <c r="E27" s="26"/>
    </row>
    <row r="28" spans="1:5" x14ac:dyDescent="0.25">
      <c r="A28" s="24" t="s">
        <v>207</v>
      </c>
      <c r="B28" s="25" t="s">
        <v>456</v>
      </c>
      <c r="C28" s="26">
        <v>7.2</v>
      </c>
      <c r="D28" s="26">
        <v>7.2</v>
      </c>
      <c r="E28" s="26"/>
    </row>
    <row r="29" spans="1:5" x14ac:dyDescent="0.25">
      <c r="A29" s="24" t="s">
        <v>129</v>
      </c>
      <c r="B29" s="25" t="s">
        <v>457</v>
      </c>
      <c r="C29" s="26">
        <v>100.8</v>
      </c>
      <c r="D29" s="26">
        <v>100.8</v>
      </c>
      <c r="E29" s="26"/>
    </row>
    <row r="30" spans="1:5" x14ac:dyDescent="0.25">
      <c r="A30" s="24" t="s">
        <v>154</v>
      </c>
      <c r="B30" s="25" t="s">
        <v>458</v>
      </c>
      <c r="C30" s="26">
        <v>21.6</v>
      </c>
      <c r="D30" s="26"/>
      <c r="E30" s="26">
        <v>-21.6</v>
      </c>
    </row>
    <row r="31" spans="1:5" x14ac:dyDescent="0.25">
      <c r="A31" s="24" t="s">
        <v>156</v>
      </c>
      <c r="B31" s="25" t="s">
        <v>459</v>
      </c>
      <c r="C31" s="26">
        <v>24</v>
      </c>
      <c r="D31" s="26">
        <v>24</v>
      </c>
      <c r="E31" s="26"/>
    </row>
    <row r="32" spans="1:5" x14ac:dyDescent="0.25">
      <c r="A32" s="24" t="s">
        <v>133</v>
      </c>
      <c r="B32" s="25" t="s">
        <v>460</v>
      </c>
      <c r="C32" s="26">
        <v>21.6</v>
      </c>
      <c r="D32" s="26">
        <v>21.6</v>
      </c>
      <c r="E32" s="26"/>
    </row>
    <row r="33" spans="1:5" x14ac:dyDescent="0.25">
      <c r="A33" s="24" t="s">
        <v>131</v>
      </c>
      <c r="B33" s="25" t="s">
        <v>461</v>
      </c>
      <c r="C33" s="26">
        <v>16.8</v>
      </c>
      <c r="D33" s="26">
        <v>16.8</v>
      </c>
      <c r="E33" s="26"/>
    </row>
    <row r="34" spans="1:5" x14ac:dyDescent="0.25">
      <c r="A34" s="24" t="s">
        <v>166</v>
      </c>
      <c r="B34" s="25" t="s">
        <v>462</v>
      </c>
      <c r="C34" s="26">
        <v>10</v>
      </c>
      <c r="D34" s="26">
        <v>10</v>
      </c>
      <c r="E34" s="26"/>
    </row>
    <row r="35" spans="1:5" x14ac:dyDescent="0.25">
      <c r="A35" s="24" t="s">
        <v>160</v>
      </c>
      <c r="B35" s="25" t="s">
        <v>463</v>
      </c>
      <c r="C35" s="26">
        <v>100</v>
      </c>
      <c r="D35" s="26">
        <v>100</v>
      </c>
      <c r="E35" s="26"/>
    </row>
    <row r="36" spans="1:5" x14ac:dyDescent="0.25">
      <c r="A36" s="24" t="s">
        <v>175</v>
      </c>
      <c r="B36" s="25" t="s">
        <v>464</v>
      </c>
      <c r="C36" s="26">
        <v>100.8</v>
      </c>
      <c r="D36" s="26">
        <v>100.8</v>
      </c>
      <c r="E36" s="26"/>
    </row>
    <row r="37" spans="1:5" x14ac:dyDescent="0.25">
      <c r="A37" s="24" t="s">
        <v>170</v>
      </c>
      <c r="B37" s="25" t="s">
        <v>465</v>
      </c>
      <c r="C37" s="26">
        <v>56.7</v>
      </c>
      <c r="D37" s="26">
        <v>56.7</v>
      </c>
      <c r="E37" s="26"/>
    </row>
    <row r="38" spans="1:5" x14ac:dyDescent="0.25">
      <c r="A38" s="24" t="s">
        <v>177</v>
      </c>
      <c r="B38" s="25" t="s">
        <v>466</v>
      </c>
      <c r="C38" s="26">
        <v>81.599999999999994</v>
      </c>
      <c r="D38" s="26">
        <v>81.599999999999994</v>
      </c>
      <c r="E38" s="26"/>
    </row>
    <row r="39" spans="1:5" x14ac:dyDescent="0.25">
      <c r="A39" s="24" t="s">
        <v>137</v>
      </c>
      <c r="B39" s="25" t="s">
        <v>467</v>
      </c>
      <c r="C39" s="26">
        <v>21</v>
      </c>
      <c r="D39" s="26">
        <v>21</v>
      </c>
      <c r="E39" s="26"/>
    </row>
    <row r="40" spans="1:5" x14ac:dyDescent="0.25">
      <c r="A40" s="24" t="s">
        <v>139</v>
      </c>
      <c r="B40" s="25" t="s">
        <v>468</v>
      </c>
      <c r="C40" s="26">
        <v>42</v>
      </c>
      <c r="D40" s="26">
        <v>42</v>
      </c>
      <c r="E40" s="26"/>
    </row>
    <row r="41" spans="1:5" x14ac:dyDescent="0.25">
      <c r="A41" s="24" t="s">
        <v>179</v>
      </c>
      <c r="B41" s="25" t="s">
        <v>469</v>
      </c>
      <c r="C41" s="26">
        <v>64.8</v>
      </c>
      <c r="D41" s="26">
        <v>64.8</v>
      </c>
      <c r="E41" s="26"/>
    </row>
    <row r="42" spans="1:5" x14ac:dyDescent="0.25">
      <c r="A42" s="24" t="s">
        <v>306</v>
      </c>
      <c r="B42" s="25" t="s">
        <v>470</v>
      </c>
      <c r="C42" s="26">
        <v>9</v>
      </c>
      <c r="D42" s="26"/>
      <c r="E42" s="26">
        <v>-9</v>
      </c>
    </row>
    <row r="43" spans="1:5" x14ac:dyDescent="0.25">
      <c r="A43" s="24" t="s">
        <v>181</v>
      </c>
      <c r="B43" s="25" t="s">
        <v>471</v>
      </c>
      <c r="C43" s="26">
        <v>54</v>
      </c>
      <c r="D43" s="26"/>
      <c r="E43" s="26">
        <v>-54</v>
      </c>
    </row>
    <row r="44" spans="1:5" x14ac:dyDescent="0.25">
      <c r="A44" s="24" t="s">
        <v>303</v>
      </c>
      <c r="B44" s="25" t="s">
        <v>472</v>
      </c>
      <c r="C44" s="26">
        <v>9</v>
      </c>
      <c r="D44" s="26"/>
      <c r="E44" s="26">
        <v>-9</v>
      </c>
    </row>
    <row r="45" spans="1:5" x14ac:dyDescent="0.25">
      <c r="A45" s="24" t="s">
        <v>183</v>
      </c>
      <c r="B45" s="25" t="s">
        <v>473</v>
      </c>
      <c r="C45" s="26">
        <v>81</v>
      </c>
      <c r="D45" s="26"/>
      <c r="E45" s="26">
        <v>-81</v>
      </c>
    </row>
    <row r="46" spans="1:5" x14ac:dyDescent="0.25">
      <c r="A46" s="24" t="s">
        <v>185</v>
      </c>
      <c r="B46" s="25" t="s">
        <v>474</v>
      </c>
      <c r="C46" s="26">
        <v>64.8</v>
      </c>
      <c r="D46" s="26">
        <v>64.8</v>
      </c>
      <c r="E46" s="26"/>
    </row>
    <row r="47" spans="1:5" x14ac:dyDescent="0.25">
      <c r="A47" s="24" t="s">
        <v>233</v>
      </c>
      <c r="B47" s="25" t="s">
        <v>475</v>
      </c>
      <c r="C47" s="26">
        <v>16.2</v>
      </c>
      <c r="D47" s="26"/>
      <c r="E47" s="26">
        <v>-16.2</v>
      </c>
    </row>
    <row r="48" spans="1:5" x14ac:dyDescent="0.25">
      <c r="A48" s="24" t="s">
        <v>211</v>
      </c>
      <c r="B48" s="25" t="s">
        <v>476</v>
      </c>
      <c r="C48" s="26">
        <v>8.4</v>
      </c>
      <c r="D48" s="26">
        <v>8.4</v>
      </c>
      <c r="E48" s="26"/>
    </row>
    <row r="49" spans="1:5" x14ac:dyDescent="0.25">
      <c r="A49" s="24" t="s">
        <v>209</v>
      </c>
      <c r="B49" s="25" t="s">
        <v>477</v>
      </c>
      <c r="C49" s="26">
        <v>4.2</v>
      </c>
      <c r="D49" s="26"/>
      <c r="E49" s="26">
        <v>-4.2</v>
      </c>
    </row>
    <row r="50" spans="1:5" x14ac:dyDescent="0.25">
      <c r="A50" s="24" t="s">
        <v>229</v>
      </c>
      <c r="B50" s="25" t="s">
        <v>478</v>
      </c>
      <c r="C50" s="26">
        <v>375</v>
      </c>
      <c r="D50" s="26">
        <v>375</v>
      </c>
      <c r="E50" s="26"/>
    </row>
    <row r="51" spans="1:5" x14ac:dyDescent="0.25">
      <c r="A51" s="24" t="s">
        <v>225</v>
      </c>
      <c r="B51" s="25" t="s">
        <v>479</v>
      </c>
      <c r="C51" s="26">
        <v>1080</v>
      </c>
      <c r="D51" s="26">
        <v>1080</v>
      </c>
      <c r="E51" s="26"/>
    </row>
    <row r="52" spans="1:5" x14ac:dyDescent="0.25">
      <c r="A52" s="24" t="s">
        <v>310</v>
      </c>
      <c r="B52" s="25" t="s">
        <v>480</v>
      </c>
      <c r="C52" s="26">
        <v>30.6</v>
      </c>
      <c r="D52" s="26"/>
      <c r="E52" s="26">
        <v>-30.6</v>
      </c>
    </row>
    <row r="53" spans="1:5" x14ac:dyDescent="0.25">
      <c r="A53" s="24" t="s">
        <v>238</v>
      </c>
      <c r="B53" s="25" t="s">
        <v>481</v>
      </c>
      <c r="C53" s="26">
        <v>1.26</v>
      </c>
      <c r="D53" s="26"/>
      <c r="E53" s="26">
        <v>-1.26</v>
      </c>
    </row>
    <row r="54" spans="1:5" x14ac:dyDescent="0.25">
      <c r="A54" s="24" t="s">
        <v>240</v>
      </c>
      <c r="B54" s="25" t="s">
        <v>482</v>
      </c>
      <c r="C54" s="26">
        <v>1.26</v>
      </c>
      <c r="D54" s="26">
        <v>1.26</v>
      </c>
      <c r="E54" s="26"/>
    </row>
    <row r="55" spans="1:5" x14ac:dyDescent="0.25">
      <c r="A55" s="24" t="s">
        <v>312</v>
      </c>
      <c r="B55" s="25" t="s">
        <v>483</v>
      </c>
      <c r="C55" s="26">
        <v>3.6</v>
      </c>
      <c r="D55" s="26"/>
      <c r="E55" s="26">
        <v>-3.6</v>
      </c>
    </row>
    <row r="56" spans="1:5" x14ac:dyDescent="0.25">
      <c r="A56" s="24" t="s">
        <v>273</v>
      </c>
      <c r="B56" s="25" t="s">
        <v>484</v>
      </c>
      <c r="C56" s="26">
        <v>57.12</v>
      </c>
      <c r="D56" s="26">
        <v>57.12</v>
      </c>
      <c r="E56" s="26"/>
    </row>
    <row r="57" spans="1:5" x14ac:dyDescent="0.25">
      <c r="A57" s="24" t="s">
        <v>267</v>
      </c>
      <c r="B57" s="25" t="s">
        <v>485</v>
      </c>
      <c r="C57" s="26">
        <v>203</v>
      </c>
      <c r="D57" s="26"/>
      <c r="E57" s="26">
        <v>-203</v>
      </c>
    </row>
    <row r="58" spans="1:5" x14ac:dyDescent="0.25">
      <c r="A58" s="24" t="s">
        <v>277</v>
      </c>
      <c r="B58" s="25" t="s">
        <v>486</v>
      </c>
      <c r="C58" s="26">
        <v>57.12</v>
      </c>
      <c r="D58" s="26"/>
      <c r="E58" s="26">
        <v>-57.12</v>
      </c>
    </row>
    <row r="59" spans="1:5" x14ac:dyDescent="0.25">
      <c r="A59" s="24" t="s">
        <v>263</v>
      </c>
      <c r="B59" s="25" t="s">
        <v>487</v>
      </c>
      <c r="C59" s="26">
        <v>150.5</v>
      </c>
      <c r="D59" s="26"/>
      <c r="E59" s="26">
        <v>-150.5</v>
      </c>
    </row>
    <row r="60" spans="1:5" x14ac:dyDescent="0.25">
      <c r="A60" s="24" t="s">
        <v>275</v>
      </c>
      <c r="B60" s="25" t="s">
        <v>488</v>
      </c>
      <c r="C60" s="26">
        <v>57.12</v>
      </c>
      <c r="D60" s="26"/>
      <c r="E60" s="26">
        <v>-57.12</v>
      </c>
    </row>
    <row r="61" spans="1:5" x14ac:dyDescent="0.25">
      <c r="A61" s="24" t="s">
        <v>265</v>
      </c>
      <c r="B61" s="25" t="s">
        <v>489</v>
      </c>
      <c r="C61" s="26">
        <v>150.5</v>
      </c>
      <c r="D61" s="26">
        <v>150.5</v>
      </c>
      <c r="E61" s="26"/>
    </row>
    <row r="62" spans="1:5" x14ac:dyDescent="0.25">
      <c r="A62" s="24" t="s">
        <v>289</v>
      </c>
      <c r="B62" s="25" t="s">
        <v>490</v>
      </c>
      <c r="C62" s="26">
        <v>78</v>
      </c>
      <c r="D62" s="26">
        <v>78</v>
      </c>
      <c r="E62" s="26"/>
    </row>
    <row r="63" spans="1:5" x14ac:dyDescent="0.25">
      <c r="A63" s="24" t="s">
        <v>293</v>
      </c>
      <c r="B63" s="25" t="s">
        <v>491</v>
      </c>
      <c r="C63" s="26">
        <v>7.8</v>
      </c>
      <c r="D63" s="26">
        <v>7.8</v>
      </c>
      <c r="E63" s="26"/>
    </row>
    <row r="64" spans="1:5" x14ac:dyDescent="0.25">
      <c r="A64" s="24" t="s">
        <v>299</v>
      </c>
      <c r="B64" s="25" t="s">
        <v>492</v>
      </c>
      <c r="C64" s="26">
        <v>66.3</v>
      </c>
      <c r="D64" s="26">
        <v>66.3</v>
      </c>
      <c r="E64" s="26"/>
    </row>
    <row r="65" spans="1:5" x14ac:dyDescent="0.25">
      <c r="A65" s="24" t="s">
        <v>297</v>
      </c>
      <c r="B65" s="25" t="s">
        <v>493</v>
      </c>
      <c r="C65" s="26">
        <v>51</v>
      </c>
      <c r="D65" s="26">
        <v>51</v>
      </c>
      <c r="E6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31,08</vt:lpstr>
      <vt:lpstr>недогруз 07,09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2026-09-03T15:33:28Z</dcterms:created>
  <dcterms:modified xsi:type="dcterms:W3CDTF">2026-09-08T10:31:26Z</dcterms:modified>
</cp:coreProperties>
</file>