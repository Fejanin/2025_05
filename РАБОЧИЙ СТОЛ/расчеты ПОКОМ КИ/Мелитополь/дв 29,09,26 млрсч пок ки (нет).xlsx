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0A19D085-673B-4A3D-8452-E641547AF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7,09" sheetId="2" r:id="rId2"/>
  </sheets>
  <externalReferences>
    <externalReference r:id="rId3"/>
  </externalReferences>
  <definedNames>
    <definedName name="_xlnm._FilterDatabase" localSheetId="0" hidden="1">Sheet!$A$3:$AK$128</definedName>
  </definedNames>
  <calcPr calcId="191029"/>
</workbook>
</file>

<file path=xl/calcChain.xml><?xml version="1.0" encoding="utf-8"?>
<calcChain xmlns="http://schemas.openxmlformats.org/spreadsheetml/2006/main">
  <c r="P5" i="1" l="1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V128" i="1"/>
  <c r="AK128" i="1" s="1"/>
  <c r="T128" i="1"/>
  <c r="Y128" i="1" s="1"/>
  <c r="L128" i="1"/>
  <c r="V127" i="1"/>
  <c r="T127" i="1"/>
  <c r="Y127" i="1" s="1"/>
  <c r="L127" i="1"/>
  <c r="V126" i="1"/>
  <c r="AK126" i="1" s="1"/>
  <c r="T126" i="1"/>
  <c r="AL126" i="1" s="1"/>
  <c r="L126" i="1"/>
  <c r="W125" i="1"/>
  <c r="V125" i="1" s="1"/>
  <c r="X125" i="1" s="1"/>
  <c r="T125" i="1"/>
  <c r="AL125" i="1" s="1"/>
  <c r="L125" i="1"/>
  <c r="V124" i="1"/>
  <c r="AK124" i="1" s="1"/>
  <c r="T124" i="1"/>
  <c r="AL124" i="1" s="1"/>
  <c r="L124" i="1"/>
  <c r="W123" i="1"/>
  <c r="V123" i="1" s="1"/>
  <c r="T123" i="1"/>
  <c r="L123" i="1"/>
  <c r="W122" i="1"/>
  <c r="V122" i="1" s="1"/>
  <c r="X122" i="1" s="1"/>
  <c r="T122" i="1"/>
  <c r="Y122" i="1" s="1"/>
  <c r="L122" i="1"/>
  <c r="V121" i="1"/>
  <c r="T121" i="1"/>
  <c r="Y121" i="1" s="1"/>
  <c r="L121" i="1"/>
  <c r="AK120" i="1"/>
  <c r="V120" i="1"/>
  <c r="T120" i="1"/>
  <c r="AL120" i="1" s="1"/>
  <c r="L120" i="1"/>
  <c r="F120" i="1"/>
  <c r="V119" i="1"/>
  <c r="T119" i="1"/>
  <c r="L119" i="1"/>
  <c r="V118" i="1"/>
  <c r="AK118" i="1" s="1"/>
  <c r="T118" i="1"/>
  <c r="AL118" i="1" s="1"/>
  <c r="L118" i="1"/>
  <c r="V117" i="1"/>
  <c r="T117" i="1"/>
  <c r="AL117" i="1" s="1"/>
  <c r="L117" i="1"/>
  <c r="AL116" i="1"/>
  <c r="T116" i="1"/>
  <c r="Y116" i="1" s="1"/>
  <c r="L116" i="1"/>
  <c r="V115" i="1"/>
  <c r="T115" i="1"/>
  <c r="L115" i="1"/>
  <c r="V114" i="1"/>
  <c r="AK114" i="1" s="1"/>
  <c r="T114" i="1"/>
  <c r="AL114" i="1" s="1"/>
  <c r="L114" i="1"/>
  <c r="V113" i="1"/>
  <c r="AK113" i="1" s="1"/>
  <c r="T113" i="1"/>
  <c r="AL113" i="1" s="1"/>
  <c r="L113" i="1"/>
  <c r="V112" i="1"/>
  <c r="AK112" i="1" s="1"/>
  <c r="T112" i="1"/>
  <c r="L112" i="1"/>
  <c r="V111" i="1"/>
  <c r="T111" i="1"/>
  <c r="Y111" i="1" s="1"/>
  <c r="L111" i="1"/>
  <c r="V110" i="1"/>
  <c r="T110" i="1"/>
  <c r="AL110" i="1" s="1"/>
  <c r="L110" i="1"/>
  <c r="W109" i="1"/>
  <c r="V109" i="1" s="1"/>
  <c r="AK109" i="1" s="1"/>
  <c r="T109" i="1"/>
  <c r="AL109" i="1" s="1"/>
  <c r="L109" i="1"/>
  <c r="T108" i="1"/>
  <c r="L108" i="1"/>
  <c r="W107" i="1"/>
  <c r="V107" i="1" s="1"/>
  <c r="T107" i="1"/>
  <c r="L107" i="1"/>
  <c r="V106" i="1"/>
  <c r="AK106" i="1" s="1"/>
  <c r="T106" i="1"/>
  <c r="Y106" i="1" s="1"/>
  <c r="L106" i="1"/>
  <c r="V105" i="1"/>
  <c r="AK105" i="1" s="1"/>
  <c r="T105" i="1"/>
  <c r="AL105" i="1" s="1"/>
  <c r="L105" i="1"/>
  <c r="W104" i="1"/>
  <c r="V104" i="1" s="1"/>
  <c r="T104" i="1"/>
  <c r="L104" i="1"/>
  <c r="AL103" i="1"/>
  <c r="W103" i="1"/>
  <c r="V103" i="1" s="1"/>
  <c r="X103" i="1" s="1"/>
  <c r="T103" i="1"/>
  <c r="Y103" i="1" s="1"/>
  <c r="L103" i="1"/>
  <c r="W102" i="1"/>
  <c r="V102" i="1" s="1"/>
  <c r="T102" i="1"/>
  <c r="Y102" i="1" s="1"/>
  <c r="L102" i="1"/>
  <c r="V101" i="1"/>
  <c r="AK101" i="1" s="1"/>
  <c r="T101" i="1"/>
  <c r="Y101" i="1" s="1"/>
  <c r="L101" i="1"/>
  <c r="T100" i="1"/>
  <c r="L100" i="1"/>
  <c r="V99" i="1"/>
  <c r="AK99" i="1" s="1"/>
  <c r="T99" i="1"/>
  <c r="L99" i="1"/>
  <c r="V98" i="1"/>
  <c r="AK98" i="1" s="1"/>
  <c r="T98" i="1"/>
  <c r="AL98" i="1" s="1"/>
  <c r="L98" i="1"/>
  <c r="V97" i="1"/>
  <c r="AK97" i="1" s="1"/>
  <c r="T97" i="1"/>
  <c r="AL97" i="1" s="1"/>
  <c r="L97" i="1"/>
  <c r="V96" i="1"/>
  <c r="T96" i="1"/>
  <c r="AL96" i="1" s="1"/>
  <c r="L96" i="1"/>
  <c r="T95" i="1"/>
  <c r="AL95" i="1" s="1"/>
  <c r="L95" i="1"/>
  <c r="V94" i="1"/>
  <c r="T94" i="1"/>
  <c r="Y94" i="1" s="1"/>
  <c r="L94" i="1"/>
  <c r="W93" i="1"/>
  <c r="V93" i="1" s="1"/>
  <c r="AK93" i="1" s="1"/>
  <c r="T93" i="1"/>
  <c r="AL93" i="1" s="1"/>
  <c r="L93" i="1"/>
  <c r="V92" i="1"/>
  <c r="T92" i="1"/>
  <c r="L92" i="1"/>
  <c r="T91" i="1"/>
  <c r="AL91" i="1" s="1"/>
  <c r="L91" i="1"/>
  <c r="W90" i="1"/>
  <c r="V90" i="1" s="1"/>
  <c r="AK90" i="1" s="1"/>
  <c r="T90" i="1"/>
  <c r="AL90" i="1" s="1"/>
  <c r="L90" i="1"/>
  <c r="V89" i="1"/>
  <c r="AK89" i="1" s="1"/>
  <c r="T89" i="1"/>
  <c r="AL89" i="1" s="1"/>
  <c r="L89" i="1"/>
  <c r="V88" i="1"/>
  <c r="T88" i="1"/>
  <c r="AL88" i="1" s="1"/>
  <c r="L88" i="1"/>
  <c r="V87" i="1"/>
  <c r="AK87" i="1" s="1"/>
  <c r="T87" i="1"/>
  <c r="L87" i="1"/>
  <c r="V86" i="1"/>
  <c r="AK86" i="1" s="1"/>
  <c r="T86" i="1"/>
  <c r="Y86" i="1" s="1"/>
  <c r="L86" i="1"/>
  <c r="V85" i="1"/>
  <c r="T85" i="1"/>
  <c r="L85" i="1"/>
  <c r="V84" i="1"/>
  <c r="T84" i="1"/>
  <c r="Y84" i="1" s="1"/>
  <c r="L84" i="1"/>
  <c r="V83" i="1"/>
  <c r="T83" i="1"/>
  <c r="AL83" i="1" s="1"/>
  <c r="L83" i="1"/>
  <c r="V82" i="1"/>
  <c r="AK82" i="1" s="1"/>
  <c r="T82" i="1"/>
  <c r="AL82" i="1" s="1"/>
  <c r="L82" i="1"/>
  <c r="V81" i="1"/>
  <c r="AK81" i="1" s="1"/>
  <c r="T81" i="1"/>
  <c r="Y81" i="1" s="1"/>
  <c r="L81" i="1"/>
  <c r="V80" i="1"/>
  <c r="T80" i="1"/>
  <c r="Y80" i="1" s="1"/>
  <c r="L80" i="1"/>
  <c r="V79" i="1"/>
  <c r="AK79" i="1" s="1"/>
  <c r="T79" i="1"/>
  <c r="AL79" i="1" s="1"/>
  <c r="L79" i="1"/>
  <c r="V78" i="1"/>
  <c r="T78" i="1"/>
  <c r="L78" i="1"/>
  <c r="V77" i="1"/>
  <c r="AK77" i="1" s="1"/>
  <c r="T77" i="1"/>
  <c r="AL77" i="1" s="1"/>
  <c r="L77" i="1"/>
  <c r="V76" i="1"/>
  <c r="AK76" i="1" s="1"/>
  <c r="T76" i="1"/>
  <c r="Y76" i="1" s="1"/>
  <c r="L76" i="1"/>
  <c r="V75" i="1"/>
  <c r="T75" i="1"/>
  <c r="L75" i="1"/>
  <c r="V74" i="1"/>
  <c r="T74" i="1"/>
  <c r="AL74" i="1" s="1"/>
  <c r="L74" i="1"/>
  <c r="V73" i="1"/>
  <c r="T73" i="1"/>
  <c r="AL73" i="1" s="1"/>
  <c r="L73" i="1"/>
  <c r="V72" i="1"/>
  <c r="AK72" i="1" s="1"/>
  <c r="T72" i="1"/>
  <c r="L72" i="1"/>
  <c r="V71" i="1"/>
  <c r="AK71" i="1" s="1"/>
  <c r="T71" i="1"/>
  <c r="L71" i="1"/>
  <c r="V70" i="1"/>
  <c r="AK70" i="1" s="1"/>
  <c r="T70" i="1"/>
  <c r="AL70" i="1" s="1"/>
  <c r="L70" i="1"/>
  <c r="V69" i="1"/>
  <c r="AK69" i="1" s="1"/>
  <c r="T69" i="1"/>
  <c r="AL69" i="1" s="1"/>
  <c r="L69" i="1"/>
  <c r="V68" i="1"/>
  <c r="T68" i="1"/>
  <c r="AL68" i="1" s="1"/>
  <c r="L68" i="1"/>
  <c r="V67" i="1"/>
  <c r="AK67" i="1" s="1"/>
  <c r="T67" i="1"/>
  <c r="Y67" i="1" s="1"/>
  <c r="L67" i="1"/>
  <c r="V66" i="1"/>
  <c r="AK66" i="1" s="1"/>
  <c r="T66" i="1"/>
  <c r="AL66" i="1" s="1"/>
  <c r="L66" i="1"/>
  <c r="V65" i="1"/>
  <c r="T65" i="1"/>
  <c r="L65" i="1"/>
  <c r="V64" i="1"/>
  <c r="T64" i="1"/>
  <c r="Y64" i="1" s="1"/>
  <c r="L64" i="1"/>
  <c r="AL63" i="1"/>
  <c r="V63" i="1"/>
  <c r="T63" i="1"/>
  <c r="Y63" i="1" s="1"/>
  <c r="L63" i="1"/>
  <c r="V62" i="1"/>
  <c r="AK62" i="1" s="1"/>
  <c r="T62" i="1"/>
  <c r="AL62" i="1" s="1"/>
  <c r="L62" i="1"/>
  <c r="T61" i="1"/>
  <c r="AL61" i="1" s="1"/>
  <c r="L61" i="1"/>
  <c r="T60" i="1"/>
  <c r="Y60" i="1" s="1"/>
  <c r="L60" i="1"/>
  <c r="V59" i="1"/>
  <c r="T59" i="1"/>
  <c r="AL59" i="1" s="1"/>
  <c r="L59" i="1"/>
  <c r="V58" i="1"/>
  <c r="AK58" i="1" s="1"/>
  <c r="T58" i="1"/>
  <c r="L58" i="1"/>
  <c r="V57" i="1"/>
  <c r="AK57" i="1" s="1"/>
  <c r="T57" i="1"/>
  <c r="L57" i="1"/>
  <c r="V56" i="1"/>
  <c r="AK56" i="1" s="1"/>
  <c r="T56" i="1"/>
  <c r="AL56" i="1" s="1"/>
  <c r="L56" i="1"/>
  <c r="V55" i="1"/>
  <c r="AK55" i="1" s="1"/>
  <c r="F55" i="1"/>
  <c r="E55" i="1"/>
  <c r="T55" i="1" s="1"/>
  <c r="AL55" i="1" s="1"/>
  <c r="T54" i="1"/>
  <c r="U54" i="1" s="1"/>
  <c r="V54" i="1" s="1"/>
  <c r="L54" i="1"/>
  <c r="V53" i="1"/>
  <c r="T53" i="1"/>
  <c r="L53" i="1"/>
  <c r="T52" i="1"/>
  <c r="AL52" i="1" s="1"/>
  <c r="L52" i="1"/>
  <c r="V51" i="1"/>
  <c r="AK51" i="1" s="1"/>
  <c r="T51" i="1"/>
  <c r="AL51" i="1" s="1"/>
  <c r="L51" i="1"/>
  <c r="V50" i="1"/>
  <c r="AK50" i="1" s="1"/>
  <c r="T50" i="1"/>
  <c r="L50" i="1"/>
  <c r="V49" i="1"/>
  <c r="T49" i="1"/>
  <c r="L49" i="1"/>
  <c r="V48" i="1"/>
  <c r="AK48" i="1" s="1"/>
  <c r="T48" i="1"/>
  <c r="AL48" i="1" s="1"/>
  <c r="L48" i="1"/>
  <c r="V47" i="1"/>
  <c r="AK47" i="1" s="1"/>
  <c r="T47" i="1"/>
  <c r="AL47" i="1" s="1"/>
  <c r="L47" i="1"/>
  <c r="T46" i="1"/>
  <c r="AL46" i="1" s="1"/>
  <c r="L46" i="1"/>
  <c r="V45" i="1"/>
  <c r="T45" i="1"/>
  <c r="Y45" i="1" s="1"/>
  <c r="L45" i="1"/>
  <c r="V44" i="1"/>
  <c r="T44" i="1"/>
  <c r="AL44" i="1" s="1"/>
  <c r="L44" i="1"/>
  <c r="T43" i="1"/>
  <c r="U43" i="1" s="1"/>
  <c r="V43" i="1" s="1"/>
  <c r="AK43" i="1" s="1"/>
  <c r="L43" i="1"/>
  <c r="V42" i="1"/>
  <c r="T42" i="1"/>
  <c r="L42" i="1"/>
  <c r="V41" i="1"/>
  <c r="AK41" i="1" s="1"/>
  <c r="T41" i="1"/>
  <c r="AL41" i="1" s="1"/>
  <c r="L41" i="1"/>
  <c r="W40" i="1"/>
  <c r="V40" i="1" s="1"/>
  <c r="T40" i="1"/>
  <c r="AL40" i="1" s="1"/>
  <c r="L40" i="1"/>
  <c r="V39" i="1"/>
  <c r="AK39" i="1" s="1"/>
  <c r="T39" i="1"/>
  <c r="L39" i="1"/>
  <c r="V38" i="1"/>
  <c r="AK38" i="1" s="1"/>
  <c r="T38" i="1"/>
  <c r="L38" i="1"/>
  <c r="AK37" i="1"/>
  <c r="V37" i="1"/>
  <c r="T37" i="1"/>
  <c r="Y37" i="1" s="1"/>
  <c r="L37" i="1"/>
  <c r="V36" i="1"/>
  <c r="AK36" i="1" s="1"/>
  <c r="T36" i="1"/>
  <c r="Y36" i="1" s="1"/>
  <c r="L36" i="1"/>
  <c r="V35" i="1"/>
  <c r="T35" i="1"/>
  <c r="AL35" i="1" s="1"/>
  <c r="L35" i="1"/>
  <c r="V34" i="1"/>
  <c r="AK34" i="1" s="1"/>
  <c r="T34" i="1"/>
  <c r="Y34" i="1" s="1"/>
  <c r="L34" i="1"/>
  <c r="V33" i="1"/>
  <c r="AK33" i="1" s="1"/>
  <c r="T33" i="1"/>
  <c r="Y33" i="1" s="1"/>
  <c r="L33" i="1"/>
  <c r="W32" i="1"/>
  <c r="V32" i="1" s="1"/>
  <c r="AK32" i="1" s="1"/>
  <c r="T32" i="1"/>
  <c r="L32" i="1"/>
  <c r="T31" i="1"/>
  <c r="L31" i="1"/>
  <c r="V30" i="1"/>
  <c r="T30" i="1"/>
  <c r="AL30" i="1" s="1"/>
  <c r="L30" i="1"/>
  <c r="V29" i="1"/>
  <c r="AK29" i="1" s="1"/>
  <c r="T29" i="1"/>
  <c r="AL29" i="1" s="1"/>
  <c r="L29" i="1"/>
  <c r="V28" i="1"/>
  <c r="AK28" i="1" s="1"/>
  <c r="T28" i="1"/>
  <c r="AL28" i="1" s="1"/>
  <c r="L28" i="1"/>
  <c r="V27" i="1"/>
  <c r="X27" i="1" s="1"/>
  <c r="T27" i="1"/>
  <c r="L27" i="1"/>
  <c r="V26" i="1"/>
  <c r="T26" i="1"/>
  <c r="Y26" i="1" s="1"/>
  <c r="L26" i="1"/>
  <c r="V25" i="1"/>
  <c r="AK25" i="1" s="1"/>
  <c r="T25" i="1"/>
  <c r="AL25" i="1" s="1"/>
  <c r="L25" i="1"/>
  <c r="V24" i="1"/>
  <c r="T24" i="1"/>
  <c r="AL24" i="1" s="1"/>
  <c r="L24" i="1"/>
  <c r="V23" i="1"/>
  <c r="AK23" i="1" s="1"/>
  <c r="T23" i="1"/>
  <c r="X23" i="1" s="1"/>
  <c r="L23" i="1"/>
  <c r="T22" i="1"/>
  <c r="U22" i="1" s="1"/>
  <c r="V22" i="1" s="1"/>
  <c r="AK22" i="1" s="1"/>
  <c r="L22" i="1"/>
  <c r="V21" i="1"/>
  <c r="AK21" i="1" s="1"/>
  <c r="T21" i="1"/>
  <c r="AL21" i="1" s="1"/>
  <c r="L21" i="1"/>
  <c r="V20" i="1"/>
  <c r="AK20" i="1" s="1"/>
  <c r="T20" i="1"/>
  <c r="Y20" i="1" s="1"/>
  <c r="L20" i="1"/>
  <c r="V19" i="1"/>
  <c r="AK19" i="1" s="1"/>
  <c r="T19" i="1"/>
  <c r="Y19" i="1" s="1"/>
  <c r="L19" i="1"/>
  <c r="T18" i="1"/>
  <c r="AL18" i="1" s="1"/>
  <c r="L18" i="1"/>
  <c r="V17" i="1"/>
  <c r="AK17" i="1" s="1"/>
  <c r="T17" i="1"/>
  <c r="L17" i="1"/>
  <c r="V16" i="1"/>
  <c r="T16" i="1"/>
  <c r="AL16" i="1" s="1"/>
  <c r="L16" i="1"/>
  <c r="T15" i="1"/>
  <c r="AL15" i="1" s="1"/>
  <c r="L15" i="1"/>
  <c r="V14" i="1"/>
  <c r="AK14" i="1" s="1"/>
  <c r="T14" i="1"/>
  <c r="AL14" i="1" s="1"/>
  <c r="L14" i="1"/>
  <c r="V13" i="1"/>
  <c r="T13" i="1"/>
  <c r="AL13" i="1" s="1"/>
  <c r="L13" i="1"/>
  <c r="V12" i="1"/>
  <c r="AK12" i="1" s="1"/>
  <c r="T12" i="1"/>
  <c r="AL12" i="1" s="1"/>
  <c r="L12" i="1"/>
  <c r="V11" i="1"/>
  <c r="AK11" i="1" s="1"/>
  <c r="T11" i="1"/>
  <c r="AL11" i="1" s="1"/>
  <c r="L11" i="1"/>
  <c r="V10" i="1"/>
  <c r="T10" i="1"/>
  <c r="L10" i="1"/>
  <c r="V9" i="1"/>
  <c r="T9" i="1"/>
  <c r="Y9" i="1" s="1"/>
  <c r="L9" i="1"/>
  <c r="V8" i="1"/>
  <c r="T8" i="1"/>
  <c r="Y8" i="1" s="1"/>
  <c r="L8" i="1"/>
  <c r="V7" i="1"/>
  <c r="AK7" i="1" s="1"/>
  <c r="T7" i="1"/>
  <c r="AL7" i="1" s="1"/>
  <c r="L7" i="1"/>
  <c r="T6" i="1"/>
  <c r="AL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O5" i="1"/>
  <c r="N5" i="1"/>
  <c r="M5" i="1"/>
  <c r="K5" i="1"/>
  <c r="F5" i="1"/>
  <c r="Y98" i="1" l="1"/>
  <c r="U15" i="1"/>
  <c r="V15" i="1" s="1"/>
  <c r="Y15" i="1"/>
  <c r="X87" i="1"/>
  <c r="X106" i="1"/>
  <c r="AL106" i="1"/>
  <c r="X84" i="1"/>
  <c r="AL101" i="1"/>
  <c r="AL8" i="1"/>
  <c r="Y89" i="1"/>
  <c r="Y59" i="1"/>
  <c r="AL34" i="1"/>
  <c r="AL26" i="1"/>
  <c r="Y28" i="1"/>
  <c r="X94" i="1"/>
  <c r="AL94" i="1"/>
  <c r="AL23" i="1"/>
  <c r="X17" i="1"/>
  <c r="X49" i="1"/>
  <c r="Y83" i="1"/>
  <c r="Y7" i="1"/>
  <c r="X59" i="1"/>
  <c r="X57" i="1"/>
  <c r="AL81" i="1"/>
  <c r="Y44" i="1"/>
  <c r="AK27" i="1"/>
  <c r="X33" i="1"/>
  <c r="X120" i="1"/>
  <c r="AL76" i="1"/>
  <c r="Y16" i="1"/>
  <c r="AL128" i="1"/>
  <c r="AL60" i="1"/>
  <c r="X73" i="1"/>
  <c r="Y73" i="1"/>
  <c r="X26" i="1"/>
  <c r="Y43" i="1"/>
  <c r="AK49" i="1"/>
  <c r="Y56" i="1"/>
  <c r="X86" i="1"/>
  <c r="U60" i="1"/>
  <c r="V60" i="1" s="1"/>
  <c r="X60" i="1" s="1"/>
  <c r="X80" i="1"/>
  <c r="X37" i="1"/>
  <c r="AL33" i="1"/>
  <c r="X56" i="1"/>
  <c r="X67" i="1"/>
  <c r="X8" i="1"/>
  <c r="X62" i="1"/>
  <c r="X85" i="1"/>
  <c r="Y90" i="1"/>
  <c r="X45" i="1"/>
  <c r="AK85" i="1"/>
  <c r="Y120" i="1"/>
  <c r="Y40" i="1"/>
  <c r="X63" i="1"/>
  <c r="U91" i="1"/>
  <c r="V91" i="1" s="1"/>
  <c r="AK91" i="1" s="1"/>
  <c r="Y97" i="1"/>
  <c r="AL20" i="1"/>
  <c r="X92" i="1"/>
  <c r="X98" i="1"/>
  <c r="X10" i="1"/>
  <c r="AL36" i="1"/>
  <c r="X64" i="1"/>
  <c r="Y82" i="1"/>
  <c r="X110" i="1"/>
  <c r="AL64" i="1"/>
  <c r="Y22" i="1"/>
  <c r="X22" i="1"/>
  <c r="E5" i="1"/>
  <c r="AL22" i="1"/>
  <c r="AL37" i="1"/>
  <c r="Y105" i="1"/>
  <c r="X40" i="1"/>
  <c r="AK40" i="1"/>
  <c r="X15" i="1"/>
  <c r="AK15" i="1"/>
  <c r="Y47" i="1"/>
  <c r="Y51" i="1"/>
  <c r="AK94" i="1"/>
  <c r="Y14" i="1"/>
  <c r="Y18" i="1"/>
  <c r="AK26" i="1"/>
  <c r="Y30" i="1"/>
  <c r="X117" i="1"/>
  <c r="Y125" i="1"/>
  <c r="X113" i="1"/>
  <c r="Y117" i="1"/>
  <c r="X121" i="1"/>
  <c r="Y113" i="1"/>
  <c r="AK117" i="1"/>
  <c r="AK121" i="1"/>
  <c r="AK64" i="1"/>
  <c r="X65" i="1"/>
  <c r="X11" i="1"/>
  <c r="X19" i="1"/>
  <c r="U52" i="1"/>
  <c r="V52" i="1" s="1"/>
  <c r="AK52" i="1" s="1"/>
  <c r="AK65" i="1"/>
  <c r="Y69" i="1"/>
  <c r="AK73" i="1"/>
  <c r="Y95" i="1"/>
  <c r="X99" i="1"/>
  <c r="Y109" i="1"/>
  <c r="AL121" i="1"/>
  <c r="Y11" i="1"/>
  <c r="Y23" i="1"/>
  <c r="Y35" i="1"/>
  <c r="X48" i="1"/>
  <c r="Y52" i="1"/>
  <c r="AL86" i="1"/>
  <c r="AK10" i="1"/>
  <c r="AL19" i="1"/>
  <c r="X44" i="1"/>
  <c r="Y48" i="1"/>
  <c r="X83" i="1"/>
  <c r="X105" i="1"/>
  <c r="Y126" i="1"/>
  <c r="W5" i="1"/>
  <c r="AK44" i="1"/>
  <c r="Y62" i="1"/>
  <c r="X66" i="1"/>
  <c r="AK83" i="1"/>
  <c r="Y91" i="1"/>
  <c r="Y110" i="1"/>
  <c r="Y118" i="1"/>
  <c r="AK122" i="1"/>
  <c r="AK8" i="1"/>
  <c r="X12" i="1"/>
  <c r="X36" i="1"/>
  <c r="Y66" i="1"/>
  <c r="X70" i="1"/>
  <c r="Y74" i="1"/>
  <c r="Y87" i="1"/>
  <c r="AK110" i="1"/>
  <c r="Y114" i="1"/>
  <c r="AL122" i="1"/>
  <c r="X14" i="1"/>
  <c r="Y70" i="1"/>
  <c r="Y12" i="1"/>
  <c r="X28" i="1"/>
  <c r="AL87" i="1"/>
  <c r="X97" i="1"/>
  <c r="X9" i="1"/>
  <c r="AK45" i="1"/>
  <c r="AK80" i="1"/>
  <c r="AK84" i="1"/>
  <c r="X111" i="1"/>
  <c r="AK9" i="1"/>
  <c r="Y21" i="1"/>
  <c r="Y25" i="1"/>
  <c r="AL45" i="1"/>
  <c r="AK59" i="1"/>
  <c r="AK63" i="1"/>
  <c r="AL80" i="1"/>
  <c r="AL84" i="1"/>
  <c r="AK111" i="1"/>
  <c r="AL111" i="1"/>
  <c r="Y29" i="1"/>
  <c r="U116" i="1"/>
  <c r="V116" i="1" s="1"/>
  <c r="AK116" i="1" s="1"/>
  <c r="Y124" i="1"/>
  <c r="AL9" i="1"/>
  <c r="X34" i="1"/>
  <c r="AL67" i="1"/>
  <c r="X104" i="1"/>
  <c r="AK104" i="1"/>
  <c r="AK54" i="1"/>
  <c r="X54" i="1"/>
  <c r="X123" i="1"/>
  <c r="AK123" i="1"/>
  <c r="AK30" i="1"/>
  <c r="X30" i="1"/>
  <c r="X79" i="1"/>
  <c r="X90" i="1"/>
  <c r="AK125" i="1"/>
  <c r="Y79" i="1"/>
  <c r="AL27" i="1"/>
  <c r="Y27" i="1"/>
  <c r="Y75" i="1"/>
  <c r="AL75" i="1"/>
  <c r="X102" i="1"/>
  <c r="AL71" i="1"/>
  <c r="Y71" i="1"/>
  <c r="AK16" i="1"/>
  <c r="X16" i="1"/>
  <c r="AL49" i="1"/>
  <c r="Y49" i="1"/>
  <c r="X71" i="1"/>
  <c r="AK75" i="1"/>
  <c r="X75" i="1"/>
  <c r="AK102" i="1"/>
  <c r="AL102" i="1"/>
  <c r="X13" i="1"/>
  <c r="AK13" i="1"/>
  <c r="AL31" i="1"/>
  <c r="Y31" i="1"/>
  <c r="U6" i="1"/>
  <c r="Y10" i="1"/>
  <c r="AL10" i="1"/>
  <c r="Y13" i="1"/>
  <c r="X24" i="1"/>
  <c r="AK24" i="1"/>
  <c r="U31" i="1"/>
  <c r="V31" i="1" s="1"/>
  <c r="AL38" i="1"/>
  <c r="Y38" i="1"/>
  <c r="AL42" i="1"/>
  <c r="Y42" i="1"/>
  <c r="X53" i="1"/>
  <c r="AL57" i="1"/>
  <c r="Y57" i="1"/>
  <c r="X68" i="1"/>
  <c r="AK68" i="1"/>
  <c r="AL53" i="1"/>
  <c r="Y53" i="1"/>
  <c r="Y24" i="1"/>
  <c r="X42" i="1"/>
  <c r="U46" i="1"/>
  <c r="V46" i="1" s="1"/>
  <c r="U61" i="1"/>
  <c r="V61" i="1" s="1"/>
  <c r="Y61" i="1"/>
  <c r="Y65" i="1"/>
  <c r="AL65" i="1"/>
  <c r="Y68" i="1"/>
  <c r="AL72" i="1"/>
  <c r="Y72" i="1"/>
  <c r="X76" i="1"/>
  <c r="AL99" i="1"/>
  <c r="Y99" i="1"/>
  <c r="Y115" i="1"/>
  <c r="AL115" i="1"/>
  <c r="Y41" i="1"/>
  <c r="X41" i="1"/>
  <c r="Y17" i="1"/>
  <c r="AL17" i="1"/>
  <c r="X38" i="1"/>
  <c r="X115" i="1"/>
  <c r="AK115" i="1"/>
  <c r="Y119" i="1"/>
  <c r="AL119" i="1"/>
  <c r="Y123" i="1"/>
  <c r="AL123" i="1"/>
  <c r="X29" i="1"/>
  <c r="T5" i="1"/>
  <c r="Y6" i="1"/>
  <c r="X21" i="1"/>
  <c r="Y32" i="1"/>
  <c r="U32" i="1"/>
  <c r="AL32" i="1"/>
  <c r="X35" i="1"/>
  <c r="AK35" i="1"/>
  <c r="Y46" i="1"/>
  <c r="AL50" i="1"/>
  <c r="Y50" i="1"/>
  <c r="X72" i="1"/>
  <c r="AK103" i="1"/>
  <c r="AL107" i="1"/>
  <c r="Y107" i="1"/>
  <c r="X119" i="1"/>
  <c r="AK119" i="1"/>
  <c r="X127" i="1"/>
  <c r="AK127" i="1"/>
  <c r="AL39" i="1"/>
  <c r="Y39" i="1"/>
  <c r="X43" i="1"/>
  <c r="X50" i="1"/>
  <c r="Y54" i="1"/>
  <c r="AL58" i="1"/>
  <c r="Y58" i="1"/>
  <c r="X69" i="1"/>
  <c r="Y85" i="1"/>
  <c r="AL85" i="1"/>
  <c r="Y88" i="1"/>
  <c r="AL92" i="1"/>
  <c r="Y92" i="1"/>
  <c r="X96" i="1"/>
  <c r="AK96" i="1"/>
  <c r="Y112" i="1"/>
  <c r="AL112" i="1"/>
  <c r="X51" i="1"/>
  <c r="X88" i="1"/>
  <c r="AK88" i="1"/>
  <c r="X32" i="1"/>
  <c r="AL54" i="1"/>
  <c r="Y77" i="1"/>
  <c r="X77" i="1"/>
  <c r="Y96" i="1"/>
  <c r="Y100" i="1"/>
  <c r="AL100" i="1"/>
  <c r="AL104" i="1"/>
  <c r="Y104" i="1"/>
  <c r="AL108" i="1"/>
  <c r="Y108" i="1"/>
  <c r="AK74" i="1"/>
  <c r="X74" i="1"/>
  <c r="AK107" i="1"/>
  <c r="X107" i="1"/>
  <c r="X7" i="1"/>
  <c r="X25" i="1"/>
  <c r="U18" i="1"/>
  <c r="V18" i="1" s="1"/>
  <c r="X39" i="1"/>
  <c r="AL43" i="1"/>
  <c r="X47" i="1"/>
  <c r="X58" i="1"/>
  <c r="U100" i="1"/>
  <c r="V100" i="1" s="1"/>
  <c r="U108" i="1"/>
  <c r="V108" i="1" s="1"/>
  <c r="X112" i="1"/>
  <c r="X128" i="1"/>
  <c r="X124" i="1"/>
  <c r="X89" i="1"/>
  <c r="AL78" i="1"/>
  <c r="Y78" i="1"/>
  <c r="X82" i="1"/>
  <c r="Y55" i="1"/>
  <c r="X78" i="1"/>
  <c r="Y93" i="1"/>
  <c r="X101" i="1"/>
  <c r="X109" i="1"/>
  <c r="X55" i="1"/>
  <c r="X93" i="1"/>
  <c r="X118" i="1"/>
  <c r="X126" i="1"/>
  <c r="L55" i="1"/>
  <c r="L5" i="1" s="1"/>
  <c r="AK42" i="1"/>
  <c r="AK53" i="1"/>
  <c r="AK78" i="1"/>
  <c r="AK92" i="1"/>
  <c r="AL127" i="1"/>
  <c r="X20" i="1"/>
  <c r="X81" i="1"/>
  <c r="U95" i="1"/>
  <c r="V95" i="1" s="1"/>
  <c r="X114" i="1"/>
  <c r="AK60" i="1" l="1"/>
  <c r="X91" i="1"/>
  <c r="X116" i="1"/>
  <c r="AL5" i="1"/>
  <c r="X52" i="1"/>
  <c r="X95" i="1"/>
  <c r="AK95" i="1"/>
  <c r="X31" i="1"/>
  <c r="AK31" i="1"/>
  <c r="AK100" i="1"/>
  <c r="X100" i="1"/>
  <c r="AK18" i="1"/>
  <c r="X18" i="1"/>
  <c r="AK61" i="1"/>
  <c r="X61" i="1"/>
  <c r="X108" i="1"/>
  <c r="AK108" i="1"/>
  <c r="X46" i="1"/>
  <c r="AK46" i="1"/>
  <c r="V6" i="1"/>
  <c r="U5" i="1"/>
  <c r="AK6" i="1" l="1"/>
  <c r="AK5" i="1" s="1"/>
  <c r="V5" i="1"/>
  <c r="X6" i="1"/>
</calcChain>
</file>

<file path=xl/sharedStrings.xml><?xml version="1.0" encoding="utf-8"?>
<sst xmlns="http://schemas.openxmlformats.org/spreadsheetml/2006/main" count="538" uniqueCount="221">
  <si>
    <t>29,09,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</si>
  <si>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</si>
  <si>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</si>
  <si>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</si>
  <si>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</si>
  <si>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</si>
  <si>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</si>
  <si>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</si>
  <si>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</si>
  <si>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</si>
  <si>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</si>
  <si>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</si>
  <si>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</si>
  <si>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</si>
  <si>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</si>
  <si>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</si>
  <si>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</si>
  <si>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</si>
  <si>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</si>
  <si>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</si>
  <si>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</si>
  <si>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</si>
  <si>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</si>
  <si>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</si>
  <si>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</si>
  <si>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27,09,</t>
  </si>
  <si>
    <t>27,09,доз</t>
  </si>
  <si>
    <t>29,09,доз</t>
  </si>
  <si>
    <t>нет</t>
  </si>
  <si>
    <t>Боярко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</si>
  <si>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</si>
  <si>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</si>
  <si>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</si>
  <si>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</si>
  <si>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</si>
  <si>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</si>
  <si>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</si>
  <si>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</si>
  <si>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</si>
  <si>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</si>
  <si>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</si>
  <si>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</si>
  <si>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</si>
  <si>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</si>
  <si>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</si>
  <si>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</si>
  <si>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</si>
  <si>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нужно увеличить продажи / 70 шт списаны (04,07,26 - недостача)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</si>
  <si>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</si>
  <si>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</si>
  <si>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</si>
  <si>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</si>
  <si>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</si>
  <si>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</si>
  <si>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</si>
  <si>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</si>
  <si>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</si>
  <si>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</si>
  <si>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</si>
  <si>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</si>
  <si>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</si>
  <si>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</si>
  <si>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</si>
  <si>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</si>
  <si>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</si>
  <si>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</si>
  <si>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</si>
  <si>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</si>
  <si>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</si>
  <si>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</si>
  <si>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</si>
  <si>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</si>
  <si>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</si>
  <si>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</si>
  <si>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</si>
  <si>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</si>
  <si>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</si>
  <si>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</si>
  <si>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</si>
  <si>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</si>
  <si>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</si>
  <si>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</si>
  <si>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</si>
  <si>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</si>
  <si>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</si>
  <si>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</si>
  <si>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</si>
  <si>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</si>
  <si>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</si>
  <si>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</si>
  <si>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</si>
  <si>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</si>
  <si>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</si>
  <si>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</si>
  <si>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</si>
  <si>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</si>
  <si>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</si>
  <si>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</si>
  <si>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</si>
  <si>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</si>
  <si>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</si>
  <si>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</si>
  <si>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</si>
  <si>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</si>
  <si>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</si>
  <si>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</si>
  <si>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</si>
  <si>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</si>
  <si>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</si>
  <si>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</si>
  <si>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</si>
  <si>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</si>
  <si>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</si>
  <si>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</si>
  <si>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</si>
  <si>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</si>
  <si>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</si>
  <si>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</si>
  <si>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</si>
  <si>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</si>
  <si>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</si>
  <si>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</si>
  <si>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</si>
  <si>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</si>
  <si>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</si>
  <si>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</si>
  <si>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</si>
  <si>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</si>
  <si>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</si>
  <si>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</si>
  <si>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</si>
  <si>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</si>
  <si>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</si>
  <si>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</si>
  <si>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</si>
  <si>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</si>
  <si>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</si>
  <si>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</si>
  <si>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</si>
  <si>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</si>
  <si>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</si>
  <si>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</si>
  <si>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</si>
  <si>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</si>
  <si>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</si>
  <si>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</si>
  <si>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</si>
  <si>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</si>
  <si>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</si>
  <si>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</si>
  <si>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</si>
  <si>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</si>
  <si>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</si>
  <si>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</si>
  <si>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</si>
  <si>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</si>
  <si>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</si>
  <si>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</si>
  <si>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</si>
  <si>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</si>
  <si>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</si>
  <si>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</si>
  <si>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</si>
  <si>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</si>
  <si>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</si>
  <si>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</si>
  <si>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</si>
  <si>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</si>
  <si>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</si>
  <si>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</si>
  <si>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</si>
  <si>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</si>
  <si>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</si>
  <si>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</si>
  <si>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</si>
  <si>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</si>
  <si>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</si>
  <si>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 SU001721 </t>
  </si>
  <si>
    <t> Сосиски «Вязанка Сливочные» Весовой п/а ТМ «Вязанка» </t>
  </si>
  <si>
    <t> 591 </t>
  </si>
  <si>
    <t> 447 </t>
  </si>
  <si>
    <t> -144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</si>
  <si>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</si>
  <si>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</si>
  <si>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61 </t>
  </si>
  <si>
    <t> 0 </t>
  </si>
  <si>
    <t> -61 </t>
  </si>
  <si>
    <t> SU002941 </t>
  </si>
  <si>
    <t> В/к колбасы «Сочинка по-европейски с сочной грудинкой» Весовой фиброуз ТМ «Стародворье» </t>
  </si>
  <si>
    <t> 54 </t>
  </si>
  <si>
    <t> -54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</si>
  <si>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</si>
  <si>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</si>
  <si>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</si>
  <si>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</si>
  <si>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SU002944 </t>
  </si>
  <si>
    <t> В/к колбасы «Сочинка по-европейски с сочной грудинкой» срез Фикс.вес 0,3 фиброуз ТМ «Стародворье» </t>
  </si>
  <si>
    <t> SU002945 </t>
  </si>
  <si>
    <t> П/к колбасы «Сочинка зернистая с сочной грудинкой» Весовой фиброуз ТМ «Стародворье» </t>
  </si>
  <si>
    <t> 86 </t>
  </si>
  <si>
    <t> 71 </t>
  </si>
  <si>
    <t> -15 </t>
  </si>
  <si>
    <t> SU002948 </t>
  </si>
  <si>
    <t> П/к колбасы «Сочинка рубленая с сочным окороком» срез Фикс.вес 0,3 фиброуз ТМ «Стародворье» </t>
  </si>
  <si>
    <t> 27 </t>
  </si>
  <si>
    <t> -27 </t>
  </si>
  <si>
    <t> SU003829 </t>
  </si>
  <si>
    <t> Копченые колбасы «Сервелат Мясорубский Делюкс» Фикс.вес 0,3 фиброуз ТМ «Стародворье» </t>
  </si>
  <si>
    <t> SU003894 </t>
  </si>
  <si>
    <t> Сырокопченые колбасы «Сервелат Ореховый» Фикс.вес 0,07 нарезка ТМ «Стародворье» </t>
  </si>
  <si>
    <t> 5 </t>
  </si>
  <si>
    <t> -5 </t>
  </si>
  <si>
    <t> SU004042 </t>
  </si>
  <si>
    <t> Копченые колбасы «Сервелат Ореховый» Фикс.вес 0,28 фиброуз срез ТМ «Вязанка» </t>
  </si>
  <si>
    <t> 96 </t>
  </si>
  <si>
    <t> -96 </t>
  </si>
  <si>
    <t> SU004047 </t>
  </si>
  <si>
    <t> Копченые колбасы «Сервелат Финский» Весовой фиброуз ТМ «Вязанка» </t>
  </si>
  <si>
    <t> 256 </t>
  </si>
  <si>
    <t> -256 </t>
  </si>
  <si>
    <t>27,09,недогр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</si>
</sst>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0" fontId="0" fillId="0" borderId="1" xfId="0"/>
    <xf numFmtId="164" fontId="7" fillId="2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5;&#1054;&#1050;&#1054;&#1052;%20&#1050;&#1048;\_&#1050;&#1086;&#1087;&#1080;&#1103;%20&#1076;&#1074;%202909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27,09,</v>
          </cell>
          <cell r="P4" t="str">
            <v>27,09,доз</v>
          </cell>
          <cell r="Q4" t="str">
            <v>29,09,</v>
          </cell>
          <cell r="R4" t="str">
            <v>29,09,доз</v>
          </cell>
          <cell r="S4" t="str">
            <v>29,09,</v>
          </cell>
        </row>
        <row r="5">
          <cell r="E5">
            <v>21753.355999999996</v>
          </cell>
          <cell r="F5">
            <v>24661.201000000001</v>
          </cell>
          <cell r="K5">
            <v>22080.601999999999</v>
          </cell>
          <cell r="L5">
            <v>-327.24600000000032</v>
          </cell>
          <cell r="M5">
            <v>0</v>
          </cell>
          <cell r="N5">
            <v>0</v>
          </cell>
          <cell r="O5">
            <v>17736.475222400004</v>
          </cell>
          <cell r="P5">
            <v>800</v>
          </cell>
          <cell r="Q5">
            <v>19835.992707599999</v>
          </cell>
          <cell r="R5">
            <v>240</v>
          </cell>
          <cell r="S5">
            <v>4350.671199999998</v>
          </cell>
          <cell r="T5">
            <v>1972.5411599999998</v>
          </cell>
          <cell r="U5">
            <v>1510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196.07599999999999</v>
          </cell>
          <cell r="D6">
            <v>387.27499999999998</v>
          </cell>
          <cell r="E6">
            <v>259.55900000000003</v>
          </cell>
          <cell r="F6">
            <v>286.495</v>
          </cell>
          <cell r="G6">
            <v>1</v>
          </cell>
          <cell r="H6">
            <v>50</v>
          </cell>
          <cell r="I6" t="str">
            <v>матрица</v>
          </cell>
          <cell r="K6">
            <v>224.3</v>
          </cell>
          <cell r="L6">
            <v>35.259000000000015</v>
          </cell>
          <cell r="O6">
            <v>188.1866400000001</v>
          </cell>
          <cell r="Q6">
            <v>45</v>
          </cell>
          <cell r="S6">
            <v>51.911800000000007</v>
          </cell>
          <cell r="T6">
            <v>51.348159999999893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889.59500000000003</v>
          </cell>
          <cell r="D7">
            <v>1073.095</v>
          </cell>
          <cell r="E7">
            <v>669.16899999999998</v>
          </cell>
          <cell r="F7">
            <v>1154.107</v>
          </cell>
          <cell r="G7">
            <v>1</v>
          </cell>
          <cell r="H7">
            <v>45</v>
          </cell>
          <cell r="I7" t="str">
            <v>матрица</v>
          </cell>
          <cell r="K7">
            <v>611.79999999999995</v>
          </cell>
          <cell r="L7">
            <v>57.369000000000028</v>
          </cell>
          <cell r="O7">
            <v>501.80799999999999</v>
          </cell>
          <cell r="Q7">
            <v>0</v>
          </cell>
          <cell r="S7">
            <v>133.8338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920.73199999999997</v>
          </cell>
          <cell r="D8">
            <v>894.16099999999994</v>
          </cell>
          <cell r="E8">
            <v>656.47199999999998</v>
          </cell>
          <cell r="F8">
            <v>881.52499999999998</v>
          </cell>
          <cell r="G8">
            <v>1</v>
          </cell>
          <cell r="H8">
            <v>45</v>
          </cell>
          <cell r="I8" t="str">
            <v>матрица</v>
          </cell>
          <cell r="K8">
            <v>611</v>
          </cell>
          <cell r="L8">
            <v>45.47199999999998</v>
          </cell>
          <cell r="O8">
            <v>584.00052000000005</v>
          </cell>
          <cell r="Q8">
            <v>140</v>
          </cell>
          <cell r="S8">
            <v>131.2944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26</v>
          </cell>
          <cell r="D9">
            <v>30</v>
          </cell>
          <cell r="E9">
            <v>24</v>
          </cell>
          <cell r="F9">
            <v>30</v>
          </cell>
          <cell r="G9">
            <v>0.4</v>
          </cell>
          <cell r="H9">
            <v>50</v>
          </cell>
          <cell r="I9" t="str">
            <v>матрица</v>
          </cell>
          <cell r="K9">
            <v>24</v>
          </cell>
          <cell r="L9">
            <v>0</v>
          </cell>
          <cell r="O9">
            <v>73.400000000000006</v>
          </cell>
          <cell r="Q9">
            <v>46.09</v>
          </cell>
          <cell r="S9">
            <v>4.8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427</v>
          </cell>
          <cell r="D10">
            <v>366</v>
          </cell>
          <cell r="E10">
            <v>284</v>
          </cell>
          <cell r="F10">
            <v>460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287</v>
          </cell>
          <cell r="L10">
            <v>-3</v>
          </cell>
          <cell r="O10">
            <v>0</v>
          </cell>
          <cell r="Q10">
            <v>637.44600000000014</v>
          </cell>
          <cell r="S10">
            <v>56.8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562</v>
          </cell>
          <cell r="D11">
            <v>360</v>
          </cell>
          <cell r="E11">
            <v>360</v>
          </cell>
          <cell r="F11">
            <v>497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360</v>
          </cell>
          <cell r="L11">
            <v>0</v>
          </cell>
          <cell r="O11">
            <v>0</v>
          </cell>
          <cell r="Q11">
            <v>635.96600000000012</v>
          </cell>
          <cell r="S11">
            <v>72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Q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180</v>
          </cell>
          <cell r="E13">
            <v>33</v>
          </cell>
          <cell r="F13">
            <v>134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41</v>
          </cell>
          <cell r="L13">
            <v>-8</v>
          </cell>
          <cell r="O13">
            <v>46.919999999999987</v>
          </cell>
          <cell r="Q13">
            <v>0</v>
          </cell>
          <cell r="S13">
            <v>6.6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92</v>
          </cell>
          <cell r="D14">
            <v>300</v>
          </cell>
          <cell r="E14">
            <v>107</v>
          </cell>
          <cell r="F14">
            <v>259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107</v>
          </cell>
          <cell r="L14">
            <v>0</v>
          </cell>
          <cell r="O14">
            <v>0</v>
          </cell>
          <cell r="Q14">
            <v>0</v>
          </cell>
          <cell r="S14">
            <v>21.4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625.77700000000004</v>
          </cell>
          <cell r="D15">
            <v>155.39699999999999</v>
          </cell>
          <cell r="E15">
            <v>503.13</v>
          </cell>
          <cell r="F15">
            <v>174.62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471.02</v>
          </cell>
          <cell r="L15">
            <v>32.110000000000014</v>
          </cell>
          <cell r="O15">
            <v>640.54912000000013</v>
          </cell>
          <cell r="Q15">
            <v>0</v>
          </cell>
          <cell r="S15">
            <v>100.626</v>
          </cell>
          <cell r="T15">
            <v>291.71687999999983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2307.8000000000002</v>
          </cell>
          <cell r="D16">
            <v>1708.395</v>
          </cell>
          <cell r="E16">
            <v>2284.4879999999998</v>
          </cell>
          <cell r="F16">
            <v>1249.165</v>
          </cell>
          <cell r="G16">
            <v>1</v>
          </cell>
          <cell r="H16">
            <v>50</v>
          </cell>
          <cell r="I16" t="str">
            <v>матрица</v>
          </cell>
          <cell r="K16">
            <v>2203.5</v>
          </cell>
          <cell r="L16">
            <v>80.987999999999829</v>
          </cell>
          <cell r="O16">
            <v>1100</v>
          </cell>
          <cell r="P16">
            <v>800</v>
          </cell>
          <cell r="Q16">
            <v>3367.4361520000011</v>
          </cell>
          <cell r="S16">
            <v>456.89759999999995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65.596000000000004</v>
          </cell>
          <cell r="D17">
            <v>159.80099999999999</v>
          </cell>
          <cell r="E17">
            <v>62.088999999999999</v>
          </cell>
          <cell r="F17">
            <v>141.32400000000001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57.5</v>
          </cell>
          <cell r="L17">
            <v>4.5889999999999986</v>
          </cell>
          <cell r="O17">
            <v>0</v>
          </cell>
          <cell r="Q17">
            <v>15</v>
          </cell>
          <cell r="S17">
            <v>12.4178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65.978999999999999</v>
          </cell>
          <cell r="E18">
            <v>38.898000000000003</v>
          </cell>
          <cell r="F18">
            <v>5.2350000000000003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35.200000000000003</v>
          </cell>
          <cell r="L18">
            <v>3.6980000000000004</v>
          </cell>
          <cell r="O18">
            <v>42.199779999999997</v>
          </cell>
          <cell r="Q18">
            <v>10</v>
          </cell>
          <cell r="S18">
            <v>7.7796000000000003</v>
          </cell>
          <cell r="T18">
            <v>28.140820000000012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50.107999999999997</v>
          </cell>
          <cell r="E19">
            <v>20.716000000000001</v>
          </cell>
          <cell r="F19">
            <v>28.323</v>
          </cell>
          <cell r="G19">
            <v>1</v>
          </cell>
          <cell r="H19">
            <v>180</v>
          </cell>
          <cell r="I19" t="str">
            <v>матрица</v>
          </cell>
          <cell r="K19">
            <v>22.4</v>
          </cell>
          <cell r="L19">
            <v>-1.6839999999999975</v>
          </cell>
          <cell r="O19">
            <v>0</v>
          </cell>
          <cell r="Q19">
            <v>18.658359999999998</v>
          </cell>
          <cell r="S19">
            <v>4.1432000000000002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317.43900000000002</v>
          </cell>
          <cell r="D20">
            <v>598.94100000000003</v>
          </cell>
          <cell r="E20">
            <v>506.27600000000001</v>
          </cell>
          <cell r="F20">
            <v>308.87099999999998</v>
          </cell>
          <cell r="G20">
            <v>1</v>
          </cell>
          <cell r="H20">
            <v>60</v>
          </cell>
          <cell r="I20" t="str">
            <v>матрица</v>
          </cell>
          <cell r="K20">
            <v>476.22</v>
          </cell>
          <cell r="L20">
            <v>30.055999999999983</v>
          </cell>
          <cell r="O20">
            <v>576.63438240000005</v>
          </cell>
          <cell r="Q20">
            <v>228.23503999999971</v>
          </cell>
          <cell r="S20">
            <v>101.2552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11.398999999999999</v>
          </cell>
          <cell r="D21">
            <v>378.65</v>
          </cell>
          <cell r="E21">
            <v>19.484999999999999</v>
          </cell>
          <cell r="F21">
            <v>343.923</v>
          </cell>
          <cell r="G21">
            <v>1</v>
          </cell>
          <cell r="H21">
            <v>70</v>
          </cell>
          <cell r="I21" t="str">
            <v>матрица</v>
          </cell>
          <cell r="K21">
            <v>35</v>
          </cell>
          <cell r="L21">
            <v>-15.515000000000001</v>
          </cell>
          <cell r="O21">
            <v>0</v>
          </cell>
          <cell r="Q21">
            <v>0</v>
          </cell>
          <cell r="S21">
            <v>3.8969999999999998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57.098999999999997</v>
          </cell>
          <cell r="D22">
            <v>611.00099999999998</v>
          </cell>
          <cell r="E22">
            <v>312.11500000000001</v>
          </cell>
          <cell r="F22">
            <v>305.06200000000001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294.74</v>
          </cell>
          <cell r="L22">
            <v>17.375</v>
          </cell>
          <cell r="O22">
            <v>0</v>
          </cell>
          <cell r="Q22">
            <v>0</v>
          </cell>
          <cell r="S22">
            <v>62.423000000000002</v>
          </cell>
          <cell r="T22">
            <v>381.59100000000001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109.196</v>
          </cell>
          <cell r="E23">
            <v>25.712</v>
          </cell>
          <cell r="F23">
            <v>81.103999999999999</v>
          </cell>
          <cell r="G23">
            <v>1</v>
          </cell>
          <cell r="H23">
            <v>180</v>
          </cell>
          <cell r="I23" t="str">
            <v>матрица</v>
          </cell>
          <cell r="K23">
            <v>28.8</v>
          </cell>
          <cell r="L23">
            <v>-3.088000000000001</v>
          </cell>
          <cell r="O23">
            <v>0</v>
          </cell>
          <cell r="Q23">
            <v>0</v>
          </cell>
          <cell r="S23">
            <v>5.1424000000000003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-4.3999999999999997E-2</v>
          </cell>
          <cell r="D24">
            <v>327.64</v>
          </cell>
          <cell r="E24">
            <v>76.049000000000007</v>
          </cell>
          <cell r="F24">
            <v>203.411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99.2</v>
          </cell>
          <cell r="L24">
            <v>-23.150999999999996</v>
          </cell>
          <cell r="O24">
            <v>299.0323800000001</v>
          </cell>
          <cell r="Q24">
            <v>0</v>
          </cell>
          <cell r="S24">
            <v>15.209800000000001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Q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63.789000000000001</v>
          </cell>
          <cell r="D26">
            <v>233.43</v>
          </cell>
          <cell r="E26">
            <v>53.021000000000001</v>
          </cell>
          <cell r="F26">
            <v>220.976</v>
          </cell>
          <cell r="G26">
            <v>1</v>
          </cell>
          <cell r="H26">
            <v>30</v>
          </cell>
          <cell r="I26" t="str">
            <v>матрица</v>
          </cell>
          <cell r="K26">
            <v>105.2</v>
          </cell>
          <cell r="L26">
            <v>-52.179000000000002</v>
          </cell>
          <cell r="O26">
            <v>364.64152000000001</v>
          </cell>
          <cell r="Q26">
            <v>0</v>
          </cell>
          <cell r="S26">
            <v>10.604200000000001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-1.575</v>
          </cell>
          <cell r="F27">
            <v>-1.575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</v>
          </cell>
          <cell r="L27">
            <v>-1</v>
          </cell>
          <cell r="O27">
            <v>85</v>
          </cell>
          <cell r="Q27">
            <v>39</v>
          </cell>
          <cell r="S27">
            <v>0</v>
          </cell>
          <cell r="T27">
            <v>20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33.527000000000001</v>
          </cell>
          <cell r="D28">
            <v>344.40499999999997</v>
          </cell>
          <cell r="E28">
            <v>99.756</v>
          </cell>
          <cell r="F28">
            <v>164.489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122</v>
          </cell>
          <cell r="L28">
            <v>-22.244</v>
          </cell>
          <cell r="O28">
            <v>425</v>
          </cell>
          <cell r="Q28">
            <v>0</v>
          </cell>
          <cell r="S28">
            <v>19.9512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813.95100000000002</v>
          </cell>
          <cell r="D29">
            <v>1262.9369999999999</v>
          </cell>
          <cell r="E29">
            <v>747.82399999999996</v>
          </cell>
          <cell r="F29">
            <v>1182.7280000000001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665.55</v>
          </cell>
          <cell r="L29">
            <v>82.274000000000001</v>
          </cell>
          <cell r="O29">
            <v>0</v>
          </cell>
          <cell r="Q29">
            <v>1150</v>
          </cell>
          <cell r="S29">
            <v>149.56479999999999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2.8000000000000001E-2</v>
          </cell>
          <cell r="D30">
            <v>17.686</v>
          </cell>
          <cell r="E30">
            <v>16.899999999999999</v>
          </cell>
          <cell r="F30">
            <v>0.14399999999999999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50.6</v>
          </cell>
          <cell r="L30">
            <v>-33.700000000000003</v>
          </cell>
          <cell r="O30">
            <v>34</v>
          </cell>
          <cell r="Q30">
            <v>26</v>
          </cell>
          <cell r="S30">
            <v>3.38</v>
          </cell>
          <cell r="T30">
            <v>30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85.350999999999999</v>
          </cell>
          <cell r="D31">
            <v>1.538</v>
          </cell>
          <cell r="E31">
            <v>54.662999999999997</v>
          </cell>
          <cell r="F31">
            <v>2.8010000000000002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76.3</v>
          </cell>
          <cell r="L31">
            <v>-21.637</v>
          </cell>
          <cell r="O31">
            <v>0</v>
          </cell>
          <cell r="Q31">
            <v>101.845</v>
          </cell>
          <cell r="S31">
            <v>10.932599999999999</v>
          </cell>
          <cell r="T31">
            <v>15.612599999999988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0.88100000000000001</v>
          </cell>
          <cell r="D32">
            <v>239.80199999999999</v>
          </cell>
          <cell r="E32">
            <v>97.39</v>
          </cell>
          <cell r="F32">
            <v>125.155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99.7</v>
          </cell>
          <cell r="L32">
            <v>-2.3100000000000023</v>
          </cell>
          <cell r="O32">
            <v>0</v>
          </cell>
          <cell r="Q32">
            <v>0</v>
          </cell>
          <cell r="S32">
            <v>19.478000000000002</v>
          </cell>
          <cell r="T32">
            <v>89.103000000000009</v>
          </cell>
          <cell r="U32">
            <v>250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0.92300000000000004</v>
          </cell>
          <cell r="D33">
            <v>104.474</v>
          </cell>
          <cell r="E33">
            <v>10.066000000000001</v>
          </cell>
          <cell r="F33">
            <v>89.858000000000004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13.9</v>
          </cell>
          <cell r="L33">
            <v>-3.8339999999999996</v>
          </cell>
          <cell r="O33">
            <v>0</v>
          </cell>
          <cell r="Q33">
            <v>0</v>
          </cell>
          <cell r="S33">
            <v>2.0132000000000003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504</v>
          </cell>
          <cell r="E34">
            <v>204</v>
          </cell>
          <cell r="F34">
            <v>142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366</v>
          </cell>
          <cell r="L34">
            <v>-162</v>
          </cell>
          <cell r="O34">
            <v>786.75999999999988</v>
          </cell>
          <cell r="Q34">
            <v>350</v>
          </cell>
          <cell r="S34">
            <v>40.799999999999997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246</v>
          </cell>
          <cell r="D35">
            <v>130</v>
          </cell>
          <cell r="E35">
            <v>120</v>
          </cell>
          <cell r="F35">
            <v>242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122</v>
          </cell>
          <cell r="L35">
            <v>-2</v>
          </cell>
          <cell r="O35">
            <v>238.44000000000011</v>
          </cell>
          <cell r="Q35">
            <v>0</v>
          </cell>
          <cell r="S35">
            <v>24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15</v>
          </cell>
          <cell r="D36">
            <v>120</v>
          </cell>
          <cell r="E36">
            <v>137</v>
          </cell>
          <cell r="F36">
            <v>-5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188</v>
          </cell>
          <cell r="L36">
            <v>-51</v>
          </cell>
          <cell r="O36">
            <v>425</v>
          </cell>
          <cell r="Q36">
            <v>370</v>
          </cell>
          <cell r="S36">
            <v>27.4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30</v>
          </cell>
          <cell r="E37">
            <v>15</v>
          </cell>
          <cell r="F37">
            <v>14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15</v>
          </cell>
          <cell r="L37">
            <v>0</v>
          </cell>
          <cell r="O37">
            <v>34</v>
          </cell>
          <cell r="Q37">
            <v>0</v>
          </cell>
          <cell r="S37">
            <v>3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31.815999999999999</v>
          </cell>
          <cell r="D38">
            <v>141.37100000000001</v>
          </cell>
          <cell r="E38">
            <v>44.792999999999999</v>
          </cell>
          <cell r="F38">
            <v>122.551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36.9</v>
          </cell>
          <cell r="L38">
            <v>7.8930000000000007</v>
          </cell>
          <cell r="O38">
            <v>0</v>
          </cell>
          <cell r="Q38">
            <v>0</v>
          </cell>
          <cell r="S38">
            <v>8.9586000000000006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779</v>
          </cell>
          <cell r="D39">
            <v>280</v>
          </cell>
          <cell r="E39">
            <v>479</v>
          </cell>
          <cell r="F39">
            <v>402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453</v>
          </cell>
          <cell r="L39">
            <v>26</v>
          </cell>
          <cell r="O39">
            <v>823.04000000000065</v>
          </cell>
          <cell r="Q39">
            <v>0</v>
          </cell>
          <cell r="S39">
            <v>95.8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E40">
            <v>-1</v>
          </cell>
          <cell r="F40">
            <v>-2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7</v>
          </cell>
          <cell r="L40">
            <v>-8</v>
          </cell>
          <cell r="O40">
            <v>170</v>
          </cell>
          <cell r="Q40">
            <v>26</v>
          </cell>
          <cell r="S40">
            <v>-0.2</v>
          </cell>
          <cell r="U40">
            <v>200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-1.4119999999999999</v>
          </cell>
          <cell r="D41">
            <v>174.25200000000001</v>
          </cell>
          <cell r="E41">
            <v>20.052</v>
          </cell>
          <cell r="F41">
            <v>138.054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29.5</v>
          </cell>
          <cell r="L41">
            <v>-9.4480000000000004</v>
          </cell>
          <cell r="O41">
            <v>256.42052000000001</v>
          </cell>
          <cell r="Q41">
            <v>0</v>
          </cell>
          <cell r="S41">
            <v>4.0103999999999997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114</v>
          </cell>
          <cell r="D42">
            <v>168</v>
          </cell>
          <cell r="E42">
            <v>103</v>
          </cell>
          <cell r="F42">
            <v>159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109</v>
          </cell>
          <cell r="L42">
            <v>-6</v>
          </cell>
          <cell r="O42">
            <v>0</v>
          </cell>
          <cell r="Q42">
            <v>70</v>
          </cell>
          <cell r="S42">
            <v>20.6</v>
          </cell>
          <cell r="T42">
            <v>10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96</v>
          </cell>
          <cell r="D43">
            <v>144</v>
          </cell>
          <cell r="E43">
            <v>108</v>
          </cell>
          <cell r="F43">
            <v>100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108</v>
          </cell>
          <cell r="L43">
            <v>0</v>
          </cell>
          <cell r="O43">
            <v>0</v>
          </cell>
          <cell r="Q43">
            <v>0</v>
          </cell>
          <cell r="S43">
            <v>21.6</v>
          </cell>
          <cell r="T43">
            <v>137.60000000000002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-1.425</v>
          </cell>
          <cell r="D44">
            <v>43.326999999999998</v>
          </cell>
          <cell r="E44">
            <v>40.49</v>
          </cell>
          <cell r="F44">
            <v>-1.492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55.8</v>
          </cell>
          <cell r="L44">
            <v>-15.309999999999995</v>
          </cell>
          <cell r="O44">
            <v>136</v>
          </cell>
          <cell r="Q44">
            <v>140</v>
          </cell>
          <cell r="S44">
            <v>8.0980000000000008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3</v>
          </cell>
          <cell r="E45">
            <v>10</v>
          </cell>
          <cell r="F45">
            <v>-8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41</v>
          </cell>
          <cell r="L45">
            <v>-31</v>
          </cell>
          <cell r="O45">
            <v>255</v>
          </cell>
          <cell r="Q45">
            <v>195</v>
          </cell>
          <cell r="S45">
            <v>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134</v>
          </cell>
          <cell r="D46">
            <v>156</v>
          </cell>
          <cell r="E46">
            <v>282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285</v>
          </cell>
          <cell r="L46">
            <v>-3</v>
          </cell>
          <cell r="O46">
            <v>68</v>
          </cell>
          <cell r="Q46">
            <v>520</v>
          </cell>
          <cell r="S46">
            <v>56.4</v>
          </cell>
          <cell r="T46">
            <v>32.399999999999977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45.951000000000001</v>
          </cell>
          <cell r="D47">
            <v>108.265</v>
          </cell>
          <cell r="E47">
            <v>20.260000000000002</v>
          </cell>
          <cell r="F47">
            <v>125.884</v>
          </cell>
          <cell r="G47">
            <v>1</v>
          </cell>
          <cell r="H47">
            <v>50</v>
          </cell>
          <cell r="I47" t="str">
            <v>матрица</v>
          </cell>
          <cell r="K47">
            <v>18.5</v>
          </cell>
          <cell r="L47">
            <v>1.7600000000000016</v>
          </cell>
          <cell r="O47">
            <v>4</v>
          </cell>
          <cell r="Q47">
            <v>0</v>
          </cell>
          <cell r="S47">
            <v>4.0520000000000005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116.062</v>
          </cell>
          <cell r="D48">
            <v>289.221</v>
          </cell>
          <cell r="E48">
            <v>120.48399999999999</v>
          </cell>
          <cell r="F48">
            <v>266.46499999999997</v>
          </cell>
          <cell r="G48">
            <v>1</v>
          </cell>
          <cell r="H48">
            <v>50</v>
          </cell>
          <cell r="I48" t="str">
            <v>матрица</v>
          </cell>
          <cell r="K48">
            <v>116.25</v>
          </cell>
          <cell r="L48">
            <v>4.2339999999999947</v>
          </cell>
          <cell r="O48">
            <v>0</v>
          </cell>
          <cell r="Q48">
            <v>0</v>
          </cell>
          <cell r="S48">
            <v>24.096799999999998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36.198</v>
          </cell>
          <cell r="F49">
            <v>6.0949999999999998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0</v>
          </cell>
          <cell r="Q49">
            <v>0</v>
          </cell>
          <cell r="S49">
            <v>0</v>
          </cell>
          <cell r="T49">
            <v>4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55</v>
          </cell>
          <cell r="D50">
            <v>320</v>
          </cell>
          <cell r="E50">
            <v>82</v>
          </cell>
          <cell r="F50">
            <v>269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82</v>
          </cell>
          <cell r="L50">
            <v>0</v>
          </cell>
          <cell r="O50">
            <v>96.64</v>
          </cell>
          <cell r="Q50">
            <v>0</v>
          </cell>
          <cell r="S50">
            <v>16.399999999999999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206</v>
          </cell>
          <cell r="D51">
            <v>250</v>
          </cell>
          <cell r="E51">
            <v>138</v>
          </cell>
          <cell r="F51">
            <v>298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138</v>
          </cell>
          <cell r="L51">
            <v>0</v>
          </cell>
          <cell r="O51">
            <v>176.76</v>
          </cell>
          <cell r="Q51">
            <v>0</v>
          </cell>
          <cell r="S51">
            <v>27.6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28</v>
          </cell>
          <cell r="D52">
            <v>54</v>
          </cell>
          <cell r="E52">
            <v>68</v>
          </cell>
          <cell r="F52">
            <v>6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68</v>
          </cell>
          <cell r="L52">
            <v>0</v>
          </cell>
          <cell r="O52">
            <v>0</v>
          </cell>
          <cell r="Q52">
            <v>130</v>
          </cell>
          <cell r="S52">
            <v>13.6</v>
          </cell>
          <cell r="T52">
            <v>13.599999999999994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13</v>
          </cell>
          <cell r="D53">
            <v>198</v>
          </cell>
          <cell r="E53">
            <v>109</v>
          </cell>
          <cell r="F53">
            <v>97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112</v>
          </cell>
          <cell r="L53">
            <v>-3</v>
          </cell>
          <cell r="O53">
            <v>17</v>
          </cell>
          <cell r="Q53">
            <v>178.88</v>
          </cell>
          <cell r="S53">
            <v>21.8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204.58</v>
          </cell>
          <cell r="E54">
            <v>70.97</v>
          </cell>
          <cell r="F54">
            <v>118.858</v>
          </cell>
          <cell r="G54">
            <v>1</v>
          </cell>
          <cell r="H54">
            <v>50</v>
          </cell>
          <cell r="I54" t="str">
            <v>матрица</v>
          </cell>
          <cell r="K54">
            <v>64.900000000000006</v>
          </cell>
          <cell r="L54">
            <v>6.0699999999999932</v>
          </cell>
          <cell r="O54">
            <v>0</v>
          </cell>
          <cell r="Q54">
            <v>0</v>
          </cell>
          <cell r="S54">
            <v>14.193999999999999</v>
          </cell>
          <cell r="T54">
            <v>37.275999999999982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790</v>
          </cell>
          <cell r="D55">
            <v>324</v>
          </cell>
          <cell r="E55">
            <v>377</v>
          </cell>
          <cell r="F55">
            <v>769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275</v>
          </cell>
          <cell r="L55">
            <v>102</v>
          </cell>
          <cell r="O55">
            <v>434.68000000000012</v>
          </cell>
          <cell r="Q55">
            <v>0</v>
          </cell>
          <cell r="S55">
            <v>75.400000000000006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89.926000000000002</v>
          </cell>
          <cell r="D56">
            <v>170.964</v>
          </cell>
          <cell r="E56">
            <v>102.85899999999999</v>
          </cell>
          <cell r="F56">
            <v>138.02500000000001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99.6</v>
          </cell>
          <cell r="L56">
            <v>3.2590000000000003</v>
          </cell>
          <cell r="O56">
            <v>17.09160000000006</v>
          </cell>
          <cell r="Q56">
            <v>82.069568000000018</v>
          </cell>
          <cell r="S56">
            <v>20.5718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8.4939999999999998</v>
          </cell>
          <cell r="D57">
            <v>92.254000000000005</v>
          </cell>
          <cell r="E57">
            <v>9.6140000000000008</v>
          </cell>
          <cell r="F57">
            <v>85.754000000000005</v>
          </cell>
          <cell r="G57">
            <v>1</v>
          </cell>
          <cell r="H57">
            <v>55</v>
          </cell>
          <cell r="I57" t="str">
            <v>матрица</v>
          </cell>
          <cell r="K57">
            <v>10.6</v>
          </cell>
          <cell r="L57">
            <v>-0.98599999999999888</v>
          </cell>
          <cell r="O57">
            <v>36.572200000000016</v>
          </cell>
          <cell r="Q57">
            <v>0</v>
          </cell>
          <cell r="S57">
            <v>1.9228000000000001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628</v>
          </cell>
          <cell r="D58">
            <v>300</v>
          </cell>
          <cell r="E58">
            <v>290</v>
          </cell>
          <cell r="F58">
            <v>601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269</v>
          </cell>
          <cell r="L58">
            <v>21</v>
          </cell>
          <cell r="O58">
            <v>248.96</v>
          </cell>
          <cell r="Q58">
            <v>0</v>
          </cell>
          <cell r="S58">
            <v>58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30</v>
          </cell>
          <cell r="D59">
            <v>30</v>
          </cell>
          <cell r="E59">
            <v>18</v>
          </cell>
          <cell r="F59">
            <v>42</v>
          </cell>
          <cell r="G59">
            <v>0.4</v>
          </cell>
          <cell r="H59">
            <v>50</v>
          </cell>
          <cell r="I59" t="str">
            <v>матрица</v>
          </cell>
          <cell r="K59">
            <v>18</v>
          </cell>
          <cell r="L59">
            <v>0</v>
          </cell>
          <cell r="O59">
            <v>0</v>
          </cell>
          <cell r="Q59">
            <v>0</v>
          </cell>
          <cell r="S59">
            <v>3.6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116.39</v>
          </cell>
          <cell r="D60">
            <v>132.98699999999999</v>
          </cell>
          <cell r="E60">
            <v>126.96</v>
          </cell>
          <cell r="F60">
            <v>108.15600000000001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124</v>
          </cell>
          <cell r="L60">
            <v>2.9599999999999937</v>
          </cell>
          <cell r="O60">
            <v>0</v>
          </cell>
          <cell r="Q60">
            <v>60.469499999999996</v>
          </cell>
          <cell r="S60">
            <v>25.391999999999999</v>
          </cell>
          <cell r="T60">
            <v>110.68650000000002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281.59899999999999</v>
          </cell>
          <cell r="E61">
            <v>166.822</v>
          </cell>
          <cell r="F61">
            <v>91.819000000000003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158.35</v>
          </cell>
          <cell r="L61">
            <v>8.4720000000000084</v>
          </cell>
          <cell r="O61">
            <v>34</v>
          </cell>
          <cell r="Q61">
            <v>130</v>
          </cell>
          <cell r="S61">
            <v>33.364400000000003</v>
          </cell>
          <cell r="T61">
            <v>111.18940000000005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296</v>
          </cell>
          <cell r="D62">
            <v>552</v>
          </cell>
          <cell r="E62">
            <v>254</v>
          </cell>
          <cell r="F62">
            <v>502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590</v>
          </cell>
          <cell r="L62">
            <v>-336</v>
          </cell>
          <cell r="O62">
            <v>170</v>
          </cell>
          <cell r="Q62">
            <v>65</v>
          </cell>
          <cell r="S62">
            <v>50.8</v>
          </cell>
          <cell r="T62">
            <v>150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455</v>
          </cell>
          <cell r="D63">
            <v>174</v>
          </cell>
          <cell r="E63">
            <v>367</v>
          </cell>
          <cell r="F63">
            <v>196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374</v>
          </cell>
          <cell r="L63">
            <v>-7</v>
          </cell>
          <cell r="O63">
            <v>456.44000000000011</v>
          </cell>
          <cell r="Q63">
            <v>333.97800000000012</v>
          </cell>
          <cell r="S63">
            <v>73.400000000000006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-8.5999999999999993E-2</v>
          </cell>
          <cell r="D64">
            <v>174.02099999999999</v>
          </cell>
          <cell r="E64">
            <v>20.847000000000001</v>
          </cell>
          <cell r="F64">
            <v>108.696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22.5</v>
          </cell>
          <cell r="L64">
            <v>-1.6529999999999987</v>
          </cell>
          <cell r="O64">
            <v>51</v>
          </cell>
          <cell r="Q64">
            <v>0</v>
          </cell>
          <cell r="S64">
            <v>4.1694000000000004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102.248</v>
          </cell>
          <cell r="E65">
            <v>29.613</v>
          </cell>
          <cell r="F65">
            <v>25.164000000000001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28.1</v>
          </cell>
          <cell r="L65">
            <v>1.5129999999999981</v>
          </cell>
          <cell r="O65">
            <v>51</v>
          </cell>
          <cell r="Q65">
            <v>0</v>
          </cell>
          <cell r="S65">
            <v>5.9226000000000001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66.046999999999997</v>
          </cell>
          <cell r="E66">
            <v>62.646999999999998</v>
          </cell>
          <cell r="F66">
            <v>-5.3999999999999999E-2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64.400000000000006</v>
          </cell>
          <cell r="L66">
            <v>-1.7530000000000072</v>
          </cell>
          <cell r="O66">
            <v>85</v>
          </cell>
          <cell r="Q66">
            <v>101.51804</v>
          </cell>
          <cell r="S66">
            <v>12.529399999999999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-0.89700000000000002</v>
          </cell>
          <cell r="E67">
            <v>-0.92300000000000004</v>
          </cell>
          <cell r="F67">
            <v>-0.89700000000000002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4.4000000000000004</v>
          </cell>
          <cell r="L67">
            <v>-5.3230000000000004</v>
          </cell>
          <cell r="O67">
            <v>102</v>
          </cell>
          <cell r="Q67">
            <v>26</v>
          </cell>
          <cell r="S67">
            <v>-0.18460000000000001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18</v>
          </cell>
          <cell r="D68">
            <v>32</v>
          </cell>
          <cell r="E68">
            <v>27</v>
          </cell>
          <cell r="F68">
            <v>23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29</v>
          </cell>
          <cell r="L68">
            <v>-2</v>
          </cell>
          <cell r="O68">
            <v>0</v>
          </cell>
          <cell r="Q68">
            <v>43.787999999999997</v>
          </cell>
          <cell r="S68">
            <v>5.4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529.66800000000001</v>
          </cell>
          <cell r="D69">
            <v>511.274</v>
          </cell>
          <cell r="E69">
            <v>339.233</v>
          </cell>
          <cell r="F69">
            <v>633.82600000000002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360.02199999999999</v>
          </cell>
          <cell r="L69">
            <v>-20.788999999999987</v>
          </cell>
          <cell r="O69">
            <v>0</v>
          </cell>
          <cell r="Q69">
            <v>65</v>
          </cell>
          <cell r="S69">
            <v>67.846599999999995</v>
          </cell>
          <cell r="T69">
            <v>70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Q70">
            <v>0</v>
          </cell>
          <cell r="S70">
            <v>0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184</v>
          </cell>
          <cell r="E71">
            <v>32</v>
          </cell>
          <cell r="F71">
            <v>154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2</v>
          </cell>
          <cell r="O71">
            <v>0</v>
          </cell>
          <cell r="Q71">
            <v>0</v>
          </cell>
          <cell r="S71">
            <v>6.4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18</v>
          </cell>
          <cell r="D72">
            <v>216</v>
          </cell>
          <cell r="E72">
            <v>48</v>
          </cell>
          <cell r="F72">
            <v>172</v>
          </cell>
          <cell r="G72">
            <v>0.4</v>
          </cell>
          <cell r="H72">
            <v>90</v>
          </cell>
          <cell r="I72" t="str">
            <v>матрица</v>
          </cell>
          <cell r="K72">
            <v>44</v>
          </cell>
          <cell r="L72">
            <v>4</v>
          </cell>
          <cell r="O72">
            <v>20.599999999999991</v>
          </cell>
          <cell r="Q72">
            <v>59.447999999999972</v>
          </cell>
          <cell r="S72">
            <v>9.6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D73">
            <v>400</v>
          </cell>
          <cell r="E73">
            <v>27</v>
          </cell>
          <cell r="F73">
            <v>346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34</v>
          </cell>
          <cell r="L73">
            <v>-7</v>
          </cell>
          <cell r="O73">
            <v>109.1400000000001</v>
          </cell>
          <cell r="Q73">
            <v>0</v>
          </cell>
          <cell r="S73">
            <v>5.4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70</v>
          </cell>
          <cell r="D74">
            <v>200</v>
          </cell>
          <cell r="E74">
            <v>90</v>
          </cell>
          <cell r="F74">
            <v>166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86</v>
          </cell>
          <cell r="L74">
            <v>4</v>
          </cell>
          <cell r="O74">
            <v>34</v>
          </cell>
          <cell r="Q74">
            <v>20</v>
          </cell>
          <cell r="S74">
            <v>18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465</v>
          </cell>
          <cell r="E75">
            <v>79</v>
          </cell>
          <cell r="F75">
            <v>373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81</v>
          </cell>
          <cell r="L75">
            <v>-2</v>
          </cell>
          <cell r="O75">
            <v>0</v>
          </cell>
          <cell r="Q75">
            <v>0</v>
          </cell>
          <cell r="S75">
            <v>15.8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Q76">
            <v>0</v>
          </cell>
          <cell r="S76">
            <v>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196</v>
          </cell>
          <cell r="D77">
            <v>90</v>
          </cell>
          <cell r="E77">
            <v>76</v>
          </cell>
          <cell r="F77">
            <v>195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77</v>
          </cell>
          <cell r="L77">
            <v>-1</v>
          </cell>
          <cell r="O77">
            <v>0</v>
          </cell>
          <cell r="Q77">
            <v>50.152000000000022</v>
          </cell>
          <cell r="S77">
            <v>15.2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D78">
            <v>132</v>
          </cell>
          <cell r="E78">
            <v>1</v>
          </cell>
          <cell r="F78">
            <v>128</v>
          </cell>
          <cell r="G78">
            <v>0.4</v>
          </cell>
          <cell r="H78">
            <v>55</v>
          </cell>
          <cell r="I78" t="str">
            <v>матрица</v>
          </cell>
          <cell r="K78">
            <v>4</v>
          </cell>
          <cell r="L78">
            <v>-3</v>
          </cell>
          <cell r="O78">
            <v>15.400000000000009</v>
          </cell>
          <cell r="Q78">
            <v>0</v>
          </cell>
          <cell r="S78">
            <v>0.2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36</v>
          </cell>
          <cell r="F79">
            <v>27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</v>
          </cell>
          <cell r="L79">
            <v>-3</v>
          </cell>
          <cell r="O79">
            <v>17</v>
          </cell>
          <cell r="Q79">
            <v>0</v>
          </cell>
          <cell r="S79">
            <v>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26</v>
          </cell>
          <cell r="D80">
            <v>12</v>
          </cell>
          <cell r="E80">
            <v>18</v>
          </cell>
          <cell r="F80">
            <v>18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18</v>
          </cell>
          <cell r="L80">
            <v>0</v>
          </cell>
          <cell r="O80">
            <v>84.66</v>
          </cell>
          <cell r="Q80">
            <v>13</v>
          </cell>
          <cell r="S80">
            <v>3.6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Q81">
            <v>0</v>
          </cell>
          <cell r="S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Q82">
            <v>0</v>
          </cell>
          <cell r="S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20.108000000000001</v>
          </cell>
          <cell r="D83">
            <v>46.05</v>
          </cell>
          <cell r="E83">
            <v>10.984999999999999</v>
          </cell>
          <cell r="F83">
            <v>51.795999999999999</v>
          </cell>
          <cell r="G83">
            <v>1</v>
          </cell>
          <cell r="H83">
            <v>55</v>
          </cell>
          <cell r="I83" t="str">
            <v>матрица</v>
          </cell>
          <cell r="K83">
            <v>11.3</v>
          </cell>
          <cell r="L83">
            <v>-0.31500000000000128</v>
          </cell>
          <cell r="O83">
            <v>0</v>
          </cell>
          <cell r="Q83">
            <v>0</v>
          </cell>
          <cell r="S83">
            <v>2.1970000000000001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251.38800000000001</v>
          </cell>
          <cell r="D84">
            <v>66.102000000000004</v>
          </cell>
          <cell r="E84">
            <v>262.33499999999998</v>
          </cell>
          <cell r="F84">
            <v>-3.1E-2</v>
          </cell>
          <cell r="G84">
            <v>1</v>
          </cell>
          <cell r="H84">
            <v>60</v>
          </cell>
          <cell r="I84" t="str">
            <v>матрица</v>
          </cell>
          <cell r="K84">
            <v>250.4</v>
          </cell>
          <cell r="L84">
            <v>11.934999999999974</v>
          </cell>
          <cell r="O84">
            <v>445.49540000000002</v>
          </cell>
          <cell r="Q84">
            <v>223.86785199999991</v>
          </cell>
          <cell r="S84">
            <v>52.466999999999999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2105.3829999999998</v>
          </cell>
          <cell r="D86">
            <v>2108.2759999999998</v>
          </cell>
          <cell r="E86">
            <v>1983.807</v>
          </cell>
          <cell r="F86">
            <v>1755.855</v>
          </cell>
          <cell r="G86">
            <v>1</v>
          </cell>
          <cell r="H86">
            <v>60</v>
          </cell>
          <cell r="I86" t="str">
            <v>матрица</v>
          </cell>
          <cell r="K86">
            <v>1914.7</v>
          </cell>
          <cell r="L86">
            <v>69.106999999999971</v>
          </cell>
          <cell r="O86">
            <v>1850</v>
          </cell>
          <cell r="Q86">
            <v>1470.560449999999</v>
          </cell>
          <cell r="S86">
            <v>396.76139999999998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2300.2860000000001</v>
          </cell>
          <cell r="D87">
            <v>1360.9949999999999</v>
          </cell>
          <cell r="E87">
            <v>1839.1479999999999</v>
          </cell>
          <cell r="F87">
            <v>1406.1120000000001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1832.2</v>
          </cell>
          <cell r="L87">
            <v>6.9479999999998654</v>
          </cell>
          <cell r="O87">
            <v>723.50464000000011</v>
          </cell>
          <cell r="Q87">
            <v>2518.9122660000012</v>
          </cell>
          <cell r="R87">
            <v>240</v>
          </cell>
          <cell r="S87">
            <v>367.82959999999997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2352.9369999999999</v>
          </cell>
          <cell r="D88">
            <v>3452.3429999999998</v>
          </cell>
          <cell r="E88">
            <v>2761.96</v>
          </cell>
          <cell r="F88">
            <v>2000.3019999999999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2720.3</v>
          </cell>
          <cell r="L88">
            <v>41.659999999999854</v>
          </cell>
          <cell r="O88">
            <v>1800</v>
          </cell>
          <cell r="Q88">
            <v>2829.5209559999998</v>
          </cell>
          <cell r="S88">
            <v>552.39200000000005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Q89">
            <v>0</v>
          </cell>
          <cell r="S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4</v>
          </cell>
          <cell r="L90">
            <v>-4</v>
          </cell>
          <cell r="O90">
            <v>85</v>
          </cell>
          <cell r="Q90">
            <v>13</v>
          </cell>
          <cell r="S90">
            <v>0</v>
          </cell>
          <cell r="U90">
            <v>60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68</v>
          </cell>
          <cell r="D91">
            <v>180</v>
          </cell>
          <cell r="E91">
            <v>83</v>
          </cell>
          <cell r="F91">
            <v>151</v>
          </cell>
          <cell r="G91">
            <v>0.3</v>
          </cell>
          <cell r="I91" t="str">
            <v>матрица</v>
          </cell>
          <cell r="K91">
            <v>85</v>
          </cell>
          <cell r="L91">
            <v>-2</v>
          </cell>
          <cell r="O91">
            <v>0</v>
          </cell>
          <cell r="Q91">
            <v>0</v>
          </cell>
          <cell r="S91">
            <v>16.600000000000001</v>
          </cell>
          <cell r="T91">
            <v>31.600000000000023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24</v>
          </cell>
          <cell r="D92">
            <v>72</v>
          </cell>
          <cell r="E92">
            <v>31</v>
          </cell>
          <cell r="F92">
            <v>65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33</v>
          </cell>
          <cell r="L92">
            <v>-2</v>
          </cell>
          <cell r="O92">
            <v>0</v>
          </cell>
          <cell r="Q92">
            <v>103.48</v>
          </cell>
          <cell r="S92">
            <v>6.2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38</v>
          </cell>
          <cell r="E93">
            <v>38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43</v>
          </cell>
          <cell r="L93">
            <v>-5</v>
          </cell>
          <cell r="O93">
            <v>51</v>
          </cell>
          <cell r="Q93">
            <v>39</v>
          </cell>
          <cell r="S93">
            <v>7.6</v>
          </cell>
          <cell r="U93">
            <v>80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116</v>
          </cell>
          <cell r="E94">
            <v>61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61</v>
          </cell>
          <cell r="L94">
            <v>0</v>
          </cell>
          <cell r="O94">
            <v>17</v>
          </cell>
          <cell r="Q94">
            <v>106.08</v>
          </cell>
          <cell r="S94">
            <v>12.2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65</v>
          </cell>
          <cell r="D95">
            <v>180</v>
          </cell>
          <cell r="E95">
            <v>93</v>
          </cell>
          <cell r="F95">
            <v>138</v>
          </cell>
          <cell r="G95">
            <v>0.3</v>
          </cell>
          <cell r="I95" t="str">
            <v>матрица</v>
          </cell>
          <cell r="K95">
            <v>95</v>
          </cell>
          <cell r="L95">
            <v>-2</v>
          </cell>
          <cell r="O95">
            <v>0</v>
          </cell>
          <cell r="Q95">
            <v>41.173999999999992</v>
          </cell>
          <cell r="S95">
            <v>18.600000000000001</v>
          </cell>
          <cell r="T95">
            <v>25.426000000000045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Q96">
            <v>0</v>
          </cell>
          <cell r="S96">
            <v>0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Q97">
            <v>0</v>
          </cell>
          <cell r="S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S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181</v>
          </cell>
          <cell r="D99">
            <v>140</v>
          </cell>
          <cell r="E99">
            <v>80</v>
          </cell>
          <cell r="F99">
            <v>229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83</v>
          </cell>
          <cell r="L99">
            <v>-3</v>
          </cell>
          <cell r="O99">
            <v>0</v>
          </cell>
          <cell r="Q99">
            <v>0</v>
          </cell>
          <cell r="S99">
            <v>16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119</v>
          </cell>
          <cell r="D100">
            <v>150</v>
          </cell>
          <cell r="E100">
            <v>113</v>
          </cell>
          <cell r="F100">
            <v>149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111</v>
          </cell>
          <cell r="L100">
            <v>2</v>
          </cell>
          <cell r="O100">
            <v>0</v>
          </cell>
          <cell r="Q100">
            <v>87.56200000000004</v>
          </cell>
          <cell r="S100">
            <v>22.6</v>
          </cell>
          <cell r="T100">
            <v>12.037999999999982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Q101">
            <v>0</v>
          </cell>
          <cell r="S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D102">
            <v>102.536</v>
          </cell>
          <cell r="E102">
            <v>102.553</v>
          </cell>
          <cell r="F102">
            <v>-1.7000000000000001E-2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125.7</v>
          </cell>
          <cell r="L102">
            <v>-23.147000000000006</v>
          </cell>
          <cell r="O102">
            <v>170</v>
          </cell>
          <cell r="Q102">
            <v>130</v>
          </cell>
          <cell r="S102">
            <v>20.5106</v>
          </cell>
          <cell r="U102">
            <v>100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-1.4159999999999999</v>
          </cell>
          <cell r="D103">
            <v>144.79499999999999</v>
          </cell>
          <cell r="E103">
            <v>79.311999999999998</v>
          </cell>
          <cell r="F103">
            <v>-1.409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64.8</v>
          </cell>
          <cell r="L103">
            <v>14.512</v>
          </cell>
          <cell r="O103">
            <v>255</v>
          </cell>
          <cell r="Q103">
            <v>0</v>
          </cell>
          <cell r="S103">
            <v>15.862399999999999</v>
          </cell>
          <cell r="U103">
            <v>100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15.9</v>
          </cell>
          <cell r="L104">
            <v>-15.9</v>
          </cell>
          <cell r="O104">
            <v>85</v>
          </cell>
          <cell r="Q104">
            <v>0</v>
          </cell>
          <cell r="S104">
            <v>0</v>
          </cell>
          <cell r="U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S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Q106">
            <v>0</v>
          </cell>
          <cell r="S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</v>
          </cell>
          <cell r="E107">
            <v>-3</v>
          </cell>
          <cell r="F107">
            <v>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37</v>
          </cell>
          <cell r="L107">
            <v>-40</v>
          </cell>
          <cell r="O107">
            <v>170</v>
          </cell>
          <cell r="Q107">
            <v>195</v>
          </cell>
          <cell r="S107">
            <v>-0.6</v>
          </cell>
          <cell r="U107">
            <v>150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D108">
            <v>402</v>
          </cell>
          <cell r="E108">
            <v>228</v>
          </cell>
          <cell r="F108">
            <v>63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230</v>
          </cell>
          <cell r="L108">
            <v>-2</v>
          </cell>
          <cell r="O108">
            <v>0</v>
          </cell>
          <cell r="Q108">
            <v>130</v>
          </cell>
          <cell r="S108">
            <v>45.6</v>
          </cell>
          <cell r="T108">
            <v>308.60000000000002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</v>
          </cell>
          <cell r="D109">
            <v>103</v>
          </cell>
          <cell r="E109">
            <v>98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146</v>
          </cell>
          <cell r="L109">
            <v>-48</v>
          </cell>
          <cell r="O109">
            <v>340</v>
          </cell>
          <cell r="Q109">
            <v>260</v>
          </cell>
          <cell r="S109">
            <v>19.600000000000001</v>
          </cell>
          <cell r="U109">
            <v>180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Q110">
            <v>0</v>
          </cell>
          <cell r="S110">
            <v>0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5.0590000000000002</v>
          </cell>
          <cell r="D111">
            <v>104.395</v>
          </cell>
          <cell r="E111">
            <v>4.2080000000000002</v>
          </cell>
          <cell r="F111">
            <v>96.872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7.5</v>
          </cell>
          <cell r="L111">
            <v>-3.2919999999999998</v>
          </cell>
          <cell r="O111">
            <v>52.979799999999997</v>
          </cell>
          <cell r="Q111">
            <v>0</v>
          </cell>
          <cell r="S111">
            <v>0.84160000000000001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15.427</v>
          </cell>
          <cell r="D112">
            <v>91.034999999999997</v>
          </cell>
          <cell r="E112">
            <v>24.99</v>
          </cell>
          <cell r="F112">
            <v>76.498000000000005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25</v>
          </cell>
          <cell r="L112">
            <v>-1.0000000000001563E-2</v>
          </cell>
          <cell r="O112">
            <v>29.260999999999999</v>
          </cell>
          <cell r="Q112">
            <v>0</v>
          </cell>
          <cell r="S112">
            <v>4.9979999999999993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D113">
            <v>121</v>
          </cell>
          <cell r="E113">
            <v>25</v>
          </cell>
          <cell r="F113">
            <v>90</v>
          </cell>
          <cell r="G113">
            <v>0.09</v>
          </cell>
          <cell r="I113" t="str">
            <v>матрица</v>
          </cell>
          <cell r="K113">
            <v>38</v>
          </cell>
          <cell r="L113">
            <v>-13</v>
          </cell>
          <cell r="O113">
            <v>0</v>
          </cell>
          <cell r="Q113">
            <v>0</v>
          </cell>
          <cell r="S113">
            <v>5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  <cell r="S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238.99199999999999</v>
          </cell>
          <cell r="D115">
            <v>50.856000000000002</v>
          </cell>
          <cell r="E115">
            <v>135.52699999999999</v>
          </cell>
          <cell r="F115">
            <v>137.99700000000001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129.9</v>
          </cell>
          <cell r="L115">
            <v>5.6269999999999811</v>
          </cell>
          <cell r="O115">
            <v>176.25772000000001</v>
          </cell>
          <cell r="Q115">
            <v>0</v>
          </cell>
          <cell r="S115">
            <v>27.105399999999996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239.95599999999999</v>
          </cell>
          <cell r="D116">
            <v>280.00200000000001</v>
          </cell>
          <cell r="E116">
            <v>156.69399999999999</v>
          </cell>
          <cell r="F116">
            <v>334.11399999999998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151.85</v>
          </cell>
          <cell r="L116">
            <v>4.8439999999999941</v>
          </cell>
          <cell r="O116">
            <v>0</v>
          </cell>
          <cell r="Q116">
            <v>0</v>
          </cell>
          <cell r="S116">
            <v>31.338799999999999</v>
          </cell>
          <cell r="T116">
            <v>10.612799999999993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104.431</v>
          </cell>
          <cell r="D117">
            <v>49.783999999999999</v>
          </cell>
          <cell r="E117">
            <v>51.286000000000001</v>
          </cell>
          <cell r="F117">
            <v>102.929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49.5</v>
          </cell>
          <cell r="L117">
            <v>1.7860000000000014</v>
          </cell>
          <cell r="O117">
            <v>0</v>
          </cell>
          <cell r="Q117">
            <v>43.960665999999982</v>
          </cell>
          <cell r="S117">
            <v>10.257200000000001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708.98199999999997</v>
          </cell>
          <cell r="D118">
            <v>1089.5160000000001</v>
          </cell>
          <cell r="E118">
            <v>1240.6790000000001</v>
          </cell>
          <cell r="F118">
            <v>320.01900000000001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1260</v>
          </cell>
          <cell r="L118">
            <v>-19.320999999999913</v>
          </cell>
          <cell r="O118">
            <v>900</v>
          </cell>
          <cell r="Q118">
            <v>2024.9748576</v>
          </cell>
          <cell r="S118">
            <v>248.13580000000002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91</v>
          </cell>
          <cell r="D119">
            <v>372</v>
          </cell>
          <cell r="E119">
            <v>40</v>
          </cell>
          <cell r="F119">
            <v>418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41</v>
          </cell>
          <cell r="L119">
            <v>-1</v>
          </cell>
          <cell r="O119">
            <v>0</v>
          </cell>
          <cell r="Q119">
            <v>0</v>
          </cell>
          <cell r="S119">
            <v>8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414</v>
          </cell>
          <cell r="E120">
            <v>18</v>
          </cell>
          <cell r="F120">
            <v>440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18</v>
          </cell>
          <cell r="L120">
            <v>0</v>
          </cell>
          <cell r="O120">
            <v>0</v>
          </cell>
          <cell r="Q120">
            <v>0</v>
          </cell>
          <cell r="S120">
            <v>3.6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251</v>
          </cell>
          <cell r="D121">
            <v>312</v>
          </cell>
          <cell r="E121">
            <v>12</v>
          </cell>
          <cell r="F121">
            <v>546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12</v>
          </cell>
          <cell r="L121">
            <v>0</v>
          </cell>
          <cell r="O121">
            <v>0</v>
          </cell>
          <cell r="Q121">
            <v>0</v>
          </cell>
          <cell r="S121">
            <v>2.4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6</v>
          </cell>
          <cell r="L122">
            <v>-6</v>
          </cell>
          <cell r="O122">
            <v>51</v>
          </cell>
          <cell r="Q122">
            <v>13</v>
          </cell>
          <cell r="S122">
            <v>0</v>
          </cell>
          <cell r="U122">
            <v>80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4</v>
          </cell>
          <cell r="L123">
            <v>-4</v>
          </cell>
          <cell r="O123">
            <v>51</v>
          </cell>
          <cell r="Q123">
            <v>13</v>
          </cell>
          <cell r="S123">
            <v>0</v>
          </cell>
          <cell r="U123">
            <v>80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13.744</v>
          </cell>
          <cell r="D124">
            <v>43.887999999999998</v>
          </cell>
          <cell r="E124">
            <v>12.372999999999999</v>
          </cell>
          <cell r="F124">
            <v>42.518999999999998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10.8</v>
          </cell>
          <cell r="L124">
            <v>1.5729999999999986</v>
          </cell>
          <cell r="O124">
            <v>0</v>
          </cell>
          <cell r="Q124">
            <v>0</v>
          </cell>
          <cell r="S124">
            <v>2.4745999999999997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4</v>
          </cell>
          <cell r="L125">
            <v>-4</v>
          </cell>
          <cell r="O125">
            <v>51</v>
          </cell>
          <cell r="Q125">
            <v>13</v>
          </cell>
          <cell r="S125">
            <v>0</v>
          </cell>
          <cell r="U125">
            <v>80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14</v>
          </cell>
          <cell r="D126">
            <v>60</v>
          </cell>
          <cell r="E126">
            <v>37</v>
          </cell>
          <cell r="F126">
            <v>31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37</v>
          </cell>
          <cell r="L126">
            <v>0</v>
          </cell>
          <cell r="O126">
            <v>17</v>
          </cell>
          <cell r="Q126">
            <v>88.919999999999987</v>
          </cell>
          <cell r="S126">
            <v>7.4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90</v>
          </cell>
          <cell r="D127">
            <v>200</v>
          </cell>
          <cell r="E127">
            <v>79</v>
          </cell>
          <cell r="F127">
            <v>191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79</v>
          </cell>
          <cell r="L127">
            <v>0</v>
          </cell>
          <cell r="O127">
            <v>0</v>
          </cell>
          <cell r="Q127">
            <v>0</v>
          </cell>
          <cell r="S127">
            <v>15.8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Q128">
            <v>0</v>
          </cell>
          <cell r="S1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6" sqref="AM6"/>
    </sheetView>
  </sheetViews>
  <sheetFormatPr defaultRowHeight="15" x14ac:dyDescent="0.25"/>
  <cols>
    <col min="1" max="1" width="57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0" customWidth="1"/>
    <col min="17" max="22" width="7" customWidth="1"/>
    <col min="23" max="23" width="7" style="17" customWidth="1"/>
    <col min="24" max="25" width="5" customWidth="1"/>
    <col min="26" max="35" width="6" customWidth="1"/>
    <col min="36" max="36" width="18.42578125" customWidth="1"/>
    <col min="37" max="38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16</v>
      </c>
      <c r="U3" s="3" t="s">
        <v>17</v>
      </c>
      <c r="V3" s="18" t="s">
        <v>18</v>
      </c>
      <c r="W3" s="3" t="s">
        <v>19</v>
      </c>
      <c r="X3" s="2" t="s">
        <v>20</v>
      </c>
      <c r="Y3" s="2" t="s">
        <v>21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23</v>
      </c>
      <c r="AK3" s="2" t="s">
        <v>24</v>
      </c>
      <c r="AL3" s="1"/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220</v>
      </c>
      <c r="Q4" s="1" t="s">
        <v>26</v>
      </c>
      <c r="R4" s="1" t="s">
        <v>0</v>
      </c>
      <c r="S4" s="1" t="s">
        <v>27</v>
      </c>
      <c r="T4" s="1" t="s">
        <v>0</v>
      </c>
      <c r="U4" s="1"/>
      <c r="V4" s="19" t="s">
        <v>28</v>
      </c>
      <c r="W4" s="1" t="s">
        <v>29</v>
      </c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  <c r="AL4" s="1"/>
    </row>
    <row r="5" spans="1:38" x14ac:dyDescent="0.25">
      <c r="A5" s="1"/>
      <c r="B5" s="1"/>
      <c r="C5" s="1"/>
      <c r="D5" s="1"/>
      <c r="E5" s="4">
        <f>SUM(E6:E499)</f>
        <v>21753.355999999996</v>
      </c>
      <c r="F5" s="4">
        <f>SUM(F6:F499)</f>
        <v>24661.201000000001</v>
      </c>
      <c r="G5" s="7"/>
      <c r="H5" s="1"/>
      <c r="I5" s="1"/>
      <c r="J5" s="1"/>
      <c r="K5" s="4">
        <f t="shared" ref="K5:W5" si="0">SUM(K6:K499)</f>
        <v>22080.601999999999</v>
      </c>
      <c r="L5" s="4">
        <f t="shared" si="0"/>
        <v>-327.24600000000032</v>
      </c>
      <c r="M5" s="4">
        <f t="shared" si="0"/>
        <v>0</v>
      </c>
      <c r="N5" s="4">
        <f t="shared" si="0"/>
        <v>0</v>
      </c>
      <c r="O5" s="4">
        <f t="shared" si="0"/>
        <v>17736.475222400004</v>
      </c>
      <c r="P5" s="4">
        <f t="shared" si="0"/>
        <v>-1307.5714285714284</v>
      </c>
      <c r="Q5" s="4">
        <f t="shared" si="0"/>
        <v>800</v>
      </c>
      <c r="R5" s="4">
        <f t="shared" si="0"/>
        <v>19835.992707599999</v>
      </c>
      <c r="S5" s="4">
        <f t="shared" si="0"/>
        <v>240</v>
      </c>
      <c r="T5" s="4">
        <f t="shared" si="0"/>
        <v>4350.671199999998</v>
      </c>
      <c r="U5" s="4">
        <f t="shared" si="0"/>
        <v>1972.5411599999998</v>
      </c>
      <c r="V5" s="4">
        <f t="shared" si="0"/>
        <v>3393.4381599999997</v>
      </c>
      <c r="W5" s="4">
        <f t="shared" si="0"/>
        <v>1510</v>
      </c>
      <c r="X5" s="1"/>
      <c r="Y5" s="1"/>
      <c r="Z5" s="4">
        <f t="shared" ref="Z5:AI5" si="1">SUM(Z6:Z499)</f>
        <v>4904.365200000002</v>
      </c>
      <c r="AA5" s="4">
        <f t="shared" si="1"/>
        <v>3851.2469999999998</v>
      </c>
      <c r="AB5" s="4">
        <f t="shared" si="1"/>
        <v>3544.3655999999996</v>
      </c>
      <c r="AC5" s="4">
        <f t="shared" si="1"/>
        <v>4366.5824000000002</v>
      </c>
      <c r="AD5" s="4">
        <f t="shared" si="1"/>
        <v>4690.1735999999992</v>
      </c>
      <c r="AE5" s="4">
        <f t="shared" si="1"/>
        <v>4509.0586000000021</v>
      </c>
      <c r="AF5" s="4">
        <f t="shared" si="1"/>
        <v>3139.5333999999993</v>
      </c>
      <c r="AG5" s="4">
        <f t="shared" si="1"/>
        <v>2557.7982000000011</v>
      </c>
      <c r="AH5" s="4">
        <f t="shared" si="1"/>
        <v>3688.4504000000002</v>
      </c>
      <c r="AI5" s="4">
        <f t="shared" si="1"/>
        <v>4636.5150000000012</v>
      </c>
      <c r="AJ5" s="1"/>
      <c r="AK5" s="4">
        <f>SUM(AK6:AK499)</f>
        <v>2262</v>
      </c>
      <c r="AL5" s="4">
        <f>SUM(AL6:AL499)</f>
        <v>3593.5871999999999</v>
      </c>
    </row>
    <row r="6" spans="1:38" x14ac:dyDescent="0.25">
      <c r="A6" s="1" t="s">
        <v>40</v>
      </c>
      <c r="B6" s="1" t="s">
        <v>41</v>
      </c>
      <c r="C6" s="1">
        <v>196.07599999999999</v>
      </c>
      <c r="D6" s="1">
        <v>387.27499999999998</v>
      </c>
      <c r="E6" s="1">
        <v>259.55900000000003</v>
      </c>
      <c r="F6" s="1">
        <v>286.495</v>
      </c>
      <c r="G6" s="7">
        <v>1</v>
      </c>
      <c r="H6" s="1">
        <v>50</v>
      </c>
      <c r="I6" s="1" t="s">
        <v>42</v>
      </c>
      <c r="J6" s="1"/>
      <c r="K6" s="1">
        <v>224.3</v>
      </c>
      <c r="L6" s="1">
        <f t="shared" ref="L6:L37" si="2">E6-K6</f>
        <v>35.259000000000015</v>
      </c>
      <c r="M6" s="1"/>
      <c r="N6" s="1"/>
      <c r="O6" s="1">
        <v>188.1866400000001</v>
      </c>
      <c r="P6" s="1"/>
      <c r="Q6" s="1"/>
      <c r="R6" s="1">
        <v>45</v>
      </c>
      <c r="S6" s="1"/>
      <c r="T6" s="1">
        <f t="shared" ref="T6:T37" si="3">E6/5</f>
        <v>51.911800000000007</v>
      </c>
      <c r="U6" s="5">
        <f>11*T6-S6-R6-Q6-O6-F6</f>
        <v>51.348159999999893</v>
      </c>
      <c r="V6" s="5">
        <f t="shared" ref="V6:V31" si="4">U6</f>
        <v>51.348159999999893</v>
      </c>
      <c r="W6" s="1"/>
      <c r="X6" s="1">
        <f t="shared" ref="X6:X37" si="5">(F6+O6+Q6+R6+S6+V6)/T6</f>
        <v>10.999999999999998</v>
      </c>
      <c r="Y6" s="1">
        <f t="shared" ref="Y6:Y37" si="6">(F6+O6+Q6+R6+S6)/T6</f>
        <v>10.010857647008967</v>
      </c>
      <c r="Z6" s="1">
        <v>45.526799999999987</v>
      </c>
      <c r="AA6" s="1">
        <v>48.9602</v>
      </c>
      <c r="AB6" s="1">
        <v>51.963999999999999</v>
      </c>
      <c r="AC6" s="1">
        <v>47.075599999999987</v>
      </c>
      <c r="AD6" s="1">
        <v>50.8294</v>
      </c>
      <c r="AE6" s="1">
        <v>44.6526</v>
      </c>
      <c r="AF6" s="1">
        <v>29.516400000000001</v>
      </c>
      <c r="AG6" s="1">
        <v>27.771999999999998</v>
      </c>
      <c r="AH6" s="1">
        <v>46.390599999999999</v>
      </c>
      <c r="AI6" s="1">
        <v>62.169199999999996</v>
      </c>
      <c r="AJ6" s="1"/>
      <c r="AK6" s="1">
        <f t="shared" ref="AK6:AK37" si="7">ROUND(G6*V6,0)</f>
        <v>51</v>
      </c>
      <c r="AL6" s="1">
        <f t="shared" ref="AL6:AL37" si="8">T6*G6</f>
        <v>51.911800000000007</v>
      </c>
    </row>
    <row r="7" spans="1:38" x14ac:dyDescent="0.25">
      <c r="A7" s="1" t="s">
        <v>43</v>
      </c>
      <c r="B7" s="1" t="s">
        <v>41</v>
      </c>
      <c r="C7" s="1">
        <v>889.59500000000003</v>
      </c>
      <c r="D7" s="1">
        <v>1073.095</v>
      </c>
      <c r="E7" s="1">
        <v>669.16899999999998</v>
      </c>
      <c r="F7" s="1">
        <v>1154.107</v>
      </c>
      <c r="G7" s="7">
        <v>1</v>
      </c>
      <c r="H7" s="1">
        <v>45</v>
      </c>
      <c r="I7" s="1" t="s">
        <v>42</v>
      </c>
      <c r="J7" s="1"/>
      <c r="K7" s="1">
        <v>611.79999999999995</v>
      </c>
      <c r="L7" s="1">
        <f t="shared" si="2"/>
        <v>57.369000000000028</v>
      </c>
      <c r="M7" s="1"/>
      <c r="N7" s="1"/>
      <c r="O7" s="1">
        <v>501.80799999999999</v>
      </c>
      <c r="P7" s="1"/>
      <c r="Q7" s="1"/>
      <c r="R7" s="1">
        <v>0</v>
      </c>
      <c r="S7" s="1"/>
      <c r="T7" s="1">
        <f t="shared" si="3"/>
        <v>133.8338</v>
      </c>
      <c r="U7" s="5"/>
      <c r="V7" s="5">
        <f t="shared" si="4"/>
        <v>0</v>
      </c>
      <c r="W7" s="1"/>
      <c r="X7" s="1">
        <f t="shared" si="5"/>
        <v>12.372920741994923</v>
      </c>
      <c r="Y7" s="1">
        <f t="shared" si="6"/>
        <v>12.372920741994923</v>
      </c>
      <c r="Z7" s="1">
        <v>135.83600000000001</v>
      </c>
      <c r="AA7" s="1">
        <v>156.815</v>
      </c>
      <c r="AB7" s="1">
        <v>166.25960000000001</v>
      </c>
      <c r="AC7" s="1">
        <v>139.351</v>
      </c>
      <c r="AD7" s="1">
        <v>154.07919999999999</v>
      </c>
      <c r="AE7" s="1">
        <v>164.6078</v>
      </c>
      <c r="AF7" s="1">
        <v>132.37119999999999</v>
      </c>
      <c r="AG7" s="1">
        <v>119.9396</v>
      </c>
      <c r="AH7" s="1">
        <v>148.16139999999999</v>
      </c>
      <c r="AI7" s="1">
        <v>172.14420000000001</v>
      </c>
      <c r="AJ7" s="1"/>
      <c r="AK7" s="1">
        <f t="shared" si="7"/>
        <v>0</v>
      </c>
      <c r="AL7" s="1">
        <f t="shared" si="8"/>
        <v>133.8338</v>
      </c>
    </row>
    <row r="8" spans="1:38" x14ac:dyDescent="0.25">
      <c r="A8" s="1" t="s">
        <v>44</v>
      </c>
      <c r="B8" s="1" t="s">
        <v>41</v>
      </c>
      <c r="C8" s="1">
        <v>920.73199999999997</v>
      </c>
      <c r="D8" s="1">
        <v>894.16099999999994</v>
      </c>
      <c r="E8" s="1">
        <v>656.47199999999998</v>
      </c>
      <c r="F8" s="1">
        <v>881.52499999999998</v>
      </c>
      <c r="G8" s="7">
        <v>1</v>
      </c>
      <c r="H8" s="1">
        <v>45</v>
      </c>
      <c r="I8" s="1" t="s">
        <v>42</v>
      </c>
      <c r="J8" s="1"/>
      <c r="K8" s="1">
        <v>611</v>
      </c>
      <c r="L8" s="1">
        <f t="shared" si="2"/>
        <v>45.47199999999998</v>
      </c>
      <c r="M8" s="1"/>
      <c r="N8" s="1"/>
      <c r="O8" s="1">
        <v>584.00052000000005</v>
      </c>
      <c r="P8" s="1">
        <v>-144</v>
      </c>
      <c r="Q8" s="1"/>
      <c r="R8" s="1">
        <v>140</v>
      </c>
      <c r="S8" s="1"/>
      <c r="T8" s="1">
        <f t="shared" si="3"/>
        <v>131.2944</v>
      </c>
      <c r="U8" s="5"/>
      <c r="V8" s="5">
        <f t="shared" si="4"/>
        <v>0</v>
      </c>
      <c r="W8" s="1"/>
      <c r="X8" s="1">
        <f t="shared" si="5"/>
        <v>12.228438684361254</v>
      </c>
      <c r="Y8" s="1">
        <f t="shared" si="6"/>
        <v>12.228438684361254</v>
      </c>
      <c r="Z8" s="1">
        <v>141.90940000000001</v>
      </c>
      <c r="AA8" s="1">
        <v>146.2636</v>
      </c>
      <c r="AB8" s="1">
        <v>144.55119999999999</v>
      </c>
      <c r="AC8" s="1">
        <v>137.82640000000001</v>
      </c>
      <c r="AD8" s="1">
        <v>161.33359999999999</v>
      </c>
      <c r="AE8" s="1">
        <v>169.9598</v>
      </c>
      <c r="AF8" s="1">
        <v>134.94839999999999</v>
      </c>
      <c r="AG8" s="1">
        <v>134.37119999999999</v>
      </c>
      <c r="AH8" s="1">
        <v>157.68879999999999</v>
      </c>
      <c r="AI8" s="1">
        <v>164.05779999999999</v>
      </c>
      <c r="AJ8" s="1"/>
      <c r="AK8" s="1">
        <f t="shared" si="7"/>
        <v>0</v>
      </c>
      <c r="AL8" s="1">
        <f t="shared" si="8"/>
        <v>131.2944</v>
      </c>
    </row>
    <row r="9" spans="1:38" x14ac:dyDescent="0.25">
      <c r="A9" s="1" t="s">
        <v>45</v>
      </c>
      <c r="B9" s="1" t="s">
        <v>46</v>
      </c>
      <c r="C9" s="1">
        <v>26</v>
      </c>
      <c r="D9" s="1">
        <v>30</v>
      </c>
      <c r="E9" s="1">
        <v>24</v>
      </c>
      <c r="F9" s="1">
        <v>30</v>
      </c>
      <c r="G9" s="7">
        <v>0.4</v>
      </c>
      <c r="H9" s="1">
        <v>50</v>
      </c>
      <c r="I9" s="1" t="s">
        <v>42</v>
      </c>
      <c r="J9" s="1"/>
      <c r="K9" s="1">
        <v>24</v>
      </c>
      <c r="L9" s="1">
        <f t="shared" si="2"/>
        <v>0</v>
      </c>
      <c r="M9" s="1"/>
      <c r="N9" s="1"/>
      <c r="O9" s="1">
        <v>73.400000000000006</v>
      </c>
      <c r="P9" s="1"/>
      <c r="Q9" s="1"/>
      <c r="R9" s="1">
        <v>46.09</v>
      </c>
      <c r="S9" s="1"/>
      <c r="T9" s="1">
        <f t="shared" si="3"/>
        <v>4.8</v>
      </c>
      <c r="U9" s="5"/>
      <c r="V9" s="5">
        <f t="shared" si="4"/>
        <v>0</v>
      </c>
      <c r="W9" s="1"/>
      <c r="X9" s="1">
        <f t="shared" si="5"/>
        <v>31.143750000000004</v>
      </c>
      <c r="Y9" s="1">
        <f t="shared" si="6"/>
        <v>31.143750000000004</v>
      </c>
      <c r="Z9" s="1">
        <v>11</v>
      </c>
      <c r="AA9" s="1">
        <v>12.4</v>
      </c>
      <c r="AB9" s="1">
        <v>6.8</v>
      </c>
      <c r="AC9" s="1">
        <v>2.4</v>
      </c>
      <c r="AD9" s="1">
        <v>1.6</v>
      </c>
      <c r="AE9" s="1">
        <v>8</v>
      </c>
      <c r="AF9" s="1">
        <v>6.8</v>
      </c>
      <c r="AG9" s="1">
        <v>0.4</v>
      </c>
      <c r="AH9" s="1">
        <v>0.4</v>
      </c>
      <c r="AI9" s="1">
        <v>2.6</v>
      </c>
      <c r="AJ9" s="14" t="s">
        <v>47</v>
      </c>
      <c r="AK9" s="1">
        <f t="shared" si="7"/>
        <v>0</v>
      </c>
      <c r="AL9" s="1">
        <f t="shared" si="8"/>
        <v>1.92</v>
      </c>
    </row>
    <row r="10" spans="1:38" x14ac:dyDescent="0.25">
      <c r="A10" s="1" t="s">
        <v>48</v>
      </c>
      <c r="B10" s="1" t="s">
        <v>46</v>
      </c>
      <c r="C10" s="1">
        <v>427</v>
      </c>
      <c r="D10" s="1">
        <v>366</v>
      </c>
      <c r="E10" s="1">
        <v>284</v>
      </c>
      <c r="F10" s="1">
        <v>460</v>
      </c>
      <c r="G10" s="7">
        <v>0.45</v>
      </c>
      <c r="H10" s="1">
        <v>45</v>
      </c>
      <c r="I10" s="1" t="s">
        <v>42</v>
      </c>
      <c r="J10" s="1"/>
      <c r="K10" s="1">
        <v>287</v>
      </c>
      <c r="L10" s="1">
        <f t="shared" si="2"/>
        <v>-3</v>
      </c>
      <c r="M10" s="1"/>
      <c r="N10" s="1"/>
      <c r="O10" s="1">
        <v>0</v>
      </c>
      <c r="P10" s="1"/>
      <c r="Q10" s="1"/>
      <c r="R10" s="1">
        <v>637.44600000000014</v>
      </c>
      <c r="S10" s="1"/>
      <c r="T10" s="1">
        <f t="shared" si="3"/>
        <v>56.8</v>
      </c>
      <c r="U10" s="5"/>
      <c r="V10" s="5">
        <f t="shared" si="4"/>
        <v>0</v>
      </c>
      <c r="W10" s="1"/>
      <c r="X10" s="1">
        <f t="shared" si="5"/>
        <v>19.321232394366202</v>
      </c>
      <c r="Y10" s="1">
        <f t="shared" si="6"/>
        <v>19.321232394366202</v>
      </c>
      <c r="Z10" s="1">
        <v>83.4</v>
      </c>
      <c r="AA10" s="1">
        <v>47.4</v>
      </c>
      <c r="AB10" s="1">
        <v>37.4</v>
      </c>
      <c r="AC10" s="1">
        <v>73.8</v>
      </c>
      <c r="AD10" s="1">
        <v>77.599999999999994</v>
      </c>
      <c r="AE10" s="1">
        <v>67.2</v>
      </c>
      <c r="AF10" s="1">
        <v>41.6</v>
      </c>
      <c r="AG10" s="1">
        <v>45.2</v>
      </c>
      <c r="AH10" s="1">
        <v>39.6</v>
      </c>
      <c r="AI10" s="1">
        <v>42.2</v>
      </c>
      <c r="AJ10" s="14" t="s">
        <v>49</v>
      </c>
      <c r="AK10" s="1">
        <f t="shared" si="7"/>
        <v>0</v>
      </c>
      <c r="AL10" s="1">
        <f t="shared" si="8"/>
        <v>25.56</v>
      </c>
    </row>
    <row r="11" spans="1:38" x14ac:dyDescent="0.25">
      <c r="A11" s="1" t="s">
        <v>50</v>
      </c>
      <c r="B11" s="1" t="s">
        <v>46</v>
      </c>
      <c r="C11" s="1">
        <v>562</v>
      </c>
      <c r="D11" s="1">
        <v>360</v>
      </c>
      <c r="E11" s="1">
        <v>360</v>
      </c>
      <c r="F11" s="1">
        <v>497</v>
      </c>
      <c r="G11" s="7">
        <v>0.45</v>
      </c>
      <c r="H11" s="1">
        <v>45</v>
      </c>
      <c r="I11" s="1" t="s">
        <v>42</v>
      </c>
      <c r="J11" s="1"/>
      <c r="K11" s="1">
        <v>360</v>
      </c>
      <c r="L11" s="1">
        <f t="shared" si="2"/>
        <v>0</v>
      </c>
      <c r="M11" s="1"/>
      <c r="N11" s="1"/>
      <c r="O11" s="1">
        <v>0</v>
      </c>
      <c r="P11" s="1"/>
      <c r="Q11" s="1"/>
      <c r="R11" s="1">
        <v>635.96600000000012</v>
      </c>
      <c r="S11" s="1"/>
      <c r="T11" s="1">
        <f t="shared" si="3"/>
        <v>72</v>
      </c>
      <c r="U11" s="5"/>
      <c r="V11" s="5">
        <f t="shared" si="4"/>
        <v>0</v>
      </c>
      <c r="W11" s="1"/>
      <c r="X11" s="1">
        <f t="shared" si="5"/>
        <v>15.735638888888891</v>
      </c>
      <c r="Y11" s="1">
        <f t="shared" si="6"/>
        <v>15.735638888888891</v>
      </c>
      <c r="Z11" s="1">
        <v>91.4</v>
      </c>
      <c r="AA11" s="1">
        <v>49.8</v>
      </c>
      <c r="AB11" s="1">
        <v>6.8</v>
      </c>
      <c r="AC11" s="1">
        <v>54.6</v>
      </c>
      <c r="AD11" s="1">
        <v>99.6</v>
      </c>
      <c r="AE11" s="1">
        <v>87.8</v>
      </c>
      <c r="AF11" s="1">
        <v>37.6</v>
      </c>
      <c r="AG11" s="1">
        <v>38.200000000000003</v>
      </c>
      <c r="AH11" s="1">
        <v>44.6</v>
      </c>
      <c r="AI11" s="1">
        <v>39.4</v>
      </c>
      <c r="AJ11" s="1"/>
      <c r="AK11" s="1">
        <f t="shared" si="7"/>
        <v>0</v>
      </c>
      <c r="AL11" s="1">
        <f t="shared" si="8"/>
        <v>32.4</v>
      </c>
    </row>
    <row r="12" spans="1:38" x14ac:dyDescent="0.25">
      <c r="A12" s="10" t="s">
        <v>51</v>
      </c>
      <c r="B12" s="10" t="s">
        <v>46</v>
      </c>
      <c r="C12" s="10"/>
      <c r="D12" s="10"/>
      <c r="E12" s="10"/>
      <c r="F12" s="10"/>
      <c r="G12" s="11">
        <v>0</v>
      </c>
      <c r="H12" s="10"/>
      <c r="I12" s="10" t="s">
        <v>42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3"/>
        <v>0</v>
      </c>
      <c r="U12" s="12"/>
      <c r="V12" s="5">
        <f t="shared" si="4"/>
        <v>0</v>
      </c>
      <c r="W12" s="1"/>
      <c r="X12" s="1" t="e">
        <f t="shared" si="5"/>
        <v>#DIV/0!</v>
      </c>
      <c r="Y12" s="10" t="e">
        <f t="shared" si="6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52</v>
      </c>
      <c r="AK12" s="1">
        <f t="shared" si="7"/>
        <v>0</v>
      </c>
      <c r="AL12" s="1">
        <f t="shared" si="8"/>
        <v>0</v>
      </c>
    </row>
    <row r="13" spans="1:38" x14ac:dyDescent="0.25">
      <c r="A13" s="1" t="s">
        <v>53</v>
      </c>
      <c r="B13" s="1" t="s">
        <v>46</v>
      </c>
      <c r="C13" s="1">
        <v>3</v>
      </c>
      <c r="D13" s="1">
        <v>180</v>
      </c>
      <c r="E13" s="1">
        <v>33</v>
      </c>
      <c r="F13" s="1">
        <v>134</v>
      </c>
      <c r="G13" s="7">
        <v>0.3</v>
      </c>
      <c r="H13" s="1">
        <v>40</v>
      </c>
      <c r="I13" s="9" t="s">
        <v>54</v>
      </c>
      <c r="J13" s="1"/>
      <c r="K13" s="1">
        <v>41</v>
      </c>
      <c r="L13" s="1">
        <f t="shared" si="2"/>
        <v>-8</v>
      </c>
      <c r="M13" s="1"/>
      <c r="N13" s="1"/>
      <c r="O13" s="1">
        <v>46.919999999999987</v>
      </c>
      <c r="P13" s="1"/>
      <c r="Q13" s="1"/>
      <c r="R13" s="1">
        <v>0</v>
      </c>
      <c r="S13" s="1"/>
      <c r="T13" s="1">
        <f t="shared" si="3"/>
        <v>6.6</v>
      </c>
      <c r="U13" s="5"/>
      <c r="V13" s="5">
        <f t="shared" si="4"/>
        <v>0</v>
      </c>
      <c r="W13" s="1"/>
      <c r="X13" s="1">
        <f t="shared" si="5"/>
        <v>27.41212121212121</v>
      </c>
      <c r="Y13" s="1">
        <f t="shared" si="6"/>
        <v>27.41212121212121</v>
      </c>
      <c r="Z13" s="1">
        <v>9.4</v>
      </c>
      <c r="AA13" s="1">
        <v>18</v>
      </c>
      <c r="AB13" s="1">
        <v>15.8</v>
      </c>
      <c r="AC13" s="1">
        <v>12.4</v>
      </c>
      <c r="AD13" s="1">
        <v>10.8</v>
      </c>
      <c r="AE13" s="1">
        <v>13.4</v>
      </c>
      <c r="AF13" s="1">
        <v>10.6</v>
      </c>
      <c r="AG13" s="1">
        <v>3</v>
      </c>
      <c r="AH13" s="1">
        <v>16.8</v>
      </c>
      <c r="AI13" s="1">
        <v>27</v>
      </c>
      <c r="AJ13" s="1"/>
      <c r="AK13" s="1">
        <f t="shared" si="7"/>
        <v>0</v>
      </c>
      <c r="AL13" s="1">
        <f t="shared" si="8"/>
        <v>1.9799999999999998</v>
      </c>
    </row>
    <row r="14" spans="1:38" x14ac:dyDescent="0.25">
      <c r="A14" s="1" t="s">
        <v>55</v>
      </c>
      <c r="B14" s="1" t="s">
        <v>46</v>
      </c>
      <c r="C14" s="1">
        <v>92</v>
      </c>
      <c r="D14" s="1">
        <v>300</v>
      </c>
      <c r="E14" s="1">
        <v>107</v>
      </c>
      <c r="F14" s="1">
        <v>259</v>
      </c>
      <c r="G14" s="7">
        <v>0.17</v>
      </c>
      <c r="H14" s="1">
        <v>180</v>
      </c>
      <c r="I14" s="1" t="s">
        <v>42</v>
      </c>
      <c r="J14" s="1"/>
      <c r="K14" s="1">
        <v>107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0</v>
      </c>
      <c r="S14" s="1"/>
      <c r="T14" s="1">
        <f t="shared" si="3"/>
        <v>21.4</v>
      </c>
      <c r="U14" s="5"/>
      <c r="V14" s="5">
        <f t="shared" si="4"/>
        <v>0</v>
      </c>
      <c r="W14" s="1"/>
      <c r="X14" s="1">
        <f t="shared" si="5"/>
        <v>12.102803738317759</v>
      </c>
      <c r="Y14" s="1">
        <f t="shared" si="6"/>
        <v>12.102803738317759</v>
      </c>
      <c r="Z14" s="1">
        <v>23.8</v>
      </c>
      <c r="AA14" s="1">
        <v>21.8</v>
      </c>
      <c r="AB14" s="1">
        <v>26.6</v>
      </c>
      <c r="AC14" s="1">
        <v>37.6</v>
      </c>
      <c r="AD14" s="1">
        <v>32</v>
      </c>
      <c r="AE14" s="1">
        <v>22</v>
      </c>
      <c r="AF14" s="1">
        <v>10</v>
      </c>
      <c r="AG14" s="1">
        <v>1.4</v>
      </c>
      <c r="AH14" s="1">
        <v>13.6</v>
      </c>
      <c r="AI14" s="1">
        <v>31.2</v>
      </c>
      <c r="AJ14" s="1"/>
      <c r="AK14" s="1">
        <f t="shared" si="7"/>
        <v>0</v>
      </c>
      <c r="AL14" s="1">
        <f t="shared" si="8"/>
        <v>3.6379999999999999</v>
      </c>
    </row>
    <row r="15" spans="1:38" x14ac:dyDescent="0.25">
      <c r="A15" s="1" t="s">
        <v>56</v>
      </c>
      <c r="B15" s="1" t="s">
        <v>41</v>
      </c>
      <c r="C15" s="1">
        <v>625.77700000000004</v>
      </c>
      <c r="D15" s="1">
        <v>155.39699999999999</v>
      </c>
      <c r="E15" s="1">
        <v>503.13</v>
      </c>
      <c r="F15" s="1">
        <v>174.62</v>
      </c>
      <c r="G15" s="7">
        <v>1</v>
      </c>
      <c r="H15" s="1">
        <v>70</v>
      </c>
      <c r="I15" s="9" t="s">
        <v>54</v>
      </c>
      <c r="J15" s="1"/>
      <c r="K15" s="1">
        <v>471.02</v>
      </c>
      <c r="L15" s="1">
        <f t="shared" si="2"/>
        <v>32.110000000000014</v>
      </c>
      <c r="M15" s="1"/>
      <c r="N15" s="1"/>
      <c r="O15" s="1">
        <v>640.54912000000013</v>
      </c>
      <c r="P15" s="1"/>
      <c r="Q15" s="1"/>
      <c r="R15" s="1">
        <v>0</v>
      </c>
      <c r="S15" s="1"/>
      <c r="T15" s="1">
        <f t="shared" si="3"/>
        <v>100.626</v>
      </c>
      <c r="U15" s="5">
        <f>11*T15-S15-R15-Q15-O15-F15</f>
        <v>291.71687999999983</v>
      </c>
      <c r="V15" s="5">
        <f t="shared" si="4"/>
        <v>291.71687999999983</v>
      </c>
      <c r="W15" s="1"/>
      <c r="X15" s="1">
        <f t="shared" si="5"/>
        <v>11</v>
      </c>
      <c r="Y15" s="1">
        <f t="shared" si="6"/>
        <v>8.1009790710154448</v>
      </c>
      <c r="Z15" s="1">
        <v>92.771199999999993</v>
      </c>
      <c r="AA15" s="1">
        <v>95.892600000000002</v>
      </c>
      <c r="AB15" s="1">
        <v>55.573</v>
      </c>
      <c r="AC15" s="1">
        <v>47.542000000000002</v>
      </c>
      <c r="AD15" s="1">
        <v>93.528999999999996</v>
      </c>
      <c r="AE15" s="1">
        <v>100.50239999999999</v>
      </c>
      <c r="AF15" s="1">
        <v>69.866600000000005</v>
      </c>
      <c r="AG15" s="1">
        <v>59.2682</v>
      </c>
      <c r="AH15" s="1">
        <v>64.551999999999992</v>
      </c>
      <c r="AI15" s="1">
        <v>60.460999999999999</v>
      </c>
      <c r="AJ15" s="1"/>
      <c r="AK15" s="1">
        <f t="shared" si="7"/>
        <v>292</v>
      </c>
      <c r="AL15" s="1">
        <f t="shared" si="8"/>
        <v>100.626</v>
      </c>
    </row>
    <row r="16" spans="1:38" x14ac:dyDescent="0.25">
      <c r="A16" s="1" t="s">
        <v>57</v>
      </c>
      <c r="B16" s="1" t="s">
        <v>41</v>
      </c>
      <c r="C16" s="1">
        <v>2307.8000000000002</v>
      </c>
      <c r="D16" s="1">
        <v>1708.395</v>
      </c>
      <c r="E16" s="1">
        <v>2284.4879999999998</v>
      </c>
      <c r="F16" s="1">
        <v>1249.165</v>
      </c>
      <c r="G16" s="7">
        <v>1</v>
      </c>
      <c r="H16" s="1">
        <v>50</v>
      </c>
      <c r="I16" s="1" t="s">
        <v>42</v>
      </c>
      <c r="J16" s="1"/>
      <c r="K16" s="1">
        <v>2203.5</v>
      </c>
      <c r="L16" s="1">
        <f t="shared" si="2"/>
        <v>80.987999999999829</v>
      </c>
      <c r="M16" s="1"/>
      <c r="N16" s="1"/>
      <c r="O16" s="1">
        <v>1100</v>
      </c>
      <c r="P16" s="1"/>
      <c r="Q16" s="1">
        <v>800</v>
      </c>
      <c r="R16" s="1">
        <v>3367.4361520000011</v>
      </c>
      <c r="S16" s="1"/>
      <c r="T16" s="1">
        <f t="shared" si="3"/>
        <v>456.89759999999995</v>
      </c>
      <c r="U16" s="5"/>
      <c r="V16" s="5">
        <f t="shared" si="4"/>
        <v>0</v>
      </c>
      <c r="W16" s="1"/>
      <c r="X16" s="1">
        <f t="shared" si="5"/>
        <v>14.26271696765315</v>
      </c>
      <c r="Y16" s="1">
        <f t="shared" si="6"/>
        <v>14.26271696765315</v>
      </c>
      <c r="Z16" s="1">
        <v>478.92079999999999</v>
      </c>
      <c r="AA16" s="1">
        <v>258.6986</v>
      </c>
      <c r="AB16" s="1">
        <v>257.84679999999997</v>
      </c>
      <c r="AC16" s="1">
        <v>458.24740000000003</v>
      </c>
      <c r="AD16" s="1">
        <v>481.82459999999998</v>
      </c>
      <c r="AE16" s="1">
        <v>420.36439999999999</v>
      </c>
      <c r="AF16" s="1">
        <v>317.29700000000003</v>
      </c>
      <c r="AG16" s="1">
        <v>275.59399999999999</v>
      </c>
      <c r="AH16" s="1">
        <v>362.4502</v>
      </c>
      <c r="AI16" s="1">
        <v>400.47460000000001</v>
      </c>
      <c r="AJ16" s="1"/>
      <c r="AK16" s="1">
        <f t="shared" si="7"/>
        <v>0</v>
      </c>
      <c r="AL16" s="1">
        <f t="shared" si="8"/>
        <v>456.89759999999995</v>
      </c>
    </row>
    <row r="17" spans="1:38" x14ac:dyDescent="0.25">
      <c r="A17" s="1" t="s">
        <v>58</v>
      </c>
      <c r="B17" s="1" t="s">
        <v>41</v>
      </c>
      <c r="C17" s="1">
        <v>65.596000000000004</v>
      </c>
      <c r="D17" s="1">
        <v>159.80099999999999</v>
      </c>
      <c r="E17" s="1">
        <v>62.088999999999999</v>
      </c>
      <c r="F17" s="1">
        <v>141.32400000000001</v>
      </c>
      <c r="G17" s="7">
        <v>1</v>
      </c>
      <c r="H17" s="1">
        <v>60</v>
      </c>
      <c r="I17" s="1" t="s">
        <v>42</v>
      </c>
      <c r="J17" s="1"/>
      <c r="K17" s="1">
        <v>57.5</v>
      </c>
      <c r="L17" s="1">
        <f t="shared" si="2"/>
        <v>4.5889999999999986</v>
      </c>
      <c r="M17" s="1"/>
      <c r="N17" s="1"/>
      <c r="O17" s="1">
        <v>0</v>
      </c>
      <c r="P17" s="1"/>
      <c r="Q17" s="1"/>
      <c r="R17" s="1">
        <v>15</v>
      </c>
      <c r="S17" s="1"/>
      <c r="T17" s="1">
        <f t="shared" si="3"/>
        <v>12.4178</v>
      </c>
      <c r="U17" s="5"/>
      <c r="V17" s="5">
        <f t="shared" si="4"/>
        <v>0</v>
      </c>
      <c r="W17" s="1"/>
      <c r="X17" s="1">
        <f t="shared" si="5"/>
        <v>12.588703312986199</v>
      </c>
      <c r="Y17" s="1">
        <f t="shared" si="6"/>
        <v>12.588703312986199</v>
      </c>
      <c r="Z17" s="1">
        <v>14.5106</v>
      </c>
      <c r="AA17" s="1">
        <v>12.775399999999999</v>
      </c>
      <c r="AB17" s="1">
        <v>14.9314</v>
      </c>
      <c r="AC17" s="1">
        <v>22.7486</v>
      </c>
      <c r="AD17" s="1">
        <v>17.5928</v>
      </c>
      <c r="AE17" s="1">
        <v>11.008599999999999</v>
      </c>
      <c r="AF17" s="1">
        <v>13.476000000000001</v>
      </c>
      <c r="AG17" s="1">
        <v>14.8294</v>
      </c>
      <c r="AH17" s="1">
        <v>16.038599999999999</v>
      </c>
      <c r="AI17" s="1">
        <v>10.763999999999999</v>
      </c>
      <c r="AJ17" s="1"/>
      <c r="AK17" s="1">
        <f t="shared" si="7"/>
        <v>0</v>
      </c>
      <c r="AL17" s="1">
        <f t="shared" si="8"/>
        <v>12.4178</v>
      </c>
    </row>
    <row r="18" spans="1:38" x14ac:dyDescent="0.25">
      <c r="A18" s="1" t="s">
        <v>59</v>
      </c>
      <c r="B18" s="1" t="s">
        <v>41</v>
      </c>
      <c r="C18" s="1">
        <v>65.978999999999999</v>
      </c>
      <c r="D18" s="1"/>
      <c r="E18" s="1">
        <v>38.898000000000003</v>
      </c>
      <c r="F18" s="1">
        <v>5.2350000000000003</v>
      </c>
      <c r="G18" s="7">
        <v>1</v>
      </c>
      <c r="H18" s="1">
        <v>60</v>
      </c>
      <c r="I18" s="9" t="s">
        <v>54</v>
      </c>
      <c r="J18" s="1"/>
      <c r="K18" s="1">
        <v>35.200000000000003</v>
      </c>
      <c r="L18" s="1">
        <f t="shared" si="2"/>
        <v>3.6980000000000004</v>
      </c>
      <c r="M18" s="1"/>
      <c r="N18" s="1"/>
      <c r="O18" s="1">
        <v>42.199779999999997</v>
      </c>
      <c r="P18" s="1"/>
      <c r="Q18" s="1"/>
      <c r="R18" s="1">
        <v>10</v>
      </c>
      <c r="S18" s="1"/>
      <c r="T18" s="1">
        <f t="shared" si="3"/>
        <v>7.7796000000000003</v>
      </c>
      <c r="U18" s="5">
        <f>11*T18-S18-R18-Q18-O18-F18</f>
        <v>28.140820000000012</v>
      </c>
      <c r="V18" s="5">
        <f t="shared" si="4"/>
        <v>28.140820000000012</v>
      </c>
      <c r="W18" s="1"/>
      <c r="X18" s="1">
        <f t="shared" si="5"/>
        <v>11</v>
      </c>
      <c r="Y18" s="1">
        <f t="shared" si="6"/>
        <v>7.3827420432927138</v>
      </c>
      <c r="Z18" s="1">
        <v>6.7598000000000003</v>
      </c>
      <c r="AA18" s="1">
        <v>6.5474000000000014</v>
      </c>
      <c r="AB18" s="1">
        <v>4.7682000000000002</v>
      </c>
      <c r="AC18" s="1">
        <v>-0.16520000000000001</v>
      </c>
      <c r="AD18" s="1">
        <v>1.9505999999999999</v>
      </c>
      <c r="AE18" s="1">
        <v>8.992799999999999</v>
      </c>
      <c r="AF18" s="1">
        <v>11.2796</v>
      </c>
      <c r="AG18" s="1">
        <v>9.8811999999999998</v>
      </c>
      <c r="AH18" s="1">
        <v>10.02</v>
      </c>
      <c r="AI18" s="1">
        <v>6.4992000000000001</v>
      </c>
      <c r="AJ18" s="1"/>
      <c r="AK18" s="1">
        <f t="shared" si="7"/>
        <v>28</v>
      </c>
      <c r="AL18" s="1">
        <f t="shared" si="8"/>
        <v>7.7796000000000003</v>
      </c>
    </row>
    <row r="19" spans="1:38" x14ac:dyDescent="0.25">
      <c r="A19" s="1" t="s">
        <v>60</v>
      </c>
      <c r="B19" s="1" t="s">
        <v>41</v>
      </c>
      <c r="C19" s="1">
        <v>50.107999999999997</v>
      </c>
      <c r="D19" s="1"/>
      <c r="E19" s="1">
        <v>20.716000000000001</v>
      </c>
      <c r="F19" s="1">
        <v>28.323</v>
      </c>
      <c r="G19" s="7">
        <v>1</v>
      </c>
      <c r="H19" s="1">
        <v>180</v>
      </c>
      <c r="I19" s="1" t="s">
        <v>42</v>
      </c>
      <c r="J19" s="1"/>
      <c r="K19" s="1">
        <v>22.4</v>
      </c>
      <c r="L19" s="1">
        <f t="shared" si="2"/>
        <v>-1.6839999999999975</v>
      </c>
      <c r="M19" s="1"/>
      <c r="N19" s="1"/>
      <c r="O19" s="1">
        <v>0</v>
      </c>
      <c r="P19" s="1"/>
      <c r="Q19" s="1"/>
      <c r="R19" s="1">
        <v>18.658359999999998</v>
      </c>
      <c r="S19" s="1"/>
      <c r="T19" s="1">
        <f t="shared" si="3"/>
        <v>4.1432000000000002</v>
      </c>
      <c r="U19" s="5"/>
      <c r="V19" s="5">
        <f t="shared" si="4"/>
        <v>0</v>
      </c>
      <c r="W19" s="1"/>
      <c r="X19" s="1">
        <f t="shared" si="5"/>
        <v>11.339389843599148</v>
      </c>
      <c r="Y19" s="1">
        <f t="shared" si="6"/>
        <v>11.339389843599148</v>
      </c>
      <c r="Z19" s="1">
        <v>3.944</v>
      </c>
      <c r="AA19" s="1">
        <v>3.7222</v>
      </c>
      <c r="AB19" s="1">
        <v>3.6394000000000002</v>
      </c>
      <c r="AC19" s="1">
        <v>2.7559999999999998</v>
      </c>
      <c r="AD19" s="1">
        <v>4.7732000000000001</v>
      </c>
      <c r="AE19" s="1">
        <v>4.9626000000000001</v>
      </c>
      <c r="AF19" s="1">
        <v>3.0619999999999998</v>
      </c>
      <c r="AG19" s="1">
        <v>3.778799999999999</v>
      </c>
      <c r="AH19" s="1">
        <v>6.1134000000000004</v>
      </c>
      <c r="AI19" s="1">
        <v>6.3506</v>
      </c>
      <c r="AJ19" s="1"/>
      <c r="AK19" s="1">
        <f t="shared" si="7"/>
        <v>0</v>
      </c>
      <c r="AL19" s="1">
        <f t="shared" si="8"/>
        <v>4.1432000000000002</v>
      </c>
    </row>
    <row r="20" spans="1:38" x14ac:dyDescent="0.25">
      <c r="A20" s="1" t="s">
        <v>61</v>
      </c>
      <c r="B20" s="1" t="s">
        <v>41</v>
      </c>
      <c r="C20" s="1">
        <v>317.43900000000002</v>
      </c>
      <c r="D20" s="1">
        <v>598.94100000000003</v>
      </c>
      <c r="E20" s="1">
        <v>506.27600000000001</v>
      </c>
      <c r="F20" s="1">
        <v>308.87099999999998</v>
      </c>
      <c r="G20" s="7">
        <v>1</v>
      </c>
      <c r="H20" s="1">
        <v>60</v>
      </c>
      <c r="I20" s="1" t="s">
        <v>42</v>
      </c>
      <c r="J20" s="1"/>
      <c r="K20" s="1">
        <v>476.22</v>
      </c>
      <c r="L20" s="1">
        <f t="shared" si="2"/>
        <v>30.055999999999983</v>
      </c>
      <c r="M20" s="1"/>
      <c r="N20" s="1"/>
      <c r="O20" s="1">
        <v>576.63438240000005</v>
      </c>
      <c r="P20" s="1"/>
      <c r="Q20" s="1"/>
      <c r="R20" s="1">
        <v>228.23503999999971</v>
      </c>
      <c r="S20" s="1"/>
      <c r="T20" s="1">
        <f t="shared" si="3"/>
        <v>101.2552</v>
      </c>
      <c r="U20" s="5"/>
      <c r="V20" s="5">
        <f t="shared" si="4"/>
        <v>0</v>
      </c>
      <c r="W20" s="1"/>
      <c r="X20" s="1">
        <f t="shared" si="5"/>
        <v>10.999340502018658</v>
      </c>
      <c r="Y20" s="1">
        <f t="shared" si="6"/>
        <v>10.999340502018658</v>
      </c>
      <c r="Z20" s="1">
        <v>100.88</v>
      </c>
      <c r="AA20" s="1">
        <v>96.459800000000001</v>
      </c>
      <c r="AB20" s="1">
        <v>91.898200000000003</v>
      </c>
      <c r="AC20" s="1">
        <v>89.878</v>
      </c>
      <c r="AD20" s="1">
        <v>93.350200000000001</v>
      </c>
      <c r="AE20" s="1">
        <v>93.1404</v>
      </c>
      <c r="AF20" s="1">
        <v>67.726399999999998</v>
      </c>
      <c r="AG20" s="1">
        <v>70.512</v>
      </c>
      <c r="AH20" s="1">
        <v>77.909599999999998</v>
      </c>
      <c r="AI20" s="1">
        <v>72.000399999999999</v>
      </c>
      <c r="AJ20" s="1"/>
      <c r="AK20" s="1">
        <f t="shared" si="7"/>
        <v>0</v>
      </c>
      <c r="AL20" s="1">
        <f t="shared" si="8"/>
        <v>101.2552</v>
      </c>
    </row>
    <row r="21" spans="1:38" x14ac:dyDescent="0.25">
      <c r="A21" s="1" t="s">
        <v>62</v>
      </c>
      <c r="B21" s="1" t="s">
        <v>41</v>
      </c>
      <c r="C21" s="1">
        <v>11.398999999999999</v>
      </c>
      <c r="D21" s="1">
        <v>378.65</v>
      </c>
      <c r="E21" s="1">
        <v>19.484999999999999</v>
      </c>
      <c r="F21" s="1">
        <v>343.923</v>
      </c>
      <c r="G21" s="7">
        <v>1</v>
      </c>
      <c r="H21" s="1">
        <v>70</v>
      </c>
      <c r="I21" s="1" t="s">
        <v>42</v>
      </c>
      <c r="J21" s="1"/>
      <c r="K21" s="1">
        <v>35</v>
      </c>
      <c r="L21" s="1">
        <f t="shared" si="2"/>
        <v>-15.515000000000001</v>
      </c>
      <c r="M21" s="1"/>
      <c r="N21" s="1"/>
      <c r="O21" s="1">
        <v>0</v>
      </c>
      <c r="P21" s="1"/>
      <c r="Q21" s="1"/>
      <c r="R21" s="1">
        <v>0</v>
      </c>
      <c r="S21" s="1"/>
      <c r="T21" s="1">
        <f t="shared" si="3"/>
        <v>3.8969999999999998</v>
      </c>
      <c r="U21" s="5"/>
      <c r="V21" s="5">
        <f t="shared" si="4"/>
        <v>0</v>
      </c>
      <c r="W21" s="1"/>
      <c r="X21" s="1">
        <f t="shared" si="5"/>
        <v>88.253271747498076</v>
      </c>
      <c r="Y21" s="1">
        <f t="shared" si="6"/>
        <v>88.253271747498076</v>
      </c>
      <c r="Z21" s="1">
        <v>14.3156</v>
      </c>
      <c r="AA21" s="1">
        <v>26.117000000000001</v>
      </c>
      <c r="AB21" s="1">
        <v>34.8842</v>
      </c>
      <c r="AC21" s="1">
        <v>28.196200000000001</v>
      </c>
      <c r="AD21" s="1">
        <v>18.7288</v>
      </c>
      <c r="AE21" s="1">
        <v>23.340800000000002</v>
      </c>
      <c r="AF21" s="1">
        <v>25.481200000000001</v>
      </c>
      <c r="AG21" s="1">
        <v>24.018799999999999</v>
      </c>
      <c r="AH21" s="1">
        <v>17.2928</v>
      </c>
      <c r="AI21" s="1">
        <v>16.8612</v>
      </c>
      <c r="AJ21" s="14" t="s">
        <v>49</v>
      </c>
      <c r="AK21" s="1">
        <f t="shared" si="7"/>
        <v>0</v>
      </c>
      <c r="AL21" s="1">
        <f t="shared" si="8"/>
        <v>3.8969999999999998</v>
      </c>
    </row>
    <row r="22" spans="1:38" x14ac:dyDescent="0.25">
      <c r="A22" s="1" t="s">
        <v>63</v>
      </c>
      <c r="B22" s="1" t="s">
        <v>41</v>
      </c>
      <c r="C22" s="1">
        <v>57.098999999999997</v>
      </c>
      <c r="D22" s="1">
        <v>611.00099999999998</v>
      </c>
      <c r="E22" s="1">
        <v>312.11500000000001</v>
      </c>
      <c r="F22" s="1">
        <v>305.06200000000001</v>
      </c>
      <c r="G22" s="7">
        <v>1</v>
      </c>
      <c r="H22" s="1">
        <v>70</v>
      </c>
      <c r="I22" s="9" t="s">
        <v>54</v>
      </c>
      <c r="J22" s="1"/>
      <c r="K22" s="1">
        <v>294.74</v>
      </c>
      <c r="L22" s="1">
        <f t="shared" si="2"/>
        <v>17.375</v>
      </c>
      <c r="M22" s="1"/>
      <c r="N22" s="1"/>
      <c r="O22" s="1">
        <v>0</v>
      </c>
      <c r="P22" s="1"/>
      <c r="Q22" s="1"/>
      <c r="R22" s="1">
        <v>0</v>
      </c>
      <c r="S22" s="1"/>
      <c r="T22" s="1">
        <f t="shared" si="3"/>
        <v>62.423000000000002</v>
      </c>
      <c r="U22" s="5">
        <f>11*T22-S22-R22-Q22-O22-F22</f>
        <v>381.59100000000001</v>
      </c>
      <c r="V22" s="5">
        <f t="shared" si="4"/>
        <v>381.59100000000001</v>
      </c>
      <c r="W22" s="1"/>
      <c r="X22" s="1">
        <f t="shared" si="5"/>
        <v>11</v>
      </c>
      <c r="Y22" s="1">
        <f t="shared" si="6"/>
        <v>4.887012799769316</v>
      </c>
      <c r="Z22" s="1">
        <v>34.194200000000002</v>
      </c>
      <c r="AA22" s="1">
        <v>23.361799999999999</v>
      </c>
      <c r="AB22" s="1">
        <v>40.968800000000002</v>
      </c>
      <c r="AC22" s="1">
        <v>54.458799999999997</v>
      </c>
      <c r="AD22" s="1">
        <v>38.1952</v>
      </c>
      <c r="AE22" s="1">
        <v>16.365600000000001</v>
      </c>
      <c r="AF22" s="1">
        <v>6.5044000000000004</v>
      </c>
      <c r="AG22" s="1">
        <v>18.438800000000001</v>
      </c>
      <c r="AH22" s="1">
        <v>35.318600000000004</v>
      </c>
      <c r="AI22" s="1">
        <v>41.7134</v>
      </c>
      <c r="AJ22" s="1"/>
      <c r="AK22" s="1">
        <f t="shared" si="7"/>
        <v>382</v>
      </c>
      <c r="AL22" s="1">
        <f t="shared" si="8"/>
        <v>62.423000000000002</v>
      </c>
    </row>
    <row r="23" spans="1:38" x14ac:dyDescent="0.25">
      <c r="A23" s="1" t="s">
        <v>64</v>
      </c>
      <c r="B23" s="1" t="s">
        <v>41</v>
      </c>
      <c r="C23" s="1">
        <v>109.196</v>
      </c>
      <c r="D23" s="1"/>
      <c r="E23" s="1">
        <v>25.712</v>
      </c>
      <c r="F23" s="1">
        <v>81.103999999999999</v>
      </c>
      <c r="G23" s="7">
        <v>1</v>
      </c>
      <c r="H23" s="1">
        <v>180</v>
      </c>
      <c r="I23" s="1" t="s">
        <v>42</v>
      </c>
      <c r="J23" s="1"/>
      <c r="K23" s="1">
        <v>28.8</v>
      </c>
      <c r="L23" s="1">
        <f t="shared" si="2"/>
        <v>-3.088000000000001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3"/>
        <v>5.1424000000000003</v>
      </c>
      <c r="U23" s="5"/>
      <c r="V23" s="5">
        <f t="shared" si="4"/>
        <v>0</v>
      </c>
      <c r="W23" s="1"/>
      <c r="X23" s="1">
        <f t="shared" si="5"/>
        <v>15.771624144368387</v>
      </c>
      <c r="Y23" s="1">
        <f t="shared" si="6"/>
        <v>15.771624144368387</v>
      </c>
      <c r="Z23" s="1">
        <v>4.5293999999999999</v>
      </c>
      <c r="AA23" s="1">
        <v>3.9744000000000002</v>
      </c>
      <c r="AB23" s="1">
        <v>3.9765999999999999</v>
      </c>
      <c r="AC23" s="1">
        <v>3.8353999999999999</v>
      </c>
      <c r="AD23" s="1">
        <v>5.0188000000000006</v>
      </c>
      <c r="AE23" s="1">
        <v>4.7473999999999998</v>
      </c>
      <c r="AF23" s="1">
        <v>1.9568000000000001</v>
      </c>
      <c r="AG23" s="1">
        <v>2.3163999999999998</v>
      </c>
      <c r="AH23" s="1">
        <v>7.5906000000000002</v>
      </c>
      <c r="AI23" s="1">
        <v>9.031600000000001</v>
      </c>
      <c r="AJ23" s="14" t="s">
        <v>49</v>
      </c>
      <c r="AK23" s="1">
        <f t="shared" si="7"/>
        <v>0</v>
      </c>
      <c r="AL23" s="1">
        <f t="shared" si="8"/>
        <v>5.1424000000000003</v>
      </c>
    </row>
    <row r="24" spans="1:38" x14ac:dyDescent="0.25">
      <c r="A24" s="1" t="s">
        <v>65</v>
      </c>
      <c r="B24" s="1" t="s">
        <v>41</v>
      </c>
      <c r="C24" s="1">
        <v>-4.3999999999999997E-2</v>
      </c>
      <c r="D24" s="1">
        <v>327.64</v>
      </c>
      <c r="E24" s="1">
        <v>76.049000000000007</v>
      </c>
      <c r="F24" s="1">
        <v>203.411</v>
      </c>
      <c r="G24" s="7">
        <v>1</v>
      </c>
      <c r="H24" s="1">
        <v>70</v>
      </c>
      <c r="I24" s="9" t="s">
        <v>54</v>
      </c>
      <c r="J24" s="1"/>
      <c r="K24" s="1">
        <v>99.2</v>
      </c>
      <c r="L24" s="1">
        <f t="shared" si="2"/>
        <v>-23.150999999999996</v>
      </c>
      <c r="M24" s="1"/>
      <c r="N24" s="1"/>
      <c r="O24" s="1">
        <v>299.0323800000001</v>
      </c>
      <c r="P24" s="1"/>
      <c r="Q24" s="1"/>
      <c r="R24" s="1">
        <v>0</v>
      </c>
      <c r="S24" s="1"/>
      <c r="T24" s="1">
        <f t="shared" si="3"/>
        <v>15.209800000000001</v>
      </c>
      <c r="U24" s="5"/>
      <c r="V24" s="5">
        <f t="shared" si="4"/>
        <v>0</v>
      </c>
      <c r="W24" s="1"/>
      <c r="X24" s="1">
        <f t="shared" si="5"/>
        <v>33.034187168799065</v>
      </c>
      <c r="Y24" s="1">
        <f t="shared" si="6"/>
        <v>33.034187168799065</v>
      </c>
      <c r="Z24" s="1">
        <v>26.774000000000001</v>
      </c>
      <c r="AA24" s="1">
        <v>43.232399999999998</v>
      </c>
      <c r="AB24" s="1">
        <v>29.524999999999999</v>
      </c>
      <c r="AC24" s="1">
        <v>20.725000000000001</v>
      </c>
      <c r="AD24" s="1">
        <v>18.969799999999999</v>
      </c>
      <c r="AE24" s="1">
        <v>14.39</v>
      </c>
      <c r="AF24" s="1">
        <v>8.7706</v>
      </c>
      <c r="AG24" s="1">
        <v>14.5794</v>
      </c>
      <c r="AH24" s="1">
        <v>31.823799999999999</v>
      </c>
      <c r="AI24" s="1">
        <v>37.118400000000001</v>
      </c>
      <c r="AJ24" s="1"/>
      <c r="AK24" s="1">
        <f t="shared" si="7"/>
        <v>0</v>
      </c>
      <c r="AL24" s="1">
        <f t="shared" si="8"/>
        <v>15.209800000000001</v>
      </c>
    </row>
    <row r="25" spans="1:38" x14ac:dyDescent="0.25">
      <c r="A25" s="10" t="s">
        <v>66</v>
      </c>
      <c r="B25" s="10" t="s">
        <v>41</v>
      </c>
      <c r="C25" s="10"/>
      <c r="D25" s="10"/>
      <c r="E25" s="10"/>
      <c r="F25" s="10"/>
      <c r="G25" s="11">
        <v>0</v>
      </c>
      <c r="H25" s="10"/>
      <c r="I25" s="10" t="s">
        <v>42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5">
        <f t="shared" si="4"/>
        <v>0</v>
      </c>
      <c r="W25" s="1"/>
      <c r="X25" s="1" t="e">
        <f t="shared" si="5"/>
        <v>#DIV/0!</v>
      </c>
      <c r="Y25" s="10" t="e">
        <f t="shared" si="6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52</v>
      </c>
      <c r="AK25" s="1">
        <f t="shared" si="7"/>
        <v>0</v>
      </c>
      <c r="AL25" s="1">
        <f t="shared" si="8"/>
        <v>0</v>
      </c>
    </row>
    <row r="26" spans="1:38" x14ac:dyDescent="0.25">
      <c r="A26" s="1" t="s">
        <v>67</v>
      </c>
      <c r="B26" s="1" t="s">
        <v>41</v>
      </c>
      <c r="C26" s="1">
        <v>63.789000000000001</v>
      </c>
      <c r="D26" s="1">
        <v>233.43</v>
      </c>
      <c r="E26" s="1">
        <v>53.021000000000001</v>
      </c>
      <c r="F26" s="1">
        <v>220.976</v>
      </c>
      <c r="G26" s="7">
        <v>1</v>
      </c>
      <c r="H26" s="1">
        <v>30</v>
      </c>
      <c r="I26" s="1" t="s">
        <v>42</v>
      </c>
      <c r="J26" s="1"/>
      <c r="K26" s="1">
        <v>105.2</v>
      </c>
      <c r="L26" s="1">
        <f t="shared" si="2"/>
        <v>-52.179000000000002</v>
      </c>
      <c r="M26" s="1"/>
      <c r="N26" s="1"/>
      <c r="O26" s="1">
        <v>364.64152000000001</v>
      </c>
      <c r="P26" s="1"/>
      <c r="Q26" s="1"/>
      <c r="R26" s="1">
        <v>0</v>
      </c>
      <c r="S26" s="1"/>
      <c r="T26" s="1">
        <f t="shared" si="3"/>
        <v>10.604200000000001</v>
      </c>
      <c r="U26" s="5"/>
      <c r="V26" s="5">
        <f t="shared" si="4"/>
        <v>0</v>
      </c>
      <c r="W26" s="1"/>
      <c r="X26" s="1">
        <f t="shared" si="5"/>
        <v>55.225054223798118</v>
      </c>
      <c r="Y26" s="1">
        <f t="shared" si="6"/>
        <v>55.225054223798118</v>
      </c>
      <c r="Z26" s="1">
        <v>23.606999999999999</v>
      </c>
      <c r="AA26" s="1">
        <v>42.3446</v>
      </c>
      <c r="AB26" s="1">
        <v>36.757199999999997</v>
      </c>
      <c r="AC26" s="1">
        <v>5.3428000000000004</v>
      </c>
      <c r="AD26" s="1">
        <v>1.6415999999999999</v>
      </c>
      <c r="AE26" s="1">
        <v>20.915800000000001</v>
      </c>
      <c r="AF26" s="1">
        <v>41.127400000000002</v>
      </c>
      <c r="AG26" s="1">
        <v>48.219200000000001</v>
      </c>
      <c r="AH26" s="1">
        <v>53.691999999999993</v>
      </c>
      <c r="AI26" s="1">
        <v>57.585799999999992</v>
      </c>
      <c r="AJ26" s="14" t="s">
        <v>49</v>
      </c>
      <c r="AK26" s="1">
        <f t="shared" si="7"/>
        <v>0</v>
      </c>
      <c r="AL26" s="1">
        <f t="shared" si="8"/>
        <v>10.604200000000001</v>
      </c>
    </row>
    <row r="27" spans="1:38" x14ac:dyDescent="0.25">
      <c r="A27" s="1" t="s">
        <v>68</v>
      </c>
      <c r="B27" s="1" t="s">
        <v>41</v>
      </c>
      <c r="C27" s="1">
        <v>-1.575</v>
      </c>
      <c r="D27" s="1"/>
      <c r="E27" s="1"/>
      <c r="F27" s="1">
        <v>-1.575</v>
      </c>
      <c r="G27" s="7">
        <v>1</v>
      </c>
      <c r="H27" s="1">
        <v>40</v>
      </c>
      <c r="I27" s="9" t="s">
        <v>54</v>
      </c>
      <c r="J27" s="1"/>
      <c r="K27" s="1">
        <v>1</v>
      </c>
      <c r="L27" s="1">
        <f t="shared" si="2"/>
        <v>-1</v>
      </c>
      <c r="M27" s="1"/>
      <c r="N27" s="1"/>
      <c r="O27" s="1">
        <v>85</v>
      </c>
      <c r="P27" s="1"/>
      <c r="Q27" s="1"/>
      <c r="R27" s="1">
        <v>39</v>
      </c>
      <c r="S27" s="1"/>
      <c r="T27" s="1">
        <f t="shared" si="3"/>
        <v>0</v>
      </c>
      <c r="U27" s="5">
        <v>20</v>
      </c>
      <c r="V27" s="5">
        <f t="shared" si="4"/>
        <v>20</v>
      </c>
      <c r="W27" s="1"/>
      <c r="X27" s="1" t="e">
        <f t="shared" si="5"/>
        <v>#DIV/0!</v>
      </c>
      <c r="Y27" s="1" t="e">
        <f t="shared" si="6"/>
        <v>#DIV/0!</v>
      </c>
      <c r="Z27" s="1">
        <v>7.3483999999999998</v>
      </c>
      <c r="AA27" s="1">
        <v>12.615399999999999</v>
      </c>
      <c r="AB27" s="1">
        <v>10.5562</v>
      </c>
      <c r="AC27" s="1">
        <v>5.1772</v>
      </c>
      <c r="AD27" s="1">
        <v>-0.112</v>
      </c>
      <c r="AE27" s="1">
        <v>0</v>
      </c>
      <c r="AF27" s="1">
        <v>0</v>
      </c>
      <c r="AG27" s="1">
        <v>0</v>
      </c>
      <c r="AH27" s="1">
        <v>-0.40960000000000002</v>
      </c>
      <c r="AI27" s="1">
        <v>-0.79859999999999998</v>
      </c>
      <c r="AJ27" s="1"/>
      <c r="AK27" s="1">
        <f t="shared" si="7"/>
        <v>20</v>
      </c>
      <c r="AL27" s="1">
        <f t="shared" si="8"/>
        <v>0</v>
      </c>
    </row>
    <row r="28" spans="1:38" x14ac:dyDescent="0.25">
      <c r="A28" s="1" t="s">
        <v>69</v>
      </c>
      <c r="B28" s="1" t="s">
        <v>41</v>
      </c>
      <c r="C28" s="1">
        <v>33.527000000000001</v>
      </c>
      <c r="D28" s="1">
        <v>344.40499999999997</v>
      </c>
      <c r="E28" s="1">
        <v>99.756</v>
      </c>
      <c r="F28" s="1">
        <v>164.489</v>
      </c>
      <c r="G28" s="7">
        <v>1</v>
      </c>
      <c r="H28" s="1">
        <v>30</v>
      </c>
      <c r="I28" s="9" t="s">
        <v>54</v>
      </c>
      <c r="J28" s="1"/>
      <c r="K28" s="1">
        <v>122</v>
      </c>
      <c r="L28" s="1">
        <f t="shared" si="2"/>
        <v>-22.244</v>
      </c>
      <c r="M28" s="1"/>
      <c r="N28" s="1"/>
      <c r="O28" s="1">
        <v>425</v>
      </c>
      <c r="P28" s="1"/>
      <c r="Q28" s="1"/>
      <c r="R28" s="1">
        <v>0</v>
      </c>
      <c r="S28" s="1"/>
      <c r="T28" s="1">
        <f t="shared" si="3"/>
        <v>19.9512</v>
      </c>
      <c r="U28" s="5"/>
      <c r="V28" s="5">
        <f t="shared" si="4"/>
        <v>0</v>
      </c>
      <c r="W28" s="1"/>
      <c r="X28" s="1">
        <f t="shared" si="5"/>
        <v>29.546543566301779</v>
      </c>
      <c r="Y28" s="1">
        <f t="shared" si="6"/>
        <v>29.546543566301779</v>
      </c>
      <c r="Z28" s="1">
        <v>38.483400000000003</v>
      </c>
      <c r="AA28" s="1">
        <v>61.430199999999999</v>
      </c>
      <c r="AB28" s="1">
        <v>40.460999999999999</v>
      </c>
      <c r="AC28" s="1">
        <v>34.136399999999988</v>
      </c>
      <c r="AD28" s="1">
        <v>28.6402</v>
      </c>
      <c r="AE28" s="1">
        <v>49.427</v>
      </c>
      <c r="AF28" s="1">
        <v>45.0518</v>
      </c>
      <c r="AG28" s="1">
        <v>-8.8800000000000004E-2</v>
      </c>
      <c r="AH28" s="1">
        <v>11.554</v>
      </c>
      <c r="AI28" s="1">
        <v>72.658000000000001</v>
      </c>
      <c r="AJ28" s="1"/>
      <c r="AK28" s="1">
        <f t="shared" si="7"/>
        <v>0</v>
      </c>
      <c r="AL28" s="1">
        <f t="shared" si="8"/>
        <v>19.9512</v>
      </c>
    </row>
    <row r="29" spans="1:38" x14ac:dyDescent="0.25">
      <c r="A29" s="1" t="s">
        <v>70</v>
      </c>
      <c r="B29" s="1" t="s">
        <v>41</v>
      </c>
      <c r="C29" s="1">
        <v>813.95100000000002</v>
      </c>
      <c r="D29" s="1">
        <v>1262.9369999999999</v>
      </c>
      <c r="E29" s="1">
        <v>747.82399999999996</v>
      </c>
      <c r="F29" s="1">
        <v>1182.7280000000001</v>
      </c>
      <c r="G29" s="7">
        <v>1</v>
      </c>
      <c r="H29" s="1">
        <v>40</v>
      </c>
      <c r="I29" s="9" t="s">
        <v>54</v>
      </c>
      <c r="J29" s="1"/>
      <c r="K29" s="1">
        <v>665.55</v>
      </c>
      <c r="L29" s="1">
        <f t="shared" si="2"/>
        <v>82.274000000000001</v>
      </c>
      <c r="M29" s="1"/>
      <c r="N29" s="1"/>
      <c r="O29" s="1">
        <v>0</v>
      </c>
      <c r="P29" s="1"/>
      <c r="Q29" s="1"/>
      <c r="R29" s="1">
        <v>1150</v>
      </c>
      <c r="S29" s="1"/>
      <c r="T29" s="1">
        <f t="shared" si="3"/>
        <v>149.56479999999999</v>
      </c>
      <c r="U29" s="5"/>
      <c r="V29" s="5">
        <f t="shared" si="4"/>
        <v>0</v>
      </c>
      <c r="W29" s="1"/>
      <c r="X29" s="1">
        <f t="shared" si="5"/>
        <v>15.596771432850511</v>
      </c>
      <c r="Y29" s="1">
        <f t="shared" si="6"/>
        <v>15.596771432850511</v>
      </c>
      <c r="Z29" s="1">
        <v>192.89240000000001</v>
      </c>
      <c r="AA29" s="1">
        <v>98.930399999999992</v>
      </c>
      <c r="AB29" s="1">
        <v>1.2E-2</v>
      </c>
      <c r="AC29" s="1">
        <v>79.461600000000004</v>
      </c>
      <c r="AD29" s="1">
        <v>183.1814</v>
      </c>
      <c r="AE29" s="1">
        <v>189.0034</v>
      </c>
      <c r="AF29" s="1">
        <v>89.290199999999999</v>
      </c>
      <c r="AG29" s="1">
        <v>4.0186000000000002</v>
      </c>
      <c r="AH29" s="1">
        <v>4.0195999999999996</v>
      </c>
      <c r="AI29" s="1">
        <v>85.760400000000004</v>
      </c>
      <c r="AJ29" s="1"/>
      <c r="AK29" s="1">
        <f t="shared" si="7"/>
        <v>0</v>
      </c>
      <c r="AL29" s="1">
        <f t="shared" si="8"/>
        <v>149.56479999999999</v>
      </c>
    </row>
    <row r="30" spans="1:38" x14ac:dyDescent="0.25">
      <c r="A30" s="1" t="s">
        <v>71</v>
      </c>
      <c r="B30" s="1" t="s">
        <v>41</v>
      </c>
      <c r="C30" s="1">
        <v>2.8000000000000001E-2</v>
      </c>
      <c r="D30" s="1">
        <v>17.686</v>
      </c>
      <c r="E30" s="1">
        <v>16.899999999999999</v>
      </c>
      <c r="F30" s="1">
        <v>0.14399999999999999</v>
      </c>
      <c r="G30" s="7">
        <v>1</v>
      </c>
      <c r="H30" s="1">
        <v>40</v>
      </c>
      <c r="I30" s="9" t="s">
        <v>54</v>
      </c>
      <c r="J30" s="1"/>
      <c r="K30" s="1">
        <v>50.6</v>
      </c>
      <c r="L30" s="1">
        <f t="shared" si="2"/>
        <v>-33.700000000000003</v>
      </c>
      <c r="M30" s="1"/>
      <c r="N30" s="1"/>
      <c r="O30" s="1">
        <v>34</v>
      </c>
      <c r="P30" s="1"/>
      <c r="Q30" s="1"/>
      <c r="R30" s="1">
        <v>26</v>
      </c>
      <c r="S30" s="1"/>
      <c r="T30" s="1">
        <f t="shared" si="3"/>
        <v>3.38</v>
      </c>
      <c r="U30" s="5">
        <v>30</v>
      </c>
      <c r="V30" s="5">
        <f t="shared" si="4"/>
        <v>30</v>
      </c>
      <c r="W30" s="1"/>
      <c r="X30" s="1">
        <f t="shared" si="5"/>
        <v>26.669822485207103</v>
      </c>
      <c r="Y30" s="1">
        <f t="shared" si="6"/>
        <v>17.794082840236687</v>
      </c>
      <c r="Z30" s="1">
        <v>3.5139999999999998</v>
      </c>
      <c r="AA30" s="1">
        <v>0.9071999999999999</v>
      </c>
      <c r="AB30" s="1">
        <v>5.9954000000000001</v>
      </c>
      <c r="AC30" s="1">
        <v>6.6069999999999993</v>
      </c>
      <c r="AD30" s="1">
        <v>2.9994000000000001</v>
      </c>
      <c r="AE30" s="1">
        <v>1.4805999999999999</v>
      </c>
      <c r="AF30" s="1">
        <v>0</v>
      </c>
      <c r="AG30" s="1">
        <v>0</v>
      </c>
      <c r="AH30" s="1">
        <v>3.4148000000000009</v>
      </c>
      <c r="AI30" s="1">
        <v>5.5952000000000002</v>
      </c>
      <c r="AJ30" s="1"/>
      <c r="AK30" s="1">
        <f t="shared" si="7"/>
        <v>30</v>
      </c>
      <c r="AL30" s="1">
        <f t="shared" si="8"/>
        <v>3.38</v>
      </c>
    </row>
    <row r="31" spans="1:38" x14ac:dyDescent="0.25">
      <c r="A31" s="1" t="s">
        <v>72</v>
      </c>
      <c r="B31" s="1" t="s">
        <v>41</v>
      </c>
      <c r="C31" s="1">
        <v>85.350999999999999</v>
      </c>
      <c r="D31" s="1">
        <v>1.538</v>
      </c>
      <c r="E31" s="1">
        <v>54.662999999999997</v>
      </c>
      <c r="F31" s="1">
        <v>2.8010000000000002</v>
      </c>
      <c r="G31" s="7">
        <v>1</v>
      </c>
      <c r="H31" s="1">
        <v>30</v>
      </c>
      <c r="I31" s="1" t="s">
        <v>42</v>
      </c>
      <c r="J31" s="1"/>
      <c r="K31" s="1">
        <v>76.3</v>
      </c>
      <c r="L31" s="1">
        <f t="shared" si="2"/>
        <v>-21.637</v>
      </c>
      <c r="M31" s="1"/>
      <c r="N31" s="1"/>
      <c r="O31" s="1">
        <v>0</v>
      </c>
      <c r="P31" s="1"/>
      <c r="Q31" s="1"/>
      <c r="R31" s="1">
        <v>101.845</v>
      </c>
      <c r="S31" s="1"/>
      <c r="T31" s="1">
        <f t="shared" si="3"/>
        <v>10.932599999999999</v>
      </c>
      <c r="U31" s="5">
        <f>11*T31-S31-R31-Q31-O31-F31</f>
        <v>15.612599999999988</v>
      </c>
      <c r="V31" s="5">
        <f t="shared" si="4"/>
        <v>15.612599999999988</v>
      </c>
      <c r="W31" s="1"/>
      <c r="X31" s="1">
        <f t="shared" si="5"/>
        <v>11</v>
      </c>
      <c r="Y31" s="1">
        <f t="shared" si="6"/>
        <v>9.5719225069974208</v>
      </c>
      <c r="Z31" s="1">
        <v>12.9648</v>
      </c>
      <c r="AA31" s="1">
        <v>-4.0000000000000002E-4</v>
      </c>
      <c r="AB31" s="1">
        <v>1.3251999999999999</v>
      </c>
      <c r="AC31" s="1">
        <v>13.872400000000001</v>
      </c>
      <c r="AD31" s="1">
        <v>20.366800000000001</v>
      </c>
      <c r="AE31" s="1">
        <v>14.660399999999999</v>
      </c>
      <c r="AF31" s="1">
        <v>3.9342000000000001</v>
      </c>
      <c r="AG31" s="1">
        <v>1.4094</v>
      </c>
      <c r="AH31" s="1">
        <v>13.768800000000001</v>
      </c>
      <c r="AI31" s="1">
        <v>18.741599999999998</v>
      </c>
      <c r="AJ31" s="1"/>
      <c r="AK31" s="1">
        <f t="shared" si="7"/>
        <v>16</v>
      </c>
      <c r="AL31" s="1">
        <f t="shared" si="8"/>
        <v>10.932599999999999</v>
      </c>
    </row>
    <row r="32" spans="1:38" x14ac:dyDescent="0.25">
      <c r="A32" s="1" t="s">
        <v>73</v>
      </c>
      <c r="B32" s="1" t="s">
        <v>41</v>
      </c>
      <c r="C32" s="1">
        <v>0.88100000000000001</v>
      </c>
      <c r="D32" s="1">
        <v>239.80199999999999</v>
      </c>
      <c r="E32" s="1">
        <v>97.39</v>
      </c>
      <c r="F32" s="1">
        <v>125.155</v>
      </c>
      <c r="G32" s="7">
        <v>1</v>
      </c>
      <c r="H32" s="1">
        <v>50</v>
      </c>
      <c r="I32" s="9" t="s">
        <v>54</v>
      </c>
      <c r="J32" s="1"/>
      <c r="K32" s="1">
        <v>99.7</v>
      </c>
      <c r="L32" s="1">
        <f t="shared" si="2"/>
        <v>-2.3100000000000023</v>
      </c>
      <c r="M32" s="1"/>
      <c r="N32" s="1"/>
      <c r="O32" s="1">
        <v>0</v>
      </c>
      <c r="P32" s="1"/>
      <c r="Q32" s="1"/>
      <c r="R32" s="1">
        <v>0</v>
      </c>
      <c r="S32" s="1"/>
      <c r="T32" s="1">
        <f t="shared" si="3"/>
        <v>19.478000000000002</v>
      </c>
      <c r="U32" s="5">
        <f>11*T32-S32-R32-Q32-O32-F32</f>
        <v>89.103000000000009</v>
      </c>
      <c r="V32" s="5">
        <f>W32</f>
        <v>250</v>
      </c>
      <c r="W32" s="1">
        <f>VLOOKUP(A32,[1]Sheet!$A:$U,21,0)</f>
        <v>250</v>
      </c>
      <c r="X32" s="1">
        <f t="shared" si="5"/>
        <v>19.2604476845672</v>
      </c>
      <c r="Y32" s="1">
        <f t="shared" si="6"/>
        <v>6.4254543587637327</v>
      </c>
      <c r="Z32" s="1">
        <v>10.740600000000001</v>
      </c>
      <c r="AA32" s="1">
        <v>3.1267999999999998</v>
      </c>
      <c r="AB32" s="1">
        <v>19.297999999999998</v>
      </c>
      <c r="AC32" s="1">
        <v>26.091999999999999</v>
      </c>
      <c r="AD32" s="1">
        <v>14.4978</v>
      </c>
      <c r="AE32" s="1">
        <v>7.5068000000000001</v>
      </c>
      <c r="AF32" s="1">
        <v>11.5124</v>
      </c>
      <c r="AG32" s="1">
        <v>10.9542</v>
      </c>
      <c r="AH32" s="1">
        <v>11.3468</v>
      </c>
      <c r="AI32" s="1">
        <v>12.454000000000001</v>
      </c>
      <c r="AJ32" s="1"/>
      <c r="AK32" s="1">
        <f t="shared" si="7"/>
        <v>250</v>
      </c>
      <c r="AL32" s="1">
        <f t="shared" si="8"/>
        <v>19.478000000000002</v>
      </c>
    </row>
    <row r="33" spans="1:38" x14ac:dyDescent="0.25">
      <c r="A33" s="1" t="s">
        <v>74</v>
      </c>
      <c r="B33" s="1" t="s">
        <v>41</v>
      </c>
      <c r="C33" s="1">
        <v>0.92300000000000004</v>
      </c>
      <c r="D33" s="1">
        <v>104.474</v>
      </c>
      <c r="E33" s="1">
        <v>10.066000000000001</v>
      </c>
      <c r="F33" s="1">
        <v>89.858000000000004</v>
      </c>
      <c r="G33" s="7">
        <v>1</v>
      </c>
      <c r="H33" s="1">
        <v>50</v>
      </c>
      <c r="I33" s="9" t="s">
        <v>54</v>
      </c>
      <c r="J33" s="1"/>
      <c r="K33" s="1">
        <v>13.9</v>
      </c>
      <c r="L33" s="1">
        <f t="shared" si="2"/>
        <v>-3.8339999999999996</v>
      </c>
      <c r="M33" s="1"/>
      <c r="N33" s="1"/>
      <c r="O33" s="1">
        <v>0</v>
      </c>
      <c r="P33" s="1"/>
      <c r="Q33" s="1"/>
      <c r="R33" s="1">
        <v>0</v>
      </c>
      <c r="S33" s="1"/>
      <c r="T33" s="1">
        <f t="shared" si="3"/>
        <v>2.0132000000000003</v>
      </c>
      <c r="U33" s="5"/>
      <c r="V33" s="5">
        <f t="shared" ref="V33:V39" si="9">U33</f>
        <v>0</v>
      </c>
      <c r="W33" s="1"/>
      <c r="X33" s="1">
        <f t="shared" si="5"/>
        <v>44.634412875024829</v>
      </c>
      <c r="Y33" s="1">
        <f t="shared" si="6"/>
        <v>44.634412875024829</v>
      </c>
      <c r="Z33" s="1">
        <v>5.2670000000000003</v>
      </c>
      <c r="AA33" s="1">
        <v>7.9817999999999998</v>
      </c>
      <c r="AB33" s="1">
        <v>10.100199999999999</v>
      </c>
      <c r="AC33" s="1">
        <v>10.1</v>
      </c>
      <c r="AD33" s="1">
        <v>8.9084000000000003</v>
      </c>
      <c r="AE33" s="1">
        <v>7.8503999999999996</v>
      </c>
      <c r="AF33" s="1">
        <v>4.3845999999999998</v>
      </c>
      <c r="AG33" s="1">
        <v>6.3595999999999986</v>
      </c>
      <c r="AH33" s="1">
        <v>12.702</v>
      </c>
      <c r="AI33" s="1">
        <v>10.155799999999999</v>
      </c>
      <c r="AJ33" s="1"/>
      <c r="AK33" s="1">
        <f t="shared" si="7"/>
        <v>0</v>
      </c>
      <c r="AL33" s="1">
        <f t="shared" si="8"/>
        <v>2.0132000000000003</v>
      </c>
    </row>
    <row r="34" spans="1:38" x14ac:dyDescent="0.25">
      <c r="A34" s="1" t="s">
        <v>75</v>
      </c>
      <c r="B34" s="1" t="s">
        <v>46</v>
      </c>
      <c r="C34" s="1"/>
      <c r="D34" s="1">
        <v>504</v>
      </c>
      <c r="E34" s="1">
        <v>204</v>
      </c>
      <c r="F34" s="1">
        <v>142</v>
      </c>
      <c r="G34" s="7">
        <v>0.4</v>
      </c>
      <c r="H34" s="1">
        <v>45</v>
      </c>
      <c r="I34" s="9" t="s">
        <v>54</v>
      </c>
      <c r="J34" s="1"/>
      <c r="K34" s="1">
        <v>366</v>
      </c>
      <c r="L34" s="1">
        <f t="shared" si="2"/>
        <v>-162</v>
      </c>
      <c r="M34" s="1"/>
      <c r="N34" s="1"/>
      <c r="O34" s="1">
        <v>786.75999999999988</v>
      </c>
      <c r="P34" s="1"/>
      <c r="Q34" s="1"/>
      <c r="R34" s="1">
        <v>350</v>
      </c>
      <c r="S34" s="1"/>
      <c r="T34" s="1">
        <f t="shared" si="3"/>
        <v>40.799999999999997</v>
      </c>
      <c r="U34" s="5"/>
      <c r="V34" s="5">
        <f t="shared" si="9"/>
        <v>0</v>
      </c>
      <c r="W34" s="1"/>
      <c r="X34" s="1">
        <f t="shared" si="5"/>
        <v>31.342156862745096</v>
      </c>
      <c r="Y34" s="1">
        <f t="shared" si="6"/>
        <v>31.342156862745096</v>
      </c>
      <c r="Z34" s="1">
        <v>105.6</v>
      </c>
      <c r="AA34" s="1">
        <v>80.8</v>
      </c>
      <c r="AB34" s="1">
        <v>39.799999999999997</v>
      </c>
      <c r="AC34" s="1">
        <v>23.4</v>
      </c>
      <c r="AD34" s="1">
        <v>-0.6</v>
      </c>
      <c r="AE34" s="1">
        <v>43</v>
      </c>
      <c r="AF34" s="1">
        <v>53.6</v>
      </c>
      <c r="AG34" s="1">
        <v>82</v>
      </c>
      <c r="AH34" s="1">
        <v>105.6</v>
      </c>
      <c r="AI34" s="1">
        <v>114.4</v>
      </c>
      <c r="AJ34" s="1"/>
      <c r="AK34" s="1">
        <f t="shared" si="7"/>
        <v>0</v>
      </c>
      <c r="AL34" s="1">
        <f t="shared" si="8"/>
        <v>16.32</v>
      </c>
    </row>
    <row r="35" spans="1:38" x14ac:dyDescent="0.25">
      <c r="A35" s="1" t="s">
        <v>76</v>
      </c>
      <c r="B35" s="1" t="s">
        <v>46</v>
      </c>
      <c r="C35" s="1">
        <v>246</v>
      </c>
      <c r="D35" s="1">
        <v>130</v>
      </c>
      <c r="E35" s="1">
        <v>120</v>
      </c>
      <c r="F35" s="1">
        <v>242</v>
      </c>
      <c r="G35" s="7">
        <v>0.45</v>
      </c>
      <c r="H35" s="1">
        <v>50</v>
      </c>
      <c r="I35" s="1" t="s">
        <v>42</v>
      </c>
      <c r="J35" s="1"/>
      <c r="K35" s="1">
        <v>122</v>
      </c>
      <c r="L35" s="1">
        <f t="shared" si="2"/>
        <v>-2</v>
      </c>
      <c r="M35" s="1"/>
      <c r="N35" s="1"/>
      <c r="O35" s="1">
        <v>238.44000000000011</v>
      </c>
      <c r="P35" s="1"/>
      <c r="Q35" s="1"/>
      <c r="R35" s="1">
        <v>0</v>
      </c>
      <c r="S35" s="1"/>
      <c r="T35" s="1">
        <f t="shared" si="3"/>
        <v>24</v>
      </c>
      <c r="U35" s="5"/>
      <c r="V35" s="5">
        <f t="shared" si="9"/>
        <v>0</v>
      </c>
      <c r="W35" s="1"/>
      <c r="X35" s="1">
        <f t="shared" si="5"/>
        <v>20.018333333333338</v>
      </c>
      <c r="Y35" s="1">
        <f t="shared" si="6"/>
        <v>20.018333333333338</v>
      </c>
      <c r="Z35" s="1">
        <v>29.4</v>
      </c>
      <c r="AA35" s="1">
        <v>42.2</v>
      </c>
      <c r="AB35" s="1">
        <v>38.799999999999997</v>
      </c>
      <c r="AC35" s="1">
        <v>24.4</v>
      </c>
      <c r="AD35" s="1">
        <v>26.6</v>
      </c>
      <c r="AE35" s="1">
        <v>21.8</v>
      </c>
      <c r="AF35" s="1">
        <v>11.8</v>
      </c>
      <c r="AG35" s="1">
        <v>12.6</v>
      </c>
      <c r="AH35" s="1">
        <v>23.8</v>
      </c>
      <c r="AI35" s="1">
        <v>51.6</v>
      </c>
      <c r="AJ35" s="1"/>
      <c r="AK35" s="1">
        <f t="shared" si="7"/>
        <v>0</v>
      </c>
      <c r="AL35" s="1">
        <f t="shared" si="8"/>
        <v>10.8</v>
      </c>
    </row>
    <row r="36" spans="1:38" x14ac:dyDescent="0.25">
      <c r="A36" s="1" t="s">
        <v>77</v>
      </c>
      <c r="B36" s="1" t="s">
        <v>46</v>
      </c>
      <c r="C36" s="1">
        <v>15</v>
      </c>
      <c r="D36" s="1">
        <v>120</v>
      </c>
      <c r="E36" s="1">
        <v>137</v>
      </c>
      <c r="F36" s="1">
        <v>-5</v>
      </c>
      <c r="G36" s="7">
        <v>0.4</v>
      </c>
      <c r="H36" s="1">
        <v>45</v>
      </c>
      <c r="I36" s="9" t="s">
        <v>54</v>
      </c>
      <c r="J36" s="1"/>
      <c r="K36" s="1">
        <v>188</v>
      </c>
      <c r="L36" s="1">
        <f t="shared" si="2"/>
        <v>-51</v>
      </c>
      <c r="M36" s="1"/>
      <c r="N36" s="1"/>
      <c r="O36" s="1">
        <v>425</v>
      </c>
      <c r="P36" s="1"/>
      <c r="Q36" s="1"/>
      <c r="R36" s="1">
        <v>370</v>
      </c>
      <c r="S36" s="1"/>
      <c r="T36" s="1">
        <f t="shared" si="3"/>
        <v>27.4</v>
      </c>
      <c r="U36" s="5"/>
      <c r="V36" s="5">
        <f t="shared" si="9"/>
        <v>0</v>
      </c>
      <c r="W36" s="1"/>
      <c r="X36" s="1">
        <f t="shared" si="5"/>
        <v>28.832116788321169</v>
      </c>
      <c r="Y36" s="1">
        <f t="shared" si="6"/>
        <v>28.832116788321169</v>
      </c>
      <c r="Z36" s="1">
        <v>58.2</v>
      </c>
      <c r="AA36" s="1">
        <v>44.4</v>
      </c>
      <c r="AB36" s="1">
        <v>18</v>
      </c>
      <c r="AC36" s="1">
        <v>19.2</v>
      </c>
      <c r="AD36" s="1">
        <v>18</v>
      </c>
      <c r="AE36" s="1">
        <v>24.6</v>
      </c>
      <c r="AF36" s="1">
        <v>14.2</v>
      </c>
      <c r="AG36" s="1">
        <v>-0.4</v>
      </c>
      <c r="AH36" s="1">
        <v>2.4</v>
      </c>
      <c r="AI36" s="1">
        <v>29</v>
      </c>
      <c r="AJ36" s="1"/>
      <c r="AK36" s="1">
        <f t="shared" si="7"/>
        <v>0</v>
      </c>
      <c r="AL36" s="1">
        <f t="shared" si="8"/>
        <v>10.96</v>
      </c>
    </row>
    <row r="37" spans="1:38" x14ac:dyDescent="0.25">
      <c r="A37" s="1" t="s">
        <v>78</v>
      </c>
      <c r="B37" s="1" t="s">
        <v>46</v>
      </c>
      <c r="C37" s="1"/>
      <c r="D37" s="1">
        <v>30</v>
      </c>
      <c r="E37" s="1">
        <v>15</v>
      </c>
      <c r="F37" s="1">
        <v>14</v>
      </c>
      <c r="G37" s="7">
        <v>0.4</v>
      </c>
      <c r="H37" s="1">
        <v>40</v>
      </c>
      <c r="I37" s="9" t="s">
        <v>54</v>
      </c>
      <c r="J37" s="1"/>
      <c r="K37" s="1">
        <v>15</v>
      </c>
      <c r="L37" s="1">
        <f t="shared" si="2"/>
        <v>0</v>
      </c>
      <c r="M37" s="1"/>
      <c r="N37" s="1"/>
      <c r="O37" s="1">
        <v>34</v>
      </c>
      <c r="P37" s="1"/>
      <c r="Q37" s="1"/>
      <c r="R37" s="1">
        <v>0</v>
      </c>
      <c r="S37" s="1"/>
      <c r="T37" s="1">
        <f t="shared" si="3"/>
        <v>3</v>
      </c>
      <c r="U37" s="5"/>
      <c r="V37" s="5">
        <f t="shared" si="9"/>
        <v>0</v>
      </c>
      <c r="W37" s="1"/>
      <c r="X37" s="1">
        <f t="shared" si="5"/>
        <v>16</v>
      </c>
      <c r="Y37" s="1">
        <f t="shared" si="6"/>
        <v>16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3</v>
      </c>
      <c r="AI37" s="1">
        <v>8.6</v>
      </c>
      <c r="AJ37" s="1"/>
      <c r="AK37" s="1">
        <f t="shared" si="7"/>
        <v>0</v>
      </c>
      <c r="AL37" s="1">
        <f t="shared" si="8"/>
        <v>1.2000000000000002</v>
      </c>
    </row>
    <row r="38" spans="1:38" x14ac:dyDescent="0.25">
      <c r="A38" s="1" t="s">
        <v>79</v>
      </c>
      <c r="B38" s="1" t="s">
        <v>41</v>
      </c>
      <c r="C38" s="1">
        <v>31.815999999999999</v>
      </c>
      <c r="D38" s="1">
        <v>141.37100000000001</v>
      </c>
      <c r="E38" s="1">
        <v>44.792999999999999</v>
      </c>
      <c r="F38" s="1">
        <v>122.551</v>
      </c>
      <c r="G38" s="7">
        <v>1</v>
      </c>
      <c r="H38" s="1">
        <v>45</v>
      </c>
      <c r="I38" s="9" t="s">
        <v>54</v>
      </c>
      <c r="J38" s="1"/>
      <c r="K38" s="1">
        <v>36.9</v>
      </c>
      <c r="L38" s="1">
        <f t="shared" ref="L38:L69" si="10">E38-K38</f>
        <v>7.8930000000000007</v>
      </c>
      <c r="M38" s="1"/>
      <c r="N38" s="1"/>
      <c r="O38" s="1">
        <v>0</v>
      </c>
      <c r="P38" s="1"/>
      <c r="Q38" s="1"/>
      <c r="R38" s="1">
        <v>0</v>
      </c>
      <c r="S38" s="1"/>
      <c r="T38" s="1">
        <f t="shared" ref="T38:T69" si="11">E38/5</f>
        <v>8.9586000000000006</v>
      </c>
      <c r="U38" s="5"/>
      <c r="V38" s="5">
        <f t="shared" si="9"/>
        <v>0</v>
      </c>
      <c r="W38" s="1"/>
      <c r="X38" s="1">
        <f t="shared" ref="X38:X69" si="12">(F38+O38+Q38+R38+S38+V38)/T38</f>
        <v>13.679704418101043</v>
      </c>
      <c r="Y38" s="1">
        <f t="shared" ref="Y38:Y69" si="13">(F38+O38+Q38+R38+S38)/T38</f>
        <v>13.679704418101043</v>
      </c>
      <c r="Z38" s="1">
        <v>5.7417999999999996</v>
      </c>
      <c r="AA38" s="1">
        <v>7.9707999999999997</v>
      </c>
      <c r="AB38" s="1">
        <v>13.5688</v>
      </c>
      <c r="AC38" s="1">
        <v>10.417999999999999</v>
      </c>
      <c r="AD38" s="1">
        <v>9.3553999999999995</v>
      </c>
      <c r="AE38" s="1">
        <v>10.323</v>
      </c>
      <c r="AF38" s="1">
        <v>4.6484000000000014</v>
      </c>
      <c r="AG38" s="1">
        <v>2.3094000000000001</v>
      </c>
      <c r="AH38" s="1">
        <v>9.5343999999999998</v>
      </c>
      <c r="AI38" s="1">
        <v>16.715199999999999</v>
      </c>
      <c r="AJ38" s="1"/>
      <c r="AK38" s="1">
        <f t="shared" ref="AK38:AK69" si="14">ROUND(G38*V38,0)</f>
        <v>0</v>
      </c>
      <c r="AL38" s="1">
        <f t="shared" ref="AL38:AL69" si="15">T38*G38</f>
        <v>8.9586000000000006</v>
      </c>
    </row>
    <row r="39" spans="1:38" x14ac:dyDescent="0.25">
      <c r="A39" s="1" t="s">
        <v>80</v>
      </c>
      <c r="B39" s="1" t="s">
        <v>46</v>
      </c>
      <c r="C39" s="1">
        <v>779</v>
      </c>
      <c r="D39" s="1">
        <v>280</v>
      </c>
      <c r="E39" s="1">
        <v>479</v>
      </c>
      <c r="F39" s="1">
        <v>402</v>
      </c>
      <c r="G39" s="7">
        <v>0.1</v>
      </c>
      <c r="H39" s="1">
        <v>731</v>
      </c>
      <c r="I39" s="1" t="s">
        <v>42</v>
      </c>
      <c r="J39" s="1"/>
      <c r="K39" s="1">
        <v>453</v>
      </c>
      <c r="L39" s="1">
        <f t="shared" si="10"/>
        <v>26</v>
      </c>
      <c r="M39" s="1"/>
      <c r="N39" s="1"/>
      <c r="O39" s="1">
        <v>823.04000000000065</v>
      </c>
      <c r="P39" s="1"/>
      <c r="Q39" s="1"/>
      <c r="R39" s="1">
        <v>0</v>
      </c>
      <c r="S39" s="1"/>
      <c r="T39" s="1">
        <f t="shared" si="11"/>
        <v>95.8</v>
      </c>
      <c r="U39" s="5"/>
      <c r="V39" s="5">
        <f t="shared" si="9"/>
        <v>0</v>
      </c>
      <c r="W39" s="1"/>
      <c r="X39" s="1">
        <f t="shared" si="12"/>
        <v>12.787473903966605</v>
      </c>
      <c r="Y39" s="1">
        <f t="shared" si="13"/>
        <v>12.787473903966605</v>
      </c>
      <c r="Z39" s="1">
        <v>118.6</v>
      </c>
      <c r="AA39" s="1">
        <v>125.2</v>
      </c>
      <c r="AB39" s="1">
        <v>102.8</v>
      </c>
      <c r="AC39" s="1">
        <v>113.8</v>
      </c>
      <c r="AD39" s="1">
        <v>149.4</v>
      </c>
      <c r="AE39" s="1">
        <v>112</v>
      </c>
      <c r="AF39" s="1">
        <v>37</v>
      </c>
      <c r="AG39" s="1">
        <v>22.6</v>
      </c>
      <c r="AH39" s="1">
        <v>58.2</v>
      </c>
      <c r="AI39" s="1">
        <v>88</v>
      </c>
      <c r="AJ39" s="1" t="s">
        <v>81</v>
      </c>
      <c r="AK39" s="1">
        <f t="shared" si="14"/>
        <v>0</v>
      </c>
      <c r="AL39" s="1">
        <f t="shared" si="15"/>
        <v>9.58</v>
      </c>
    </row>
    <row r="40" spans="1:38" x14ac:dyDescent="0.25">
      <c r="A40" s="1" t="s">
        <v>82</v>
      </c>
      <c r="B40" s="1" t="s">
        <v>46</v>
      </c>
      <c r="C40" s="1">
        <v>-2</v>
      </c>
      <c r="D40" s="1"/>
      <c r="E40" s="1">
        <v>-1</v>
      </c>
      <c r="F40" s="1">
        <v>-2</v>
      </c>
      <c r="G40" s="7">
        <v>0.35</v>
      </c>
      <c r="H40" s="1">
        <v>40</v>
      </c>
      <c r="I40" s="9" t="s">
        <v>54</v>
      </c>
      <c r="J40" s="1"/>
      <c r="K40" s="1">
        <v>7</v>
      </c>
      <c r="L40" s="1">
        <f t="shared" si="10"/>
        <v>-8</v>
      </c>
      <c r="M40" s="1"/>
      <c r="N40" s="1"/>
      <c r="O40" s="1">
        <v>170</v>
      </c>
      <c r="P40" s="1">
        <v>-174.28571428571431</v>
      </c>
      <c r="Q40" s="1"/>
      <c r="R40" s="1">
        <v>26</v>
      </c>
      <c r="S40" s="1"/>
      <c r="T40" s="1">
        <f t="shared" si="11"/>
        <v>-0.2</v>
      </c>
      <c r="U40" s="5"/>
      <c r="V40" s="5">
        <f>W40</f>
        <v>200</v>
      </c>
      <c r="W40" s="1">
        <f>VLOOKUP(A40,[1]Sheet!$A:$U,21,0)</f>
        <v>200</v>
      </c>
      <c r="X40" s="1">
        <f t="shared" si="12"/>
        <v>-1970</v>
      </c>
      <c r="Y40" s="1">
        <f t="shared" si="13"/>
        <v>-970</v>
      </c>
      <c r="Z40" s="1">
        <v>4.8</v>
      </c>
      <c r="AA40" s="1">
        <v>9.8000000000000007</v>
      </c>
      <c r="AB40" s="1">
        <v>10.8</v>
      </c>
      <c r="AC40" s="1">
        <v>5.6</v>
      </c>
      <c r="AD40" s="1">
        <v>-3.8</v>
      </c>
      <c r="AE40" s="1">
        <v>-3.6</v>
      </c>
      <c r="AF40" s="1">
        <v>0</v>
      </c>
      <c r="AG40" s="1">
        <v>0</v>
      </c>
      <c r="AH40" s="1">
        <v>-0.2</v>
      </c>
      <c r="AI40" s="1">
        <v>-0.8</v>
      </c>
      <c r="AJ40" s="1"/>
      <c r="AK40" s="1">
        <f t="shared" si="14"/>
        <v>70</v>
      </c>
      <c r="AL40" s="1">
        <f t="shared" si="15"/>
        <v>-6.9999999999999993E-2</v>
      </c>
    </row>
    <row r="41" spans="1:38" x14ac:dyDescent="0.25">
      <c r="A41" s="1" t="s">
        <v>83</v>
      </c>
      <c r="B41" s="1" t="s">
        <v>41</v>
      </c>
      <c r="C41" s="1">
        <v>-1.4119999999999999</v>
      </c>
      <c r="D41" s="1">
        <v>174.25200000000001</v>
      </c>
      <c r="E41" s="1">
        <v>20.052</v>
      </c>
      <c r="F41" s="1">
        <v>138.054</v>
      </c>
      <c r="G41" s="7">
        <v>1</v>
      </c>
      <c r="H41" s="1">
        <v>40</v>
      </c>
      <c r="I41" s="9" t="s">
        <v>54</v>
      </c>
      <c r="J41" s="1"/>
      <c r="K41" s="1">
        <v>29.5</v>
      </c>
      <c r="L41" s="1">
        <f t="shared" si="10"/>
        <v>-9.4480000000000004</v>
      </c>
      <c r="M41" s="1"/>
      <c r="N41" s="1"/>
      <c r="O41" s="1">
        <v>256.42052000000001</v>
      </c>
      <c r="P41" s="1"/>
      <c r="Q41" s="1"/>
      <c r="R41" s="1">
        <v>0</v>
      </c>
      <c r="S41" s="1"/>
      <c r="T41" s="1">
        <f t="shared" si="11"/>
        <v>4.0103999999999997</v>
      </c>
      <c r="U41" s="5"/>
      <c r="V41" s="5">
        <f t="shared" ref="V41:V72" si="16">U41</f>
        <v>0</v>
      </c>
      <c r="W41" s="1"/>
      <c r="X41" s="1">
        <f t="shared" si="12"/>
        <v>98.362886495112704</v>
      </c>
      <c r="Y41" s="1">
        <f t="shared" si="13"/>
        <v>98.362886495112704</v>
      </c>
      <c r="Z41" s="1">
        <v>14.308199999999999</v>
      </c>
      <c r="AA41" s="1">
        <v>28.140599999999999</v>
      </c>
      <c r="AB41" s="1">
        <v>19.882000000000001</v>
      </c>
      <c r="AC41" s="1">
        <v>1.5982000000000001</v>
      </c>
      <c r="AD41" s="1">
        <v>5.7080000000000002</v>
      </c>
      <c r="AE41" s="1">
        <v>8.1778000000000013</v>
      </c>
      <c r="AF41" s="1">
        <v>8.4413999999999998</v>
      </c>
      <c r="AG41" s="1">
        <v>18.788799999999998</v>
      </c>
      <c r="AH41" s="1">
        <v>21.273199999999999</v>
      </c>
      <c r="AI41" s="1">
        <v>22.917999999999999</v>
      </c>
      <c r="AJ41" s="1"/>
      <c r="AK41" s="1">
        <f t="shared" si="14"/>
        <v>0</v>
      </c>
      <c r="AL41" s="1">
        <f t="shared" si="15"/>
        <v>4.0103999999999997</v>
      </c>
    </row>
    <row r="42" spans="1:38" x14ac:dyDescent="0.25">
      <c r="A42" s="1" t="s">
        <v>84</v>
      </c>
      <c r="B42" s="1" t="s">
        <v>46</v>
      </c>
      <c r="C42" s="1">
        <v>114</v>
      </c>
      <c r="D42" s="1">
        <v>168</v>
      </c>
      <c r="E42" s="1">
        <v>103</v>
      </c>
      <c r="F42" s="1">
        <v>159</v>
      </c>
      <c r="G42" s="7">
        <v>0.4</v>
      </c>
      <c r="H42" s="1">
        <v>40</v>
      </c>
      <c r="I42" s="9" t="s">
        <v>54</v>
      </c>
      <c r="J42" s="1"/>
      <c r="K42" s="1">
        <v>109</v>
      </c>
      <c r="L42" s="1">
        <f t="shared" si="10"/>
        <v>-6</v>
      </c>
      <c r="M42" s="1"/>
      <c r="N42" s="1"/>
      <c r="O42" s="1">
        <v>0</v>
      </c>
      <c r="P42" s="1"/>
      <c r="Q42" s="1"/>
      <c r="R42" s="1">
        <v>70</v>
      </c>
      <c r="S42" s="1"/>
      <c r="T42" s="1">
        <f t="shared" si="11"/>
        <v>20.6</v>
      </c>
      <c r="U42" s="5">
        <v>10</v>
      </c>
      <c r="V42" s="5">
        <f t="shared" si="16"/>
        <v>10</v>
      </c>
      <c r="W42" s="1"/>
      <c r="X42" s="1">
        <f t="shared" si="12"/>
        <v>11.601941747572814</v>
      </c>
      <c r="Y42" s="1">
        <f t="shared" si="13"/>
        <v>11.116504854368932</v>
      </c>
      <c r="Z42" s="1">
        <v>18.8</v>
      </c>
      <c r="AA42" s="1">
        <v>8</v>
      </c>
      <c r="AB42" s="1">
        <v>13.8</v>
      </c>
      <c r="AC42" s="1">
        <v>28.2</v>
      </c>
      <c r="AD42" s="1">
        <v>24.6</v>
      </c>
      <c r="AE42" s="1">
        <v>15.2</v>
      </c>
      <c r="AF42" s="1">
        <v>11.6</v>
      </c>
      <c r="AG42" s="1">
        <v>11</v>
      </c>
      <c r="AH42" s="1">
        <v>16.399999999999999</v>
      </c>
      <c r="AI42" s="1">
        <v>26.8</v>
      </c>
      <c r="AJ42" s="1"/>
      <c r="AK42" s="1">
        <f t="shared" si="14"/>
        <v>4</v>
      </c>
      <c r="AL42" s="1">
        <f t="shared" si="15"/>
        <v>8.24</v>
      </c>
    </row>
    <row r="43" spans="1:38" x14ac:dyDescent="0.25">
      <c r="A43" s="1" t="s">
        <v>85</v>
      </c>
      <c r="B43" s="1" t="s">
        <v>46</v>
      </c>
      <c r="C43" s="1">
        <v>96</v>
      </c>
      <c r="D43" s="1">
        <v>144</v>
      </c>
      <c r="E43" s="1">
        <v>108</v>
      </c>
      <c r="F43" s="1">
        <v>100</v>
      </c>
      <c r="G43" s="7">
        <v>0.4</v>
      </c>
      <c r="H43" s="1">
        <v>45</v>
      </c>
      <c r="I43" s="1" t="s">
        <v>42</v>
      </c>
      <c r="J43" s="1"/>
      <c r="K43" s="1">
        <v>108</v>
      </c>
      <c r="L43" s="1">
        <f t="shared" si="10"/>
        <v>0</v>
      </c>
      <c r="M43" s="1"/>
      <c r="N43" s="1"/>
      <c r="O43" s="1">
        <v>0</v>
      </c>
      <c r="P43" s="1"/>
      <c r="Q43" s="1"/>
      <c r="R43" s="1">
        <v>0</v>
      </c>
      <c r="S43" s="1"/>
      <c r="T43" s="1">
        <f t="shared" si="11"/>
        <v>21.6</v>
      </c>
      <c r="U43" s="5">
        <f>11*T43-S43-R43-Q43-O43-F43</f>
        <v>137.60000000000002</v>
      </c>
      <c r="V43" s="5">
        <f t="shared" si="16"/>
        <v>137.60000000000002</v>
      </c>
      <c r="W43" s="1"/>
      <c r="X43" s="1">
        <f t="shared" si="12"/>
        <v>11</v>
      </c>
      <c r="Y43" s="1">
        <f t="shared" si="13"/>
        <v>4.6296296296296298</v>
      </c>
      <c r="Z43" s="1">
        <v>17.399999999999999</v>
      </c>
      <c r="AA43" s="1">
        <v>19</v>
      </c>
      <c r="AB43" s="1">
        <v>32</v>
      </c>
      <c r="AC43" s="1">
        <v>33.4</v>
      </c>
      <c r="AD43" s="1">
        <v>27.6</v>
      </c>
      <c r="AE43" s="1">
        <v>19</v>
      </c>
      <c r="AF43" s="1">
        <v>11.4</v>
      </c>
      <c r="AG43" s="1">
        <v>1.4</v>
      </c>
      <c r="AH43" s="1">
        <v>4.8</v>
      </c>
      <c r="AI43" s="1">
        <v>25</v>
      </c>
      <c r="AJ43" s="1"/>
      <c r="AK43" s="1">
        <f t="shared" si="14"/>
        <v>55</v>
      </c>
      <c r="AL43" s="1">
        <f t="shared" si="15"/>
        <v>8.64</v>
      </c>
    </row>
    <row r="44" spans="1:38" x14ac:dyDescent="0.25">
      <c r="A44" s="1" t="s">
        <v>86</v>
      </c>
      <c r="B44" s="1" t="s">
        <v>41</v>
      </c>
      <c r="C44" s="1">
        <v>-1.425</v>
      </c>
      <c r="D44" s="1">
        <v>43.326999999999998</v>
      </c>
      <c r="E44" s="1">
        <v>40.49</v>
      </c>
      <c r="F44" s="1">
        <v>-1.492</v>
      </c>
      <c r="G44" s="7">
        <v>1</v>
      </c>
      <c r="H44" s="1">
        <v>40</v>
      </c>
      <c r="I44" s="9" t="s">
        <v>54</v>
      </c>
      <c r="J44" s="1"/>
      <c r="K44" s="1">
        <v>55.8</v>
      </c>
      <c r="L44" s="1">
        <f t="shared" si="10"/>
        <v>-15.309999999999995</v>
      </c>
      <c r="M44" s="1"/>
      <c r="N44" s="1"/>
      <c r="O44" s="1">
        <v>136</v>
      </c>
      <c r="P44" s="1"/>
      <c r="Q44" s="1"/>
      <c r="R44" s="1">
        <v>140</v>
      </c>
      <c r="S44" s="1"/>
      <c r="T44" s="1">
        <f t="shared" si="11"/>
        <v>8.0980000000000008</v>
      </c>
      <c r="U44" s="5"/>
      <c r="V44" s="5">
        <f t="shared" si="16"/>
        <v>0</v>
      </c>
      <c r="W44" s="1"/>
      <c r="X44" s="1">
        <f t="shared" si="12"/>
        <v>33.898246480612499</v>
      </c>
      <c r="Y44" s="1">
        <f t="shared" si="13"/>
        <v>33.898246480612499</v>
      </c>
      <c r="Z44" s="1">
        <v>18.626799999999999</v>
      </c>
      <c r="AA44" s="1">
        <v>12.271599999999999</v>
      </c>
      <c r="AB44" s="1">
        <v>3.7730000000000001</v>
      </c>
      <c r="AC44" s="1">
        <v>0.57640000000000002</v>
      </c>
      <c r="AD44" s="1">
        <v>3.3826000000000001</v>
      </c>
      <c r="AE44" s="1">
        <v>8.9486000000000008</v>
      </c>
      <c r="AF44" s="1">
        <v>4.9824000000000002</v>
      </c>
      <c r="AG44" s="1">
        <v>7.7111999999999998</v>
      </c>
      <c r="AH44" s="1">
        <v>16.299800000000001</v>
      </c>
      <c r="AI44" s="1">
        <v>23.334199999999999</v>
      </c>
      <c r="AJ44" s="1"/>
      <c r="AK44" s="1">
        <f t="shared" si="14"/>
        <v>0</v>
      </c>
      <c r="AL44" s="1">
        <f t="shared" si="15"/>
        <v>8.0980000000000008</v>
      </c>
    </row>
    <row r="45" spans="1:38" x14ac:dyDescent="0.25">
      <c r="A45" s="1" t="s">
        <v>87</v>
      </c>
      <c r="B45" s="1" t="s">
        <v>46</v>
      </c>
      <c r="C45" s="1">
        <v>3</v>
      </c>
      <c r="D45" s="1"/>
      <c r="E45" s="1">
        <v>10</v>
      </c>
      <c r="F45" s="1">
        <v>-8</v>
      </c>
      <c r="G45" s="7">
        <v>0.35</v>
      </c>
      <c r="H45" s="1">
        <v>40</v>
      </c>
      <c r="I45" s="9" t="s">
        <v>54</v>
      </c>
      <c r="J45" s="1"/>
      <c r="K45" s="1">
        <v>41</v>
      </c>
      <c r="L45" s="1">
        <f t="shared" si="10"/>
        <v>-31</v>
      </c>
      <c r="M45" s="1"/>
      <c r="N45" s="1"/>
      <c r="O45" s="1">
        <v>255</v>
      </c>
      <c r="P45" s="1"/>
      <c r="Q45" s="1"/>
      <c r="R45" s="1">
        <v>195</v>
      </c>
      <c r="S45" s="1"/>
      <c r="T45" s="1">
        <f t="shared" si="11"/>
        <v>2</v>
      </c>
      <c r="U45" s="5"/>
      <c r="V45" s="5">
        <f t="shared" si="16"/>
        <v>0</v>
      </c>
      <c r="W45" s="1"/>
      <c r="X45" s="1">
        <f t="shared" si="12"/>
        <v>221</v>
      </c>
      <c r="Y45" s="1">
        <f t="shared" si="13"/>
        <v>221</v>
      </c>
      <c r="Z45" s="1">
        <v>32</v>
      </c>
      <c r="AA45" s="1">
        <v>47.4</v>
      </c>
      <c r="AB45" s="1">
        <v>23.6</v>
      </c>
      <c r="AC45" s="1">
        <v>31.8</v>
      </c>
      <c r="AD45" s="1">
        <v>39</v>
      </c>
      <c r="AE45" s="1">
        <v>35.6</v>
      </c>
      <c r="AF45" s="1">
        <v>19.600000000000001</v>
      </c>
      <c r="AG45" s="1">
        <v>0</v>
      </c>
      <c r="AH45" s="1">
        <v>2.2000000000000002</v>
      </c>
      <c r="AI45" s="1">
        <v>53</v>
      </c>
      <c r="AJ45" s="1"/>
      <c r="AK45" s="1">
        <f t="shared" si="14"/>
        <v>0</v>
      </c>
      <c r="AL45" s="1">
        <f t="shared" si="15"/>
        <v>0.7</v>
      </c>
    </row>
    <row r="46" spans="1:38" x14ac:dyDescent="0.25">
      <c r="A46" s="1" t="s">
        <v>88</v>
      </c>
      <c r="B46" s="1" t="s">
        <v>46</v>
      </c>
      <c r="C46" s="1">
        <v>134</v>
      </c>
      <c r="D46" s="1">
        <v>156</v>
      </c>
      <c r="E46" s="1">
        <v>282</v>
      </c>
      <c r="F46" s="1"/>
      <c r="G46" s="7">
        <v>0.4</v>
      </c>
      <c r="H46" s="1">
        <v>40</v>
      </c>
      <c r="I46" s="9" t="s">
        <v>54</v>
      </c>
      <c r="J46" s="1"/>
      <c r="K46" s="1">
        <v>285</v>
      </c>
      <c r="L46" s="1">
        <f t="shared" si="10"/>
        <v>-3</v>
      </c>
      <c r="M46" s="1"/>
      <c r="N46" s="1"/>
      <c r="O46" s="1">
        <v>68</v>
      </c>
      <c r="P46" s="1"/>
      <c r="Q46" s="1"/>
      <c r="R46" s="1">
        <v>520</v>
      </c>
      <c r="S46" s="1"/>
      <c r="T46" s="1">
        <f t="shared" si="11"/>
        <v>56.4</v>
      </c>
      <c r="U46" s="5">
        <f>11*T46-S46-R46-Q46-O46-F46</f>
        <v>32.399999999999977</v>
      </c>
      <c r="V46" s="5">
        <f t="shared" si="16"/>
        <v>32.399999999999977</v>
      </c>
      <c r="W46" s="1"/>
      <c r="X46" s="1">
        <f t="shared" si="12"/>
        <v>11</v>
      </c>
      <c r="Y46" s="1">
        <f t="shared" si="13"/>
        <v>10.425531914893618</v>
      </c>
      <c r="Z46" s="1">
        <v>58.2</v>
      </c>
      <c r="AA46" s="1">
        <v>23.2</v>
      </c>
      <c r="AB46" s="1">
        <v>2.4</v>
      </c>
      <c r="AC46" s="1">
        <v>34</v>
      </c>
      <c r="AD46" s="1">
        <v>51.6</v>
      </c>
      <c r="AE46" s="1">
        <v>49.6</v>
      </c>
      <c r="AF46" s="1">
        <v>31</v>
      </c>
      <c r="AG46" s="1">
        <v>7</v>
      </c>
      <c r="AH46" s="1">
        <v>16.399999999999999</v>
      </c>
      <c r="AI46" s="1">
        <v>57.2</v>
      </c>
      <c r="AJ46" s="1"/>
      <c r="AK46" s="1">
        <f t="shared" si="14"/>
        <v>13</v>
      </c>
      <c r="AL46" s="1">
        <f t="shared" si="15"/>
        <v>22.560000000000002</v>
      </c>
    </row>
    <row r="47" spans="1:38" x14ac:dyDescent="0.25">
      <c r="A47" s="1" t="s">
        <v>89</v>
      </c>
      <c r="B47" s="1" t="s">
        <v>41</v>
      </c>
      <c r="C47" s="1">
        <v>45.951000000000001</v>
      </c>
      <c r="D47" s="1">
        <v>108.265</v>
      </c>
      <c r="E47" s="1">
        <v>20.260000000000002</v>
      </c>
      <c r="F47" s="1">
        <v>125.884</v>
      </c>
      <c r="G47" s="7">
        <v>1</v>
      </c>
      <c r="H47" s="1">
        <v>50</v>
      </c>
      <c r="I47" s="1" t="s">
        <v>42</v>
      </c>
      <c r="J47" s="1"/>
      <c r="K47" s="1">
        <v>18.5</v>
      </c>
      <c r="L47" s="1">
        <f t="shared" si="10"/>
        <v>1.7600000000000016</v>
      </c>
      <c r="M47" s="1"/>
      <c r="N47" s="1"/>
      <c r="O47" s="1">
        <v>4</v>
      </c>
      <c r="P47" s="1"/>
      <c r="Q47" s="1"/>
      <c r="R47" s="1">
        <v>0</v>
      </c>
      <c r="S47" s="1"/>
      <c r="T47" s="1">
        <f t="shared" si="11"/>
        <v>4.0520000000000005</v>
      </c>
      <c r="U47" s="5"/>
      <c r="V47" s="5">
        <f t="shared" si="16"/>
        <v>0</v>
      </c>
      <c r="W47" s="1"/>
      <c r="X47" s="1">
        <f t="shared" si="12"/>
        <v>32.054294175715697</v>
      </c>
      <c r="Y47" s="1">
        <f t="shared" si="13"/>
        <v>32.054294175715697</v>
      </c>
      <c r="Z47" s="1">
        <v>8.6585999999999999</v>
      </c>
      <c r="AA47" s="1">
        <v>12.7052</v>
      </c>
      <c r="AB47" s="1">
        <v>13.9094</v>
      </c>
      <c r="AC47" s="1">
        <v>13.914</v>
      </c>
      <c r="AD47" s="1">
        <v>8.3748000000000005</v>
      </c>
      <c r="AE47" s="1">
        <v>5.9323999999999986</v>
      </c>
      <c r="AF47" s="1">
        <v>6.7408000000000001</v>
      </c>
      <c r="AG47" s="1">
        <v>7.5424000000000007</v>
      </c>
      <c r="AH47" s="1">
        <v>17.248200000000001</v>
      </c>
      <c r="AI47" s="1">
        <v>16.198599999999999</v>
      </c>
      <c r="AJ47" s="15" t="s">
        <v>90</v>
      </c>
      <c r="AK47" s="1">
        <f t="shared" si="14"/>
        <v>0</v>
      </c>
      <c r="AL47" s="1">
        <f t="shared" si="15"/>
        <v>4.0520000000000005</v>
      </c>
    </row>
    <row r="48" spans="1:38" x14ac:dyDescent="0.25">
      <c r="A48" s="1" t="s">
        <v>91</v>
      </c>
      <c r="B48" s="1" t="s">
        <v>41</v>
      </c>
      <c r="C48" s="1">
        <v>116.062</v>
      </c>
      <c r="D48" s="1">
        <v>289.221</v>
      </c>
      <c r="E48" s="1">
        <v>120.48399999999999</v>
      </c>
      <c r="F48" s="1">
        <v>266.46499999999997</v>
      </c>
      <c r="G48" s="7">
        <v>1</v>
      </c>
      <c r="H48" s="1">
        <v>50</v>
      </c>
      <c r="I48" s="1" t="s">
        <v>42</v>
      </c>
      <c r="J48" s="1"/>
      <c r="K48" s="1">
        <v>116.25</v>
      </c>
      <c r="L48" s="1">
        <f t="shared" si="10"/>
        <v>4.2339999999999947</v>
      </c>
      <c r="M48" s="1"/>
      <c r="N48" s="1"/>
      <c r="O48" s="1">
        <v>0</v>
      </c>
      <c r="P48" s="1"/>
      <c r="Q48" s="1"/>
      <c r="R48" s="1">
        <v>0</v>
      </c>
      <c r="S48" s="1"/>
      <c r="T48" s="1">
        <f t="shared" si="11"/>
        <v>24.096799999999998</v>
      </c>
      <c r="U48" s="5"/>
      <c r="V48" s="5">
        <f t="shared" si="16"/>
        <v>0</v>
      </c>
      <c r="W48" s="1"/>
      <c r="X48" s="1">
        <f t="shared" si="12"/>
        <v>11.058107300554431</v>
      </c>
      <c r="Y48" s="1">
        <f t="shared" si="13"/>
        <v>11.058107300554431</v>
      </c>
      <c r="Z48" s="1">
        <v>23.748799999999999</v>
      </c>
      <c r="AA48" s="1">
        <v>26.533999999999999</v>
      </c>
      <c r="AB48" s="1">
        <v>34.277000000000001</v>
      </c>
      <c r="AC48" s="1">
        <v>28.886399999999998</v>
      </c>
      <c r="AD48" s="1">
        <v>31.163599999999999</v>
      </c>
      <c r="AE48" s="1">
        <v>29.2424</v>
      </c>
      <c r="AF48" s="1">
        <v>13.016</v>
      </c>
      <c r="AG48" s="1">
        <v>12.1088</v>
      </c>
      <c r="AH48" s="1">
        <v>26.9346</v>
      </c>
      <c r="AI48" s="1">
        <v>28.4544</v>
      </c>
      <c r="AJ48" s="1" t="s">
        <v>81</v>
      </c>
      <c r="AK48" s="1">
        <f t="shared" si="14"/>
        <v>0</v>
      </c>
      <c r="AL48" s="1">
        <f t="shared" si="15"/>
        <v>24.096799999999998</v>
      </c>
    </row>
    <row r="49" spans="1:38" x14ac:dyDescent="0.25">
      <c r="A49" s="1" t="s">
        <v>92</v>
      </c>
      <c r="B49" s="1" t="s">
        <v>41</v>
      </c>
      <c r="C49" s="1"/>
      <c r="D49" s="1">
        <v>36.198</v>
      </c>
      <c r="E49" s="1"/>
      <c r="F49" s="1">
        <v>6.0949999999999998</v>
      </c>
      <c r="G49" s="7">
        <v>1</v>
      </c>
      <c r="H49" s="1">
        <v>45</v>
      </c>
      <c r="I49" s="9" t="s">
        <v>54</v>
      </c>
      <c r="J49" s="1"/>
      <c r="K49" s="1"/>
      <c r="L49" s="1">
        <f t="shared" si="10"/>
        <v>0</v>
      </c>
      <c r="M49" s="1"/>
      <c r="N49" s="1"/>
      <c r="O49" s="1">
        <v>0</v>
      </c>
      <c r="P49" s="1"/>
      <c r="Q49" s="1"/>
      <c r="R49" s="1">
        <v>0</v>
      </c>
      <c r="S49" s="1"/>
      <c r="T49" s="1">
        <f t="shared" si="11"/>
        <v>0</v>
      </c>
      <c r="U49" s="5">
        <v>4</v>
      </c>
      <c r="V49" s="5">
        <f t="shared" si="16"/>
        <v>4</v>
      </c>
      <c r="W49" s="1"/>
      <c r="X49" s="1" t="e">
        <f t="shared" si="12"/>
        <v>#DIV/0!</v>
      </c>
      <c r="Y49" s="1" t="e">
        <f t="shared" si="13"/>
        <v>#DIV/0!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-0.03</v>
      </c>
      <c r="AJ49" s="1"/>
      <c r="AK49" s="1">
        <f t="shared" si="14"/>
        <v>4</v>
      </c>
      <c r="AL49" s="1">
        <f t="shared" si="15"/>
        <v>0</v>
      </c>
    </row>
    <row r="50" spans="1:38" x14ac:dyDescent="0.25">
      <c r="A50" s="1" t="s">
        <v>93</v>
      </c>
      <c r="B50" s="1" t="s">
        <v>46</v>
      </c>
      <c r="C50" s="1">
        <v>55</v>
      </c>
      <c r="D50" s="1">
        <v>320</v>
      </c>
      <c r="E50" s="1">
        <v>82</v>
      </c>
      <c r="F50" s="1">
        <v>269</v>
      </c>
      <c r="G50" s="7">
        <v>0.45</v>
      </c>
      <c r="H50" s="1">
        <v>50</v>
      </c>
      <c r="I50" s="1" t="s">
        <v>42</v>
      </c>
      <c r="J50" s="1"/>
      <c r="K50" s="1">
        <v>82</v>
      </c>
      <c r="L50" s="1">
        <f t="shared" si="10"/>
        <v>0</v>
      </c>
      <c r="M50" s="1"/>
      <c r="N50" s="1"/>
      <c r="O50" s="1">
        <v>96.64</v>
      </c>
      <c r="P50" s="1"/>
      <c r="Q50" s="1"/>
      <c r="R50" s="1">
        <v>0</v>
      </c>
      <c r="S50" s="1"/>
      <c r="T50" s="1">
        <f t="shared" si="11"/>
        <v>16.399999999999999</v>
      </c>
      <c r="U50" s="5"/>
      <c r="V50" s="5">
        <f t="shared" si="16"/>
        <v>0</v>
      </c>
      <c r="W50" s="1"/>
      <c r="X50" s="1">
        <f t="shared" si="12"/>
        <v>22.295121951219514</v>
      </c>
      <c r="Y50" s="1">
        <f t="shared" si="13"/>
        <v>22.295121951219514</v>
      </c>
      <c r="Z50" s="1">
        <v>16.8</v>
      </c>
      <c r="AA50" s="1">
        <v>30.2</v>
      </c>
      <c r="AB50" s="1">
        <v>32</v>
      </c>
      <c r="AC50" s="1">
        <v>21.6</v>
      </c>
      <c r="AD50" s="1">
        <v>21.4</v>
      </c>
      <c r="AE50" s="1">
        <v>19.399999999999999</v>
      </c>
      <c r="AF50" s="1">
        <v>21</v>
      </c>
      <c r="AG50" s="1">
        <v>22</v>
      </c>
      <c r="AH50" s="1">
        <v>21.8</v>
      </c>
      <c r="AI50" s="1">
        <v>20.2</v>
      </c>
      <c r="AJ50" s="1"/>
      <c r="AK50" s="1">
        <f t="shared" si="14"/>
        <v>0</v>
      </c>
      <c r="AL50" s="1">
        <f t="shared" si="15"/>
        <v>7.38</v>
      </c>
    </row>
    <row r="51" spans="1:38" x14ac:dyDescent="0.25">
      <c r="A51" s="1" t="s">
        <v>94</v>
      </c>
      <c r="B51" s="1" t="s">
        <v>46</v>
      </c>
      <c r="C51" s="1">
        <v>206</v>
      </c>
      <c r="D51" s="1">
        <v>250</v>
      </c>
      <c r="E51" s="1">
        <v>138</v>
      </c>
      <c r="F51" s="1">
        <v>298</v>
      </c>
      <c r="G51" s="7">
        <v>0.45</v>
      </c>
      <c r="H51" s="1">
        <v>50</v>
      </c>
      <c r="I51" s="1" t="s">
        <v>42</v>
      </c>
      <c r="J51" s="1"/>
      <c r="K51" s="1">
        <v>138</v>
      </c>
      <c r="L51" s="1">
        <f t="shared" si="10"/>
        <v>0</v>
      </c>
      <c r="M51" s="1"/>
      <c r="N51" s="1"/>
      <c r="O51" s="1">
        <v>176.76</v>
      </c>
      <c r="P51" s="1"/>
      <c r="Q51" s="1"/>
      <c r="R51" s="1">
        <v>0</v>
      </c>
      <c r="S51" s="1"/>
      <c r="T51" s="1">
        <f t="shared" si="11"/>
        <v>27.6</v>
      </c>
      <c r="U51" s="5"/>
      <c r="V51" s="5">
        <f t="shared" si="16"/>
        <v>0</v>
      </c>
      <c r="W51" s="1"/>
      <c r="X51" s="1">
        <f t="shared" si="12"/>
        <v>17.201449275362318</v>
      </c>
      <c r="Y51" s="1">
        <f t="shared" si="13"/>
        <v>17.201449275362318</v>
      </c>
      <c r="Z51" s="1">
        <v>28</v>
      </c>
      <c r="AA51" s="1">
        <v>43.8</v>
      </c>
      <c r="AB51" s="1">
        <v>41.6</v>
      </c>
      <c r="AC51" s="1">
        <v>24.2</v>
      </c>
      <c r="AD51" s="1">
        <v>21.6</v>
      </c>
      <c r="AE51" s="1">
        <v>16</v>
      </c>
      <c r="AF51" s="1">
        <v>26</v>
      </c>
      <c r="AG51" s="1">
        <v>33</v>
      </c>
      <c r="AH51" s="1">
        <v>31.8</v>
      </c>
      <c r="AI51" s="1">
        <v>48.2</v>
      </c>
      <c r="AJ51" s="1"/>
      <c r="AK51" s="1">
        <f t="shared" si="14"/>
        <v>0</v>
      </c>
      <c r="AL51" s="1">
        <f t="shared" si="15"/>
        <v>12.420000000000002</v>
      </c>
    </row>
    <row r="52" spans="1:38" x14ac:dyDescent="0.25">
      <c r="A52" s="1" t="s">
        <v>95</v>
      </c>
      <c r="B52" s="1" t="s">
        <v>46</v>
      </c>
      <c r="C52" s="1">
        <v>28</v>
      </c>
      <c r="D52" s="1">
        <v>54</v>
      </c>
      <c r="E52" s="1">
        <v>68</v>
      </c>
      <c r="F52" s="1">
        <v>6</v>
      </c>
      <c r="G52" s="7">
        <v>0.4</v>
      </c>
      <c r="H52" s="1">
        <v>40</v>
      </c>
      <c r="I52" s="9" t="s">
        <v>54</v>
      </c>
      <c r="J52" s="1"/>
      <c r="K52" s="1">
        <v>68</v>
      </c>
      <c r="L52" s="1">
        <f t="shared" si="10"/>
        <v>0</v>
      </c>
      <c r="M52" s="1"/>
      <c r="N52" s="1"/>
      <c r="O52" s="1">
        <v>0</v>
      </c>
      <c r="P52" s="1"/>
      <c r="Q52" s="1"/>
      <c r="R52" s="1">
        <v>130</v>
      </c>
      <c r="S52" s="1"/>
      <c r="T52" s="1">
        <f t="shared" si="11"/>
        <v>13.6</v>
      </c>
      <c r="U52" s="5">
        <f>11*T52-S52-R52-Q52-O52-F52</f>
        <v>13.599999999999994</v>
      </c>
      <c r="V52" s="5">
        <f t="shared" si="16"/>
        <v>13.599999999999994</v>
      </c>
      <c r="W52" s="1"/>
      <c r="X52" s="1">
        <f t="shared" si="12"/>
        <v>11</v>
      </c>
      <c r="Y52" s="1">
        <f t="shared" si="13"/>
        <v>10</v>
      </c>
      <c r="Z52" s="1">
        <v>18</v>
      </c>
      <c r="AA52" s="1">
        <v>5.2</v>
      </c>
      <c r="AB52" s="1">
        <v>0.6</v>
      </c>
      <c r="AC52" s="1">
        <v>0.6</v>
      </c>
      <c r="AD52" s="1">
        <v>0</v>
      </c>
      <c r="AE52" s="1">
        <v>0.6</v>
      </c>
      <c r="AF52" s="1">
        <v>0.4</v>
      </c>
      <c r="AG52" s="1">
        <v>0.4</v>
      </c>
      <c r="AH52" s="1">
        <v>5.2</v>
      </c>
      <c r="AI52" s="1">
        <v>32</v>
      </c>
      <c r="AJ52" s="1"/>
      <c r="AK52" s="1">
        <f t="shared" si="14"/>
        <v>5</v>
      </c>
      <c r="AL52" s="1">
        <f t="shared" si="15"/>
        <v>5.44</v>
      </c>
    </row>
    <row r="53" spans="1:38" x14ac:dyDescent="0.25">
      <c r="A53" s="1" t="s">
        <v>96</v>
      </c>
      <c r="B53" s="1" t="s">
        <v>46</v>
      </c>
      <c r="C53" s="1">
        <v>13</v>
      </c>
      <c r="D53" s="1">
        <v>198</v>
      </c>
      <c r="E53" s="1">
        <v>109</v>
      </c>
      <c r="F53" s="1">
        <v>97</v>
      </c>
      <c r="G53" s="7">
        <v>0.4</v>
      </c>
      <c r="H53" s="1">
        <v>40</v>
      </c>
      <c r="I53" s="9" t="s">
        <v>54</v>
      </c>
      <c r="J53" s="1"/>
      <c r="K53" s="1">
        <v>112</v>
      </c>
      <c r="L53" s="1">
        <f t="shared" si="10"/>
        <v>-3</v>
      </c>
      <c r="M53" s="1"/>
      <c r="N53" s="1"/>
      <c r="O53" s="1">
        <v>17</v>
      </c>
      <c r="P53" s="1"/>
      <c r="Q53" s="1"/>
      <c r="R53" s="1">
        <v>178.88</v>
      </c>
      <c r="S53" s="1"/>
      <c r="T53" s="1">
        <f t="shared" si="11"/>
        <v>21.8</v>
      </c>
      <c r="U53" s="5"/>
      <c r="V53" s="5">
        <f t="shared" si="16"/>
        <v>0</v>
      </c>
      <c r="W53" s="1"/>
      <c r="X53" s="1">
        <f t="shared" si="12"/>
        <v>13.4348623853211</v>
      </c>
      <c r="Y53" s="1">
        <f t="shared" si="13"/>
        <v>13.4348623853211</v>
      </c>
      <c r="Z53" s="1">
        <v>21.6</v>
      </c>
      <c r="AA53" s="1">
        <v>10.199999999999999</v>
      </c>
      <c r="AB53" s="1">
        <v>13.4</v>
      </c>
      <c r="AC53" s="1">
        <v>20.6</v>
      </c>
      <c r="AD53" s="1">
        <v>22.6</v>
      </c>
      <c r="AE53" s="1">
        <v>16</v>
      </c>
      <c r="AF53" s="1">
        <v>9.1999999999999993</v>
      </c>
      <c r="AG53" s="1">
        <v>11.2</v>
      </c>
      <c r="AH53" s="1">
        <v>18.600000000000001</v>
      </c>
      <c r="AI53" s="1">
        <v>35.200000000000003</v>
      </c>
      <c r="AJ53" s="1"/>
      <c r="AK53" s="1">
        <f t="shared" si="14"/>
        <v>0</v>
      </c>
      <c r="AL53" s="1">
        <f t="shared" si="15"/>
        <v>8.7200000000000006</v>
      </c>
    </row>
    <row r="54" spans="1:38" x14ac:dyDescent="0.25">
      <c r="A54" s="1" t="s">
        <v>97</v>
      </c>
      <c r="B54" s="1" t="s">
        <v>41</v>
      </c>
      <c r="C54" s="1">
        <v>204.58</v>
      </c>
      <c r="D54" s="1"/>
      <c r="E54" s="1">
        <v>70.97</v>
      </c>
      <c r="F54" s="1">
        <v>118.858</v>
      </c>
      <c r="G54" s="7">
        <v>1</v>
      </c>
      <c r="H54" s="1">
        <v>50</v>
      </c>
      <c r="I54" s="1" t="s">
        <v>42</v>
      </c>
      <c r="J54" s="1"/>
      <c r="K54" s="1">
        <v>64.900000000000006</v>
      </c>
      <c r="L54" s="1">
        <f t="shared" si="10"/>
        <v>6.0699999999999932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1"/>
        <v>14.193999999999999</v>
      </c>
      <c r="U54" s="5">
        <f>11*T54-S54-R54-Q54-O54-F54</f>
        <v>37.275999999999982</v>
      </c>
      <c r="V54" s="5">
        <f t="shared" si="16"/>
        <v>37.275999999999982</v>
      </c>
      <c r="W54" s="1"/>
      <c r="X54" s="1">
        <f t="shared" si="12"/>
        <v>11</v>
      </c>
      <c r="Y54" s="1">
        <f t="shared" si="13"/>
        <v>8.3738199239115119</v>
      </c>
      <c r="Z54" s="1">
        <v>12.063599999999999</v>
      </c>
      <c r="AA54" s="1">
        <v>14.1008</v>
      </c>
      <c r="AB54" s="1">
        <v>15.144</v>
      </c>
      <c r="AC54" s="1">
        <v>11.5428</v>
      </c>
      <c r="AD54" s="1">
        <v>14.5372</v>
      </c>
      <c r="AE54" s="1">
        <v>14.926600000000001</v>
      </c>
      <c r="AF54" s="1">
        <v>10.1182</v>
      </c>
      <c r="AG54" s="1">
        <v>9.234</v>
      </c>
      <c r="AH54" s="1">
        <v>17.479399999999998</v>
      </c>
      <c r="AI54" s="1">
        <v>25.413399999999999</v>
      </c>
      <c r="AJ54" s="1" t="s">
        <v>81</v>
      </c>
      <c r="AK54" s="1">
        <f t="shared" si="14"/>
        <v>37</v>
      </c>
      <c r="AL54" s="1">
        <f t="shared" si="15"/>
        <v>14.193999999999999</v>
      </c>
    </row>
    <row r="55" spans="1:38" x14ac:dyDescent="0.25">
      <c r="A55" s="1" t="s">
        <v>98</v>
      </c>
      <c r="B55" s="1" t="s">
        <v>46</v>
      </c>
      <c r="C55" s="1">
        <v>790</v>
      </c>
      <c r="D55" s="1">
        <v>324</v>
      </c>
      <c r="E55" s="13">
        <f>298+E127</f>
        <v>377</v>
      </c>
      <c r="F55" s="13">
        <f>578+F127</f>
        <v>769</v>
      </c>
      <c r="G55" s="7">
        <v>0.1</v>
      </c>
      <c r="H55" s="1">
        <v>731</v>
      </c>
      <c r="I55" s="1" t="s">
        <v>42</v>
      </c>
      <c r="J55" s="1"/>
      <c r="K55" s="1">
        <v>275</v>
      </c>
      <c r="L55" s="1">
        <f t="shared" si="10"/>
        <v>102</v>
      </c>
      <c r="M55" s="1"/>
      <c r="N55" s="1"/>
      <c r="O55" s="1">
        <v>434.68000000000012</v>
      </c>
      <c r="P55" s="1"/>
      <c r="Q55" s="1"/>
      <c r="R55" s="1">
        <v>0</v>
      </c>
      <c r="S55" s="1"/>
      <c r="T55" s="1">
        <f t="shared" si="11"/>
        <v>75.400000000000006</v>
      </c>
      <c r="U55" s="5"/>
      <c r="V55" s="5">
        <f t="shared" si="16"/>
        <v>0</v>
      </c>
      <c r="W55" s="1"/>
      <c r="X55" s="1">
        <f t="shared" si="12"/>
        <v>15.96392572944297</v>
      </c>
      <c r="Y55" s="1">
        <f t="shared" si="13"/>
        <v>15.96392572944297</v>
      </c>
      <c r="Z55" s="1">
        <v>102</v>
      </c>
      <c r="AA55" s="1">
        <v>110.4</v>
      </c>
      <c r="AB55" s="1">
        <v>101.6</v>
      </c>
      <c r="AC55" s="1">
        <v>110.4</v>
      </c>
      <c r="AD55" s="1">
        <v>119.2</v>
      </c>
      <c r="AE55" s="1">
        <v>95.4</v>
      </c>
      <c r="AF55" s="1">
        <v>58.6</v>
      </c>
      <c r="AG55" s="1">
        <v>45.4</v>
      </c>
      <c r="AH55" s="1">
        <v>50</v>
      </c>
      <c r="AI55" s="1">
        <v>44.8</v>
      </c>
      <c r="AJ55" s="1" t="s">
        <v>81</v>
      </c>
      <c r="AK55" s="1">
        <f t="shared" si="14"/>
        <v>0</v>
      </c>
      <c r="AL55" s="1">
        <f t="shared" si="15"/>
        <v>7.5400000000000009</v>
      </c>
    </row>
    <row r="56" spans="1:38" x14ac:dyDescent="0.25">
      <c r="A56" s="1" t="s">
        <v>99</v>
      </c>
      <c r="B56" s="1" t="s">
        <v>41</v>
      </c>
      <c r="C56" s="1">
        <v>89.926000000000002</v>
      </c>
      <c r="D56" s="1">
        <v>170.964</v>
      </c>
      <c r="E56" s="1">
        <v>102.85899999999999</v>
      </c>
      <c r="F56" s="1">
        <v>138.02500000000001</v>
      </c>
      <c r="G56" s="7">
        <v>1</v>
      </c>
      <c r="H56" s="1">
        <v>50</v>
      </c>
      <c r="I56" s="1" t="s">
        <v>42</v>
      </c>
      <c r="J56" s="1"/>
      <c r="K56" s="1">
        <v>99.6</v>
      </c>
      <c r="L56" s="1">
        <f t="shared" si="10"/>
        <v>3.2590000000000003</v>
      </c>
      <c r="M56" s="1"/>
      <c r="N56" s="1"/>
      <c r="O56" s="1">
        <v>17.09160000000006</v>
      </c>
      <c r="P56" s="1"/>
      <c r="Q56" s="1"/>
      <c r="R56" s="1">
        <v>82.069568000000018</v>
      </c>
      <c r="S56" s="1"/>
      <c r="T56" s="1">
        <f t="shared" si="11"/>
        <v>20.5718</v>
      </c>
      <c r="U56" s="5"/>
      <c r="V56" s="5">
        <f t="shared" si="16"/>
        <v>0</v>
      </c>
      <c r="W56" s="1"/>
      <c r="X56" s="1">
        <f t="shared" si="12"/>
        <v>11.529674991979315</v>
      </c>
      <c r="Y56" s="1">
        <f t="shared" si="13"/>
        <v>11.529674991979315</v>
      </c>
      <c r="Z56" s="1">
        <v>20.8672</v>
      </c>
      <c r="AA56" s="1">
        <v>22.484000000000002</v>
      </c>
      <c r="AB56" s="1">
        <v>23.589200000000002</v>
      </c>
      <c r="AC56" s="1">
        <v>20.336200000000002</v>
      </c>
      <c r="AD56" s="1">
        <v>22.462199999999999</v>
      </c>
      <c r="AE56" s="1">
        <v>19.364799999999999</v>
      </c>
      <c r="AF56" s="1">
        <v>7.6135999999999999</v>
      </c>
      <c r="AG56" s="1">
        <v>7.0691999999999986</v>
      </c>
      <c r="AH56" s="1">
        <v>16.045000000000002</v>
      </c>
      <c r="AI56" s="1">
        <v>15.5054</v>
      </c>
      <c r="AJ56" s="1" t="s">
        <v>81</v>
      </c>
      <c r="AK56" s="1">
        <f t="shared" si="14"/>
        <v>0</v>
      </c>
      <c r="AL56" s="1">
        <f t="shared" si="15"/>
        <v>20.5718</v>
      </c>
    </row>
    <row r="57" spans="1:38" x14ac:dyDescent="0.25">
      <c r="A57" s="1" t="s">
        <v>100</v>
      </c>
      <c r="B57" s="1" t="s">
        <v>41</v>
      </c>
      <c r="C57" s="1">
        <v>8.4939999999999998</v>
      </c>
      <c r="D57" s="1">
        <v>92.254000000000005</v>
      </c>
      <c r="E57" s="1">
        <v>9.6140000000000008</v>
      </c>
      <c r="F57" s="1">
        <v>85.754000000000005</v>
      </c>
      <c r="G57" s="7">
        <v>1</v>
      </c>
      <c r="H57" s="1">
        <v>55</v>
      </c>
      <c r="I57" s="1" t="s">
        <v>42</v>
      </c>
      <c r="J57" s="1"/>
      <c r="K57" s="1">
        <v>10.6</v>
      </c>
      <c r="L57" s="1">
        <f t="shared" si="10"/>
        <v>-0.98599999999999888</v>
      </c>
      <c r="M57" s="1"/>
      <c r="N57" s="1"/>
      <c r="O57" s="1">
        <v>36.572200000000016</v>
      </c>
      <c r="P57" s="1"/>
      <c r="Q57" s="1"/>
      <c r="R57" s="1">
        <v>0</v>
      </c>
      <c r="S57" s="1"/>
      <c r="T57" s="1">
        <f t="shared" si="11"/>
        <v>1.9228000000000001</v>
      </c>
      <c r="U57" s="5"/>
      <c r="V57" s="5">
        <f t="shared" si="16"/>
        <v>0</v>
      </c>
      <c r="W57" s="1"/>
      <c r="X57" s="1">
        <f t="shared" si="12"/>
        <v>63.618785105055139</v>
      </c>
      <c r="Y57" s="1">
        <f t="shared" si="13"/>
        <v>63.618785105055139</v>
      </c>
      <c r="Z57" s="1">
        <v>7.3528000000000002</v>
      </c>
      <c r="AA57" s="1">
        <v>10.632199999999999</v>
      </c>
      <c r="AB57" s="1">
        <v>8.7439999999999998</v>
      </c>
      <c r="AC57" s="1">
        <v>8.1340000000000003</v>
      </c>
      <c r="AD57" s="1">
        <v>6.6686000000000014</v>
      </c>
      <c r="AE57" s="1">
        <v>3.7136</v>
      </c>
      <c r="AF57" s="1">
        <v>4.3811999999999998</v>
      </c>
      <c r="AG57" s="1">
        <v>5.7595999999999998</v>
      </c>
      <c r="AH57" s="1">
        <v>8.5346000000000011</v>
      </c>
      <c r="AI57" s="1">
        <v>7.9825999999999997</v>
      </c>
      <c r="AJ57" s="1"/>
      <c r="AK57" s="1">
        <f t="shared" si="14"/>
        <v>0</v>
      </c>
      <c r="AL57" s="1">
        <f t="shared" si="15"/>
        <v>1.9228000000000001</v>
      </c>
    </row>
    <row r="58" spans="1:38" x14ac:dyDescent="0.25">
      <c r="A58" s="1" t="s">
        <v>101</v>
      </c>
      <c r="B58" s="1" t="s">
        <v>46</v>
      </c>
      <c r="C58" s="1">
        <v>628</v>
      </c>
      <c r="D58" s="1">
        <v>300</v>
      </c>
      <c r="E58" s="1">
        <v>290</v>
      </c>
      <c r="F58" s="1">
        <v>601</v>
      </c>
      <c r="G58" s="7">
        <v>0.1</v>
      </c>
      <c r="H58" s="1">
        <v>731</v>
      </c>
      <c r="I58" s="1" t="s">
        <v>42</v>
      </c>
      <c r="J58" s="1"/>
      <c r="K58" s="1">
        <v>269</v>
      </c>
      <c r="L58" s="1">
        <f t="shared" si="10"/>
        <v>21</v>
      </c>
      <c r="M58" s="1"/>
      <c r="N58" s="1"/>
      <c r="O58" s="1">
        <v>248.96</v>
      </c>
      <c r="P58" s="1"/>
      <c r="Q58" s="1"/>
      <c r="R58" s="1">
        <v>0</v>
      </c>
      <c r="S58" s="1"/>
      <c r="T58" s="1">
        <f t="shared" si="11"/>
        <v>58</v>
      </c>
      <c r="U58" s="5"/>
      <c r="V58" s="5">
        <f t="shared" si="16"/>
        <v>0</v>
      </c>
      <c r="W58" s="1"/>
      <c r="X58" s="1">
        <f t="shared" si="12"/>
        <v>14.65448275862069</v>
      </c>
      <c r="Y58" s="1">
        <f t="shared" si="13"/>
        <v>14.65448275862069</v>
      </c>
      <c r="Z58" s="1">
        <v>67.400000000000006</v>
      </c>
      <c r="AA58" s="1">
        <v>77.8</v>
      </c>
      <c r="AB58" s="1">
        <v>72.400000000000006</v>
      </c>
      <c r="AC58" s="1">
        <v>69.2</v>
      </c>
      <c r="AD58" s="1">
        <v>86.8</v>
      </c>
      <c r="AE58" s="1">
        <v>72.8</v>
      </c>
      <c r="AF58" s="1">
        <v>27.2</v>
      </c>
      <c r="AG58" s="1">
        <v>7</v>
      </c>
      <c r="AH58" s="1">
        <v>29</v>
      </c>
      <c r="AI58" s="1">
        <v>73.2</v>
      </c>
      <c r="AJ58" s="1" t="s">
        <v>81</v>
      </c>
      <c r="AK58" s="1">
        <f t="shared" si="14"/>
        <v>0</v>
      </c>
      <c r="AL58" s="1">
        <f t="shared" si="15"/>
        <v>5.8000000000000007</v>
      </c>
    </row>
    <row r="59" spans="1:38" x14ac:dyDescent="0.25">
      <c r="A59" s="1" t="s">
        <v>102</v>
      </c>
      <c r="B59" s="1" t="s">
        <v>46</v>
      </c>
      <c r="C59" s="1">
        <v>30</v>
      </c>
      <c r="D59" s="1">
        <v>30</v>
      </c>
      <c r="E59" s="1">
        <v>18</v>
      </c>
      <c r="F59" s="1">
        <v>42</v>
      </c>
      <c r="G59" s="7">
        <v>0.4</v>
      </c>
      <c r="H59" s="1">
        <v>50</v>
      </c>
      <c r="I59" s="1" t="s">
        <v>42</v>
      </c>
      <c r="J59" s="1"/>
      <c r="K59" s="1">
        <v>18</v>
      </c>
      <c r="L59" s="1">
        <f t="shared" si="10"/>
        <v>0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1"/>
        <v>3.6</v>
      </c>
      <c r="U59" s="5"/>
      <c r="V59" s="5">
        <f t="shared" si="16"/>
        <v>0</v>
      </c>
      <c r="W59" s="1"/>
      <c r="X59" s="1">
        <f t="shared" si="12"/>
        <v>11.666666666666666</v>
      </c>
      <c r="Y59" s="1">
        <f t="shared" si="13"/>
        <v>11.666666666666666</v>
      </c>
      <c r="Z59" s="1">
        <v>2.4</v>
      </c>
      <c r="AA59" s="1">
        <v>2.6</v>
      </c>
      <c r="AB59" s="1">
        <v>4.5999999999999996</v>
      </c>
      <c r="AC59" s="1">
        <v>6</v>
      </c>
      <c r="AD59" s="1">
        <v>7.6</v>
      </c>
      <c r="AE59" s="1">
        <v>7</v>
      </c>
      <c r="AF59" s="1">
        <v>4.4000000000000004</v>
      </c>
      <c r="AG59" s="1">
        <v>3.6</v>
      </c>
      <c r="AH59" s="1">
        <v>7.6</v>
      </c>
      <c r="AI59" s="1">
        <v>8.8000000000000007</v>
      </c>
      <c r="AJ59" s="1"/>
      <c r="AK59" s="1">
        <f t="shared" si="14"/>
        <v>0</v>
      </c>
      <c r="AL59" s="1">
        <f t="shared" si="15"/>
        <v>1.4400000000000002</v>
      </c>
    </row>
    <row r="60" spans="1:38" x14ac:dyDescent="0.25">
      <c r="A60" s="1" t="s">
        <v>103</v>
      </c>
      <c r="B60" s="1" t="s">
        <v>41</v>
      </c>
      <c r="C60" s="1">
        <v>116.39</v>
      </c>
      <c r="D60" s="1">
        <v>132.98699999999999</v>
      </c>
      <c r="E60" s="1">
        <v>126.96</v>
      </c>
      <c r="F60" s="1">
        <v>108.15600000000001</v>
      </c>
      <c r="G60" s="7">
        <v>1</v>
      </c>
      <c r="H60" s="1">
        <v>40</v>
      </c>
      <c r="I60" s="9" t="s">
        <v>54</v>
      </c>
      <c r="J60" s="1"/>
      <c r="K60" s="1">
        <v>124</v>
      </c>
      <c r="L60" s="1">
        <f t="shared" si="10"/>
        <v>2.9599999999999937</v>
      </c>
      <c r="M60" s="1"/>
      <c r="N60" s="1"/>
      <c r="O60" s="1">
        <v>0</v>
      </c>
      <c r="P60" s="1"/>
      <c r="Q60" s="1"/>
      <c r="R60" s="1">
        <v>60.469499999999996</v>
      </c>
      <c r="S60" s="1"/>
      <c r="T60" s="1">
        <f t="shared" si="11"/>
        <v>25.391999999999999</v>
      </c>
      <c r="U60" s="5">
        <f>11*T60-S60-R60-Q60-O60-F60</f>
        <v>110.68650000000002</v>
      </c>
      <c r="V60" s="5">
        <f t="shared" si="16"/>
        <v>110.68650000000002</v>
      </c>
      <c r="W60" s="1"/>
      <c r="X60" s="1">
        <f t="shared" si="12"/>
        <v>11</v>
      </c>
      <c r="Y60" s="1">
        <f t="shared" si="13"/>
        <v>6.6408908317580337</v>
      </c>
      <c r="Z60" s="1">
        <v>18.513999999999999</v>
      </c>
      <c r="AA60" s="1">
        <v>18.356999999999999</v>
      </c>
      <c r="AB60" s="1">
        <v>11.759600000000001</v>
      </c>
      <c r="AC60" s="1">
        <v>9.4784000000000006</v>
      </c>
      <c r="AD60" s="1">
        <v>14.47</v>
      </c>
      <c r="AE60" s="1">
        <v>20.325600000000001</v>
      </c>
      <c r="AF60" s="1">
        <v>13.4848</v>
      </c>
      <c r="AG60" s="1">
        <v>5.4063999999999997</v>
      </c>
      <c r="AH60" s="1">
        <v>11.4124</v>
      </c>
      <c r="AI60" s="1">
        <v>15.1564</v>
      </c>
      <c r="AJ60" s="1"/>
      <c r="AK60" s="1">
        <f t="shared" si="14"/>
        <v>111</v>
      </c>
      <c r="AL60" s="1">
        <f t="shared" si="15"/>
        <v>25.391999999999999</v>
      </c>
    </row>
    <row r="61" spans="1:38" x14ac:dyDescent="0.25">
      <c r="A61" s="1" t="s">
        <v>104</v>
      </c>
      <c r="B61" s="1" t="s">
        <v>41</v>
      </c>
      <c r="C61" s="1">
        <v>281.59899999999999</v>
      </c>
      <c r="D61" s="1"/>
      <c r="E61" s="1">
        <v>166.822</v>
      </c>
      <c r="F61" s="1">
        <v>91.819000000000003</v>
      </c>
      <c r="G61" s="7">
        <v>1</v>
      </c>
      <c r="H61" s="1">
        <v>40</v>
      </c>
      <c r="I61" s="9" t="s">
        <v>54</v>
      </c>
      <c r="J61" s="1"/>
      <c r="K61" s="1">
        <v>158.35</v>
      </c>
      <c r="L61" s="1">
        <f t="shared" si="10"/>
        <v>8.4720000000000084</v>
      </c>
      <c r="M61" s="1"/>
      <c r="N61" s="1"/>
      <c r="O61" s="1">
        <v>34</v>
      </c>
      <c r="P61" s="1"/>
      <c r="Q61" s="1"/>
      <c r="R61" s="1">
        <v>130</v>
      </c>
      <c r="S61" s="1"/>
      <c r="T61" s="1">
        <f t="shared" si="11"/>
        <v>33.364400000000003</v>
      </c>
      <c r="U61" s="5">
        <f>11*T61-S61-R61-Q61-O61-F61</f>
        <v>111.18940000000005</v>
      </c>
      <c r="V61" s="5">
        <f t="shared" si="16"/>
        <v>111.18940000000005</v>
      </c>
      <c r="W61" s="1"/>
      <c r="X61" s="1">
        <f t="shared" si="12"/>
        <v>11</v>
      </c>
      <c r="Y61" s="1">
        <f t="shared" si="13"/>
        <v>7.6674239608684704</v>
      </c>
      <c r="Z61" s="1">
        <v>30.392399999999999</v>
      </c>
      <c r="AA61" s="1">
        <v>17.517199999999999</v>
      </c>
      <c r="AB61" s="1">
        <v>9.0928000000000004</v>
      </c>
      <c r="AC61" s="1">
        <v>26.732800000000001</v>
      </c>
      <c r="AD61" s="1">
        <v>50.743400000000001</v>
      </c>
      <c r="AE61" s="1">
        <v>44.511800000000001</v>
      </c>
      <c r="AF61" s="1">
        <v>13.555400000000001</v>
      </c>
      <c r="AG61" s="1">
        <v>7.0035999999999996</v>
      </c>
      <c r="AH61" s="1">
        <v>20.619199999999999</v>
      </c>
      <c r="AI61" s="1">
        <v>34.844000000000001</v>
      </c>
      <c r="AJ61" s="1"/>
      <c r="AK61" s="1">
        <f t="shared" si="14"/>
        <v>111</v>
      </c>
      <c r="AL61" s="1">
        <f t="shared" si="15"/>
        <v>33.364400000000003</v>
      </c>
    </row>
    <row r="62" spans="1:38" x14ac:dyDescent="0.25">
      <c r="A62" s="1" t="s">
        <v>105</v>
      </c>
      <c r="B62" s="1" t="s">
        <v>46</v>
      </c>
      <c r="C62" s="1">
        <v>296</v>
      </c>
      <c r="D62" s="1">
        <v>552</v>
      </c>
      <c r="E62" s="1">
        <v>254</v>
      </c>
      <c r="F62" s="1">
        <v>502</v>
      </c>
      <c r="G62" s="7">
        <v>0.4</v>
      </c>
      <c r="H62" s="1">
        <v>40</v>
      </c>
      <c r="I62" s="9" t="s">
        <v>54</v>
      </c>
      <c r="J62" s="1"/>
      <c r="K62" s="1">
        <v>590</v>
      </c>
      <c r="L62" s="1">
        <f t="shared" si="10"/>
        <v>-336</v>
      </c>
      <c r="M62" s="1"/>
      <c r="N62" s="1"/>
      <c r="O62" s="1">
        <v>170</v>
      </c>
      <c r="P62" s="1"/>
      <c r="Q62" s="1"/>
      <c r="R62" s="1">
        <v>65</v>
      </c>
      <c r="S62" s="1"/>
      <c r="T62" s="1">
        <f t="shared" si="11"/>
        <v>50.8</v>
      </c>
      <c r="U62" s="5">
        <v>150</v>
      </c>
      <c r="V62" s="5">
        <f t="shared" si="16"/>
        <v>150</v>
      </c>
      <c r="W62" s="1"/>
      <c r="X62" s="1">
        <f t="shared" si="12"/>
        <v>17.460629921259844</v>
      </c>
      <c r="Y62" s="1">
        <f t="shared" si="13"/>
        <v>14.507874015748031</v>
      </c>
      <c r="Z62" s="1">
        <v>50.2</v>
      </c>
      <c r="AA62" s="1">
        <v>31.2</v>
      </c>
      <c r="AB62" s="1">
        <v>50.4</v>
      </c>
      <c r="AC62" s="1">
        <v>19.2</v>
      </c>
      <c r="AD62" s="1">
        <v>0</v>
      </c>
      <c r="AE62" s="1">
        <v>46.2</v>
      </c>
      <c r="AF62" s="1">
        <v>50.4</v>
      </c>
      <c r="AG62" s="1">
        <v>4</v>
      </c>
      <c r="AH62" s="1">
        <v>2.4</v>
      </c>
      <c r="AI62" s="1">
        <v>49</v>
      </c>
      <c r="AJ62" s="1"/>
      <c r="AK62" s="1">
        <f t="shared" si="14"/>
        <v>60</v>
      </c>
      <c r="AL62" s="1">
        <f t="shared" si="15"/>
        <v>20.32</v>
      </c>
    </row>
    <row r="63" spans="1:38" x14ac:dyDescent="0.25">
      <c r="A63" s="1" t="s">
        <v>106</v>
      </c>
      <c r="B63" s="1" t="s">
        <v>46</v>
      </c>
      <c r="C63" s="1">
        <v>455</v>
      </c>
      <c r="D63" s="1">
        <v>174</v>
      </c>
      <c r="E63" s="1">
        <v>367</v>
      </c>
      <c r="F63" s="1">
        <v>196</v>
      </c>
      <c r="G63" s="7">
        <v>0.4</v>
      </c>
      <c r="H63" s="1">
        <v>40</v>
      </c>
      <c r="I63" s="1" t="s">
        <v>42</v>
      </c>
      <c r="J63" s="1"/>
      <c r="K63" s="1">
        <v>374</v>
      </c>
      <c r="L63" s="1">
        <f t="shared" si="10"/>
        <v>-7</v>
      </c>
      <c r="M63" s="1"/>
      <c r="N63" s="1"/>
      <c r="O63" s="1">
        <v>456.44000000000011</v>
      </c>
      <c r="P63" s="1"/>
      <c r="Q63" s="1"/>
      <c r="R63" s="1">
        <v>333.97800000000012</v>
      </c>
      <c r="S63" s="1"/>
      <c r="T63" s="1">
        <f t="shared" si="11"/>
        <v>73.400000000000006</v>
      </c>
      <c r="U63" s="5"/>
      <c r="V63" s="5">
        <f t="shared" si="16"/>
        <v>0</v>
      </c>
      <c r="W63" s="1"/>
      <c r="X63" s="1">
        <f t="shared" si="12"/>
        <v>13.438937329700273</v>
      </c>
      <c r="Y63" s="1">
        <f t="shared" si="13"/>
        <v>13.438937329700273</v>
      </c>
      <c r="Z63" s="1">
        <v>82.2</v>
      </c>
      <c r="AA63" s="1">
        <v>73.2</v>
      </c>
      <c r="AB63" s="1">
        <v>43.6</v>
      </c>
      <c r="AC63" s="1">
        <v>59</v>
      </c>
      <c r="AD63" s="1">
        <v>88</v>
      </c>
      <c r="AE63" s="1">
        <v>78.8</v>
      </c>
      <c r="AF63" s="1">
        <v>41.4</v>
      </c>
      <c r="AG63" s="1">
        <v>17.2</v>
      </c>
      <c r="AH63" s="1">
        <v>65.599999999999994</v>
      </c>
      <c r="AI63" s="1">
        <v>94.4</v>
      </c>
      <c r="AJ63" s="1"/>
      <c r="AK63" s="1">
        <f t="shared" si="14"/>
        <v>0</v>
      </c>
      <c r="AL63" s="1">
        <f t="shared" si="15"/>
        <v>29.360000000000003</v>
      </c>
    </row>
    <row r="64" spans="1:38" x14ac:dyDescent="0.25">
      <c r="A64" s="1" t="s">
        <v>107</v>
      </c>
      <c r="B64" s="1" t="s">
        <v>41</v>
      </c>
      <c r="C64" s="1">
        <v>-8.5999999999999993E-2</v>
      </c>
      <c r="D64" s="1">
        <v>174.02099999999999</v>
      </c>
      <c r="E64" s="1">
        <v>20.847000000000001</v>
      </c>
      <c r="F64" s="1">
        <v>108.696</v>
      </c>
      <c r="G64" s="7">
        <v>1</v>
      </c>
      <c r="H64" s="1">
        <v>40</v>
      </c>
      <c r="I64" s="9" t="s">
        <v>54</v>
      </c>
      <c r="J64" s="1"/>
      <c r="K64" s="1">
        <v>22.5</v>
      </c>
      <c r="L64" s="1">
        <f t="shared" si="10"/>
        <v>-1.6529999999999987</v>
      </c>
      <c r="M64" s="1"/>
      <c r="N64" s="1"/>
      <c r="O64" s="1">
        <v>51</v>
      </c>
      <c r="P64" s="1">
        <v>-54</v>
      </c>
      <c r="Q64" s="1"/>
      <c r="R64" s="1">
        <v>0</v>
      </c>
      <c r="S64" s="1"/>
      <c r="T64" s="1">
        <f t="shared" si="11"/>
        <v>4.1694000000000004</v>
      </c>
      <c r="U64" s="5"/>
      <c r="V64" s="5">
        <f t="shared" si="16"/>
        <v>0</v>
      </c>
      <c r="W64" s="1"/>
      <c r="X64" s="1">
        <f t="shared" si="12"/>
        <v>38.301913944452437</v>
      </c>
      <c r="Y64" s="1">
        <f t="shared" si="13"/>
        <v>38.301913944452437</v>
      </c>
      <c r="Z64" s="1">
        <v>-0.17899999999999999</v>
      </c>
      <c r="AA64" s="1">
        <v>9.9154</v>
      </c>
      <c r="AB64" s="1">
        <v>12.6272</v>
      </c>
      <c r="AC64" s="1">
        <v>2.1669999999999998</v>
      </c>
      <c r="AD64" s="1">
        <v>9.2682000000000002</v>
      </c>
      <c r="AE64" s="1">
        <v>13.442399999999999</v>
      </c>
      <c r="AF64" s="1">
        <v>3.0853999999999999</v>
      </c>
      <c r="AG64" s="1">
        <v>12.965400000000001</v>
      </c>
      <c r="AH64" s="1">
        <v>26.226199999999999</v>
      </c>
      <c r="AI64" s="1">
        <v>32.113799999999998</v>
      </c>
      <c r="AJ64" s="1"/>
      <c r="AK64" s="1">
        <f t="shared" si="14"/>
        <v>0</v>
      </c>
      <c r="AL64" s="1">
        <f t="shared" si="15"/>
        <v>4.1694000000000004</v>
      </c>
    </row>
    <row r="65" spans="1:38" x14ac:dyDescent="0.25">
      <c r="A65" s="1" t="s">
        <v>108</v>
      </c>
      <c r="B65" s="1" t="s">
        <v>41</v>
      </c>
      <c r="C65" s="1"/>
      <c r="D65" s="1">
        <v>102.248</v>
      </c>
      <c r="E65" s="1">
        <v>29.613</v>
      </c>
      <c r="F65" s="1">
        <v>25.164000000000001</v>
      </c>
      <c r="G65" s="7">
        <v>1</v>
      </c>
      <c r="H65" s="1">
        <v>40</v>
      </c>
      <c r="I65" s="9" t="s">
        <v>54</v>
      </c>
      <c r="J65" s="1"/>
      <c r="K65" s="1">
        <v>28.1</v>
      </c>
      <c r="L65" s="1">
        <f t="shared" si="10"/>
        <v>1.5129999999999981</v>
      </c>
      <c r="M65" s="1"/>
      <c r="N65" s="1"/>
      <c r="O65" s="1">
        <v>51</v>
      </c>
      <c r="P65" s="1"/>
      <c r="Q65" s="1"/>
      <c r="R65" s="1">
        <v>0</v>
      </c>
      <c r="S65" s="1"/>
      <c r="T65" s="1">
        <f t="shared" si="11"/>
        <v>5.9226000000000001</v>
      </c>
      <c r="U65" s="5"/>
      <c r="V65" s="5">
        <f t="shared" si="16"/>
        <v>0</v>
      </c>
      <c r="W65" s="1"/>
      <c r="X65" s="1">
        <f t="shared" si="12"/>
        <v>12.859892614730017</v>
      </c>
      <c r="Y65" s="1">
        <f t="shared" si="13"/>
        <v>12.859892614730017</v>
      </c>
      <c r="Z65" s="1">
        <v>0</v>
      </c>
      <c r="AA65" s="1">
        <v>-0.1804</v>
      </c>
      <c r="AB65" s="1">
        <v>-0.1804</v>
      </c>
      <c r="AC65" s="1">
        <v>0</v>
      </c>
      <c r="AD65" s="1">
        <v>9.9068000000000005</v>
      </c>
      <c r="AE65" s="1">
        <v>13.321</v>
      </c>
      <c r="AF65" s="1">
        <v>3.2414000000000001</v>
      </c>
      <c r="AG65" s="1">
        <v>-0.35539999999999999</v>
      </c>
      <c r="AH65" s="1">
        <v>0.54620000000000002</v>
      </c>
      <c r="AI65" s="1">
        <v>13.5738</v>
      </c>
      <c r="AJ65" s="1"/>
      <c r="AK65" s="1">
        <f t="shared" si="14"/>
        <v>0</v>
      </c>
      <c r="AL65" s="1">
        <f t="shared" si="15"/>
        <v>5.9226000000000001</v>
      </c>
    </row>
    <row r="66" spans="1:38" x14ac:dyDescent="0.25">
      <c r="A66" s="1" t="s">
        <v>109</v>
      </c>
      <c r="B66" s="1" t="s">
        <v>41</v>
      </c>
      <c r="C66" s="1"/>
      <c r="D66" s="1">
        <v>66.046999999999997</v>
      </c>
      <c r="E66" s="1">
        <v>62.646999999999998</v>
      </c>
      <c r="F66" s="1">
        <v>-5.3999999999999999E-2</v>
      </c>
      <c r="G66" s="7">
        <v>1</v>
      </c>
      <c r="H66" s="1">
        <v>40</v>
      </c>
      <c r="I66" s="9" t="s">
        <v>54</v>
      </c>
      <c r="J66" s="1"/>
      <c r="K66" s="1">
        <v>64.400000000000006</v>
      </c>
      <c r="L66" s="1">
        <f t="shared" si="10"/>
        <v>-1.7530000000000072</v>
      </c>
      <c r="M66" s="1"/>
      <c r="N66" s="1"/>
      <c r="O66" s="1">
        <v>85</v>
      </c>
      <c r="P66" s="1">
        <v>-15</v>
      </c>
      <c r="Q66" s="1"/>
      <c r="R66" s="1">
        <v>101.51804</v>
      </c>
      <c r="S66" s="1"/>
      <c r="T66" s="1">
        <f t="shared" si="11"/>
        <v>12.529399999999999</v>
      </c>
      <c r="U66" s="5"/>
      <c r="V66" s="5">
        <f t="shared" si="16"/>
        <v>0</v>
      </c>
      <c r="W66" s="1"/>
      <c r="X66" s="1">
        <f t="shared" si="12"/>
        <v>14.882120452695263</v>
      </c>
      <c r="Y66" s="1">
        <f t="shared" si="13"/>
        <v>14.882120452695263</v>
      </c>
      <c r="Z66" s="1">
        <v>13.0364</v>
      </c>
      <c r="AA66" s="1">
        <v>-0.42159999999999997</v>
      </c>
      <c r="AB66" s="1">
        <v>-1.1474</v>
      </c>
      <c r="AC66" s="1">
        <v>-1.9256</v>
      </c>
      <c r="AD66" s="1">
        <v>12.2172</v>
      </c>
      <c r="AE66" s="1">
        <v>26.985199999999999</v>
      </c>
      <c r="AF66" s="1">
        <v>13.568199999999999</v>
      </c>
      <c r="AG66" s="1">
        <v>13.93</v>
      </c>
      <c r="AH66" s="1">
        <v>51.272399999999998</v>
      </c>
      <c r="AI66" s="1">
        <v>69.817999999999998</v>
      </c>
      <c r="AJ66" s="1"/>
      <c r="AK66" s="1">
        <f t="shared" si="14"/>
        <v>0</v>
      </c>
      <c r="AL66" s="1">
        <f t="shared" si="15"/>
        <v>12.529399999999999</v>
      </c>
    </row>
    <row r="67" spans="1:38" x14ac:dyDescent="0.25">
      <c r="A67" s="1" t="s">
        <v>110</v>
      </c>
      <c r="B67" s="1" t="s">
        <v>41</v>
      </c>
      <c r="C67" s="1">
        <v>-0.89700000000000002</v>
      </c>
      <c r="D67" s="1"/>
      <c r="E67" s="1">
        <v>-0.92300000000000004</v>
      </c>
      <c r="F67" s="1">
        <v>-0.89700000000000002</v>
      </c>
      <c r="G67" s="7">
        <v>1</v>
      </c>
      <c r="H67" s="1">
        <v>40</v>
      </c>
      <c r="I67" s="9" t="s">
        <v>54</v>
      </c>
      <c r="J67" s="1"/>
      <c r="K67" s="1">
        <v>4.4000000000000004</v>
      </c>
      <c r="L67" s="1">
        <f t="shared" si="10"/>
        <v>-5.3230000000000004</v>
      </c>
      <c r="M67" s="1"/>
      <c r="N67" s="1"/>
      <c r="O67" s="1">
        <v>102</v>
      </c>
      <c r="P67" s="1"/>
      <c r="Q67" s="1"/>
      <c r="R67" s="1">
        <v>26</v>
      </c>
      <c r="S67" s="1"/>
      <c r="T67" s="1">
        <f t="shared" si="11"/>
        <v>-0.18460000000000001</v>
      </c>
      <c r="U67" s="5"/>
      <c r="V67" s="5">
        <f t="shared" si="16"/>
        <v>0</v>
      </c>
      <c r="W67" s="1"/>
      <c r="X67" s="1">
        <f t="shared" si="12"/>
        <v>-688.5319609967496</v>
      </c>
      <c r="Y67" s="1">
        <f t="shared" si="13"/>
        <v>-688.5319609967496</v>
      </c>
      <c r="Z67" s="1">
        <v>-0.18459999999999999</v>
      </c>
      <c r="AA67" s="1">
        <v>9.6046000000000014</v>
      </c>
      <c r="AB67" s="1">
        <v>11.9552</v>
      </c>
      <c r="AC67" s="1">
        <v>1.9862</v>
      </c>
      <c r="AD67" s="1">
        <v>-0.36220000000000002</v>
      </c>
      <c r="AE67" s="1">
        <v>13.0686</v>
      </c>
      <c r="AF67" s="1">
        <v>12.698600000000001</v>
      </c>
      <c r="AG67" s="1">
        <v>15.569800000000001</v>
      </c>
      <c r="AH67" s="1">
        <v>33.192999999999998</v>
      </c>
      <c r="AI67" s="1">
        <v>31.08</v>
      </c>
      <c r="AJ67" s="1"/>
      <c r="AK67" s="1">
        <f t="shared" si="14"/>
        <v>0</v>
      </c>
      <c r="AL67" s="1">
        <f t="shared" si="15"/>
        <v>-0.18460000000000001</v>
      </c>
    </row>
    <row r="68" spans="1:38" x14ac:dyDescent="0.25">
      <c r="A68" s="1" t="s">
        <v>111</v>
      </c>
      <c r="B68" s="1" t="s">
        <v>46</v>
      </c>
      <c r="C68" s="1">
        <v>18</v>
      </c>
      <c r="D68" s="1">
        <v>32</v>
      </c>
      <c r="E68" s="1">
        <v>27</v>
      </c>
      <c r="F68" s="1">
        <v>23</v>
      </c>
      <c r="G68" s="7">
        <v>0.6</v>
      </c>
      <c r="H68" s="1">
        <v>70</v>
      </c>
      <c r="I68" s="1" t="s">
        <v>42</v>
      </c>
      <c r="J68" s="1"/>
      <c r="K68" s="1">
        <v>29</v>
      </c>
      <c r="L68" s="1">
        <f t="shared" si="10"/>
        <v>-2</v>
      </c>
      <c r="M68" s="1"/>
      <c r="N68" s="1"/>
      <c r="O68" s="1">
        <v>0</v>
      </c>
      <c r="P68" s="1"/>
      <c r="Q68" s="1"/>
      <c r="R68" s="1">
        <v>43.787999999999997</v>
      </c>
      <c r="S68" s="1"/>
      <c r="T68" s="1">
        <f t="shared" si="11"/>
        <v>5.4</v>
      </c>
      <c r="U68" s="5"/>
      <c r="V68" s="5">
        <f t="shared" si="16"/>
        <v>0</v>
      </c>
      <c r="W68" s="1"/>
      <c r="X68" s="1">
        <f t="shared" si="12"/>
        <v>12.368148148148146</v>
      </c>
      <c r="Y68" s="1">
        <f t="shared" si="13"/>
        <v>12.368148148148146</v>
      </c>
      <c r="Z68" s="1">
        <v>5.2</v>
      </c>
      <c r="AA68" s="1">
        <v>1.2</v>
      </c>
      <c r="AB68" s="1">
        <v>1.8</v>
      </c>
      <c r="AC68" s="1">
        <v>2.6</v>
      </c>
      <c r="AD68" s="1">
        <v>4.5999999999999996</v>
      </c>
      <c r="AE68" s="1">
        <v>3.8</v>
      </c>
      <c r="AF68" s="1">
        <v>0</v>
      </c>
      <c r="AG68" s="1">
        <v>0</v>
      </c>
      <c r="AH68" s="1">
        <v>2.2000000000000002</v>
      </c>
      <c r="AI68" s="1">
        <v>2.8</v>
      </c>
      <c r="AJ68" s="1"/>
      <c r="AK68" s="1">
        <f t="shared" si="14"/>
        <v>0</v>
      </c>
      <c r="AL68" s="1">
        <f t="shared" si="15"/>
        <v>3.24</v>
      </c>
    </row>
    <row r="69" spans="1:38" x14ac:dyDescent="0.25">
      <c r="A69" s="1" t="s">
        <v>112</v>
      </c>
      <c r="B69" s="1" t="s">
        <v>41</v>
      </c>
      <c r="C69" s="1">
        <v>529.66800000000001</v>
      </c>
      <c r="D69" s="1">
        <v>511.274</v>
      </c>
      <c r="E69" s="1">
        <v>339.233</v>
      </c>
      <c r="F69" s="1">
        <v>633.82600000000002</v>
      </c>
      <c r="G69" s="7">
        <v>1</v>
      </c>
      <c r="H69" s="1">
        <v>30</v>
      </c>
      <c r="I69" s="9" t="s">
        <v>54</v>
      </c>
      <c r="J69" s="1"/>
      <c r="K69" s="1">
        <v>360.02199999999999</v>
      </c>
      <c r="L69" s="1">
        <f t="shared" si="10"/>
        <v>-20.788999999999987</v>
      </c>
      <c r="M69" s="1"/>
      <c r="N69" s="1"/>
      <c r="O69" s="1">
        <v>0</v>
      </c>
      <c r="P69" s="1"/>
      <c r="Q69" s="1"/>
      <c r="R69" s="1">
        <v>65</v>
      </c>
      <c r="S69" s="1"/>
      <c r="T69" s="1">
        <f t="shared" si="11"/>
        <v>67.846599999999995</v>
      </c>
      <c r="U69" s="5">
        <v>70</v>
      </c>
      <c r="V69" s="5">
        <f t="shared" si="16"/>
        <v>70</v>
      </c>
      <c r="W69" s="1"/>
      <c r="X69" s="1">
        <f t="shared" si="12"/>
        <v>11.331827976641424</v>
      </c>
      <c r="Y69" s="1">
        <f t="shared" si="13"/>
        <v>10.300088729575249</v>
      </c>
      <c r="Z69" s="1">
        <v>64.872</v>
      </c>
      <c r="AA69" s="1">
        <v>28.677600000000002</v>
      </c>
      <c r="AB69" s="1">
        <v>16.969799999999999</v>
      </c>
      <c r="AC69" s="1">
        <v>56.541999999999987</v>
      </c>
      <c r="AD69" s="1">
        <v>106.08499999999999</v>
      </c>
      <c r="AE69" s="1">
        <v>87.413399999999996</v>
      </c>
      <c r="AF69" s="1">
        <v>25.441199999999998</v>
      </c>
      <c r="AG69" s="1">
        <v>47.512</v>
      </c>
      <c r="AH69" s="1">
        <v>93.200599999999994</v>
      </c>
      <c r="AI69" s="1">
        <v>88.773200000000003</v>
      </c>
      <c r="AJ69" s="1"/>
      <c r="AK69" s="1">
        <f t="shared" si="14"/>
        <v>70</v>
      </c>
      <c r="AL69" s="1">
        <f t="shared" si="15"/>
        <v>67.846599999999995</v>
      </c>
    </row>
    <row r="70" spans="1:38" x14ac:dyDescent="0.25">
      <c r="A70" s="10" t="s">
        <v>113</v>
      </c>
      <c r="B70" s="10" t="s">
        <v>46</v>
      </c>
      <c r="C70" s="10"/>
      <c r="D70" s="10"/>
      <c r="E70" s="10"/>
      <c r="F70" s="10"/>
      <c r="G70" s="11">
        <v>0</v>
      </c>
      <c r="H70" s="10"/>
      <c r="I70" s="10" t="s">
        <v>42</v>
      </c>
      <c r="J70" s="10"/>
      <c r="K70" s="10"/>
      <c r="L70" s="10">
        <f t="shared" ref="L70:L101" si="17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18">E70/5</f>
        <v>0</v>
      </c>
      <c r="U70" s="12"/>
      <c r="V70" s="5">
        <f t="shared" si="16"/>
        <v>0</v>
      </c>
      <c r="W70" s="1"/>
      <c r="X70" s="1" t="e">
        <f t="shared" ref="X70:X101" si="19">(F70+O70+Q70+R70+S70+V70)/T70</f>
        <v>#DIV/0!</v>
      </c>
      <c r="Y70" s="10" t="e">
        <f t="shared" ref="Y70:Y101" si="20">(F70+O70+Q70+R70+S70)/T70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52</v>
      </c>
      <c r="AK70" s="1">
        <f t="shared" ref="AK70:AK101" si="21">ROUND(G70*V70,0)</f>
        <v>0</v>
      </c>
      <c r="AL70" s="1">
        <f t="shared" ref="AL70:AL101" si="22">T70*G70</f>
        <v>0</v>
      </c>
    </row>
    <row r="71" spans="1:38" x14ac:dyDescent="0.25">
      <c r="A71" s="1" t="s">
        <v>114</v>
      </c>
      <c r="B71" s="1" t="s">
        <v>46</v>
      </c>
      <c r="C71" s="1">
        <v>184</v>
      </c>
      <c r="D71" s="1"/>
      <c r="E71" s="1">
        <v>32</v>
      </c>
      <c r="F71" s="1">
        <v>154</v>
      </c>
      <c r="G71" s="7">
        <v>0.6</v>
      </c>
      <c r="H71" s="1">
        <v>60</v>
      </c>
      <c r="I71" s="1" t="s">
        <v>42</v>
      </c>
      <c r="J71" s="1"/>
      <c r="K71" s="1">
        <v>30</v>
      </c>
      <c r="L71" s="1">
        <f t="shared" si="17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18"/>
        <v>6.4</v>
      </c>
      <c r="U71" s="5"/>
      <c r="V71" s="5">
        <f t="shared" si="16"/>
        <v>0</v>
      </c>
      <c r="W71" s="1"/>
      <c r="X71" s="1">
        <f t="shared" si="19"/>
        <v>24.0625</v>
      </c>
      <c r="Y71" s="1">
        <f t="shared" si="20"/>
        <v>24.0625</v>
      </c>
      <c r="Z71" s="1">
        <v>4.4000000000000004</v>
      </c>
      <c r="AA71" s="1">
        <v>12.2</v>
      </c>
      <c r="AB71" s="1">
        <v>12.4</v>
      </c>
      <c r="AC71" s="1">
        <v>9.4</v>
      </c>
      <c r="AD71" s="1">
        <v>10.4</v>
      </c>
      <c r="AE71" s="1">
        <v>2.4</v>
      </c>
      <c r="AF71" s="1">
        <v>6.8</v>
      </c>
      <c r="AG71" s="1">
        <v>12.6</v>
      </c>
      <c r="AH71" s="1">
        <v>8.1999999999999993</v>
      </c>
      <c r="AI71" s="1">
        <v>22.4</v>
      </c>
      <c r="AJ71" s="15" t="s">
        <v>90</v>
      </c>
      <c r="AK71" s="1">
        <f t="shared" si="21"/>
        <v>0</v>
      </c>
      <c r="AL71" s="1">
        <f t="shared" si="22"/>
        <v>3.84</v>
      </c>
    </row>
    <row r="72" spans="1:38" x14ac:dyDescent="0.25">
      <c r="A72" s="1" t="s">
        <v>115</v>
      </c>
      <c r="B72" s="1" t="s">
        <v>46</v>
      </c>
      <c r="C72" s="1">
        <v>18</v>
      </c>
      <c r="D72" s="1">
        <v>216</v>
      </c>
      <c r="E72" s="1">
        <v>48</v>
      </c>
      <c r="F72" s="1">
        <v>172</v>
      </c>
      <c r="G72" s="7">
        <v>0.4</v>
      </c>
      <c r="H72" s="1">
        <v>90</v>
      </c>
      <c r="I72" s="1" t="s">
        <v>42</v>
      </c>
      <c r="J72" s="1"/>
      <c r="K72" s="1">
        <v>44</v>
      </c>
      <c r="L72" s="1">
        <f t="shared" si="17"/>
        <v>4</v>
      </c>
      <c r="M72" s="1"/>
      <c r="N72" s="1"/>
      <c r="O72" s="1">
        <v>20.599999999999991</v>
      </c>
      <c r="P72" s="1"/>
      <c r="Q72" s="1"/>
      <c r="R72" s="1">
        <v>59.447999999999972</v>
      </c>
      <c r="S72" s="1"/>
      <c r="T72" s="1">
        <f t="shared" si="18"/>
        <v>9.6</v>
      </c>
      <c r="U72" s="5"/>
      <c r="V72" s="5">
        <f t="shared" si="16"/>
        <v>0</v>
      </c>
      <c r="W72" s="1"/>
      <c r="X72" s="1">
        <f t="shared" si="19"/>
        <v>26.254999999999999</v>
      </c>
      <c r="Y72" s="1">
        <f t="shared" si="20"/>
        <v>26.254999999999999</v>
      </c>
      <c r="Z72" s="1">
        <v>19.2</v>
      </c>
      <c r="AA72" s="1">
        <v>22</v>
      </c>
      <c r="AB72" s="1">
        <v>22.8</v>
      </c>
      <c r="AC72" s="1">
        <v>20</v>
      </c>
      <c r="AD72" s="1">
        <v>17.600000000000001</v>
      </c>
      <c r="AE72" s="1">
        <v>21</v>
      </c>
      <c r="AF72" s="1">
        <v>10.4</v>
      </c>
      <c r="AG72" s="1">
        <v>8.1999999999999993</v>
      </c>
      <c r="AH72" s="1">
        <v>16</v>
      </c>
      <c r="AI72" s="1">
        <v>19</v>
      </c>
      <c r="AJ72" s="1"/>
      <c r="AK72" s="1">
        <f t="shared" si="21"/>
        <v>0</v>
      </c>
      <c r="AL72" s="1">
        <f t="shared" si="22"/>
        <v>3.84</v>
      </c>
    </row>
    <row r="73" spans="1:38" x14ac:dyDescent="0.25">
      <c r="A73" s="1" t="s">
        <v>116</v>
      </c>
      <c r="B73" s="1" t="s">
        <v>46</v>
      </c>
      <c r="C73" s="1"/>
      <c r="D73" s="1">
        <v>400</v>
      </c>
      <c r="E73" s="1">
        <v>27</v>
      </c>
      <c r="F73" s="1">
        <v>346</v>
      </c>
      <c r="G73" s="7">
        <v>0.33</v>
      </c>
      <c r="H73" s="1">
        <v>60</v>
      </c>
      <c r="I73" s="9" t="s">
        <v>54</v>
      </c>
      <c r="J73" s="1"/>
      <c r="K73" s="1">
        <v>34</v>
      </c>
      <c r="L73" s="1">
        <f t="shared" si="17"/>
        <v>-7</v>
      </c>
      <c r="M73" s="1"/>
      <c r="N73" s="1"/>
      <c r="O73" s="1">
        <v>109.1400000000001</v>
      </c>
      <c r="P73" s="1"/>
      <c r="Q73" s="1"/>
      <c r="R73" s="1">
        <v>0</v>
      </c>
      <c r="S73" s="1"/>
      <c r="T73" s="1">
        <f t="shared" si="18"/>
        <v>5.4</v>
      </c>
      <c r="U73" s="5"/>
      <c r="V73" s="5">
        <f t="shared" ref="V73:V104" si="23">U73</f>
        <v>0</v>
      </c>
      <c r="W73" s="1"/>
      <c r="X73" s="1">
        <f t="shared" si="19"/>
        <v>84.285185185185199</v>
      </c>
      <c r="Y73" s="1">
        <f t="shared" si="20"/>
        <v>84.285185185185199</v>
      </c>
      <c r="Z73" s="1">
        <v>20.8</v>
      </c>
      <c r="AA73" s="1">
        <v>42.2</v>
      </c>
      <c r="AB73" s="1">
        <v>45</v>
      </c>
      <c r="AC73" s="1">
        <v>41.8</v>
      </c>
      <c r="AD73" s="1">
        <v>36</v>
      </c>
      <c r="AE73" s="1">
        <v>37.6</v>
      </c>
      <c r="AF73" s="1">
        <v>21.4</v>
      </c>
      <c r="AG73" s="1">
        <v>11.8</v>
      </c>
      <c r="AH73" s="1">
        <v>27.4</v>
      </c>
      <c r="AI73" s="1">
        <v>37.6</v>
      </c>
      <c r="AJ73" s="1"/>
      <c r="AK73" s="1">
        <f t="shared" si="21"/>
        <v>0</v>
      </c>
      <c r="AL73" s="1">
        <f t="shared" si="22"/>
        <v>1.7820000000000003</v>
      </c>
    </row>
    <row r="74" spans="1:38" x14ac:dyDescent="0.25">
      <c r="A74" s="1" t="s">
        <v>117</v>
      </c>
      <c r="B74" s="1" t="s">
        <v>46</v>
      </c>
      <c r="C74" s="1">
        <v>70</v>
      </c>
      <c r="D74" s="1">
        <v>200</v>
      </c>
      <c r="E74" s="1">
        <v>90</v>
      </c>
      <c r="F74" s="1">
        <v>166</v>
      </c>
      <c r="G74" s="7">
        <v>0.35</v>
      </c>
      <c r="H74" s="1">
        <v>90</v>
      </c>
      <c r="I74" s="9" t="s">
        <v>54</v>
      </c>
      <c r="J74" s="1"/>
      <c r="K74" s="1">
        <v>86</v>
      </c>
      <c r="L74" s="1">
        <f t="shared" si="17"/>
        <v>4</v>
      </c>
      <c r="M74" s="1"/>
      <c r="N74" s="1"/>
      <c r="O74" s="1">
        <v>34</v>
      </c>
      <c r="P74" s="1"/>
      <c r="Q74" s="1"/>
      <c r="R74" s="1">
        <v>20</v>
      </c>
      <c r="S74" s="1"/>
      <c r="T74" s="1">
        <f t="shared" si="18"/>
        <v>18</v>
      </c>
      <c r="U74" s="5"/>
      <c r="V74" s="5">
        <f t="shared" si="23"/>
        <v>0</v>
      </c>
      <c r="W74" s="1"/>
      <c r="X74" s="1">
        <f t="shared" si="19"/>
        <v>12.222222222222221</v>
      </c>
      <c r="Y74" s="1">
        <f t="shared" si="20"/>
        <v>12.222222222222221</v>
      </c>
      <c r="Z74" s="1">
        <v>19.399999999999999</v>
      </c>
      <c r="AA74" s="1">
        <v>18.600000000000001</v>
      </c>
      <c r="AB74" s="1">
        <v>22.4</v>
      </c>
      <c r="AC74" s="1">
        <v>23.8</v>
      </c>
      <c r="AD74" s="1">
        <v>20.399999999999999</v>
      </c>
      <c r="AE74" s="1">
        <v>25.2</v>
      </c>
      <c r="AF74" s="1">
        <v>11.8</v>
      </c>
      <c r="AG74" s="1">
        <v>10.4</v>
      </c>
      <c r="AH74" s="1">
        <v>13.6</v>
      </c>
      <c r="AI74" s="1">
        <v>7.8</v>
      </c>
      <c r="AJ74" s="1"/>
      <c r="AK74" s="1">
        <f t="shared" si="21"/>
        <v>0</v>
      </c>
      <c r="AL74" s="1">
        <f t="shared" si="22"/>
        <v>6.3</v>
      </c>
    </row>
    <row r="75" spans="1:38" x14ac:dyDescent="0.25">
      <c r="A75" s="1" t="s">
        <v>118</v>
      </c>
      <c r="B75" s="1" t="s">
        <v>46</v>
      </c>
      <c r="C75" s="1">
        <v>465</v>
      </c>
      <c r="D75" s="1"/>
      <c r="E75" s="1">
        <v>79</v>
      </c>
      <c r="F75" s="1">
        <v>373</v>
      </c>
      <c r="G75" s="7">
        <v>0.37</v>
      </c>
      <c r="H75" s="1">
        <v>50</v>
      </c>
      <c r="I75" s="1" t="s">
        <v>42</v>
      </c>
      <c r="J75" s="1"/>
      <c r="K75" s="1">
        <v>81</v>
      </c>
      <c r="L75" s="1">
        <f t="shared" si="17"/>
        <v>-2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18"/>
        <v>15.8</v>
      </c>
      <c r="U75" s="5"/>
      <c r="V75" s="5">
        <f t="shared" si="23"/>
        <v>0</v>
      </c>
      <c r="W75" s="1"/>
      <c r="X75" s="1">
        <f t="shared" si="19"/>
        <v>23.60759493670886</v>
      </c>
      <c r="Y75" s="1">
        <f t="shared" si="20"/>
        <v>23.60759493670886</v>
      </c>
      <c r="Z75" s="1">
        <v>15</v>
      </c>
      <c r="AA75" s="1">
        <v>26</v>
      </c>
      <c r="AB75" s="1">
        <v>27.8</v>
      </c>
      <c r="AC75" s="1">
        <v>18.2</v>
      </c>
      <c r="AD75" s="1">
        <v>13</v>
      </c>
      <c r="AE75" s="1">
        <v>3.6</v>
      </c>
      <c r="AF75" s="1">
        <v>1</v>
      </c>
      <c r="AG75" s="1">
        <v>8.1999999999999993</v>
      </c>
      <c r="AH75" s="1">
        <v>13.4</v>
      </c>
      <c r="AI75" s="1">
        <v>43.8</v>
      </c>
      <c r="AJ75" s="15" t="s">
        <v>90</v>
      </c>
      <c r="AK75" s="1">
        <f t="shared" si="21"/>
        <v>0</v>
      </c>
      <c r="AL75" s="1">
        <f t="shared" si="22"/>
        <v>5.8460000000000001</v>
      </c>
    </row>
    <row r="76" spans="1:38" x14ac:dyDescent="0.25">
      <c r="A76" s="10" t="s">
        <v>119</v>
      </c>
      <c r="B76" s="10" t="s">
        <v>46</v>
      </c>
      <c r="C76" s="10"/>
      <c r="D76" s="10"/>
      <c r="E76" s="10"/>
      <c r="F76" s="10"/>
      <c r="G76" s="11">
        <v>0</v>
      </c>
      <c r="H76" s="10"/>
      <c r="I76" s="10" t="s">
        <v>42</v>
      </c>
      <c r="J76" s="10"/>
      <c r="K76" s="10"/>
      <c r="L76" s="10">
        <f t="shared" si="17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18"/>
        <v>0</v>
      </c>
      <c r="U76" s="12"/>
      <c r="V76" s="5">
        <f t="shared" si="23"/>
        <v>0</v>
      </c>
      <c r="W76" s="1"/>
      <c r="X76" s="1" t="e">
        <f t="shared" si="19"/>
        <v>#DIV/0!</v>
      </c>
      <c r="Y76" s="10" t="e">
        <f t="shared" si="20"/>
        <v>#DIV/0!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52</v>
      </c>
      <c r="AK76" s="1">
        <f t="shared" si="21"/>
        <v>0</v>
      </c>
      <c r="AL76" s="1">
        <f t="shared" si="22"/>
        <v>0</v>
      </c>
    </row>
    <row r="77" spans="1:38" x14ac:dyDescent="0.25">
      <c r="A77" s="1" t="s">
        <v>120</v>
      </c>
      <c r="B77" s="1" t="s">
        <v>46</v>
      </c>
      <c r="C77" s="1">
        <v>196</v>
      </c>
      <c r="D77" s="1">
        <v>90</v>
      </c>
      <c r="E77" s="1">
        <v>76</v>
      </c>
      <c r="F77" s="1">
        <v>195</v>
      </c>
      <c r="G77" s="7">
        <v>0.33</v>
      </c>
      <c r="H77" s="1">
        <v>40</v>
      </c>
      <c r="I77" s="1" t="s">
        <v>42</v>
      </c>
      <c r="J77" s="1"/>
      <c r="K77" s="1">
        <v>77</v>
      </c>
      <c r="L77" s="1">
        <f t="shared" si="17"/>
        <v>-1</v>
      </c>
      <c r="M77" s="1"/>
      <c r="N77" s="1"/>
      <c r="O77" s="1">
        <v>0</v>
      </c>
      <c r="P77" s="1"/>
      <c r="Q77" s="1"/>
      <c r="R77" s="1">
        <v>50.152000000000022</v>
      </c>
      <c r="S77" s="1"/>
      <c r="T77" s="1">
        <f t="shared" si="18"/>
        <v>15.2</v>
      </c>
      <c r="U77" s="5"/>
      <c r="V77" s="5">
        <f t="shared" si="23"/>
        <v>0</v>
      </c>
      <c r="W77" s="1"/>
      <c r="X77" s="1">
        <f t="shared" si="19"/>
        <v>16.12842105263158</v>
      </c>
      <c r="Y77" s="1">
        <f t="shared" si="20"/>
        <v>16.12842105263158</v>
      </c>
      <c r="Z77" s="1">
        <v>20.8</v>
      </c>
      <c r="AA77" s="1">
        <v>14.8</v>
      </c>
      <c r="AB77" s="1">
        <v>0.2</v>
      </c>
      <c r="AC77" s="1">
        <v>11.2</v>
      </c>
      <c r="AD77" s="1">
        <v>29.2</v>
      </c>
      <c r="AE77" s="1">
        <v>26</v>
      </c>
      <c r="AF77" s="1">
        <v>7.6</v>
      </c>
      <c r="AG77" s="1">
        <v>4.5999999999999996</v>
      </c>
      <c r="AH77" s="1">
        <v>8.8000000000000007</v>
      </c>
      <c r="AI77" s="1">
        <v>16.600000000000001</v>
      </c>
      <c r="AJ77" s="1"/>
      <c r="AK77" s="1">
        <f t="shared" si="21"/>
        <v>0</v>
      </c>
      <c r="AL77" s="1">
        <f t="shared" si="22"/>
        <v>5.016</v>
      </c>
    </row>
    <row r="78" spans="1:38" x14ac:dyDescent="0.25">
      <c r="A78" s="1" t="s">
        <v>121</v>
      </c>
      <c r="B78" s="1" t="s">
        <v>46</v>
      </c>
      <c r="C78" s="1"/>
      <c r="D78" s="1">
        <v>132</v>
      </c>
      <c r="E78" s="1">
        <v>1</v>
      </c>
      <c r="F78" s="1">
        <v>128</v>
      </c>
      <c r="G78" s="7">
        <v>0.4</v>
      </c>
      <c r="H78" s="1">
        <v>55</v>
      </c>
      <c r="I78" s="1" t="s">
        <v>42</v>
      </c>
      <c r="J78" s="1"/>
      <c r="K78" s="1">
        <v>4</v>
      </c>
      <c r="L78" s="1">
        <f t="shared" si="17"/>
        <v>-3</v>
      </c>
      <c r="M78" s="1"/>
      <c r="N78" s="1"/>
      <c r="O78" s="1">
        <v>15.400000000000009</v>
      </c>
      <c r="P78" s="1"/>
      <c r="Q78" s="1"/>
      <c r="R78" s="1">
        <v>0</v>
      </c>
      <c r="S78" s="1"/>
      <c r="T78" s="1">
        <f t="shared" si="18"/>
        <v>0.2</v>
      </c>
      <c r="U78" s="5"/>
      <c r="V78" s="5">
        <f t="shared" si="23"/>
        <v>0</v>
      </c>
      <c r="W78" s="1"/>
      <c r="X78" s="1">
        <f t="shared" si="19"/>
        <v>717</v>
      </c>
      <c r="Y78" s="1">
        <f t="shared" si="20"/>
        <v>717</v>
      </c>
      <c r="Z78" s="1">
        <v>0.2</v>
      </c>
      <c r="AA78" s="1">
        <v>12.6</v>
      </c>
      <c r="AB78" s="1">
        <v>15.4</v>
      </c>
      <c r="AC78" s="1">
        <v>12.6</v>
      </c>
      <c r="AD78" s="1">
        <v>11.8</v>
      </c>
      <c r="AE78" s="1">
        <v>3.6</v>
      </c>
      <c r="AF78" s="1">
        <v>18.600000000000001</v>
      </c>
      <c r="AG78" s="1">
        <v>21.2</v>
      </c>
      <c r="AH78" s="1">
        <v>8.8000000000000007</v>
      </c>
      <c r="AI78" s="1">
        <v>14.8</v>
      </c>
      <c r="AJ78" s="1" t="s">
        <v>122</v>
      </c>
      <c r="AK78" s="1">
        <f t="shared" si="21"/>
        <v>0</v>
      </c>
      <c r="AL78" s="1">
        <f t="shared" si="22"/>
        <v>8.0000000000000016E-2</v>
      </c>
    </row>
    <row r="79" spans="1:38" x14ac:dyDescent="0.25">
      <c r="A79" s="1" t="s">
        <v>123</v>
      </c>
      <c r="B79" s="1" t="s">
        <v>46</v>
      </c>
      <c r="C79" s="1"/>
      <c r="D79" s="1">
        <v>36</v>
      </c>
      <c r="E79" s="1"/>
      <c r="F79" s="1">
        <v>27</v>
      </c>
      <c r="G79" s="7">
        <v>0.35</v>
      </c>
      <c r="H79" s="1">
        <v>40</v>
      </c>
      <c r="I79" s="9" t="s">
        <v>54</v>
      </c>
      <c r="J79" s="1"/>
      <c r="K79" s="1">
        <v>3</v>
      </c>
      <c r="L79" s="1">
        <f t="shared" si="17"/>
        <v>-3</v>
      </c>
      <c r="M79" s="1"/>
      <c r="N79" s="1"/>
      <c r="O79" s="1">
        <v>17</v>
      </c>
      <c r="P79" s="1"/>
      <c r="Q79" s="1"/>
      <c r="R79" s="1">
        <v>0</v>
      </c>
      <c r="S79" s="1"/>
      <c r="T79" s="1">
        <f t="shared" si="18"/>
        <v>0</v>
      </c>
      <c r="U79" s="5"/>
      <c r="V79" s="5">
        <f t="shared" si="23"/>
        <v>0</v>
      </c>
      <c r="W79" s="1"/>
      <c r="X79" s="1" t="e">
        <f t="shared" si="19"/>
        <v>#DIV/0!</v>
      </c>
      <c r="Y79" s="1" t="e">
        <f t="shared" si="20"/>
        <v>#DIV/0!</v>
      </c>
      <c r="Z79" s="1">
        <v>0</v>
      </c>
      <c r="AA79" s="1">
        <v>-0.2</v>
      </c>
      <c r="AB79" s="1">
        <v>-0.2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2</v>
      </c>
      <c r="AJ79" s="1"/>
      <c r="AK79" s="1">
        <f t="shared" si="21"/>
        <v>0</v>
      </c>
      <c r="AL79" s="1">
        <f t="shared" si="22"/>
        <v>0</v>
      </c>
    </row>
    <row r="80" spans="1:38" x14ac:dyDescent="0.25">
      <c r="A80" s="1" t="s">
        <v>124</v>
      </c>
      <c r="B80" s="1" t="s">
        <v>46</v>
      </c>
      <c r="C80" s="1">
        <v>26</v>
      </c>
      <c r="D80" s="1">
        <v>12</v>
      </c>
      <c r="E80" s="1">
        <v>18</v>
      </c>
      <c r="F80" s="1">
        <v>18</v>
      </c>
      <c r="G80" s="7">
        <v>0.35</v>
      </c>
      <c r="H80" s="1">
        <v>45</v>
      </c>
      <c r="I80" s="9" t="s">
        <v>54</v>
      </c>
      <c r="J80" s="1"/>
      <c r="K80" s="1">
        <v>18</v>
      </c>
      <c r="L80" s="1">
        <f t="shared" si="17"/>
        <v>0</v>
      </c>
      <c r="M80" s="1"/>
      <c r="N80" s="1"/>
      <c r="O80" s="1">
        <v>84.66</v>
      </c>
      <c r="P80" s="1"/>
      <c r="Q80" s="1"/>
      <c r="R80" s="1">
        <v>13</v>
      </c>
      <c r="S80" s="1"/>
      <c r="T80" s="1">
        <f t="shared" si="18"/>
        <v>3.6</v>
      </c>
      <c r="U80" s="5"/>
      <c r="V80" s="5">
        <f t="shared" si="23"/>
        <v>0</v>
      </c>
      <c r="W80" s="1"/>
      <c r="X80" s="1">
        <f t="shared" si="19"/>
        <v>32.127777777777773</v>
      </c>
      <c r="Y80" s="1">
        <f t="shared" si="20"/>
        <v>32.127777777777773</v>
      </c>
      <c r="Z80" s="1">
        <v>8</v>
      </c>
      <c r="AA80" s="1">
        <v>7.8</v>
      </c>
      <c r="AB80" s="1">
        <v>2.8</v>
      </c>
      <c r="AC80" s="1">
        <v>2.6</v>
      </c>
      <c r="AD80" s="1">
        <v>5.2</v>
      </c>
      <c r="AE80" s="1">
        <v>6.2</v>
      </c>
      <c r="AF80" s="1">
        <v>3.6</v>
      </c>
      <c r="AG80" s="1">
        <v>2</v>
      </c>
      <c r="AH80" s="1">
        <v>8</v>
      </c>
      <c r="AI80" s="1">
        <v>9.4</v>
      </c>
      <c r="AJ80" s="14" t="s">
        <v>49</v>
      </c>
      <c r="AK80" s="1">
        <f t="shared" si="21"/>
        <v>0</v>
      </c>
      <c r="AL80" s="1">
        <f t="shared" si="22"/>
        <v>1.26</v>
      </c>
    </row>
    <row r="81" spans="1:38" x14ac:dyDescent="0.25">
      <c r="A81" s="10" t="s">
        <v>125</v>
      </c>
      <c r="B81" s="10" t="s">
        <v>46</v>
      </c>
      <c r="C81" s="10"/>
      <c r="D81" s="10"/>
      <c r="E81" s="10"/>
      <c r="F81" s="10"/>
      <c r="G81" s="11">
        <v>0</v>
      </c>
      <c r="H81" s="10"/>
      <c r="I81" s="10" t="s">
        <v>42</v>
      </c>
      <c r="J81" s="10"/>
      <c r="K81" s="10"/>
      <c r="L81" s="10">
        <f t="shared" si="17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18"/>
        <v>0</v>
      </c>
      <c r="U81" s="12"/>
      <c r="V81" s="5">
        <f t="shared" si="23"/>
        <v>0</v>
      </c>
      <c r="W81" s="1"/>
      <c r="X81" s="1" t="e">
        <f t="shared" si="19"/>
        <v>#DIV/0!</v>
      </c>
      <c r="Y81" s="10" t="e">
        <f t="shared" si="20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52</v>
      </c>
      <c r="AK81" s="1">
        <f t="shared" si="21"/>
        <v>0</v>
      </c>
      <c r="AL81" s="1">
        <f t="shared" si="22"/>
        <v>0</v>
      </c>
    </row>
    <row r="82" spans="1:38" x14ac:dyDescent="0.25">
      <c r="A82" s="10" t="s">
        <v>126</v>
      </c>
      <c r="B82" s="10" t="s">
        <v>41</v>
      </c>
      <c r="C82" s="10"/>
      <c r="D82" s="10"/>
      <c r="E82" s="10"/>
      <c r="F82" s="10"/>
      <c r="G82" s="11">
        <v>0</v>
      </c>
      <c r="H82" s="10"/>
      <c r="I82" s="10" t="s">
        <v>42</v>
      </c>
      <c r="J82" s="10"/>
      <c r="K82" s="10"/>
      <c r="L82" s="10">
        <f t="shared" si="17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18"/>
        <v>0</v>
      </c>
      <c r="U82" s="12"/>
      <c r="V82" s="5">
        <f t="shared" si="23"/>
        <v>0</v>
      </c>
      <c r="W82" s="1"/>
      <c r="X82" s="1" t="e">
        <f t="shared" si="19"/>
        <v>#DIV/0!</v>
      </c>
      <c r="Y82" s="10" t="e">
        <f t="shared" si="20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52</v>
      </c>
      <c r="AK82" s="1">
        <f t="shared" si="21"/>
        <v>0</v>
      </c>
      <c r="AL82" s="1">
        <f t="shared" si="22"/>
        <v>0</v>
      </c>
    </row>
    <row r="83" spans="1:38" x14ac:dyDescent="0.25">
      <c r="A83" s="1" t="s">
        <v>127</v>
      </c>
      <c r="B83" s="1" t="s">
        <v>41</v>
      </c>
      <c r="C83" s="1">
        <v>20.108000000000001</v>
      </c>
      <c r="D83" s="1">
        <v>46.05</v>
      </c>
      <c r="E83" s="1">
        <v>10.984999999999999</v>
      </c>
      <c r="F83" s="1">
        <v>51.795999999999999</v>
      </c>
      <c r="G83" s="7">
        <v>1</v>
      </c>
      <c r="H83" s="1">
        <v>55</v>
      </c>
      <c r="I83" s="1" t="s">
        <v>42</v>
      </c>
      <c r="J83" s="1"/>
      <c r="K83" s="1">
        <v>11.3</v>
      </c>
      <c r="L83" s="1">
        <f t="shared" si="17"/>
        <v>-0.31500000000000128</v>
      </c>
      <c r="M83" s="1"/>
      <c r="N83" s="1"/>
      <c r="O83" s="1">
        <v>0</v>
      </c>
      <c r="P83" s="1"/>
      <c r="Q83" s="1"/>
      <c r="R83" s="1">
        <v>0</v>
      </c>
      <c r="S83" s="1"/>
      <c r="T83" s="1">
        <f t="shared" si="18"/>
        <v>2.1970000000000001</v>
      </c>
      <c r="U83" s="5"/>
      <c r="V83" s="5">
        <f t="shared" si="23"/>
        <v>0</v>
      </c>
      <c r="W83" s="1"/>
      <c r="X83" s="1">
        <f t="shared" si="19"/>
        <v>23.575785161583976</v>
      </c>
      <c r="Y83" s="1">
        <f t="shared" si="20"/>
        <v>23.575785161583976</v>
      </c>
      <c r="Z83" s="1">
        <v>2.008</v>
      </c>
      <c r="AA83" s="1">
        <v>1.1468</v>
      </c>
      <c r="AB83" s="1">
        <v>1.1457999999999999</v>
      </c>
      <c r="AC83" s="1">
        <v>4.5876000000000001</v>
      </c>
      <c r="AD83" s="1">
        <v>4.5953999999999997</v>
      </c>
      <c r="AE83" s="1">
        <v>4.0216000000000003</v>
      </c>
      <c r="AF83" s="1">
        <v>0.86240000000000006</v>
      </c>
      <c r="AG83" s="1">
        <v>0</v>
      </c>
      <c r="AH83" s="1">
        <v>2.0213999999999999</v>
      </c>
      <c r="AI83" s="1">
        <v>3.1659999999999999</v>
      </c>
      <c r="AJ83" s="15" t="s">
        <v>90</v>
      </c>
      <c r="AK83" s="1">
        <f t="shared" si="21"/>
        <v>0</v>
      </c>
      <c r="AL83" s="1">
        <f t="shared" si="22"/>
        <v>2.1970000000000001</v>
      </c>
    </row>
    <row r="84" spans="1:38" x14ac:dyDescent="0.25">
      <c r="A84" s="1" t="s">
        <v>128</v>
      </c>
      <c r="B84" s="1" t="s">
        <v>41</v>
      </c>
      <c r="C84" s="1">
        <v>251.38800000000001</v>
      </c>
      <c r="D84" s="1">
        <v>66.102000000000004</v>
      </c>
      <c r="E84" s="1">
        <v>262.33499999999998</v>
      </c>
      <c r="F84" s="1">
        <v>-3.1E-2</v>
      </c>
      <c r="G84" s="7">
        <v>1</v>
      </c>
      <c r="H84" s="1">
        <v>60</v>
      </c>
      <c r="I84" s="1" t="s">
        <v>42</v>
      </c>
      <c r="J84" s="1"/>
      <c r="K84" s="1">
        <v>250.4</v>
      </c>
      <c r="L84" s="1">
        <f t="shared" si="17"/>
        <v>11.934999999999974</v>
      </c>
      <c r="M84" s="1"/>
      <c r="N84" s="1"/>
      <c r="O84" s="1">
        <v>445.49540000000002</v>
      </c>
      <c r="P84" s="1"/>
      <c r="Q84" s="1"/>
      <c r="R84" s="1">
        <v>223.86785199999991</v>
      </c>
      <c r="S84" s="1"/>
      <c r="T84" s="1">
        <f t="shared" si="18"/>
        <v>52.466999999999999</v>
      </c>
      <c r="U84" s="5"/>
      <c r="V84" s="5">
        <f t="shared" si="23"/>
        <v>0</v>
      </c>
      <c r="W84" s="1"/>
      <c r="X84" s="1">
        <f t="shared" si="19"/>
        <v>12.757204566680008</v>
      </c>
      <c r="Y84" s="1">
        <f t="shared" si="20"/>
        <v>12.757204566680008</v>
      </c>
      <c r="Z84" s="1">
        <v>56.910799999999988</v>
      </c>
      <c r="AA84" s="1">
        <v>48.402000000000001</v>
      </c>
      <c r="AB84" s="1">
        <v>24.439399999999999</v>
      </c>
      <c r="AC84" s="1">
        <v>27.4984</v>
      </c>
      <c r="AD84" s="1">
        <v>46.795000000000002</v>
      </c>
      <c r="AE84" s="1">
        <v>43.2684</v>
      </c>
      <c r="AF84" s="1">
        <v>40.822800000000001</v>
      </c>
      <c r="AG84" s="1">
        <v>37.770800000000001</v>
      </c>
      <c r="AH84" s="1">
        <v>33.010000000000012</v>
      </c>
      <c r="AI84" s="1">
        <v>40.011200000000002</v>
      </c>
      <c r="AJ84" s="1"/>
      <c r="AK84" s="1">
        <f t="shared" si="21"/>
        <v>0</v>
      </c>
      <c r="AL84" s="1">
        <f t="shared" si="22"/>
        <v>52.466999999999999</v>
      </c>
    </row>
    <row r="85" spans="1:38" x14ac:dyDescent="0.25">
      <c r="A85" s="10" t="s">
        <v>129</v>
      </c>
      <c r="B85" s="10" t="s">
        <v>46</v>
      </c>
      <c r="C85" s="10"/>
      <c r="D85" s="10"/>
      <c r="E85" s="10"/>
      <c r="F85" s="10"/>
      <c r="G85" s="11">
        <v>0</v>
      </c>
      <c r="H85" s="10"/>
      <c r="I85" s="10" t="s">
        <v>42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18"/>
        <v>0</v>
      </c>
      <c r="U85" s="12"/>
      <c r="V85" s="5">
        <f t="shared" si="23"/>
        <v>0</v>
      </c>
      <c r="W85" s="1"/>
      <c r="X85" s="1" t="e">
        <f t="shared" si="19"/>
        <v>#DIV/0!</v>
      </c>
      <c r="Y85" s="10" t="e">
        <f t="shared" si="20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52</v>
      </c>
      <c r="AK85" s="1">
        <f t="shared" si="21"/>
        <v>0</v>
      </c>
      <c r="AL85" s="1">
        <f t="shared" si="22"/>
        <v>0</v>
      </c>
    </row>
    <row r="86" spans="1:38" x14ac:dyDescent="0.25">
      <c r="A86" s="1" t="s">
        <v>130</v>
      </c>
      <c r="B86" s="1" t="s">
        <v>41</v>
      </c>
      <c r="C86" s="1">
        <v>2105.3829999999998</v>
      </c>
      <c r="D86" s="1">
        <v>2108.2759999999998</v>
      </c>
      <c r="E86" s="1">
        <v>1983.807</v>
      </c>
      <c r="F86" s="1">
        <v>1755.855</v>
      </c>
      <c r="G86" s="7">
        <v>1</v>
      </c>
      <c r="H86" s="1">
        <v>60</v>
      </c>
      <c r="I86" s="1" t="s">
        <v>42</v>
      </c>
      <c r="J86" s="1"/>
      <c r="K86" s="1">
        <v>1914.7</v>
      </c>
      <c r="L86" s="1">
        <f t="shared" si="17"/>
        <v>69.106999999999971</v>
      </c>
      <c r="M86" s="1"/>
      <c r="N86" s="1"/>
      <c r="O86" s="1">
        <v>1850</v>
      </c>
      <c r="P86" s="1"/>
      <c r="Q86" s="1"/>
      <c r="R86" s="1">
        <v>1470.560449999999</v>
      </c>
      <c r="S86" s="1"/>
      <c r="T86" s="1">
        <f t="shared" si="18"/>
        <v>396.76139999999998</v>
      </c>
      <c r="U86" s="5"/>
      <c r="V86" s="5">
        <f t="shared" si="23"/>
        <v>0</v>
      </c>
      <c r="W86" s="1"/>
      <c r="X86" s="1">
        <f t="shared" si="19"/>
        <v>12.794630349625741</v>
      </c>
      <c r="Y86" s="1">
        <f t="shared" si="20"/>
        <v>12.794630349625741</v>
      </c>
      <c r="Z86" s="1">
        <v>420.71499999999997</v>
      </c>
      <c r="AA86" s="1">
        <v>308.27960000000002</v>
      </c>
      <c r="AB86" s="1">
        <v>325.30099999999999</v>
      </c>
      <c r="AC86" s="1">
        <v>326.5376</v>
      </c>
      <c r="AD86" s="1">
        <v>312.88479999999998</v>
      </c>
      <c r="AE86" s="1">
        <v>368.565</v>
      </c>
      <c r="AF86" s="1">
        <v>303.18119999999999</v>
      </c>
      <c r="AG86" s="1">
        <v>264.67619999999999</v>
      </c>
      <c r="AH86" s="1">
        <v>304.95080000000002</v>
      </c>
      <c r="AI86" s="1">
        <v>256.99919999999997</v>
      </c>
      <c r="AJ86" s="1"/>
      <c r="AK86" s="1">
        <f t="shared" si="21"/>
        <v>0</v>
      </c>
      <c r="AL86" s="1">
        <f t="shared" si="22"/>
        <v>396.76139999999998</v>
      </c>
    </row>
    <row r="87" spans="1:38" x14ac:dyDescent="0.25">
      <c r="A87" s="1" t="s">
        <v>131</v>
      </c>
      <c r="B87" s="1" t="s">
        <v>41</v>
      </c>
      <c r="C87" s="1">
        <v>2300.2860000000001</v>
      </c>
      <c r="D87" s="1">
        <v>1360.9949999999999</v>
      </c>
      <c r="E87" s="1">
        <v>1839.1479999999999</v>
      </c>
      <c r="F87" s="1">
        <v>1406.1120000000001</v>
      </c>
      <c r="G87" s="7">
        <v>1</v>
      </c>
      <c r="H87" s="1">
        <v>60</v>
      </c>
      <c r="I87" s="1" t="s">
        <v>42</v>
      </c>
      <c r="J87" s="1"/>
      <c r="K87" s="1">
        <v>1832.2</v>
      </c>
      <c r="L87" s="1">
        <f t="shared" si="17"/>
        <v>6.9479999999998654</v>
      </c>
      <c r="M87" s="1"/>
      <c r="N87" s="1"/>
      <c r="O87" s="1">
        <v>723.50464000000011</v>
      </c>
      <c r="P87" s="1"/>
      <c r="Q87" s="1"/>
      <c r="R87" s="1">
        <v>2518.9122660000012</v>
      </c>
      <c r="S87" s="1">
        <v>240</v>
      </c>
      <c r="T87" s="1">
        <f t="shared" si="18"/>
        <v>367.82959999999997</v>
      </c>
      <c r="U87" s="5"/>
      <c r="V87" s="5">
        <f t="shared" si="23"/>
        <v>0</v>
      </c>
      <c r="W87" s="1"/>
      <c r="X87" s="1">
        <f t="shared" si="19"/>
        <v>13.290199880596889</v>
      </c>
      <c r="Y87" s="1">
        <f t="shared" si="20"/>
        <v>13.290199880596889</v>
      </c>
      <c r="Z87" s="1">
        <v>400.35739999999998</v>
      </c>
      <c r="AA87" s="1">
        <v>226.09520000000001</v>
      </c>
      <c r="AB87" s="1">
        <v>213.601</v>
      </c>
      <c r="AC87" s="1">
        <v>424.48739999999998</v>
      </c>
      <c r="AD87" s="1">
        <v>393.61340000000001</v>
      </c>
      <c r="AE87" s="1">
        <v>331.94720000000001</v>
      </c>
      <c r="AF87" s="1">
        <v>257.45100000000002</v>
      </c>
      <c r="AG87" s="1">
        <v>207.36179999999999</v>
      </c>
      <c r="AH87" s="1">
        <v>301.77659999999997</v>
      </c>
      <c r="AI87" s="1">
        <v>293.72859999999997</v>
      </c>
      <c r="AJ87" s="1"/>
      <c r="AK87" s="1">
        <f t="shared" si="21"/>
        <v>0</v>
      </c>
      <c r="AL87" s="1">
        <f t="shared" si="22"/>
        <v>367.82959999999997</v>
      </c>
    </row>
    <row r="88" spans="1:38" x14ac:dyDescent="0.25">
      <c r="A88" s="1" t="s">
        <v>132</v>
      </c>
      <c r="B88" s="1" t="s">
        <v>41</v>
      </c>
      <c r="C88" s="1">
        <v>2352.9369999999999</v>
      </c>
      <c r="D88" s="1">
        <v>3452.3429999999998</v>
      </c>
      <c r="E88" s="1">
        <v>2761.96</v>
      </c>
      <c r="F88" s="1">
        <v>2000.3019999999999</v>
      </c>
      <c r="G88" s="7">
        <v>1</v>
      </c>
      <c r="H88" s="1">
        <v>60</v>
      </c>
      <c r="I88" s="1" t="s">
        <v>42</v>
      </c>
      <c r="J88" s="1"/>
      <c r="K88" s="1">
        <v>2720.3</v>
      </c>
      <c r="L88" s="1">
        <f t="shared" si="17"/>
        <v>41.659999999999854</v>
      </c>
      <c r="M88" s="1"/>
      <c r="N88" s="1"/>
      <c r="O88" s="1">
        <v>1800</v>
      </c>
      <c r="P88" s="1"/>
      <c r="Q88" s="1"/>
      <c r="R88" s="1">
        <v>2829.5209559999998</v>
      </c>
      <c r="S88" s="1"/>
      <c r="T88" s="1">
        <f t="shared" si="18"/>
        <v>552.39200000000005</v>
      </c>
      <c r="U88" s="5"/>
      <c r="V88" s="5">
        <f t="shared" si="23"/>
        <v>0</v>
      </c>
      <c r="W88" s="1"/>
      <c r="X88" s="1">
        <f t="shared" si="19"/>
        <v>12.002025655693782</v>
      </c>
      <c r="Y88" s="1">
        <f t="shared" si="20"/>
        <v>12.002025655693782</v>
      </c>
      <c r="Z88" s="1">
        <v>575.57240000000002</v>
      </c>
      <c r="AA88" s="1">
        <v>383.57479999999998</v>
      </c>
      <c r="AB88" s="1">
        <v>417.62419999999997</v>
      </c>
      <c r="AC88" s="1">
        <v>559.40539999999999</v>
      </c>
      <c r="AD88" s="1">
        <v>523.61300000000006</v>
      </c>
      <c r="AE88" s="1">
        <v>494.76659999999998</v>
      </c>
      <c r="AF88" s="1">
        <v>402.2328</v>
      </c>
      <c r="AG88" s="1">
        <v>356.45299999999997</v>
      </c>
      <c r="AH88" s="1">
        <v>435.99239999999998</v>
      </c>
      <c r="AI88" s="1">
        <v>464.71859999999998</v>
      </c>
      <c r="AJ88" s="1"/>
      <c r="AK88" s="1">
        <f t="shared" si="21"/>
        <v>0</v>
      </c>
      <c r="AL88" s="1">
        <f t="shared" si="22"/>
        <v>552.39200000000005</v>
      </c>
    </row>
    <row r="89" spans="1:38" x14ac:dyDescent="0.25">
      <c r="A89" s="10" t="s">
        <v>133</v>
      </c>
      <c r="B89" s="10" t="s">
        <v>41</v>
      </c>
      <c r="C89" s="10"/>
      <c r="D89" s="10"/>
      <c r="E89" s="10"/>
      <c r="F89" s="10"/>
      <c r="G89" s="11">
        <v>0</v>
      </c>
      <c r="H89" s="10"/>
      <c r="I89" s="10" t="s">
        <v>42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18"/>
        <v>0</v>
      </c>
      <c r="U89" s="12"/>
      <c r="V89" s="5">
        <f t="shared" si="23"/>
        <v>0</v>
      </c>
      <c r="W89" s="1"/>
      <c r="X89" s="1" t="e">
        <f t="shared" si="19"/>
        <v>#DIV/0!</v>
      </c>
      <c r="Y89" s="10" t="e">
        <f t="shared" si="20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52</v>
      </c>
      <c r="AK89" s="1">
        <f t="shared" si="21"/>
        <v>0</v>
      </c>
      <c r="AL89" s="1">
        <f t="shared" si="22"/>
        <v>0</v>
      </c>
    </row>
    <row r="90" spans="1:38" x14ac:dyDescent="0.25">
      <c r="A90" s="1" t="s">
        <v>134</v>
      </c>
      <c r="B90" s="1" t="s">
        <v>46</v>
      </c>
      <c r="C90" s="1"/>
      <c r="D90" s="1"/>
      <c r="E90" s="1"/>
      <c r="F90" s="1"/>
      <c r="G90" s="7">
        <v>0.3</v>
      </c>
      <c r="H90" s="1">
        <v>40</v>
      </c>
      <c r="I90" s="9" t="s">
        <v>54</v>
      </c>
      <c r="J90" s="1"/>
      <c r="K90" s="1">
        <v>4</v>
      </c>
      <c r="L90" s="1">
        <f t="shared" si="17"/>
        <v>-4</v>
      </c>
      <c r="M90" s="1"/>
      <c r="N90" s="1"/>
      <c r="O90" s="1">
        <v>85</v>
      </c>
      <c r="P90" s="1">
        <v>-90</v>
      </c>
      <c r="Q90" s="1"/>
      <c r="R90" s="1">
        <v>13</v>
      </c>
      <c r="S90" s="1"/>
      <c r="T90" s="1">
        <f t="shared" si="18"/>
        <v>0</v>
      </c>
      <c r="U90" s="5"/>
      <c r="V90" s="5">
        <f>W90</f>
        <v>60</v>
      </c>
      <c r="W90" s="1">
        <f>VLOOKUP(A90,[1]Sheet!$A:$U,21,0)</f>
        <v>60</v>
      </c>
      <c r="X90" s="1" t="e">
        <f t="shared" si="19"/>
        <v>#DIV/0!</v>
      </c>
      <c r="Y90" s="1" t="e">
        <f t="shared" si="20"/>
        <v>#DIV/0!</v>
      </c>
      <c r="Z90" s="1">
        <v>-0.2</v>
      </c>
      <c r="AA90" s="1">
        <v>-0.4</v>
      </c>
      <c r="AB90" s="1">
        <v>-0.2</v>
      </c>
      <c r="AC90" s="1">
        <v>0</v>
      </c>
      <c r="AD90" s="1">
        <v>-0.6</v>
      </c>
      <c r="AE90" s="1">
        <v>-1</v>
      </c>
      <c r="AF90" s="1">
        <v>-0.8</v>
      </c>
      <c r="AG90" s="1">
        <v>-1</v>
      </c>
      <c r="AH90" s="1">
        <v>-1.2</v>
      </c>
      <c r="AI90" s="1">
        <v>-1</v>
      </c>
      <c r="AJ90" s="1"/>
      <c r="AK90" s="1">
        <f t="shared" si="21"/>
        <v>18</v>
      </c>
      <c r="AL90" s="1">
        <f t="shared" si="22"/>
        <v>0</v>
      </c>
    </row>
    <row r="91" spans="1:38" x14ac:dyDescent="0.25">
      <c r="A91" s="1" t="s">
        <v>135</v>
      </c>
      <c r="B91" s="1" t="s">
        <v>46</v>
      </c>
      <c r="C91" s="1">
        <v>68</v>
      </c>
      <c r="D91" s="1">
        <v>180</v>
      </c>
      <c r="E91" s="1">
        <v>83</v>
      </c>
      <c r="F91" s="1">
        <v>151</v>
      </c>
      <c r="G91" s="7">
        <v>0.3</v>
      </c>
      <c r="H91" s="1"/>
      <c r="I91" s="1" t="s">
        <v>42</v>
      </c>
      <c r="J91" s="1"/>
      <c r="K91" s="1">
        <v>85</v>
      </c>
      <c r="L91" s="1">
        <f t="shared" si="17"/>
        <v>-2</v>
      </c>
      <c r="M91" s="1"/>
      <c r="N91" s="1"/>
      <c r="O91" s="1">
        <v>0</v>
      </c>
      <c r="P91" s="1"/>
      <c r="Q91" s="1"/>
      <c r="R91" s="1">
        <v>0</v>
      </c>
      <c r="S91" s="1"/>
      <c r="T91" s="1">
        <f t="shared" si="18"/>
        <v>16.600000000000001</v>
      </c>
      <c r="U91" s="5">
        <f>11*T91-S91-R91-Q91-O91-F91</f>
        <v>31.600000000000023</v>
      </c>
      <c r="V91" s="5">
        <f>U91</f>
        <v>31.600000000000023</v>
      </c>
      <c r="W91" s="1"/>
      <c r="X91" s="1">
        <f t="shared" si="19"/>
        <v>11</v>
      </c>
      <c r="Y91" s="1">
        <f t="shared" si="20"/>
        <v>9.0963855421686741</v>
      </c>
      <c r="Z91" s="1">
        <v>10.8</v>
      </c>
      <c r="AA91" s="1">
        <v>0.6</v>
      </c>
      <c r="AB91" s="1">
        <v>0</v>
      </c>
      <c r="AC91" s="1">
        <v>15.4</v>
      </c>
      <c r="AD91" s="1">
        <v>16.600000000000001</v>
      </c>
      <c r="AE91" s="1">
        <v>1.2</v>
      </c>
      <c r="AF91" s="1">
        <v>0</v>
      </c>
      <c r="AG91" s="1">
        <v>0</v>
      </c>
      <c r="AH91" s="1">
        <v>0</v>
      </c>
      <c r="AI91" s="1">
        <v>0</v>
      </c>
      <c r="AJ91" s="1" t="s">
        <v>136</v>
      </c>
      <c r="AK91" s="1">
        <f t="shared" si="21"/>
        <v>9</v>
      </c>
      <c r="AL91" s="1">
        <f t="shared" si="22"/>
        <v>4.9800000000000004</v>
      </c>
    </row>
    <row r="92" spans="1:38" x14ac:dyDescent="0.25">
      <c r="A92" s="1" t="s">
        <v>137</v>
      </c>
      <c r="B92" s="1" t="s">
        <v>46</v>
      </c>
      <c r="C92" s="1">
        <v>24</v>
      </c>
      <c r="D92" s="1">
        <v>72</v>
      </c>
      <c r="E92" s="1">
        <v>31</v>
      </c>
      <c r="F92" s="1">
        <v>65</v>
      </c>
      <c r="G92" s="7">
        <v>7.0000000000000007E-2</v>
      </c>
      <c r="H92" s="1">
        <v>90</v>
      </c>
      <c r="I92" s="9" t="s">
        <v>54</v>
      </c>
      <c r="J92" s="1"/>
      <c r="K92" s="1">
        <v>33</v>
      </c>
      <c r="L92" s="1">
        <f t="shared" si="17"/>
        <v>-2</v>
      </c>
      <c r="M92" s="1"/>
      <c r="N92" s="1"/>
      <c r="O92" s="1">
        <v>0</v>
      </c>
      <c r="P92" s="1"/>
      <c r="Q92" s="1"/>
      <c r="R92" s="1">
        <v>103.48</v>
      </c>
      <c r="S92" s="1"/>
      <c r="T92" s="1">
        <f t="shared" si="18"/>
        <v>6.2</v>
      </c>
      <c r="U92" s="5"/>
      <c r="V92" s="5">
        <f>U92</f>
        <v>0</v>
      </c>
      <c r="W92" s="1"/>
      <c r="X92" s="1">
        <f t="shared" si="19"/>
        <v>27.174193548387098</v>
      </c>
      <c r="Y92" s="1">
        <f t="shared" si="20"/>
        <v>27.174193548387098</v>
      </c>
      <c r="Z92" s="1">
        <v>10.8</v>
      </c>
      <c r="AA92" s="1">
        <v>6</v>
      </c>
      <c r="AB92" s="1">
        <v>0</v>
      </c>
      <c r="AC92" s="1">
        <v>3.6</v>
      </c>
      <c r="AD92" s="1">
        <v>10</v>
      </c>
      <c r="AE92" s="1">
        <v>9.4</v>
      </c>
      <c r="AF92" s="1">
        <v>5.2</v>
      </c>
      <c r="AG92" s="1">
        <v>7.6</v>
      </c>
      <c r="AH92" s="1">
        <v>16</v>
      </c>
      <c r="AI92" s="1">
        <v>18.2</v>
      </c>
      <c r="AJ92" s="1"/>
      <c r="AK92" s="1">
        <f t="shared" si="21"/>
        <v>0</v>
      </c>
      <c r="AL92" s="1">
        <f t="shared" si="22"/>
        <v>0.43400000000000005</v>
      </c>
    </row>
    <row r="93" spans="1:38" x14ac:dyDescent="0.25">
      <c r="A93" s="1" t="s">
        <v>138</v>
      </c>
      <c r="B93" s="1" t="s">
        <v>46</v>
      </c>
      <c r="C93" s="1">
        <v>38</v>
      </c>
      <c r="D93" s="1"/>
      <c r="E93" s="1">
        <v>38</v>
      </c>
      <c r="F93" s="1"/>
      <c r="G93" s="7">
        <v>7.0000000000000007E-2</v>
      </c>
      <c r="H93" s="1">
        <v>90</v>
      </c>
      <c r="I93" s="9" t="s">
        <v>54</v>
      </c>
      <c r="J93" s="1"/>
      <c r="K93" s="1">
        <v>43</v>
      </c>
      <c r="L93" s="1">
        <f t="shared" si="17"/>
        <v>-5</v>
      </c>
      <c r="M93" s="1"/>
      <c r="N93" s="1"/>
      <c r="O93" s="1">
        <v>51</v>
      </c>
      <c r="P93" s="1">
        <v>-71.428571428571416</v>
      </c>
      <c r="Q93" s="1"/>
      <c r="R93" s="1">
        <v>39</v>
      </c>
      <c r="S93" s="1"/>
      <c r="T93" s="1">
        <f t="shared" si="18"/>
        <v>7.6</v>
      </c>
      <c r="U93" s="5"/>
      <c r="V93" s="5">
        <f>W93</f>
        <v>80</v>
      </c>
      <c r="W93" s="1">
        <f>VLOOKUP(A93,[1]Sheet!$A:$U,21,0)</f>
        <v>80</v>
      </c>
      <c r="X93" s="1">
        <f t="shared" si="19"/>
        <v>22.368421052631579</v>
      </c>
      <c r="Y93" s="1">
        <f t="shared" si="20"/>
        <v>11.842105263157896</v>
      </c>
      <c r="Z93" s="1">
        <v>9.6</v>
      </c>
      <c r="AA93" s="1">
        <v>4.5999999999999996</v>
      </c>
      <c r="AB93" s="1">
        <v>4.5999999999999996</v>
      </c>
      <c r="AC93" s="1">
        <v>8.1999999999999993</v>
      </c>
      <c r="AD93" s="1">
        <v>9</v>
      </c>
      <c r="AE93" s="1">
        <v>8.6</v>
      </c>
      <c r="AF93" s="1">
        <v>4.2</v>
      </c>
      <c r="AG93" s="1">
        <v>0</v>
      </c>
      <c r="AH93" s="1">
        <v>0</v>
      </c>
      <c r="AI93" s="1">
        <v>0</v>
      </c>
      <c r="AJ93" s="1"/>
      <c r="AK93" s="1">
        <f t="shared" si="21"/>
        <v>6</v>
      </c>
      <c r="AL93" s="1">
        <f t="shared" si="22"/>
        <v>0.53200000000000003</v>
      </c>
    </row>
    <row r="94" spans="1:38" x14ac:dyDescent="0.25">
      <c r="A94" s="1" t="s">
        <v>139</v>
      </c>
      <c r="B94" s="1" t="s">
        <v>46</v>
      </c>
      <c r="C94" s="1">
        <v>116</v>
      </c>
      <c r="D94" s="1"/>
      <c r="E94" s="1">
        <v>61</v>
      </c>
      <c r="F94" s="1">
        <v>52</v>
      </c>
      <c r="G94" s="7">
        <v>7.0000000000000007E-2</v>
      </c>
      <c r="H94" s="1">
        <v>90</v>
      </c>
      <c r="I94" s="9" t="s">
        <v>54</v>
      </c>
      <c r="J94" s="1"/>
      <c r="K94" s="1">
        <v>61</v>
      </c>
      <c r="L94" s="1">
        <f t="shared" si="17"/>
        <v>0</v>
      </c>
      <c r="M94" s="1"/>
      <c r="N94" s="1"/>
      <c r="O94" s="1">
        <v>17</v>
      </c>
      <c r="P94" s="1"/>
      <c r="Q94" s="1"/>
      <c r="R94" s="1">
        <v>106.08</v>
      </c>
      <c r="S94" s="1"/>
      <c r="T94" s="1">
        <f t="shared" si="18"/>
        <v>12.2</v>
      </c>
      <c r="U94" s="5"/>
      <c r="V94" s="5">
        <f t="shared" ref="V94:V101" si="24">U94</f>
        <v>0</v>
      </c>
      <c r="W94" s="1"/>
      <c r="X94" s="1">
        <f t="shared" si="19"/>
        <v>14.350819672131147</v>
      </c>
      <c r="Y94" s="1">
        <f t="shared" si="20"/>
        <v>14.350819672131147</v>
      </c>
      <c r="Z94" s="1">
        <v>13.8</v>
      </c>
      <c r="AA94" s="1">
        <v>10</v>
      </c>
      <c r="AB94" s="1">
        <v>10.199999999999999</v>
      </c>
      <c r="AC94" s="1">
        <v>13.6</v>
      </c>
      <c r="AD94" s="1">
        <v>13.6</v>
      </c>
      <c r="AE94" s="1">
        <v>14.2</v>
      </c>
      <c r="AF94" s="1">
        <v>7</v>
      </c>
      <c r="AG94" s="1">
        <v>-0.2</v>
      </c>
      <c r="AH94" s="1">
        <v>10</v>
      </c>
      <c r="AI94" s="1">
        <v>17.2</v>
      </c>
      <c r="AJ94" s="1"/>
      <c r="AK94" s="1">
        <f t="shared" si="21"/>
        <v>0</v>
      </c>
      <c r="AL94" s="1">
        <f t="shared" si="22"/>
        <v>0.85399999999999998</v>
      </c>
    </row>
    <row r="95" spans="1:38" x14ac:dyDescent="0.25">
      <c r="A95" s="1" t="s">
        <v>140</v>
      </c>
      <c r="B95" s="1" t="s">
        <v>46</v>
      </c>
      <c r="C95" s="1">
        <v>65</v>
      </c>
      <c r="D95" s="1">
        <v>180</v>
      </c>
      <c r="E95" s="1">
        <v>93</v>
      </c>
      <c r="F95" s="1">
        <v>138</v>
      </c>
      <c r="G95" s="7">
        <v>0.3</v>
      </c>
      <c r="H95" s="1"/>
      <c r="I95" s="1" t="s">
        <v>42</v>
      </c>
      <c r="J95" s="1"/>
      <c r="K95" s="1">
        <v>95</v>
      </c>
      <c r="L95" s="1">
        <f t="shared" si="17"/>
        <v>-2</v>
      </c>
      <c r="M95" s="1"/>
      <c r="N95" s="1"/>
      <c r="O95" s="1">
        <v>0</v>
      </c>
      <c r="P95" s="1"/>
      <c r="Q95" s="1"/>
      <c r="R95" s="1">
        <v>41.173999999999992</v>
      </c>
      <c r="S95" s="1"/>
      <c r="T95" s="1">
        <f t="shared" si="18"/>
        <v>18.600000000000001</v>
      </c>
      <c r="U95" s="5">
        <f>11*T95-S95-R95-Q95-O95-F95</f>
        <v>25.426000000000045</v>
      </c>
      <c r="V95" s="5">
        <f t="shared" si="24"/>
        <v>25.426000000000045</v>
      </c>
      <c r="W95" s="1"/>
      <c r="X95" s="1">
        <f t="shared" si="19"/>
        <v>11</v>
      </c>
      <c r="Y95" s="1">
        <f t="shared" si="20"/>
        <v>9.6330107526881701</v>
      </c>
      <c r="Z95" s="1">
        <v>14.6</v>
      </c>
      <c r="AA95" s="1">
        <v>1.4</v>
      </c>
      <c r="AB95" s="1">
        <v>0</v>
      </c>
      <c r="AC95" s="1">
        <v>15.4</v>
      </c>
      <c r="AD95" s="1">
        <v>16.600000000000001</v>
      </c>
      <c r="AE95" s="1">
        <v>1.2</v>
      </c>
      <c r="AF95" s="1">
        <v>0</v>
      </c>
      <c r="AG95" s="1">
        <v>0</v>
      </c>
      <c r="AH95" s="1">
        <v>0</v>
      </c>
      <c r="AI95" s="1">
        <v>0</v>
      </c>
      <c r="AJ95" s="1" t="s">
        <v>136</v>
      </c>
      <c r="AK95" s="1">
        <f t="shared" si="21"/>
        <v>8</v>
      </c>
      <c r="AL95" s="1">
        <f t="shared" si="22"/>
        <v>5.58</v>
      </c>
    </row>
    <row r="96" spans="1:38" x14ac:dyDescent="0.25">
      <c r="A96" s="10" t="s">
        <v>141</v>
      </c>
      <c r="B96" s="10" t="s">
        <v>41</v>
      </c>
      <c r="C96" s="10"/>
      <c r="D96" s="10"/>
      <c r="E96" s="10"/>
      <c r="F96" s="10"/>
      <c r="G96" s="11">
        <v>0</v>
      </c>
      <c r="H96" s="10"/>
      <c r="I96" s="10" t="s">
        <v>42</v>
      </c>
      <c r="J96" s="10"/>
      <c r="K96" s="10"/>
      <c r="L96" s="10">
        <f t="shared" si="17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18"/>
        <v>0</v>
      </c>
      <c r="U96" s="12"/>
      <c r="V96" s="5">
        <f t="shared" si="24"/>
        <v>0</v>
      </c>
      <c r="W96" s="1"/>
      <c r="X96" s="1" t="e">
        <f t="shared" si="19"/>
        <v>#DIV/0!</v>
      </c>
      <c r="Y96" s="10" t="e">
        <f t="shared" si="20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52</v>
      </c>
      <c r="AK96" s="1">
        <f t="shared" si="21"/>
        <v>0</v>
      </c>
      <c r="AL96" s="1">
        <f t="shared" si="22"/>
        <v>0</v>
      </c>
    </row>
    <row r="97" spans="1:38" x14ac:dyDescent="0.25">
      <c r="A97" s="10" t="s">
        <v>142</v>
      </c>
      <c r="B97" s="10" t="s">
        <v>46</v>
      </c>
      <c r="C97" s="10"/>
      <c r="D97" s="10"/>
      <c r="E97" s="10"/>
      <c r="F97" s="10"/>
      <c r="G97" s="11">
        <v>0</v>
      </c>
      <c r="H97" s="10"/>
      <c r="I97" s="10" t="s">
        <v>42</v>
      </c>
      <c r="J97" s="10"/>
      <c r="K97" s="10"/>
      <c r="L97" s="10">
        <f t="shared" si="17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18"/>
        <v>0</v>
      </c>
      <c r="U97" s="12"/>
      <c r="V97" s="5">
        <f t="shared" si="24"/>
        <v>0</v>
      </c>
      <c r="W97" s="1"/>
      <c r="X97" s="1" t="e">
        <f t="shared" si="19"/>
        <v>#DIV/0!</v>
      </c>
      <c r="Y97" s="10" t="e">
        <f t="shared" si="20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52</v>
      </c>
      <c r="AK97" s="1">
        <f t="shared" si="21"/>
        <v>0</v>
      </c>
      <c r="AL97" s="1">
        <f t="shared" si="22"/>
        <v>0</v>
      </c>
    </row>
    <row r="98" spans="1:38" x14ac:dyDescent="0.25">
      <c r="A98" s="10" t="s">
        <v>143</v>
      </c>
      <c r="B98" s="10" t="s">
        <v>46</v>
      </c>
      <c r="C98" s="10"/>
      <c r="D98" s="10"/>
      <c r="E98" s="10"/>
      <c r="F98" s="10"/>
      <c r="G98" s="11">
        <v>0</v>
      </c>
      <c r="H98" s="10"/>
      <c r="I98" s="10" t="s">
        <v>42</v>
      </c>
      <c r="J98" s="10"/>
      <c r="K98" s="10"/>
      <c r="L98" s="10">
        <f t="shared" si="17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18"/>
        <v>0</v>
      </c>
      <c r="U98" s="12"/>
      <c r="V98" s="5">
        <f t="shared" si="24"/>
        <v>0</v>
      </c>
      <c r="W98" s="1"/>
      <c r="X98" s="1" t="e">
        <f t="shared" si="19"/>
        <v>#DIV/0!</v>
      </c>
      <c r="Y98" s="10" t="e">
        <f t="shared" si="20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52</v>
      </c>
      <c r="AK98" s="1">
        <f t="shared" si="21"/>
        <v>0</v>
      </c>
      <c r="AL98" s="1">
        <f t="shared" si="22"/>
        <v>0</v>
      </c>
    </row>
    <row r="99" spans="1:38" x14ac:dyDescent="0.25">
      <c r="A99" s="1" t="s">
        <v>144</v>
      </c>
      <c r="B99" s="1" t="s">
        <v>46</v>
      </c>
      <c r="C99" s="1">
        <v>181</v>
      </c>
      <c r="D99" s="1">
        <v>140</v>
      </c>
      <c r="E99" s="1">
        <v>80</v>
      </c>
      <c r="F99" s="1">
        <v>229</v>
      </c>
      <c r="G99" s="7">
        <v>0.08</v>
      </c>
      <c r="H99" s="1">
        <v>45</v>
      </c>
      <c r="I99" s="1" t="s">
        <v>42</v>
      </c>
      <c r="J99" s="1"/>
      <c r="K99" s="1">
        <v>83</v>
      </c>
      <c r="L99" s="1">
        <f t="shared" si="17"/>
        <v>-3</v>
      </c>
      <c r="M99" s="1"/>
      <c r="N99" s="1"/>
      <c r="O99" s="1">
        <v>0</v>
      </c>
      <c r="P99" s="1"/>
      <c r="Q99" s="1"/>
      <c r="R99" s="1">
        <v>0</v>
      </c>
      <c r="S99" s="1"/>
      <c r="T99" s="1">
        <f t="shared" si="18"/>
        <v>16</v>
      </c>
      <c r="U99" s="5"/>
      <c r="V99" s="5">
        <f t="shared" si="24"/>
        <v>0</v>
      </c>
      <c r="W99" s="1"/>
      <c r="X99" s="1">
        <f t="shared" si="19"/>
        <v>14.3125</v>
      </c>
      <c r="Y99" s="1">
        <f t="shared" si="20"/>
        <v>14.3125</v>
      </c>
      <c r="Z99" s="1">
        <v>14.8</v>
      </c>
      <c r="AA99" s="1">
        <v>10.4</v>
      </c>
      <c r="AB99" s="1">
        <v>12.6</v>
      </c>
      <c r="AC99" s="1">
        <v>23.2</v>
      </c>
      <c r="AD99" s="1">
        <v>25.6</v>
      </c>
      <c r="AE99" s="1">
        <v>25.2</v>
      </c>
      <c r="AF99" s="1">
        <v>14</v>
      </c>
      <c r="AG99" s="1">
        <v>0.6</v>
      </c>
      <c r="AH99" s="1">
        <v>11.2</v>
      </c>
      <c r="AI99" s="1">
        <v>23.6</v>
      </c>
      <c r="AJ99" s="1"/>
      <c r="AK99" s="1">
        <f t="shared" si="21"/>
        <v>0</v>
      </c>
      <c r="AL99" s="1">
        <f t="shared" si="22"/>
        <v>1.28</v>
      </c>
    </row>
    <row r="100" spans="1:38" x14ac:dyDescent="0.25">
      <c r="A100" s="1" t="s">
        <v>145</v>
      </c>
      <c r="B100" s="1" t="s">
        <v>46</v>
      </c>
      <c r="C100" s="1">
        <v>119</v>
      </c>
      <c r="D100" s="1">
        <v>150</v>
      </c>
      <c r="E100" s="1">
        <v>113</v>
      </c>
      <c r="F100" s="1">
        <v>149</v>
      </c>
      <c r="G100" s="7">
        <v>0.08</v>
      </c>
      <c r="H100" s="1">
        <v>45</v>
      </c>
      <c r="I100" s="1" t="s">
        <v>42</v>
      </c>
      <c r="J100" s="1"/>
      <c r="K100" s="1">
        <v>111</v>
      </c>
      <c r="L100" s="1">
        <f t="shared" si="17"/>
        <v>2</v>
      </c>
      <c r="M100" s="1"/>
      <c r="N100" s="1"/>
      <c r="O100" s="1">
        <v>0</v>
      </c>
      <c r="P100" s="1"/>
      <c r="Q100" s="1"/>
      <c r="R100" s="1">
        <v>87.56200000000004</v>
      </c>
      <c r="S100" s="1"/>
      <c r="T100" s="1">
        <f t="shared" si="18"/>
        <v>22.6</v>
      </c>
      <c r="U100" s="5">
        <f>11*T100-S100-R100-Q100-O100-F100</f>
        <v>12.037999999999982</v>
      </c>
      <c r="V100" s="5">
        <f t="shared" si="24"/>
        <v>12.037999999999982</v>
      </c>
      <c r="W100" s="1"/>
      <c r="X100" s="1">
        <f t="shared" si="19"/>
        <v>11</v>
      </c>
      <c r="Y100" s="1">
        <f t="shared" si="20"/>
        <v>10.467345132743365</v>
      </c>
      <c r="Z100" s="1">
        <v>19.8</v>
      </c>
      <c r="AA100" s="1">
        <v>14.4</v>
      </c>
      <c r="AB100" s="1">
        <v>21.2</v>
      </c>
      <c r="AC100" s="1">
        <v>28</v>
      </c>
      <c r="AD100" s="1">
        <v>29.8</v>
      </c>
      <c r="AE100" s="1">
        <v>31</v>
      </c>
      <c r="AF100" s="1">
        <v>18.2</v>
      </c>
      <c r="AG100" s="1">
        <v>11</v>
      </c>
      <c r="AH100" s="1">
        <v>21</v>
      </c>
      <c r="AI100" s="1">
        <v>22.2</v>
      </c>
      <c r="AJ100" s="1" t="s">
        <v>81</v>
      </c>
      <c r="AK100" s="1">
        <f t="shared" si="21"/>
        <v>1</v>
      </c>
      <c r="AL100" s="1">
        <f t="shared" si="22"/>
        <v>1.8080000000000001</v>
      </c>
    </row>
    <row r="101" spans="1:38" x14ac:dyDescent="0.25">
      <c r="A101" s="10" t="s">
        <v>146</v>
      </c>
      <c r="B101" s="10" t="s">
        <v>46</v>
      </c>
      <c r="C101" s="10"/>
      <c r="D101" s="10"/>
      <c r="E101" s="10"/>
      <c r="F101" s="10"/>
      <c r="G101" s="11">
        <v>0</v>
      </c>
      <c r="H101" s="10"/>
      <c r="I101" s="10" t="s">
        <v>42</v>
      </c>
      <c r="J101" s="10"/>
      <c r="K101" s="10"/>
      <c r="L101" s="10">
        <f t="shared" si="17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18"/>
        <v>0</v>
      </c>
      <c r="U101" s="12"/>
      <c r="V101" s="5">
        <f t="shared" si="24"/>
        <v>0</v>
      </c>
      <c r="W101" s="1"/>
      <c r="X101" s="1" t="e">
        <f t="shared" si="19"/>
        <v>#DIV/0!</v>
      </c>
      <c r="Y101" s="10" t="e">
        <f t="shared" si="20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52</v>
      </c>
      <c r="AK101" s="1">
        <f t="shared" si="21"/>
        <v>0</v>
      </c>
      <c r="AL101" s="1">
        <f t="shared" si="22"/>
        <v>0</v>
      </c>
    </row>
    <row r="102" spans="1:38" x14ac:dyDescent="0.25">
      <c r="A102" s="1" t="s">
        <v>147</v>
      </c>
      <c r="B102" s="1" t="s">
        <v>41</v>
      </c>
      <c r="C102" s="1"/>
      <c r="D102" s="1">
        <v>102.536</v>
      </c>
      <c r="E102" s="1">
        <v>102.553</v>
      </c>
      <c r="F102" s="1">
        <v>-1.7000000000000001E-2</v>
      </c>
      <c r="G102" s="7">
        <v>1</v>
      </c>
      <c r="H102" s="1">
        <v>40</v>
      </c>
      <c r="I102" s="9" t="s">
        <v>54</v>
      </c>
      <c r="J102" s="1"/>
      <c r="K102" s="1">
        <v>125.7</v>
      </c>
      <c r="L102" s="1">
        <f t="shared" ref="L102:L133" si="25">E102-K102</f>
        <v>-23.147000000000006</v>
      </c>
      <c r="M102" s="1"/>
      <c r="N102" s="1"/>
      <c r="O102" s="1">
        <v>170</v>
      </c>
      <c r="P102" s="1"/>
      <c r="Q102" s="1"/>
      <c r="R102" s="1">
        <v>130</v>
      </c>
      <c r="S102" s="1"/>
      <c r="T102" s="1">
        <f t="shared" ref="T102:T128" si="26">E102/5</f>
        <v>20.5106</v>
      </c>
      <c r="U102" s="5"/>
      <c r="V102" s="5">
        <f>W102</f>
        <v>100</v>
      </c>
      <c r="W102" s="1">
        <f>VLOOKUP(A102,[1]Sheet!$A:$U,21,0)</f>
        <v>100</v>
      </c>
      <c r="X102" s="1">
        <f t="shared" ref="X102:X128" si="27">(F102+O102+Q102+R102+S102+V102)/T102</f>
        <v>19.501282263805056</v>
      </c>
      <c r="Y102" s="1">
        <f t="shared" ref="Y102:Y128" si="28">(F102+O102+Q102+R102+S102)/T102</f>
        <v>14.625754487923318</v>
      </c>
      <c r="Z102" s="1">
        <v>20.366599999999998</v>
      </c>
      <c r="AA102" s="1">
        <v>-0.28820000000000001</v>
      </c>
      <c r="AB102" s="1">
        <v>0.71740000000000004</v>
      </c>
      <c r="AC102" s="1">
        <v>13.458399999999999</v>
      </c>
      <c r="AD102" s="1">
        <v>17.5322</v>
      </c>
      <c r="AE102" s="1">
        <v>21.331199999999999</v>
      </c>
      <c r="AF102" s="1">
        <v>16.2516</v>
      </c>
      <c r="AG102" s="1">
        <v>0.43880000000000002</v>
      </c>
      <c r="AH102" s="1">
        <v>18.152000000000001</v>
      </c>
      <c r="AI102" s="1">
        <v>37.6066</v>
      </c>
      <c r="AJ102" s="1"/>
      <c r="AK102" s="1">
        <f t="shared" ref="AK102:AK128" si="29">ROUND(G102*V102,0)</f>
        <v>100</v>
      </c>
      <c r="AL102" s="1">
        <f t="shared" ref="AL102:AL128" si="30">T102*G102</f>
        <v>20.5106</v>
      </c>
    </row>
    <row r="103" spans="1:38" x14ac:dyDescent="0.25">
      <c r="A103" s="1" t="s">
        <v>148</v>
      </c>
      <c r="B103" s="1" t="s">
        <v>41</v>
      </c>
      <c r="C103" s="1">
        <v>-1.4159999999999999</v>
      </c>
      <c r="D103" s="1">
        <v>144.79499999999999</v>
      </c>
      <c r="E103" s="1">
        <v>79.311999999999998</v>
      </c>
      <c r="F103" s="1">
        <v>-1.409</v>
      </c>
      <c r="G103" s="7">
        <v>1</v>
      </c>
      <c r="H103" s="1">
        <v>40</v>
      </c>
      <c r="I103" s="9" t="s">
        <v>54</v>
      </c>
      <c r="J103" s="1"/>
      <c r="K103" s="1">
        <v>64.8</v>
      </c>
      <c r="L103" s="1">
        <f t="shared" si="25"/>
        <v>14.512</v>
      </c>
      <c r="M103" s="1"/>
      <c r="N103" s="1"/>
      <c r="O103" s="1">
        <v>255</v>
      </c>
      <c r="P103" s="1">
        <v>-256</v>
      </c>
      <c r="Q103" s="1"/>
      <c r="R103" s="1">
        <v>0</v>
      </c>
      <c r="S103" s="1"/>
      <c r="T103" s="1">
        <f t="shared" si="26"/>
        <v>15.862399999999999</v>
      </c>
      <c r="U103" s="5"/>
      <c r="V103" s="5">
        <f>W103</f>
        <v>100</v>
      </c>
      <c r="W103" s="1">
        <f>VLOOKUP(A103,[1]Sheet!$A:$U,21,0)</f>
        <v>100</v>
      </c>
      <c r="X103" s="1">
        <f t="shared" si="27"/>
        <v>22.29114131531168</v>
      </c>
      <c r="Y103" s="1">
        <f t="shared" si="28"/>
        <v>15.986925055477105</v>
      </c>
      <c r="Z103" s="1">
        <v>15.4284</v>
      </c>
      <c r="AA103" s="1">
        <v>11.6716</v>
      </c>
      <c r="AB103" s="1">
        <v>31.165600000000001</v>
      </c>
      <c r="AC103" s="1">
        <v>32.430599999999998</v>
      </c>
      <c r="AD103" s="1">
        <v>18.595400000000001</v>
      </c>
      <c r="AE103" s="1">
        <v>14.566599999999999</v>
      </c>
      <c r="AF103" s="1">
        <v>10.164199999999999</v>
      </c>
      <c r="AG103" s="1">
        <v>1.1066</v>
      </c>
      <c r="AH103" s="1">
        <v>18.8582</v>
      </c>
      <c r="AI103" s="1">
        <v>41.940399999999997</v>
      </c>
      <c r="AJ103" s="1"/>
      <c r="AK103" s="1">
        <f t="shared" si="29"/>
        <v>100</v>
      </c>
      <c r="AL103" s="1">
        <f t="shared" si="30"/>
        <v>15.862399999999999</v>
      </c>
    </row>
    <row r="104" spans="1:38" x14ac:dyDescent="0.25">
      <c r="A104" s="1" t="s">
        <v>149</v>
      </c>
      <c r="B104" s="1" t="s">
        <v>41</v>
      </c>
      <c r="C104" s="1"/>
      <c r="D104" s="1"/>
      <c r="E104" s="1"/>
      <c r="F104" s="1"/>
      <c r="G104" s="7">
        <v>1</v>
      </c>
      <c r="H104" s="1">
        <v>40</v>
      </c>
      <c r="I104" s="9" t="s">
        <v>54</v>
      </c>
      <c r="J104" s="1"/>
      <c r="K104" s="1">
        <v>15.9</v>
      </c>
      <c r="L104" s="1">
        <f t="shared" si="25"/>
        <v>-15.9</v>
      </c>
      <c r="M104" s="1"/>
      <c r="N104" s="1"/>
      <c r="O104" s="1">
        <v>85</v>
      </c>
      <c r="P104" s="1"/>
      <c r="Q104" s="1"/>
      <c r="R104" s="1">
        <v>0</v>
      </c>
      <c r="S104" s="1"/>
      <c r="T104" s="1">
        <f t="shared" si="26"/>
        <v>0</v>
      </c>
      <c r="U104" s="5"/>
      <c r="V104" s="5">
        <f>W104</f>
        <v>150</v>
      </c>
      <c r="W104" s="1">
        <f>VLOOKUP(A104,[1]Sheet!$A:$U,21,0)</f>
        <v>150</v>
      </c>
      <c r="X104" s="1" t="e">
        <f t="shared" si="27"/>
        <v>#DIV/0!</v>
      </c>
      <c r="Y104" s="1" t="e">
        <f t="shared" si="28"/>
        <v>#DIV/0!</v>
      </c>
      <c r="Z104" s="1">
        <v>-0.14299999999999999</v>
      </c>
      <c r="AA104" s="1">
        <v>-0.28339999999999999</v>
      </c>
      <c r="AB104" s="1">
        <v>-0.42299999999999999</v>
      </c>
      <c r="AC104" s="1">
        <v>-0.71120000000000005</v>
      </c>
      <c r="AD104" s="1">
        <v>-0.85540000000000005</v>
      </c>
      <c r="AE104" s="1">
        <v>-0.56600000000000006</v>
      </c>
      <c r="AF104" s="1">
        <v>-0.42</v>
      </c>
      <c r="AG104" s="1">
        <v>-0.42220000000000002</v>
      </c>
      <c r="AH104" s="1">
        <v>-1.1372</v>
      </c>
      <c r="AI104" s="1">
        <v>-1.2682</v>
      </c>
      <c r="AJ104" s="1"/>
      <c r="AK104" s="1">
        <f t="shared" si="29"/>
        <v>150</v>
      </c>
      <c r="AL104" s="1">
        <f t="shared" si="30"/>
        <v>0</v>
      </c>
    </row>
    <row r="105" spans="1:38" x14ac:dyDescent="0.25">
      <c r="A105" s="10" t="s">
        <v>150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26"/>
        <v>0</v>
      </c>
      <c r="U105" s="12"/>
      <c r="V105" s="5">
        <f>U105</f>
        <v>0</v>
      </c>
      <c r="W105" s="1"/>
      <c r="X105" s="1" t="e">
        <f t="shared" si="27"/>
        <v>#DIV/0!</v>
      </c>
      <c r="Y105" s="10" t="e">
        <f t="shared" si="28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52</v>
      </c>
      <c r="AK105" s="1">
        <f t="shared" si="29"/>
        <v>0</v>
      </c>
      <c r="AL105" s="1">
        <f t="shared" si="30"/>
        <v>0</v>
      </c>
    </row>
    <row r="106" spans="1:38" x14ac:dyDescent="0.25">
      <c r="A106" s="10" t="s">
        <v>151</v>
      </c>
      <c r="B106" s="10" t="s">
        <v>46</v>
      </c>
      <c r="C106" s="10"/>
      <c r="D106" s="10"/>
      <c r="E106" s="10"/>
      <c r="F106" s="10"/>
      <c r="G106" s="11">
        <v>0</v>
      </c>
      <c r="H106" s="10"/>
      <c r="I106" s="10" t="s">
        <v>42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26"/>
        <v>0</v>
      </c>
      <c r="U106" s="12"/>
      <c r="V106" s="5">
        <f>U106</f>
        <v>0</v>
      </c>
      <c r="W106" s="1"/>
      <c r="X106" s="1" t="e">
        <f t="shared" si="27"/>
        <v>#DIV/0!</v>
      </c>
      <c r="Y106" s="10" t="e">
        <f t="shared" si="28"/>
        <v>#DIV/0!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52</v>
      </c>
      <c r="AK106" s="1">
        <f t="shared" si="29"/>
        <v>0</v>
      </c>
      <c r="AL106" s="1">
        <f t="shared" si="30"/>
        <v>0</v>
      </c>
    </row>
    <row r="107" spans="1:38" x14ac:dyDescent="0.25">
      <c r="A107" s="1" t="s">
        <v>152</v>
      </c>
      <c r="B107" s="1" t="s">
        <v>46</v>
      </c>
      <c r="C107" s="1">
        <v>1</v>
      </c>
      <c r="D107" s="1"/>
      <c r="E107" s="1">
        <v>-3</v>
      </c>
      <c r="F107" s="1">
        <v>1</v>
      </c>
      <c r="G107" s="7">
        <v>0.28000000000000003</v>
      </c>
      <c r="H107" s="1">
        <v>40</v>
      </c>
      <c r="I107" s="9" t="s">
        <v>54</v>
      </c>
      <c r="J107" s="1"/>
      <c r="K107" s="1">
        <v>37</v>
      </c>
      <c r="L107" s="1">
        <f t="shared" si="25"/>
        <v>-40</v>
      </c>
      <c r="M107" s="1"/>
      <c r="N107" s="1"/>
      <c r="O107" s="1">
        <v>170</v>
      </c>
      <c r="P107" s="1"/>
      <c r="Q107" s="1"/>
      <c r="R107" s="1">
        <v>195</v>
      </c>
      <c r="S107" s="1"/>
      <c r="T107" s="1">
        <f t="shared" si="26"/>
        <v>-0.6</v>
      </c>
      <c r="U107" s="5"/>
      <c r="V107" s="5">
        <f>W107</f>
        <v>150</v>
      </c>
      <c r="W107" s="1">
        <f>VLOOKUP(A107,[1]Sheet!$A:$U,21,0)</f>
        <v>150</v>
      </c>
      <c r="X107" s="1">
        <f t="shared" si="27"/>
        <v>-860</v>
      </c>
      <c r="Y107" s="1">
        <f t="shared" si="28"/>
        <v>-610</v>
      </c>
      <c r="Z107" s="1">
        <v>28.2</v>
      </c>
      <c r="AA107" s="1">
        <v>28.6</v>
      </c>
      <c r="AB107" s="1">
        <v>0</v>
      </c>
      <c r="AC107" s="1">
        <v>7.6</v>
      </c>
      <c r="AD107" s="1">
        <v>22.8</v>
      </c>
      <c r="AE107" s="1">
        <v>33.799999999999997</v>
      </c>
      <c r="AF107" s="1">
        <v>17.8</v>
      </c>
      <c r="AG107" s="1">
        <v>-1.2</v>
      </c>
      <c r="AH107" s="1">
        <v>19.2</v>
      </c>
      <c r="AI107" s="1">
        <v>56.6</v>
      </c>
      <c r="AJ107" s="1"/>
      <c r="AK107" s="1">
        <f t="shared" si="29"/>
        <v>42</v>
      </c>
      <c r="AL107" s="1">
        <f t="shared" si="30"/>
        <v>-0.16800000000000001</v>
      </c>
    </row>
    <row r="108" spans="1:38" x14ac:dyDescent="0.25">
      <c r="A108" s="1" t="s">
        <v>153</v>
      </c>
      <c r="B108" s="1" t="s">
        <v>46</v>
      </c>
      <c r="C108" s="1"/>
      <c r="D108" s="1">
        <v>402</v>
      </c>
      <c r="E108" s="1">
        <v>228</v>
      </c>
      <c r="F108" s="1">
        <v>63</v>
      </c>
      <c r="G108" s="7">
        <v>0.28000000000000003</v>
      </c>
      <c r="H108" s="1">
        <v>40</v>
      </c>
      <c r="I108" s="9" t="s">
        <v>54</v>
      </c>
      <c r="J108" s="1"/>
      <c r="K108" s="1">
        <v>230</v>
      </c>
      <c r="L108" s="1">
        <f t="shared" si="25"/>
        <v>-2</v>
      </c>
      <c r="M108" s="1"/>
      <c r="N108" s="1"/>
      <c r="O108" s="1">
        <v>0</v>
      </c>
      <c r="P108" s="1"/>
      <c r="Q108" s="1"/>
      <c r="R108" s="1">
        <v>130</v>
      </c>
      <c r="S108" s="1"/>
      <c r="T108" s="1">
        <f t="shared" si="26"/>
        <v>45.6</v>
      </c>
      <c r="U108" s="5">
        <f>11*T108-S108-R108-Q108-O108-F108</f>
        <v>308.60000000000002</v>
      </c>
      <c r="V108" s="5">
        <f>U108</f>
        <v>308.60000000000002</v>
      </c>
      <c r="W108" s="1"/>
      <c r="X108" s="1">
        <f t="shared" si="27"/>
        <v>11</v>
      </c>
      <c r="Y108" s="1">
        <f t="shared" si="28"/>
        <v>4.2324561403508767</v>
      </c>
      <c r="Z108" s="1">
        <v>29.2</v>
      </c>
      <c r="AA108" s="1">
        <v>-1</v>
      </c>
      <c r="AB108" s="1">
        <v>-0.6</v>
      </c>
      <c r="AC108" s="1">
        <v>12.2</v>
      </c>
      <c r="AD108" s="1">
        <v>19.2</v>
      </c>
      <c r="AE108" s="1">
        <v>21.2</v>
      </c>
      <c r="AF108" s="1">
        <v>13.8</v>
      </c>
      <c r="AG108" s="1">
        <v>-0.6</v>
      </c>
      <c r="AH108" s="1">
        <v>-1</v>
      </c>
      <c r="AI108" s="1">
        <v>-2.4</v>
      </c>
      <c r="AJ108" s="1"/>
      <c r="AK108" s="1">
        <f t="shared" si="29"/>
        <v>86</v>
      </c>
      <c r="AL108" s="1">
        <f t="shared" si="30"/>
        <v>12.768000000000002</v>
      </c>
    </row>
    <row r="109" spans="1:38" x14ac:dyDescent="0.25">
      <c r="A109" s="1" t="s">
        <v>154</v>
      </c>
      <c r="B109" s="1" t="s">
        <v>46</v>
      </c>
      <c r="C109" s="1">
        <v>1</v>
      </c>
      <c r="D109" s="1">
        <v>103</v>
      </c>
      <c r="E109" s="1">
        <v>98</v>
      </c>
      <c r="F109" s="1">
        <v>3</v>
      </c>
      <c r="G109" s="7">
        <v>0.28000000000000003</v>
      </c>
      <c r="H109" s="1">
        <v>40</v>
      </c>
      <c r="I109" s="9" t="s">
        <v>54</v>
      </c>
      <c r="J109" s="1"/>
      <c r="K109" s="1">
        <v>146</v>
      </c>
      <c r="L109" s="1">
        <f t="shared" si="25"/>
        <v>-48</v>
      </c>
      <c r="M109" s="1"/>
      <c r="N109" s="1"/>
      <c r="O109" s="1">
        <v>340</v>
      </c>
      <c r="P109" s="1">
        <v>-342.85714285714283</v>
      </c>
      <c r="Q109" s="1"/>
      <c r="R109" s="1">
        <v>260</v>
      </c>
      <c r="S109" s="1"/>
      <c r="T109" s="1">
        <f t="shared" si="26"/>
        <v>19.600000000000001</v>
      </c>
      <c r="U109" s="5"/>
      <c r="V109" s="5">
        <f>W109</f>
        <v>180</v>
      </c>
      <c r="W109" s="1">
        <f>VLOOKUP(A109,[1]Sheet!$A:$U,21,0)</f>
        <v>180</v>
      </c>
      <c r="X109" s="1">
        <f t="shared" si="27"/>
        <v>39.948979591836732</v>
      </c>
      <c r="Y109" s="1">
        <f t="shared" si="28"/>
        <v>30.765306122448976</v>
      </c>
      <c r="Z109" s="1">
        <v>49.2</v>
      </c>
      <c r="AA109" s="1">
        <v>29.4</v>
      </c>
      <c r="AB109" s="1">
        <v>0.4</v>
      </c>
      <c r="AC109" s="1">
        <v>10.6</v>
      </c>
      <c r="AD109" s="1">
        <v>15.2</v>
      </c>
      <c r="AE109" s="1">
        <v>19</v>
      </c>
      <c r="AF109" s="1">
        <v>13.2</v>
      </c>
      <c r="AG109" s="1">
        <v>8</v>
      </c>
      <c r="AH109" s="1">
        <v>42.2</v>
      </c>
      <c r="AI109" s="1">
        <v>68.2</v>
      </c>
      <c r="AJ109" s="1"/>
      <c r="AK109" s="1">
        <f t="shared" si="29"/>
        <v>50</v>
      </c>
      <c r="AL109" s="1">
        <f t="shared" si="30"/>
        <v>5.4880000000000013</v>
      </c>
    </row>
    <row r="110" spans="1:38" x14ac:dyDescent="0.25">
      <c r="A110" s="10" t="s">
        <v>155</v>
      </c>
      <c r="B110" s="10" t="s">
        <v>46</v>
      </c>
      <c r="C110" s="10"/>
      <c r="D110" s="10"/>
      <c r="E110" s="10"/>
      <c r="F110" s="10"/>
      <c r="G110" s="11">
        <v>0</v>
      </c>
      <c r="H110" s="10"/>
      <c r="I110" s="10" t="s">
        <v>42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26"/>
        <v>0</v>
      </c>
      <c r="U110" s="12"/>
      <c r="V110" s="5">
        <f t="shared" ref="V110:V121" si="31">U110</f>
        <v>0</v>
      </c>
      <c r="W110" s="1"/>
      <c r="X110" s="1" t="e">
        <f t="shared" si="27"/>
        <v>#DIV/0!</v>
      </c>
      <c r="Y110" s="10" t="e">
        <f t="shared" si="28"/>
        <v>#DIV/0!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 t="s">
        <v>52</v>
      </c>
      <c r="AK110" s="1">
        <f t="shared" si="29"/>
        <v>0</v>
      </c>
      <c r="AL110" s="1">
        <f t="shared" si="30"/>
        <v>0</v>
      </c>
    </row>
    <row r="111" spans="1:38" x14ac:dyDescent="0.25">
      <c r="A111" s="1" t="s">
        <v>156</v>
      </c>
      <c r="B111" s="1" t="s">
        <v>41</v>
      </c>
      <c r="C111" s="1">
        <v>5.0590000000000002</v>
      </c>
      <c r="D111" s="1">
        <v>104.395</v>
      </c>
      <c r="E111" s="1">
        <v>4.2080000000000002</v>
      </c>
      <c r="F111" s="1">
        <v>96.872</v>
      </c>
      <c r="G111" s="7">
        <v>1</v>
      </c>
      <c r="H111" s="1">
        <v>60</v>
      </c>
      <c r="I111" s="1" t="s">
        <v>42</v>
      </c>
      <c r="J111" s="1"/>
      <c r="K111" s="1">
        <v>7.5</v>
      </c>
      <c r="L111" s="1">
        <f t="shared" si="25"/>
        <v>-3.2919999999999998</v>
      </c>
      <c r="M111" s="1"/>
      <c r="N111" s="1"/>
      <c r="O111" s="1">
        <v>52.979799999999997</v>
      </c>
      <c r="P111" s="1"/>
      <c r="Q111" s="1"/>
      <c r="R111" s="1">
        <v>0</v>
      </c>
      <c r="S111" s="1"/>
      <c r="T111" s="1">
        <f t="shared" si="26"/>
        <v>0.84160000000000001</v>
      </c>
      <c r="U111" s="5"/>
      <c r="V111" s="5">
        <f t="shared" si="31"/>
        <v>0</v>
      </c>
      <c r="W111" s="1"/>
      <c r="X111" s="1">
        <f t="shared" si="27"/>
        <v>178.05584600760454</v>
      </c>
      <c r="Y111" s="1">
        <f t="shared" si="28"/>
        <v>178.05584600760454</v>
      </c>
      <c r="Z111" s="1">
        <v>5.0156000000000001</v>
      </c>
      <c r="AA111" s="1">
        <v>13.5182</v>
      </c>
      <c r="AB111" s="1">
        <v>13.540800000000001</v>
      </c>
      <c r="AC111" s="1">
        <v>6.0069999999999997</v>
      </c>
      <c r="AD111" s="1">
        <v>6.8293999999999997</v>
      </c>
      <c r="AE111" s="1">
        <v>5.8517999999999999</v>
      </c>
      <c r="AF111" s="1">
        <v>3.0104000000000002</v>
      </c>
      <c r="AG111" s="1">
        <v>7.0028000000000006</v>
      </c>
      <c r="AH111" s="1">
        <v>11.0334</v>
      </c>
      <c r="AI111" s="1">
        <v>6.3334000000000001</v>
      </c>
      <c r="AJ111" s="14" t="s">
        <v>49</v>
      </c>
      <c r="AK111" s="1">
        <f t="shared" si="29"/>
        <v>0</v>
      </c>
      <c r="AL111" s="1">
        <f t="shared" si="30"/>
        <v>0.84160000000000001</v>
      </c>
    </row>
    <row r="112" spans="1:38" x14ac:dyDescent="0.25">
      <c r="A112" s="1" t="s">
        <v>157</v>
      </c>
      <c r="B112" s="1" t="s">
        <v>41</v>
      </c>
      <c r="C112" s="1">
        <v>15.427</v>
      </c>
      <c r="D112" s="1">
        <v>91.034999999999997</v>
      </c>
      <c r="E112" s="1">
        <v>24.99</v>
      </c>
      <c r="F112" s="1">
        <v>76.498000000000005</v>
      </c>
      <c r="G112" s="7">
        <v>1</v>
      </c>
      <c r="H112" s="1">
        <v>50</v>
      </c>
      <c r="I112" s="1" t="s">
        <v>42</v>
      </c>
      <c r="J112" s="1"/>
      <c r="K112" s="1">
        <v>25</v>
      </c>
      <c r="L112" s="1">
        <f t="shared" si="25"/>
        <v>-1.0000000000001563E-2</v>
      </c>
      <c r="M112" s="1"/>
      <c r="N112" s="1"/>
      <c r="O112" s="1">
        <v>29.260999999999999</v>
      </c>
      <c r="P112" s="1"/>
      <c r="Q112" s="1"/>
      <c r="R112" s="1">
        <v>0</v>
      </c>
      <c r="S112" s="1"/>
      <c r="T112" s="1">
        <f t="shared" si="26"/>
        <v>4.9979999999999993</v>
      </c>
      <c r="U112" s="5"/>
      <c r="V112" s="5">
        <f t="shared" si="31"/>
        <v>0</v>
      </c>
      <c r="W112" s="1"/>
      <c r="X112" s="1">
        <f t="shared" si="27"/>
        <v>21.160264105642259</v>
      </c>
      <c r="Y112" s="1">
        <f t="shared" si="28"/>
        <v>21.160264105642259</v>
      </c>
      <c r="Z112" s="1">
        <v>5.8792</v>
      </c>
      <c r="AA112" s="1">
        <v>11.348599999999999</v>
      </c>
      <c r="AB112" s="1">
        <v>10.4556</v>
      </c>
      <c r="AC112" s="1">
        <v>3.9902000000000002</v>
      </c>
      <c r="AD112" s="1">
        <v>5.9682000000000004</v>
      </c>
      <c r="AE112" s="1">
        <v>6.4512</v>
      </c>
      <c r="AF112" s="1">
        <v>3.9742000000000002</v>
      </c>
      <c r="AG112" s="1">
        <v>4.4668000000000001</v>
      </c>
      <c r="AH112" s="1">
        <v>8.9374000000000002</v>
      </c>
      <c r="AI112" s="1">
        <v>6.4590000000000014</v>
      </c>
      <c r="AJ112" s="1"/>
      <c r="AK112" s="1">
        <f t="shared" si="29"/>
        <v>0</v>
      </c>
      <c r="AL112" s="1">
        <f t="shared" si="30"/>
        <v>4.9979999999999993</v>
      </c>
    </row>
    <row r="113" spans="1:38" x14ac:dyDescent="0.25">
      <c r="A113" s="1" t="s">
        <v>158</v>
      </c>
      <c r="B113" s="1" t="s">
        <v>46</v>
      </c>
      <c r="C113" s="1"/>
      <c r="D113" s="1">
        <v>121</v>
      </c>
      <c r="E113" s="1">
        <v>25</v>
      </c>
      <c r="F113" s="1">
        <v>90</v>
      </c>
      <c r="G113" s="7">
        <v>0.09</v>
      </c>
      <c r="H113" s="1"/>
      <c r="I113" s="1" t="s">
        <v>42</v>
      </c>
      <c r="J113" s="1"/>
      <c r="K113" s="1">
        <v>38</v>
      </c>
      <c r="L113" s="1">
        <f t="shared" si="25"/>
        <v>-13</v>
      </c>
      <c r="M113" s="1"/>
      <c r="N113" s="1"/>
      <c r="O113" s="1">
        <v>0</v>
      </c>
      <c r="P113" s="1"/>
      <c r="Q113" s="1"/>
      <c r="R113" s="1">
        <v>0</v>
      </c>
      <c r="S113" s="1"/>
      <c r="T113" s="1">
        <f t="shared" si="26"/>
        <v>5</v>
      </c>
      <c r="U113" s="5"/>
      <c r="V113" s="5">
        <f t="shared" si="31"/>
        <v>0</v>
      </c>
      <c r="W113" s="1"/>
      <c r="X113" s="1">
        <f t="shared" si="27"/>
        <v>18</v>
      </c>
      <c r="Y113" s="1">
        <f t="shared" si="28"/>
        <v>18</v>
      </c>
      <c r="Z113" s="1">
        <v>2.8</v>
      </c>
      <c r="AA113" s="1">
        <v>0.4</v>
      </c>
      <c r="AB113" s="1">
        <v>2.8</v>
      </c>
      <c r="AC113" s="1">
        <v>10.6</v>
      </c>
      <c r="AD113" s="1">
        <v>10.199999999999999</v>
      </c>
      <c r="AE113" s="1">
        <v>1</v>
      </c>
      <c r="AF113" s="1">
        <v>0</v>
      </c>
      <c r="AG113" s="1">
        <v>0</v>
      </c>
      <c r="AH113" s="1">
        <v>0</v>
      </c>
      <c r="AI113" s="1">
        <v>0</v>
      </c>
      <c r="AJ113" s="1" t="s">
        <v>136</v>
      </c>
      <c r="AK113" s="1">
        <f t="shared" si="29"/>
        <v>0</v>
      </c>
      <c r="AL113" s="1">
        <f t="shared" si="30"/>
        <v>0.44999999999999996</v>
      </c>
    </row>
    <row r="114" spans="1:38" x14ac:dyDescent="0.25">
      <c r="A114" s="10" t="s">
        <v>159</v>
      </c>
      <c r="B114" s="10" t="s">
        <v>46</v>
      </c>
      <c r="C114" s="10"/>
      <c r="D114" s="10"/>
      <c r="E114" s="10"/>
      <c r="F114" s="10"/>
      <c r="G114" s="11">
        <v>0</v>
      </c>
      <c r="H114" s="10"/>
      <c r="I114" s="10" t="s">
        <v>42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26"/>
        <v>0</v>
      </c>
      <c r="U114" s="12"/>
      <c r="V114" s="5">
        <f t="shared" si="31"/>
        <v>0</v>
      </c>
      <c r="W114" s="1"/>
      <c r="X114" s="1" t="e">
        <f t="shared" si="27"/>
        <v>#DIV/0!</v>
      </c>
      <c r="Y114" s="10" t="e">
        <f t="shared" si="28"/>
        <v>#DIV/0!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52</v>
      </c>
      <c r="AK114" s="1">
        <f t="shared" si="29"/>
        <v>0</v>
      </c>
      <c r="AL114" s="1">
        <f t="shared" si="30"/>
        <v>0</v>
      </c>
    </row>
    <row r="115" spans="1:38" x14ac:dyDescent="0.25">
      <c r="A115" s="1" t="s">
        <v>160</v>
      </c>
      <c r="B115" s="1" t="s">
        <v>41</v>
      </c>
      <c r="C115" s="1">
        <v>238.99199999999999</v>
      </c>
      <c r="D115" s="1">
        <v>50.856000000000002</v>
      </c>
      <c r="E115" s="1">
        <v>135.52699999999999</v>
      </c>
      <c r="F115" s="1">
        <v>137.99700000000001</v>
      </c>
      <c r="G115" s="7">
        <v>1</v>
      </c>
      <c r="H115" s="1">
        <v>60</v>
      </c>
      <c r="I115" s="1" t="s">
        <v>42</v>
      </c>
      <c r="J115" s="1"/>
      <c r="K115" s="1">
        <v>129.9</v>
      </c>
      <c r="L115" s="1">
        <f t="shared" si="25"/>
        <v>5.6269999999999811</v>
      </c>
      <c r="M115" s="1"/>
      <c r="N115" s="1"/>
      <c r="O115" s="1">
        <v>176.25772000000001</v>
      </c>
      <c r="P115" s="1"/>
      <c r="Q115" s="1"/>
      <c r="R115" s="1">
        <v>0</v>
      </c>
      <c r="S115" s="1"/>
      <c r="T115" s="1">
        <f t="shared" si="26"/>
        <v>27.105399999999996</v>
      </c>
      <c r="U115" s="5"/>
      <c r="V115" s="5">
        <f t="shared" si="31"/>
        <v>0</v>
      </c>
      <c r="W115" s="1"/>
      <c r="X115" s="1">
        <f t="shared" si="27"/>
        <v>11.593804924479995</v>
      </c>
      <c r="Y115" s="1">
        <f t="shared" si="28"/>
        <v>11.593804924479995</v>
      </c>
      <c r="Z115" s="1">
        <v>27.293199999999999</v>
      </c>
      <c r="AA115" s="1">
        <v>31.0916</v>
      </c>
      <c r="AB115" s="1">
        <v>23.963999999999999</v>
      </c>
      <c r="AC115" s="1">
        <v>24.394400000000001</v>
      </c>
      <c r="AD115" s="1">
        <v>36.898000000000003</v>
      </c>
      <c r="AE115" s="1">
        <v>36.700200000000002</v>
      </c>
      <c r="AF115" s="1">
        <v>21.813800000000001</v>
      </c>
      <c r="AG115" s="1">
        <v>19.250399999999999</v>
      </c>
      <c r="AH115" s="1">
        <v>20.642199999999999</v>
      </c>
      <c r="AI115" s="1">
        <v>20.875599999999999</v>
      </c>
      <c r="AJ115" s="1" t="s">
        <v>81</v>
      </c>
      <c r="AK115" s="1">
        <f t="shared" si="29"/>
        <v>0</v>
      </c>
      <c r="AL115" s="1">
        <f t="shared" si="30"/>
        <v>27.105399999999996</v>
      </c>
    </row>
    <row r="116" spans="1:38" x14ac:dyDescent="0.25">
      <c r="A116" s="1" t="s">
        <v>161</v>
      </c>
      <c r="B116" s="1" t="s">
        <v>41</v>
      </c>
      <c r="C116" s="1">
        <v>239.95599999999999</v>
      </c>
      <c r="D116" s="1">
        <v>280.00200000000001</v>
      </c>
      <c r="E116" s="1">
        <v>156.69399999999999</v>
      </c>
      <c r="F116" s="1">
        <v>334.11399999999998</v>
      </c>
      <c r="G116" s="7">
        <v>1</v>
      </c>
      <c r="H116" s="1">
        <v>60</v>
      </c>
      <c r="I116" s="1" t="s">
        <v>42</v>
      </c>
      <c r="J116" s="1"/>
      <c r="K116" s="1">
        <v>151.85</v>
      </c>
      <c r="L116" s="1">
        <f t="shared" si="25"/>
        <v>4.8439999999999941</v>
      </c>
      <c r="M116" s="1"/>
      <c r="N116" s="1"/>
      <c r="O116" s="1">
        <v>0</v>
      </c>
      <c r="P116" s="1"/>
      <c r="Q116" s="1"/>
      <c r="R116" s="1">
        <v>0</v>
      </c>
      <c r="S116" s="1"/>
      <c r="T116" s="1">
        <f t="shared" si="26"/>
        <v>31.338799999999999</v>
      </c>
      <c r="U116" s="5">
        <f>11*T116-S116-R116-Q116-O116-F116</f>
        <v>10.612799999999993</v>
      </c>
      <c r="V116" s="5">
        <f t="shared" si="31"/>
        <v>10.612799999999993</v>
      </c>
      <c r="W116" s="1"/>
      <c r="X116" s="1">
        <f t="shared" si="27"/>
        <v>11</v>
      </c>
      <c r="Y116" s="1">
        <f t="shared" si="28"/>
        <v>10.661352700167205</v>
      </c>
      <c r="Z116" s="1">
        <v>29.66</v>
      </c>
      <c r="AA116" s="1">
        <v>32.9238</v>
      </c>
      <c r="AB116" s="1">
        <v>39.220199999999998</v>
      </c>
      <c r="AC116" s="1">
        <v>45.087000000000003</v>
      </c>
      <c r="AD116" s="1">
        <v>46.735399999999998</v>
      </c>
      <c r="AE116" s="1">
        <v>35.391800000000003</v>
      </c>
      <c r="AF116" s="1">
        <v>16.724399999999999</v>
      </c>
      <c r="AG116" s="1">
        <v>15.421799999999999</v>
      </c>
      <c r="AH116" s="1">
        <v>46.654200000000003</v>
      </c>
      <c r="AI116" s="1">
        <v>57.178999999999988</v>
      </c>
      <c r="AJ116" s="1" t="s">
        <v>81</v>
      </c>
      <c r="AK116" s="1">
        <f t="shared" si="29"/>
        <v>11</v>
      </c>
      <c r="AL116" s="1">
        <f t="shared" si="30"/>
        <v>31.338799999999999</v>
      </c>
    </row>
    <row r="117" spans="1:38" x14ac:dyDescent="0.25">
      <c r="A117" s="1" t="s">
        <v>162</v>
      </c>
      <c r="B117" s="1" t="s">
        <v>41</v>
      </c>
      <c r="C117" s="1">
        <v>104.431</v>
      </c>
      <c r="D117" s="1">
        <v>49.783999999999999</v>
      </c>
      <c r="E117" s="1">
        <v>51.286000000000001</v>
      </c>
      <c r="F117" s="1">
        <v>102.929</v>
      </c>
      <c r="G117" s="7">
        <v>1</v>
      </c>
      <c r="H117" s="1">
        <v>60</v>
      </c>
      <c r="I117" s="1" t="s">
        <v>42</v>
      </c>
      <c r="J117" s="1"/>
      <c r="K117" s="1">
        <v>49.5</v>
      </c>
      <c r="L117" s="1">
        <f t="shared" si="25"/>
        <v>1.7860000000000014</v>
      </c>
      <c r="M117" s="1"/>
      <c r="N117" s="1"/>
      <c r="O117" s="1">
        <v>0</v>
      </c>
      <c r="P117" s="1"/>
      <c r="Q117" s="1"/>
      <c r="R117" s="1">
        <v>43.960665999999982</v>
      </c>
      <c r="S117" s="1"/>
      <c r="T117" s="1">
        <f t="shared" si="26"/>
        <v>10.257200000000001</v>
      </c>
      <c r="U117" s="5"/>
      <c r="V117" s="5">
        <f t="shared" si="31"/>
        <v>0</v>
      </c>
      <c r="W117" s="1"/>
      <c r="X117" s="1">
        <f t="shared" si="27"/>
        <v>14.320639745739575</v>
      </c>
      <c r="Y117" s="1">
        <f t="shared" si="28"/>
        <v>14.320639745739575</v>
      </c>
      <c r="Z117" s="1">
        <v>11.1214</v>
      </c>
      <c r="AA117" s="1">
        <v>6.5174000000000003</v>
      </c>
      <c r="AB117" s="1">
        <v>7.8681999999999999</v>
      </c>
      <c r="AC117" s="1">
        <v>14.795</v>
      </c>
      <c r="AD117" s="1">
        <v>14.6974</v>
      </c>
      <c r="AE117" s="1">
        <v>11.095000000000001</v>
      </c>
      <c r="AF117" s="1">
        <v>8.4111999999999991</v>
      </c>
      <c r="AG117" s="1">
        <v>7.3227999999999991</v>
      </c>
      <c r="AH117" s="1">
        <v>10.3934</v>
      </c>
      <c r="AI117" s="1">
        <v>13.385199999999999</v>
      </c>
      <c r="AJ117" s="1"/>
      <c r="AK117" s="1">
        <f t="shared" si="29"/>
        <v>0</v>
      </c>
      <c r="AL117" s="1">
        <f t="shared" si="30"/>
        <v>10.257200000000001</v>
      </c>
    </row>
    <row r="118" spans="1:38" x14ac:dyDescent="0.25">
      <c r="A118" s="1" t="s">
        <v>163</v>
      </c>
      <c r="B118" s="1" t="s">
        <v>41</v>
      </c>
      <c r="C118" s="1">
        <v>708.98199999999997</v>
      </c>
      <c r="D118" s="1">
        <v>1089.5160000000001</v>
      </c>
      <c r="E118" s="1">
        <v>1240.6790000000001</v>
      </c>
      <c r="F118" s="1">
        <v>320.01900000000001</v>
      </c>
      <c r="G118" s="7">
        <v>1</v>
      </c>
      <c r="H118" s="1">
        <v>60</v>
      </c>
      <c r="I118" s="1" t="s">
        <v>42</v>
      </c>
      <c r="J118" s="1"/>
      <c r="K118" s="1">
        <v>1260</v>
      </c>
      <c r="L118" s="1">
        <f t="shared" si="25"/>
        <v>-19.320999999999913</v>
      </c>
      <c r="M118" s="1"/>
      <c r="N118" s="1"/>
      <c r="O118" s="1">
        <v>900</v>
      </c>
      <c r="P118" s="1"/>
      <c r="Q118" s="1"/>
      <c r="R118" s="1">
        <v>2024.9748576</v>
      </c>
      <c r="S118" s="1"/>
      <c r="T118" s="1">
        <f t="shared" si="26"/>
        <v>248.13580000000002</v>
      </c>
      <c r="U118" s="5"/>
      <c r="V118" s="5">
        <f t="shared" si="31"/>
        <v>0</v>
      </c>
      <c r="W118" s="1"/>
      <c r="X118" s="1">
        <f t="shared" si="27"/>
        <v>13.077491670286994</v>
      </c>
      <c r="Y118" s="1">
        <f t="shared" si="28"/>
        <v>13.077491670286994</v>
      </c>
      <c r="Z118" s="1">
        <v>262.48399999999998</v>
      </c>
      <c r="AA118" s="1">
        <v>125.1674</v>
      </c>
      <c r="AB118" s="1">
        <v>148.19280000000001</v>
      </c>
      <c r="AC118" s="1">
        <v>178.65039999999999</v>
      </c>
      <c r="AD118" s="1">
        <v>173.5172</v>
      </c>
      <c r="AE118" s="1">
        <v>165.2568</v>
      </c>
      <c r="AF118" s="1">
        <v>112.7216</v>
      </c>
      <c r="AG118" s="1">
        <v>127.8082</v>
      </c>
      <c r="AH118" s="1">
        <v>160.60159999999999</v>
      </c>
      <c r="AI118" s="1">
        <v>163.82</v>
      </c>
      <c r="AJ118" s="1"/>
      <c r="AK118" s="1">
        <f t="shared" si="29"/>
        <v>0</v>
      </c>
      <c r="AL118" s="1">
        <f t="shared" si="30"/>
        <v>248.13580000000002</v>
      </c>
    </row>
    <row r="119" spans="1:38" x14ac:dyDescent="0.25">
      <c r="A119" s="1" t="s">
        <v>164</v>
      </c>
      <c r="B119" s="1" t="s">
        <v>46</v>
      </c>
      <c r="C119" s="1">
        <v>91</v>
      </c>
      <c r="D119" s="1">
        <v>372</v>
      </c>
      <c r="E119" s="1">
        <v>40</v>
      </c>
      <c r="F119" s="1">
        <v>418</v>
      </c>
      <c r="G119" s="7">
        <v>0.25</v>
      </c>
      <c r="H119" s="1">
        <v>1096</v>
      </c>
      <c r="I119" s="1" t="s">
        <v>42</v>
      </c>
      <c r="J119" s="1"/>
      <c r="K119" s="1">
        <v>41</v>
      </c>
      <c r="L119" s="1">
        <f t="shared" si="25"/>
        <v>-1</v>
      </c>
      <c r="M119" s="1"/>
      <c r="N119" s="1"/>
      <c r="O119" s="1">
        <v>0</v>
      </c>
      <c r="P119" s="1"/>
      <c r="Q119" s="1"/>
      <c r="R119" s="1">
        <v>0</v>
      </c>
      <c r="S119" s="1"/>
      <c r="T119" s="1">
        <f t="shared" si="26"/>
        <v>8</v>
      </c>
      <c r="U119" s="5"/>
      <c r="V119" s="5">
        <f t="shared" si="31"/>
        <v>0</v>
      </c>
      <c r="W119" s="1"/>
      <c r="X119" s="1">
        <f t="shared" si="27"/>
        <v>52.25</v>
      </c>
      <c r="Y119" s="1">
        <f t="shared" si="28"/>
        <v>52.25</v>
      </c>
      <c r="Z119" s="1">
        <v>11</v>
      </c>
      <c r="AA119" s="1">
        <v>16.600000000000001</v>
      </c>
      <c r="AB119" s="1">
        <v>36.4</v>
      </c>
      <c r="AC119" s="1">
        <v>43.4</v>
      </c>
      <c r="AD119" s="1">
        <v>26.2</v>
      </c>
      <c r="AE119" s="1">
        <v>23</v>
      </c>
      <c r="AF119" s="1">
        <v>14.4</v>
      </c>
      <c r="AG119" s="1">
        <v>0.6</v>
      </c>
      <c r="AH119" s="1">
        <v>0</v>
      </c>
      <c r="AI119" s="1">
        <v>0</v>
      </c>
      <c r="AJ119" s="16" t="s">
        <v>165</v>
      </c>
      <c r="AK119" s="1">
        <f t="shared" si="29"/>
        <v>0</v>
      </c>
      <c r="AL119" s="1">
        <f t="shared" si="30"/>
        <v>2</v>
      </c>
    </row>
    <row r="120" spans="1:38" x14ac:dyDescent="0.25">
      <c r="A120" s="1" t="s">
        <v>166</v>
      </c>
      <c r="B120" s="1" t="s">
        <v>46</v>
      </c>
      <c r="C120" s="1">
        <v>414</v>
      </c>
      <c r="D120" s="1"/>
      <c r="E120" s="1">
        <v>18</v>
      </c>
      <c r="F120" s="13">
        <f>390+F128</f>
        <v>440</v>
      </c>
      <c r="G120" s="7">
        <v>0.32500000000000001</v>
      </c>
      <c r="H120" s="1">
        <v>1096</v>
      </c>
      <c r="I120" s="1" t="s">
        <v>42</v>
      </c>
      <c r="J120" s="1"/>
      <c r="K120" s="1">
        <v>18</v>
      </c>
      <c r="L120" s="1">
        <f t="shared" si="25"/>
        <v>0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26"/>
        <v>3.6</v>
      </c>
      <c r="U120" s="5"/>
      <c r="V120" s="5">
        <f t="shared" si="31"/>
        <v>0</v>
      </c>
      <c r="W120" s="1"/>
      <c r="X120" s="1">
        <f t="shared" si="27"/>
        <v>122.22222222222221</v>
      </c>
      <c r="Y120" s="1">
        <f t="shared" si="28"/>
        <v>122.22222222222221</v>
      </c>
      <c r="Z120" s="1">
        <v>7</v>
      </c>
      <c r="AA120" s="1">
        <v>11.6</v>
      </c>
      <c r="AB120" s="1">
        <v>21</v>
      </c>
      <c r="AC120" s="1">
        <v>27.8</v>
      </c>
      <c r="AD120" s="1">
        <v>16.2</v>
      </c>
      <c r="AE120" s="1">
        <v>15.6</v>
      </c>
      <c r="AF120" s="1">
        <v>12</v>
      </c>
      <c r="AG120" s="1">
        <v>0</v>
      </c>
      <c r="AH120" s="1">
        <v>0</v>
      </c>
      <c r="AI120" s="1">
        <v>0.4</v>
      </c>
      <c r="AJ120" s="16" t="s">
        <v>165</v>
      </c>
      <c r="AK120" s="1">
        <f t="shared" si="29"/>
        <v>0</v>
      </c>
      <c r="AL120" s="1">
        <f t="shared" si="30"/>
        <v>1.1700000000000002</v>
      </c>
    </row>
    <row r="121" spans="1:38" x14ac:dyDescent="0.25">
      <c r="A121" s="1" t="s">
        <v>167</v>
      </c>
      <c r="B121" s="1" t="s">
        <v>46</v>
      </c>
      <c r="C121" s="1">
        <v>251</v>
      </c>
      <c r="D121" s="1">
        <v>312</v>
      </c>
      <c r="E121" s="1">
        <v>12</v>
      </c>
      <c r="F121" s="1">
        <v>546</v>
      </c>
      <c r="G121" s="7">
        <v>0.25</v>
      </c>
      <c r="H121" s="1">
        <v>1096</v>
      </c>
      <c r="I121" s="1" t="s">
        <v>42</v>
      </c>
      <c r="J121" s="1"/>
      <c r="K121" s="1">
        <v>12</v>
      </c>
      <c r="L121" s="1">
        <f t="shared" si="25"/>
        <v>0</v>
      </c>
      <c r="M121" s="1"/>
      <c r="N121" s="1"/>
      <c r="O121" s="1">
        <v>0</v>
      </c>
      <c r="P121" s="1"/>
      <c r="Q121" s="1"/>
      <c r="R121" s="1">
        <v>0</v>
      </c>
      <c r="S121" s="1"/>
      <c r="T121" s="1">
        <f t="shared" si="26"/>
        <v>2.4</v>
      </c>
      <c r="U121" s="5"/>
      <c r="V121" s="5">
        <f t="shared" si="31"/>
        <v>0</v>
      </c>
      <c r="W121" s="1"/>
      <c r="X121" s="1">
        <f t="shared" si="27"/>
        <v>227.5</v>
      </c>
      <c r="Y121" s="1">
        <f t="shared" si="28"/>
        <v>227.5</v>
      </c>
      <c r="Z121" s="1">
        <v>13</v>
      </c>
      <c r="AA121" s="1">
        <v>19.8</v>
      </c>
      <c r="AB121" s="1">
        <v>38</v>
      </c>
      <c r="AC121" s="1">
        <v>49.6</v>
      </c>
      <c r="AD121" s="1">
        <v>42.2</v>
      </c>
      <c r="AE121" s="1">
        <v>40</v>
      </c>
      <c r="AF121" s="1">
        <v>24.2</v>
      </c>
      <c r="AG121" s="1">
        <v>18.399999999999999</v>
      </c>
      <c r="AH121" s="1">
        <v>43.2</v>
      </c>
      <c r="AI121" s="1">
        <v>52.6</v>
      </c>
      <c r="AJ121" s="15" t="s">
        <v>90</v>
      </c>
      <c r="AK121" s="1">
        <f t="shared" si="29"/>
        <v>0</v>
      </c>
      <c r="AL121" s="1">
        <f t="shared" si="30"/>
        <v>0.6</v>
      </c>
    </row>
    <row r="122" spans="1:38" x14ac:dyDescent="0.25">
      <c r="A122" s="1" t="s">
        <v>168</v>
      </c>
      <c r="B122" s="1" t="s">
        <v>46</v>
      </c>
      <c r="C122" s="1"/>
      <c r="D122" s="1"/>
      <c r="E122" s="1"/>
      <c r="F122" s="1"/>
      <c r="G122" s="7">
        <v>0.3</v>
      </c>
      <c r="H122" s="1">
        <v>40</v>
      </c>
      <c r="I122" s="9" t="s">
        <v>54</v>
      </c>
      <c r="J122" s="1"/>
      <c r="K122" s="1">
        <v>6</v>
      </c>
      <c r="L122" s="1">
        <f t="shared" si="25"/>
        <v>-6</v>
      </c>
      <c r="M122" s="1"/>
      <c r="N122" s="1"/>
      <c r="O122" s="1">
        <v>51</v>
      </c>
      <c r="P122" s="1">
        <v>-53.333333333333336</v>
      </c>
      <c r="Q122" s="1"/>
      <c r="R122" s="1">
        <v>13</v>
      </c>
      <c r="S122" s="1"/>
      <c r="T122" s="1">
        <f t="shared" si="26"/>
        <v>0</v>
      </c>
      <c r="U122" s="5"/>
      <c r="V122" s="5">
        <f>W122</f>
        <v>80</v>
      </c>
      <c r="W122" s="1">
        <f>VLOOKUP(A122,[1]Sheet!$A:$U,21,0)</f>
        <v>80</v>
      </c>
      <c r="X122" s="1" t="e">
        <f t="shared" si="27"/>
        <v>#DIV/0!</v>
      </c>
      <c r="Y122" s="1" t="e">
        <f t="shared" si="28"/>
        <v>#DIV/0!</v>
      </c>
      <c r="Z122" s="1">
        <v>0</v>
      </c>
      <c r="AA122" s="1">
        <v>0</v>
      </c>
      <c r="AB122" s="1">
        <v>0</v>
      </c>
      <c r="AC122" s="1">
        <v>0</v>
      </c>
      <c r="AD122" s="1">
        <v>-0.8</v>
      </c>
      <c r="AE122" s="1">
        <v>-1.4</v>
      </c>
      <c r="AF122" s="1">
        <v>-0.6</v>
      </c>
      <c r="AG122" s="1">
        <v>0</v>
      </c>
      <c r="AH122" s="1">
        <v>0</v>
      </c>
      <c r="AI122" s="1">
        <v>0</v>
      </c>
      <c r="AJ122" s="1"/>
      <c r="AK122" s="1">
        <f t="shared" si="29"/>
        <v>24</v>
      </c>
      <c r="AL122" s="1">
        <f t="shared" si="30"/>
        <v>0</v>
      </c>
    </row>
    <row r="123" spans="1:38" x14ac:dyDescent="0.25">
      <c r="A123" s="1" t="s">
        <v>169</v>
      </c>
      <c r="B123" s="1" t="s">
        <v>46</v>
      </c>
      <c r="C123" s="1"/>
      <c r="D123" s="1"/>
      <c r="E123" s="1"/>
      <c r="F123" s="1"/>
      <c r="G123" s="7">
        <v>0.3</v>
      </c>
      <c r="H123" s="1">
        <v>40</v>
      </c>
      <c r="I123" s="9" t="s">
        <v>54</v>
      </c>
      <c r="J123" s="1"/>
      <c r="K123" s="1">
        <v>4</v>
      </c>
      <c r="L123" s="1">
        <f t="shared" si="25"/>
        <v>-4</v>
      </c>
      <c r="M123" s="1"/>
      <c r="N123" s="1"/>
      <c r="O123" s="1">
        <v>51</v>
      </c>
      <c r="P123" s="1">
        <v>-53.333333333333336</v>
      </c>
      <c r="Q123" s="1"/>
      <c r="R123" s="1">
        <v>13</v>
      </c>
      <c r="S123" s="1"/>
      <c r="T123" s="1">
        <f t="shared" si="26"/>
        <v>0</v>
      </c>
      <c r="U123" s="5"/>
      <c r="V123" s="5">
        <f>W123</f>
        <v>80</v>
      </c>
      <c r="W123" s="1">
        <f>VLOOKUP(A123,[1]Sheet!$A:$U,21,0)</f>
        <v>80</v>
      </c>
      <c r="X123" s="1" t="e">
        <f t="shared" si="27"/>
        <v>#DIV/0!</v>
      </c>
      <c r="Y123" s="1" t="e">
        <f t="shared" si="28"/>
        <v>#DIV/0!</v>
      </c>
      <c r="Z123" s="1">
        <v>0</v>
      </c>
      <c r="AA123" s="1">
        <v>0</v>
      </c>
      <c r="AB123" s="1">
        <v>0</v>
      </c>
      <c r="AC123" s="1">
        <v>0</v>
      </c>
      <c r="AD123" s="1">
        <v>-0.2</v>
      </c>
      <c r="AE123" s="1">
        <v>-0.2</v>
      </c>
      <c r="AF123" s="1">
        <v>0</v>
      </c>
      <c r="AG123" s="1">
        <v>0</v>
      </c>
      <c r="AH123" s="1">
        <v>0</v>
      </c>
      <c r="AI123" s="1">
        <v>-0.8</v>
      </c>
      <c r="AJ123" s="1" t="s">
        <v>170</v>
      </c>
      <c r="AK123" s="1">
        <f t="shared" si="29"/>
        <v>24</v>
      </c>
      <c r="AL123" s="1">
        <f t="shared" si="30"/>
        <v>0</v>
      </c>
    </row>
    <row r="124" spans="1:38" x14ac:dyDescent="0.25">
      <c r="A124" s="1" t="s">
        <v>171</v>
      </c>
      <c r="B124" s="1" t="s">
        <v>41</v>
      </c>
      <c r="C124" s="1">
        <v>13.744</v>
      </c>
      <c r="D124" s="1">
        <v>43.887999999999998</v>
      </c>
      <c r="E124" s="1">
        <v>12.372999999999999</v>
      </c>
      <c r="F124" s="1">
        <v>42.518999999999998</v>
      </c>
      <c r="G124" s="7">
        <v>1</v>
      </c>
      <c r="H124" s="1">
        <v>50</v>
      </c>
      <c r="I124" s="1" t="s">
        <v>42</v>
      </c>
      <c r="J124" s="1"/>
      <c r="K124" s="1">
        <v>10.8</v>
      </c>
      <c r="L124" s="1">
        <f t="shared" si="25"/>
        <v>1.5729999999999986</v>
      </c>
      <c r="M124" s="1"/>
      <c r="N124" s="1"/>
      <c r="O124" s="1">
        <v>0</v>
      </c>
      <c r="P124" s="1"/>
      <c r="Q124" s="1"/>
      <c r="R124" s="1">
        <v>0</v>
      </c>
      <c r="S124" s="1"/>
      <c r="T124" s="1">
        <f t="shared" si="26"/>
        <v>2.4745999999999997</v>
      </c>
      <c r="U124" s="5"/>
      <c r="V124" s="5">
        <f>U124</f>
        <v>0</v>
      </c>
      <c r="W124" s="1"/>
      <c r="X124" s="1">
        <f t="shared" si="27"/>
        <v>17.182170855895905</v>
      </c>
      <c r="Y124" s="1">
        <f t="shared" si="28"/>
        <v>17.182170855895905</v>
      </c>
      <c r="Z124" s="1">
        <v>1.3877999999999999</v>
      </c>
      <c r="AA124" s="1">
        <v>2.2162000000000002</v>
      </c>
      <c r="AB124" s="1">
        <v>3.0968</v>
      </c>
      <c r="AC124" s="1">
        <v>4.5128000000000004</v>
      </c>
      <c r="AD124" s="1">
        <v>4.6745999999999999</v>
      </c>
      <c r="AE124" s="1">
        <v>3.2343999999999999</v>
      </c>
      <c r="AF124" s="1">
        <v>1.3575999999999999</v>
      </c>
      <c r="AG124" s="1">
        <v>0.81319999999999992</v>
      </c>
      <c r="AH124" s="1">
        <v>4.306</v>
      </c>
      <c r="AI124" s="1">
        <v>5.1116000000000001</v>
      </c>
      <c r="AJ124" s="14" t="s">
        <v>49</v>
      </c>
      <c r="AK124" s="1">
        <f t="shared" si="29"/>
        <v>0</v>
      </c>
      <c r="AL124" s="1">
        <f t="shared" si="30"/>
        <v>2.4745999999999997</v>
      </c>
    </row>
    <row r="125" spans="1:38" x14ac:dyDescent="0.25">
      <c r="A125" s="1" t="s">
        <v>172</v>
      </c>
      <c r="B125" s="1" t="s">
        <v>46</v>
      </c>
      <c r="C125" s="1"/>
      <c r="D125" s="1"/>
      <c r="E125" s="1"/>
      <c r="F125" s="1"/>
      <c r="G125" s="7">
        <v>0.3</v>
      </c>
      <c r="H125" s="1">
        <v>40</v>
      </c>
      <c r="I125" s="9" t="s">
        <v>54</v>
      </c>
      <c r="J125" s="1"/>
      <c r="K125" s="1">
        <v>4</v>
      </c>
      <c r="L125" s="1">
        <f t="shared" si="25"/>
        <v>-4</v>
      </c>
      <c r="M125" s="1"/>
      <c r="N125" s="1"/>
      <c r="O125" s="1">
        <v>51</v>
      </c>
      <c r="P125" s="1">
        <v>-53.333333333333336</v>
      </c>
      <c r="Q125" s="1"/>
      <c r="R125" s="1">
        <v>13</v>
      </c>
      <c r="S125" s="1"/>
      <c r="T125" s="1">
        <f t="shared" si="26"/>
        <v>0</v>
      </c>
      <c r="U125" s="5"/>
      <c r="V125" s="5">
        <f>W125</f>
        <v>80</v>
      </c>
      <c r="W125" s="1">
        <f>VLOOKUP(A125,[1]Sheet!$A:$U,21,0)</f>
        <v>80</v>
      </c>
      <c r="X125" s="1" t="e">
        <f t="shared" si="27"/>
        <v>#DIV/0!</v>
      </c>
      <c r="Y125" s="1" t="e">
        <f t="shared" si="28"/>
        <v>#DIV/0!</v>
      </c>
      <c r="Z125" s="1">
        <v>0</v>
      </c>
      <c r="AA125" s="1">
        <v>0</v>
      </c>
      <c r="AB125" s="1">
        <v>0</v>
      </c>
      <c r="AC125" s="1">
        <v>-0.4</v>
      </c>
      <c r="AD125" s="1">
        <v>-0.8</v>
      </c>
      <c r="AE125" s="1">
        <v>-0.8</v>
      </c>
      <c r="AF125" s="1">
        <v>-0.4</v>
      </c>
      <c r="AG125" s="1">
        <v>-0.2</v>
      </c>
      <c r="AH125" s="1">
        <v>1</v>
      </c>
      <c r="AI125" s="1">
        <v>20.8</v>
      </c>
      <c r="AJ125" s="1"/>
      <c r="AK125" s="1">
        <f t="shared" si="29"/>
        <v>24</v>
      </c>
      <c r="AL125" s="1">
        <f t="shared" si="30"/>
        <v>0</v>
      </c>
    </row>
    <row r="126" spans="1:38" x14ac:dyDescent="0.25">
      <c r="A126" s="1" t="s">
        <v>173</v>
      </c>
      <c r="B126" s="1" t="s">
        <v>46</v>
      </c>
      <c r="C126" s="1">
        <v>14</v>
      </c>
      <c r="D126" s="1">
        <v>60</v>
      </c>
      <c r="E126" s="1">
        <v>37</v>
      </c>
      <c r="F126" s="1">
        <v>31</v>
      </c>
      <c r="G126" s="7">
        <v>0.12</v>
      </c>
      <c r="H126" s="1">
        <v>45</v>
      </c>
      <c r="I126" s="9" t="s">
        <v>54</v>
      </c>
      <c r="J126" s="1"/>
      <c r="K126" s="1">
        <v>37</v>
      </c>
      <c r="L126" s="1">
        <f t="shared" si="25"/>
        <v>0</v>
      </c>
      <c r="M126" s="1"/>
      <c r="N126" s="1"/>
      <c r="O126" s="1">
        <v>17</v>
      </c>
      <c r="P126" s="1"/>
      <c r="Q126" s="1"/>
      <c r="R126" s="1">
        <v>88.919999999999987</v>
      </c>
      <c r="S126" s="1"/>
      <c r="T126" s="1">
        <f t="shared" si="26"/>
        <v>7.4</v>
      </c>
      <c r="U126" s="5"/>
      <c r="V126" s="5">
        <f>U126</f>
        <v>0</v>
      </c>
      <c r="W126" s="1"/>
      <c r="X126" s="1">
        <f t="shared" si="27"/>
        <v>18.502702702702699</v>
      </c>
      <c r="Y126" s="1">
        <f t="shared" si="28"/>
        <v>18.502702702702699</v>
      </c>
      <c r="Z126" s="1">
        <v>10.199999999999999</v>
      </c>
      <c r="AA126" s="1">
        <v>5.8</v>
      </c>
      <c r="AB126" s="1">
        <v>-0.2</v>
      </c>
      <c r="AC126" s="1">
        <v>-0.2</v>
      </c>
      <c r="AD126" s="1">
        <v>1.2</v>
      </c>
      <c r="AE126" s="1">
        <v>11</v>
      </c>
      <c r="AF126" s="1">
        <v>9</v>
      </c>
      <c r="AG126" s="1">
        <v>-0.6</v>
      </c>
      <c r="AH126" s="1">
        <v>3.4</v>
      </c>
      <c r="AI126" s="1">
        <v>9.6</v>
      </c>
      <c r="AJ126" s="1"/>
      <c r="AK126" s="1">
        <f t="shared" si="29"/>
        <v>0</v>
      </c>
      <c r="AL126" s="1">
        <f t="shared" si="30"/>
        <v>0.88800000000000001</v>
      </c>
    </row>
    <row r="127" spans="1:38" x14ac:dyDescent="0.25">
      <c r="A127" s="10" t="s">
        <v>174</v>
      </c>
      <c r="B127" s="10" t="s">
        <v>46</v>
      </c>
      <c r="C127" s="10">
        <v>90</v>
      </c>
      <c r="D127" s="10">
        <v>200</v>
      </c>
      <c r="E127" s="13">
        <v>79</v>
      </c>
      <c r="F127" s="13">
        <v>191</v>
      </c>
      <c r="G127" s="11">
        <v>0</v>
      </c>
      <c r="H127" s="10"/>
      <c r="I127" s="10" t="s">
        <v>175</v>
      </c>
      <c r="J127" s="10" t="s">
        <v>98</v>
      </c>
      <c r="K127" s="10">
        <v>79</v>
      </c>
      <c r="L127" s="10">
        <f t="shared" si="25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26"/>
        <v>15.8</v>
      </c>
      <c r="U127" s="12"/>
      <c r="V127" s="5">
        <f>U127</f>
        <v>0</v>
      </c>
      <c r="W127" s="1"/>
      <c r="X127" s="1">
        <f t="shared" si="27"/>
        <v>12.088607594936708</v>
      </c>
      <c r="Y127" s="10">
        <f t="shared" si="28"/>
        <v>12.088607594936708</v>
      </c>
      <c r="Z127" s="10">
        <v>28.6</v>
      </c>
      <c r="AA127" s="10">
        <v>32</v>
      </c>
      <c r="AB127" s="10">
        <v>33</v>
      </c>
      <c r="AC127" s="10">
        <v>41.6</v>
      </c>
      <c r="AD127" s="10">
        <v>38.4</v>
      </c>
      <c r="AE127" s="10">
        <v>29.4</v>
      </c>
      <c r="AF127" s="10">
        <v>9.6</v>
      </c>
      <c r="AG127" s="10">
        <v>0</v>
      </c>
      <c r="AH127" s="10">
        <v>0</v>
      </c>
      <c r="AI127" s="10">
        <v>0</v>
      </c>
      <c r="AJ127" s="10"/>
      <c r="AK127" s="1">
        <f t="shared" si="29"/>
        <v>0</v>
      </c>
      <c r="AL127" s="1">
        <f t="shared" si="30"/>
        <v>0</v>
      </c>
    </row>
    <row r="128" spans="1:38" x14ac:dyDescent="0.25">
      <c r="A128" s="10" t="s">
        <v>176</v>
      </c>
      <c r="B128" s="10" t="s">
        <v>46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175</v>
      </c>
      <c r="J128" s="10" t="s">
        <v>166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26"/>
        <v>0</v>
      </c>
      <c r="U128" s="12"/>
      <c r="V128" s="5">
        <f>U128</f>
        <v>0</v>
      </c>
      <c r="W128" s="1"/>
      <c r="X128" s="1" t="e">
        <f t="shared" si="27"/>
        <v>#DIV/0!</v>
      </c>
      <c r="Y128" s="10" t="e">
        <f t="shared" si="28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1</v>
      </c>
      <c r="AF128" s="10">
        <v>1</v>
      </c>
      <c r="AG128" s="10">
        <v>0</v>
      </c>
      <c r="AH128" s="10">
        <v>0</v>
      </c>
      <c r="AI128" s="10">
        <v>0.4</v>
      </c>
      <c r="AJ128" s="10"/>
      <c r="AK128" s="1">
        <f t="shared" si="29"/>
        <v>0</v>
      </c>
      <c r="AL128" s="1">
        <f t="shared" si="30"/>
        <v>0</v>
      </c>
    </row>
    <row r="129" spans="1:3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</sheetData>
  <autoFilter ref="A3:AK128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H1" sqref="H1:H11"/>
    </sheetView>
  </sheetViews>
  <sheetFormatPr defaultRowHeight="15" x14ac:dyDescent="0.25"/>
  <cols>
    <col min="2" max="2" width="9.140625" style="17" customWidth="1"/>
    <col min="3" max="3" width="111.140625" bestFit="1" customWidth="1"/>
  </cols>
  <sheetData>
    <row r="1" spans="1:8" x14ac:dyDescent="0.25">
      <c r="A1" t="s">
        <v>177</v>
      </c>
      <c r="B1" s="17" t="str">
        <f t="shared" ref="B1:B11" si="0">SUBSTITUTE(A1," ","")</f>
        <v>SU001721</v>
      </c>
      <c r="C1" t="s">
        <v>178</v>
      </c>
      <c r="D1" t="s">
        <v>179</v>
      </c>
      <c r="E1" t="s">
        <v>179</v>
      </c>
      <c r="F1" t="s">
        <v>180</v>
      </c>
      <c r="G1" t="s">
        <v>181</v>
      </c>
      <c r="H1">
        <f t="shared" ref="H1:H11" si="1">--SUBSTITUTE(G1," ","")</f>
        <v>-144</v>
      </c>
    </row>
    <row r="2" spans="1:8" x14ac:dyDescent="0.25">
      <c r="A2" t="s">
        <v>182</v>
      </c>
      <c r="B2" s="17" t="str">
        <f t="shared" si="0"/>
        <v>SU002660</v>
      </c>
      <c r="C2" t="s">
        <v>183</v>
      </c>
      <c r="D2" t="s">
        <v>184</v>
      </c>
      <c r="E2" t="s">
        <v>185</v>
      </c>
      <c r="F2" t="s">
        <v>185</v>
      </c>
      <c r="G2" t="s">
        <v>186</v>
      </c>
      <c r="H2">
        <f t="shared" si="1"/>
        <v>-61</v>
      </c>
    </row>
    <row r="3" spans="1:8" x14ac:dyDescent="0.25">
      <c r="A3" t="s">
        <v>187</v>
      </c>
      <c r="B3" s="17" t="str">
        <f t="shared" si="0"/>
        <v>SU002941</v>
      </c>
      <c r="C3" t="s">
        <v>188</v>
      </c>
      <c r="D3" t="s">
        <v>189</v>
      </c>
      <c r="E3" t="s">
        <v>185</v>
      </c>
      <c r="F3" t="s">
        <v>185</v>
      </c>
      <c r="G3" t="s">
        <v>190</v>
      </c>
      <c r="H3">
        <f t="shared" si="1"/>
        <v>-54</v>
      </c>
    </row>
    <row r="4" spans="1:8" x14ac:dyDescent="0.25">
      <c r="A4" t="s">
        <v>191</v>
      </c>
      <c r="B4" s="17" t="str">
        <f t="shared" si="0"/>
        <v>SU002942</v>
      </c>
      <c r="C4" t="s">
        <v>192</v>
      </c>
      <c r="D4" t="s">
        <v>193</v>
      </c>
      <c r="E4" t="s">
        <v>185</v>
      </c>
      <c r="F4" t="s">
        <v>185</v>
      </c>
      <c r="G4" t="s">
        <v>194</v>
      </c>
      <c r="H4">
        <f t="shared" si="1"/>
        <v>-16</v>
      </c>
    </row>
    <row r="5" spans="1:8" x14ac:dyDescent="0.25">
      <c r="A5" t="s">
        <v>195</v>
      </c>
      <c r="B5" s="17" t="str">
        <f t="shared" si="0"/>
        <v>SU002944</v>
      </c>
      <c r="C5" t="s">
        <v>196</v>
      </c>
      <c r="D5" t="s">
        <v>193</v>
      </c>
      <c r="E5" t="s">
        <v>185</v>
      </c>
      <c r="F5" t="s">
        <v>185</v>
      </c>
      <c r="G5" t="s">
        <v>194</v>
      </c>
      <c r="H5">
        <f t="shared" si="1"/>
        <v>-16</v>
      </c>
    </row>
    <row r="6" spans="1:8" x14ac:dyDescent="0.25">
      <c r="A6" t="s">
        <v>197</v>
      </c>
      <c r="B6" s="17" t="str">
        <f t="shared" si="0"/>
        <v>SU002945</v>
      </c>
      <c r="C6" t="s">
        <v>198</v>
      </c>
      <c r="D6" t="s">
        <v>199</v>
      </c>
      <c r="E6" t="s">
        <v>199</v>
      </c>
      <c r="F6" t="s">
        <v>200</v>
      </c>
      <c r="G6" t="s">
        <v>201</v>
      </c>
      <c r="H6">
        <f t="shared" si="1"/>
        <v>-15</v>
      </c>
    </row>
    <row r="7" spans="1:8" x14ac:dyDescent="0.25">
      <c r="A7" t="s">
        <v>202</v>
      </c>
      <c r="B7" s="17" t="str">
        <f t="shared" si="0"/>
        <v>SU002948</v>
      </c>
      <c r="C7" t="s">
        <v>203</v>
      </c>
      <c r="D7" t="s">
        <v>204</v>
      </c>
      <c r="E7" t="s">
        <v>185</v>
      </c>
      <c r="F7" t="s">
        <v>185</v>
      </c>
      <c r="G7" t="s">
        <v>205</v>
      </c>
      <c r="H7">
        <f t="shared" si="1"/>
        <v>-27</v>
      </c>
    </row>
    <row r="8" spans="1:8" x14ac:dyDescent="0.25">
      <c r="A8" t="s">
        <v>206</v>
      </c>
      <c r="B8" s="17" t="str">
        <f t="shared" si="0"/>
        <v>SU003829</v>
      </c>
      <c r="C8" t="s">
        <v>207</v>
      </c>
      <c r="D8" t="s">
        <v>193</v>
      </c>
      <c r="E8" t="s">
        <v>185</v>
      </c>
      <c r="F8" t="s">
        <v>185</v>
      </c>
      <c r="G8" t="s">
        <v>194</v>
      </c>
      <c r="H8">
        <f t="shared" si="1"/>
        <v>-16</v>
      </c>
    </row>
    <row r="9" spans="1:8" x14ac:dyDescent="0.25">
      <c r="A9" t="s">
        <v>208</v>
      </c>
      <c r="B9" s="17" t="str">
        <f t="shared" si="0"/>
        <v>SU003894</v>
      </c>
      <c r="C9" t="s">
        <v>209</v>
      </c>
      <c r="D9" t="s">
        <v>210</v>
      </c>
      <c r="E9" t="s">
        <v>185</v>
      </c>
      <c r="F9" t="s">
        <v>185</v>
      </c>
      <c r="G9" t="s">
        <v>211</v>
      </c>
      <c r="H9">
        <f t="shared" si="1"/>
        <v>-5</v>
      </c>
    </row>
    <row r="10" spans="1:8" x14ac:dyDescent="0.25">
      <c r="A10" t="s">
        <v>212</v>
      </c>
      <c r="B10" s="17" t="str">
        <f t="shared" si="0"/>
        <v>SU004042</v>
      </c>
      <c r="C10" t="s">
        <v>213</v>
      </c>
      <c r="D10" t="s">
        <v>214</v>
      </c>
      <c r="E10" t="s">
        <v>214</v>
      </c>
      <c r="F10" t="s">
        <v>185</v>
      </c>
      <c r="G10" t="s">
        <v>215</v>
      </c>
      <c r="H10">
        <f t="shared" si="1"/>
        <v>-96</v>
      </c>
    </row>
    <row r="11" spans="1:8" x14ac:dyDescent="0.25">
      <c r="A11" t="s">
        <v>216</v>
      </c>
      <c r="B11" s="17" t="str">
        <f t="shared" si="0"/>
        <v>SU004047</v>
      </c>
      <c r="C11" t="s">
        <v>217</v>
      </c>
      <c r="D11" t="s">
        <v>218</v>
      </c>
      <c r="E11" t="s">
        <v>185</v>
      </c>
      <c r="F11" t="s">
        <v>185</v>
      </c>
      <c r="G11" t="s">
        <v>219</v>
      </c>
      <c r="H11">
        <f t="shared" si="1"/>
        <v>-256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дефицит 27,09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2026-09-29T16:09:17Z</dcterms:created>
  <dcterms:modified xsi:type="dcterms:W3CDTF">2026-10-01T16:41:45Z</dcterms:modified>
</cp:coreProperties>
</file>